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imi\Desktop\"/>
    </mc:Choice>
  </mc:AlternateContent>
  <bookViews>
    <workbookView xWindow="0" yWindow="0" windowWidth="20490" windowHeight="7695" activeTab="3"/>
  </bookViews>
  <sheets>
    <sheet name="چمې مارکیټ" sheetId="1" r:id="rId1"/>
    <sheet name="چمي صرافان مارکیت" sheetId="7" r:id="rId2"/>
    <sheet name="حمام مارکیت" sheetId="6" r:id="rId3"/>
    <sheet name="قدوس مارکیت" sheetId="5" r:id="rId4"/>
    <sheet name="پلازې" sheetId="4" r:id="rId5"/>
    <sheet name="Total " sheetId="13" r:id="rId6"/>
    <sheet name="حمام مرکیت دولتی دوهم منزل" sheetId="9" r:id="rId7"/>
    <sheet name="حمام مرکیت دولتی زرزمینی" sheetId="10" r:id="rId8"/>
    <sheet name="حمام مرکیت دولتی اول منزل" sheetId="11" r:id="rId9"/>
    <sheet name="نجیب میتر" sheetId="12" r:id="rId10"/>
    <sheet name="Sheet1" sheetId="14" r:id="rId11"/>
  </sheets>
  <definedNames>
    <definedName name="_xlnm.Print_Area" localSheetId="4">پلازې!$A$1:$D$1350</definedName>
    <definedName name="_xlnm.Print_Area" localSheetId="0">'چمې مارکیټ'!$A$1:$D$6696</definedName>
    <definedName name="_xlnm.Print_Area" localSheetId="1">'چمي صرافان مارکیت'!$A$1:$D$4374</definedName>
    <definedName name="_xlnm.Print_Area" localSheetId="2">'حمام مارکیت'!$A$1:$D$2025</definedName>
    <definedName name="_xlnm.Print_Area" localSheetId="8">'حمام مرکیت دولتی اول منزل'!$A$1:$D$2139</definedName>
    <definedName name="_xlnm.Print_Area" localSheetId="6">'حمام مرکیت دولتی دوهم منزل'!$A$1:$D$1798</definedName>
    <definedName name="_xlnm.Print_Area" localSheetId="7">'حمام مرکیت دولتی زرزمینی'!$A$1:$D$1147</definedName>
    <definedName name="_xlnm.Print_Area" localSheetId="3">'قدوس مارکیت'!$A$1:$D$1917</definedName>
    <definedName name="_xlnm.Print_Area" localSheetId="9">'نجیب میتر'!$A$1:$D$2604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87" i="5" l="1"/>
  <c r="A1590" i="5" s="1"/>
  <c r="A1560" i="5"/>
  <c r="A1536" i="5"/>
  <c r="A1533" i="5"/>
  <c r="A1509" i="5"/>
  <c r="A1506" i="5"/>
  <c r="A1479" i="5"/>
  <c r="A1452" i="5"/>
  <c r="A1425" i="5"/>
  <c r="A1401" i="5"/>
  <c r="A1398" i="5"/>
  <c r="A1374" i="5"/>
  <c r="A1371" i="5"/>
  <c r="A1344" i="5"/>
  <c r="A1347" i="5" s="1"/>
  <c r="A1317" i="5"/>
  <c r="A1290" i="5"/>
  <c r="A1293" i="5" s="1"/>
  <c r="A1263" i="5"/>
  <c r="A1236" i="5"/>
  <c r="A1239" i="5" s="1"/>
  <c r="A1209" i="5"/>
  <c r="A1158" i="5"/>
  <c r="A1155" i="5"/>
  <c r="A1128" i="5"/>
  <c r="A1131" i="5" s="1"/>
  <c r="A1074" i="5"/>
  <c r="A1050" i="5"/>
  <c r="A1047" i="5"/>
  <c r="A1020" i="5"/>
  <c r="A993" i="5"/>
  <c r="A996" i="5" s="1"/>
  <c r="A966" i="5"/>
  <c r="A925" i="5"/>
  <c r="A915" i="5"/>
  <c r="A912" i="5"/>
  <c r="A885" i="5"/>
  <c r="A858" i="5"/>
  <c r="A831" i="5"/>
  <c r="A807" i="5"/>
  <c r="A804" i="5"/>
  <c r="A780" i="5"/>
  <c r="A777" i="5"/>
  <c r="A750" i="5"/>
  <c r="A696" i="5"/>
  <c r="A669" i="5"/>
  <c r="A672" i="5" s="1"/>
  <c r="A642" i="5"/>
  <c r="A615" i="5"/>
  <c r="A618" i="5" s="1"/>
  <c r="A588" i="5"/>
  <c r="A591" i="5" s="1"/>
  <c r="A561" i="5"/>
  <c r="A564" i="5" s="1"/>
  <c r="A534" i="5"/>
  <c r="A510" i="5"/>
  <c r="A507" i="5"/>
  <c r="A480" i="5"/>
  <c r="A483" i="5" s="1"/>
  <c r="A426" i="5"/>
  <c r="A429" i="5" s="1"/>
  <c r="A372" i="5"/>
  <c r="A375" i="5" s="1"/>
  <c r="A345" i="5"/>
  <c r="A318" i="5"/>
  <c r="A321" i="5" s="1"/>
  <c r="A264" i="5"/>
  <c r="A237" i="5"/>
  <c r="A240" i="5" s="1"/>
  <c r="A210" i="5"/>
  <c r="A213" i="5" s="1"/>
  <c r="A156" i="5"/>
  <c r="A159" i="5" s="1"/>
  <c r="A129" i="5"/>
  <c r="A102" i="5"/>
  <c r="A105" i="5" s="1"/>
  <c r="A75" i="5"/>
  <c r="A78" i="5" s="1"/>
  <c r="A48" i="5"/>
  <c r="A51" i="5" s="1"/>
  <c r="A21" i="5"/>
  <c r="A24" i="5" s="1"/>
  <c r="A1992" i="6"/>
  <c r="A1995" i="6" s="1"/>
  <c r="A1965" i="6"/>
  <c r="A1938" i="6"/>
  <c r="A1941" i="6" s="1"/>
  <c r="A1914" i="6"/>
  <c r="A1911" i="6"/>
  <c r="A1884" i="6"/>
  <c r="A1857" i="6"/>
  <c r="A1830" i="6"/>
  <c r="A1803" i="6"/>
  <c r="A1776" i="6"/>
  <c r="A1749" i="6"/>
  <c r="A1752" i="6" s="1"/>
  <c r="A1722" i="6"/>
  <c r="A1614" i="6"/>
  <c r="A1587" i="6"/>
  <c r="A1560" i="6"/>
  <c r="A1533" i="6"/>
  <c r="A1536" i="6" s="1"/>
  <c r="A1506" i="6"/>
  <c r="A1509" i="6" s="1"/>
  <c r="A1482" i="6"/>
  <c r="A1479" i="6"/>
  <c r="A1452" i="6"/>
  <c r="A1425" i="6"/>
  <c r="A1371" i="6"/>
  <c r="A1374" i="6" s="1"/>
  <c r="A1347" i="6"/>
  <c r="A1344" i="6"/>
  <c r="A1320" i="6"/>
  <c r="A1317" i="6"/>
  <c r="A1290" i="6"/>
  <c r="A1263" i="6"/>
  <c r="A1209" i="6"/>
  <c r="A1185" i="6"/>
  <c r="A1182" i="6"/>
  <c r="A1155" i="6"/>
  <c r="A1128" i="6"/>
  <c r="A1101" i="6"/>
  <c r="A1074" i="6"/>
  <c r="A1047" i="6"/>
  <c r="A993" i="6"/>
  <c r="A966" i="6"/>
  <c r="A939" i="6"/>
  <c r="A888" i="6"/>
  <c r="A885" i="6"/>
  <c r="A858" i="6"/>
  <c r="A831" i="6"/>
  <c r="A804" i="6"/>
  <c r="A777" i="6"/>
  <c r="A750" i="6"/>
  <c r="A723" i="6"/>
  <c r="A696" i="6"/>
  <c r="A672" i="6"/>
  <c r="A669" i="6"/>
  <c r="A642" i="6"/>
  <c r="A645" i="6" s="1"/>
  <c r="A615" i="6"/>
  <c r="A591" i="6"/>
  <c r="A588" i="6"/>
  <c r="A561" i="6"/>
  <c r="A534" i="6"/>
  <c r="A507" i="6"/>
  <c r="A510" i="6" s="1"/>
  <c r="A480" i="6"/>
  <c r="A483" i="6" s="1"/>
  <c r="A453" i="6"/>
  <c r="A426" i="6"/>
  <c r="A399" i="6"/>
  <c r="A372" i="6"/>
  <c r="A375" i="6" s="1"/>
  <c r="A345" i="6"/>
  <c r="A318" i="6"/>
  <c r="A291" i="6"/>
  <c r="A264" i="6"/>
  <c r="A237" i="6"/>
  <c r="A210" i="6"/>
  <c r="A129" i="6"/>
  <c r="A132" i="6" s="1"/>
  <c r="A102" i="6"/>
  <c r="A105" i="6" s="1"/>
  <c r="A75" i="6"/>
  <c r="A48" i="6"/>
  <c r="A21" i="6"/>
  <c r="A24" i="6" s="1"/>
  <c r="A1333" i="4" l="1"/>
  <c r="A1306" i="4"/>
  <c r="A1279" i="4"/>
  <c r="A1198" i="4"/>
  <c r="A1063" i="4"/>
  <c r="A1036" i="4"/>
  <c r="A955" i="4"/>
  <c r="A928" i="4"/>
  <c r="A901" i="4"/>
  <c r="A874" i="4"/>
  <c r="A847" i="4"/>
  <c r="A820" i="4"/>
  <c r="A793" i="4"/>
  <c r="A766" i="4"/>
  <c r="A658" i="4"/>
  <c r="A631" i="4"/>
  <c r="A550" i="4"/>
  <c r="A523" i="4"/>
  <c r="A496" i="4"/>
  <c r="A469" i="4"/>
  <c r="A442" i="4"/>
  <c r="A415" i="4"/>
  <c r="A388" i="4"/>
  <c r="A334" i="4"/>
  <c r="A280" i="4"/>
  <c r="A253" i="4"/>
  <c r="A226" i="4"/>
  <c r="A172" i="4"/>
  <c r="A145" i="4"/>
  <c r="A91" i="4"/>
  <c r="A1330" i="4"/>
  <c r="A1303" i="4"/>
  <c r="A1276" i="4"/>
  <c r="A1060" i="4"/>
  <c r="A925" i="4"/>
  <c r="A493" i="4"/>
  <c r="A385" i="4"/>
  <c r="A223" i="4"/>
  <c r="A1792" i="5"/>
  <c r="A1711" i="5"/>
  <c r="A1657" i="5"/>
  <c r="A1630" i="5"/>
  <c r="A1735" i="5"/>
  <c r="A1006" i="5"/>
  <c r="A439" i="5"/>
  <c r="A250" i="5"/>
  <c r="A1684" i="6" l="1"/>
  <c r="A1495" i="6"/>
  <c r="A631" i="6"/>
  <c r="A1870" i="6"/>
  <c r="A1843" i="6"/>
  <c r="A1789" i="6"/>
  <c r="A1600" i="6"/>
  <c r="A1573" i="6"/>
  <c r="A1546" i="6"/>
  <c r="A1492" i="6"/>
  <c r="A1249" i="6"/>
  <c r="A1114" i="6"/>
  <c r="A979" i="6"/>
  <c r="A844" i="6"/>
  <c r="A709" i="6"/>
  <c r="A682" i="6"/>
  <c r="A628" i="6"/>
  <c r="A493" i="6"/>
  <c r="A496" i="6" s="1"/>
  <c r="A385" i="6"/>
  <c r="A358" i="6"/>
  <c r="A361" i="6" s="1"/>
  <c r="A196" i="6"/>
  <c r="A4357" i="7" l="1"/>
  <c r="A4330" i="7"/>
  <c r="A4303" i="7"/>
  <c r="A4276" i="7"/>
  <c r="A4249" i="7"/>
  <c r="A4222" i="7"/>
  <c r="A4195" i="7"/>
  <c r="A4168" i="7"/>
  <c r="A4141" i="7"/>
  <c r="A4114" i="7"/>
  <c r="A4087" i="7"/>
  <c r="A4060" i="7"/>
  <c r="A4033" i="7"/>
  <c r="A4006" i="7"/>
  <c r="A3979" i="7"/>
  <c r="A3952" i="7"/>
  <c r="A3925" i="7"/>
  <c r="A3898" i="7"/>
  <c r="A3871" i="7"/>
  <c r="A3844" i="7"/>
  <c r="A3817" i="7"/>
  <c r="A3790" i="7"/>
  <c r="A3763" i="7"/>
  <c r="A3736" i="7"/>
  <c r="A3709" i="7"/>
  <c r="A3682" i="7"/>
  <c r="A3655" i="7"/>
  <c r="A3628" i="7"/>
  <c r="A3601" i="7"/>
  <c r="A3574" i="7"/>
  <c r="A3547" i="7"/>
  <c r="A3520" i="7"/>
  <c r="A3493" i="7"/>
  <c r="A3466" i="7"/>
  <c r="A3439" i="7"/>
  <c r="A3412" i="7"/>
  <c r="A3385" i="7"/>
  <c r="A3358" i="7"/>
  <c r="A3331" i="7"/>
  <c r="A3304" i="7"/>
  <c r="A3277" i="7"/>
  <c r="A3250" i="7"/>
  <c r="A3223" i="7"/>
  <c r="A3196" i="7"/>
  <c r="A3169" i="7"/>
  <c r="A3142" i="7"/>
  <c r="A3115" i="7"/>
  <c r="A3088" i="7"/>
  <c r="A3061" i="7"/>
  <c r="A3034" i="7"/>
  <c r="A3007" i="7"/>
  <c r="A2980" i="7"/>
  <c r="A2953" i="7"/>
  <c r="A2926" i="7"/>
  <c r="A2899" i="7"/>
  <c r="A2872" i="7"/>
  <c r="A2845" i="7"/>
  <c r="A2818" i="7"/>
  <c r="A2791" i="7"/>
  <c r="A2764" i="7"/>
  <c r="A2737" i="7"/>
  <c r="A2710" i="7"/>
  <c r="A2683" i="7"/>
  <c r="A2656" i="7"/>
  <c r="A2629" i="7"/>
  <c r="A2602" i="7"/>
  <c r="A2575" i="7"/>
  <c r="A2548" i="7"/>
  <c r="A2521" i="7"/>
  <c r="A2494" i="7"/>
  <c r="A2467" i="7"/>
  <c r="A2440" i="7"/>
  <c r="A2413" i="7"/>
  <c r="A2386" i="7"/>
  <c r="A2359" i="7"/>
  <c r="A2332" i="7"/>
  <c r="A2305" i="7"/>
  <c r="A2278" i="7"/>
  <c r="A2251" i="7"/>
  <c r="A2224" i="7"/>
  <c r="A2197" i="7"/>
  <c r="A2170" i="7"/>
  <c r="A2143" i="7"/>
  <c r="A2116" i="7"/>
  <c r="A2089" i="7"/>
  <c r="A2062" i="7"/>
  <c r="A2035" i="7"/>
  <c r="A2008" i="7"/>
  <c r="A1981" i="7"/>
  <c r="A1954" i="7"/>
  <c r="A1927" i="7"/>
  <c r="A1900" i="7"/>
  <c r="A1873" i="7"/>
  <c r="A1846" i="7"/>
  <c r="A1819" i="7"/>
  <c r="A1792" i="7"/>
  <c r="A1765" i="7"/>
  <c r="A1738" i="7"/>
  <c r="A1711" i="7"/>
  <c r="A1684" i="7"/>
  <c r="A1657" i="7"/>
  <c r="A1630" i="7"/>
  <c r="A1603" i="7"/>
  <c r="A1576" i="7"/>
  <c r="A1549" i="7"/>
  <c r="A1522" i="7"/>
  <c r="A1495" i="7"/>
  <c r="A1468" i="7"/>
  <c r="A1441" i="7"/>
  <c r="A1414" i="7"/>
  <c r="A1387" i="7"/>
  <c r="A1360" i="7"/>
  <c r="A1333" i="7"/>
  <c r="A1306" i="7"/>
  <c r="A1279" i="7"/>
  <c r="A1252" i="7"/>
  <c r="A1225" i="7"/>
  <c r="A1198" i="7"/>
  <c r="A1171" i="7"/>
  <c r="A1144" i="7"/>
  <c r="A1117" i="7"/>
  <c r="A1090" i="7"/>
  <c r="A1063" i="7"/>
  <c r="A1036" i="7"/>
  <c r="A1009" i="7"/>
  <c r="A982" i="7"/>
  <c r="A955" i="7"/>
  <c r="A928" i="7"/>
  <c r="A901" i="7"/>
  <c r="A874" i="7"/>
  <c r="A847" i="7"/>
  <c r="A820" i="7"/>
  <c r="A793" i="7"/>
  <c r="A766" i="7"/>
  <c r="A739" i="7"/>
  <c r="A712" i="7"/>
  <c r="A685" i="7"/>
  <c r="A658" i="7"/>
  <c r="A631" i="7"/>
  <c r="A604" i="7"/>
  <c r="A577" i="7"/>
  <c r="A550" i="7"/>
  <c r="A523" i="7"/>
  <c r="A496" i="7"/>
  <c r="A469" i="7"/>
  <c r="A442" i="7"/>
  <c r="A388" i="7"/>
  <c r="A361" i="7"/>
  <c r="A334" i="7"/>
  <c r="A307" i="7"/>
  <c r="A280" i="7"/>
  <c r="A253" i="7"/>
  <c r="A226" i="7"/>
  <c r="A199" i="7"/>
  <c r="A172" i="7"/>
  <c r="A145" i="7"/>
  <c r="A118" i="7"/>
  <c r="A91" i="7"/>
  <c r="A64" i="7"/>
  <c r="A37" i="7"/>
  <c r="A10" i="7"/>
  <c r="A4354" i="7"/>
  <c r="A4327" i="7"/>
  <c r="A4300" i="7"/>
  <c r="A4138" i="7"/>
  <c r="A4111" i="7"/>
  <c r="A4084" i="7"/>
  <c r="A4057" i="7"/>
  <c r="A4030" i="7"/>
  <c r="A4003" i="7"/>
  <c r="A3976" i="7"/>
  <c r="A3949" i="7"/>
  <c r="A3922" i="7"/>
  <c r="A3895" i="7"/>
  <c r="A3868" i="7"/>
  <c r="A3841" i="7"/>
  <c r="A3814" i="7"/>
  <c r="A3787" i="7"/>
  <c r="A3760" i="7"/>
  <c r="A3733" i="7"/>
  <c r="A3706" i="7"/>
  <c r="A3679" i="7"/>
  <c r="A3652" i="7"/>
  <c r="A3625" i="7"/>
  <c r="A3571" i="7"/>
  <c r="A3544" i="7"/>
  <c r="A3517" i="7"/>
  <c r="A3382" i="7"/>
  <c r="A3355" i="7"/>
  <c r="A3301" i="7"/>
  <c r="A3166" i="7"/>
  <c r="A3139" i="7"/>
  <c r="A2950" i="7"/>
  <c r="A2923" i="7"/>
  <c r="A2896" i="7"/>
  <c r="A2869" i="7"/>
  <c r="A2842" i="7"/>
  <c r="A2815" i="7"/>
  <c r="A2788" i="7"/>
  <c r="A2761" i="7"/>
  <c r="A2734" i="7"/>
  <c r="A2653" i="7"/>
  <c r="A2626" i="7"/>
  <c r="A2599" i="7"/>
  <c r="A2464" i="7"/>
  <c r="A2221" i="7"/>
  <c r="A2194" i="7"/>
  <c r="A1897" i="7"/>
  <c r="A1762" i="7"/>
  <c r="A1735" i="7"/>
  <c r="A1681" i="7"/>
  <c r="A1627" i="7"/>
  <c r="A1465" i="7"/>
  <c r="A1411" i="7"/>
  <c r="A1357" i="7"/>
  <c r="A1195" i="7"/>
  <c r="A1060" i="7"/>
  <c r="A1033" i="7"/>
  <c r="A898" i="7"/>
  <c r="A817" i="7"/>
  <c r="A763" i="7"/>
  <c r="A196" i="7"/>
  <c r="A6679" i="1" l="1"/>
  <c r="A6652" i="1"/>
  <c r="A6625" i="1"/>
  <c r="A6598" i="1"/>
  <c r="A6571" i="1"/>
  <c r="A6544" i="1"/>
  <c r="A6517" i="1"/>
  <c r="A6490" i="1"/>
  <c r="A6463" i="1"/>
  <c r="A6436" i="1"/>
  <c r="A6409" i="1"/>
  <c r="A6382" i="1"/>
  <c r="A6355" i="1"/>
  <c r="A6328" i="1"/>
  <c r="A6301" i="1"/>
  <c r="A6274" i="1"/>
  <c r="A6247" i="1"/>
  <c r="A6220" i="1"/>
  <c r="A6193" i="1"/>
  <c r="A6166" i="1"/>
  <c r="A6139" i="1"/>
  <c r="A6112" i="1"/>
  <c r="A6085" i="1"/>
  <c r="A6058" i="1"/>
  <c r="A6031" i="1"/>
  <c r="A6004" i="1"/>
  <c r="A5977" i="1"/>
  <c r="A5950" i="1"/>
  <c r="A5923" i="1"/>
  <c r="A5896" i="1"/>
  <c r="A5869" i="1"/>
  <c r="A5842" i="1"/>
  <c r="A5815" i="1"/>
  <c r="A5788" i="1"/>
  <c r="A5761" i="1"/>
  <c r="A5734" i="1"/>
  <c r="A5707" i="1"/>
  <c r="A5680" i="1"/>
  <c r="A5653" i="1"/>
  <c r="A5626" i="1"/>
  <c r="A5599" i="1"/>
  <c r="A5572" i="1"/>
  <c r="A5545" i="1"/>
  <c r="A5518" i="1"/>
  <c r="A5491" i="1"/>
  <c r="A5464" i="1"/>
  <c r="A5437" i="1"/>
  <c r="A5410" i="1"/>
  <c r="A5383" i="1"/>
  <c r="A5356" i="1"/>
  <c r="A5329" i="1"/>
  <c r="A5302" i="1"/>
  <c r="A5275" i="1"/>
  <c r="A5248" i="1"/>
  <c r="A5221" i="1"/>
  <c r="A5194" i="1"/>
  <c r="A5167" i="1"/>
  <c r="A5140" i="1"/>
  <c r="A5113" i="1"/>
  <c r="A5086" i="1"/>
  <c r="A5059" i="1"/>
  <c r="A5032" i="1"/>
  <c r="A5005" i="1"/>
  <c r="A4978" i="1"/>
  <c r="A4951" i="1"/>
  <c r="A4924" i="1"/>
  <c r="A4897" i="1"/>
  <c r="A4870" i="1"/>
  <c r="A4843" i="1"/>
  <c r="A4816" i="1"/>
  <c r="A4789" i="1"/>
  <c r="A4762" i="1"/>
  <c r="A4735" i="1"/>
  <c r="A4708" i="1"/>
  <c r="A4681" i="1"/>
  <c r="A4654" i="1"/>
  <c r="A4627" i="1"/>
  <c r="A4600" i="1"/>
  <c r="A4573" i="1"/>
  <c r="A4546" i="1"/>
  <c r="A4519" i="1"/>
  <c r="A4492" i="1"/>
  <c r="A4465" i="1"/>
  <c r="A4438" i="1"/>
  <c r="A4411" i="1"/>
  <c r="A4357" i="1"/>
  <c r="A4330" i="1"/>
  <c r="A4303" i="1"/>
  <c r="A4276" i="1"/>
  <c r="A4249" i="1"/>
  <c r="A4222" i="1"/>
  <c r="A4195" i="1"/>
  <c r="A4168" i="1"/>
  <c r="A4141" i="1"/>
  <c r="A4114" i="1"/>
  <c r="A4087" i="1"/>
  <c r="A4060" i="1"/>
  <c r="A4033" i="1"/>
  <c r="A4006" i="1"/>
  <c r="A3979" i="1"/>
  <c r="A3952" i="1"/>
  <c r="A3925" i="1"/>
  <c r="A3844" i="1"/>
  <c r="A3817" i="1"/>
  <c r="A3763" i="1"/>
  <c r="A3736" i="1"/>
  <c r="A3682" i="1"/>
  <c r="A3655" i="1"/>
  <c r="A3628" i="1"/>
  <c r="A3601" i="1"/>
  <c r="A3574" i="1"/>
  <c r="A3547" i="1"/>
  <c r="A3520" i="1"/>
  <c r="A3493" i="1"/>
  <c r="A3466" i="1"/>
  <c r="A3439" i="1"/>
  <c r="A3412" i="1"/>
  <c r="A3385" i="1"/>
  <c r="A3358" i="1"/>
  <c r="A3331" i="1"/>
  <c r="A3304" i="1"/>
  <c r="A3277" i="1"/>
  <c r="A3250" i="1"/>
  <c r="A3196" i="1"/>
  <c r="A3169" i="1"/>
  <c r="A3142" i="1"/>
  <c r="A3115" i="1"/>
  <c r="A3088" i="1"/>
  <c r="A3061" i="1"/>
  <c r="A3034" i="1"/>
  <c r="A3007" i="1"/>
  <c r="A2980" i="1"/>
  <c r="A2953" i="1"/>
  <c r="A2926" i="1"/>
  <c r="A2899" i="1"/>
  <c r="A2872" i="1"/>
  <c r="A2845" i="1"/>
  <c r="A2818" i="1"/>
  <c r="A2791" i="1"/>
  <c r="A2764" i="1"/>
  <c r="A2737" i="1"/>
  <c r="A2710" i="1"/>
  <c r="A2683" i="1"/>
  <c r="A2656" i="1"/>
  <c r="A2629" i="1"/>
  <c r="A2602" i="1"/>
  <c r="A2575" i="1"/>
  <c r="A2548" i="1"/>
  <c r="A2521" i="1"/>
  <c r="A2494" i="1"/>
  <c r="A2467" i="1"/>
  <c r="A2440" i="1"/>
  <c r="A2413" i="1"/>
  <c r="A2386" i="1"/>
  <c r="A2359" i="1"/>
  <c r="A2332" i="1"/>
  <c r="A2305" i="1"/>
  <c r="A2278" i="1"/>
  <c r="A2251" i="1"/>
  <c r="A2224" i="1"/>
  <c r="A2197" i="1"/>
  <c r="A2170" i="1"/>
  <c r="A2143" i="1"/>
  <c r="A2116" i="1"/>
  <c r="A2089" i="1"/>
  <c r="A2008" i="1"/>
  <c r="A1981" i="1"/>
  <c r="A1927" i="1"/>
  <c r="A1900" i="1"/>
  <c r="A1873" i="1"/>
  <c r="A1846" i="1"/>
  <c r="A1819" i="1"/>
  <c r="A1792" i="1"/>
  <c r="A1765" i="1"/>
  <c r="A1738" i="1"/>
  <c r="A1711" i="1"/>
  <c r="A1684" i="1"/>
  <c r="A1657" i="1"/>
  <c r="A1630" i="1"/>
  <c r="A1603" i="1"/>
  <c r="A1576" i="1"/>
  <c r="A1549" i="1"/>
  <c r="A1522" i="1"/>
  <c r="A1495" i="1"/>
  <c r="A1468" i="1"/>
  <c r="A1441" i="1"/>
  <c r="A1414" i="1"/>
  <c r="A1387" i="1"/>
  <c r="A1360" i="1"/>
  <c r="A1333" i="1"/>
  <c r="A1306" i="1"/>
  <c r="A1279" i="1"/>
  <c r="A1252" i="1"/>
  <c r="A1225" i="1"/>
  <c r="A1198" i="1"/>
  <c r="A1171" i="1"/>
  <c r="A1144" i="1"/>
  <c r="A1117" i="1"/>
  <c r="A1090" i="1"/>
  <c r="A1063" i="1"/>
  <c r="A1036" i="1"/>
  <c r="A1009" i="1"/>
  <c r="A982" i="1"/>
  <c r="A955" i="1"/>
  <c r="A928" i="1"/>
  <c r="A901" i="1"/>
  <c r="A847" i="1"/>
  <c r="A793" i="1"/>
  <c r="A766" i="1"/>
  <c r="A739" i="1"/>
  <c r="A712" i="1"/>
  <c r="A685" i="1"/>
  <c r="A631" i="1"/>
  <c r="A604" i="1"/>
  <c r="A523" i="1"/>
  <c r="A442" i="1"/>
  <c r="A415" i="1"/>
  <c r="A361" i="1"/>
  <c r="A334" i="1"/>
  <c r="A280" i="1"/>
  <c r="A253" i="1"/>
  <c r="A226" i="1"/>
  <c r="A199" i="1"/>
  <c r="A172" i="1"/>
  <c r="A118" i="1"/>
  <c r="A64" i="1"/>
  <c r="A10" i="1"/>
  <c r="A5947" i="1"/>
  <c r="A5623" i="1"/>
  <c r="A4786" i="1"/>
  <c r="A4759" i="1"/>
  <c r="A4732" i="1"/>
  <c r="A4651" i="1"/>
  <c r="A4597" i="1"/>
  <c r="A4570" i="1"/>
  <c r="A4543" i="1"/>
  <c r="A4516" i="1"/>
  <c r="A4246" i="1"/>
  <c r="A4111" i="1"/>
  <c r="A4057" i="1"/>
  <c r="A4003" i="1"/>
  <c r="A3976" i="1"/>
  <c r="A3841" i="1"/>
  <c r="A3652" i="1"/>
  <c r="A3571" i="1"/>
  <c r="A3544" i="1"/>
  <c r="A3247" i="1"/>
  <c r="A3139" i="1"/>
  <c r="A3085" i="1"/>
  <c r="A3031" i="1"/>
  <c r="A2734" i="1"/>
  <c r="A2086" i="1"/>
  <c r="A1276" i="1"/>
  <c r="A1141" i="1"/>
  <c r="A1087" i="1"/>
  <c r="A1033" i="1"/>
  <c r="A1006" i="1"/>
  <c r="A763" i="1"/>
  <c r="A736" i="1"/>
  <c r="A682" i="1"/>
  <c r="A1249" i="1"/>
  <c r="A1499" i="9"/>
  <c r="C70" i="13" l="1"/>
  <c r="E70" i="13"/>
  <c r="A6690" i="1"/>
  <c r="A6663" i="1"/>
  <c r="A6636" i="1"/>
  <c r="A6609" i="1"/>
  <c r="A6582" i="1"/>
  <c r="A6555" i="1"/>
  <c r="A6528" i="1"/>
  <c r="A6531" i="1" s="1"/>
  <c r="A6501" i="1"/>
  <c r="A6504" i="1" s="1"/>
  <c r="A6474" i="1"/>
  <c r="A6447" i="1"/>
  <c r="A6420" i="1"/>
  <c r="A6393" i="1"/>
  <c r="A6366" i="1"/>
  <c r="A6339" i="1"/>
  <c r="A6342" i="1" s="1"/>
  <c r="A6312" i="1"/>
  <c r="A6285" i="1"/>
  <c r="A6258" i="1"/>
  <c r="A6261" i="1" s="1"/>
  <c r="A6231" i="1"/>
  <c r="A6234" i="1" s="1"/>
  <c r="A6204" i="1"/>
  <c r="A6177" i="1"/>
  <c r="A6150" i="1"/>
  <c r="A6123" i="1"/>
  <c r="A6096" i="1"/>
  <c r="A6099" i="1" s="1"/>
  <c r="A6069" i="1"/>
  <c r="A6072" i="1" s="1"/>
  <c r="A6042" i="1"/>
  <c r="A6015" i="1"/>
  <c r="A5988" i="1"/>
  <c r="A5934" i="1"/>
  <c r="A5907" i="1"/>
  <c r="A5880" i="1"/>
  <c r="A5883" i="1" s="1"/>
  <c r="A5853" i="1"/>
  <c r="A5856" i="1" s="1"/>
  <c r="A5826" i="1"/>
  <c r="A5829" i="1" s="1"/>
  <c r="A5799" i="1"/>
  <c r="A5772" i="1"/>
  <c r="A5745" i="1"/>
  <c r="A5691" i="1"/>
  <c r="A5664" i="1"/>
  <c r="A5667" i="1" s="1"/>
  <c r="A5610" i="1"/>
  <c r="A5583" i="1"/>
  <c r="A5556" i="1"/>
  <c r="A5529" i="1"/>
  <c r="A5502" i="1"/>
  <c r="A5505" i="1" s="1"/>
  <c r="A5475" i="1"/>
  <c r="A5448" i="1"/>
  <c r="A5421" i="1"/>
  <c r="A5394" i="1"/>
  <c r="A5367" i="1"/>
  <c r="A5340" i="1"/>
  <c r="A5313" i="1"/>
  <c r="A5316" i="1" s="1"/>
  <c r="A5286" i="1"/>
  <c r="A5289" i="1" s="1"/>
  <c r="A5259" i="1"/>
  <c r="A5232" i="1"/>
  <c r="A5235" i="1" s="1"/>
  <c r="A5205" i="1"/>
  <c r="A5208" i="1" s="1"/>
  <c r="A5178" i="1"/>
  <c r="A5151" i="1"/>
  <c r="A5124" i="1"/>
  <c r="A5097" i="1"/>
  <c r="A5070" i="1"/>
  <c r="A5073" i="1" s="1"/>
  <c r="A5043" i="1"/>
  <c r="A5046" i="1" s="1"/>
  <c r="A5016" i="1"/>
  <c r="A4989" i="1"/>
  <c r="A4962" i="1"/>
  <c r="A4965" i="1" s="1"/>
  <c r="A4935" i="1"/>
  <c r="A4938" i="1" s="1"/>
  <c r="A4908" i="1"/>
  <c r="A4911" i="1" s="1"/>
  <c r="A4854" i="1"/>
  <c r="A4827" i="1"/>
  <c r="A4830" i="1" s="1"/>
  <c r="A4719" i="1"/>
  <c r="A4692" i="1"/>
  <c r="A4638" i="1"/>
  <c r="A4641" i="1" s="1"/>
  <c r="A4584" i="1"/>
  <c r="A4587" i="1" s="1"/>
  <c r="A4503" i="1"/>
  <c r="A4476" i="1"/>
  <c r="A4479" i="1" s="1"/>
  <c r="A4449" i="1"/>
  <c r="A4422" i="1"/>
  <c r="A4395" i="1"/>
  <c r="A4398" i="1" s="1"/>
  <c r="A4341" i="1"/>
  <c r="A4314" i="1"/>
  <c r="A4317" i="1" s="1"/>
  <c r="A4287" i="1"/>
  <c r="A4233" i="1"/>
  <c r="A4206" i="1"/>
  <c r="A4179" i="1"/>
  <c r="A4152" i="1"/>
  <c r="A4098" i="1"/>
  <c r="A4044" i="1"/>
  <c r="A4047" i="1" s="1"/>
  <c r="A3963" i="1"/>
  <c r="A3936" i="1"/>
  <c r="A3909" i="1"/>
  <c r="A3912" i="1" s="1"/>
  <c r="A3882" i="1"/>
  <c r="A3885" i="1" s="1"/>
  <c r="A3828" i="1"/>
  <c r="A3801" i="1"/>
  <c r="A3804" i="1" s="1"/>
  <c r="A3774" i="1"/>
  <c r="A3777" i="1" s="1"/>
  <c r="A3747" i="1"/>
  <c r="A3750" i="1" s="1"/>
  <c r="A3720" i="1"/>
  <c r="A3723" i="1" s="1"/>
  <c r="A3693" i="1"/>
  <c r="A3696" i="1" s="1"/>
  <c r="A3639" i="1"/>
  <c r="A3642" i="1" s="1"/>
  <c r="A3612" i="1"/>
  <c r="A3531" i="1"/>
  <c r="A3504" i="1"/>
  <c r="A3507" i="1" s="1"/>
  <c r="A3477" i="1"/>
  <c r="A3450" i="1"/>
  <c r="A3423" i="1"/>
  <c r="A3426" i="1" s="1"/>
  <c r="A3396" i="1"/>
  <c r="A3369" i="1"/>
  <c r="A3355" i="1"/>
  <c r="A3342" i="1"/>
  <c r="A3315" i="1"/>
  <c r="A3288" i="1"/>
  <c r="A3234" i="1"/>
  <c r="A3237" i="1" s="1"/>
  <c r="A3207" i="1"/>
  <c r="A3210" i="1" s="1"/>
  <c r="A3180" i="1"/>
  <c r="A3126" i="1"/>
  <c r="A3072" i="1"/>
  <c r="A3018" i="1"/>
  <c r="A2991" i="1"/>
  <c r="A2964" i="1"/>
  <c r="A2937" i="1"/>
  <c r="A2910" i="1"/>
  <c r="A2883" i="1"/>
  <c r="A2856" i="1"/>
  <c r="A2829" i="1"/>
  <c r="A2802" i="1"/>
  <c r="A2775" i="1"/>
  <c r="A2721" i="1"/>
  <c r="A2694" i="1"/>
  <c r="A2670" i="1"/>
  <c r="A2640" i="1"/>
  <c r="A2613" i="1"/>
  <c r="A2616" i="1" s="1"/>
  <c r="A2586" i="1"/>
  <c r="A2559" i="1"/>
  <c r="A2532" i="1"/>
  <c r="A2505" i="1"/>
  <c r="A2478" i="1"/>
  <c r="A2481" i="1" s="1"/>
  <c r="A2451" i="1"/>
  <c r="A2424" i="1"/>
  <c r="A2427" i="1" s="1"/>
  <c r="A2397" i="1"/>
  <c r="A2370" i="1"/>
  <c r="A2373" i="1" s="1"/>
  <c r="A2343" i="1"/>
  <c r="A2346" i="1" s="1"/>
  <c r="A2316" i="1"/>
  <c r="A2289" i="1"/>
  <c r="A2262" i="1"/>
  <c r="A2235" i="1"/>
  <c r="A2208" i="1"/>
  <c r="A2181" i="1"/>
  <c r="A2154" i="1"/>
  <c r="A2127" i="1"/>
  <c r="A2073" i="1"/>
  <c r="A2076" i="1" s="1"/>
  <c r="A2046" i="1"/>
  <c r="A2049" i="1" s="1"/>
  <c r="A2019" i="1"/>
  <c r="A2022" i="1" s="1"/>
  <c r="A1992" i="1"/>
  <c r="A1965" i="1"/>
  <c r="A1968" i="1" s="1"/>
  <c r="A1938" i="1"/>
  <c r="A1941" i="1" s="1"/>
  <c r="A1911" i="1"/>
  <c r="A1914" i="1" s="1"/>
  <c r="A1884" i="1"/>
  <c r="A1857" i="1"/>
  <c r="A1830" i="1"/>
  <c r="A1833" i="1" s="1"/>
  <c r="A1803" i="1"/>
  <c r="A1776" i="1"/>
  <c r="A1749" i="1"/>
  <c r="A1722" i="1"/>
  <c r="A1725" i="1" s="1"/>
  <c r="A1695" i="1"/>
  <c r="A1698" i="1" s="1"/>
  <c r="A1668" i="1"/>
  <c r="A1671" i="1" s="1"/>
  <c r="A1641" i="1"/>
  <c r="A1614" i="1"/>
  <c r="A1587" i="1"/>
  <c r="A1590" i="1" s="1"/>
  <c r="A1560" i="1"/>
  <c r="A1563" i="1" s="1"/>
  <c r="A1533" i="1"/>
  <c r="A1536" i="1" s="1"/>
  <c r="A1506" i="1"/>
  <c r="A1509" i="1" s="1"/>
  <c r="A1479" i="1"/>
  <c r="A1482" i="1" s="1"/>
  <c r="A1452" i="1"/>
  <c r="A1425" i="1"/>
  <c r="A1398" i="1"/>
  <c r="A1401" i="1" s="1"/>
  <c r="A1371" i="1"/>
  <c r="A1344" i="1"/>
  <c r="A1317" i="1"/>
  <c r="A1263" i="1"/>
  <c r="A1266" i="1" s="1"/>
  <c r="A1236" i="1"/>
  <c r="A1209" i="1"/>
  <c r="A1182" i="1"/>
  <c r="A1128" i="1"/>
  <c r="A1074" i="1"/>
  <c r="A993" i="1"/>
  <c r="A996" i="1" s="1"/>
  <c r="A966" i="1"/>
  <c r="A939" i="1"/>
  <c r="A912" i="1"/>
  <c r="A885" i="1"/>
  <c r="A888" i="1" s="1"/>
  <c r="A858" i="1"/>
  <c r="A831" i="1"/>
  <c r="A834" i="1" s="1"/>
  <c r="A804" i="1"/>
  <c r="A723" i="1"/>
  <c r="A669" i="1"/>
  <c r="A672" i="1" s="1"/>
  <c r="A642" i="1"/>
  <c r="A615" i="1"/>
  <c r="A588" i="1"/>
  <c r="A591" i="1" s="1"/>
  <c r="A561" i="1"/>
  <c r="A564" i="1" s="1"/>
  <c r="A534" i="1"/>
  <c r="A507" i="1"/>
  <c r="A510" i="1" s="1"/>
  <c r="A453" i="1"/>
  <c r="A426" i="1"/>
  <c r="A264" i="1"/>
  <c r="A250" i="1"/>
  <c r="A399" i="1"/>
  <c r="A402" i="1" s="1"/>
  <c r="A372" i="1"/>
  <c r="A345" i="1"/>
  <c r="A318" i="1"/>
  <c r="A321" i="1" s="1"/>
  <c r="A291" i="1"/>
  <c r="A294" i="1" s="1"/>
  <c r="A237" i="1"/>
  <c r="A210" i="1"/>
  <c r="A183" i="1"/>
  <c r="A169" i="1"/>
  <c r="A156" i="1"/>
  <c r="A159" i="1" s="1"/>
  <c r="A129" i="1"/>
  <c r="A102" i="1"/>
  <c r="A105" i="1" s="1"/>
  <c r="A75" i="1"/>
  <c r="A48" i="1"/>
  <c r="A51" i="1" s="1"/>
  <c r="A21" i="1"/>
  <c r="A24" i="1" s="1"/>
  <c r="A4368" i="7"/>
  <c r="A4344" i="7"/>
  <c r="A4287" i="7"/>
  <c r="A4260" i="7"/>
  <c r="A4263" i="7" s="1"/>
  <c r="A4233" i="7"/>
  <c r="A4206" i="7"/>
  <c r="A4179" i="7"/>
  <c r="A4182" i="7" s="1"/>
  <c r="A4152" i="7"/>
  <c r="A3855" i="7"/>
  <c r="A3828" i="7"/>
  <c r="A3774" i="7"/>
  <c r="A3720" i="7"/>
  <c r="A3612" i="7"/>
  <c r="A3615" i="7" s="1"/>
  <c r="A3504" i="7"/>
  <c r="A3507" i="7" s="1"/>
  <c r="A3450" i="7"/>
  <c r="A3423" i="7"/>
  <c r="A3342" i="7"/>
  <c r="A3288" i="7"/>
  <c r="A3261" i="7"/>
  <c r="A3234" i="7"/>
  <c r="A3207" i="7"/>
  <c r="A3126" i="7"/>
  <c r="A3099" i="7"/>
  <c r="A3072" i="7"/>
  <c r="A3045" i="7"/>
  <c r="A3048" i="7" s="1"/>
  <c r="A3018" i="7"/>
  <c r="A3021" i="7" s="1"/>
  <c r="A2991" i="7"/>
  <c r="A2964" i="7"/>
  <c r="A2967" i="7" s="1"/>
  <c r="A2910" i="7"/>
  <c r="A2721" i="7"/>
  <c r="A2694" i="7"/>
  <c r="A2613" i="7"/>
  <c r="A2586" i="7"/>
  <c r="A2589" i="7" s="1"/>
  <c r="A2559" i="7"/>
  <c r="A2532" i="7"/>
  <c r="A2505" i="7"/>
  <c r="A2508" i="7" s="1"/>
  <c r="A2451" i="7"/>
  <c r="A2454" i="7" s="1"/>
  <c r="A2424" i="7"/>
  <c r="A2427" i="7" s="1"/>
  <c r="A2397" i="7"/>
  <c r="A2370" i="7" l="1"/>
  <c r="A2343" i="7"/>
  <c r="A2316" i="7"/>
  <c r="A2289" i="7"/>
  <c r="A2292" i="7" s="1"/>
  <c r="A2262" i="7"/>
  <c r="A2181" i="7"/>
  <c r="A2154" i="7"/>
  <c r="A2127" i="7"/>
  <c r="A2130" i="7" s="1"/>
  <c r="A2100" i="7"/>
  <c r="A2073" i="7"/>
  <c r="A2046" i="7"/>
  <c r="A2049" i="7" s="1"/>
  <c r="A2019" i="7"/>
  <c r="A1992" i="7"/>
  <c r="A1965" i="7"/>
  <c r="A1938" i="7"/>
  <c r="A1884" i="7"/>
  <c r="A1887" i="7" s="1"/>
  <c r="A1857" i="7"/>
  <c r="A1830" i="7"/>
  <c r="A1803" i="7"/>
  <c r="A1722" i="7"/>
  <c r="A1668" i="7"/>
  <c r="A1614" i="7"/>
  <c r="A1587" i="7"/>
  <c r="A1590" i="7" s="1"/>
  <c r="A1560" i="7"/>
  <c r="A1563" i="7" s="1"/>
  <c r="A1398" i="7"/>
  <c r="A1344" i="7"/>
  <c r="A1347" i="7" s="1"/>
  <c r="A1317" i="7"/>
  <c r="A1320" i="7" s="1"/>
  <c r="A1293" i="7"/>
  <c r="A1290" i="7"/>
  <c r="A1263" i="7"/>
  <c r="A1236" i="7"/>
  <c r="A1212" i="7"/>
  <c r="A1182" i="7"/>
  <c r="A1155" i="7"/>
  <c r="A1128" i="7"/>
  <c r="A1101" i="7"/>
  <c r="A1020" i="7"/>
  <c r="A993" i="7"/>
  <c r="A996" i="7" s="1"/>
  <c r="A966" i="7"/>
  <c r="A939" i="7"/>
  <c r="A885" i="7"/>
  <c r="A858" i="7"/>
  <c r="A777" i="7"/>
  <c r="A750" i="7"/>
  <c r="A723" i="7"/>
  <c r="A726" i="7" s="1"/>
  <c r="A696" i="7"/>
  <c r="A669" i="7"/>
  <c r="A642" i="7"/>
  <c r="A615" i="7"/>
  <c r="A588" i="7"/>
  <c r="A561" i="7"/>
  <c r="A564" i="7" s="1"/>
  <c r="A534" i="7"/>
  <c r="A537" i="7" s="1"/>
  <c r="A507" i="7"/>
  <c r="A480" i="7"/>
  <c r="A453" i="7"/>
  <c r="A426" i="7"/>
  <c r="A429" i="7" s="1"/>
  <c r="A399" i="7"/>
  <c r="A402" i="7" s="1"/>
  <c r="A372" i="7"/>
  <c r="A345" i="7"/>
  <c r="A318" i="7"/>
  <c r="A291" i="7"/>
  <c r="A264" i="7"/>
  <c r="A237" i="7"/>
  <c r="A183" i="7"/>
  <c r="A186" i="7" s="1"/>
  <c r="A156" i="7"/>
  <c r="A129" i="7"/>
  <c r="A102" i="7"/>
  <c r="A75" i="7"/>
  <c r="A48" i="7"/>
  <c r="A21" i="7"/>
  <c r="A1263" i="4"/>
  <c r="A1266" i="4" s="1"/>
  <c r="A1236" i="4"/>
  <c r="A1239" i="4" s="1"/>
  <c r="A1209" i="4"/>
  <c r="A1182" i="4"/>
  <c r="A1185" i="4" s="1"/>
  <c r="A1155" i="4"/>
  <c r="A1158" i="4" s="1"/>
  <c r="A1128" i="4"/>
  <c r="A1131" i="4" s="1"/>
  <c r="A1101" i="4"/>
  <c r="A1104" i="4" s="1"/>
  <c r="A1047" i="4"/>
  <c r="A1020" i="4"/>
  <c r="A1023" i="4" s="1"/>
  <c r="A993" i="4"/>
  <c r="A996" i="4" s="1"/>
  <c r="A966" i="4"/>
  <c r="A969" i="4" s="1"/>
  <c r="A915" i="4"/>
  <c r="A885" i="4"/>
  <c r="A858" i="4"/>
  <c r="A831" i="4"/>
  <c r="A804" i="4"/>
  <c r="A777" i="4"/>
  <c r="A750" i="4"/>
  <c r="A753" i="4" s="1"/>
  <c r="A723" i="4"/>
  <c r="A726" i="4" s="1"/>
  <c r="A669" i="4"/>
  <c r="A642" i="4"/>
  <c r="A561" i="4"/>
  <c r="A534" i="4"/>
  <c r="A537" i="4" s="1"/>
  <c r="A480" i="4"/>
  <c r="A483" i="4" s="1"/>
  <c r="A453" i="4"/>
  <c r="A426" i="4"/>
  <c r="A372" i="4"/>
  <c r="A375" i="4" s="1"/>
  <c r="A345" i="4"/>
  <c r="A318" i="4"/>
  <c r="A321" i="4" s="1"/>
  <c r="A291" i="4"/>
  <c r="A264" i="4"/>
  <c r="A210" i="4"/>
  <c r="A213" i="4" s="1"/>
  <c r="A183" i="4"/>
  <c r="A156" i="4"/>
  <c r="A129" i="4"/>
  <c r="A132" i="4" s="1"/>
  <c r="A102" i="4"/>
  <c r="A75" i="4"/>
  <c r="A78" i="4" s="1"/>
  <c r="A48" i="4"/>
  <c r="A51" i="4" s="1"/>
  <c r="A21" i="4"/>
  <c r="A24" i="4" s="1"/>
  <c r="A1911" i="5"/>
  <c r="A1914" i="5" s="1"/>
  <c r="A1884" i="5"/>
  <c r="A1887" i="5" s="1"/>
  <c r="A1857" i="5"/>
  <c r="A1860" i="5" s="1"/>
  <c r="A1830" i="5"/>
  <c r="A1833" i="5" s="1"/>
  <c r="A1803" i="5"/>
  <c r="A1776" i="5"/>
  <c r="A1779" i="5" s="1"/>
  <c r="A1752" i="5"/>
  <c r="A1722" i="5"/>
  <c r="A1695" i="5"/>
  <c r="A1698" i="5" s="1"/>
  <c r="A1668" i="5"/>
  <c r="A1641" i="5"/>
  <c r="A1614" i="5"/>
  <c r="A1617" i="5" s="1"/>
  <c r="A939" i="5"/>
  <c r="A1695" i="6"/>
  <c r="A736" i="4" l="1"/>
  <c r="A1060" i="5"/>
  <c r="A1951" i="6"/>
  <c r="A1681" i="6"/>
  <c r="A1357" i="6"/>
  <c r="A1360" i="6" s="1"/>
  <c r="A1060" i="6"/>
  <c r="A4219" i="7"/>
  <c r="A4165" i="7"/>
  <c r="A3598" i="7"/>
  <c r="A3274" i="7"/>
  <c r="A2680" i="7"/>
  <c r="A2572" i="7"/>
  <c r="A2248" i="7"/>
  <c r="A1222" i="7"/>
  <c r="A6649" i="1" l="1"/>
  <c r="A6325" i="1"/>
  <c r="A4840" i="1"/>
  <c r="A3814" i="1"/>
  <c r="A2923" i="1"/>
  <c r="A2815" i="1"/>
  <c r="A1222" i="1"/>
  <c r="A790" i="1"/>
  <c r="A4678" i="1"/>
  <c r="A2598" i="12"/>
  <c r="A2600" i="12" s="1"/>
  <c r="A2582" i="12"/>
  <c r="A2584" i="12" s="1"/>
  <c r="A1141" i="10" l="1"/>
  <c r="A1143" i="10" s="1"/>
  <c r="A1110" i="10"/>
  <c r="A1112" i="10" s="1"/>
  <c r="A1079" i="10"/>
  <c r="A1081" i="10" s="1"/>
  <c r="A1048" i="10"/>
  <c r="A1050" i="10" s="1"/>
  <c r="A1017" i="10"/>
  <c r="A1019" i="10" s="1"/>
  <c r="A986" i="10"/>
  <c r="A988" i="10" s="1"/>
  <c r="A955" i="10"/>
  <c r="A957" i="10" s="1"/>
  <c r="A924" i="10"/>
  <c r="A926" i="10" s="1"/>
  <c r="A893" i="10"/>
  <c r="A895" i="10" s="1"/>
  <c r="A862" i="10"/>
  <c r="A864" i="10" s="1"/>
  <c r="A831" i="10"/>
  <c r="A833" i="10" s="1"/>
  <c r="A800" i="10"/>
  <c r="A802" i="10" s="1"/>
  <c r="A769" i="10"/>
  <c r="A771" i="10" s="1"/>
  <c r="A738" i="10"/>
  <c r="A740" i="10" s="1"/>
  <c r="A707" i="10"/>
  <c r="A709" i="10" s="1"/>
  <c r="A676" i="10"/>
  <c r="A678" i="10" s="1"/>
  <c r="A645" i="10"/>
  <c r="A647" i="10" s="1"/>
  <c r="A614" i="10"/>
  <c r="A616" i="10" s="1"/>
  <c r="A583" i="10"/>
  <c r="A585" i="10" s="1"/>
  <c r="A521" i="10"/>
  <c r="A523" i="10" s="1"/>
  <c r="A490" i="10"/>
  <c r="A492" i="10" s="1"/>
  <c r="A459" i="10"/>
  <c r="A461" i="10" s="1"/>
  <c r="A428" i="10"/>
  <c r="A430" i="10" s="1"/>
  <c r="A397" i="10"/>
  <c r="A399" i="10" s="1"/>
  <c r="A366" i="10"/>
  <c r="A368" i="10" s="1"/>
  <c r="A335" i="10"/>
  <c r="A337" i="10" s="1"/>
  <c r="A304" i="10"/>
  <c r="A306" i="10" s="1"/>
  <c r="A273" i="10"/>
  <c r="A275" i="10" s="1"/>
  <c r="A242" i="10"/>
  <c r="A244" i="10" s="1"/>
  <c r="A211" i="10"/>
  <c r="A213" i="10" s="1"/>
  <c r="A180" i="10"/>
  <c r="A182" i="10" s="1"/>
  <c r="A149" i="10"/>
  <c r="A151" i="10" s="1"/>
  <c r="A118" i="10"/>
  <c r="A120" i="10" s="1"/>
  <c r="A87" i="10"/>
  <c r="A89" i="10" s="1"/>
  <c r="A56" i="10"/>
  <c r="A58" i="10" s="1"/>
  <c r="A25" i="10"/>
  <c r="A27" i="10" s="1"/>
  <c r="A2133" i="11"/>
  <c r="A2135" i="11" s="1"/>
  <c r="A2102" i="11"/>
  <c r="A2104" i="11" s="1"/>
  <c r="A2071" i="11"/>
  <c r="A2073" i="11" s="1"/>
  <c r="A2040" i="11"/>
  <c r="A2042" i="11" s="1"/>
  <c r="A2009" i="11"/>
  <c r="A2011" i="11" s="1"/>
  <c r="A1978" i="11"/>
  <c r="A1980" i="11" s="1"/>
  <c r="A1947" i="11"/>
  <c r="A1949" i="11" s="1"/>
  <c r="A1916" i="11"/>
  <c r="A1918" i="11" s="1"/>
  <c r="A1885" i="11"/>
  <c r="A1887" i="11" s="1"/>
  <c r="A1854" i="11"/>
  <c r="A1856" i="11" s="1"/>
  <c r="A1792" i="11"/>
  <c r="A1794" i="11" s="1"/>
  <c r="A1761" i="11"/>
  <c r="A1763" i="11" s="1"/>
  <c r="A1699" i="11"/>
  <c r="A1701" i="11" s="1"/>
  <c r="A1637" i="11"/>
  <c r="A1639" i="11" s="1"/>
  <c r="A1606" i="11"/>
  <c r="A1608" i="11" s="1"/>
  <c r="A1575" i="11"/>
  <c r="A1577" i="11" s="1"/>
  <c r="A1544" i="11"/>
  <c r="A1546" i="11" s="1"/>
  <c r="A1513" i="11"/>
  <c r="A1515" i="11" s="1"/>
  <c r="A1482" i="11"/>
  <c r="A1484" i="11" s="1"/>
  <c r="A1451" i="11"/>
  <c r="A1453" i="11" s="1"/>
  <c r="A1420" i="11"/>
  <c r="A1422" i="11" s="1"/>
  <c r="A1389" i="11"/>
  <c r="A1391" i="11" s="1"/>
  <c r="A1358" i="11"/>
  <c r="A1360" i="11" s="1"/>
  <c r="A1327" i="11"/>
  <c r="A1329" i="11" s="1"/>
  <c r="A1296" i="11"/>
  <c r="A1298" i="11" s="1"/>
  <c r="A1265" i="11"/>
  <c r="A1267" i="11" s="1"/>
  <c r="A1234" i="11"/>
  <c r="A1236" i="11" s="1"/>
  <c r="A1203" i="11"/>
  <c r="A1205" i="11" s="1"/>
  <c r="A1172" i="11"/>
  <c r="A1174" i="11" s="1"/>
  <c r="A1141" i="11"/>
  <c r="A1143" i="11" s="1"/>
  <c r="A1110" i="11"/>
  <c r="A1112" i="11" s="1"/>
  <c r="A1079" i="11"/>
  <c r="A1081" i="11" s="1"/>
  <c r="A1048" i="11"/>
  <c r="A1050" i="11" s="1"/>
  <c r="A1017" i="11"/>
  <c r="A1019" i="11" s="1"/>
  <c r="A986" i="11"/>
  <c r="A988" i="11" s="1"/>
  <c r="A955" i="11"/>
  <c r="A957" i="11" s="1"/>
  <c r="A924" i="11"/>
  <c r="A926" i="11" s="1"/>
  <c r="A893" i="11"/>
  <c r="A895" i="11" s="1"/>
  <c r="A862" i="11"/>
  <c r="A864" i="11" s="1"/>
  <c r="A831" i="11"/>
  <c r="A833" i="11" s="1"/>
  <c r="A800" i="11"/>
  <c r="A802" i="11" s="1"/>
  <c r="A769" i="11"/>
  <c r="A771" i="11" s="1"/>
  <c r="A738" i="11"/>
  <c r="A740" i="11" s="1"/>
  <c r="A707" i="11"/>
  <c r="A709" i="11" s="1"/>
  <c r="A676" i="11"/>
  <c r="A678" i="11" s="1"/>
  <c r="A645" i="11"/>
  <c r="A647" i="11" s="1"/>
  <c r="A614" i="11"/>
  <c r="A616" i="11" s="1"/>
  <c r="A583" i="11"/>
  <c r="A585" i="11" s="1"/>
  <c r="A552" i="11"/>
  <c r="A554" i="11" s="1"/>
  <c r="A521" i="11"/>
  <c r="A523" i="11" s="1"/>
  <c r="A490" i="11"/>
  <c r="A492" i="11" s="1"/>
  <c r="A459" i="11"/>
  <c r="A461" i="11" s="1"/>
  <c r="A428" i="11"/>
  <c r="A430" i="11" s="1"/>
  <c r="A397" i="11"/>
  <c r="A399" i="11" s="1"/>
  <c r="A366" i="11"/>
  <c r="A368" i="11" s="1"/>
  <c r="A335" i="11"/>
  <c r="A337" i="11" s="1"/>
  <c r="A304" i="11"/>
  <c r="A306" i="11" s="1"/>
  <c r="A273" i="11"/>
  <c r="A275" i="11" s="1"/>
  <c r="A242" i="11"/>
  <c r="A244" i="11" s="1"/>
  <c r="A211" i="11"/>
  <c r="A213" i="11" s="1"/>
  <c r="A180" i="11"/>
  <c r="A182" i="11" s="1"/>
  <c r="A149" i="11"/>
  <c r="A151" i="11" s="1"/>
  <c r="A118" i="11"/>
  <c r="A120" i="11" s="1"/>
  <c r="A87" i="11"/>
  <c r="A89" i="11" s="1"/>
  <c r="A56" i="11"/>
  <c r="A58" i="11" s="1"/>
  <c r="A25" i="11"/>
  <c r="A27" i="11" s="1"/>
  <c r="A1792" i="9"/>
  <c r="A1794" i="9" s="1"/>
  <c r="A1730" i="9"/>
  <c r="A1732" i="9" s="1"/>
  <c r="A1699" i="9"/>
  <c r="A1701" i="9" s="1"/>
  <c r="A1668" i="9"/>
  <c r="A1670" i="9" s="1"/>
  <c r="A1637" i="9"/>
  <c r="A1639" i="9" s="1"/>
  <c r="A1606" i="9"/>
  <c r="A1608" i="9" s="1"/>
  <c r="A1575" i="9"/>
  <c r="A1577" i="9" s="1"/>
  <c r="A1544" i="9"/>
  <c r="A1546" i="9" s="1"/>
  <c r="A1513" i="9"/>
  <c r="A1482" i="9"/>
  <c r="A1484" i="9" s="1"/>
  <c r="A1451" i="9"/>
  <c r="A1453" i="9" s="1"/>
  <c r="A1420" i="9"/>
  <c r="A1422" i="9" s="1"/>
  <c r="A1389" i="9"/>
  <c r="A1391" i="9" s="1"/>
  <c r="A1358" i="9"/>
  <c r="A1360" i="9" s="1"/>
  <c r="A1327" i="9"/>
  <c r="A1329" i="9" s="1"/>
  <c r="A1296" i="9"/>
  <c r="A1298" i="9" s="1"/>
  <c r="A1265" i="9"/>
  <c r="A1267" i="9" s="1"/>
  <c r="A1234" i="9"/>
  <c r="A1236" i="9" s="1"/>
  <c r="A1172" i="9"/>
  <c r="A1174" i="9" s="1"/>
  <c r="A1141" i="9"/>
  <c r="A1143" i="9" s="1"/>
  <c r="A1110" i="9"/>
  <c r="A1112" i="9" s="1"/>
  <c r="A1079" i="9"/>
  <c r="A1081" i="9" s="1"/>
  <c r="A1048" i="9"/>
  <c r="A1050" i="9" s="1"/>
  <c r="A1017" i="9"/>
  <c r="A1019" i="9" s="1"/>
  <c r="A986" i="9"/>
  <c r="A988" i="9" s="1"/>
  <c r="A955" i="9"/>
  <c r="A957" i="9" s="1"/>
  <c r="A924" i="9"/>
  <c r="A926" i="9" s="1"/>
  <c r="A862" i="9"/>
  <c r="A864" i="9" s="1"/>
  <c r="A831" i="9"/>
  <c r="A833" i="9" s="1"/>
  <c r="A800" i="9"/>
  <c r="A802" i="9" s="1"/>
  <c r="A769" i="9"/>
  <c r="A771" i="9" s="1"/>
  <c r="A738" i="9"/>
  <c r="A740" i="9" s="1"/>
  <c r="A707" i="9"/>
  <c r="A709" i="9" s="1"/>
  <c r="A676" i="9"/>
  <c r="A678" i="9" s="1"/>
  <c r="A645" i="9"/>
  <c r="A647" i="9" s="1"/>
  <c r="A614" i="9"/>
  <c r="A616" i="9" s="1"/>
  <c r="A583" i="9"/>
  <c r="A585" i="9" s="1"/>
  <c r="A552" i="9"/>
  <c r="A554" i="9" s="1"/>
  <c r="A521" i="9"/>
  <c r="A523" i="9" s="1"/>
  <c r="A490" i="9"/>
  <c r="A492" i="9" s="1"/>
  <c r="A459" i="9"/>
  <c r="A461" i="9" s="1"/>
  <c r="A430" i="9"/>
  <c r="A428" i="9"/>
  <c r="A397" i="9"/>
  <c r="A399" i="9" s="1"/>
  <c r="A366" i="9"/>
  <c r="A368" i="9" s="1"/>
  <c r="A335" i="9"/>
  <c r="A337" i="9" s="1"/>
  <c r="A304" i="9"/>
  <c r="A306" i="9" s="1"/>
  <c r="A273" i="9"/>
  <c r="A275" i="9" s="1"/>
  <c r="A242" i="9"/>
  <c r="A244" i="9" s="1"/>
  <c r="A213" i="9"/>
  <c r="A211" i="9"/>
  <c r="A180" i="9"/>
  <c r="A182" i="9" s="1"/>
  <c r="A149" i="9"/>
  <c r="A151" i="9" s="1"/>
  <c r="A118" i="9"/>
  <c r="A120" i="9" s="1"/>
  <c r="A87" i="9"/>
  <c r="A89" i="9" s="1"/>
  <c r="A56" i="9"/>
  <c r="A58" i="9" s="1"/>
  <c r="A25" i="9"/>
  <c r="A27" i="9" s="1"/>
  <c r="E4" i="11" l="1"/>
  <c r="E5" i="10"/>
  <c r="E5" i="9"/>
  <c r="A2086" i="11"/>
  <c r="A2055" i="11"/>
  <c r="A2117" i="11"/>
  <c r="C59" i="13" l="1"/>
  <c r="E59" i="13"/>
  <c r="A6676" i="1" l="1"/>
  <c r="A5718" i="1"/>
  <c r="A4368" i="1"/>
  <c r="A655" i="1"/>
  <c r="A658" i="1" s="1"/>
  <c r="A4192" i="7"/>
  <c r="A1546" i="7"/>
  <c r="A1533" i="7"/>
  <c r="A1506" i="7"/>
  <c r="A1452" i="7"/>
  <c r="A1438" i="7"/>
  <c r="A804" i="7"/>
  <c r="A807" i="7" s="1"/>
  <c r="A1978" i="6"/>
  <c r="A1981" i="6" s="1"/>
  <c r="A61" i="5"/>
  <c r="A64" i="5" s="1"/>
  <c r="A277" i="4"/>
  <c r="C48" i="13" l="1"/>
  <c r="A250" i="4"/>
  <c r="A1465" i="6"/>
  <c r="A1468" i="6" s="1"/>
  <c r="A1141" i="6"/>
  <c r="A2329" i="7" l="1"/>
  <c r="A1249" i="7"/>
  <c r="A5488" i="1"/>
  <c r="A3436" i="1"/>
  <c r="A2977" i="1"/>
  <c r="A871" i="1"/>
  <c r="A874" i="1" s="1"/>
  <c r="A844" i="1"/>
  <c r="A817" i="1"/>
  <c r="A820" i="1" s="1"/>
  <c r="A2567" i="12" l="1"/>
  <c r="A2569" i="12" s="1"/>
  <c r="A2536" i="12"/>
  <c r="A2538" i="12" s="1"/>
  <c r="A2551" i="12"/>
  <c r="A2553" i="12" s="1"/>
  <c r="A2520" i="12"/>
  <c r="A2522" i="12" s="1"/>
  <c r="A4219" i="1"/>
  <c r="A4138" i="1"/>
  <c r="F10" i="11" l="1"/>
  <c r="A2119" i="11"/>
  <c r="A2088" i="11"/>
  <c r="A2057" i="11"/>
  <c r="A1203" i="9"/>
  <c r="A1205" i="9" s="1"/>
  <c r="A474" i="9"/>
  <c r="A476" i="9" s="1"/>
  <c r="A1776" i="9" l="1"/>
  <c r="A1778" i="9" s="1"/>
  <c r="E48" i="13" l="1"/>
  <c r="A2383" i="1"/>
  <c r="A2167" i="1"/>
  <c r="A588" i="4"/>
  <c r="A591" i="4" s="1"/>
  <c r="A4273" i="7" l="1"/>
  <c r="A4246" i="7"/>
  <c r="A3477" i="7"/>
  <c r="A723" i="5"/>
  <c r="A439" i="4" l="1"/>
  <c r="A574" i="4"/>
  <c r="A1738" i="5"/>
  <c r="A331" i="5"/>
  <c r="A1924" i="6"/>
  <c r="A1927" i="6" s="1"/>
  <c r="A1168" i="6"/>
  <c r="A1171" i="6" s="1"/>
  <c r="A601" i="6"/>
  <c r="A3463" i="7" l="1"/>
  <c r="A1087" i="7"/>
  <c r="A3409" i="1"/>
  <c r="A466" i="1"/>
  <c r="A469" i="1" s="1"/>
  <c r="A6028" i="1"/>
  <c r="A5758" i="1"/>
  <c r="A2545" i="1"/>
  <c r="A2505" i="12" l="1"/>
  <c r="A2507" i="12" s="1"/>
  <c r="A2489" i="12"/>
  <c r="A2491" i="12" s="1"/>
  <c r="A2474" i="12"/>
  <c r="A2476" i="12" s="1"/>
  <c r="A2458" i="12"/>
  <c r="A2460" i="12" s="1"/>
  <c r="A552" i="10" l="1"/>
  <c r="A554" i="10" s="1"/>
  <c r="A1730" i="11"/>
  <c r="A1732" i="11" s="1"/>
  <c r="A1668" i="11"/>
  <c r="A1670" i="11" s="1"/>
  <c r="A1761" i="9"/>
  <c r="A1763" i="9" s="1"/>
  <c r="A2024" i="11" l="1"/>
  <c r="A1993" i="11"/>
  <c r="A1931" i="11"/>
  <c r="A1900" i="11"/>
  <c r="A1869" i="11"/>
  <c r="A1871" i="11" s="1"/>
  <c r="A1125" i="10"/>
  <c r="A1063" i="10"/>
  <c r="C37" i="13" l="1"/>
  <c r="E37" i="13"/>
  <c r="A2275" i="7"/>
  <c r="A1492" i="7"/>
  <c r="A1897" i="6"/>
  <c r="A1900" i="6" s="1"/>
  <c r="A3625" i="1"/>
  <c r="A3274" i="1"/>
  <c r="A2194" i="1"/>
  <c r="A2059" i="1"/>
  <c r="A2062" i="1" s="1"/>
  <c r="A682" i="4" l="1"/>
  <c r="A685" i="4" s="1"/>
  <c r="A817" i="4"/>
  <c r="A1897" i="5"/>
  <c r="A1900" i="5" s="1"/>
  <c r="A1465" i="5"/>
  <c r="A574" i="5"/>
  <c r="A577" i="5" s="1"/>
  <c r="A520" i="5"/>
  <c r="A493" i="5"/>
  <c r="A496" i="5" s="1"/>
  <c r="A466" i="5"/>
  <c r="A469" i="5" s="1"/>
  <c r="A142" i="5"/>
  <c r="A145" i="5" s="1"/>
  <c r="A1816" i="6"/>
  <c r="A1762" i="6"/>
  <c r="A1735" i="6"/>
  <c r="A1738" i="6" s="1"/>
  <c r="A1708" i="6"/>
  <c r="A1519" i="6"/>
  <c r="A1522" i="6" s="1"/>
  <c r="A1087" i="6"/>
  <c r="A952" i="6"/>
  <c r="A763" i="6"/>
  <c r="A736" i="6"/>
  <c r="A7" i="6"/>
  <c r="A10" i="6" s="1"/>
  <c r="A3112" i="7"/>
  <c r="A2356" i="7"/>
  <c r="A2443" i="12"/>
  <c r="A2445" i="12" s="1"/>
  <c r="A2412" i="12"/>
  <c r="A2414" i="12" s="1"/>
  <c r="A2427" i="12"/>
  <c r="A2429" i="12" s="1"/>
  <c r="A2396" i="12"/>
  <c r="A2398" i="12" s="1"/>
  <c r="Q152" i="14"/>
  <c r="O150" i="14"/>
  <c r="J169" i="14"/>
  <c r="A2026" i="11"/>
  <c r="A1995" i="11"/>
  <c r="A1962" i="11"/>
  <c r="A1964" i="11" s="1"/>
  <c r="A1933" i="11"/>
  <c r="A1902" i="11"/>
  <c r="A1838" i="11"/>
  <c r="A1840" i="11" s="1"/>
  <c r="A1127" i="10"/>
  <c r="A1823" i="11"/>
  <c r="A1825" i="11" s="1"/>
  <c r="L167" i="14"/>
  <c r="J167" i="14"/>
  <c r="J165" i="14"/>
  <c r="J166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9" i="14"/>
  <c r="A2518" i="1"/>
  <c r="A1303" i="1"/>
  <c r="A223" i="1"/>
  <c r="A9" i="9"/>
  <c r="A11" i="9" l="1"/>
  <c r="E27" i="13"/>
  <c r="C27" i="13"/>
  <c r="A1519" i="7" l="1"/>
  <c r="A6622" i="1"/>
  <c r="A6595" i="1"/>
  <c r="A4881" i="1"/>
  <c r="A4884" i="1" s="1"/>
  <c r="A4273" i="1"/>
  <c r="A115" i="1"/>
  <c r="A2381" i="12"/>
  <c r="A2383" i="12" s="1"/>
  <c r="A2350" i="12"/>
  <c r="A2352" i="12" s="1"/>
  <c r="A2365" i="12"/>
  <c r="A2367" i="12" s="1"/>
  <c r="A2334" i="12"/>
  <c r="A2336" i="12" s="1"/>
  <c r="G14" i="11" l="1"/>
  <c r="E10" i="12" l="1"/>
  <c r="A1032" i="10"/>
  <c r="A1807" i="11" l="1"/>
  <c r="A1809" i="11" s="1"/>
  <c r="A1776" i="11"/>
  <c r="A1778" i="11" s="1"/>
  <c r="A1745" i="11"/>
  <c r="A1747" i="11" s="1"/>
  <c r="A1714" i="11"/>
  <c r="A1716" i="11" s="1"/>
  <c r="A1683" i="11"/>
  <c r="A1685" i="11" s="1"/>
  <c r="A1652" i="11"/>
  <c r="A1654" i="11" s="1"/>
  <c r="A1621" i="11"/>
  <c r="A1623" i="11" s="1"/>
  <c r="A1528" i="11"/>
  <c r="A1435" i="11"/>
  <c r="A1373" i="11"/>
  <c r="A1435" i="9"/>
  <c r="A1342" i="9"/>
  <c r="A1280" i="9"/>
  <c r="A893" i="9"/>
  <c r="A895" i="9" s="1"/>
  <c r="A1249" i="4"/>
  <c r="A1252" i="4" s="1"/>
  <c r="A547" i="4"/>
  <c r="A196" i="4"/>
  <c r="A199" i="4" s="1"/>
  <c r="A871" i="5"/>
  <c r="A1411" i="6"/>
  <c r="A1330" i="6"/>
  <c r="A1333" i="6" s="1"/>
  <c r="A1195" i="6"/>
  <c r="A3409" i="7"/>
  <c r="A6541" i="1"/>
  <c r="A6514" i="1"/>
  <c r="A6487" i="1"/>
  <c r="A6217" i="1"/>
  <c r="A6163" i="1"/>
  <c r="A6055" i="1"/>
  <c r="A5974" i="1"/>
  <c r="A5866" i="1"/>
  <c r="A5839" i="1"/>
  <c r="A5812" i="1"/>
  <c r="A5785" i="1"/>
  <c r="A5704" i="1"/>
  <c r="A4813" i="1"/>
  <c r="A4165" i="1"/>
  <c r="A2572" i="1"/>
  <c r="A2410" i="1"/>
  <c r="E14" i="13" l="1"/>
  <c r="C14" i="13"/>
  <c r="I14" i="13"/>
  <c r="A1195" i="5" l="1"/>
  <c r="A3706" i="1" l="1"/>
  <c r="A3709" i="1" s="1"/>
  <c r="A3301" i="1"/>
  <c r="A979" i="1"/>
  <c r="A709" i="1"/>
  <c r="A574" i="1" l="1"/>
  <c r="A577" i="1" s="1"/>
  <c r="A196" i="1"/>
  <c r="A1222" i="4" l="1"/>
  <c r="A1225" i="4" s="1"/>
  <c r="A1195" i="4"/>
  <c r="A1168" i="4"/>
  <c r="A1171" i="4" s="1"/>
  <c r="A1141" i="4"/>
  <c r="A1144" i="4" s="1"/>
  <c r="A1114" i="4"/>
  <c r="A1117" i="4" s="1"/>
  <c r="A1087" i="4"/>
  <c r="A1090" i="4" s="1"/>
  <c r="A1033" i="4"/>
  <c r="A1006" i="4"/>
  <c r="A1009" i="4" s="1"/>
  <c r="A979" i="4"/>
  <c r="A982" i="4" s="1"/>
  <c r="A952" i="4"/>
  <c r="A871" i="4"/>
  <c r="A844" i="4"/>
  <c r="A790" i="4"/>
  <c r="A763" i="4"/>
  <c r="A739" i="4"/>
  <c r="A709" i="4"/>
  <c r="A712" i="4" s="1"/>
  <c r="A655" i="4"/>
  <c r="A628" i="4"/>
  <c r="A615" i="4"/>
  <c r="A618" i="4" s="1"/>
  <c r="A601" i="4"/>
  <c r="A604" i="4" s="1"/>
  <c r="A577" i="4"/>
  <c r="A520" i="4"/>
  <c r="A466" i="4"/>
  <c r="A412" i="4"/>
  <c r="A358" i="4"/>
  <c r="A361" i="4" s="1"/>
  <c r="A331" i="4"/>
  <c r="A304" i="4"/>
  <c r="A307" i="4" s="1"/>
  <c r="A169" i="4"/>
  <c r="A142" i="4"/>
  <c r="A115" i="4"/>
  <c r="A118" i="4" s="1"/>
  <c r="A88" i="4"/>
  <c r="A61" i="4"/>
  <c r="A64" i="4" s="1"/>
  <c r="A1870" i="5"/>
  <c r="A1873" i="5" s="1"/>
  <c r="A1843" i="5"/>
  <c r="A1846" i="5" s="1"/>
  <c r="A1816" i="5"/>
  <c r="A1819" i="5" s="1"/>
  <c r="A1789" i="5"/>
  <c r="A1762" i="5"/>
  <c r="A1765" i="5" s="1"/>
  <c r="A1708" i="5"/>
  <c r="A1681" i="5"/>
  <c r="A1684" i="5" s="1"/>
  <c r="A1654" i="5"/>
  <c r="A1627" i="5"/>
  <c r="A1600" i="5"/>
  <c r="A1603" i="5" s="1"/>
  <c r="A1573" i="5"/>
  <c r="A1576" i="5" s="1"/>
  <c r="A1546" i="5"/>
  <c r="A1519" i="5"/>
  <c r="A1522" i="5" s="1"/>
  <c r="A1492" i="5"/>
  <c r="A1495" i="5" s="1"/>
  <c r="A1438" i="5"/>
  <c r="A1411" i="5"/>
  <c r="A1384" i="5"/>
  <c r="A1387" i="5" s="1"/>
  <c r="A1357" i="5"/>
  <c r="A1330" i="5"/>
  <c r="A1333" i="5" s="1"/>
  <c r="A1303" i="5"/>
  <c r="A1276" i="5"/>
  <c r="A1279" i="5" s="1"/>
  <c r="A1249" i="5"/>
  <c r="A1222" i="5"/>
  <c r="A1225" i="5" s="1"/>
  <c r="A1141" i="5"/>
  <c r="A1114" i="5"/>
  <c r="A1117" i="5" s="1"/>
  <c r="A1033" i="5"/>
  <c r="A1036" i="5" s="1"/>
  <c r="A979" i="5"/>
  <c r="A982" i="5" s="1"/>
  <c r="A952" i="5"/>
  <c r="A898" i="5"/>
  <c r="A901" i="5" s="1"/>
  <c r="A844" i="5"/>
  <c r="A817" i="5"/>
  <c r="A790" i="5"/>
  <c r="A793" i="5" s="1"/>
  <c r="A763" i="5"/>
  <c r="A766" i="5" s="1"/>
  <c r="A736" i="5"/>
  <c r="A709" i="5"/>
  <c r="A712" i="5" s="1"/>
  <c r="A682" i="5"/>
  <c r="A655" i="5"/>
  <c r="A658" i="5" s="1"/>
  <c r="A628" i="5"/>
  <c r="A601" i="5"/>
  <c r="A604" i="5" s="1"/>
  <c r="A547" i="5"/>
  <c r="A550" i="5" s="1"/>
  <c r="A442" i="5"/>
  <c r="A412" i="5"/>
  <c r="A415" i="5" s="1"/>
  <c r="A385" i="5"/>
  <c r="A358" i="5"/>
  <c r="A361" i="5" s="1"/>
  <c r="A304" i="5"/>
  <c r="A307" i="5" s="1"/>
  <c r="A277" i="5"/>
  <c r="A280" i="5" s="1"/>
  <c r="A223" i="5"/>
  <c r="A226" i="5" s="1"/>
  <c r="A196" i="5"/>
  <c r="A199" i="5" s="1"/>
  <c r="A115" i="5"/>
  <c r="A88" i="5"/>
  <c r="A91" i="5" s="1"/>
  <c r="A34" i="5"/>
  <c r="A37" i="5" s="1"/>
  <c r="A1438" i="6"/>
  <c r="A1303" i="6"/>
  <c r="A1306" i="6" s="1"/>
  <c r="A1276" i="6"/>
  <c r="A1033" i="6"/>
  <c r="A925" i="6"/>
  <c r="A871" i="6"/>
  <c r="A874" i="6" s="1"/>
  <c r="A817" i="6"/>
  <c r="A790" i="6"/>
  <c r="A655" i="6"/>
  <c r="A658" i="6" s="1"/>
  <c r="A574" i="6"/>
  <c r="A577" i="6" s="1"/>
  <c r="A547" i="6"/>
  <c r="A520" i="6"/>
  <c r="A466" i="6"/>
  <c r="A469" i="6" s="1"/>
  <c r="A439" i="6"/>
  <c r="A412" i="6"/>
  <c r="A331" i="6"/>
  <c r="A304" i="6"/>
  <c r="A277" i="6"/>
  <c r="A250" i="6"/>
  <c r="A223" i="6"/>
  <c r="A115" i="6"/>
  <c r="A118" i="6" s="1"/>
  <c r="A88" i="6"/>
  <c r="A91" i="6" s="1"/>
  <c r="A61" i="6"/>
  <c r="A34" i="6"/>
  <c r="A3490" i="7"/>
  <c r="A3436" i="7"/>
  <c r="A3328" i="7"/>
  <c r="A3247" i="7"/>
  <c r="A3220" i="7"/>
  <c r="A3193" i="7"/>
  <c r="A3085" i="7"/>
  <c r="A3058" i="7"/>
  <c r="A3031" i="7"/>
  <c r="A3004" i="7"/>
  <c r="A2977" i="7"/>
  <c r="A2707" i="7"/>
  <c r="A2545" i="7"/>
  <c r="A2518" i="7"/>
  <c r="A2491" i="7"/>
  <c r="A2437" i="7"/>
  <c r="A2410" i="7"/>
  <c r="A2383" i="7"/>
  <c r="A2302" i="7"/>
  <c r="A2167" i="7"/>
  <c r="A2140" i="7"/>
  <c r="A2113" i="7"/>
  <c r="A2086" i="7"/>
  <c r="A2059" i="7"/>
  <c r="A2032" i="7"/>
  <c r="A2005" i="7"/>
  <c r="A1978" i="7"/>
  <c r="A1951" i="7"/>
  <c r="A1924" i="7"/>
  <c r="A1870" i="7"/>
  <c r="A1843" i="7"/>
  <c r="A1816" i="7"/>
  <c r="A1789" i="7"/>
  <c r="A1708" i="7"/>
  <c r="A1654" i="7"/>
  <c r="A1600" i="7"/>
  <c r="A1573" i="7"/>
  <c r="A1384" i="7"/>
  <c r="A1330" i="7"/>
  <c r="A1303" i="7"/>
  <c r="A1276" i="7"/>
  <c r="A1168" i="7"/>
  <c r="A1141" i="7"/>
  <c r="A1114" i="7"/>
  <c r="A1006" i="7"/>
  <c r="A979" i="7"/>
  <c r="A952" i="7"/>
  <c r="A925" i="7"/>
  <c r="A871" i="7"/>
  <c r="A844" i="7"/>
  <c r="A790" i="7"/>
  <c r="A736" i="7"/>
  <c r="A709" i="7"/>
  <c r="A682" i="7"/>
  <c r="A655" i="7"/>
  <c r="A628" i="7"/>
  <c r="A601" i="7"/>
  <c r="A574" i="7"/>
  <c r="A547" i="7"/>
  <c r="A520" i="7"/>
  <c r="A493" i="7"/>
  <c r="A466" i="7"/>
  <c r="A439" i="7"/>
  <c r="A412" i="7"/>
  <c r="A415" i="7" s="1"/>
  <c r="A385" i="7"/>
  <c r="A358" i="7"/>
  <c r="A331" i="7"/>
  <c r="A304" i="7"/>
  <c r="A277" i="7"/>
  <c r="A250" i="7"/>
  <c r="A223" i="7"/>
  <c r="A169" i="7"/>
  <c r="A142" i="7"/>
  <c r="A115" i="7"/>
  <c r="A88" i="7"/>
  <c r="A61" i="7"/>
  <c r="A34" i="7"/>
  <c r="A6568" i="1"/>
  <c r="A6460" i="1"/>
  <c r="A6433" i="1"/>
  <c r="A6406" i="1"/>
  <c r="A6379" i="1"/>
  <c r="A6352" i="1"/>
  <c r="A6298" i="1"/>
  <c r="A6271" i="1"/>
  <c r="A6244" i="1"/>
  <c r="A6190" i="1"/>
  <c r="A6136" i="1"/>
  <c r="A6109" i="1"/>
  <c r="A6082" i="1"/>
  <c r="A6001" i="1"/>
  <c r="A5920" i="1"/>
  <c r="A5893" i="1"/>
  <c r="A5731" i="1"/>
  <c r="A5677" i="1"/>
  <c r="A5650" i="1"/>
  <c r="A5596" i="1"/>
  <c r="A5569" i="1"/>
  <c r="A5542" i="1"/>
  <c r="A5515" i="1"/>
  <c r="A5461" i="1"/>
  <c r="A5434" i="1"/>
  <c r="A5407" i="1"/>
  <c r="A5380" i="1"/>
  <c r="A5353" i="1"/>
  <c r="A5326" i="1"/>
  <c r="A5299" i="1"/>
  <c r="A5272" i="1"/>
  <c r="A5245" i="1"/>
  <c r="A5218" i="1"/>
  <c r="A5191" i="1"/>
  <c r="A5164" i="1"/>
  <c r="A5137" i="1"/>
  <c r="A5110" i="1"/>
  <c r="A5083" i="1"/>
  <c r="A5056" i="1"/>
  <c r="A5029" i="1"/>
  <c r="A5002" i="1"/>
  <c r="A4975" i="1"/>
  <c r="A4948" i="1"/>
  <c r="A4921" i="1"/>
  <c r="A4894" i="1"/>
  <c r="A4867" i="1"/>
  <c r="A4705" i="1"/>
  <c r="A4624" i="1"/>
  <c r="A4489" i="1"/>
  <c r="A4462" i="1"/>
  <c r="A4435" i="1"/>
  <c r="A4408" i="1"/>
  <c r="A4381" i="1"/>
  <c r="A4384" i="1" s="1"/>
  <c r="A4354" i="1"/>
  <c r="A4327" i="1"/>
  <c r="A4300" i="1"/>
  <c r="A4192" i="1"/>
  <c r="A4084" i="1"/>
  <c r="A4030" i="1"/>
  <c r="A3949" i="1"/>
  <c r="A3922" i="1"/>
  <c r="A3895" i="1"/>
  <c r="A3898" i="1" s="1"/>
  <c r="A3868" i="1"/>
  <c r="A3871" i="1" s="1"/>
  <c r="A3787" i="1"/>
  <c r="A3790" i="1" s="1"/>
  <c r="A3760" i="1"/>
  <c r="A3733" i="1"/>
  <c r="A3679" i="1"/>
  <c r="A3598" i="1"/>
  <c r="A3517" i="1"/>
  <c r="A3490" i="1"/>
  <c r="A3463" i="1"/>
  <c r="A3382" i="1"/>
  <c r="A3328" i="1"/>
  <c r="A3220" i="1"/>
  <c r="A3223" i="1" s="1"/>
  <c r="A3193" i="1"/>
  <c r="A3166" i="1"/>
  <c r="A3112" i="1"/>
  <c r="A3058" i="1"/>
  <c r="A3004" i="1"/>
  <c r="A2950" i="1"/>
  <c r="A2896" i="1"/>
  <c r="A2869" i="1"/>
  <c r="A2842" i="1"/>
  <c r="A2788" i="1"/>
  <c r="A2761" i="1"/>
  <c r="A2707" i="1"/>
  <c r="A2680" i="1"/>
  <c r="A2626" i="1"/>
  <c r="A2599" i="1"/>
  <c r="A2491" i="1"/>
  <c r="A2464" i="1"/>
  <c r="A2437" i="1"/>
  <c r="A2356" i="1"/>
  <c r="A2329" i="1"/>
  <c r="A2302" i="1"/>
  <c r="A2275" i="1"/>
  <c r="A2248" i="1"/>
  <c r="A2221" i="1"/>
  <c r="A2140" i="1"/>
  <c r="A2113" i="1"/>
  <c r="A2032" i="1"/>
  <c r="A2035" i="1" s="1"/>
  <c r="A2005" i="1"/>
  <c r="A1978" i="1"/>
  <c r="A1951" i="1"/>
  <c r="A1954" i="1" s="1"/>
  <c r="A1924" i="1"/>
  <c r="A1897" i="1"/>
  <c r="A1870" i="1"/>
  <c r="A1843" i="1"/>
  <c r="A1816" i="1"/>
  <c r="A1789" i="1"/>
  <c r="A1762" i="1"/>
  <c r="A1735" i="1"/>
  <c r="A1708" i="1"/>
  <c r="A1681" i="1"/>
  <c r="A1654" i="1"/>
  <c r="A1627" i="1"/>
  <c r="A1600" i="1"/>
  <c r="A1573" i="1"/>
  <c r="A1546" i="1"/>
  <c r="A1519" i="1"/>
  <c r="A1492" i="1"/>
  <c r="A1465" i="1"/>
  <c r="A1438" i="1"/>
  <c r="A1411" i="1"/>
  <c r="A1384" i="1"/>
  <c r="A1357" i="1"/>
  <c r="A1330" i="1"/>
  <c r="A1195" i="1"/>
  <c r="A1168" i="1"/>
  <c r="A1114" i="1"/>
  <c r="A1060" i="1"/>
  <c r="A952" i="1"/>
  <c r="A925" i="1"/>
  <c r="A898" i="1"/>
  <c r="A628" i="1"/>
  <c r="A601" i="1"/>
  <c r="A547" i="1"/>
  <c r="A550" i="1" s="1"/>
  <c r="A520" i="1"/>
  <c r="A493" i="1"/>
  <c r="A496" i="1" s="1"/>
  <c r="A439" i="1"/>
  <c r="A412" i="1"/>
  <c r="A385" i="1"/>
  <c r="A388" i="1" s="1"/>
  <c r="A358" i="1"/>
  <c r="A331" i="1"/>
  <c r="A304" i="1"/>
  <c r="A307" i="1" s="1"/>
  <c r="A277" i="1"/>
  <c r="A142" i="1"/>
  <c r="A145" i="1" s="1"/>
  <c r="A88" i="1"/>
  <c r="A91" i="1" s="1"/>
  <c r="A61" i="1"/>
  <c r="A34" i="1"/>
  <c r="A37" i="1" s="1"/>
  <c r="A7" i="1"/>
  <c r="E5" i="12"/>
  <c r="A2319" i="12"/>
  <c r="A2321" i="12" s="1"/>
  <c r="A2303" i="12"/>
  <c r="A2305" i="12" s="1"/>
  <c r="A2288" i="12"/>
  <c r="A2290" i="12" s="1"/>
  <c r="A2272" i="12"/>
  <c r="A2274" i="12" s="1"/>
  <c r="A2257" i="12"/>
  <c r="A2259" i="12" s="1"/>
  <c r="A2241" i="12"/>
  <c r="A2243" i="12" s="1"/>
  <c r="A2226" i="12"/>
  <c r="A2228" i="12" s="1"/>
  <c r="A2210" i="12"/>
  <c r="A2212" i="12" s="1"/>
  <c r="A2195" i="12"/>
  <c r="A2197" i="12" s="1"/>
  <c r="A2179" i="12"/>
  <c r="A2181" i="12" s="1"/>
  <c r="A2164" i="12"/>
  <c r="A2166" i="12" s="1"/>
  <c r="A2148" i="12"/>
  <c r="A2150" i="12" s="1"/>
  <c r="A2133" i="12"/>
  <c r="A2135" i="12" s="1"/>
  <c r="A2117" i="12"/>
  <c r="A2119" i="12" s="1"/>
  <c r="A2102" i="12"/>
  <c r="A2104" i="12" s="1"/>
  <c r="A2086" i="12"/>
  <c r="A2088" i="12" s="1"/>
  <c r="A2071" i="12"/>
  <c r="A2073" i="12" s="1"/>
  <c r="A2055" i="12"/>
  <c r="A2057" i="12" s="1"/>
  <c r="A2040" i="12"/>
  <c r="A2042" i="12" s="1"/>
  <c r="A2024" i="12"/>
  <c r="A2026" i="12" s="1"/>
  <c r="A2011" i="12"/>
  <c r="A1995" i="12"/>
  <c r="A1980" i="12"/>
  <c r="A1964" i="12"/>
  <c r="A1949" i="12"/>
  <c r="A1947" i="12"/>
  <c r="A1931" i="12"/>
  <c r="A1933" i="12" s="1"/>
  <c r="A1918" i="12"/>
  <c r="A1916" i="12"/>
  <c r="A1900" i="12"/>
  <c r="A1902" i="12" s="1"/>
  <c r="A1887" i="12"/>
  <c r="A1885" i="12"/>
  <c r="A1869" i="12"/>
  <c r="A1871" i="12" s="1"/>
  <c r="A1856" i="12"/>
  <c r="A1854" i="12"/>
  <c r="A1838" i="12"/>
  <c r="A1840" i="12" s="1"/>
  <c r="A1825" i="12"/>
  <c r="A1823" i="12"/>
  <c r="A1807" i="12"/>
  <c r="A1809" i="12" s="1"/>
  <c r="A1794" i="12"/>
  <c r="A1792" i="12"/>
  <c r="A1776" i="12"/>
  <c r="A1778" i="12" s="1"/>
  <c r="A1763" i="12"/>
  <c r="A1761" i="12"/>
  <c r="A1745" i="12"/>
  <c r="A1747" i="12" s="1"/>
  <c r="A1732" i="12"/>
  <c r="A1730" i="12"/>
  <c r="A1714" i="12"/>
  <c r="A1716" i="12" s="1"/>
  <c r="A1701" i="12"/>
  <c r="A1699" i="12"/>
  <c r="A1683" i="12"/>
  <c r="A1685" i="12" s="1"/>
  <c r="A1668" i="12"/>
  <c r="A1670" i="12" s="1"/>
  <c r="A1652" i="12"/>
  <c r="A1654" i="12" s="1"/>
  <c r="A1637" i="12"/>
  <c r="A1639" i="12" s="1"/>
  <c r="A1621" i="12"/>
  <c r="A1623" i="12" s="1"/>
  <c r="A1606" i="12"/>
  <c r="A1608" i="12" s="1"/>
  <c r="A1590" i="12"/>
  <c r="A1592" i="12" s="1"/>
  <c r="A1575" i="12"/>
  <c r="A1577" i="12" s="1"/>
  <c r="A1559" i="12"/>
  <c r="A1561" i="12" s="1"/>
  <c r="A1546" i="12"/>
  <c r="A1530" i="12"/>
  <c r="A1513" i="12"/>
  <c r="A1515" i="12" s="1"/>
  <c r="A1497" i="12"/>
  <c r="A1499" i="12" s="1"/>
  <c r="A1482" i="12"/>
  <c r="A1484" i="12" s="1"/>
  <c r="A1466" i="12"/>
  <c r="A1468" i="12" s="1"/>
  <c r="A1453" i="12"/>
  <c r="A1437" i="12"/>
  <c r="A1420" i="12"/>
  <c r="A1422" i="12" s="1"/>
  <c r="A1404" i="12"/>
  <c r="A1406" i="12" s="1"/>
  <c r="A1391" i="12"/>
  <c r="A1375" i="12"/>
  <c r="A1358" i="12"/>
  <c r="A1360" i="12" s="1"/>
  <c r="A1342" i="12"/>
  <c r="A1344" i="12" s="1"/>
  <c r="A1327" i="12"/>
  <c r="A1329" i="12" s="1"/>
  <c r="A1311" i="12"/>
  <c r="A1313" i="12" s="1"/>
  <c r="A1296" i="12"/>
  <c r="A1298" i="12" s="1"/>
  <c r="A1280" i="12"/>
  <c r="A1282" i="12" s="1"/>
  <c r="A1265" i="12"/>
  <c r="A1267" i="12" s="1"/>
  <c r="A1249" i="12"/>
  <c r="A1251" i="12" s="1"/>
  <c r="A1234" i="12"/>
  <c r="A1236" i="12" s="1"/>
  <c r="A1218" i="12"/>
  <c r="A1220" i="12" s="1"/>
  <c r="A1203" i="12"/>
  <c r="A1205" i="12" s="1"/>
  <c r="A1187" i="12"/>
  <c r="A1189" i="12" s="1"/>
  <c r="A1172" i="12"/>
  <c r="A1174" i="12" s="1"/>
  <c r="A1156" i="12"/>
  <c r="A1158" i="12" s="1"/>
  <c r="A1141" i="12"/>
  <c r="A1143" i="12" s="1"/>
  <c r="A1125" i="12"/>
  <c r="A1127" i="12" s="1"/>
  <c r="A1110" i="12"/>
  <c r="A1112" i="12" s="1"/>
  <c r="A1094" i="12"/>
  <c r="A1096" i="12" s="1"/>
  <c r="A1079" i="12"/>
  <c r="A1081" i="12" s="1"/>
  <c r="A1063" i="12"/>
  <c r="A1065" i="12" s="1"/>
  <c r="A1048" i="12"/>
  <c r="A1050" i="12" s="1"/>
  <c r="A1032" i="12"/>
  <c r="A1034" i="12" s="1"/>
  <c r="A1017" i="12"/>
  <c r="A1019" i="12" s="1"/>
  <c r="A1001" i="12"/>
  <c r="A1003" i="12" s="1"/>
  <c r="A986" i="12"/>
  <c r="A988" i="12" s="1"/>
  <c r="A970" i="12"/>
  <c r="A972" i="12" s="1"/>
  <c r="A955" i="12"/>
  <c r="A957" i="12" s="1"/>
  <c r="A939" i="12"/>
  <c r="A941" i="12" s="1"/>
  <c r="A924" i="12"/>
  <c r="A926" i="12" s="1"/>
  <c r="A908" i="12"/>
  <c r="A910" i="12" s="1"/>
  <c r="A893" i="12"/>
  <c r="A895" i="12" s="1"/>
  <c r="A877" i="12"/>
  <c r="A879" i="12" s="1"/>
  <c r="A862" i="12"/>
  <c r="A864" i="12" s="1"/>
  <c r="A846" i="12"/>
  <c r="A848" i="12" s="1"/>
  <c r="A831" i="12"/>
  <c r="A833" i="12" s="1"/>
  <c r="A815" i="12"/>
  <c r="A817" i="12" s="1"/>
  <c r="A800" i="12"/>
  <c r="A802" i="12" s="1"/>
  <c r="A784" i="12"/>
  <c r="A786" i="12" s="1"/>
  <c r="A769" i="12"/>
  <c r="A771" i="12" s="1"/>
  <c r="A753" i="12"/>
  <c r="A755" i="12" s="1"/>
  <c r="A735" i="12"/>
  <c r="A737" i="12" s="1"/>
  <c r="A722" i="12"/>
  <c r="A724" i="12" s="1"/>
  <c r="A707" i="12"/>
  <c r="A709" i="12" s="1"/>
  <c r="A691" i="12"/>
  <c r="A693" i="12" s="1"/>
  <c r="A676" i="12"/>
  <c r="A678" i="12" s="1"/>
  <c r="A660" i="12"/>
  <c r="A662" i="12" s="1"/>
  <c r="A645" i="12"/>
  <c r="A647" i="12" s="1"/>
  <c r="A629" i="12"/>
  <c r="A631" i="12" s="1"/>
  <c r="A614" i="12"/>
  <c r="A616" i="12" s="1"/>
  <c r="A598" i="12"/>
  <c r="A600" i="12" s="1"/>
  <c r="A583" i="12"/>
  <c r="A585" i="12" s="1"/>
  <c r="A567" i="12"/>
  <c r="A569" i="12" s="1"/>
  <c r="A552" i="12"/>
  <c r="A554" i="12" s="1"/>
  <c r="A536" i="12"/>
  <c r="A538" i="12" s="1"/>
  <c r="A521" i="12"/>
  <c r="A523" i="12" s="1"/>
  <c r="A505" i="12"/>
  <c r="A507" i="12" s="1"/>
  <c r="A490" i="12"/>
  <c r="A492" i="12" s="1"/>
  <c r="A474" i="12"/>
  <c r="A476" i="12" s="1"/>
  <c r="A459" i="12"/>
  <c r="A461" i="12" s="1"/>
  <c r="A443" i="12"/>
  <c r="A445" i="12" s="1"/>
  <c r="A428" i="12"/>
  <c r="A430" i="12" s="1"/>
  <c r="A412" i="12"/>
  <c r="A414" i="12" s="1"/>
  <c r="A397" i="12"/>
  <c r="A399" i="12" s="1"/>
  <c r="A381" i="12"/>
  <c r="A383" i="12" s="1"/>
  <c r="A366" i="12"/>
  <c r="A368" i="12" s="1"/>
  <c r="A350" i="12"/>
  <c r="A352" i="12" s="1"/>
  <c r="A335" i="12"/>
  <c r="A337" i="12" s="1"/>
  <c r="A319" i="12"/>
  <c r="A321" i="12" s="1"/>
  <c r="A304" i="12"/>
  <c r="A306" i="12" s="1"/>
  <c r="A288" i="12"/>
  <c r="A290" i="12" s="1"/>
  <c r="A273" i="12"/>
  <c r="A275" i="12" s="1"/>
  <c r="A257" i="12"/>
  <c r="A259" i="12" s="1"/>
  <c r="A242" i="12"/>
  <c r="A244" i="12" s="1"/>
  <c r="A226" i="12"/>
  <c r="A228" i="12" s="1"/>
  <c r="A211" i="12"/>
  <c r="A213" i="12" s="1"/>
  <c r="A195" i="12"/>
  <c r="A197" i="12" s="1"/>
  <c r="A180" i="12"/>
  <c r="A182" i="12" s="1"/>
  <c r="A164" i="12"/>
  <c r="A166" i="12" s="1"/>
  <c r="A149" i="12"/>
  <c r="A151" i="12" s="1"/>
  <c r="A133" i="12"/>
  <c r="A135" i="12" s="1"/>
  <c r="A118" i="12"/>
  <c r="A120" i="12" s="1"/>
  <c r="A102" i="12"/>
  <c r="A104" i="12" s="1"/>
  <c r="A87" i="12"/>
  <c r="A89" i="12" s="1"/>
  <c r="A71" i="12"/>
  <c r="A73" i="12" s="1"/>
  <c r="A56" i="12"/>
  <c r="A58" i="12" s="1"/>
  <c r="A40" i="12"/>
  <c r="A42" i="12" s="1"/>
  <c r="A25" i="12"/>
  <c r="A27" i="12" s="1"/>
  <c r="A9" i="12"/>
  <c r="A11" i="12" s="1"/>
  <c r="L4" i="12"/>
  <c r="A1590" i="11"/>
  <c r="A1592" i="11" s="1"/>
  <c r="A1559" i="11"/>
  <c r="A1561" i="11" s="1"/>
  <c r="A1530" i="11"/>
  <c r="A1497" i="11"/>
  <c r="A1499" i="11" s="1"/>
  <c r="A1466" i="11"/>
  <c r="A1468" i="11" s="1"/>
  <c r="A1437" i="11"/>
  <c r="A1404" i="11"/>
  <c r="A1406" i="11" s="1"/>
  <c r="A1375" i="11"/>
  <c r="A1342" i="11"/>
  <c r="A1344" i="11" s="1"/>
  <c r="A1311" i="11"/>
  <c r="A1313" i="11" s="1"/>
  <c r="A1280" i="11"/>
  <c r="A1282" i="11" s="1"/>
  <c r="A1249" i="11"/>
  <c r="A1251" i="11" s="1"/>
  <c r="A1218" i="11"/>
  <c r="A1220" i="11" s="1"/>
  <c r="A1187" i="11"/>
  <c r="A1189" i="11" s="1"/>
  <c r="A1156" i="11"/>
  <c r="A1158" i="11" s="1"/>
  <c r="A1125" i="11"/>
  <c r="A1127" i="11" s="1"/>
  <c r="A1094" i="11"/>
  <c r="A1096" i="11" s="1"/>
  <c r="A1063" i="11"/>
  <c r="A1065" i="11" s="1"/>
  <c r="A1032" i="11"/>
  <c r="A1034" i="11" s="1"/>
  <c r="A1001" i="11"/>
  <c r="A1003" i="11" s="1"/>
  <c r="A970" i="11"/>
  <c r="A972" i="11" s="1"/>
  <c r="A939" i="11"/>
  <c r="A941" i="11" s="1"/>
  <c r="A908" i="11"/>
  <c r="A910" i="11" s="1"/>
  <c r="A877" i="11"/>
  <c r="A879" i="11" s="1"/>
  <c r="A846" i="11"/>
  <c r="A848" i="11" s="1"/>
  <c r="A815" i="11"/>
  <c r="A817" i="11" s="1"/>
  <c r="A784" i="11"/>
  <c r="A786" i="11" s="1"/>
  <c r="A753" i="11"/>
  <c r="A755" i="11" s="1"/>
  <c r="A722" i="11"/>
  <c r="A724" i="11" s="1"/>
  <c r="A691" i="11"/>
  <c r="A693" i="11" s="1"/>
  <c r="A660" i="11"/>
  <c r="A662" i="11" s="1"/>
  <c r="A629" i="11"/>
  <c r="A631" i="11" s="1"/>
  <c r="A598" i="11"/>
  <c r="A600" i="11" s="1"/>
  <c r="A567" i="11"/>
  <c r="A569" i="11" s="1"/>
  <c r="A536" i="11"/>
  <c r="A538" i="11" s="1"/>
  <c r="A505" i="11"/>
  <c r="A507" i="11" s="1"/>
  <c r="A474" i="11"/>
  <c r="A476" i="11" s="1"/>
  <c r="A443" i="11"/>
  <c r="A412" i="11"/>
  <c r="A414" i="11" s="1"/>
  <c r="A381" i="11"/>
  <c r="A383" i="11" s="1"/>
  <c r="A350" i="11"/>
  <c r="A352" i="11" s="1"/>
  <c r="A319" i="11"/>
  <c r="A321" i="11" s="1"/>
  <c r="A288" i="11"/>
  <c r="A290" i="11" s="1"/>
  <c r="A257" i="11"/>
  <c r="A259" i="11" s="1"/>
  <c r="A226" i="11"/>
  <c r="A228" i="11" s="1"/>
  <c r="A195" i="11"/>
  <c r="A197" i="11" s="1"/>
  <c r="A164" i="11"/>
  <c r="A166" i="11" s="1"/>
  <c r="A133" i="11"/>
  <c r="A135" i="11" s="1"/>
  <c r="A102" i="11"/>
  <c r="A104" i="11" s="1"/>
  <c r="A71" i="11"/>
  <c r="A73" i="11" s="1"/>
  <c r="A40" i="11"/>
  <c r="A42" i="11" s="1"/>
  <c r="A9" i="11"/>
  <c r="L4" i="11"/>
  <c r="L4" i="10"/>
  <c r="A9" i="10"/>
  <c r="A40" i="10"/>
  <c r="A42" i="10" s="1"/>
  <c r="A71" i="10"/>
  <c r="A73" i="10" s="1"/>
  <c r="A102" i="10"/>
  <c r="A104" i="10" s="1"/>
  <c r="A133" i="10"/>
  <c r="A135" i="10" s="1"/>
  <c r="A164" i="10"/>
  <c r="A166" i="10" s="1"/>
  <c r="A195" i="10"/>
  <c r="A197" i="10" s="1"/>
  <c r="A226" i="10"/>
  <c r="A228" i="10" s="1"/>
  <c r="A257" i="10"/>
  <c r="A259" i="10" s="1"/>
  <c r="A288" i="10"/>
  <c r="A290" i="10" s="1"/>
  <c r="A319" i="10"/>
  <c r="A321" i="10" s="1"/>
  <c r="A350" i="10"/>
  <c r="A352" i="10" s="1"/>
  <c r="A381" i="10"/>
  <c r="A383" i="10" s="1"/>
  <c r="A412" i="10"/>
  <c r="A414" i="10" s="1"/>
  <c r="A443" i="10"/>
  <c r="A445" i="10" s="1"/>
  <c r="A474" i="10"/>
  <c r="A476" i="10" s="1"/>
  <c r="A505" i="10"/>
  <c r="A507" i="10" s="1"/>
  <c r="A536" i="10"/>
  <c r="A538" i="10" s="1"/>
  <c r="A567" i="10"/>
  <c r="A569" i="10" s="1"/>
  <c r="A598" i="10"/>
  <c r="A600" i="10" s="1"/>
  <c r="A629" i="10"/>
  <c r="A631" i="10" s="1"/>
  <c r="A660" i="10"/>
  <c r="A662" i="10" s="1"/>
  <c r="A691" i="10"/>
  <c r="A693" i="10" s="1"/>
  <c r="A722" i="10"/>
  <c r="A724" i="10"/>
  <c r="A753" i="10"/>
  <c r="A755" i="10" s="1"/>
  <c r="A784" i="10"/>
  <c r="A786" i="10" s="1"/>
  <c r="A815" i="10"/>
  <c r="A817" i="10" s="1"/>
  <c r="A846" i="10"/>
  <c r="A848" i="10" s="1"/>
  <c r="A877" i="10"/>
  <c r="A879" i="10" s="1"/>
  <c r="A908" i="10"/>
  <c r="A910" i="10" s="1"/>
  <c r="A939" i="10"/>
  <c r="A941" i="10" s="1"/>
  <c r="A970" i="10"/>
  <c r="A972" i="10" s="1"/>
  <c r="A1001" i="10"/>
  <c r="A1003" i="10" s="1"/>
  <c r="A1034" i="10"/>
  <c r="A1065" i="10"/>
  <c r="A1094" i="10"/>
  <c r="A1096" i="10" s="1"/>
  <c r="L4" i="9"/>
  <c r="A40" i="9"/>
  <c r="A71" i="9"/>
  <c r="A73" i="9" s="1"/>
  <c r="A102" i="9"/>
  <c r="A104" i="9" s="1"/>
  <c r="A133" i="9"/>
  <c r="A135" i="9" s="1"/>
  <c r="A164" i="9"/>
  <c r="A166" i="9" s="1"/>
  <c r="A195" i="9"/>
  <c r="A197" i="9" s="1"/>
  <c r="A226" i="9"/>
  <c r="A228" i="9" s="1"/>
  <c r="A257" i="9"/>
  <c r="A259" i="9" s="1"/>
  <c r="A288" i="9"/>
  <c r="A319" i="9"/>
  <c r="A321" i="9" s="1"/>
  <c r="A350" i="9"/>
  <c r="A352" i="9" s="1"/>
  <c r="A381" i="9"/>
  <c r="A383" i="9" s="1"/>
  <c r="A412" i="9"/>
  <c r="A414" i="9" s="1"/>
  <c r="A443" i="9"/>
  <c r="A445" i="9" s="1"/>
  <c r="A505" i="9"/>
  <c r="A507" i="9" s="1"/>
  <c r="A536" i="9"/>
  <c r="A538" i="9" s="1"/>
  <c r="A567" i="9"/>
  <c r="A569" i="9" s="1"/>
  <c r="A598" i="9"/>
  <c r="A600" i="9" s="1"/>
  <c r="A629" i="9"/>
  <c r="A631" i="9" s="1"/>
  <c r="A660" i="9"/>
  <c r="A662" i="9" s="1"/>
  <c r="A691" i="9"/>
  <c r="A693" i="9" s="1"/>
  <c r="A722" i="9"/>
  <c r="A724" i="9" s="1"/>
  <c r="A753" i="9"/>
  <c r="A755" i="9" s="1"/>
  <c r="A784" i="9"/>
  <c r="A786" i="9" s="1"/>
  <c r="A815" i="9"/>
  <c r="A817" i="9" s="1"/>
  <c r="A846" i="9"/>
  <c r="A848" i="9" s="1"/>
  <c r="A877" i="9"/>
  <c r="A879" i="9" s="1"/>
  <c r="A908" i="9"/>
  <c r="A910" i="9" s="1"/>
  <c r="A939" i="9"/>
  <c r="A941" i="9" s="1"/>
  <c r="A970" i="9"/>
  <c r="A972" i="9" s="1"/>
  <c r="A1001" i="9"/>
  <c r="A1003" i="9" s="1"/>
  <c r="A1032" i="9"/>
  <c r="A1034" i="9" s="1"/>
  <c r="A1063" i="9"/>
  <c r="A1065" i="9" s="1"/>
  <c r="A1094" i="9"/>
  <c r="A1096" i="9" s="1"/>
  <c r="A1125" i="9"/>
  <c r="A1127" i="9" s="1"/>
  <c r="A1156" i="9"/>
  <c r="A1158" i="9" s="1"/>
  <c r="A1187" i="9"/>
  <c r="A1189" i="9" s="1"/>
  <c r="A1218" i="9"/>
  <c r="A1220" i="9" s="1"/>
  <c r="A1249" i="9"/>
  <c r="A1251" i="9" s="1"/>
  <c r="A1282" i="9"/>
  <c r="A1311" i="9"/>
  <c r="A1313" i="9" s="1"/>
  <c r="A1344" i="9"/>
  <c r="A1373" i="9"/>
  <c r="A1375" i="9" s="1"/>
  <c r="A1404" i="9"/>
  <c r="A1406" i="9" s="1"/>
  <c r="A1437" i="9"/>
  <c r="A1466" i="9"/>
  <c r="A1468" i="9" s="1"/>
  <c r="A1497" i="9"/>
  <c r="A1528" i="9"/>
  <c r="A1530" i="9" s="1"/>
  <c r="A1559" i="9"/>
  <c r="A1561" i="9" s="1"/>
  <c r="A1590" i="9"/>
  <c r="A1592" i="9" s="1"/>
  <c r="A1621" i="9"/>
  <c r="A1623" i="9" s="1"/>
  <c r="A1652" i="9"/>
  <c r="A1654" i="9" s="1"/>
  <c r="A1683" i="9"/>
  <c r="A1685" i="9" s="1"/>
  <c r="A1714" i="9"/>
  <c r="A1716" i="9" s="1"/>
  <c r="A1745" i="9"/>
  <c r="A1747" i="9" s="1"/>
  <c r="A7" i="5"/>
  <c r="A7" i="7"/>
  <c r="A34" i="4"/>
  <c r="A37" i="4" s="1"/>
  <c r="A7" i="4"/>
  <c r="L3" i="7"/>
  <c r="L3" i="6"/>
  <c r="A399" i="5"/>
  <c r="A402" i="5" s="1"/>
  <c r="A388" i="5"/>
  <c r="A291" i="5"/>
  <c r="A294" i="5" s="1"/>
  <c r="L3" i="5"/>
  <c r="L3" i="4"/>
  <c r="E4" i="6" l="1"/>
  <c r="E4" i="7"/>
  <c r="F7" i="1"/>
  <c r="E10" i="1"/>
  <c r="E8" i="7"/>
  <c r="E9" i="6"/>
  <c r="A11" i="11"/>
  <c r="E7" i="11"/>
  <c r="E10" i="11" s="1"/>
  <c r="E12" i="11" s="1"/>
  <c r="A10" i="5"/>
  <c r="E4" i="5" s="1"/>
  <c r="E9" i="5"/>
  <c r="E7" i="9"/>
  <c r="E10" i="4"/>
  <c r="A290" i="9"/>
  <c r="E7" i="10"/>
  <c r="A42" i="9"/>
  <c r="A445" i="11"/>
  <c r="A11" i="10"/>
  <c r="A10" i="4"/>
  <c r="L3" i="1"/>
  <c r="E3" i="4" l="1"/>
  <c r="E5" i="4" s="1"/>
  <c r="G12" i="11"/>
</calcChain>
</file>

<file path=xl/sharedStrings.xml><?xml version="1.0" encoding="utf-8"?>
<sst xmlns="http://schemas.openxmlformats.org/spreadsheetml/2006/main" count="32726" uniqueCount="690">
  <si>
    <t>دوکان نمبر:</t>
  </si>
  <si>
    <t>تاریخ:</t>
  </si>
  <si>
    <t>میاشت:</t>
  </si>
  <si>
    <t>دمیتر پخوانی درجه:</t>
  </si>
  <si>
    <t>د میتر اوسنی درجه:</t>
  </si>
  <si>
    <t>مصرف:</t>
  </si>
  <si>
    <t>کیلوواټ قیمت:</t>
  </si>
  <si>
    <t>افغانی جمله:</t>
  </si>
  <si>
    <t>بقایا:</t>
  </si>
  <si>
    <t>حق الزحمه:</t>
  </si>
  <si>
    <t>حق الزخمه</t>
  </si>
  <si>
    <t>منشی سیدزاعلی: 0772358535</t>
  </si>
  <si>
    <t xml:space="preserve">خبیب منشی :  0771295436  </t>
  </si>
  <si>
    <t>30/06/2022</t>
  </si>
  <si>
    <t xml:space="preserve">جون ( June ) </t>
  </si>
  <si>
    <t>S</t>
  </si>
  <si>
    <t>نوم:  قابل</t>
  </si>
  <si>
    <t xml:space="preserve"> د بریښنا نه کارولو په صورت کې به ستاسو څخه (600) افغانی اخېستل کیږي </t>
  </si>
  <si>
    <t>یادونه: که بریښنا کوم تلافات ولري د بریښنا شبکې مسؤلین کومه زیماوري په غاړه نه  لري</t>
  </si>
  <si>
    <t>باخان شخصي جنراتوري بریښنا(عبدالصمد مارکیټ)</t>
  </si>
  <si>
    <t>که د بریښنا بیل د یادې میاشتې څخه تر (4) ورځو پورې چې  د بېل پیسې اصول نه شي برق به پرې قطع کیږي</t>
  </si>
  <si>
    <t xml:space="preserve"> پخوانی بقایا:</t>
  </si>
  <si>
    <t>سخي</t>
  </si>
  <si>
    <t>نیک</t>
  </si>
  <si>
    <t>محیب</t>
  </si>
  <si>
    <t>حبیب الله</t>
  </si>
  <si>
    <t>هدایت</t>
  </si>
  <si>
    <t>بحت الله</t>
  </si>
  <si>
    <t>حاندان</t>
  </si>
  <si>
    <t>خان</t>
  </si>
  <si>
    <t>عبدالجبر</t>
  </si>
  <si>
    <t>بنو</t>
  </si>
  <si>
    <t>رازیق</t>
  </si>
  <si>
    <t>نوررخمان</t>
  </si>
  <si>
    <t>سیداجان</t>
  </si>
  <si>
    <t>رحیم شاه</t>
  </si>
  <si>
    <t>عزت الله</t>
  </si>
  <si>
    <t>حاجی</t>
  </si>
  <si>
    <t>مجیب</t>
  </si>
  <si>
    <t>فواد</t>
  </si>
  <si>
    <t>یاقوت</t>
  </si>
  <si>
    <t>نور محمد جان</t>
  </si>
  <si>
    <t>راوف ټیکری</t>
  </si>
  <si>
    <t>واهاب</t>
  </si>
  <si>
    <t>نجیب</t>
  </si>
  <si>
    <t>میرصماد</t>
  </si>
  <si>
    <t>محمد سعید</t>
  </si>
  <si>
    <t>سورګل</t>
  </si>
  <si>
    <t>عید محمد</t>
  </si>
  <si>
    <t>قادر خان</t>
  </si>
  <si>
    <t>محمد عظیم</t>
  </si>
  <si>
    <t>حضرت الله</t>
  </si>
  <si>
    <t>مسیل خان</t>
  </si>
  <si>
    <t>سیف الله</t>
  </si>
  <si>
    <t>عصمت الله</t>
  </si>
  <si>
    <t>سید مت خان</t>
  </si>
  <si>
    <t>رادوګل</t>
  </si>
  <si>
    <t>رحیم</t>
  </si>
  <si>
    <t>کبیر</t>
  </si>
  <si>
    <t>قدرت الله</t>
  </si>
  <si>
    <t xml:space="preserve">لیا قت </t>
  </si>
  <si>
    <t>راووف</t>
  </si>
  <si>
    <t>نور شهید</t>
  </si>
  <si>
    <t>جمیل</t>
  </si>
  <si>
    <t>امیر الله</t>
  </si>
  <si>
    <t>پاکستان</t>
  </si>
  <si>
    <t>ګل شهید خان</t>
  </si>
  <si>
    <t>نصیر</t>
  </si>
  <si>
    <t>لایق نوی</t>
  </si>
  <si>
    <t>محمد ولی</t>
  </si>
  <si>
    <t>حالد</t>
  </si>
  <si>
    <t>بلال</t>
  </si>
  <si>
    <t>دلاور</t>
  </si>
  <si>
    <t>ببرک</t>
  </si>
  <si>
    <t>رابیل</t>
  </si>
  <si>
    <t>عبدالملک</t>
  </si>
  <si>
    <t>قاسم جان</t>
  </si>
  <si>
    <t>ولی خان</t>
  </si>
  <si>
    <t>بادشاه خیل</t>
  </si>
  <si>
    <t>عنیت الله</t>
  </si>
  <si>
    <t>لمبوت</t>
  </si>
  <si>
    <t>نادر خان</t>
  </si>
  <si>
    <t>عالم خان</t>
  </si>
  <si>
    <t>ایوب</t>
  </si>
  <si>
    <t>بخت وزیر</t>
  </si>
  <si>
    <t>حلیل</t>
  </si>
  <si>
    <t>بادشاه حیل</t>
  </si>
  <si>
    <t>اسمعیل</t>
  </si>
  <si>
    <t>ډاکټر</t>
  </si>
  <si>
    <t xml:space="preserve">داود </t>
  </si>
  <si>
    <t>عقل جان</t>
  </si>
  <si>
    <t>احمد شاه</t>
  </si>
  <si>
    <t>داود خیل</t>
  </si>
  <si>
    <t>محمد الله ټیکری</t>
  </si>
  <si>
    <t>الهام</t>
  </si>
  <si>
    <t>حامد الدین</t>
  </si>
  <si>
    <t>حضرت اله</t>
  </si>
  <si>
    <t>شیر نواز</t>
  </si>
  <si>
    <t>قیوم</t>
  </si>
  <si>
    <t>مشال</t>
  </si>
  <si>
    <t>رودګل</t>
  </si>
  <si>
    <t>نعیم</t>
  </si>
  <si>
    <t>رحمن الله</t>
  </si>
  <si>
    <t>عازی جان</t>
  </si>
  <si>
    <t>قایول خان</t>
  </si>
  <si>
    <t>نورنګ معازه</t>
  </si>
  <si>
    <t>اکبر جان</t>
  </si>
  <si>
    <t>سلطان</t>
  </si>
  <si>
    <t>باجان</t>
  </si>
  <si>
    <t>بحت علی شاه</t>
  </si>
  <si>
    <t>هجرت والی شاه</t>
  </si>
  <si>
    <t>اکبرعلی</t>
  </si>
  <si>
    <t>نورحکیم</t>
  </si>
  <si>
    <t>شریف</t>
  </si>
  <si>
    <t>نعمت الله</t>
  </si>
  <si>
    <t>تلاش</t>
  </si>
  <si>
    <t>زاعلی</t>
  </si>
  <si>
    <t>اکرام الله</t>
  </si>
  <si>
    <t>شکرالله</t>
  </si>
  <si>
    <t>محمد عثمان</t>
  </si>
  <si>
    <t>رمضان</t>
  </si>
  <si>
    <t>فراز</t>
  </si>
  <si>
    <t>رافیق</t>
  </si>
  <si>
    <t>عالم جان</t>
  </si>
  <si>
    <t>عبدالستار</t>
  </si>
  <si>
    <t>حضرت والی</t>
  </si>
  <si>
    <t>والی الرحمن</t>
  </si>
  <si>
    <t>احمد</t>
  </si>
  <si>
    <t>محمد ایوب</t>
  </si>
  <si>
    <t>سید ګل</t>
  </si>
  <si>
    <t>صدیق الله</t>
  </si>
  <si>
    <t xml:space="preserve">هدایت </t>
  </si>
  <si>
    <t>احسان الله</t>
  </si>
  <si>
    <t>نیاز محمد</t>
  </si>
  <si>
    <t>نظیر</t>
  </si>
  <si>
    <t>نبی</t>
  </si>
  <si>
    <t>احسان الله عبدالقادر</t>
  </si>
  <si>
    <t>امام الدین</t>
  </si>
  <si>
    <t>طاهر ګربز</t>
  </si>
  <si>
    <t>هجرت الله</t>
  </si>
  <si>
    <t>واحدالله</t>
  </si>
  <si>
    <t>مایل الدین</t>
  </si>
  <si>
    <t>نور شاه</t>
  </si>
  <si>
    <t>محمد نظیر</t>
  </si>
  <si>
    <t>الماس</t>
  </si>
  <si>
    <t>بادشاه</t>
  </si>
  <si>
    <t>بهرام جان</t>
  </si>
  <si>
    <t>اختر جان</t>
  </si>
  <si>
    <t>زبیح</t>
  </si>
  <si>
    <t>اسلامی</t>
  </si>
  <si>
    <t>فرمان الله</t>
  </si>
  <si>
    <t>رحیم الله</t>
  </si>
  <si>
    <t>امین</t>
  </si>
  <si>
    <t>انظر ګل</t>
  </si>
  <si>
    <t>نسیم الله</t>
  </si>
  <si>
    <t>حیات الله</t>
  </si>
  <si>
    <t>صابر</t>
  </si>
  <si>
    <t>مجنون</t>
  </si>
  <si>
    <t>کریم الله</t>
  </si>
  <si>
    <t>رحمت الله</t>
  </si>
  <si>
    <t>جلیل نورنګ</t>
  </si>
  <si>
    <t>جلیل</t>
  </si>
  <si>
    <t>محمد قاسم</t>
  </si>
  <si>
    <t>نیازوالی</t>
  </si>
  <si>
    <t>حبیب خان</t>
  </si>
  <si>
    <t xml:space="preserve">بلال </t>
  </si>
  <si>
    <t xml:space="preserve">اکبر </t>
  </si>
  <si>
    <t>عثمان</t>
  </si>
  <si>
    <t>بنو رحمن الله</t>
  </si>
  <si>
    <t>طاهر</t>
  </si>
  <si>
    <t>صل میر</t>
  </si>
  <si>
    <t>بوره</t>
  </si>
  <si>
    <t>عمران</t>
  </si>
  <si>
    <t>لایق</t>
  </si>
  <si>
    <t>عبدالواحد</t>
  </si>
  <si>
    <t>محمد حکیم</t>
  </si>
  <si>
    <t>ماشوم خان</t>
  </si>
  <si>
    <t>تاج علی</t>
  </si>
  <si>
    <t>جنت</t>
  </si>
  <si>
    <t>ګل والی</t>
  </si>
  <si>
    <t>عرب الله</t>
  </si>
  <si>
    <t>عفور جان</t>
  </si>
  <si>
    <t>برک زی</t>
  </si>
  <si>
    <t>لعل الدین</t>
  </si>
  <si>
    <t>شمس الدین</t>
  </si>
  <si>
    <t>شمعه بکری</t>
  </si>
  <si>
    <t>اسلام الدین</t>
  </si>
  <si>
    <t>رحمت الله ملا</t>
  </si>
  <si>
    <t>عید والی</t>
  </si>
  <si>
    <t>موسی ګل</t>
  </si>
  <si>
    <t>رضوان</t>
  </si>
  <si>
    <t>عبدالرحمان</t>
  </si>
  <si>
    <t>فاروق</t>
  </si>
  <si>
    <t>شاهین</t>
  </si>
  <si>
    <t>طالب</t>
  </si>
  <si>
    <t>عارف الله</t>
  </si>
  <si>
    <t>حنیف الله</t>
  </si>
  <si>
    <t>مصعود</t>
  </si>
  <si>
    <t>سیف الرحمان</t>
  </si>
  <si>
    <t>زاین</t>
  </si>
  <si>
    <t>عزیز الله</t>
  </si>
  <si>
    <t>اسمارالدین</t>
  </si>
  <si>
    <t>عرنی</t>
  </si>
  <si>
    <t>نسیم</t>
  </si>
  <si>
    <t>صادق</t>
  </si>
  <si>
    <t>عمر</t>
  </si>
  <si>
    <t>اجمل</t>
  </si>
  <si>
    <t>محمد نعیم</t>
  </si>
  <si>
    <t>شیراغا</t>
  </si>
  <si>
    <t>سردار</t>
  </si>
  <si>
    <t>مالیس</t>
  </si>
  <si>
    <t>نورنګ</t>
  </si>
  <si>
    <t>خان زمان</t>
  </si>
  <si>
    <t>طلا خان</t>
  </si>
  <si>
    <t>اسلام الدین ملا</t>
  </si>
  <si>
    <t>شفیق زمان</t>
  </si>
  <si>
    <t>سمیع الله</t>
  </si>
  <si>
    <t xml:space="preserve">حبیب </t>
  </si>
  <si>
    <t>سیف الرحمن</t>
  </si>
  <si>
    <t>زاهد الله</t>
  </si>
  <si>
    <t>والی خان</t>
  </si>
  <si>
    <t>لطیف</t>
  </si>
  <si>
    <t>سبزی واله</t>
  </si>
  <si>
    <t>نورالرحمان</t>
  </si>
  <si>
    <t>جیلم</t>
  </si>
  <si>
    <t>اسرابیل</t>
  </si>
  <si>
    <t>واحد</t>
  </si>
  <si>
    <t>امیر خان</t>
  </si>
  <si>
    <t>ګل لدین</t>
  </si>
  <si>
    <t>بابو</t>
  </si>
  <si>
    <t>تواب</t>
  </si>
  <si>
    <t>ګل جمال</t>
  </si>
  <si>
    <t xml:space="preserve">تاج </t>
  </si>
  <si>
    <t>نور محمد</t>
  </si>
  <si>
    <t>عبدالرحیم ډاکټر</t>
  </si>
  <si>
    <t>اباسین</t>
  </si>
  <si>
    <t>سراج</t>
  </si>
  <si>
    <t>حواږه واله</t>
  </si>
  <si>
    <t>عبدالله</t>
  </si>
  <si>
    <t>رایس</t>
  </si>
  <si>
    <t>ننوایی</t>
  </si>
  <si>
    <t>شهباز خان</t>
  </si>
  <si>
    <t>ګل ارحمان</t>
  </si>
  <si>
    <t>اختر زمان</t>
  </si>
  <si>
    <t>پامیر</t>
  </si>
  <si>
    <t>محیب الرحمن</t>
  </si>
  <si>
    <t>امین والی جان</t>
  </si>
  <si>
    <t>سمت الله خان</t>
  </si>
  <si>
    <t>جلیل حمام</t>
  </si>
  <si>
    <t>معروف خان</t>
  </si>
  <si>
    <t>محمد جان</t>
  </si>
  <si>
    <t>محمد امین</t>
  </si>
  <si>
    <t>ګلا امین کوټه</t>
  </si>
  <si>
    <t>ګلاامین دوکان</t>
  </si>
  <si>
    <t>طاهر شاه</t>
  </si>
  <si>
    <t>محمد رحیم</t>
  </si>
  <si>
    <t>عزت ګل</t>
  </si>
  <si>
    <t>شهید</t>
  </si>
  <si>
    <t>روح الله</t>
  </si>
  <si>
    <t>رسول</t>
  </si>
  <si>
    <t>میروایس</t>
  </si>
  <si>
    <t>اصف</t>
  </si>
  <si>
    <t>عادل</t>
  </si>
  <si>
    <t>ایمل</t>
  </si>
  <si>
    <t>۴ صرافان</t>
  </si>
  <si>
    <t xml:space="preserve">تواب خان </t>
  </si>
  <si>
    <t>تواب خان تر</t>
  </si>
  <si>
    <t>یوسف</t>
  </si>
  <si>
    <t>ستار</t>
  </si>
  <si>
    <t>کمین</t>
  </si>
  <si>
    <t>قربان</t>
  </si>
  <si>
    <t>برکت خان</t>
  </si>
  <si>
    <t>جمشید</t>
  </si>
  <si>
    <t>سایل</t>
  </si>
  <si>
    <t>کمال</t>
  </si>
  <si>
    <t>نورستان</t>
  </si>
  <si>
    <t>طایت</t>
  </si>
  <si>
    <t>اقایل</t>
  </si>
  <si>
    <t>عبدالغفار</t>
  </si>
  <si>
    <t>شیرزاعلی</t>
  </si>
  <si>
    <t>اختر ګل</t>
  </si>
  <si>
    <t>پیر</t>
  </si>
  <si>
    <t>حبیب الرحمان</t>
  </si>
  <si>
    <t>حاجی والی ګل</t>
  </si>
  <si>
    <t>ابراهیم</t>
  </si>
  <si>
    <t>ګل</t>
  </si>
  <si>
    <t>محمد عنی</t>
  </si>
  <si>
    <t>میر قاسم</t>
  </si>
  <si>
    <t>رسول محمد</t>
  </si>
  <si>
    <t>علی زمان</t>
  </si>
  <si>
    <t>منیر</t>
  </si>
  <si>
    <t>عابد</t>
  </si>
  <si>
    <t>شهید الله</t>
  </si>
  <si>
    <t>خان صاحب</t>
  </si>
  <si>
    <t>نقیب الله</t>
  </si>
  <si>
    <t>داود</t>
  </si>
  <si>
    <t>محمد شفیق</t>
  </si>
  <si>
    <t>محمد حسین</t>
  </si>
  <si>
    <t>نظیر خان</t>
  </si>
  <si>
    <t>عبدالحمید</t>
  </si>
  <si>
    <t>برکت</t>
  </si>
  <si>
    <t>عثمان غنی</t>
  </si>
  <si>
    <t>المرخان</t>
  </si>
  <si>
    <t>کاظیم کل</t>
  </si>
  <si>
    <t>عازوګل</t>
  </si>
  <si>
    <t>حاجی داود</t>
  </si>
  <si>
    <t>نثار احمد</t>
  </si>
  <si>
    <t>حکمت الله</t>
  </si>
  <si>
    <t>دادا</t>
  </si>
  <si>
    <t>صدیق</t>
  </si>
  <si>
    <t>عفار حرادی</t>
  </si>
  <si>
    <t>محمد الله</t>
  </si>
  <si>
    <t>زمری</t>
  </si>
  <si>
    <t>احمد الله</t>
  </si>
  <si>
    <t>شهید زای</t>
  </si>
  <si>
    <t>رسول جمال</t>
  </si>
  <si>
    <t>سید قلیم</t>
  </si>
  <si>
    <t>میوه ګل</t>
  </si>
  <si>
    <t>عبدالوالی</t>
  </si>
  <si>
    <t>دیدان</t>
  </si>
  <si>
    <t>ولی الرحمان</t>
  </si>
  <si>
    <t>اسحاق</t>
  </si>
  <si>
    <t>اسلم</t>
  </si>
  <si>
    <t>زاکیم</t>
  </si>
  <si>
    <t>فتح الله</t>
  </si>
  <si>
    <t>فرید</t>
  </si>
  <si>
    <t>نوروالی شاه</t>
  </si>
  <si>
    <t>قمرالله</t>
  </si>
  <si>
    <t>فریدالله</t>
  </si>
  <si>
    <t>فهاد</t>
  </si>
  <si>
    <t>امان الله</t>
  </si>
  <si>
    <t>زین الله</t>
  </si>
  <si>
    <t>شیخ</t>
  </si>
  <si>
    <t>ګلاب دوکان</t>
  </si>
  <si>
    <t>قادر</t>
  </si>
  <si>
    <t>منشی رافیق</t>
  </si>
  <si>
    <t>بادشاه زمین</t>
  </si>
  <si>
    <t>ګلاب</t>
  </si>
  <si>
    <t>اصف انور</t>
  </si>
  <si>
    <t>قاسم</t>
  </si>
  <si>
    <t xml:space="preserve">محمد الله </t>
  </si>
  <si>
    <t>حمیدی</t>
  </si>
  <si>
    <t>نایب الدین</t>
  </si>
  <si>
    <t>سویس حیاطی</t>
  </si>
  <si>
    <t xml:space="preserve">صابر </t>
  </si>
  <si>
    <t>بادشاه ګل</t>
  </si>
  <si>
    <t>نظام الدین</t>
  </si>
  <si>
    <t>موسی ډاکټر</t>
  </si>
  <si>
    <t>محمد والی</t>
  </si>
  <si>
    <t>محمد رحمان</t>
  </si>
  <si>
    <t>هارون</t>
  </si>
  <si>
    <t>نصیب الله تلفون</t>
  </si>
  <si>
    <t>دوبی مغازه</t>
  </si>
  <si>
    <t>انورشاه</t>
  </si>
  <si>
    <t>عبدالله شاه</t>
  </si>
  <si>
    <t>ثمرګل</t>
  </si>
  <si>
    <t>عطیق الله</t>
  </si>
  <si>
    <t>مین الله</t>
  </si>
  <si>
    <t>فروز</t>
  </si>
  <si>
    <t>سیدانور شاه</t>
  </si>
  <si>
    <t>حکیم</t>
  </si>
  <si>
    <t>قدرت دوکان</t>
  </si>
  <si>
    <t>میروالی شاه</t>
  </si>
  <si>
    <t>عسی خیل</t>
  </si>
  <si>
    <t>عبدالرحمن</t>
  </si>
  <si>
    <t>بنجاره</t>
  </si>
  <si>
    <t>شیرنواز</t>
  </si>
  <si>
    <t>مطیع الله</t>
  </si>
  <si>
    <t>حادیم الله</t>
  </si>
  <si>
    <t>زانګی خان</t>
  </si>
  <si>
    <t>میرزاعلی شاه مغازه</t>
  </si>
  <si>
    <t>قادرمیر</t>
  </si>
  <si>
    <t>قدرت کوټه</t>
  </si>
  <si>
    <t>سیف الله رحت</t>
  </si>
  <si>
    <t>عبدالرازیق</t>
  </si>
  <si>
    <t>نصرت الله</t>
  </si>
  <si>
    <t>نور الرحمان</t>
  </si>
  <si>
    <t>سید حبیب شاه</t>
  </si>
  <si>
    <t>پش محمد</t>
  </si>
  <si>
    <t>امین ګل</t>
  </si>
  <si>
    <t>نورالله</t>
  </si>
  <si>
    <t>عفار</t>
  </si>
  <si>
    <t>سید محمد</t>
  </si>
  <si>
    <t>ولی اکبر</t>
  </si>
  <si>
    <t>نبی الرحمان</t>
  </si>
  <si>
    <t>قاضی الرحمان</t>
  </si>
  <si>
    <t>کوټ حیاطی</t>
  </si>
  <si>
    <t>سید اکبر</t>
  </si>
  <si>
    <t>محمد رسول</t>
  </si>
  <si>
    <t xml:space="preserve">احمد </t>
  </si>
  <si>
    <t>یونس</t>
  </si>
  <si>
    <t>سیدالله</t>
  </si>
  <si>
    <t>لاهور</t>
  </si>
  <si>
    <t>عبدرووف</t>
  </si>
  <si>
    <t>بادام</t>
  </si>
  <si>
    <t>وطن پلازه</t>
  </si>
  <si>
    <t>سنګین پلازه</t>
  </si>
  <si>
    <t>اسلام پلازه</t>
  </si>
  <si>
    <t>نورګل پلازه</t>
  </si>
  <si>
    <t>خیال باز</t>
  </si>
  <si>
    <t>عبدالعزیز</t>
  </si>
  <si>
    <t>سیف الله پلازه</t>
  </si>
  <si>
    <t>خیبر چپخانه</t>
  </si>
  <si>
    <t>خوست</t>
  </si>
  <si>
    <t>اصیف پلازه</t>
  </si>
  <si>
    <t>پکتیاوال</t>
  </si>
  <si>
    <t>لعل بادشاه</t>
  </si>
  <si>
    <t>محمد والی شاه</t>
  </si>
  <si>
    <t>مصطفی</t>
  </si>
  <si>
    <t>پکتیاوال ورور</t>
  </si>
  <si>
    <t>نادر</t>
  </si>
  <si>
    <t>شیراجان</t>
  </si>
  <si>
    <t>چنار پلازه</t>
  </si>
  <si>
    <t>امید</t>
  </si>
  <si>
    <t>محلص پلازه</t>
  </si>
  <si>
    <t>عبدالکریم</t>
  </si>
  <si>
    <t>بنګش پلازه</t>
  </si>
  <si>
    <t>محمد شاه پلازه</t>
  </si>
  <si>
    <t>واحدی پلازه</t>
  </si>
  <si>
    <t>اکرم حاجی</t>
  </si>
  <si>
    <t>والی زوالله</t>
  </si>
  <si>
    <t>حبیب چپخانه</t>
  </si>
  <si>
    <t>مبارک شاه</t>
  </si>
  <si>
    <t>ګل الرحمان</t>
  </si>
  <si>
    <t>رفیق الله</t>
  </si>
  <si>
    <t>ایوب کلب</t>
  </si>
  <si>
    <t>امینی پلازه</t>
  </si>
  <si>
    <t>قصور شاه</t>
  </si>
  <si>
    <t>جاوید</t>
  </si>
  <si>
    <t>قدوس</t>
  </si>
  <si>
    <t>دوست محمد</t>
  </si>
  <si>
    <t>حمید الله</t>
  </si>
  <si>
    <t>باقی خان</t>
  </si>
  <si>
    <t>حبیب</t>
  </si>
  <si>
    <t>جاوید الله</t>
  </si>
  <si>
    <t>پته: خوست ښار عبدالصمد مارکیټ</t>
  </si>
  <si>
    <t>امضاآ:</t>
  </si>
  <si>
    <t>کلداری جمله:</t>
  </si>
  <si>
    <t>منزل نمبر:</t>
  </si>
  <si>
    <t>اول</t>
  </si>
  <si>
    <t xml:space="preserve">       نصیب الله تلیفون</t>
  </si>
  <si>
    <t>باخان جنراتوری بریښنا</t>
  </si>
  <si>
    <t>حمام مارکیټ دولتي بیل</t>
  </si>
  <si>
    <t xml:space="preserve">       زاهد موبیل</t>
  </si>
  <si>
    <t xml:space="preserve">       فیض الله</t>
  </si>
  <si>
    <t xml:space="preserve">      محمد الرحمان</t>
  </si>
  <si>
    <t xml:space="preserve">       صفت الله</t>
  </si>
  <si>
    <t>زرزمینی</t>
  </si>
  <si>
    <t xml:space="preserve">       سید الرحمن</t>
  </si>
  <si>
    <t xml:space="preserve">       ډاکتر موسی</t>
  </si>
  <si>
    <t xml:space="preserve">      نظام الدین</t>
  </si>
  <si>
    <t xml:space="preserve">       مجاهد</t>
  </si>
  <si>
    <t xml:space="preserve">      ابراهیم</t>
  </si>
  <si>
    <t xml:space="preserve">     انور</t>
  </si>
  <si>
    <t xml:space="preserve">     فضل میر</t>
  </si>
  <si>
    <t xml:space="preserve">       ګلاب</t>
  </si>
  <si>
    <t xml:space="preserve">       هارون</t>
  </si>
  <si>
    <t xml:space="preserve">      حلیل</t>
  </si>
  <si>
    <t>دوهم منزل</t>
  </si>
  <si>
    <t>ریف الله</t>
  </si>
  <si>
    <t>محمد شبیر</t>
  </si>
  <si>
    <t>برات</t>
  </si>
  <si>
    <t>عیدوالی</t>
  </si>
  <si>
    <t>لایق خان</t>
  </si>
  <si>
    <t>دانش</t>
  </si>
  <si>
    <t>منور</t>
  </si>
  <si>
    <t>محمد صیف</t>
  </si>
  <si>
    <t>محمد غفور</t>
  </si>
  <si>
    <t>بحت ولی</t>
  </si>
  <si>
    <t>شین ګل</t>
  </si>
  <si>
    <t>سیدوالی</t>
  </si>
  <si>
    <t>اسماعیل</t>
  </si>
  <si>
    <t>اکبر شاه</t>
  </si>
  <si>
    <t>هجرت</t>
  </si>
  <si>
    <t>حافظ</t>
  </si>
  <si>
    <t>رائس</t>
  </si>
  <si>
    <t>نصیب خان</t>
  </si>
  <si>
    <t>فیروز</t>
  </si>
  <si>
    <t>الیف ګل</t>
  </si>
  <si>
    <t>انارګل</t>
  </si>
  <si>
    <t>صالح</t>
  </si>
  <si>
    <t xml:space="preserve">زاهد </t>
  </si>
  <si>
    <t>سید کمال</t>
  </si>
  <si>
    <t>امان</t>
  </si>
  <si>
    <t>زبیر</t>
  </si>
  <si>
    <t>صادق الرحمن</t>
  </si>
  <si>
    <t>p</t>
  </si>
  <si>
    <t>اول منزل</t>
  </si>
  <si>
    <t>غازی جان</t>
  </si>
  <si>
    <t>محمد خان</t>
  </si>
  <si>
    <t>سید الله</t>
  </si>
  <si>
    <t>مظاهر</t>
  </si>
  <si>
    <t>ثواب</t>
  </si>
  <si>
    <t xml:space="preserve">مجیب </t>
  </si>
  <si>
    <t>نعمت الله ۲</t>
  </si>
  <si>
    <t>فضل الرحمن</t>
  </si>
  <si>
    <t>سیدالرحمن</t>
  </si>
  <si>
    <t>قلم خان</t>
  </si>
  <si>
    <t>بصیر</t>
  </si>
  <si>
    <t>محمد ګل</t>
  </si>
  <si>
    <t>شفیق الله</t>
  </si>
  <si>
    <t>حکیم خان</t>
  </si>
  <si>
    <t>شیرعلی</t>
  </si>
  <si>
    <t>فیضو</t>
  </si>
  <si>
    <t>ظفر</t>
  </si>
  <si>
    <t>ټکور</t>
  </si>
  <si>
    <t>راحیم</t>
  </si>
  <si>
    <t>یعقوت شاه</t>
  </si>
  <si>
    <t>طایب الله</t>
  </si>
  <si>
    <t>ګل نبی</t>
  </si>
  <si>
    <t>امیل</t>
  </si>
  <si>
    <t>حمید</t>
  </si>
  <si>
    <t>معروف</t>
  </si>
  <si>
    <t>فرید الله</t>
  </si>
  <si>
    <t>عالی مرجان</t>
  </si>
  <si>
    <t>عنایت الله</t>
  </si>
  <si>
    <t>والی</t>
  </si>
  <si>
    <t>عبد الله</t>
  </si>
  <si>
    <t>شفیق</t>
  </si>
  <si>
    <t>غازی</t>
  </si>
  <si>
    <t>حضرت عالي</t>
  </si>
  <si>
    <t>ثمر</t>
  </si>
  <si>
    <t>ممتاز</t>
  </si>
  <si>
    <t>خالد</t>
  </si>
  <si>
    <t>خلیل خاورې</t>
  </si>
  <si>
    <t>صفت الله</t>
  </si>
  <si>
    <t>قریب الله</t>
  </si>
  <si>
    <t>بیناوا</t>
  </si>
  <si>
    <t>رافیع الله</t>
  </si>
  <si>
    <t>زاهد</t>
  </si>
  <si>
    <t>نجیب الله</t>
  </si>
  <si>
    <t>محمد نبی</t>
  </si>
  <si>
    <t>مبارک</t>
  </si>
  <si>
    <t xml:space="preserve">منشی: </t>
  </si>
  <si>
    <t xml:space="preserve">منشی :  0772889088  </t>
  </si>
  <si>
    <t>نجیب نعیم زوی پلازه</t>
  </si>
  <si>
    <t>۳۰/۳/۱۴۰۱</t>
  </si>
  <si>
    <t>جوزا</t>
  </si>
  <si>
    <t>محمد نبی ویش مارکیت</t>
  </si>
  <si>
    <t xml:space="preserve"> د بریښنا نه کارولو په صورت کې به ستاسو څخه (3000) افغانی اخېستل کیږي </t>
  </si>
  <si>
    <t>عیده خان</t>
  </si>
  <si>
    <t>قدرت  کوټه</t>
  </si>
  <si>
    <t xml:space="preserve"> عابد</t>
  </si>
  <si>
    <t>انورالحق</t>
  </si>
  <si>
    <t>معصوم</t>
  </si>
  <si>
    <t>جمال ارحمان</t>
  </si>
  <si>
    <t>احمد خان</t>
  </si>
  <si>
    <t xml:space="preserve">  شجاخان</t>
  </si>
  <si>
    <t>اصیف</t>
  </si>
  <si>
    <t xml:space="preserve">نعمت </t>
  </si>
  <si>
    <t>سیدالرحمان</t>
  </si>
  <si>
    <t>نورزعلی</t>
  </si>
  <si>
    <t>حکیم جان</t>
  </si>
  <si>
    <t>لایرخان</t>
  </si>
  <si>
    <t>مجاهد</t>
  </si>
  <si>
    <t>فیض الله</t>
  </si>
  <si>
    <t>منګل</t>
  </si>
  <si>
    <t>لیاقت مساله دوګان</t>
  </si>
  <si>
    <t>شمشاد</t>
  </si>
  <si>
    <t xml:space="preserve">محمد ظا هر الدین </t>
  </si>
  <si>
    <t>دفتر والا</t>
  </si>
  <si>
    <t>ریات خان</t>
  </si>
  <si>
    <t xml:space="preserve"> طایب خان</t>
  </si>
  <si>
    <t>شهزاده</t>
  </si>
  <si>
    <t>صابر خان</t>
  </si>
  <si>
    <t xml:space="preserve">صافی الله </t>
  </si>
  <si>
    <t>مومند</t>
  </si>
  <si>
    <t>صمیم</t>
  </si>
  <si>
    <t xml:space="preserve"> برات</t>
  </si>
  <si>
    <t>نصرت</t>
  </si>
  <si>
    <t>میرزاعلی</t>
  </si>
  <si>
    <t>عبدالعزیز مساله دوکان</t>
  </si>
  <si>
    <t>کاکی</t>
  </si>
  <si>
    <t>حضرت والی لباس</t>
  </si>
  <si>
    <t>عبدالله چورمې</t>
  </si>
  <si>
    <t>قیوم حیاط</t>
  </si>
  <si>
    <t>عجاب</t>
  </si>
  <si>
    <t>زوبیر</t>
  </si>
  <si>
    <t>ایات خان</t>
  </si>
  <si>
    <t>عبدالرازق</t>
  </si>
  <si>
    <t xml:space="preserve">  فیض محمد</t>
  </si>
  <si>
    <t>کلندر</t>
  </si>
  <si>
    <t>محمود\</t>
  </si>
  <si>
    <t>عبدالرحمن ټکری</t>
  </si>
  <si>
    <t>رافیدالله</t>
  </si>
  <si>
    <t>چمې مارکیت</t>
  </si>
  <si>
    <t>چمې صارف</t>
  </si>
  <si>
    <t>حمام</t>
  </si>
  <si>
    <t>پلازی</t>
  </si>
  <si>
    <t>چمی مارکیټ</t>
  </si>
  <si>
    <t>حمام مارکیټ</t>
  </si>
  <si>
    <t xml:space="preserve">مسول باخان </t>
  </si>
  <si>
    <t xml:space="preserve">     منشی</t>
  </si>
  <si>
    <t xml:space="preserve">صفت الله </t>
  </si>
  <si>
    <t>خبیب</t>
  </si>
  <si>
    <t>توریالی</t>
  </si>
  <si>
    <t>دریم منزل</t>
  </si>
  <si>
    <t>واحد ګل</t>
  </si>
  <si>
    <t>نورخان</t>
  </si>
  <si>
    <t>لعل خان</t>
  </si>
  <si>
    <t>فیصل</t>
  </si>
  <si>
    <t>سرطان</t>
  </si>
  <si>
    <t>۳۱/۴/۱۴۰۱</t>
  </si>
  <si>
    <t xml:space="preserve">عزیز منشی :  0776680201  </t>
  </si>
  <si>
    <t>شازاعلی</t>
  </si>
  <si>
    <t xml:space="preserve">   شریف الله</t>
  </si>
  <si>
    <t xml:space="preserve"> واحد</t>
  </si>
  <si>
    <t>اجمل ګلدوز</t>
  </si>
  <si>
    <t>ننوایی محمد جمال</t>
  </si>
  <si>
    <t xml:space="preserve">  یاسر</t>
  </si>
  <si>
    <t>MTN</t>
  </si>
  <si>
    <t>واحد نور</t>
  </si>
  <si>
    <t>حضرت خان</t>
  </si>
  <si>
    <t>اول خان</t>
  </si>
  <si>
    <t>وادان</t>
  </si>
  <si>
    <t xml:space="preserve">  شیر</t>
  </si>
  <si>
    <t>محمد یونس</t>
  </si>
  <si>
    <t>انور</t>
  </si>
  <si>
    <t>والی اکبر</t>
  </si>
  <si>
    <t>دوهم</t>
  </si>
  <si>
    <t>6000/23</t>
  </si>
  <si>
    <t>اسد</t>
  </si>
  <si>
    <t>۳۱/۵/۱۴۰۱</t>
  </si>
  <si>
    <t xml:space="preserve">  aug - 2022</t>
  </si>
  <si>
    <t>احمد راووف</t>
  </si>
  <si>
    <t xml:space="preserve"> محبت</t>
  </si>
  <si>
    <t xml:space="preserve"> محمد غنی چورمی</t>
  </si>
  <si>
    <t xml:space="preserve">   فاروق ګلدوز</t>
  </si>
  <si>
    <t xml:space="preserve">  قریب الله دوهم</t>
  </si>
  <si>
    <t xml:space="preserve">  وادان</t>
  </si>
  <si>
    <t>شیرین</t>
  </si>
  <si>
    <t>فرهاد الله</t>
  </si>
  <si>
    <t>ثمر غفورالله</t>
  </si>
  <si>
    <t>نور غفورالله</t>
  </si>
  <si>
    <t>فضل حکیم</t>
  </si>
  <si>
    <t xml:space="preserve">   بریال</t>
  </si>
  <si>
    <t xml:space="preserve">      نصیب الله</t>
  </si>
  <si>
    <t>سنبله</t>
  </si>
  <si>
    <t>بخت الله</t>
  </si>
  <si>
    <t>قریب الله دوهم</t>
  </si>
  <si>
    <t xml:space="preserve">نعمت الله </t>
  </si>
  <si>
    <t>۳۱/۶/۱۴۰۱</t>
  </si>
  <si>
    <t>احسان الله کوټه</t>
  </si>
  <si>
    <t>ثمرالله امان</t>
  </si>
  <si>
    <t>عجاز دفتر</t>
  </si>
  <si>
    <t>قاری</t>
  </si>
  <si>
    <t>ټکر</t>
  </si>
  <si>
    <t>هلال</t>
  </si>
  <si>
    <t>عبدالهادی</t>
  </si>
  <si>
    <t xml:space="preserve">   واحدالله</t>
  </si>
  <si>
    <t>عطا محمد</t>
  </si>
  <si>
    <t>رضوان الله</t>
  </si>
  <si>
    <t xml:space="preserve">   سید الله</t>
  </si>
  <si>
    <t>سخي زمان</t>
  </si>
  <si>
    <t xml:space="preserve">  اسحاق</t>
  </si>
  <si>
    <t>نسیم جان</t>
  </si>
  <si>
    <t xml:space="preserve">  September - 2022</t>
  </si>
  <si>
    <t>میزان</t>
  </si>
  <si>
    <t>سخی خان</t>
  </si>
  <si>
    <t xml:space="preserve"> حمام</t>
  </si>
  <si>
    <t xml:space="preserve"> بادشاه خان</t>
  </si>
  <si>
    <t>کرامت</t>
  </si>
  <si>
    <t xml:space="preserve">  شیرین</t>
  </si>
  <si>
    <t xml:space="preserve"> محمد جان</t>
  </si>
  <si>
    <t>۳۰/۷/۱۴۰۱</t>
  </si>
  <si>
    <t>کرامت الله</t>
  </si>
  <si>
    <t>حیالی</t>
  </si>
  <si>
    <t>بادشاه خان</t>
  </si>
  <si>
    <t>بیطاب</t>
  </si>
  <si>
    <t xml:space="preserve"> صاحب شاه</t>
  </si>
  <si>
    <t>ګل کریم</t>
  </si>
  <si>
    <t>فریشید اغا</t>
  </si>
  <si>
    <t xml:space="preserve"> Oct - 2022</t>
  </si>
  <si>
    <t>30/08/1401</t>
  </si>
  <si>
    <t>عقرب</t>
  </si>
  <si>
    <t>30/8/1401</t>
  </si>
  <si>
    <t>ثمیر ګل</t>
  </si>
  <si>
    <t>عبدالله ایجنسی</t>
  </si>
  <si>
    <t>فارمان الله</t>
  </si>
  <si>
    <t xml:space="preserve"> داود ۳</t>
  </si>
  <si>
    <t xml:space="preserve"> فضل</t>
  </si>
  <si>
    <t xml:space="preserve"> نقیب</t>
  </si>
  <si>
    <t>خیدرخان</t>
  </si>
  <si>
    <t>محمد نور</t>
  </si>
  <si>
    <t>نعمت خان</t>
  </si>
  <si>
    <t xml:space="preserve"> Nov - 2022</t>
  </si>
  <si>
    <t>31/12/2022</t>
  </si>
  <si>
    <t xml:space="preserve">ډیسمبر ( Dec) </t>
  </si>
  <si>
    <t xml:space="preserve">   لطیف الله</t>
  </si>
  <si>
    <t xml:space="preserve">   بصیر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</si>
</sst>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3000401]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C00000"/>
      <name val="Times New Roman"/>
      <family val="1"/>
    </font>
    <font>
      <b/>
      <sz val="26"/>
      <color theme="1"/>
      <name val="Times New Roman"/>
      <family val="1"/>
    </font>
    <font>
      <b/>
      <sz val="26"/>
      <color rgb="FFFF0000"/>
      <name val="Times New Roman"/>
      <family val="1"/>
    </font>
    <font>
      <b/>
      <sz val="26"/>
      <color rgb="FF7030A0"/>
      <name val="Times New Roman"/>
      <family val="1"/>
    </font>
    <font>
      <b/>
      <sz val="26"/>
      <color theme="1"/>
      <name val="Calibri"/>
      <family val="2"/>
      <scheme val="minor"/>
    </font>
    <font>
      <sz val="22"/>
      <color theme="1"/>
      <name val="Times New Roman"/>
      <family val="1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6"/>
      <color rgb="FFFF0000"/>
      <name val="Times New Roman"/>
      <family val="1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C00000"/>
      <name val="Times New Roman"/>
      <family val="1"/>
    </font>
    <font>
      <b/>
      <sz val="28"/>
      <color theme="1"/>
      <name val="Times New Roman"/>
      <family val="1"/>
    </font>
    <font>
      <b/>
      <sz val="28"/>
      <color rgb="FFFF0000"/>
      <name val="Times New Roman"/>
      <family val="1"/>
    </font>
    <font>
      <b/>
      <sz val="28"/>
      <color rgb="FF7030A0"/>
      <name val="Times New Roman"/>
      <family val="1"/>
    </font>
    <font>
      <sz val="24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theme="9" tint="-0.499984740745262"/>
      <name val="Bahij Zar"/>
      <family val="1"/>
    </font>
    <font>
      <sz val="18"/>
      <color theme="1"/>
      <name val="Bahij Zar"/>
      <family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5">
    <xf numFmtId="0" fontId="0" fillId="0" borderId="0" xfId="0"/>
    <xf numFmtId="14" fontId="4" fillId="0" borderId="9" xfId="0" applyNumberFormat="1" applyFont="1" applyFill="1" applyBorder="1" applyAlignment="1">
      <alignment shrinkToFit="1"/>
    </xf>
    <xf numFmtId="0" fontId="3" fillId="0" borderId="11" xfId="0" applyFont="1" applyFill="1" applyBorder="1" applyAlignment="1">
      <alignment shrinkToFit="1"/>
    </xf>
    <xf numFmtId="0" fontId="3" fillId="0" borderId="9" xfId="0" applyFont="1" applyFill="1" applyBorder="1" applyAlignment="1">
      <alignment shrinkToFit="1"/>
    </xf>
    <xf numFmtId="0" fontId="3" fillId="0" borderId="10" xfId="0" applyFont="1" applyFill="1" applyBorder="1" applyAlignment="1">
      <alignment shrinkToFit="1"/>
    </xf>
    <xf numFmtId="0" fontId="3" fillId="0" borderId="10" xfId="0" applyFont="1" applyFill="1" applyBorder="1" applyAlignment="1">
      <alignment vertical="center" shrinkToFit="1"/>
    </xf>
    <xf numFmtId="0" fontId="7" fillId="2" borderId="0" xfId="0" applyFont="1" applyFill="1" applyAlignment="1">
      <alignment horizontal="center" vertical="center" shrinkToFit="1"/>
    </xf>
    <xf numFmtId="0" fontId="8" fillId="2" borderId="0" xfId="0" applyFont="1" applyFill="1"/>
    <xf numFmtId="0" fontId="8" fillId="0" borderId="0" xfId="0" applyFont="1"/>
    <xf numFmtId="0" fontId="8" fillId="2" borderId="4" xfId="0" applyFont="1" applyFill="1" applyBorder="1"/>
    <xf numFmtId="0" fontId="8" fillId="2" borderId="0" xfId="0" applyFont="1" applyFill="1" applyBorder="1"/>
    <xf numFmtId="0" fontId="8" fillId="2" borderId="5" xfId="0" applyFont="1" applyFill="1" applyBorder="1"/>
    <xf numFmtId="0" fontId="7" fillId="2" borderId="0" xfId="0" applyFont="1" applyFill="1" applyBorder="1" applyAlignment="1">
      <alignment horizontal="center" shrinkToFit="1"/>
    </xf>
    <xf numFmtId="0" fontId="8" fillId="0" borderId="0" xfId="0" applyFont="1" applyBorder="1"/>
    <xf numFmtId="0" fontId="8" fillId="2" borderId="0" xfId="0" applyFont="1" applyFill="1" applyAlignment="1">
      <alignment horizontal="center"/>
    </xf>
    <xf numFmtId="43" fontId="7" fillId="2" borderId="0" xfId="1" applyFont="1" applyFill="1" applyBorder="1" applyAlignment="1">
      <alignment shrinkToFit="1"/>
    </xf>
    <xf numFmtId="0" fontId="7" fillId="2" borderId="0" xfId="0" applyFont="1" applyFill="1" applyBorder="1" applyAlignment="1">
      <alignment shrinkToFit="1"/>
    </xf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7" fillId="2" borderId="0" xfId="0" applyFont="1" applyFill="1" applyAlignment="1">
      <alignment shrinkToFit="1"/>
    </xf>
    <xf numFmtId="0" fontId="7" fillId="2" borderId="0" xfId="0" applyFont="1" applyFill="1" applyAlignment="1">
      <alignment horizontal="center" shrinkToFit="1"/>
    </xf>
    <xf numFmtId="0" fontId="7" fillId="2" borderId="13" xfId="0" applyFont="1" applyFill="1" applyBorder="1" applyAlignment="1">
      <alignment shrinkToFit="1"/>
    </xf>
    <xf numFmtId="0" fontId="9" fillId="0" borderId="4" xfId="0" applyFont="1" applyFill="1" applyBorder="1"/>
    <xf numFmtId="0" fontId="9" fillId="0" borderId="0" xfId="0" applyFont="1" applyFill="1" applyBorder="1"/>
    <xf numFmtId="0" fontId="9" fillId="0" borderId="5" xfId="0" applyFont="1" applyFill="1" applyBorder="1"/>
    <xf numFmtId="0" fontId="3" fillId="0" borderId="12" xfId="0" applyFont="1" applyFill="1" applyBorder="1" applyAlignment="1">
      <alignment shrinkToFit="1"/>
    </xf>
    <xf numFmtId="0" fontId="14" fillId="0" borderId="0" xfId="0" applyFont="1"/>
    <xf numFmtId="0" fontId="14" fillId="2" borderId="0" xfId="0" applyFont="1" applyFill="1"/>
    <xf numFmtId="0" fontId="15" fillId="0" borderId="5" xfId="0" applyFont="1" applyFill="1" applyBorder="1"/>
    <xf numFmtId="0" fontId="15" fillId="0" borderId="0" xfId="0" applyFont="1" applyFill="1" applyBorder="1"/>
    <xf numFmtId="0" fontId="15" fillId="0" borderId="4" xfId="0" applyFont="1" applyFill="1" applyBorder="1"/>
    <xf numFmtId="0" fontId="17" fillId="0" borderId="10" xfId="0" applyFont="1" applyFill="1" applyBorder="1" applyAlignment="1">
      <alignment shrinkToFit="1"/>
    </xf>
    <xf numFmtId="0" fontId="18" fillId="0" borderId="9" xfId="0" applyFont="1" applyFill="1" applyBorder="1" applyAlignment="1">
      <alignment shrinkToFit="1"/>
    </xf>
    <xf numFmtId="0" fontId="17" fillId="0" borderId="9" xfId="0" applyFont="1" applyFill="1" applyBorder="1" applyAlignment="1">
      <alignment shrinkToFit="1"/>
    </xf>
    <xf numFmtId="0" fontId="17" fillId="0" borderId="12" xfId="0" applyFont="1" applyFill="1" applyBorder="1" applyAlignment="1">
      <alignment shrinkToFit="1"/>
    </xf>
    <xf numFmtId="0" fontId="17" fillId="0" borderId="11" xfId="0" applyFont="1" applyFill="1" applyBorder="1" applyAlignment="1">
      <alignment shrinkToFit="1"/>
    </xf>
    <xf numFmtId="14" fontId="18" fillId="0" borderId="9" xfId="0" applyNumberFormat="1" applyFont="1" applyFill="1" applyBorder="1" applyAlignment="1">
      <alignment shrinkToFit="1"/>
    </xf>
    <xf numFmtId="0" fontId="17" fillId="0" borderId="5" xfId="0" applyFont="1" applyFill="1" applyBorder="1" applyAlignment="1">
      <alignment shrinkToFit="1"/>
    </xf>
    <xf numFmtId="0" fontId="17" fillId="0" borderId="0" xfId="0" applyFont="1" applyFill="1" applyBorder="1" applyAlignment="1">
      <alignment shrinkToFit="1"/>
    </xf>
    <xf numFmtId="0" fontId="17" fillId="0" borderId="4" xfId="0" applyFont="1" applyFill="1" applyBorder="1" applyAlignment="1">
      <alignment shrinkToFit="1"/>
    </xf>
    <xf numFmtId="0" fontId="20" fillId="2" borderId="0" xfId="0" applyFont="1" applyFill="1" applyAlignment="1">
      <alignment shrinkToFit="1"/>
    </xf>
    <xf numFmtId="0" fontId="20" fillId="2" borderId="13" xfId="0" applyFont="1" applyFill="1" applyBorder="1" applyAlignment="1">
      <alignment shrinkToFit="1"/>
    </xf>
    <xf numFmtId="0" fontId="20" fillId="2" borderId="0" xfId="0" applyFont="1" applyFill="1" applyAlignment="1">
      <alignment horizontal="center" shrinkToFit="1"/>
    </xf>
    <xf numFmtId="0" fontId="20" fillId="2" borderId="0" xfId="0" applyFont="1" applyFill="1" applyAlignment="1">
      <alignment horizontal="center" vertical="center" shrinkToFit="1"/>
    </xf>
    <xf numFmtId="0" fontId="14" fillId="4" borderId="0" xfId="0" applyFont="1" applyFill="1"/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Border="1" applyAlignment="1">
      <alignment shrinkToFit="1"/>
    </xf>
    <xf numFmtId="0" fontId="14" fillId="2" borderId="8" xfId="0" applyFont="1" applyFill="1" applyBorder="1"/>
    <xf numFmtId="0" fontId="14" fillId="2" borderId="7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  <xf numFmtId="0" fontId="14" fillId="2" borderId="0" xfId="0" applyFont="1" applyFill="1" applyBorder="1"/>
    <xf numFmtId="0" fontId="14" fillId="2" borderId="4" xfId="0" applyFont="1" applyFill="1" applyBorder="1"/>
    <xf numFmtId="43" fontId="20" fillId="2" borderId="0" xfId="1" applyFont="1" applyFill="1" applyBorder="1" applyAlignment="1">
      <alignment shrinkToFit="1"/>
    </xf>
    <xf numFmtId="0" fontId="14" fillId="2" borderId="0" xfId="0" applyFont="1" applyFill="1" applyAlignment="1">
      <alignment horizontal="center"/>
    </xf>
    <xf numFmtId="0" fontId="14" fillId="0" borderId="0" xfId="0" applyFont="1" applyBorder="1"/>
    <xf numFmtId="0" fontId="20" fillId="2" borderId="0" xfId="0" applyFont="1" applyFill="1" applyBorder="1" applyAlignment="1">
      <alignment horizontal="center" shrinkToFit="1"/>
    </xf>
    <xf numFmtId="43" fontId="14" fillId="9" borderId="0" xfId="1" applyFont="1" applyFill="1" applyBorder="1"/>
    <xf numFmtId="17" fontId="22" fillId="0" borderId="0" xfId="0" applyNumberFormat="1" applyFont="1"/>
    <xf numFmtId="0" fontId="22" fillId="0" borderId="0" xfId="0" applyFont="1"/>
    <xf numFmtId="164" fontId="0" fillId="0" borderId="0" xfId="0" applyNumberFormat="1"/>
    <xf numFmtId="0" fontId="23" fillId="0" borderId="3" xfId="0" applyFont="1" applyBorder="1"/>
    <xf numFmtId="0" fontId="23" fillId="0" borderId="5" xfId="0" applyFont="1" applyBorder="1"/>
    <xf numFmtId="0" fontId="23" fillId="0" borderId="8" xfId="0" applyFont="1" applyBorder="1"/>
    <xf numFmtId="164" fontId="24" fillId="8" borderId="14" xfId="0" applyNumberFormat="1" applyFont="1" applyFill="1" applyBorder="1"/>
    <xf numFmtId="164" fontId="21" fillId="0" borderId="0" xfId="1" applyNumberFormat="1" applyFont="1"/>
    <xf numFmtId="164" fontId="25" fillId="0" borderId="0" xfId="0" applyNumberFormat="1" applyFont="1"/>
    <xf numFmtId="43" fontId="7" fillId="2" borderId="0" xfId="0" applyNumberFormat="1" applyFont="1" applyFill="1" applyBorder="1" applyAlignment="1">
      <alignment shrinkToFit="1"/>
    </xf>
    <xf numFmtId="164" fontId="23" fillId="0" borderId="1" xfId="1" applyNumberFormat="1" applyFont="1" applyBorder="1"/>
    <xf numFmtId="164" fontId="23" fillId="0" borderId="4" xfId="1" applyNumberFormat="1" applyFont="1" applyBorder="1"/>
    <xf numFmtId="164" fontId="23" fillId="0" borderId="6" xfId="1" applyNumberFormat="1" applyFont="1" applyBorder="1"/>
    <xf numFmtId="164" fontId="14" fillId="2" borderId="0" xfId="0" applyNumberFormat="1" applyFont="1" applyFill="1"/>
    <xf numFmtId="0" fontId="17" fillId="2" borderId="0" xfId="0" applyFont="1" applyFill="1" applyAlignment="1">
      <alignment shrinkToFit="1"/>
    </xf>
    <xf numFmtId="0" fontId="14" fillId="10" borderId="0" xfId="0" applyFont="1" applyFill="1"/>
    <xf numFmtId="0" fontId="20" fillId="11" borderId="0" xfId="0" applyFont="1" applyFill="1" applyAlignment="1">
      <alignment shrinkToFit="1"/>
    </xf>
    <xf numFmtId="0" fontId="14" fillId="12" borderId="0" xfId="0" applyFont="1" applyFill="1"/>
    <xf numFmtId="164" fontId="14" fillId="12" borderId="0" xfId="0" applyNumberFormat="1" applyFont="1" applyFill="1"/>
    <xf numFmtId="164" fontId="8" fillId="0" borderId="0" xfId="1" applyNumberFormat="1" applyFont="1" applyBorder="1"/>
    <xf numFmtId="0" fontId="0" fillId="13" borderId="0" xfId="0" applyFill="1"/>
    <xf numFmtId="17" fontId="0" fillId="0" borderId="0" xfId="0" applyNumberFormat="1"/>
    <xf numFmtId="0" fontId="0" fillId="14" borderId="0" xfId="0" applyFill="1"/>
    <xf numFmtId="16" fontId="0" fillId="0" borderId="0" xfId="0" applyNumberFormat="1"/>
    <xf numFmtId="164" fontId="21" fillId="0" borderId="3" xfId="1" applyNumberFormat="1" applyFont="1" applyBorder="1"/>
    <xf numFmtId="164" fontId="21" fillId="0" borderId="5" xfId="1" applyNumberFormat="1" applyFont="1" applyBorder="1"/>
    <xf numFmtId="0" fontId="21" fillId="0" borderId="5" xfId="1" applyNumberFormat="1" applyFont="1" applyBorder="1"/>
    <xf numFmtId="0" fontId="0" fillId="0" borderId="7" xfId="0" applyBorder="1"/>
    <xf numFmtId="164" fontId="25" fillId="0" borderId="8" xfId="0" applyNumberFormat="1" applyFont="1" applyBorder="1"/>
    <xf numFmtId="165" fontId="20" fillId="12" borderId="0" xfId="0" applyNumberFormat="1" applyFont="1" applyFill="1" applyAlignment="1">
      <alignment shrinkToFit="1"/>
    </xf>
    <xf numFmtId="14" fontId="7" fillId="2" borderId="0" xfId="1" applyNumberFormat="1" applyFont="1" applyFill="1" applyBorder="1" applyAlignment="1">
      <alignment shrinkToFit="1"/>
    </xf>
    <xf numFmtId="0" fontId="5" fillId="0" borderId="9" xfId="0" applyFont="1" applyFill="1" applyBorder="1" applyAlignment="1">
      <alignment horizontal="right" shrinkToFit="1"/>
    </xf>
    <xf numFmtId="0" fontId="5" fillId="0" borderId="10" xfId="0" applyFont="1" applyFill="1" applyBorder="1" applyAlignment="1">
      <alignment horizontal="right" shrinkToFit="1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right" vertical="center" shrinkToFit="1"/>
    </xf>
    <xf numFmtId="0" fontId="3" fillId="0" borderId="10" xfId="0" applyFont="1" applyFill="1" applyBorder="1" applyAlignment="1">
      <alignment horizontal="right" vertical="center" shrinkToFit="1"/>
    </xf>
    <xf numFmtId="0" fontId="3" fillId="0" borderId="9" xfId="0" applyFont="1" applyFill="1" applyBorder="1" applyAlignment="1">
      <alignment horizontal="right" shrinkToFit="1"/>
    </xf>
    <xf numFmtId="0" fontId="3" fillId="0" borderId="10" xfId="0" applyFont="1" applyFill="1" applyBorder="1" applyAlignment="1">
      <alignment horizontal="right" shrinkToFit="1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right" shrinkToFit="1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shrinkToFit="1"/>
    </xf>
    <xf numFmtId="0" fontId="3" fillId="0" borderId="10" xfId="0" applyFont="1" applyFill="1" applyBorder="1" applyAlignment="1">
      <alignment horizontal="center" shrinkToFit="1"/>
    </xf>
    <xf numFmtId="0" fontId="12" fillId="5" borderId="9" xfId="0" applyFont="1" applyFill="1" applyBorder="1" applyAlignment="1">
      <alignment horizontal="center" vertical="center" shrinkToFit="1"/>
    </xf>
    <xf numFmtId="0" fontId="12" fillId="5" borderId="11" xfId="0" applyFont="1" applyFill="1" applyBorder="1" applyAlignment="1">
      <alignment horizontal="center" vertical="center" shrinkToFit="1"/>
    </xf>
    <xf numFmtId="0" fontId="12" fillId="5" borderId="10" xfId="0" applyFont="1" applyFill="1" applyBorder="1" applyAlignment="1">
      <alignment horizontal="center" vertical="center" shrinkToFit="1"/>
    </xf>
    <xf numFmtId="0" fontId="11" fillId="6" borderId="9" xfId="0" applyFont="1" applyFill="1" applyBorder="1" applyAlignment="1">
      <alignment horizontal="center" vertical="center" wrapText="1" shrinkToFit="1"/>
    </xf>
    <xf numFmtId="0" fontId="11" fillId="6" borderId="11" xfId="0" applyFont="1" applyFill="1" applyBorder="1" applyAlignment="1">
      <alignment horizontal="center" vertical="center" wrapText="1" shrinkToFit="1"/>
    </xf>
    <xf numFmtId="0" fontId="11" fillId="6" borderId="10" xfId="0" applyFont="1" applyFill="1" applyBorder="1" applyAlignment="1">
      <alignment horizontal="center" vertical="center" wrapText="1" shrinkToFit="1"/>
    </xf>
    <xf numFmtId="0" fontId="13" fillId="7" borderId="9" xfId="0" applyFont="1" applyFill="1" applyBorder="1" applyAlignment="1">
      <alignment horizontal="center" vertical="center" wrapText="1" shrinkToFit="1"/>
    </xf>
    <xf numFmtId="0" fontId="13" fillId="7" borderId="11" xfId="0" applyFont="1" applyFill="1" applyBorder="1" applyAlignment="1">
      <alignment horizontal="center" vertical="center" wrapText="1" shrinkToFit="1"/>
    </xf>
    <xf numFmtId="0" fontId="13" fillId="7" borderId="10" xfId="0" applyFont="1" applyFill="1" applyBorder="1" applyAlignment="1">
      <alignment horizontal="center" vertical="center" wrapText="1" shrinkToFit="1"/>
    </xf>
    <xf numFmtId="0" fontId="11" fillId="6" borderId="1" xfId="0" applyFont="1" applyFill="1" applyBorder="1" applyAlignment="1">
      <alignment horizontal="center" vertical="center" wrapText="1" shrinkToFit="1"/>
    </xf>
    <xf numFmtId="0" fontId="11" fillId="6" borderId="2" xfId="0" applyFont="1" applyFill="1" applyBorder="1" applyAlignment="1">
      <alignment horizontal="center" vertical="center" wrapText="1" shrinkToFit="1"/>
    </xf>
    <xf numFmtId="0" fontId="11" fillId="6" borderId="3" xfId="0" applyFont="1" applyFill="1" applyBorder="1" applyAlignment="1">
      <alignment horizontal="center" vertical="center" wrapText="1" shrinkToFit="1"/>
    </xf>
    <xf numFmtId="0" fontId="10" fillId="0" borderId="7" xfId="0" applyFont="1" applyFill="1" applyBorder="1" applyAlignment="1">
      <alignment horizontal="center" shrinkToFit="1"/>
    </xf>
    <xf numFmtId="0" fontId="2" fillId="8" borderId="1" xfId="0" applyFont="1" applyFill="1" applyBorder="1" applyAlignment="1">
      <alignment horizontal="center" vertical="center" shrinkToFit="1"/>
    </xf>
    <xf numFmtId="0" fontId="2" fillId="8" borderId="2" xfId="0" applyFont="1" applyFill="1" applyBorder="1" applyAlignment="1">
      <alignment horizontal="center" vertical="center" shrinkToFit="1"/>
    </xf>
    <xf numFmtId="0" fontId="2" fillId="8" borderId="3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2" fillId="8" borderId="9" xfId="0" applyFont="1" applyFill="1" applyBorder="1" applyAlignment="1">
      <alignment horizontal="center" vertical="center" shrinkToFit="1"/>
    </xf>
    <xf numFmtId="0" fontId="2" fillId="8" borderId="11" xfId="0" applyFont="1" applyFill="1" applyBorder="1" applyAlignment="1">
      <alignment horizontal="center" vertical="center" shrinkToFit="1"/>
    </xf>
    <xf numFmtId="0" fontId="2" fillId="8" borderId="10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 shrinkToFit="1"/>
    </xf>
    <xf numFmtId="0" fontId="2" fillId="0" borderId="11" xfId="0" applyFont="1" applyFill="1" applyBorder="1" applyAlignment="1">
      <alignment horizontal="center" vertical="center" shrinkToFit="1"/>
    </xf>
    <xf numFmtId="0" fontId="2" fillId="0" borderId="10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shrinkToFit="1"/>
    </xf>
    <xf numFmtId="0" fontId="5" fillId="0" borderId="10" xfId="0" applyFont="1" applyFill="1" applyBorder="1" applyAlignment="1">
      <alignment horizontal="center" shrinkToFit="1"/>
    </xf>
    <xf numFmtId="0" fontId="19" fillId="0" borderId="9" xfId="0" applyFont="1" applyFill="1" applyBorder="1" applyAlignment="1">
      <alignment horizontal="right" shrinkToFit="1"/>
    </xf>
    <xf numFmtId="0" fontId="19" fillId="0" borderId="11" xfId="0" applyFont="1" applyFill="1" applyBorder="1" applyAlignment="1">
      <alignment horizontal="right" shrinkToFit="1"/>
    </xf>
    <xf numFmtId="0" fontId="19" fillId="0" borderId="10" xfId="0" applyFont="1" applyFill="1" applyBorder="1" applyAlignment="1">
      <alignment horizontal="right" shrinkToFit="1"/>
    </xf>
    <xf numFmtId="0" fontId="17" fillId="0" borderId="9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 vertical="center" shrinkToFit="1"/>
    </xf>
    <xf numFmtId="0" fontId="17" fillId="0" borderId="10" xfId="0" applyFont="1" applyFill="1" applyBorder="1" applyAlignment="1">
      <alignment horizontal="center" vertical="center" shrinkToFit="1"/>
    </xf>
    <xf numFmtId="0" fontId="17" fillId="0" borderId="9" xfId="0" applyFont="1" applyFill="1" applyBorder="1" applyAlignment="1">
      <alignment horizontal="center" shrinkToFit="1"/>
    </xf>
    <xf numFmtId="0" fontId="17" fillId="0" borderId="10" xfId="0" applyFont="1" applyFill="1" applyBorder="1" applyAlignment="1">
      <alignment horizontal="center" shrinkToFit="1"/>
    </xf>
    <xf numFmtId="0" fontId="15" fillId="0" borderId="9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 shrinkToFit="1"/>
    </xf>
    <xf numFmtId="0" fontId="17" fillId="0" borderId="9" xfId="0" applyFont="1" applyFill="1" applyBorder="1" applyAlignment="1">
      <alignment horizontal="right" shrinkToFit="1"/>
    </xf>
    <xf numFmtId="0" fontId="17" fillId="0" borderId="11" xfId="0" applyFont="1" applyFill="1" applyBorder="1" applyAlignment="1">
      <alignment horizontal="right" shrinkToFit="1"/>
    </xf>
    <xf numFmtId="0" fontId="17" fillId="0" borderId="10" xfId="0" applyFont="1" applyFill="1" applyBorder="1" applyAlignment="1">
      <alignment horizontal="right" shrinkToFit="1"/>
    </xf>
    <xf numFmtId="0" fontId="16" fillId="0" borderId="9" xfId="0" applyFont="1" applyFill="1" applyBorder="1" applyAlignment="1">
      <alignment horizontal="center" shrinkToFit="1"/>
    </xf>
    <xf numFmtId="0" fontId="16" fillId="0" borderId="11" xfId="0" applyFont="1" applyFill="1" applyBorder="1" applyAlignment="1">
      <alignment horizontal="center" shrinkToFit="1"/>
    </xf>
    <xf numFmtId="0" fontId="16" fillId="0" borderId="10" xfId="0" applyFont="1" applyFill="1" applyBorder="1" applyAlignment="1">
      <alignment horizontal="center" shrinkToFit="1"/>
    </xf>
    <xf numFmtId="0" fontId="16" fillId="0" borderId="1" xfId="0" applyFont="1" applyFill="1" applyBorder="1" applyAlignment="1">
      <alignment horizontal="center" vertical="center" shrinkToFit="1"/>
    </xf>
    <xf numFmtId="0" fontId="16" fillId="0" borderId="2" xfId="0" applyFont="1" applyFill="1" applyBorder="1" applyAlignment="1">
      <alignment horizontal="center" vertical="center" shrinkToFit="1"/>
    </xf>
    <xf numFmtId="0" fontId="16" fillId="0" borderId="3" xfId="0" applyFont="1" applyFill="1" applyBorder="1" applyAlignment="1">
      <alignment horizontal="center" vertical="center" shrinkToFit="1"/>
    </xf>
    <xf numFmtId="0" fontId="16" fillId="0" borderId="6" xfId="0" applyFont="1" applyFill="1" applyBorder="1" applyAlignment="1">
      <alignment horizontal="center" vertical="center" shrinkToFit="1"/>
    </xf>
    <xf numFmtId="0" fontId="16" fillId="0" borderId="7" xfId="0" applyFont="1" applyFill="1" applyBorder="1" applyAlignment="1">
      <alignment horizontal="center" vertical="center" shrinkToFit="1"/>
    </xf>
    <xf numFmtId="0" fontId="16" fillId="0" borderId="8" xfId="0" applyFont="1" applyFill="1" applyBorder="1" applyAlignment="1">
      <alignment horizontal="center" vertical="center" shrinkToFit="1"/>
    </xf>
    <xf numFmtId="0" fontId="17" fillId="0" borderId="11" xfId="0" applyFont="1" applyFill="1" applyBorder="1" applyAlignment="1">
      <alignment horizontal="center" vertical="center" shrinkToFit="1"/>
    </xf>
    <xf numFmtId="0" fontId="19" fillId="3" borderId="9" xfId="0" applyFont="1" applyFill="1" applyBorder="1" applyAlignment="1">
      <alignment horizontal="right" shrinkToFit="1"/>
    </xf>
    <xf numFmtId="0" fontId="19" fillId="3" borderId="11" xfId="0" applyFont="1" applyFill="1" applyBorder="1" applyAlignment="1">
      <alignment horizontal="right" shrinkToFit="1"/>
    </xf>
    <xf numFmtId="0" fontId="19" fillId="3" borderId="10" xfId="0" applyFont="1" applyFill="1" applyBorder="1" applyAlignment="1">
      <alignment horizontal="right" shrinkToFit="1"/>
    </xf>
    <xf numFmtId="0" fontId="16" fillId="8" borderId="9" xfId="0" applyFont="1" applyFill="1" applyBorder="1" applyAlignment="1">
      <alignment horizontal="center" shrinkToFit="1"/>
    </xf>
    <xf numFmtId="0" fontId="16" fillId="8" borderId="11" xfId="0" applyFont="1" applyFill="1" applyBorder="1" applyAlignment="1">
      <alignment horizontal="center" shrinkToFit="1"/>
    </xf>
    <xf numFmtId="0" fontId="16" fillId="8" borderId="10" xfId="0" applyFont="1" applyFill="1" applyBorder="1" applyAlignment="1">
      <alignment horizontal="center" shrinkToFit="1"/>
    </xf>
    <xf numFmtId="0" fontId="17" fillId="14" borderId="9" xfId="0" applyFont="1" applyFill="1" applyBorder="1" applyAlignment="1">
      <alignment horizontal="center" vertical="center" shrinkToFit="1"/>
    </xf>
    <xf numFmtId="0" fontId="17" fillId="14" borderId="10" xfId="0" applyFont="1" applyFill="1" applyBorder="1" applyAlignment="1">
      <alignment horizontal="center" vertical="center" shrinkToFit="1"/>
    </xf>
    <xf numFmtId="0" fontId="17" fillId="14" borderId="11" xfId="0" applyFont="1" applyFill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696"/>
  <sheetViews>
    <sheetView showRuler="0" view="pageLayout" zoomScale="55" zoomScaleNormal="70" zoomScalePageLayoutView="55" workbookViewId="0">
      <selection activeCell="C4" sqref="C4"/>
    </sheetView>
  </sheetViews>
  <sheetFormatPr defaultColWidth="10.7109375" defaultRowHeight="42.75" customHeight="1"/>
  <cols>
    <col min="1" max="1" width="14.7109375" style="23" customWidth="1"/>
    <col min="2" max="2" width="16.85546875" style="24" customWidth="1"/>
    <col min="3" max="3" width="21.28515625" style="24" customWidth="1"/>
    <col min="4" max="4" width="19.5703125" style="25" customWidth="1"/>
    <col min="5" max="5" width="24.85546875" style="7" customWidth="1"/>
    <col min="6" max="6" width="25.28515625" style="7" customWidth="1"/>
    <col min="7" max="7" width="12" style="7" customWidth="1"/>
    <col min="8" max="8" width="13.28515625" style="7" customWidth="1"/>
    <col min="9" max="9" width="31.28515625" style="7" customWidth="1"/>
    <col min="10" max="10" width="13.5703125" style="8" customWidth="1"/>
    <col min="11" max="11" width="14" style="8" customWidth="1"/>
    <col min="12" max="12" width="22.7109375" style="8" customWidth="1"/>
    <col min="13" max="16384" width="10.7109375" style="8"/>
  </cols>
  <sheetData>
    <row r="1" spans="1:16" ht="42.75" customHeight="1" thickBot="1">
      <c r="A1" s="126" t="s">
        <v>19</v>
      </c>
      <c r="B1" s="127"/>
      <c r="C1" s="127"/>
      <c r="D1" s="128"/>
      <c r="E1" s="6"/>
      <c r="K1" s="9"/>
      <c r="L1" s="10"/>
      <c r="M1" s="10"/>
      <c r="N1" s="10"/>
      <c r="O1" s="10"/>
      <c r="P1" s="11"/>
    </row>
    <row r="2" spans="1:16" ht="42.75" customHeight="1" thickBot="1">
      <c r="A2" s="123" t="s">
        <v>11</v>
      </c>
      <c r="B2" s="124"/>
      <c r="C2" s="125" t="s">
        <v>603</v>
      </c>
      <c r="D2" s="124"/>
      <c r="E2" s="12"/>
      <c r="K2" s="9"/>
      <c r="L2" s="10"/>
      <c r="M2" s="10"/>
      <c r="N2" s="10"/>
      <c r="O2" s="10"/>
      <c r="P2" s="11"/>
    </row>
    <row r="3" spans="1:16" ht="42.75" customHeight="1" thickBot="1">
      <c r="A3" s="1" t="s">
        <v>686</v>
      </c>
      <c r="B3" s="26" t="s">
        <v>1</v>
      </c>
      <c r="C3" s="90" t="s">
        <v>16</v>
      </c>
      <c r="D3" s="91"/>
      <c r="E3" s="13"/>
      <c r="F3" s="14"/>
      <c r="G3" s="14"/>
      <c r="H3" s="14"/>
      <c r="K3" s="9"/>
      <c r="L3" s="10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10"/>
      <c r="N3" s="10"/>
      <c r="O3" s="10"/>
      <c r="P3" s="11"/>
    </row>
    <row r="4" spans="1:16" ht="42.75" customHeight="1" thickBot="1">
      <c r="A4" s="26"/>
      <c r="B4" s="26" t="s">
        <v>0</v>
      </c>
      <c r="C4" s="5" t="s">
        <v>687</v>
      </c>
      <c r="D4" s="4" t="s">
        <v>2</v>
      </c>
      <c r="E4" s="89"/>
      <c r="K4" s="9"/>
      <c r="L4" s="10"/>
      <c r="M4" s="10"/>
      <c r="N4" s="10"/>
      <c r="O4" s="10"/>
      <c r="P4" s="11"/>
    </row>
    <row r="5" spans="1:16" ht="42.75" customHeight="1" thickBot="1">
      <c r="A5" s="92">
        <v>3510</v>
      </c>
      <c r="B5" s="93"/>
      <c r="C5" s="94" t="s">
        <v>3</v>
      </c>
      <c r="D5" s="95"/>
      <c r="E5" s="16"/>
      <c r="K5" s="17"/>
      <c r="L5" s="18"/>
      <c r="M5" s="18"/>
      <c r="N5" s="18"/>
      <c r="O5" s="18"/>
      <c r="P5" s="19"/>
    </row>
    <row r="6" spans="1:16" ht="42.75" customHeight="1" thickBot="1">
      <c r="A6" s="92">
        <v>3510</v>
      </c>
      <c r="B6" s="93"/>
      <c r="C6" s="96" t="s">
        <v>4</v>
      </c>
      <c r="D6" s="97"/>
      <c r="E6" s="16"/>
    </row>
    <row r="7" spans="1:16" ht="42.75" customHeight="1" thickBot="1">
      <c r="A7" s="98">
        <f>A6-A5</f>
        <v>0</v>
      </c>
      <c r="B7" s="99"/>
      <c r="C7" s="100" t="s">
        <v>5</v>
      </c>
      <c r="D7" s="97"/>
      <c r="E7" s="20"/>
      <c r="F7" s="7">
        <f>SUM(A10,A37,A64,A91,A118,A145,A172,A199,A226,A253,A280,A307,A334,A361,A388,A415,A442,A469,A496,A523,A550,A577,A604,A631,A658,A685,A712,A739,A766,A793,A820,A847,A874,A928,A955,A982,A1009,A1036,A1063,A1090,A1117,A1144,A1171,A1198,A1225,A1252,A1279,A1306,A1333,A1360,A1387,A1414,A1441,A1468,A1495,A1522,A1549,A1576,A1603,A1684,A901,A1630,A1657,A1711,A1765,A1738,A1792,A1819,A1846,A1873,A1900,A1927,A1954,A1981,A2008,A2035,A2062,A2089,A2116,A2143,A2170,A2197,A2224,A2251,A2278,A2305,A2332,A2359,A2386,A2413,A2440,A2467,A2494,A2521,A2548,A2575,A2602,A2629,A2656,A2683,A2710,A2737,A2764,A2791,A2818,A2845,A2872,A2899,A2926,A2953,A2980,A3007,A3034,A3061,A3088,A3115,A3142,A3169,A3196,A3223,A3250,A3277,A3304,A3331,A3358,A3385,A3412,A3439,A3466,A3493,A3520,A3547,A3574,A3601,A3628,A3655,A3682,A3709,A3736,A3763,A3790,A3817,A3844,A3871,A3898,A3925,A3952,A3979,A4006,A4033,A4060,A4087,A4114,A4141,A4168,A4195,A4222,A4249,A4276,A4303,A4330,A4357,A4384,A4411,A4438,A4465,A4492,A4519,A4546,A4573,A4600,A4627,A4654,A4681,A4708,A4735,A4762,A4789,A4816,A4843,A4870,A4897,A4924,A4951,A4978,A5005,A5032,A5059,A5086,A5113,A5140,A5167,A5194,A5221,A5248,A5275,A5302,A5329,A5356,A5383,A5410,A5437,A5464,A5491,A5518,A5545,A5572,A5599,A5626,A5653,A5680,A5707,A5734,A5761,A5788,A5815,A5842,A5869,A5896,A5923,A5950,A5977,A6004,A6031,A6058,A6085,A6112,A6139,A6166,A6193,A6220,A6247,A6274,A6301,A6328,A6355,A6382,A6409,A6436,A6463,A6490,A6517,A6544,A6571,A6598,A6625,A6652,A6679)</f>
        <v>0</v>
      </c>
    </row>
    <row r="8" spans="1:16" ht="42.75" customHeight="1" thickBot="1">
      <c r="A8" s="101">
        <v>55</v>
      </c>
      <c r="B8" s="102"/>
      <c r="C8" s="96" t="s">
        <v>6</v>
      </c>
      <c r="D8" s="97"/>
      <c r="E8" s="20"/>
    </row>
    <row r="9" spans="1:16" ht="42.75" customHeight="1" thickBot="1">
      <c r="A9" s="103"/>
      <c r="B9" s="104"/>
      <c r="C9" s="96" t="s">
        <v>21</v>
      </c>
      <c r="D9" s="97"/>
      <c r="E9" s="20"/>
    </row>
    <row r="10" spans="1:16" ht="42.75" customHeight="1" thickBot="1">
      <c r="A10" s="105">
        <f>A8*A7</f>
        <v>0</v>
      </c>
      <c r="B10" s="106"/>
      <c r="C10" s="96" t="s">
        <v>7</v>
      </c>
      <c r="D10" s="97"/>
      <c r="E10" s="20" t="e">
        <f>SUM(A7+A34+A61+A88+A115+A142+A169+A196+A223+A250+A277+A304+A331+A358+A385+A412+A439+A466+A493+A520+A547+A601+A628+A655+A736+A763+A790+A817+A844+A871+A898+A925+A952+A979+A1006+A1033+A1060+A1087+A1114+A1141+A1168+A1195+A1222+#REF!+A1249+A1276+A1303+A1330+A1357+A1384+A1411+A1438+A1465+A1492+A1519+A1546+A1573+A1600+A1627+A1654+A1681+A1708+A1735+A1762+A1789+A1816+A1843+A1870+A1897+A1924+A1951+A1978+A2005+A2032+A2086+A2113+#REF!+A2140+A2221+A2248+A2275+A2302+A2329+A2356+A2383+A2410+A2437+A2464+A2491+A2518+A2545+A2572+A2599+A2626+A2680+A2707+A2734+A2761+A2788+A2815+A2842+A2869+A2896+A2923+A2950+A2977+A3004+A3031+A3058+A3085+A3112+A3139+A3166+A3193+A3220+A3247+A3274+#REF!+A3301+A3328+A3355+A3382+A3409+A3436+A3463+A3490+A3517+A3544+A3571+A3598+A3625+A3652+A3679+A3706+A3733+A3760+A3787+A3814+A3841+A3868+A3895+A3922+A3949+A3976+A4003+A4030+A4057+A4084+A4111+A4138+A4165+A4192+A4219+A4246+A4273+A4300+A4327+A4354+A4381+A4408+A4435+A4462+A4489+A4516+A4543+A4570+A4597+#REF!+A4624+A4651+A4678+A4705+A4732+A4759+A4786+A4813+#REF!+A4840+A4867+A4894+A4921+A4948+A4975+A5002+A5029+A5056+A5083+A5110+A5137+A5164+A5191+A5218+A5245+A5272+A5299+A5326+A5353+A5380+A5407+A5434+A5461+A5488+A5515+A5542+A5569+A5596+A5623+A5650+A5677+A5704+A5731+#REF!+A5758+A5785+A5812+A5839+A5866+A5893+A5920+A5947+A5974+A6001+A6028+A6055+A6082+A6109+A6136+A6163+A6190+A6217+A6244+A6271+A6298+A6325+A6352+A6379+A6406+A6433+A6460+A6487+A6514+A6541+A6568+A6595+A6622+A574+A682+A709)</f>
        <v>#REF!</v>
      </c>
    </row>
    <row r="11" spans="1:16" ht="42.75" customHeight="1" thickBot="1">
      <c r="A11" s="107" t="s">
        <v>17</v>
      </c>
      <c r="B11" s="108"/>
      <c r="C11" s="108"/>
      <c r="D11" s="109"/>
      <c r="E11" s="20"/>
    </row>
    <row r="12" spans="1:16" ht="42.75" customHeight="1" thickBot="1">
      <c r="A12" s="116" t="s">
        <v>20</v>
      </c>
      <c r="B12" s="117"/>
      <c r="C12" s="117"/>
      <c r="D12" s="118"/>
      <c r="E12" s="20"/>
    </row>
    <row r="13" spans="1:16" ht="42.75" customHeight="1" thickBot="1">
      <c r="A13" s="113" t="s">
        <v>18</v>
      </c>
      <c r="B13" s="114"/>
      <c r="C13" s="114"/>
      <c r="D13" s="115"/>
      <c r="E13" s="20"/>
    </row>
    <row r="14" spans="1:16" ht="42.75" customHeight="1" thickBot="1">
      <c r="A14" s="119"/>
      <c r="B14" s="119"/>
      <c r="C14" s="119"/>
      <c r="D14" s="119"/>
      <c r="E14" s="20"/>
    </row>
    <row r="15" spans="1:16" ht="42.75" customHeight="1" thickBot="1">
      <c r="A15" s="126" t="s">
        <v>19</v>
      </c>
      <c r="B15" s="127"/>
      <c r="C15" s="127"/>
      <c r="D15" s="128"/>
      <c r="E15" s="20"/>
    </row>
    <row r="16" spans="1:16" s="7" customFormat="1" ht="42.75" customHeight="1" thickBot="1">
      <c r="A16" s="123" t="s">
        <v>11</v>
      </c>
      <c r="B16" s="124"/>
      <c r="C16" s="125" t="s">
        <v>603</v>
      </c>
      <c r="D16" s="124"/>
      <c r="E16" s="6"/>
      <c r="J16" s="8"/>
      <c r="K16" s="8"/>
      <c r="L16" s="8"/>
      <c r="M16" s="8"/>
      <c r="N16" s="8"/>
      <c r="O16" s="8"/>
      <c r="P16" s="8"/>
    </row>
    <row r="17" spans="1:16" s="7" customFormat="1" ht="42.75" customHeight="1" thickBot="1">
      <c r="A17" s="1" t="s">
        <v>686</v>
      </c>
      <c r="B17" s="26" t="s">
        <v>1</v>
      </c>
      <c r="C17" s="90" t="s">
        <v>16</v>
      </c>
      <c r="D17" s="91"/>
      <c r="E17" s="6"/>
      <c r="J17" s="8"/>
      <c r="K17" s="8"/>
      <c r="L17" s="8"/>
      <c r="M17" s="8"/>
      <c r="N17" s="8"/>
      <c r="O17" s="8"/>
      <c r="P17" s="8"/>
    </row>
    <row r="18" spans="1:16" s="7" customFormat="1" ht="42.75" customHeight="1" thickBot="1">
      <c r="A18" s="26"/>
      <c r="B18" s="26" t="s">
        <v>0</v>
      </c>
      <c r="C18" s="5" t="s">
        <v>687</v>
      </c>
      <c r="D18" s="4" t="s">
        <v>2</v>
      </c>
      <c r="E18" s="21"/>
      <c r="J18" s="8"/>
      <c r="K18" s="8"/>
      <c r="L18" s="8"/>
      <c r="M18" s="8"/>
      <c r="N18" s="8"/>
      <c r="O18" s="8"/>
      <c r="P18" s="8"/>
    </row>
    <row r="19" spans="1:16" s="7" customFormat="1" ht="42.75" customHeight="1" thickBot="1">
      <c r="A19" s="92">
        <v>3445</v>
      </c>
      <c r="B19" s="93"/>
      <c r="C19" s="94" t="s">
        <v>3</v>
      </c>
      <c r="D19" s="95"/>
      <c r="E19" s="21"/>
      <c r="J19" s="8"/>
      <c r="K19" s="8"/>
      <c r="L19" s="8"/>
      <c r="M19" s="8"/>
      <c r="N19" s="8"/>
      <c r="O19" s="8"/>
      <c r="P19" s="8"/>
    </row>
    <row r="20" spans="1:16" s="7" customFormat="1" ht="42.75" customHeight="1" thickBot="1">
      <c r="A20" s="92">
        <v>3510</v>
      </c>
      <c r="B20" s="93"/>
      <c r="C20" s="96" t="s">
        <v>4</v>
      </c>
      <c r="D20" s="97"/>
      <c r="E20" s="22"/>
      <c r="J20" s="8"/>
      <c r="K20" s="8"/>
      <c r="L20" s="8"/>
      <c r="M20" s="8"/>
      <c r="N20" s="8"/>
      <c r="O20" s="8"/>
      <c r="P20" s="8"/>
    </row>
    <row r="21" spans="1:16" s="7" customFormat="1" ht="42.75" customHeight="1" thickBot="1">
      <c r="A21" s="98">
        <f>A20-A19</f>
        <v>65</v>
      </c>
      <c r="B21" s="99"/>
      <c r="C21" s="100" t="s">
        <v>5</v>
      </c>
      <c r="D21" s="97"/>
      <c r="E21" s="20"/>
      <c r="J21" s="8"/>
      <c r="K21" s="8"/>
      <c r="L21" s="8"/>
      <c r="M21" s="8"/>
      <c r="N21" s="8"/>
      <c r="O21" s="8"/>
      <c r="P21" s="8"/>
    </row>
    <row r="22" spans="1:16" s="7" customFormat="1" ht="42.75" customHeight="1" thickBot="1">
      <c r="A22" s="101">
        <v>62</v>
      </c>
      <c r="B22" s="102"/>
      <c r="C22" s="96" t="s">
        <v>6</v>
      </c>
      <c r="D22" s="97"/>
      <c r="E22" s="20"/>
      <c r="J22" s="8"/>
      <c r="K22" s="8"/>
      <c r="L22" s="8"/>
      <c r="M22" s="8"/>
      <c r="N22" s="8"/>
      <c r="O22" s="8"/>
      <c r="P22" s="8"/>
    </row>
    <row r="23" spans="1:16" s="7" customFormat="1" ht="42.75" customHeight="1" thickBot="1">
      <c r="A23" s="103"/>
      <c r="B23" s="104"/>
      <c r="C23" s="96" t="s">
        <v>21</v>
      </c>
      <c r="D23" s="97"/>
      <c r="E23" s="20"/>
      <c r="J23" s="8"/>
      <c r="K23" s="8"/>
      <c r="L23" s="8"/>
      <c r="M23" s="8"/>
      <c r="N23" s="8"/>
      <c r="O23" s="8"/>
      <c r="P23" s="8"/>
    </row>
    <row r="24" spans="1:16" s="7" customFormat="1" ht="42.75" customHeight="1" thickBot="1">
      <c r="A24" s="105">
        <f>A22*A21</f>
        <v>4030</v>
      </c>
      <c r="B24" s="106"/>
      <c r="C24" s="96" t="s">
        <v>7</v>
      </c>
      <c r="D24" s="97"/>
      <c r="E24" s="20"/>
      <c r="J24" s="8"/>
      <c r="K24" s="8"/>
      <c r="L24" s="8"/>
      <c r="M24" s="8"/>
      <c r="N24" s="8"/>
      <c r="O24" s="8"/>
      <c r="P24" s="8"/>
    </row>
    <row r="25" spans="1:16" s="7" customFormat="1" ht="42.75" customHeight="1" thickBot="1">
      <c r="A25" s="107" t="s">
        <v>17</v>
      </c>
      <c r="B25" s="108"/>
      <c r="C25" s="108"/>
      <c r="D25" s="109"/>
      <c r="E25" s="20"/>
      <c r="J25" s="8"/>
      <c r="K25" s="8"/>
      <c r="L25" s="8"/>
      <c r="M25" s="8"/>
      <c r="N25" s="8"/>
      <c r="O25" s="8"/>
      <c r="P25" s="8"/>
    </row>
    <row r="26" spans="1:16" s="7" customFormat="1" ht="42.75" customHeight="1" thickBot="1">
      <c r="A26" s="116" t="s">
        <v>20</v>
      </c>
      <c r="B26" s="117"/>
      <c r="C26" s="117"/>
      <c r="D26" s="118"/>
      <c r="E26" s="20"/>
      <c r="J26" s="8"/>
      <c r="K26" s="8"/>
      <c r="L26" s="8"/>
      <c r="M26" s="8"/>
      <c r="N26" s="8"/>
      <c r="O26" s="8"/>
      <c r="P26" s="8"/>
    </row>
    <row r="27" spans="1:16" s="7" customFormat="1" ht="42.75" customHeight="1" thickBot="1">
      <c r="A27" s="113" t="s">
        <v>18</v>
      </c>
      <c r="B27" s="114"/>
      <c r="C27" s="114"/>
      <c r="D27" s="115"/>
      <c r="E27" s="20" t="s">
        <v>10</v>
      </c>
      <c r="J27" s="8"/>
      <c r="K27" s="8"/>
      <c r="L27" s="8"/>
      <c r="M27" s="8"/>
      <c r="N27" s="8"/>
      <c r="O27" s="8"/>
      <c r="P27" s="8"/>
    </row>
    <row r="28" spans="1:16" s="7" customFormat="1" ht="42.75" customHeight="1" thickBot="1">
      <c r="A28" s="126" t="s">
        <v>19</v>
      </c>
      <c r="B28" s="127"/>
      <c r="C28" s="127"/>
      <c r="D28" s="128"/>
      <c r="E28" s="20"/>
      <c r="J28" s="8"/>
      <c r="K28" s="8"/>
      <c r="L28" s="8"/>
      <c r="M28" s="8"/>
      <c r="N28" s="8"/>
      <c r="O28" s="8"/>
      <c r="P28" s="8"/>
    </row>
    <row r="29" spans="1:16" s="7" customFormat="1" ht="42.75" customHeight="1" thickBot="1">
      <c r="A29" s="123" t="s">
        <v>11</v>
      </c>
      <c r="B29" s="124"/>
      <c r="C29" s="125" t="s">
        <v>603</v>
      </c>
      <c r="D29" s="124"/>
      <c r="E29" s="20"/>
      <c r="J29" s="8"/>
      <c r="K29" s="8"/>
      <c r="L29" s="8"/>
      <c r="M29" s="8"/>
      <c r="N29" s="8"/>
      <c r="O29" s="8"/>
      <c r="P29" s="8"/>
    </row>
    <row r="30" spans="1:16" s="7" customFormat="1" ht="42.75" customHeight="1" thickBot="1">
      <c r="A30" s="1" t="s">
        <v>686</v>
      </c>
      <c r="B30" s="26" t="s">
        <v>1</v>
      </c>
      <c r="C30" s="90" t="s">
        <v>22</v>
      </c>
      <c r="D30" s="91"/>
      <c r="E30" s="6"/>
      <c r="J30" s="8"/>
      <c r="K30" s="8"/>
      <c r="L30" s="8"/>
      <c r="M30" s="8"/>
      <c r="N30" s="8"/>
      <c r="O30" s="8"/>
      <c r="P30" s="8"/>
    </row>
    <row r="31" spans="1:16" s="7" customFormat="1" ht="42.75" customHeight="1" thickBot="1">
      <c r="A31" s="26"/>
      <c r="B31" s="26" t="s">
        <v>0</v>
      </c>
      <c r="C31" s="5" t="s">
        <v>687</v>
      </c>
      <c r="D31" s="4" t="s">
        <v>2</v>
      </c>
      <c r="E31" s="6"/>
      <c r="J31" s="8"/>
      <c r="K31" s="8"/>
      <c r="L31" s="8"/>
      <c r="M31" s="8"/>
      <c r="N31" s="8"/>
      <c r="O31" s="8"/>
      <c r="P31" s="8"/>
    </row>
    <row r="32" spans="1:16" s="7" customFormat="1" ht="42.75" customHeight="1" thickBot="1">
      <c r="A32" s="92">
        <v>5879</v>
      </c>
      <c r="B32" s="93"/>
      <c r="C32" s="94" t="s">
        <v>3</v>
      </c>
      <c r="D32" s="95"/>
      <c r="E32" s="21"/>
      <c r="J32" s="8"/>
      <c r="K32" s="8"/>
      <c r="L32" s="8"/>
      <c r="M32" s="8"/>
      <c r="N32" s="8"/>
      <c r="O32" s="8"/>
      <c r="P32" s="8"/>
    </row>
    <row r="33" spans="1:16" s="7" customFormat="1" ht="42.75" customHeight="1" thickBot="1">
      <c r="A33" s="92">
        <v>5879</v>
      </c>
      <c r="B33" s="93"/>
      <c r="C33" s="96" t="s">
        <v>4</v>
      </c>
      <c r="D33" s="97"/>
      <c r="E33" s="21"/>
      <c r="J33" s="8"/>
      <c r="K33" s="8"/>
      <c r="L33" s="8"/>
      <c r="M33" s="8"/>
      <c r="N33" s="8"/>
      <c r="O33" s="8"/>
      <c r="P33" s="8"/>
    </row>
    <row r="34" spans="1:16" s="7" customFormat="1" ht="42.75" customHeight="1" thickBot="1">
      <c r="A34" s="98">
        <f>A33-A32</f>
        <v>0</v>
      </c>
      <c r="B34" s="99"/>
      <c r="C34" s="100" t="s">
        <v>5</v>
      </c>
      <c r="D34" s="97"/>
      <c r="E34" s="22"/>
      <c r="J34" s="8"/>
      <c r="K34" s="8"/>
      <c r="L34" s="8"/>
      <c r="M34" s="8"/>
      <c r="N34" s="8"/>
      <c r="O34" s="8"/>
      <c r="P34" s="8"/>
    </row>
    <row r="35" spans="1:16" s="7" customFormat="1" ht="42.75" customHeight="1" thickBot="1">
      <c r="A35" s="101">
        <v>55</v>
      </c>
      <c r="B35" s="102"/>
      <c r="C35" s="96" t="s">
        <v>6</v>
      </c>
      <c r="D35" s="97"/>
      <c r="E35" s="20"/>
      <c r="J35" s="8"/>
      <c r="K35" s="8"/>
      <c r="L35" s="8"/>
      <c r="M35" s="8"/>
      <c r="N35" s="8"/>
      <c r="O35" s="8"/>
      <c r="P35" s="8"/>
    </row>
    <row r="36" spans="1:16" s="7" customFormat="1" ht="42.75" customHeight="1" thickBot="1">
      <c r="A36" s="103"/>
      <c r="B36" s="104"/>
      <c r="C36" s="96" t="s">
        <v>21</v>
      </c>
      <c r="D36" s="97"/>
      <c r="E36" s="20"/>
      <c r="J36" s="8"/>
      <c r="K36" s="8"/>
      <c r="L36" s="8"/>
      <c r="M36" s="8"/>
      <c r="N36" s="8"/>
      <c r="O36" s="8"/>
      <c r="P36" s="8"/>
    </row>
    <row r="37" spans="1:16" s="7" customFormat="1" ht="42.75" customHeight="1" thickBot="1">
      <c r="A37" s="105">
        <f>A35*A34</f>
        <v>0</v>
      </c>
      <c r="B37" s="106"/>
      <c r="C37" s="96" t="s">
        <v>7</v>
      </c>
      <c r="D37" s="97"/>
      <c r="E37" s="20"/>
      <c r="J37" s="8"/>
      <c r="K37" s="8"/>
      <c r="L37" s="8"/>
      <c r="M37" s="8"/>
      <c r="N37" s="8"/>
      <c r="O37" s="8"/>
      <c r="P37" s="8"/>
    </row>
    <row r="38" spans="1:16" s="7" customFormat="1" ht="42.75" customHeight="1" thickBot="1">
      <c r="A38" s="107" t="s">
        <v>17</v>
      </c>
      <c r="B38" s="108"/>
      <c r="C38" s="108"/>
      <c r="D38" s="109"/>
      <c r="E38" s="20"/>
      <c r="J38" s="8"/>
      <c r="K38" s="8"/>
      <c r="L38" s="8"/>
      <c r="M38" s="8"/>
      <c r="N38" s="8"/>
      <c r="O38" s="8"/>
      <c r="P38" s="8"/>
    </row>
    <row r="39" spans="1:16" s="7" customFormat="1" ht="42.75" customHeight="1" thickBot="1">
      <c r="A39" s="116" t="s">
        <v>20</v>
      </c>
      <c r="B39" s="117"/>
      <c r="C39" s="117"/>
      <c r="D39" s="118"/>
      <c r="E39" s="20"/>
      <c r="J39" s="8"/>
      <c r="K39" s="8"/>
      <c r="L39" s="8"/>
      <c r="M39" s="8"/>
      <c r="N39" s="8"/>
      <c r="O39" s="8"/>
      <c r="P39" s="8"/>
    </row>
    <row r="40" spans="1:16" s="7" customFormat="1" ht="42.75" customHeight="1" thickBot="1">
      <c r="A40" s="113" t="s">
        <v>18</v>
      </c>
      <c r="B40" s="114"/>
      <c r="C40" s="114"/>
      <c r="D40" s="115"/>
      <c r="E40" s="20"/>
      <c r="J40" s="8"/>
      <c r="K40" s="8"/>
      <c r="L40" s="8"/>
      <c r="M40" s="8"/>
      <c r="N40" s="8"/>
      <c r="O40" s="8"/>
      <c r="P40" s="8"/>
    </row>
    <row r="41" spans="1:16" s="7" customFormat="1" ht="42.75" customHeight="1" thickBot="1">
      <c r="A41" s="119"/>
      <c r="B41" s="119"/>
      <c r="C41" s="119"/>
      <c r="D41" s="119"/>
      <c r="E41" s="20"/>
      <c r="J41" s="8"/>
      <c r="K41" s="8"/>
      <c r="L41" s="8"/>
      <c r="M41" s="8"/>
      <c r="N41" s="8"/>
      <c r="O41" s="8"/>
      <c r="P41" s="8"/>
    </row>
    <row r="42" spans="1:16" s="7" customFormat="1" ht="42.75" customHeight="1" thickBot="1">
      <c r="A42" s="126" t="s">
        <v>19</v>
      </c>
      <c r="B42" s="127"/>
      <c r="C42" s="127"/>
      <c r="D42" s="128"/>
      <c r="E42" s="20"/>
      <c r="J42" s="8"/>
      <c r="K42" s="8"/>
      <c r="L42" s="8"/>
      <c r="M42" s="8"/>
      <c r="N42" s="8"/>
      <c r="O42" s="8"/>
      <c r="P42" s="8"/>
    </row>
    <row r="43" spans="1:16" s="7" customFormat="1" ht="42.75" customHeight="1" thickBot="1">
      <c r="A43" s="123" t="s">
        <v>11</v>
      </c>
      <c r="B43" s="124"/>
      <c r="C43" s="125" t="s">
        <v>603</v>
      </c>
      <c r="D43" s="124"/>
      <c r="E43" s="20"/>
      <c r="J43" s="8"/>
      <c r="K43" s="8"/>
      <c r="L43" s="8"/>
      <c r="M43" s="8"/>
      <c r="N43" s="8"/>
      <c r="O43" s="8"/>
      <c r="P43" s="8"/>
    </row>
    <row r="44" spans="1:16" s="7" customFormat="1" ht="42.75" customHeight="1" thickBot="1">
      <c r="A44" s="1" t="s">
        <v>686</v>
      </c>
      <c r="B44" s="26" t="s">
        <v>1</v>
      </c>
      <c r="C44" s="90" t="s">
        <v>22</v>
      </c>
      <c r="D44" s="91"/>
      <c r="E44" s="20"/>
      <c r="J44" s="8"/>
      <c r="K44" s="8"/>
      <c r="L44" s="8"/>
      <c r="M44" s="8"/>
      <c r="N44" s="8"/>
      <c r="O44" s="8"/>
      <c r="P44" s="8"/>
    </row>
    <row r="45" spans="1:16" s="7" customFormat="1" ht="42.75" customHeight="1" thickBot="1">
      <c r="A45" s="26"/>
      <c r="B45" s="26" t="s">
        <v>0</v>
      </c>
      <c r="C45" s="5" t="s">
        <v>687</v>
      </c>
      <c r="D45" s="4" t="s">
        <v>2</v>
      </c>
      <c r="E45" s="20"/>
      <c r="J45" s="8"/>
      <c r="K45" s="8"/>
      <c r="L45" s="8"/>
      <c r="M45" s="8"/>
      <c r="N45" s="8"/>
      <c r="O45" s="8"/>
      <c r="P45" s="8"/>
    </row>
    <row r="46" spans="1:16" s="7" customFormat="1" ht="42.75" customHeight="1" thickBot="1">
      <c r="A46" s="92">
        <v>5837</v>
      </c>
      <c r="B46" s="93"/>
      <c r="C46" s="94" t="s">
        <v>3</v>
      </c>
      <c r="D46" s="95"/>
      <c r="E46" s="6"/>
      <c r="J46" s="8"/>
      <c r="K46" s="8"/>
      <c r="L46" s="8"/>
      <c r="M46" s="8"/>
      <c r="N46" s="8"/>
      <c r="O46" s="8"/>
      <c r="P46" s="8"/>
    </row>
    <row r="47" spans="1:16" s="7" customFormat="1" ht="42.75" customHeight="1" thickBot="1">
      <c r="A47" s="92">
        <v>5879</v>
      </c>
      <c r="B47" s="93"/>
      <c r="C47" s="96" t="s">
        <v>4</v>
      </c>
      <c r="D47" s="97"/>
      <c r="E47" s="6"/>
      <c r="J47" s="8"/>
      <c r="K47" s="8"/>
      <c r="L47" s="8"/>
      <c r="M47" s="8"/>
      <c r="N47" s="8"/>
      <c r="O47" s="8"/>
      <c r="P47" s="8"/>
    </row>
    <row r="48" spans="1:16" s="7" customFormat="1" ht="42.75" customHeight="1" thickBot="1">
      <c r="A48" s="98">
        <f>A47-A46</f>
        <v>42</v>
      </c>
      <c r="B48" s="99"/>
      <c r="C48" s="100" t="s">
        <v>5</v>
      </c>
      <c r="D48" s="97"/>
      <c r="E48" s="21"/>
      <c r="J48" s="8"/>
      <c r="K48" s="8"/>
      <c r="L48" s="8"/>
      <c r="M48" s="8"/>
      <c r="N48" s="8"/>
      <c r="O48" s="8"/>
      <c r="P48" s="8"/>
    </row>
    <row r="49" spans="1:16" s="7" customFormat="1" ht="42.75" customHeight="1" thickBot="1">
      <c r="A49" s="101">
        <v>62</v>
      </c>
      <c r="B49" s="102"/>
      <c r="C49" s="96" t="s">
        <v>6</v>
      </c>
      <c r="D49" s="97"/>
      <c r="E49" s="21"/>
      <c r="J49" s="8"/>
      <c r="K49" s="8"/>
      <c r="L49" s="8"/>
      <c r="M49" s="8"/>
      <c r="N49" s="8"/>
      <c r="O49" s="8"/>
      <c r="P49" s="8"/>
    </row>
    <row r="50" spans="1:16" s="7" customFormat="1" ht="42.75" customHeight="1" thickBot="1">
      <c r="A50" s="103"/>
      <c r="B50" s="104"/>
      <c r="C50" s="96" t="s">
        <v>21</v>
      </c>
      <c r="D50" s="97"/>
      <c r="E50" s="22"/>
      <c r="J50" s="8"/>
      <c r="K50" s="8"/>
      <c r="L50" s="8"/>
      <c r="M50" s="8"/>
      <c r="N50" s="8"/>
      <c r="O50" s="8"/>
      <c r="P50" s="8"/>
    </row>
    <row r="51" spans="1:16" s="7" customFormat="1" ht="42.75" customHeight="1" thickBot="1">
      <c r="A51" s="105">
        <f>A49*A48</f>
        <v>2604</v>
      </c>
      <c r="B51" s="106"/>
      <c r="C51" s="96" t="s">
        <v>7</v>
      </c>
      <c r="D51" s="97"/>
      <c r="E51" s="20"/>
      <c r="J51" s="8"/>
      <c r="K51" s="8"/>
      <c r="L51" s="8"/>
      <c r="M51" s="8"/>
      <c r="N51" s="8"/>
      <c r="O51" s="8"/>
      <c r="P51" s="8"/>
    </row>
    <row r="52" spans="1:16" s="7" customFormat="1" ht="42.75" customHeight="1" thickBot="1">
      <c r="A52" s="107" t="s">
        <v>17</v>
      </c>
      <c r="B52" s="108"/>
      <c r="C52" s="108"/>
      <c r="D52" s="109"/>
      <c r="E52" s="20"/>
      <c r="J52" s="8"/>
      <c r="K52" s="8"/>
      <c r="L52" s="8"/>
      <c r="M52" s="8"/>
      <c r="N52" s="8"/>
      <c r="O52" s="8"/>
      <c r="P52" s="8"/>
    </row>
    <row r="53" spans="1:16" s="7" customFormat="1" ht="42.75" customHeight="1" thickBot="1">
      <c r="A53" s="110" t="s">
        <v>20</v>
      </c>
      <c r="B53" s="111"/>
      <c r="C53" s="111"/>
      <c r="D53" s="112"/>
      <c r="E53" s="20"/>
      <c r="J53" s="8"/>
      <c r="K53" s="8"/>
      <c r="L53" s="8"/>
      <c r="M53" s="8"/>
      <c r="N53" s="8"/>
      <c r="O53" s="8"/>
      <c r="P53" s="8"/>
    </row>
    <row r="54" spans="1:16" s="7" customFormat="1" ht="42.75" customHeight="1" thickBot="1">
      <c r="A54" s="113" t="s">
        <v>18</v>
      </c>
      <c r="B54" s="114"/>
      <c r="C54" s="114"/>
      <c r="D54" s="115"/>
      <c r="E54" s="20"/>
      <c r="J54" s="8"/>
      <c r="K54" s="8"/>
      <c r="L54" s="8"/>
      <c r="M54" s="8"/>
      <c r="N54" s="8"/>
      <c r="O54" s="8"/>
      <c r="P54" s="8"/>
    </row>
    <row r="55" spans="1:16" s="7" customFormat="1" ht="42.75" customHeight="1" thickBot="1">
      <c r="A55" s="126" t="s">
        <v>19</v>
      </c>
      <c r="B55" s="127"/>
      <c r="C55" s="127"/>
      <c r="D55" s="128"/>
      <c r="E55" s="20"/>
      <c r="J55" s="8"/>
      <c r="K55" s="8"/>
      <c r="L55" s="8"/>
      <c r="M55" s="8"/>
      <c r="N55" s="8"/>
      <c r="O55" s="8"/>
      <c r="P55" s="8"/>
    </row>
    <row r="56" spans="1:16" s="7" customFormat="1" ht="42.75" customHeight="1" thickBot="1">
      <c r="A56" s="123" t="s">
        <v>11</v>
      </c>
      <c r="B56" s="124"/>
      <c r="C56" s="125" t="s">
        <v>603</v>
      </c>
      <c r="D56" s="124"/>
      <c r="E56" s="20"/>
      <c r="J56" s="8"/>
      <c r="K56" s="8"/>
      <c r="L56" s="8"/>
      <c r="M56" s="8"/>
      <c r="N56" s="8"/>
      <c r="O56" s="8"/>
      <c r="P56" s="8"/>
    </row>
    <row r="57" spans="1:16" s="7" customFormat="1" ht="42.75" customHeight="1" thickBot="1">
      <c r="A57" s="1" t="s">
        <v>686</v>
      </c>
      <c r="B57" s="26" t="s">
        <v>1</v>
      </c>
      <c r="C57" s="135" t="s">
        <v>23</v>
      </c>
      <c r="D57" s="136"/>
      <c r="E57" s="20"/>
      <c r="J57" s="8"/>
      <c r="K57" s="8"/>
      <c r="L57" s="8"/>
      <c r="M57" s="8"/>
      <c r="N57" s="8"/>
      <c r="O57" s="8"/>
      <c r="P57" s="8"/>
    </row>
    <row r="58" spans="1:16" s="7" customFormat="1" ht="42.75" customHeight="1" thickBot="1">
      <c r="A58" s="26"/>
      <c r="B58" s="26" t="s">
        <v>0</v>
      </c>
      <c r="C58" s="5" t="s">
        <v>687</v>
      </c>
      <c r="D58" s="4" t="s">
        <v>2</v>
      </c>
      <c r="E58" s="20"/>
      <c r="J58" s="8"/>
      <c r="K58" s="8"/>
      <c r="L58" s="8"/>
      <c r="M58" s="8"/>
      <c r="N58" s="8"/>
      <c r="O58" s="8"/>
      <c r="P58" s="8"/>
    </row>
    <row r="59" spans="1:16" s="7" customFormat="1" ht="42.75" customHeight="1" thickBot="1">
      <c r="A59" s="92">
        <v>3075</v>
      </c>
      <c r="B59" s="93"/>
      <c r="C59" s="94" t="s">
        <v>3</v>
      </c>
      <c r="D59" s="95"/>
      <c r="E59" s="20"/>
      <c r="J59" s="8"/>
      <c r="K59" s="8"/>
      <c r="L59" s="8"/>
      <c r="M59" s="8"/>
      <c r="N59" s="8"/>
      <c r="O59" s="8"/>
      <c r="P59" s="8"/>
    </row>
    <row r="60" spans="1:16" s="7" customFormat="1" ht="42.75" customHeight="1" thickBot="1">
      <c r="A60" s="92">
        <v>3075</v>
      </c>
      <c r="B60" s="93"/>
      <c r="C60" s="96" t="s">
        <v>4</v>
      </c>
      <c r="D60" s="97"/>
      <c r="E60" s="20"/>
      <c r="J60" s="8"/>
      <c r="K60" s="8"/>
      <c r="L60" s="8"/>
      <c r="M60" s="8"/>
      <c r="N60" s="8"/>
      <c r="O60" s="8"/>
      <c r="P60" s="8"/>
    </row>
    <row r="61" spans="1:16" s="7" customFormat="1" ht="42.75" customHeight="1" thickBot="1">
      <c r="A61" s="98">
        <f>A60-A59</f>
        <v>0</v>
      </c>
      <c r="B61" s="99"/>
      <c r="C61" s="100" t="s">
        <v>5</v>
      </c>
      <c r="D61" s="97"/>
      <c r="E61" s="6"/>
      <c r="J61" s="8"/>
      <c r="K61" s="8"/>
      <c r="L61" s="8"/>
      <c r="M61" s="8"/>
      <c r="N61" s="8"/>
      <c r="O61" s="8"/>
      <c r="P61" s="8"/>
    </row>
    <row r="62" spans="1:16" s="7" customFormat="1" ht="42.75" customHeight="1" thickBot="1">
      <c r="A62" s="101">
        <v>62</v>
      </c>
      <c r="B62" s="102"/>
      <c r="C62" s="96" t="s">
        <v>6</v>
      </c>
      <c r="D62" s="97"/>
      <c r="E62" s="6"/>
      <c r="J62" s="8"/>
      <c r="K62" s="8"/>
      <c r="L62" s="8"/>
      <c r="M62" s="8"/>
      <c r="N62" s="8"/>
      <c r="O62" s="8"/>
      <c r="P62" s="8"/>
    </row>
    <row r="63" spans="1:16" s="7" customFormat="1" ht="42.75" customHeight="1" thickBot="1">
      <c r="A63" s="103"/>
      <c r="B63" s="104"/>
      <c r="C63" s="96" t="s">
        <v>21</v>
      </c>
      <c r="D63" s="97"/>
      <c r="E63" s="21"/>
      <c r="J63" s="8"/>
      <c r="K63" s="8"/>
      <c r="L63" s="8"/>
      <c r="M63" s="8"/>
      <c r="N63" s="8"/>
      <c r="O63" s="8"/>
      <c r="P63" s="8"/>
    </row>
    <row r="64" spans="1:16" s="7" customFormat="1" ht="42.75" customHeight="1" thickBot="1">
      <c r="A64" s="105">
        <f>A62*A61</f>
        <v>0</v>
      </c>
      <c r="B64" s="106"/>
      <c r="C64" s="96" t="s">
        <v>7</v>
      </c>
      <c r="D64" s="97"/>
      <c r="E64" s="21"/>
      <c r="J64" s="8"/>
      <c r="K64" s="8"/>
      <c r="L64" s="8"/>
      <c r="M64" s="8"/>
      <c r="N64" s="8"/>
      <c r="O64" s="8"/>
      <c r="P64" s="8"/>
    </row>
    <row r="65" spans="1:16" s="7" customFormat="1" ht="42.75" customHeight="1" thickBot="1">
      <c r="A65" s="107" t="s">
        <v>17</v>
      </c>
      <c r="B65" s="108"/>
      <c r="C65" s="108"/>
      <c r="D65" s="109"/>
      <c r="E65" s="22"/>
      <c r="J65" s="8"/>
      <c r="K65" s="8"/>
      <c r="L65" s="8"/>
      <c r="M65" s="8"/>
      <c r="N65" s="8"/>
      <c r="O65" s="8"/>
      <c r="P65" s="8"/>
    </row>
    <row r="66" spans="1:16" s="7" customFormat="1" ht="42.75" customHeight="1" thickBot="1">
      <c r="A66" s="116" t="s">
        <v>20</v>
      </c>
      <c r="B66" s="117"/>
      <c r="C66" s="117"/>
      <c r="D66" s="118"/>
      <c r="E66" s="20"/>
      <c r="J66" s="8"/>
      <c r="K66" s="8"/>
      <c r="L66" s="8"/>
      <c r="M66" s="8"/>
      <c r="N66" s="8"/>
      <c r="O66" s="8"/>
      <c r="P66" s="8"/>
    </row>
    <row r="67" spans="1:16" s="7" customFormat="1" ht="42.75" customHeight="1" thickBot="1">
      <c r="A67" s="113" t="s">
        <v>18</v>
      </c>
      <c r="B67" s="114"/>
      <c r="C67" s="114"/>
      <c r="D67" s="115"/>
      <c r="E67" s="20"/>
      <c r="J67" s="8"/>
      <c r="K67" s="8"/>
      <c r="L67" s="8"/>
      <c r="M67" s="8"/>
      <c r="N67" s="8"/>
      <c r="O67" s="8"/>
      <c r="P67" s="8"/>
    </row>
    <row r="68" spans="1:16" s="7" customFormat="1" ht="42.75" customHeight="1" thickBot="1">
      <c r="A68" s="119"/>
      <c r="B68" s="119"/>
      <c r="C68" s="119"/>
      <c r="D68" s="119"/>
      <c r="E68" s="20"/>
      <c r="J68" s="8"/>
      <c r="K68" s="8"/>
      <c r="L68" s="8"/>
      <c r="M68" s="8"/>
      <c r="N68" s="8"/>
      <c r="O68" s="8"/>
      <c r="P68" s="8"/>
    </row>
    <row r="69" spans="1:16" s="7" customFormat="1" ht="42.75" customHeight="1" thickBot="1">
      <c r="A69" s="126" t="s">
        <v>19</v>
      </c>
      <c r="B69" s="127"/>
      <c r="C69" s="127"/>
      <c r="D69" s="128"/>
      <c r="E69" s="20"/>
      <c r="J69" s="8"/>
      <c r="K69" s="8"/>
      <c r="L69" s="8"/>
      <c r="M69" s="8"/>
      <c r="N69" s="8"/>
      <c r="O69" s="8"/>
      <c r="P69" s="8"/>
    </row>
    <row r="70" spans="1:16" s="7" customFormat="1" ht="42.75" customHeight="1" thickBot="1">
      <c r="A70" s="123" t="s">
        <v>11</v>
      </c>
      <c r="B70" s="124"/>
      <c r="C70" s="125" t="s">
        <v>603</v>
      </c>
      <c r="D70" s="124"/>
      <c r="E70" s="20"/>
      <c r="J70" s="8"/>
      <c r="K70" s="8"/>
      <c r="L70" s="8"/>
      <c r="M70" s="8"/>
      <c r="N70" s="8"/>
      <c r="O70" s="8"/>
      <c r="P70" s="8"/>
    </row>
    <row r="71" spans="1:16" s="7" customFormat="1" ht="42.75" customHeight="1" thickBot="1">
      <c r="A71" s="1" t="s">
        <v>686</v>
      </c>
      <c r="B71" s="26" t="s">
        <v>1</v>
      </c>
      <c r="C71" s="135" t="s">
        <v>23</v>
      </c>
      <c r="D71" s="136"/>
      <c r="E71" s="20"/>
      <c r="J71" s="8"/>
      <c r="K71" s="8"/>
      <c r="L71" s="8"/>
      <c r="M71" s="8"/>
      <c r="N71" s="8"/>
      <c r="O71" s="8"/>
      <c r="P71" s="8"/>
    </row>
    <row r="72" spans="1:16" s="7" customFormat="1" ht="42.75" customHeight="1" thickBot="1">
      <c r="A72" s="26"/>
      <c r="B72" s="26" t="s">
        <v>0</v>
      </c>
      <c r="C72" s="5" t="s">
        <v>687</v>
      </c>
      <c r="D72" s="4" t="s">
        <v>2</v>
      </c>
      <c r="E72" s="20"/>
      <c r="J72" s="8"/>
      <c r="K72" s="8"/>
      <c r="L72" s="8"/>
      <c r="M72" s="8"/>
      <c r="N72" s="8"/>
      <c r="O72" s="8"/>
      <c r="P72" s="8"/>
    </row>
    <row r="73" spans="1:16" s="7" customFormat="1" ht="42.75" customHeight="1" thickBot="1">
      <c r="A73" s="92">
        <v>3046</v>
      </c>
      <c r="B73" s="93"/>
      <c r="C73" s="94" t="s">
        <v>3</v>
      </c>
      <c r="D73" s="95"/>
      <c r="E73" s="20"/>
      <c r="J73" s="8"/>
      <c r="K73" s="8"/>
      <c r="L73" s="8"/>
      <c r="M73" s="8"/>
      <c r="N73" s="8"/>
      <c r="O73" s="8"/>
      <c r="P73" s="8"/>
    </row>
    <row r="74" spans="1:16" s="7" customFormat="1" ht="42.75" customHeight="1" thickBot="1">
      <c r="A74" s="92">
        <v>3075</v>
      </c>
      <c r="B74" s="93"/>
      <c r="C74" s="96" t="s">
        <v>4</v>
      </c>
      <c r="D74" s="97"/>
      <c r="E74" s="20"/>
      <c r="J74" s="8"/>
      <c r="K74" s="8"/>
      <c r="L74" s="8"/>
      <c r="M74" s="8"/>
      <c r="N74" s="8"/>
      <c r="O74" s="8"/>
      <c r="P74" s="8"/>
    </row>
    <row r="75" spans="1:16" s="7" customFormat="1" ht="42.75" customHeight="1" thickBot="1">
      <c r="A75" s="98">
        <f>A74-A73</f>
        <v>29</v>
      </c>
      <c r="B75" s="99"/>
      <c r="C75" s="100" t="s">
        <v>5</v>
      </c>
      <c r="D75" s="97"/>
      <c r="E75" s="20"/>
      <c r="J75" s="8"/>
      <c r="K75" s="8"/>
      <c r="L75" s="8"/>
      <c r="M75" s="8"/>
      <c r="N75" s="8"/>
      <c r="O75" s="8"/>
      <c r="P75" s="8"/>
    </row>
    <row r="76" spans="1:16" s="7" customFormat="1" ht="42.75" customHeight="1" thickBot="1">
      <c r="A76" s="101">
        <v>62</v>
      </c>
      <c r="B76" s="102"/>
      <c r="C76" s="96" t="s">
        <v>6</v>
      </c>
      <c r="D76" s="97"/>
      <c r="E76" s="20"/>
      <c r="J76" s="8"/>
      <c r="K76" s="8"/>
      <c r="L76" s="8"/>
      <c r="M76" s="8"/>
      <c r="N76" s="8"/>
      <c r="O76" s="8"/>
      <c r="P76" s="8"/>
    </row>
    <row r="77" spans="1:16" s="7" customFormat="1" ht="42.75" customHeight="1" thickBot="1">
      <c r="A77" s="103"/>
      <c r="B77" s="104"/>
      <c r="C77" s="96" t="s">
        <v>21</v>
      </c>
      <c r="D77" s="97"/>
      <c r="E77" s="6"/>
      <c r="J77" s="8"/>
      <c r="K77" s="8"/>
      <c r="L77" s="8"/>
      <c r="M77" s="8"/>
      <c r="N77" s="8"/>
      <c r="O77" s="8"/>
      <c r="P77" s="8"/>
    </row>
    <row r="78" spans="1:16" s="7" customFormat="1" ht="42.75" customHeight="1" thickBot="1">
      <c r="A78" s="105">
        <v>1800</v>
      </c>
      <c r="B78" s="106"/>
      <c r="C78" s="96" t="s">
        <v>7</v>
      </c>
      <c r="D78" s="97"/>
      <c r="E78" s="6"/>
      <c r="J78" s="8"/>
      <c r="K78" s="8"/>
      <c r="L78" s="8"/>
      <c r="M78" s="8"/>
      <c r="N78" s="8"/>
      <c r="O78" s="8"/>
      <c r="P78" s="8"/>
    </row>
    <row r="79" spans="1:16" s="7" customFormat="1" ht="42.75" customHeight="1" thickBot="1">
      <c r="A79" s="107" t="s">
        <v>17</v>
      </c>
      <c r="B79" s="108"/>
      <c r="C79" s="108"/>
      <c r="D79" s="109"/>
      <c r="E79" s="21"/>
      <c r="J79" s="8"/>
      <c r="K79" s="8"/>
      <c r="L79" s="8"/>
      <c r="M79" s="8"/>
      <c r="N79" s="8"/>
      <c r="O79" s="8"/>
      <c r="P79" s="8"/>
    </row>
    <row r="80" spans="1:16" s="7" customFormat="1" ht="42.75" customHeight="1" thickBot="1">
      <c r="A80" s="110" t="s">
        <v>20</v>
      </c>
      <c r="B80" s="111"/>
      <c r="C80" s="111"/>
      <c r="D80" s="112"/>
      <c r="E80" s="21"/>
      <c r="J80" s="8"/>
      <c r="K80" s="8"/>
      <c r="L80" s="8"/>
      <c r="M80" s="8"/>
      <c r="N80" s="8"/>
      <c r="O80" s="8"/>
      <c r="P80" s="8"/>
    </row>
    <row r="81" spans="1:16" s="7" customFormat="1" ht="42.75" customHeight="1" thickBot="1">
      <c r="A81" s="113" t="s">
        <v>18</v>
      </c>
      <c r="B81" s="114"/>
      <c r="C81" s="114"/>
      <c r="D81" s="115"/>
      <c r="E81" s="22"/>
      <c r="J81" s="8"/>
      <c r="K81" s="8"/>
      <c r="L81" s="8"/>
      <c r="M81" s="8"/>
      <c r="N81" s="8"/>
      <c r="O81" s="8"/>
      <c r="P81" s="8"/>
    </row>
    <row r="82" spans="1:16" ht="42.75" customHeight="1" thickBot="1">
      <c r="A82" s="126" t="s">
        <v>19</v>
      </c>
      <c r="B82" s="127"/>
      <c r="C82" s="127"/>
      <c r="D82" s="128"/>
    </row>
    <row r="83" spans="1:16" ht="42.75" customHeight="1" thickBot="1">
      <c r="A83" s="123" t="s">
        <v>11</v>
      </c>
      <c r="B83" s="124"/>
      <c r="C83" s="125" t="s">
        <v>603</v>
      </c>
      <c r="D83" s="124"/>
    </row>
    <row r="84" spans="1:16" ht="42.75" customHeight="1" thickBot="1">
      <c r="A84" s="1" t="s">
        <v>686</v>
      </c>
      <c r="B84" s="26" t="s">
        <v>1</v>
      </c>
      <c r="C84" s="90" t="s">
        <v>24</v>
      </c>
      <c r="D84" s="91"/>
    </row>
    <row r="85" spans="1:16" ht="42.75" customHeight="1" thickBot="1">
      <c r="A85" s="26"/>
      <c r="B85" s="26" t="s">
        <v>0</v>
      </c>
      <c r="C85" s="5" t="s">
        <v>687</v>
      </c>
      <c r="D85" s="4" t="s">
        <v>2</v>
      </c>
    </row>
    <row r="86" spans="1:16" ht="42.75" customHeight="1" thickBot="1">
      <c r="A86" s="92">
        <v>8420</v>
      </c>
      <c r="B86" s="93"/>
      <c r="C86" s="94" t="s">
        <v>3</v>
      </c>
      <c r="D86" s="95"/>
    </row>
    <row r="87" spans="1:16" ht="42.75" customHeight="1" thickBot="1">
      <c r="A87" s="92">
        <v>8420</v>
      </c>
      <c r="B87" s="93"/>
      <c r="C87" s="96" t="s">
        <v>4</v>
      </c>
      <c r="D87" s="97"/>
    </row>
    <row r="88" spans="1:16" ht="42.75" customHeight="1" thickBot="1">
      <c r="A88" s="98">
        <f>A87-A86</f>
        <v>0</v>
      </c>
      <c r="B88" s="99"/>
      <c r="C88" s="100" t="s">
        <v>5</v>
      </c>
      <c r="D88" s="97"/>
    </row>
    <row r="89" spans="1:16" ht="42.75" customHeight="1" thickBot="1">
      <c r="A89" s="101">
        <v>62</v>
      </c>
      <c r="B89" s="102"/>
      <c r="C89" s="96" t="s">
        <v>6</v>
      </c>
      <c r="D89" s="97"/>
    </row>
    <row r="90" spans="1:16" ht="42.75" customHeight="1" thickBot="1">
      <c r="A90" s="103"/>
      <c r="B90" s="104"/>
      <c r="C90" s="96" t="s">
        <v>21</v>
      </c>
      <c r="D90" s="97"/>
    </row>
    <row r="91" spans="1:16" ht="42.75" customHeight="1" thickBot="1">
      <c r="A91" s="105">
        <f>A89*A88</f>
        <v>0</v>
      </c>
      <c r="B91" s="106"/>
      <c r="C91" s="96" t="s">
        <v>7</v>
      </c>
      <c r="D91" s="97"/>
    </row>
    <row r="92" spans="1:16" ht="42.75" customHeight="1" thickBot="1">
      <c r="A92" s="107" t="s">
        <v>17</v>
      </c>
      <c r="B92" s="108"/>
      <c r="C92" s="108"/>
      <c r="D92" s="109"/>
    </row>
    <row r="93" spans="1:16" ht="42.75" customHeight="1" thickBot="1">
      <c r="A93" s="116" t="s">
        <v>20</v>
      </c>
      <c r="B93" s="117"/>
      <c r="C93" s="117"/>
      <c r="D93" s="118"/>
    </row>
    <row r="94" spans="1:16" ht="42.75" customHeight="1" thickBot="1">
      <c r="A94" s="113" t="s">
        <v>18</v>
      </c>
      <c r="B94" s="114"/>
      <c r="C94" s="114"/>
      <c r="D94" s="115"/>
    </row>
    <row r="95" spans="1:16" ht="42.75" customHeight="1" thickBot="1">
      <c r="A95" s="119"/>
      <c r="B95" s="119"/>
      <c r="C95" s="119"/>
      <c r="D95" s="119"/>
    </row>
    <row r="96" spans="1:16" ht="42.75" customHeight="1" thickBot="1">
      <c r="A96" s="126" t="s">
        <v>19</v>
      </c>
      <c r="B96" s="127"/>
      <c r="C96" s="127"/>
      <c r="D96" s="128"/>
    </row>
    <row r="97" spans="1:4" ht="42.75" customHeight="1" thickBot="1">
      <c r="A97" s="123" t="s">
        <v>11</v>
      </c>
      <c r="B97" s="124"/>
      <c r="C97" s="125" t="s">
        <v>603</v>
      </c>
      <c r="D97" s="124"/>
    </row>
    <row r="98" spans="1:4" ht="42.75" customHeight="1" thickBot="1">
      <c r="A98" s="1" t="s">
        <v>686</v>
      </c>
      <c r="B98" s="26" t="s">
        <v>1</v>
      </c>
      <c r="C98" s="90" t="s">
        <v>24</v>
      </c>
      <c r="D98" s="91"/>
    </row>
    <row r="99" spans="1:4" ht="42.75" customHeight="1" thickBot="1">
      <c r="A99" s="26"/>
      <c r="B99" s="26" t="s">
        <v>0</v>
      </c>
      <c r="C99" s="5" t="s">
        <v>687</v>
      </c>
      <c r="D99" s="4" t="s">
        <v>2</v>
      </c>
    </row>
    <row r="100" spans="1:4" ht="42.75" customHeight="1" thickBot="1">
      <c r="A100" s="92">
        <v>8320</v>
      </c>
      <c r="B100" s="93"/>
      <c r="C100" s="94" t="s">
        <v>3</v>
      </c>
      <c r="D100" s="95"/>
    </row>
    <row r="101" spans="1:4" ht="42.75" customHeight="1" thickBot="1">
      <c r="A101" s="92">
        <v>8420</v>
      </c>
      <c r="B101" s="93"/>
      <c r="C101" s="96" t="s">
        <v>4</v>
      </c>
      <c r="D101" s="97"/>
    </row>
    <row r="102" spans="1:4" ht="42.75" customHeight="1" thickBot="1">
      <c r="A102" s="98">
        <f>A101-A100</f>
        <v>100</v>
      </c>
      <c r="B102" s="99"/>
      <c r="C102" s="100" t="s">
        <v>5</v>
      </c>
      <c r="D102" s="97"/>
    </row>
    <row r="103" spans="1:4" ht="42.75" customHeight="1" thickBot="1">
      <c r="A103" s="101">
        <v>62</v>
      </c>
      <c r="B103" s="102"/>
      <c r="C103" s="96" t="s">
        <v>6</v>
      </c>
      <c r="D103" s="97"/>
    </row>
    <row r="104" spans="1:4" ht="42.75" customHeight="1" thickBot="1">
      <c r="A104" s="103"/>
      <c r="B104" s="104"/>
      <c r="C104" s="96" t="s">
        <v>21</v>
      </c>
      <c r="D104" s="97"/>
    </row>
    <row r="105" spans="1:4" ht="42.75" customHeight="1" thickBot="1">
      <c r="A105" s="105">
        <f>A103*A102</f>
        <v>6200</v>
      </c>
      <c r="B105" s="106"/>
      <c r="C105" s="96" t="s">
        <v>7</v>
      </c>
      <c r="D105" s="97"/>
    </row>
    <row r="106" spans="1:4" ht="42.75" customHeight="1" thickBot="1">
      <c r="A106" s="107" t="s">
        <v>17</v>
      </c>
      <c r="B106" s="108"/>
      <c r="C106" s="108"/>
      <c r="D106" s="109"/>
    </row>
    <row r="107" spans="1:4" ht="42.75" customHeight="1" thickBot="1">
      <c r="A107" s="110" t="s">
        <v>20</v>
      </c>
      <c r="B107" s="111"/>
      <c r="C107" s="111"/>
      <c r="D107" s="112"/>
    </row>
    <row r="108" spans="1:4" ht="42.75" customHeight="1" thickBot="1">
      <c r="A108" s="113" t="s">
        <v>18</v>
      </c>
      <c r="B108" s="114"/>
      <c r="C108" s="114"/>
      <c r="D108" s="115"/>
    </row>
    <row r="109" spans="1:4" ht="42.75" customHeight="1" thickBot="1">
      <c r="A109" s="126" t="s">
        <v>19</v>
      </c>
      <c r="B109" s="127"/>
      <c r="C109" s="127"/>
      <c r="D109" s="128"/>
    </row>
    <row r="110" spans="1:4" ht="42.75" customHeight="1" thickBot="1">
      <c r="A110" s="123" t="s">
        <v>11</v>
      </c>
      <c r="B110" s="124"/>
      <c r="C110" s="123" t="s">
        <v>603</v>
      </c>
      <c r="D110" s="124"/>
    </row>
    <row r="111" spans="1:4" ht="42.75" customHeight="1" thickBot="1">
      <c r="A111" s="1" t="s">
        <v>686</v>
      </c>
      <c r="B111" s="26" t="s">
        <v>1</v>
      </c>
      <c r="C111" s="90" t="s">
        <v>25</v>
      </c>
      <c r="D111" s="91"/>
    </row>
    <row r="112" spans="1:4" ht="42.75" customHeight="1" thickBot="1">
      <c r="A112" s="26"/>
      <c r="B112" s="26" t="s">
        <v>0</v>
      </c>
      <c r="C112" s="5" t="s">
        <v>687</v>
      </c>
      <c r="D112" s="4" t="s">
        <v>2</v>
      </c>
    </row>
    <row r="113" spans="1:4" ht="42.75" customHeight="1" thickBot="1">
      <c r="A113" s="92">
        <v>3075</v>
      </c>
      <c r="B113" s="93"/>
      <c r="C113" s="94" t="s">
        <v>3</v>
      </c>
      <c r="D113" s="95"/>
    </row>
    <row r="114" spans="1:4" ht="42.75" customHeight="1" thickBot="1">
      <c r="A114" s="92">
        <v>3075</v>
      </c>
      <c r="B114" s="93"/>
      <c r="C114" s="96" t="s">
        <v>4</v>
      </c>
      <c r="D114" s="97"/>
    </row>
    <row r="115" spans="1:4" ht="42.75" customHeight="1" thickBot="1">
      <c r="A115" s="98">
        <f>A114-A113</f>
        <v>0</v>
      </c>
      <c r="B115" s="99"/>
      <c r="C115" s="96" t="s">
        <v>5</v>
      </c>
      <c r="D115" s="97"/>
    </row>
    <row r="116" spans="1:4" ht="42.75" customHeight="1" thickBot="1">
      <c r="A116" s="101">
        <v>62</v>
      </c>
      <c r="B116" s="102"/>
      <c r="C116" s="96" t="s">
        <v>6</v>
      </c>
      <c r="D116" s="97"/>
    </row>
    <row r="117" spans="1:4" ht="42.75" customHeight="1" thickBot="1">
      <c r="A117" s="103"/>
      <c r="B117" s="104"/>
      <c r="C117" s="96" t="s">
        <v>21</v>
      </c>
      <c r="D117" s="97"/>
    </row>
    <row r="118" spans="1:4" ht="42.75" customHeight="1" thickBot="1">
      <c r="A118" s="105">
        <f>A116*A115</f>
        <v>0</v>
      </c>
      <c r="B118" s="106"/>
      <c r="C118" s="96" t="s">
        <v>7</v>
      </c>
      <c r="D118" s="97"/>
    </row>
    <row r="119" spans="1:4" ht="42.75" customHeight="1" thickBot="1">
      <c r="A119" s="107" t="s">
        <v>17</v>
      </c>
      <c r="B119" s="108"/>
      <c r="C119" s="108"/>
      <c r="D119" s="109"/>
    </row>
    <row r="120" spans="1:4" ht="42.75" customHeight="1" thickBot="1">
      <c r="A120" s="116" t="s">
        <v>20</v>
      </c>
      <c r="B120" s="117"/>
      <c r="C120" s="117"/>
      <c r="D120" s="118"/>
    </row>
    <row r="121" spans="1:4" ht="42.75" customHeight="1" thickBot="1">
      <c r="A121" s="113" t="s">
        <v>18</v>
      </c>
      <c r="B121" s="114"/>
      <c r="C121" s="114"/>
      <c r="D121" s="115"/>
    </row>
    <row r="122" spans="1:4" ht="42.75" customHeight="1" thickBot="1">
      <c r="A122" s="119"/>
      <c r="B122" s="119"/>
      <c r="C122" s="119"/>
      <c r="D122" s="119"/>
    </row>
    <row r="123" spans="1:4" ht="42.75" customHeight="1" thickBot="1">
      <c r="A123" s="126" t="s">
        <v>19</v>
      </c>
      <c r="B123" s="127"/>
      <c r="C123" s="127"/>
      <c r="D123" s="128"/>
    </row>
    <row r="124" spans="1:4" ht="42.75" customHeight="1" thickBot="1">
      <c r="A124" s="123" t="s">
        <v>11</v>
      </c>
      <c r="B124" s="124"/>
      <c r="C124" s="123" t="s">
        <v>603</v>
      </c>
      <c r="D124" s="124"/>
    </row>
    <row r="125" spans="1:4" ht="42.75" customHeight="1" thickBot="1">
      <c r="A125" s="1" t="s">
        <v>686</v>
      </c>
      <c r="B125" s="26" t="s">
        <v>1</v>
      </c>
      <c r="C125" s="90" t="s">
        <v>25</v>
      </c>
      <c r="D125" s="91"/>
    </row>
    <row r="126" spans="1:4" ht="42.75" customHeight="1" thickBot="1">
      <c r="A126" s="26"/>
      <c r="B126" s="26" t="s">
        <v>0</v>
      </c>
      <c r="C126" s="5" t="s">
        <v>687</v>
      </c>
      <c r="D126" s="4" t="s">
        <v>2</v>
      </c>
    </row>
    <row r="127" spans="1:4" ht="42.75" customHeight="1" thickBot="1">
      <c r="A127" s="92">
        <v>3047</v>
      </c>
      <c r="B127" s="93"/>
      <c r="C127" s="94" t="s">
        <v>3</v>
      </c>
      <c r="D127" s="95"/>
    </row>
    <row r="128" spans="1:4" ht="42.75" customHeight="1" thickBot="1">
      <c r="A128" s="92">
        <v>3075</v>
      </c>
      <c r="B128" s="93"/>
      <c r="C128" s="96" t="s">
        <v>4</v>
      </c>
      <c r="D128" s="97"/>
    </row>
    <row r="129" spans="1:4" ht="42.75" customHeight="1" thickBot="1">
      <c r="A129" s="98">
        <f>A128-A127</f>
        <v>28</v>
      </c>
      <c r="B129" s="99"/>
      <c r="C129" s="96" t="s">
        <v>5</v>
      </c>
      <c r="D129" s="97"/>
    </row>
    <row r="130" spans="1:4" ht="42.75" customHeight="1" thickBot="1">
      <c r="A130" s="101">
        <v>62</v>
      </c>
      <c r="B130" s="102"/>
      <c r="C130" s="96" t="s">
        <v>6</v>
      </c>
      <c r="D130" s="97"/>
    </row>
    <row r="131" spans="1:4" ht="42.75" customHeight="1" thickBot="1">
      <c r="A131" s="103"/>
      <c r="B131" s="104"/>
      <c r="C131" s="96" t="s">
        <v>21</v>
      </c>
      <c r="D131" s="97"/>
    </row>
    <row r="132" spans="1:4" ht="42.75" customHeight="1" thickBot="1">
      <c r="A132" s="105">
        <v>1700</v>
      </c>
      <c r="B132" s="106"/>
      <c r="C132" s="96" t="s">
        <v>7</v>
      </c>
      <c r="D132" s="97"/>
    </row>
    <row r="133" spans="1:4" ht="42.75" customHeight="1" thickBot="1">
      <c r="A133" s="107" t="s">
        <v>17</v>
      </c>
      <c r="B133" s="108"/>
      <c r="C133" s="108"/>
      <c r="D133" s="109"/>
    </row>
    <row r="134" spans="1:4" ht="42.75" customHeight="1" thickBot="1">
      <c r="A134" s="116" t="s">
        <v>20</v>
      </c>
      <c r="B134" s="117"/>
      <c r="C134" s="117"/>
      <c r="D134" s="118"/>
    </row>
    <row r="135" spans="1:4" ht="42.75" customHeight="1" thickBot="1">
      <c r="A135" s="113" t="s">
        <v>18</v>
      </c>
      <c r="B135" s="114"/>
      <c r="C135" s="114"/>
      <c r="D135" s="115"/>
    </row>
    <row r="136" spans="1:4" ht="42.75" customHeight="1" thickBot="1">
      <c r="A136" s="126" t="s">
        <v>19</v>
      </c>
      <c r="B136" s="127"/>
      <c r="C136" s="127"/>
      <c r="D136" s="128"/>
    </row>
    <row r="137" spans="1:4" ht="42.75" customHeight="1" thickBot="1">
      <c r="A137" s="123" t="s">
        <v>11</v>
      </c>
      <c r="B137" s="124"/>
      <c r="C137" s="125" t="s">
        <v>603</v>
      </c>
      <c r="D137" s="124"/>
    </row>
    <row r="138" spans="1:4" ht="42.75" customHeight="1" thickBot="1">
      <c r="A138" s="1" t="s">
        <v>686</v>
      </c>
      <c r="B138" s="26" t="s">
        <v>1</v>
      </c>
      <c r="C138" s="90" t="s">
        <v>26</v>
      </c>
      <c r="D138" s="91"/>
    </row>
    <row r="139" spans="1:4" ht="42.75" customHeight="1" thickBot="1">
      <c r="A139" s="26"/>
      <c r="B139" s="26" t="s">
        <v>0</v>
      </c>
      <c r="C139" s="5" t="s">
        <v>687</v>
      </c>
      <c r="D139" s="4" t="s">
        <v>2</v>
      </c>
    </row>
    <row r="140" spans="1:4" ht="42.75" customHeight="1" thickBot="1">
      <c r="A140" s="92">
        <v>5270</v>
      </c>
      <c r="B140" s="93"/>
      <c r="C140" s="94" t="s">
        <v>3</v>
      </c>
      <c r="D140" s="95"/>
    </row>
    <row r="141" spans="1:4" ht="42.75" customHeight="1" thickBot="1">
      <c r="A141" s="92">
        <v>5270</v>
      </c>
      <c r="B141" s="93"/>
      <c r="C141" s="96" t="s">
        <v>4</v>
      </c>
      <c r="D141" s="97"/>
    </row>
    <row r="142" spans="1:4" ht="42.75" customHeight="1" thickBot="1">
      <c r="A142" s="98">
        <f>A141-A140</f>
        <v>0</v>
      </c>
      <c r="B142" s="99"/>
      <c r="C142" s="100" t="s">
        <v>5</v>
      </c>
      <c r="D142" s="97"/>
    </row>
    <row r="143" spans="1:4" ht="42.75" customHeight="1" thickBot="1">
      <c r="A143" s="101">
        <v>62</v>
      </c>
      <c r="B143" s="102"/>
      <c r="C143" s="96" t="s">
        <v>6</v>
      </c>
      <c r="D143" s="97"/>
    </row>
    <row r="144" spans="1:4" ht="42.75" customHeight="1" thickBot="1">
      <c r="A144" s="103"/>
      <c r="B144" s="104"/>
      <c r="C144" s="96" t="s">
        <v>21</v>
      </c>
      <c r="D144" s="97"/>
    </row>
    <row r="145" spans="1:4" ht="42.75" customHeight="1" thickBot="1">
      <c r="A145" s="105">
        <f>A143*A142</f>
        <v>0</v>
      </c>
      <c r="B145" s="106"/>
      <c r="C145" s="96" t="s">
        <v>7</v>
      </c>
      <c r="D145" s="97"/>
    </row>
    <row r="146" spans="1:4" ht="42.75" customHeight="1" thickBot="1">
      <c r="A146" s="107" t="s">
        <v>17</v>
      </c>
      <c r="B146" s="108"/>
      <c r="C146" s="108"/>
      <c r="D146" s="109"/>
    </row>
    <row r="147" spans="1:4" ht="42.75" customHeight="1" thickBot="1">
      <c r="A147" s="116" t="s">
        <v>20</v>
      </c>
      <c r="B147" s="117"/>
      <c r="C147" s="117"/>
      <c r="D147" s="118"/>
    </row>
    <row r="148" spans="1:4" ht="42.75" customHeight="1" thickBot="1">
      <c r="A148" s="113" t="s">
        <v>18</v>
      </c>
      <c r="B148" s="114"/>
      <c r="C148" s="114"/>
      <c r="D148" s="115"/>
    </row>
    <row r="149" spans="1:4" ht="42.75" customHeight="1" thickBot="1">
      <c r="A149" s="119"/>
      <c r="B149" s="119"/>
      <c r="C149" s="119"/>
      <c r="D149" s="119"/>
    </row>
    <row r="150" spans="1:4" ht="42.75" customHeight="1" thickBot="1">
      <c r="A150" s="126" t="s">
        <v>19</v>
      </c>
      <c r="B150" s="127"/>
      <c r="C150" s="127"/>
      <c r="D150" s="128"/>
    </row>
    <row r="151" spans="1:4" ht="42.75" customHeight="1" thickBot="1">
      <c r="A151" s="123" t="s">
        <v>11</v>
      </c>
      <c r="B151" s="124"/>
      <c r="C151" s="125" t="s">
        <v>603</v>
      </c>
      <c r="D151" s="124"/>
    </row>
    <row r="152" spans="1:4" ht="42.75" customHeight="1" thickBot="1">
      <c r="A152" s="1" t="s">
        <v>686</v>
      </c>
      <c r="B152" s="26" t="s">
        <v>1</v>
      </c>
      <c r="C152" s="90" t="s">
        <v>26</v>
      </c>
      <c r="D152" s="91"/>
    </row>
    <row r="153" spans="1:4" ht="42.75" customHeight="1" thickBot="1">
      <c r="A153" s="26"/>
      <c r="B153" s="26" t="s">
        <v>0</v>
      </c>
      <c r="C153" s="5" t="s">
        <v>687</v>
      </c>
      <c r="D153" s="4" t="s">
        <v>2</v>
      </c>
    </row>
    <row r="154" spans="1:4" ht="42.75" customHeight="1" thickBot="1">
      <c r="A154" s="92">
        <v>5195</v>
      </c>
      <c r="B154" s="93"/>
      <c r="C154" s="94" t="s">
        <v>3</v>
      </c>
      <c r="D154" s="95"/>
    </row>
    <row r="155" spans="1:4" ht="42.75" customHeight="1" thickBot="1">
      <c r="A155" s="92">
        <v>5270</v>
      </c>
      <c r="B155" s="93"/>
      <c r="C155" s="96" t="s">
        <v>4</v>
      </c>
      <c r="D155" s="97"/>
    </row>
    <row r="156" spans="1:4" ht="42.75" customHeight="1" thickBot="1">
      <c r="A156" s="98">
        <f>A155-A154</f>
        <v>75</v>
      </c>
      <c r="B156" s="99"/>
      <c r="C156" s="100" t="s">
        <v>5</v>
      </c>
      <c r="D156" s="97"/>
    </row>
    <row r="157" spans="1:4" ht="42.75" customHeight="1" thickBot="1">
      <c r="A157" s="101">
        <v>62</v>
      </c>
      <c r="B157" s="102"/>
      <c r="C157" s="96" t="s">
        <v>6</v>
      </c>
      <c r="D157" s="97"/>
    </row>
    <row r="158" spans="1:4" ht="42.75" customHeight="1" thickBot="1">
      <c r="A158" s="103"/>
      <c r="B158" s="104"/>
      <c r="C158" s="96" t="s">
        <v>21</v>
      </c>
      <c r="D158" s="97"/>
    </row>
    <row r="159" spans="1:4" ht="42.75" customHeight="1" thickBot="1">
      <c r="A159" s="105">
        <f>A157*A156</f>
        <v>4650</v>
      </c>
      <c r="B159" s="106"/>
      <c r="C159" s="96" t="s">
        <v>7</v>
      </c>
      <c r="D159" s="97"/>
    </row>
    <row r="160" spans="1:4" ht="42.75" customHeight="1" thickBot="1">
      <c r="A160" s="107" t="s">
        <v>17</v>
      </c>
      <c r="B160" s="108"/>
      <c r="C160" s="108"/>
      <c r="D160" s="109"/>
    </row>
    <row r="161" spans="1:4" ht="42.75" customHeight="1" thickBot="1">
      <c r="A161" s="110" t="s">
        <v>20</v>
      </c>
      <c r="B161" s="111"/>
      <c r="C161" s="111"/>
      <c r="D161" s="112"/>
    </row>
    <row r="162" spans="1:4" ht="42.75" customHeight="1" thickBot="1">
      <c r="A162" s="113" t="s">
        <v>18</v>
      </c>
      <c r="B162" s="114"/>
      <c r="C162" s="114"/>
      <c r="D162" s="115"/>
    </row>
    <row r="163" spans="1:4" ht="42.75" customHeight="1" thickBot="1">
      <c r="A163" s="132" t="s">
        <v>19</v>
      </c>
      <c r="B163" s="133"/>
      <c r="C163" s="133"/>
      <c r="D163" s="134"/>
    </row>
    <row r="164" spans="1:4" ht="42.75" customHeight="1" thickBot="1">
      <c r="A164" s="123" t="s">
        <v>11</v>
      </c>
      <c r="B164" s="124"/>
      <c r="C164" s="123" t="s">
        <v>603</v>
      </c>
      <c r="D164" s="124"/>
    </row>
    <row r="165" spans="1:4" ht="42.75" customHeight="1" thickBot="1">
      <c r="A165" s="1" t="s">
        <v>686</v>
      </c>
      <c r="B165" s="26" t="s">
        <v>1</v>
      </c>
      <c r="C165" s="90" t="s">
        <v>75</v>
      </c>
      <c r="D165" s="91"/>
    </row>
    <row r="166" spans="1:4" ht="42.75" customHeight="1" thickBot="1">
      <c r="A166" s="26"/>
      <c r="B166" s="26" t="s">
        <v>0</v>
      </c>
      <c r="C166" s="5" t="s">
        <v>687</v>
      </c>
      <c r="D166" s="4" t="s">
        <v>2</v>
      </c>
    </row>
    <row r="167" spans="1:4" ht="42.75" customHeight="1" thickBot="1">
      <c r="A167" s="92">
        <v>4918</v>
      </c>
      <c r="B167" s="93"/>
      <c r="C167" s="94" t="s">
        <v>3</v>
      </c>
      <c r="D167" s="95"/>
    </row>
    <row r="168" spans="1:4" ht="42.75" customHeight="1" thickBot="1">
      <c r="A168" s="92">
        <v>4918</v>
      </c>
      <c r="B168" s="93"/>
      <c r="C168" s="96" t="s">
        <v>4</v>
      </c>
      <c r="D168" s="97"/>
    </row>
    <row r="169" spans="1:4" ht="42.75" customHeight="1" thickBot="1">
      <c r="A169" s="98">
        <f>A168-A167</f>
        <v>0</v>
      </c>
      <c r="B169" s="99"/>
      <c r="C169" s="96" t="s">
        <v>5</v>
      </c>
      <c r="D169" s="97"/>
    </row>
    <row r="170" spans="1:4" ht="42.75" customHeight="1" thickBot="1">
      <c r="A170" s="101">
        <v>62</v>
      </c>
      <c r="B170" s="102"/>
      <c r="C170" s="96" t="s">
        <v>6</v>
      </c>
      <c r="D170" s="97"/>
    </row>
    <row r="171" spans="1:4" ht="42.75" customHeight="1" thickBot="1">
      <c r="A171" s="103"/>
      <c r="B171" s="104"/>
      <c r="C171" s="96" t="s">
        <v>21</v>
      </c>
      <c r="D171" s="97"/>
    </row>
    <row r="172" spans="1:4" ht="42.75" customHeight="1" thickBot="1">
      <c r="A172" s="105">
        <f>A170*A169</f>
        <v>0</v>
      </c>
      <c r="B172" s="106"/>
      <c r="C172" s="96" t="s">
        <v>7</v>
      </c>
      <c r="D172" s="97"/>
    </row>
    <row r="173" spans="1:4" ht="42.75" customHeight="1" thickBot="1">
      <c r="A173" s="107" t="s">
        <v>17</v>
      </c>
      <c r="B173" s="108"/>
      <c r="C173" s="108"/>
      <c r="D173" s="109"/>
    </row>
    <row r="174" spans="1:4" ht="42.75" customHeight="1" thickBot="1">
      <c r="A174" s="116" t="s">
        <v>20</v>
      </c>
      <c r="B174" s="117"/>
      <c r="C174" s="117"/>
      <c r="D174" s="118"/>
    </row>
    <row r="175" spans="1:4" ht="42.75" customHeight="1" thickBot="1">
      <c r="A175" s="113" t="s">
        <v>18</v>
      </c>
      <c r="B175" s="114"/>
      <c r="C175" s="114"/>
      <c r="D175" s="115"/>
    </row>
    <row r="176" spans="1:4" ht="42.75" customHeight="1" thickBot="1">
      <c r="A176" s="119"/>
      <c r="B176" s="119"/>
      <c r="C176" s="119"/>
      <c r="D176" s="119"/>
    </row>
    <row r="177" spans="1:4" ht="42.75" customHeight="1" thickBot="1">
      <c r="A177" s="132" t="s">
        <v>19</v>
      </c>
      <c r="B177" s="133"/>
      <c r="C177" s="133"/>
      <c r="D177" s="134"/>
    </row>
    <row r="178" spans="1:4" ht="42.75" customHeight="1" thickBot="1">
      <c r="A178" s="123" t="s">
        <v>11</v>
      </c>
      <c r="B178" s="124"/>
      <c r="C178" s="123" t="s">
        <v>603</v>
      </c>
      <c r="D178" s="124"/>
    </row>
    <row r="179" spans="1:4" ht="42.75" customHeight="1" thickBot="1">
      <c r="A179" s="1" t="s">
        <v>686</v>
      </c>
      <c r="B179" s="26" t="s">
        <v>1</v>
      </c>
      <c r="C179" s="90" t="s">
        <v>75</v>
      </c>
      <c r="D179" s="91"/>
    </row>
    <row r="180" spans="1:4" ht="42.75" customHeight="1" thickBot="1">
      <c r="A180" s="26"/>
      <c r="B180" s="26" t="s">
        <v>0</v>
      </c>
      <c r="C180" s="5" t="s">
        <v>687</v>
      </c>
      <c r="D180" s="4" t="s">
        <v>2</v>
      </c>
    </row>
    <row r="181" spans="1:4" ht="42.75" customHeight="1" thickBot="1">
      <c r="A181" s="92">
        <v>4878</v>
      </c>
      <c r="B181" s="93"/>
      <c r="C181" s="94" t="s">
        <v>3</v>
      </c>
      <c r="D181" s="95"/>
    </row>
    <row r="182" spans="1:4" ht="42.75" customHeight="1" thickBot="1">
      <c r="A182" s="92">
        <v>4918</v>
      </c>
      <c r="B182" s="93"/>
      <c r="C182" s="96" t="s">
        <v>4</v>
      </c>
      <c r="D182" s="97"/>
    </row>
    <row r="183" spans="1:4" ht="42.75" customHeight="1" thickBot="1">
      <c r="A183" s="98">
        <f>A182-A181</f>
        <v>40</v>
      </c>
      <c r="B183" s="99"/>
      <c r="C183" s="96" t="s">
        <v>5</v>
      </c>
      <c r="D183" s="97"/>
    </row>
    <row r="184" spans="1:4" ht="42.75" customHeight="1" thickBot="1">
      <c r="A184" s="101">
        <v>62</v>
      </c>
      <c r="B184" s="102"/>
      <c r="C184" s="96" t="s">
        <v>6</v>
      </c>
      <c r="D184" s="97"/>
    </row>
    <row r="185" spans="1:4" ht="42.75" customHeight="1" thickBot="1">
      <c r="A185" s="103"/>
      <c r="B185" s="104"/>
      <c r="C185" s="96" t="s">
        <v>21</v>
      </c>
      <c r="D185" s="97"/>
    </row>
    <row r="186" spans="1:4" ht="42.75" customHeight="1" thickBot="1">
      <c r="A186" s="105">
        <v>2500</v>
      </c>
      <c r="B186" s="106"/>
      <c r="C186" s="96" t="s">
        <v>7</v>
      </c>
      <c r="D186" s="97"/>
    </row>
    <row r="187" spans="1:4" ht="42.75" customHeight="1" thickBot="1">
      <c r="A187" s="107" t="s">
        <v>17</v>
      </c>
      <c r="B187" s="108"/>
      <c r="C187" s="108"/>
      <c r="D187" s="109"/>
    </row>
    <row r="188" spans="1:4" ht="42.75" customHeight="1" thickBot="1">
      <c r="A188" s="110" t="s">
        <v>20</v>
      </c>
      <c r="B188" s="111"/>
      <c r="C188" s="111"/>
      <c r="D188" s="112"/>
    </row>
    <row r="189" spans="1:4" ht="42.75" customHeight="1" thickBot="1">
      <c r="A189" s="113" t="s">
        <v>18</v>
      </c>
      <c r="B189" s="114"/>
      <c r="C189" s="114"/>
      <c r="D189" s="115"/>
    </row>
    <row r="190" spans="1:4" ht="42.75" customHeight="1" thickBot="1">
      <c r="A190" s="126" t="s">
        <v>19</v>
      </c>
      <c r="B190" s="127"/>
      <c r="C190" s="127"/>
      <c r="D190" s="128"/>
    </row>
    <row r="191" spans="1:4" ht="42.75" customHeight="1" thickBot="1">
      <c r="A191" s="123" t="s">
        <v>11</v>
      </c>
      <c r="B191" s="124"/>
      <c r="C191" s="125" t="s">
        <v>603</v>
      </c>
      <c r="D191" s="124"/>
    </row>
    <row r="192" spans="1:4" ht="42.75" customHeight="1" thickBot="1">
      <c r="A192" s="1" t="s">
        <v>686</v>
      </c>
      <c r="B192" s="26" t="s">
        <v>1</v>
      </c>
      <c r="C192" s="90" t="s">
        <v>27</v>
      </c>
      <c r="D192" s="91"/>
    </row>
    <row r="193" spans="1:4" ht="42.75" customHeight="1" thickBot="1">
      <c r="A193" s="26"/>
      <c r="B193" s="26" t="s">
        <v>0</v>
      </c>
      <c r="C193" s="5" t="s">
        <v>687</v>
      </c>
      <c r="D193" s="4" t="s">
        <v>2</v>
      </c>
    </row>
    <row r="194" spans="1:4" ht="42.75" customHeight="1" thickBot="1">
      <c r="A194" s="92">
        <v>4760</v>
      </c>
      <c r="B194" s="93"/>
      <c r="C194" s="94" t="s">
        <v>3</v>
      </c>
      <c r="D194" s="95"/>
    </row>
    <row r="195" spans="1:4" ht="42.75" customHeight="1" thickBot="1">
      <c r="A195" s="92">
        <v>4760</v>
      </c>
      <c r="B195" s="93"/>
      <c r="C195" s="96" t="s">
        <v>4</v>
      </c>
      <c r="D195" s="97"/>
    </row>
    <row r="196" spans="1:4" ht="42.75" customHeight="1" thickBot="1">
      <c r="A196" s="98">
        <f>A195-A194</f>
        <v>0</v>
      </c>
      <c r="B196" s="99"/>
      <c r="C196" s="100" t="s">
        <v>5</v>
      </c>
      <c r="D196" s="97"/>
    </row>
    <row r="197" spans="1:4" ht="42.75" customHeight="1" thickBot="1">
      <c r="A197" s="101">
        <v>62</v>
      </c>
      <c r="B197" s="102"/>
      <c r="C197" s="96" t="s">
        <v>6</v>
      </c>
      <c r="D197" s="97"/>
    </row>
    <row r="198" spans="1:4" ht="42.75" customHeight="1" thickBot="1">
      <c r="A198" s="103"/>
      <c r="B198" s="104"/>
      <c r="C198" s="96" t="s">
        <v>21</v>
      </c>
      <c r="D198" s="97"/>
    </row>
    <row r="199" spans="1:4" ht="42.75" customHeight="1" thickBot="1">
      <c r="A199" s="105">
        <f>A197*A196</f>
        <v>0</v>
      </c>
      <c r="B199" s="106"/>
      <c r="C199" s="96" t="s">
        <v>7</v>
      </c>
      <c r="D199" s="97"/>
    </row>
    <row r="200" spans="1:4" ht="42.75" customHeight="1" thickBot="1">
      <c r="A200" s="107" t="s">
        <v>17</v>
      </c>
      <c r="B200" s="108"/>
      <c r="C200" s="108"/>
      <c r="D200" s="109"/>
    </row>
    <row r="201" spans="1:4" ht="42.75" customHeight="1" thickBot="1">
      <c r="A201" s="116" t="s">
        <v>20</v>
      </c>
      <c r="B201" s="117"/>
      <c r="C201" s="117"/>
      <c r="D201" s="118"/>
    </row>
    <row r="202" spans="1:4" ht="42.75" customHeight="1" thickBot="1">
      <c r="A202" s="113" t="s">
        <v>18</v>
      </c>
      <c r="B202" s="114"/>
      <c r="C202" s="114"/>
      <c r="D202" s="115"/>
    </row>
    <row r="203" spans="1:4" ht="42.75" customHeight="1" thickBot="1">
      <c r="A203" s="119"/>
      <c r="B203" s="119"/>
      <c r="C203" s="119"/>
      <c r="D203" s="119"/>
    </row>
    <row r="204" spans="1:4" ht="42.75" customHeight="1" thickBot="1">
      <c r="A204" s="126" t="s">
        <v>19</v>
      </c>
      <c r="B204" s="127"/>
      <c r="C204" s="127"/>
      <c r="D204" s="128"/>
    </row>
    <row r="205" spans="1:4" ht="42.75" customHeight="1" thickBot="1">
      <c r="A205" s="123" t="s">
        <v>11</v>
      </c>
      <c r="B205" s="124"/>
      <c r="C205" s="125" t="s">
        <v>603</v>
      </c>
      <c r="D205" s="124"/>
    </row>
    <row r="206" spans="1:4" ht="42.75" customHeight="1" thickBot="1">
      <c r="A206" s="1" t="s">
        <v>686</v>
      </c>
      <c r="B206" s="26" t="s">
        <v>1</v>
      </c>
      <c r="C206" s="90" t="s">
        <v>27</v>
      </c>
      <c r="D206" s="91"/>
    </row>
    <row r="207" spans="1:4" ht="42.75" customHeight="1" thickBot="1">
      <c r="A207" s="26"/>
      <c r="B207" s="26" t="s">
        <v>0</v>
      </c>
      <c r="C207" s="5" t="s">
        <v>687</v>
      </c>
      <c r="D207" s="4" t="s">
        <v>2</v>
      </c>
    </row>
    <row r="208" spans="1:4" ht="42.75" customHeight="1" thickBot="1">
      <c r="A208" s="92">
        <v>4717</v>
      </c>
      <c r="B208" s="93"/>
      <c r="C208" s="94" t="s">
        <v>3</v>
      </c>
      <c r="D208" s="95"/>
    </row>
    <row r="209" spans="1:4" ht="42.75" customHeight="1" thickBot="1">
      <c r="A209" s="92">
        <v>4760</v>
      </c>
      <c r="B209" s="93"/>
      <c r="C209" s="96" t="s">
        <v>4</v>
      </c>
      <c r="D209" s="97"/>
    </row>
    <row r="210" spans="1:4" ht="42.75" customHeight="1" thickBot="1">
      <c r="A210" s="98">
        <f>A209-A208</f>
        <v>43</v>
      </c>
      <c r="B210" s="99"/>
      <c r="C210" s="100" t="s">
        <v>5</v>
      </c>
      <c r="D210" s="97"/>
    </row>
    <row r="211" spans="1:4" ht="42.75" customHeight="1" thickBot="1">
      <c r="A211" s="101">
        <v>62</v>
      </c>
      <c r="B211" s="102"/>
      <c r="C211" s="96" t="s">
        <v>6</v>
      </c>
      <c r="D211" s="97"/>
    </row>
    <row r="212" spans="1:4" ht="42.75" customHeight="1" thickBot="1">
      <c r="A212" s="103"/>
      <c r="B212" s="104"/>
      <c r="C212" s="96" t="s">
        <v>21</v>
      </c>
      <c r="D212" s="97"/>
    </row>
    <row r="213" spans="1:4" ht="42.75" customHeight="1" thickBot="1">
      <c r="A213" s="105">
        <v>2650</v>
      </c>
      <c r="B213" s="106"/>
      <c r="C213" s="96" t="s">
        <v>7</v>
      </c>
      <c r="D213" s="97"/>
    </row>
    <row r="214" spans="1:4" ht="42.75" customHeight="1" thickBot="1">
      <c r="A214" s="107" t="s">
        <v>17</v>
      </c>
      <c r="B214" s="108"/>
      <c r="C214" s="108"/>
      <c r="D214" s="109"/>
    </row>
    <row r="215" spans="1:4" ht="42.75" customHeight="1" thickBot="1">
      <c r="A215" s="110" t="s">
        <v>20</v>
      </c>
      <c r="B215" s="111"/>
      <c r="C215" s="111"/>
      <c r="D215" s="112"/>
    </row>
    <row r="216" spans="1:4" ht="42.75" customHeight="1" thickBot="1">
      <c r="A216" s="113" t="s">
        <v>18</v>
      </c>
      <c r="B216" s="114"/>
      <c r="C216" s="114"/>
      <c r="D216" s="115"/>
    </row>
    <row r="217" spans="1:4" ht="42.75" customHeight="1" thickBot="1">
      <c r="A217" s="126" t="s">
        <v>19</v>
      </c>
      <c r="B217" s="127"/>
      <c r="C217" s="127"/>
      <c r="D217" s="128"/>
    </row>
    <row r="218" spans="1:4" ht="42.75" customHeight="1" thickBot="1">
      <c r="A218" s="123" t="s">
        <v>11</v>
      </c>
      <c r="B218" s="124"/>
      <c r="C218" s="125" t="s">
        <v>603</v>
      </c>
      <c r="D218" s="124"/>
    </row>
    <row r="219" spans="1:4" ht="42.75" customHeight="1" thickBot="1">
      <c r="A219" s="1" t="s">
        <v>686</v>
      </c>
      <c r="B219" s="26" t="s">
        <v>1</v>
      </c>
      <c r="C219" s="90" t="s">
        <v>28</v>
      </c>
      <c r="D219" s="91"/>
    </row>
    <row r="220" spans="1:4" ht="42.75" customHeight="1" thickBot="1">
      <c r="A220" s="26"/>
      <c r="B220" s="26" t="s">
        <v>0</v>
      </c>
      <c r="C220" s="5" t="s">
        <v>687</v>
      </c>
      <c r="D220" s="4" t="s">
        <v>2</v>
      </c>
    </row>
    <row r="221" spans="1:4" ht="42.75" customHeight="1" thickBot="1">
      <c r="A221" s="92">
        <v>2570</v>
      </c>
      <c r="B221" s="93"/>
      <c r="C221" s="94" t="s">
        <v>3</v>
      </c>
      <c r="D221" s="95"/>
    </row>
    <row r="222" spans="1:4" ht="42.75" customHeight="1" thickBot="1">
      <c r="A222" s="92">
        <v>2570</v>
      </c>
      <c r="B222" s="93"/>
      <c r="C222" s="96" t="s">
        <v>4</v>
      </c>
      <c r="D222" s="97"/>
    </row>
    <row r="223" spans="1:4" ht="42.75" customHeight="1" thickBot="1">
      <c r="A223" s="98">
        <f>A222-A221</f>
        <v>0</v>
      </c>
      <c r="B223" s="99"/>
      <c r="C223" s="100" t="s">
        <v>5</v>
      </c>
      <c r="D223" s="97"/>
    </row>
    <row r="224" spans="1:4" ht="42.75" customHeight="1" thickBot="1">
      <c r="A224" s="101">
        <v>62</v>
      </c>
      <c r="B224" s="102"/>
      <c r="C224" s="96" t="s">
        <v>6</v>
      </c>
      <c r="D224" s="97"/>
    </row>
    <row r="225" spans="1:4" ht="42.75" customHeight="1" thickBot="1">
      <c r="A225" s="103"/>
      <c r="B225" s="104"/>
      <c r="C225" s="96" t="s">
        <v>21</v>
      </c>
      <c r="D225" s="97"/>
    </row>
    <row r="226" spans="1:4" ht="42.75" customHeight="1" thickBot="1">
      <c r="A226" s="105">
        <f>A224*A223</f>
        <v>0</v>
      </c>
      <c r="B226" s="106"/>
      <c r="C226" s="96" t="s">
        <v>7</v>
      </c>
      <c r="D226" s="97"/>
    </row>
    <row r="227" spans="1:4" ht="42.75" customHeight="1" thickBot="1">
      <c r="A227" s="107" t="s">
        <v>17</v>
      </c>
      <c r="B227" s="108"/>
      <c r="C227" s="108"/>
      <c r="D227" s="109"/>
    </row>
    <row r="228" spans="1:4" ht="42.75" customHeight="1" thickBot="1">
      <c r="A228" s="116" t="s">
        <v>20</v>
      </c>
      <c r="B228" s="117"/>
      <c r="C228" s="117"/>
      <c r="D228" s="118"/>
    </row>
    <row r="229" spans="1:4" ht="42.75" customHeight="1" thickBot="1">
      <c r="A229" s="113" t="s">
        <v>18</v>
      </c>
      <c r="B229" s="114"/>
      <c r="C229" s="114"/>
      <c r="D229" s="115"/>
    </row>
    <row r="230" spans="1:4" ht="42.75" customHeight="1" thickBot="1">
      <c r="A230" s="119"/>
      <c r="B230" s="119"/>
      <c r="C230" s="119"/>
      <c r="D230" s="119"/>
    </row>
    <row r="231" spans="1:4" ht="42.75" customHeight="1" thickBot="1">
      <c r="A231" s="126" t="s">
        <v>19</v>
      </c>
      <c r="B231" s="127"/>
      <c r="C231" s="127"/>
      <c r="D231" s="128"/>
    </row>
    <row r="232" spans="1:4" ht="42.75" customHeight="1" thickBot="1">
      <c r="A232" s="123" t="s">
        <v>11</v>
      </c>
      <c r="B232" s="124"/>
      <c r="C232" s="125" t="s">
        <v>603</v>
      </c>
      <c r="D232" s="124"/>
    </row>
    <row r="233" spans="1:4" ht="42.75" customHeight="1" thickBot="1">
      <c r="A233" s="1" t="s">
        <v>686</v>
      </c>
      <c r="B233" s="26" t="s">
        <v>1</v>
      </c>
      <c r="C233" s="90" t="s">
        <v>28</v>
      </c>
      <c r="D233" s="91"/>
    </row>
    <row r="234" spans="1:4" ht="42.75" customHeight="1" thickBot="1">
      <c r="A234" s="26"/>
      <c r="B234" s="26" t="s">
        <v>0</v>
      </c>
      <c r="C234" s="5" t="s">
        <v>687</v>
      </c>
      <c r="D234" s="4" t="s">
        <v>2</v>
      </c>
    </row>
    <row r="235" spans="1:4" ht="42.75" customHeight="1" thickBot="1">
      <c r="A235" s="92">
        <v>2543</v>
      </c>
      <c r="B235" s="93"/>
      <c r="C235" s="94" t="s">
        <v>3</v>
      </c>
      <c r="D235" s="95"/>
    </row>
    <row r="236" spans="1:4" ht="42.75" customHeight="1" thickBot="1">
      <c r="A236" s="92">
        <v>2570</v>
      </c>
      <c r="B236" s="93"/>
      <c r="C236" s="96" t="s">
        <v>4</v>
      </c>
      <c r="D236" s="97"/>
    </row>
    <row r="237" spans="1:4" ht="42.75" customHeight="1" thickBot="1">
      <c r="A237" s="98">
        <f>A236-A235</f>
        <v>27</v>
      </c>
      <c r="B237" s="99"/>
      <c r="C237" s="100" t="s">
        <v>5</v>
      </c>
      <c r="D237" s="97"/>
    </row>
    <row r="238" spans="1:4" ht="42.75" customHeight="1" thickBot="1">
      <c r="A238" s="101">
        <v>62</v>
      </c>
      <c r="B238" s="102"/>
      <c r="C238" s="96" t="s">
        <v>6</v>
      </c>
      <c r="D238" s="97"/>
    </row>
    <row r="239" spans="1:4" ht="42.75" customHeight="1" thickBot="1">
      <c r="A239" s="103"/>
      <c r="B239" s="104"/>
      <c r="C239" s="96" t="s">
        <v>21</v>
      </c>
      <c r="D239" s="97"/>
    </row>
    <row r="240" spans="1:4" ht="42.75" customHeight="1" thickBot="1">
      <c r="A240" s="105">
        <v>1700</v>
      </c>
      <c r="B240" s="106"/>
      <c r="C240" s="96" t="s">
        <v>7</v>
      </c>
      <c r="D240" s="97"/>
    </row>
    <row r="241" spans="1:4" ht="42.75" customHeight="1" thickBot="1">
      <c r="A241" s="107" t="s">
        <v>17</v>
      </c>
      <c r="B241" s="108"/>
      <c r="C241" s="108"/>
      <c r="D241" s="109"/>
    </row>
    <row r="242" spans="1:4" ht="42.75" customHeight="1" thickBot="1">
      <c r="A242" s="110" t="s">
        <v>20</v>
      </c>
      <c r="B242" s="111"/>
      <c r="C242" s="111"/>
      <c r="D242" s="112"/>
    </row>
    <row r="243" spans="1:4" ht="42.75" customHeight="1" thickBot="1">
      <c r="A243" s="113" t="s">
        <v>18</v>
      </c>
      <c r="B243" s="114"/>
      <c r="C243" s="114"/>
      <c r="D243" s="115"/>
    </row>
    <row r="244" spans="1:4" ht="42.75" customHeight="1" thickBot="1">
      <c r="A244" s="126" t="s">
        <v>19</v>
      </c>
      <c r="B244" s="127"/>
      <c r="C244" s="127"/>
      <c r="D244" s="128"/>
    </row>
    <row r="245" spans="1:4" ht="42.75" customHeight="1" thickBot="1">
      <c r="A245" s="123" t="s">
        <v>11</v>
      </c>
      <c r="B245" s="124"/>
      <c r="C245" s="125" t="s">
        <v>603</v>
      </c>
      <c r="D245" s="124"/>
    </row>
    <row r="246" spans="1:4" ht="42.75" customHeight="1" thickBot="1">
      <c r="A246" s="1" t="s">
        <v>686</v>
      </c>
      <c r="B246" s="26" t="s">
        <v>1</v>
      </c>
      <c r="C246" s="90" t="s">
        <v>29</v>
      </c>
      <c r="D246" s="91"/>
    </row>
    <row r="247" spans="1:4" ht="42.75" customHeight="1" thickBot="1">
      <c r="A247" s="26"/>
      <c r="B247" s="26" t="s">
        <v>0</v>
      </c>
      <c r="C247" s="5" t="s">
        <v>687</v>
      </c>
      <c r="D247" s="4" t="s">
        <v>2</v>
      </c>
    </row>
    <row r="248" spans="1:4" ht="42.75" customHeight="1" thickBot="1">
      <c r="A248" s="92">
        <v>5775</v>
      </c>
      <c r="B248" s="93"/>
      <c r="C248" s="94" t="s">
        <v>3</v>
      </c>
      <c r="D248" s="95"/>
    </row>
    <row r="249" spans="1:4" ht="42.75" customHeight="1" thickBot="1">
      <c r="A249" s="92">
        <v>5775</v>
      </c>
      <c r="B249" s="93"/>
      <c r="C249" s="96" t="s">
        <v>4</v>
      </c>
      <c r="D249" s="97"/>
    </row>
    <row r="250" spans="1:4" ht="42.75" customHeight="1" thickBot="1">
      <c r="A250" s="98">
        <f>A249-A248</f>
        <v>0</v>
      </c>
      <c r="B250" s="99"/>
      <c r="C250" s="100" t="s">
        <v>5</v>
      </c>
      <c r="D250" s="97"/>
    </row>
    <row r="251" spans="1:4" ht="42.75" customHeight="1" thickBot="1">
      <c r="A251" s="101">
        <v>62</v>
      </c>
      <c r="B251" s="102"/>
      <c r="C251" s="96" t="s">
        <v>6</v>
      </c>
      <c r="D251" s="97"/>
    </row>
    <row r="252" spans="1:4" ht="42.75" customHeight="1" thickBot="1">
      <c r="A252" s="103"/>
      <c r="B252" s="104"/>
      <c r="C252" s="96" t="s">
        <v>21</v>
      </c>
      <c r="D252" s="97"/>
    </row>
    <row r="253" spans="1:4" ht="42.75" customHeight="1" thickBot="1">
      <c r="A253" s="105">
        <f>A251*A250</f>
        <v>0</v>
      </c>
      <c r="B253" s="106"/>
      <c r="C253" s="96" t="s">
        <v>7</v>
      </c>
      <c r="D253" s="97"/>
    </row>
    <row r="254" spans="1:4" ht="42.75" customHeight="1" thickBot="1">
      <c r="A254" s="107" t="s">
        <v>17</v>
      </c>
      <c r="B254" s="108"/>
      <c r="C254" s="108"/>
      <c r="D254" s="109"/>
    </row>
    <row r="255" spans="1:4" ht="42.75" customHeight="1" thickBot="1">
      <c r="A255" s="116" t="s">
        <v>20</v>
      </c>
      <c r="B255" s="117"/>
      <c r="C255" s="117"/>
      <c r="D255" s="118"/>
    </row>
    <row r="256" spans="1:4" ht="42.75" customHeight="1" thickBot="1">
      <c r="A256" s="113" t="s">
        <v>18</v>
      </c>
      <c r="B256" s="114"/>
      <c r="C256" s="114"/>
      <c r="D256" s="115"/>
    </row>
    <row r="257" spans="1:4" ht="42.75" customHeight="1" thickBot="1">
      <c r="A257" s="119"/>
      <c r="B257" s="119"/>
      <c r="C257" s="119"/>
      <c r="D257" s="119"/>
    </row>
    <row r="258" spans="1:4" ht="42.75" customHeight="1" thickBot="1">
      <c r="A258" s="126" t="s">
        <v>19</v>
      </c>
      <c r="B258" s="127"/>
      <c r="C258" s="127"/>
      <c r="D258" s="128"/>
    </row>
    <row r="259" spans="1:4" ht="42.75" customHeight="1" thickBot="1">
      <c r="A259" s="123" t="s">
        <v>11</v>
      </c>
      <c r="B259" s="124"/>
      <c r="C259" s="125" t="s">
        <v>603</v>
      </c>
      <c r="D259" s="124"/>
    </row>
    <row r="260" spans="1:4" ht="42.75" customHeight="1" thickBot="1">
      <c r="A260" s="1" t="s">
        <v>686</v>
      </c>
      <c r="B260" s="26" t="s">
        <v>1</v>
      </c>
      <c r="C260" s="90" t="s">
        <v>29</v>
      </c>
      <c r="D260" s="91"/>
    </row>
    <row r="261" spans="1:4" ht="42.75" customHeight="1" thickBot="1">
      <c r="A261" s="26"/>
      <c r="B261" s="26" t="s">
        <v>0</v>
      </c>
      <c r="C261" s="5" t="s">
        <v>687</v>
      </c>
      <c r="D261" s="4" t="s">
        <v>2</v>
      </c>
    </row>
    <row r="262" spans="1:4" ht="42.75" customHeight="1" thickBot="1">
      <c r="A262" s="92">
        <v>5630</v>
      </c>
      <c r="B262" s="93"/>
      <c r="C262" s="94" t="s">
        <v>3</v>
      </c>
      <c r="D262" s="95"/>
    </row>
    <row r="263" spans="1:4" ht="42.75" customHeight="1" thickBot="1">
      <c r="A263" s="92">
        <v>5775</v>
      </c>
      <c r="B263" s="93"/>
      <c r="C263" s="96" t="s">
        <v>4</v>
      </c>
      <c r="D263" s="97"/>
    </row>
    <row r="264" spans="1:4" ht="42.75" customHeight="1" thickBot="1">
      <c r="A264" s="98">
        <f>A263-A262</f>
        <v>145</v>
      </c>
      <c r="B264" s="99"/>
      <c r="C264" s="100" t="s">
        <v>5</v>
      </c>
      <c r="D264" s="97"/>
    </row>
    <row r="265" spans="1:4" ht="42.75" customHeight="1" thickBot="1">
      <c r="A265" s="101">
        <v>62</v>
      </c>
      <c r="B265" s="102"/>
      <c r="C265" s="96" t="s">
        <v>6</v>
      </c>
      <c r="D265" s="97"/>
    </row>
    <row r="266" spans="1:4" ht="42.75" customHeight="1" thickBot="1">
      <c r="A266" s="103"/>
      <c r="B266" s="104"/>
      <c r="C266" s="96" t="s">
        <v>21</v>
      </c>
      <c r="D266" s="97"/>
    </row>
    <row r="267" spans="1:4" ht="42.75" customHeight="1" thickBot="1">
      <c r="A267" s="105">
        <v>9000</v>
      </c>
      <c r="B267" s="106"/>
      <c r="C267" s="96" t="s">
        <v>7</v>
      </c>
      <c r="D267" s="97"/>
    </row>
    <row r="268" spans="1:4" ht="42.75" customHeight="1" thickBot="1">
      <c r="A268" s="107" t="s">
        <v>17</v>
      </c>
      <c r="B268" s="108"/>
      <c r="C268" s="108"/>
      <c r="D268" s="109"/>
    </row>
    <row r="269" spans="1:4" ht="42.75" customHeight="1" thickBot="1">
      <c r="A269" s="110" t="s">
        <v>20</v>
      </c>
      <c r="B269" s="111"/>
      <c r="C269" s="111"/>
      <c r="D269" s="112"/>
    </row>
    <row r="270" spans="1:4" ht="42.75" customHeight="1" thickBot="1">
      <c r="A270" s="113" t="s">
        <v>18</v>
      </c>
      <c r="B270" s="114"/>
      <c r="C270" s="114"/>
      <c r="D270" s="115"/>
    </row>
    <row r="271" spans="1:4" ht="42.75" customHeight="1" thickBot="1">
      <c r="A271" s="126" t="s">
        <v>19</v>
      </c>
      <c r="B271" s="127"/>
      <c r="C271" s="127"/>
      <c r="D271" s="128"/>
    </row>
    <row r="272" spans="1:4" ht="42.75" customHeight="1" thickBot="1">
      <c r="A272" s="123" t="s">
        <v>11</v>
      </c>
      <c r="B272" s="124"/>
      <c r="C272" s="125" t="s">
        <v>603</v>
      </c>
      <c r="D272" s="124"/>
    </row>
    <row r="273" spans="1:4" ht="42.75" customHeight="1" thickBot="1">
      <c r="A273" s="1" t="s">
        <v>686</v>
      </c>
      <c r="B273" s="26" t="s">
        <v>1</v>
      </c>
      <c r="C273" s="90" t="s">
        <v>30</v>
      </c>
      <c r="D273" s="91"/>
    </row>
    <row r="274" spans="1:4" ht="42.75" customHeight="1" thickBot="1">
      <c r="A274" s="26"/>
      <c r="B274" s="26" t="s">
        <v>0</v>
      </c>
      <c r="C274" s="5" t="s">
        <v>687</v>
      </c>
      <c r="D274" s="4" t="s">
        <v>2</v>
      </c>
    </row>
    <row r="275" spans="1:4" ht="42.75" customHeight="1" thickBot="1">
      <c r="A275" s="92">
        <v>6480</v>
      </c>
      <c r="B275" s="93"/>
      <c r="C275" s="94" t="s">
        <v>3</v>
      </c>
      <c r="D275" s="95"/>
    </row>
    <row r="276" spans="1:4" ht="42.75" customHeight="1" thickBot="1">
      <c r="A276" s="92">
        <v>6480</v>
      </c>
      <c r="B276" s="93"/>
      <c r="C276" s="96" t="s">
        <v>4</v>
      </c>
      <c r="D276" s="97"/>
    </row>
    <row r="277" spans="1:4" ht="42.75" customHeight="1" thickBot="1">
      <c r="A277" s="98">
        <f>A276-A275</f>
        <v>0</v>
      </c>
      <c r="B277" s="99"/>
      <c r="C277" s="100" t="s">
        <v>5</v>
      </c>
      <c r="D277" s="97"/>
    </row>
    <row r="278" spans="1:4" ht="42.75" customHeight="1" thickBot="1">
      <c r="A278" s="101">
        <v>62</v>
      </c>
      <c r="B278" s="102"/>
      <c r="C278" s="96" t="s">
        <v>6</v>
      </c>
      <c r="D278" s="97"/>
    </row>
    <row r="279" spans="1:4" ht="42.75" customHeight="1" thickBot="1">
      <c r="A279" s="103"/>
      <c r="B279" s="104"/>
      <c r="C279" s="96" t="s">
        <v>21</v>
      </c>
      <c r="D279" s="97"/>
    </row>
    <row r="280" spans="1:4" ht="42.75" customHeight="1" thickBot="1">
      <c r="A280" s="105">
        <f>A278*A277</f>
        <v>0</v>
      </c>
      <c r="B280" s="106"/>
      <c r="C280" s="96" t="s">
        <v>7</v>
      </c>
      <c r="D280" s="97"/>
    </row>
    <row r="281" spans="1:4" ht="42.75" customHeight="1" thickBot="1">
      <c r="A281" s="107" t="s">
        <v>17</v>
      </c>
      <c r="B281" s="108"/>
      <c r="C281" s="108"/>
      <c r="D281" s="109"/>
    </row>
    <row r="282" spans="1:4" ht="42.75" customHeight="1" thickBot="1">
      <c r="A282" s="116" t="s">
        <v>20</v>
      </c>
      <c r="B282" s="117"/>
      <c r="C282" s="117"/>
      <c r="D282" s="118"/>
    </row>
    <row r="283" spans="1:4" ht="42.75" customHeight="1" thickBot="1">
      <c r="A283" s="113" t="s">
        <v>18</v>
      </c>
      <c r="B283" s="114"/>
      <c r="C283" s="114"/>
      <c r="D283" s="115"/>
    </row>
    <row r="284" spans="1:4" ht="42.75" customHeight="1" thickBot="1">
      <c r="A284" s="119"/>
      <c r="B284" s="119"/>
      <c r="C284" s="119"/>
      <c r="D284" s="119"/>
    </row>
    <row r="285" spans="1:4" ht="42.75" customHeight="1" thickBot="1">
      <c r="A285" s="126" t="s">
        <v>19</v>
      </c>
      <c r="B285" s="127"/>
      <c r="C285" s="127"/>
      <c r="D285" s="128"/>
    </row>
    <row r="286" spans="1:4" ht="42.75" customHeight="1" thickBot="1">
      <c r="A286" s="123" t="s">
        <v>11</v>
      </c>
      <c r="B286" s="124"/>
      <c r="C286" s="125" t="s">
        <v>603</v>
      </c>
      <c r="D286" s="124"/>
    </row>
    <row r="287" spans="1:4" ht="42.75" customHeight="1" thickBot="1">
      <c r="A287" s="1" t="s">
        <v>686</v>
      </c>
      <c r="B287" s="26" t="s">
        <v>1</v>
      </c>
      <c r="C287" s="90" t="s">
        <v>30</v>
      </c>
      <c r="D287" s="91"/>
    </row>
    <row r="288" spans="1:4" ht="42.75" customHeight="1" thickBot="1">
      <c r="A288" s="26"/>
      <c r="B288" s="26" t="s">
        <v>0</v>
      </c>
      <c r="C288" s="5" t="s">
        <v>687</v>
      </c>
      <c r="D288" s="4" t="s">
        <v>2</v>
      </c>
    </row>
    <row r="289" spans="1:4" ht="42.75" customHeight="1" thickBot="1">
      <c r="A289" s="92">
        <v>6455</v>
      </c>
      <c r="B289" s="93"/>
      <c r="C289" s="94" t="s">
        <v>3</v>
      </c>
      <c r="D289" s="95"/>
    </row>
    <row r="290" spans="1:4" ht="42.75" customHeight="1" thickBot="1">
      <c r="A290" s="92">
        <v>6480</v>
      </c>
      <c r="B290" s="93"/>
      <c r="C290" s="96" t="s">
        <v>4</v>
      </c>
      <c r="D290" s="97"/>
    </row>
    <row r="291" spans="1:4" ht="42.75" customHeight="1" thickBot="1">
      <c r="A291" s="98">
        <f>A290-A289</f>
        <v>25</v>
      </c>
      <c r="B291" s="99"/>
      <c r="C291" s="100" t="s">
        <v>5</v>
      </c>
      <c r="D291" s="97"/>
    </row>
    <row r="292" spans="1:4" ht="42.75" customHeight="1" thickBot="1">
      <c r="A292" s="101">
        <v>62</v>
      </c>
      <c r="B292" s="102"/>
      <c r="C292" s="96" t="s">
        <v>6</v>
      </c>
      <c r="D292" s="97"/>
    </row>
    <row r="293" spans="1:4" ht="42.75" customHeight="1" thickBot="1">
      <c r="A293" s="103"/>
      <c r="B293" s="104"/>
      <c r="C293" s="96" t="s">
        <v>21</v>
      </c>
      <c r="D293" s="97"/>
    </row>
    <row r="294" spans="1:4" ht="42.75" customHeight="1" thickBot="1">
      <c r="A294" s="105">
        <f>A292*A291</f>
        <v>1550</v>
      </c>
      <c r="B294" s="106"/>
      <c r="C294" s="96" t="s">
        <v>7</v>
      </c>
      <c r="D294" s="97"/>
    </row>
    <row r="295" spans="1:4" ht="42.75" customHeight="1" thickBot="1">
      <c r="A295" s="107" t="s">
        <v>17</v>
      </c>
      <c r="B295" s="108"/>
      <c r="C295" s="108"/>
      <c r="D295" s="109"/>
    </row>
    <row r="296" spans="1:4" ht="42.75" customHeight="1" thickBot="1">
      <c r="A296" s="110" t="s">
        <v>20</v>
      </c>
      <c r="B296" s="111"/>
      <c r="C296" s="111"/>
      <c r="D296" s="112"/>
    </row>
    <row r="297" spans="1:4" ht="42.75" customHeight="1" thickBot="1">
      <c r="A297" s="113" t="s">
        <v>18</v>
      </c>
      <c r="B297" s="114"/>
      <c r="C297" s="114"/>
      <c r="D297" s="115"/>
    </row>
    <row r="298" spans="1:4" ht="42.75" customHeight="1" thickBot="1">
      <c r="A298" s="126" t="s">
        <v>19</v>
      </c>
      <c r="B298" s="127"/>
      <c r="C298" s="127"/>
      <c r="D298" s="128"/>
    </row>
    <row r="299" spans="1:4" ht="42.75" customHeight="1" thickBot="1">
      <c r="A299" s="123" t="s">
        <v>11</v>
      </c>
      <c r="B299" s="124"/>
      <c r="C299" s="125" t="s">
        <v>603</v>
      </c>
      <c r="D299" s="124"/>
    </row>
    <row r="300" spans="1:4" ht="42.75" customHeight="1" thickBot="1">
      <c r="A300" s="1" t="s">
        <v>686</v>
      </c>
      <c r="B300" s="26" t="s">
        <v>1</v>
      </c>
      <c r="C300" s="90" t="s">
        <v>31</v>
      </c>
      <c r="D300" s="91"/>
    </row>
    <row r="301" spans="1:4" ht="42.75" customHeight="1" thickBot="1">
      <c r="A301" s="26"/>
      <c r="B301" s="26" t="s">
        <v>0</v>
      </c>
      <c r="C301" s="5" t="s">
        <v>687</v>
      </c>
      <c r="D301" s="4" t="s">
        <v>2</v>
      </c>
    </row>
    <row r="302" spans="1:4" ht="42.75" customHeight="1" thickBot="1">
      <c r="A302" s="92">
        <v>4380</v>
      </c>
      <c r="B302" s="93"/>
      <c r="C302" s="94" t="s">
        <v>3</v>
      </c>
      <c r="D302" s="95"/>
    </row>
    <row r="303" spans="1:4" ht="42.75" customHeight="1" thickBot="1">
      <c r="A303" s="92">
        <v>4380</v>
      </c>
      <c r="B303" s="93"/>
      <c r="C303" s="96" t="s">
        <v>4</v>
      </c>
      <c r="D303" s="97"/>
    </row>
    <row r="304" spans="1:4" ht="42.75" customHeight="1" thickBot="1">
      <c r="A304" s="98">
        <f>A303-A302</f>
        <v>0</v>
      </c>
      <c r="B304" s="99"/>
      <c r="C304" s="100" t="s">
        <v>5</v>
      </c>
      <c r="D304" s="97"/>
    </row>
    <row r="305" spans="1:4" ht="42.75" customHeight="1" thickBot="1">
      <c r="A305" s="101">
        <v>62</v>
      </c>
      <c r="B305" s="102"/>
      <c r="C305" s="96" t="s">
        <v>6</v>
      </c>
      <c r="D305" s="97"/>
    </row>
    <row r="306" spans="1:4" ht="42.75" customHeight="1" thickBot="1">
      <c r="A306" s="103"/>
      <c r="B306" s="104"/>
      <c r="C306" s="96" t="s">
        <v>21</v>
      </c>
      <c r="D306" s="97"/>
    </row>
    <row r="307" spans="1:4" ht="42.75" customHeight="1" thickBot="1">
      <c r="A307" s="105">
        <f>A305*A304</f>
        <v>0</v>
      </c>
      <c r="B307" s="106"/>
      <c r="C307" s="96" t="s">
        <v>7</v>
      </c>
      <c r="D307" s="97"/>
    </row>
    <row r="308" spans="1:4" ht="42.75" customHeight="1" thickBot="1">
      <c r="A308" s="107" t="s">
        <v>17</v>
      </c>
      <c r="B308" s="108"/>
      <c r="C308" s="108"/>
      <c r="D308" s="109"/>
    </row>
    <row r="309" spans="1:4" ht="42.75" customHeight="1" thickBot="1">
      <c r="A309" s="116" t="s">
        <v>20</v>
      </c>
      <c r="B309" s="117"/>
      <c r="C309" s="117"/>
      <c r="D309" s="118"/>
    </row>
    <row r="310" spans="1:4" ht="42.75" customHeight="1" thickBot="1">
      <c r="A310" s="113" t="s">
        <v>18</v>
      </c>
      <c r="B310" s="114"/>
      <c r="C310" s="114"/>
      <c r="D310" s="115"/>
    </row>
    <row r="311" spans="1:4" ht="42.75" customHeight="1" thickBot="1">
      <c r="A311" s="119"/>
      <c r="B311" s="119"/>
      <c r="C311" s="119"/>
      <c r="D311" s="119"/>
    </row>
    <row r="312" spans="1:4" ht="42.75" customHeight="1" thickBot="1">
      <c r="A312" s="126" t="s">
        <v>19</v>
      </c>
      <c r="B312" s="127"/>
      <c r="C312" s="127"/>
      <c r="D312" s="128"/>
    </row>
    <row r="313" spans="1:4" ht="42.75" customHeight="1" thickBot="1">
      <c r="A313" s="123" t="s">
        <v>11</v>
      </c>
      <c r="B313" s="124"/>
      <c r="C313" s="125" t="s">
        <v>603</v>
      </c>
      <c r="D313" s="124"/>
    </row>
    <row r="314" spans="1:4" ht="42.75" customHeight="1" thickBot="1">
      <c r="A314" s="1" t="s">
        <v>686</v>
      </c>
      <c r="B314" s="26" t="s">
        <v>1</v>
      </c>
      <c r="C314" s="90" t="s">
        <v>31</v>
      </c>
      <c r="D314" s="91"/>
    </row>
    <row r="315" spans="1:4" ht="42.75" customHeight="1" thickBot="1">
      <c r="A315" s="26"/>
      <c r="B315" s="26" t="s">
        <v>0</v>
      </c>
      <c r="C315" s="5" t="s">
        <v>687</v>
      </c>
      <c r="D315" s="4" t="s">
        <v>2</v>
      </c>
    </row>
    <row r="316" spans="1:4" ht="42.75" customHeight="1" thickBot="1">
      <c r="A316" s="92">
        <v>4355</v>
      </c>
      <c r="B316" s="93"/>
      <c r="C316" s="94" t="s">
        <v>3</v>
      </c>
      <c r="D316" s="95"/>
    </row>
    <row r="317" spans="1:4" ht="42.75" customHeight="1" thickBot="1">
      <c r="A317" s="92">
        <v>4380</v>
      </c>
      <c r="B317" s="93"/>
      <c r="C317" s="96" t="s">
        <v>4</v>
      </c>
      <c r="D317" s="97"/>
    </row>
    <row r="318" spans="1:4" ht="42.75" customHeight="1" thickBot="1">
      <c r="A318" s="98">
        <f>A317-A316</f>
        <v>25</v>
      </c>
      <c r="B318" s="99"/>
      <c r="C318" s="100" t="s">
        <v>5</v>
      </c>
      <c r="D318" s="97"/>
    </row>
    <row r="319" spans="1:4" ht="42.75" customHeight="1" thickBot="1">
      <c r="A319" s="101">
        <v>62</v>
      </c>
      <c r="B319" s="102"/>
      <c r="C319" s="96" t="s">
        <v>6</v>
      </c>
      <c r="D319" s="97"/>
    </row>
    <row r="320" spans="1:4" ht="42.75" customHeight="1" thickBot="1">
      <c r="A320" s="103"/>
      <c r="B320" s="104"/>
      <c r="C320" s="96" t="s">
        <v>21</v>
      </c>
      <c r="D320" s="97"/>
    </row>
    <row r="321" spans="1:4" ht="42.75" customHeight="1" thickBot="1">
      <c r="A321" s="105">
        <f>A319*A318</f>
        <v>1550</v>
      </c>
      <c r="B321" s="106"/>
      <c r="C321" s="96" t="s">
        <v>7</v>
      </c>
      <c r="D321" s="97"/>
    </row>
    <row r="322" spans="1:4" ht="42.75" customHeight="1" thickBot="1">
      <c r="A322" s="107" t="s">
        <v>17</v>
      </c>
      <c r="B322" s="108"/>
      <c r="C322" s="108"/>
      <c r="D322" s="109"/>
    </row>
    <row r="323" spans="1:4" ht="42.75" customHeight="1" thickBot="1">
      <c r="A323" s="116" t="s">
        <v>20</v>
      </c>
      <c r="B323" s="117"/>
      <c r="C323" s="117"/>
      <c r="D323" s="118"/>
    </row>
    <row r="324" spans="1:4" ht="42.75" customHeight="1" thickBot="1">
      <c r="A324" s="113" t="s">
        <v>18</v>
      </c>
      <c r="B324" s="114"/>
      <c r="C324" s="114"/>
      <c r="D324" s="115"/>
    </row>
    <row r="325" spans="1:4" ht="42.75" customHeight="1" thickBot="1">
      <c r="A325" s="126" t="s">
        <v>19</v>
      </c>
      <c r="B325" s="127"/>
      <c r="C325" s="127"/>
      <c r="D325" s="128"/>
    </row>
    <row r="326" spans="1:4" ht="42.75" customHeight="1" thickBot="1">
      <c r="A326" s="123" t="s">
        <v>11</v>
      </c>
      <c r="B326" s="124"/>
      <c r="C326" s="125" t="s">
        <v>603</v>
      </c>
      <c r="D326" s="124"/>
    </row>
    <row r="327" spans="1:4" ht="42.75" customHeight="1" thickBot="1">
      <c r="A327" s="1" t="s">
        <v>686</v>
      </c>
      <c r="B327" s="26" t="s">
        <v>1</v>
      </c>
      <c r="C327" s="90" t="s">
        <v>32</v>
      </c>
      <c r="D327" s="91"/>
    </row>
    <row r="328" spans="1:4" ht="42.75" customHeight="1" thickBot="1">
      <c r="A328" s="26"/>
      <c r="B328" s="26" t="s">
        <v>0</v>
      </c>
      <c r="C328" s="5" t="s">
        <v>687</v>
      </c>
      <c r="D328" s="4" t="s">
        <v>2</v>
      </c>
    </row>
    <row r="329" spans="1:4" ht="42.75" customHeight="1" thickBot="1">
      <c r="A329" s="92">
        <v>5430</v>
      </c>
      <c r="B329" s="93"/>
      <c r="C329" s="94" t="s">
        <v>3</v>
      </c>
      <c r="D329" s="95"/>
    </row>
    <row r="330" spans="1:4" ht="42.75" customHeight="1" thickBot="1">
      <c r="A330" s="92">
        <v>5430</v>
      </c>
      <c r="B330" s="93"/>
      <c r="C330" s="96" t="s">
        <v>4</v>
      </c>
      <c r="D330" s="97"/>
    </row>
    <row r="331" spans="1:4" ht="42.75" customHeight="1" thickBot="1">
      <c r="A331" s="98">
        <f>A330-A329</f>
        <v>0</v>
      </c>
      <c r="B331" s="99"/>
      <c r="C331" s="100" t="s">
        <v>5</v>
      </c>
      <c r="D331" s="97"/>
    </row>
    <row r="332" spans="1:4" ht="42.75" customHeight="1" thickBot="1">
      <c r="A332" s="101">
        <v>62</v>
      </c>
      <c r="B332" s="102"/>
      <c r="C332" s="96" t="s">
        <v>6</v>
      </c>
      <c r="D332" s="97"/>
    </row>
    <row r="333" spans="1:4" ht="42.75" customHeight="1" thickBot="1">
      <c r="A333" s="103"/>
      <c r="B333" s="104"/>
      <c r="C333" s="96" t="s">
        <v>21</v>
      </c>
      <c r="D333" s="97"/>
    </row>
    <row r="334" spans="1:4" ht="42.75" customHeight="1" thickBot="1">
      <c r="A334" s="105">
        <f>A332*A331</f>
        <v>0</v>
      </c>
      <c r="B334" s="106"/>
      <c r="C334" s="96" t="s">
        <v>7</v>
      </c>
      <c r="D334" s="97"/>
    </row>
    <row r="335" spans="1:4" ht="42.75" customHeight="1" thickBot="1">
      <c r="A335" s="107" t="s">
        <v>17</v>
      </c>
      <c r="B335" s="108"/>
      <c r="C335" s="108"/>
      <c r="D335" s="109"/>
    </row>
    <row r="336" spans="1:4" ht="42.75" customHeight="1" thickBot="1">
      <c r="A336" s="116" t="s">
        <v>20</v>
      </c>
      <c r="B336" s="117"/>
      <c r="C336" s="117"/>
      <c r="D336" s="118"/>
    </row>
    <row r="337" spans="1:4" ht="42.75" customHeight="1" thickBot="1">
      <c r="A337" s="113" t="s">
        <v>18</v>
      </c>
      <c r="B337" s="114"/>
      <c r="C337" s="114"/>
      <c r="D337" s="115"/>
    </row>
    <row r="338" spans="1:4" ht="42.75" customHeight="1" thickBot="1">
      <c r="A338" s="119"/>
      <c r="B338" s="119"/>
      <c r="C338" s="119"/>
      <c r="D338" s="119"/>
    </row>
    <row r="339" spans="1:4" ht="42.75" customHeight="1" thickBot="1">
      <c r="A339" s="126" t="s">
        <v>19</v>
      </c>
      <c r="B339" s="127"/>
      <c r="C339" s="127"/>
      <c r="D339" s="128"/>
    </row>
    <row r="340" spans="1:4" ht="42.75" customHeight="1" thickBot="1">
      <c r="A340" s="123" t="s">
        <v>11</v>
      </c>
      <c r="B340" s="124"/>
      <c r="C340" s="125" t="s">
        <v>603</v>
      </c>
      <c r="D340" s="124"/>
    </row>
    <row r="341" spans="1:4" ht="42.75" customHeight="1" thickBot="1">
      <c r="A341" s="1" t="s">
        <v>686</v>
      </c>
      <c r="B341" s="26" t="s">
        <v>1</v>
      </c>
      <c r="C341" s="90" t="s">
        <v>32</v>
      </c>
      <c r="D341" s="91"/>
    </row>
    <row r="342" spans="1:4" ht="42.75" customHeight="1" thickBot="1">
      <c r="A342" s="26"/>
      <c r="B342" s="26" t="s">
        <v>0</v>
      </c>
      <c r="C342" s="5" t="s">
        <v>687</v>
      </c>
      <c r="D342" s="4" t="s">
        <v>2</v>
      </c>
    </row>
    <row r="343" spans="1:4" ht="42.75" customHeight="1" thickBot="1">
      <c r="A343" s="92">
        <v>5395</v>
      </c>
      <c r="B343" s="93"/>
      <c r="C343" s="94" t="s">
        <v>3</v>
      </c>
      <c r="D343" s="95"/>
    </row>
    <row r="344" spans="1:4" ht="42.75" customHeight="1" thickBot="1">
      <c r="A344" s="92">
        <v>5430</v>
      </c>
      <c r="B344" s="93"/>
      <c r="C344" s="96" t="s">
        <v>4</v>
      </c>
      <c r="D344" s="97"/>
    </row>
    <row r="345" spans="1:4" ht="42.75" customHeight="1" thickBot="1">
      <c r="A345" s="98">
        <f>A344-A343</f>
        <v>35</v>
      </c>
      <c r="B345" s="99"/>
      <c r="C345" s="100" t="s">
        <v>5</v>
      </c>
      <c r="D345" s="97"/>
    </row>
    <row r="346" spans="1:4" ht="42.75" customHeight="1" thickBot="1">
      <c r="A346" s="101">
        <v>62</v>
      </c>
      <c r="B346" s="102"/>
      <c r="C346" s="96" t="s">
        <v>6</v>
      </c>
      <c r="D346" s="97"/>
    </row>
    <row r="347" spans="1:4" ht="42.75" customHeight="1" thickBot="1">
      <c r="A347" s="103"/>
      <c r="B347" s="104"/>
      <c r="C347" s="96" t="s">
        <v>21</v>
      </c>
      <c r="D347" s="97"/>
    </row>
    <row r="348" spans="1:4" ht="42.75" customHeight="1" thickBot="1">
      <c r="A348" s="105">
        <v>2200</v>
      </c>
      <c r="B348" s="106"/>
      <c r="C348" s="96" t="s">
        <v>7</v>
      </c>
      <c r="D348" s="97"/>
    </row>
    <row r="349" spans="1:4" ht="42.75" customHeight="1" thickBot="1">
      <c r="A349" s="107" t="s">
        <v>17</v>
      </c>
      <c r="B349" s="108"/>
      <c r="C349" s="108"/>
      <c r="D349" s="109"/>
    </row>
    <row r="350" spans="1:4" ht="42.75" customHeight="1" thickBot="1">
      <c r="A350" s="110" t="s">
        <v>20</v>
      </c>
      <c r="B350" s="111"/>
      <c r="C350" s="111"/>
      <c r="D350" s="112"/>
    </row>
    <row r="351" spans="1:4" ht="42.75" customHeight="1" thickBot="1">
      <c r="A351" s="113" t="s">
        <v>18</v>
      </c>
      <c r="B351" s="114"/>
      <c r="C351" s="114"/>
      <c r="D351" s="115"/>
    </row>
    <row r="352" spans="1:4" ht="42.75" customHeight="1" thickBot="1">
      <c r="A352" s="126" t="s">
        <v>19</v>
      </c>
      <c r="B352" s="127"/>
      <c r="C352" s="127"/>
      <c r="D352" s="128"/>
    </row>
    <row r="353" spans="1:4" ht="42.75" customHeight="1" thickBot="1">
      <c r="A353" s="123" t="s">
        <v>11</v>
      </c>
      <c r="B353" s="124"/>
      <c r="C353" s="125" t="s">
        <v>603</v>
      </c>
      <c r="D353" s="124"/>
    </row>
    <row r="354" spans="1:4" ht="42.75" customHeight="1" thickBot="1">
      <c r="A354" s="1" t="s">
        <v>686</v>
      </c>
      <c r="B354" s="26" t="s">
        <v>1</v>
      </c>
      <c r="C354" s="90" t="s">
        <v>568</v>
      </c>
      <c r="D354" s="91"/>
    </row>
    <row r="355" spans="1:4" ht="42.75" customHeight="1" thickBot="1">
      <c r="A355" s="26"/>
      <c r="B355" s="26" t="s">
        <v>0</v>
      </c>
      <c r="C355" s="5" t="s">
        <v>687</v>
      </c>
      <c r="D355" s="4" t="s">
        <v>2</v>
      </c>
    </row>
    <row r="356" spans="1:4" ht="42.75" customHeight="1" thickBot="1">
      <c r="A356" s="92">
        <v>635</v>
      </c>
      <c r="B356" s="93"/>
      <c r="C356" s="94" t="s">
        <v>3</v>
      </c>
      <c r="D356" s="95"/>
    </row>
    <row r="357" spans="1:4" ht="42.75" customHeight="1" thickBot="1">
      <c r="A357" s="92">
        <v>635</v>
      </c>
      <c r="B357" s="93"/>
      <c r="C357" s="96" t="s">
        <v>4</v>
      </c>
      <c r="D357" s="97"/>
    </row>
    <row r="358" spans="1:4" ht="42.75" customHeight="1" thickBot="1">
      <c r="A358" s="98">
        <f>A357-A356</f>
        <v>0</v>
      </c>
      <c r="B358" s="99"/>
      <c r="C358" s="100" t="s">
        <v>5</v>
      </c>
      <c r="D358" s="97"/>
    </row>
    <row r="359" spans="1:4" ht="42.75" customHeight="1" thickBot="1">
      <c r="A359" s="101">
        <v>62</v>
      </c>
      <c r="B359" s="102"/>
      <c r="C359" s="96" t="s">
        <v>6</v>
      </c>
      <c r="D359" s="97"/>
    </row>
    <row r="360" spans="1:4" ht="42.75" customHeight="1" thickBot="1">
      <c r="A360" s="103"/>
      <c r="B360" s="104"/>
      <c r="C360" s="96" t="s">
        <v>21</v>
      </c>
      <c r="D360" s="97"/>
    </row>
    <row r="361" spans="1:4" ht="42.75" customHeight="1" thickBot="1">
      <c r="A361" s="105">
        <f>A359*A358</f>
        <v>0</v>
      </c>
      <c r="B361" s="106"/>
      <c r="C361" s="96" t="s">
        <v>7</v>
      </c>
      <c r="D361" s="97"/>
    </row>
    <row r="362" spans="1:4" ht="42.75" customHeight="1" thickBot="1">
      <c r="A362" s="107" t="s">
        <v>17</v>
      </c>
      <c r="B362" s="108"/>
      <c r="C362" s="108"/>
      <c r="D362" s="109"/>
    </row>
    <row r="363" spans="1:4" ht="42.75" customHeight="1" thickBot="1">
      <c r="A363" s="116" t="s">
        <v>20</v>
      </c>
      <c r="B363" s="117"/>
      <c r="C363" s="117"/>
      <c r="D363" s="118"/>
    </row>
    <row r="364" spans="1:4" ht="42.75" customHeight="1" thickBot="1">
      <c r="A364" s="113" t="s">
        <v>18</v>
      </c>
      <c r="B364" s="114"/>
      <c r="C364" s="114"/>
      <c r="D364" s="115"/>
    </row>
    <row r="365" spans="1:4" ht="42.75" customHeight="1" thickBot="1">
      <c r="A365" s="119"/>
      <c r="B365" s="119"/>
      <c r="C365" s="119"/>
      <c r="D365" s="119"/>
    </row>
    <row r="366" spans="1:4" ht="42.75" customHeight="1" thickBot="1">
      <c r="A366" s="126" t="s">
        <v>19</v>
      </c>
      <c r="B366" s="127"/>
      <c r="C366" s="127"/>
      <c r="D366" s="128"/>
    </row>
    <row r="367" spans="1:4" ht="42.75" customHeight="1" thickBot="1">
      <c r="A367" s="123" t="s">
        <v>11</v>
      </c>
      <c r="B367" s="124"/>
      <c r="C367" s="125" t="s">
        <v>603</v>
      </c>
      <c r="D367" s="124"/>
    </row>
    <row r="368" spans="1:4" ht="42.75" customHeight="1" thickBot="1">
      <c r="A368" s="1" t="s">
        <v>686</v>
      </c>
      <c r="B368" s="26" t="s">
        <v>1</v>
      </c>
      <c r="C368" s="90" t="s">
        <v>568</v>
      </c>
      <c r="D368" s="91"/>
    </row>
    <row r="369" spans="1:4" ht="42.75" customHeight="1" thickBot="1">
      <c r="A369" s="26"/>
      <c r="B369" s="26" t="s">
        <v>0</v>
      </c>
      <c r="C369" s="5" t="s">
        <v>687</v>
      </c>
      <c r="D369" s="4" t="s">
        <v>2</v>
      </c>
    </row>
    <row r="370" spans="1:4" ht="42.75" customHeight="1" thickBot="1">
      <c r="A370" s="92">
        <v>600</v>
      </c>
      <c r="B370" s="93"/>
      <c r="C370" s="94" t="s">
        <v>3</v>
      </c>
      <c r="D370" s="95"/>
    </row>
    <row r="371" spans="1:4" ht="42.75" customHeight="1" thickBot="1">
      <c r="A371" s="92">
        <v>635</v>
      </c>
      <c r="B371" s="93"/>
      <c r="C371" s="96" t="s">
        <v>4</v>
      </c>
      <c r="D371" s="97"/>
    </row>
    <row r="372" spans="1:4" ht="42.75" customHeight="1" thickBot="1">
      <c r="A372" s="98">
        <f>A371-A370</f>
        <v>35</v>
      </c>
      <c r="B372" s="99"/>
      <c r="C372" s="100" t="s">
        <v>5</v>
      </c>
      <c r="D372" s="97"/>
    </row>
    <row r="373" spans="1:4" ht="42.75" customHeight="1" thickBot="1">
      <c r="A373" s="101">
        <v>62</v>
      </c>
      <c r="B373" s="102"/>
      <c r="C373" s="96" t="s">
        <v>6</v>
      </c>
      <c r="D373" s="97"/>
    </row>
    <row r="374" spans="1:4" ht="42.75" customHeight="1" thickBot="1">
      <c r="A374" s="103"/>
      <c r="B374" s="104"/>
      <c r="C374" s="96" t="s">
        <v>21</v>
      </c>
      <c r="D374" s="97"/>
    </row>
    <row r="375" spans="1:4" ht="42.75" customHeight="1" thickBot="1">
      <c r="A375" s="105">
        <v>2200</v>
      </c>
      <c r="B375" s="106"/>
      <c r="C375" s="96" t="s">
        <v>7</v>
      </c>
      <c r="D375" s="97"/>
    </row>
    <row r="376" spans="1:4" ht="42.75" customHeight="1" thickBot="1">
      <c r="A376" s="107" t="s">
        <v>17</v>
      </c>
      <c r="B376" s="108"/>
      <c r="C376" s="108"/>
      <c r="D376" s="109"/>
    </row>
    <row r="377" spans="1:4" ht="42.75" customHeight="1" thickBot="1">
      <c r="A377" s="110" t="s">
        <v>20</v>
      </c>
      <c r="B377" s="111"/>
      <c r="C377" s="111"/>
      <c r="D377" s="112"/>
    </row>
    <row r="378" spans="1:4" ht="42.75" customHeight="1" thickBot="1">
      <c r="A378" s="113" t="s">
        <v>18</v>
      </c>
      <c r="B378" s="114"/>
      <c r="C378" s="114"/>
      <c r="D378" s="115"/>
    </row>
    <row r="379" spans="1:4" ht="42.75" customHeight="1" thickBot="1">
      <c r="A379" s="126" t="s">
        <v>19</v>
      </c>
      <c r="B379" s="127"/>
      <c r="C379" s="127"/>
      <c r="D379" s="128"/>
    </row>
    <row r="380" spans="1:4" ht="42.75" customHeight="1" thickBot="1">
      <c r="A380" s="123" t="s">
        <v>11</v>
      </c>
      <c r="B380" s="124"/>
      <c r="C380" s="125" t="s">
        <v>603</v>
      </c>
      <c r="D380" s="124"/>
    </row>
    <row r="381" spans="1:4" ht="42.75" customHeight="1" thickBot="1">
      <c r="A381" s="1" t="s">
        <v>686</v>
      </c>
      <c r="B381" s="26" t="s">
        <v>1</v>
      </c>
      <c r="C381" s="90" t="s">
        <v>33</v>
      </c>
      <c r="D381" s="91"/>
    </row>
    <row r="382" spans="1:4" ht="42.75" customHeight="1" thickBot="1">
      <c r="A382" s="26"/>
      <c r="B382" s="26" t="s">
        <v>0</v>
      </c>
      <c r="C382" s="5" t="s">
        <v>687</v>
      </c>
      <c r="D382" s="4" t="s">
        <v>2</v>
      </c>
    </row>
    <row r="383" spans="1:4" ht="42.75" customHeight="1" thickBot="1">
      <c r="A383" s="92">
        <v>3755</v>
      </c>
      <c r="B383" s="93"/>
      <c r="C383" s="94" t="s">
        <v>3</v>
      </c>
      <c r="D383" s="95"/>
    </row>
    <row r="384" spans="1:4" ht="42.75" customHeight="1" thickBot="1">
      <c r="A384" s="92">
        <v>3755</v>
      </c>
      <c r="B384" s="93"/>
      <c r="C384" s="96" t="s">
        <v>4</v>
      </c>
      <c r="D384" s="97"/>
    </row>
    <row r="385" spans="1:4" ht="42.75" customHeight="1" thickBot="1">
      <c r="A385" s="98">
        <f>A384-A383</f>
        <v>0</v>
      </c>
      <c r="B385" s="99"/>
      <c r="C385" s="100" t="s">
        <v>5</v>
      </c>
      <c r="D385" s="97"/>
    </row>
    <row r="386" spans="1:4" ht="42.75" customHeight="1" thickBot="1">
      <c r="A386" s="101">
        <v>55</v>
      </c>
      <c r="B386" s="102"/>
      <c r="C386" s="96" t="s">
        <v>6</v>
      </c>
      <c r="D386" s="97"/>
    </row>
    <row r="387" spans="1:4" ht="42.75" customHeight="1" thickBot="1">
      <c r="A387" s="103"/>
      <c r="B387" s="104"/>
      <c r="C387" s="96" t="s">
        <v>21</v>
      </c>
      <c r="D387" s="97"/>
    </row>
    <row r="388" spans="1:4" ht="42.75" customHeight="1" thickBot="1">
      <c r="A388" s="105">
        <f>A386*A385</f>
        <v>0</v>
      </c>
      <c r="B388" s="106"/>
      <c r="C388" s="96" t="s">
        <v>7</v>
      </c>
      <c r="D388" s="97"/>
    </row>
    <row r="389" spans="1:4" ht="42.75" customHeight="1" thickBot="1">
      <c r="A389" s="107" t="s">
        <v>17</v>
      </c>
      <c r="B389" s="108"/>
      <c r="C389" s="108"/>
      <c r="D389" s="109"/>
    </row>
    <row r="390" spans="1:4" ht="42.75" customHeight="1" thickBot="1">
      <c r="A390" s="116" t="s">
        <v>20</v>
      </c>
      <c r="B390" s="117"/>
      <c r="C390" s="117"/>
      <c r="D390" s="118"/>
    </row>
    <row r="391" spans="1:4" ht="42.75" customHeight="1" thickBot="1">
      <c r="A391" s="113" t="s">
        <v>18</v>
      </c>
      <c r="B391" s="114"/>
      <c r="C391" s="114"/>
      <c r="D391" s="115"/>
    </row>
    <row r="392" spans="1:4" ht="42.75" customHeight="1" thickBot="1">
      <c r="A392" s="119"/>
      <c r="B392" s="119"/>
      <c r="C392" s="119"/>
      <c r="D392" s="119"/>
    </row>
    <row r="393" spans="1:4" ht="42.75" customHeight="1" thickBot="1">
      <c r="A393" s="126" t="s">
        <v>19</v>
      </c>
      <c r="B393" s="127"/>
      <c r="C393" s="127"/>
      <c r="D393" s="128"/>
    </row>
    <row r="394" spans="1:4" ht="42.75" customHeight="1" thickBot="1">
      <c r="A394" s="123" t="s">
        <v>11</v>
      </c>
      <c r="B394" s="124"/>
      <c r="C394" s="125" t="s">
        <v>603</v>
      </c>
      <c r="D394" s="124"/>
    </row>
    <row r="395" spans="1:4" ht="42.75" customHeight="1" thickBot="1">
      <c r="A395" s="1" t="s">
        <v>686</v>
      </c>
      <c r="B395" s="26" t="s">
        <v>1</v>
      </c>
      <c r="C395" s="90" t="s">
        <v>33</v>
      </c>
      <c r="D395" s="91"/>
    </row>
    <row r="396" spans="1:4" ht="42.75" customHeight="1" thickBot="1">
      <c r="A396" s="26"/>
      <c r="B396" s="26" t="s">
        <v>0</v>
      </c>
      <c r="C396" s="5" t="s">
        <v>687</v>
      </c>
      <c r="D396" s="4" t="s">
        <v>2</v>
      </c>
    </row>
    <row r="397" spans="1:4" ht="42.75" customHeight="1" thickBot="1">
      <c r="A397" s="92">
        <v>3665</v>
      </c>
      <c r="B397" s="93"/>
      <c r="C397" s="94" t="s">
        <v>3</v>
      </c>
      <c r="D397" s="95"/>
    </row>
    <row r="398" spans="1:4" ht="42.75" customHeight="1" thickBot="1">
      <c r="A398" s="92">
        <v>3755</v>
      </c>
      <c r="B398" s="93"/>
      <c r="C398" s="96" t="s">
        <v>4</v>
      </c>
      <c r="D398" s="97"/>
    </row>
    <row r="399" spans="1:4" ht="42.75" customHeight="1" thickBot="1">
      <c r="A399" s="98">
        <f>A398-A397</f>
        <v>90</v>
      </c>
      <c r="B399" s="99"/>
      <c r="C399" s="100" t="s">
        <v>5</v>
      </c>
      <c r="D399" s="97"/>
    </row>
    <row r="400" spans="1:4" ht="42.75" customHeight="1" thickBot="1">
      <c r="A400" s="101">
        <v>60</v>
      </c>
      <c r="B400" s="102"/>
      <c r="C400" s="96" t="s">
        <v>6</v>
      </c>
      <c r="D400" s="97"/>
    </row>
    <row r="401" spans="1:4" ht="42.75" customHeight="1" thickBot="1">
      <c r="A401" s="103"/>
      <c r="B401" s="104"/>
      <c r="C401" s="96" t="s">
        <v>21</v>
      </c>
      <c r="D401" s="97"/>
    </row>
    <row r="402" spans="1:4" ht="42.75" customHeight="1" thickBot="1">
      <c r="A402" s="105">
        <f>A400*A399</f>
        <v>5400</v>
      </c>
      <c r="B402" s="106"/>
      <c r="C402" s="96" t="s">
        <v>7</v>
      </c>
      <c r="D402" s="97"/>
    </row>
    <row r="403" spans="1:4" ht="42.75" customHeight="1" thickBot="1">
      <c r="A403" s="107" t="s">
        <v>17</v>
      </c>
      <c r="B403" s="108"/>
      <c r="C403" s="108"/>
      <c r="D403" s="109"/>
    </row>
    <row r="404" spans="1:4" ht="42.75" customHeight="1" thickBot="1">
      <c r="A404" s="110" t="s">
        <v>20</v>
      </c>
      <c r="B404" s="111"/>
      <c r="C404" s="111"/>
      <c r="D404" s="112"/>
    </row>
    <row r="405" spans="1:4" ht="42.75" customHeight="1" thickBot="1">
      <c r="A405" s="113" t="s">
        <v>18</v>
      </c>
      <c r="B405" s="114"/>
      <c r="C405" s="114"/>
      <c r="D405" s="115"/>
    </row>
    <row r="406" spans="1:4" ht="42.75" customHeight="1" thickBot="1">
      <c r="A406" s="126" t="s">
        <v>19</v>
      </c>
      <c r="B406" s="127"/>
      <c r="C406" s="127"/>
      <c r="D406" s="128"/>
    </row>
    <row r="407" spans="1:4" ht="42.75" customHeight="1" thickBot="1">
      <c r="A407" s="123" t="s">
        <v>11</v>
      </c>
      <c r="B407" s="124"/>
      <c r="C407" s="125" t="s">
        <v>603</v>
      </c>
      <c r="D407" s="124"/>
    </row>
    <row r="408" spans="1:4" ht="42.75" customHeight="1" thickBot="1">
      <c r="A408" s="1" t="s">
        <v>686</v>
      </c>
      <c r="B408" s="26" t="s">
        <v>1</v>
      </c>
      <c r="C408" s="90" t="s">
        <v>34</v>
      </c>
      <c r="D408" s="91"/>
    </row>
    <row r="409" spans="1:4" ht="42.75" customHeight="1" thickBot="1">
      <c r="A409" s="26"/>
      <c r="B409" s="26" t="s">
        <v>0</v>
      </c>
      <c r="C409" s="5" t="s">
        <v>687</v>
      </c>
      <c r="D409" s="4" t="s">
        <v>2</v>
      </c>
    </row>
    <row r="410" spans="1:4" ht="42.75" customHeight="1" thickBot="1">
      <c r="A410" s="92">
        <v>3205</v>
      </c>
      <c r="B410" s="93"/>
      <c r="C410" s="94" t="s">
        <v>3</v>
      </c>
      <c r="D410" s="95"/>
    </row>
    <row r="411" spans="1:4" ht="42.75" customHeight="1" thickBot="1">
      <c r="A411" s="92">
        <v>3205</v>
      </c>
      <c r="B411" s="93"/>
      <c r="C411" s="96" t="s">
        <v>4</v>
      </c>
      <c r="D411" s="97"/>
    </row>
    <row r="412" spans="1:4" ht="42.75" customHeight="1" thickBot="1">
      <c r="A412" s="98">
        <f>A411-A410</f>
        <v>0</v>
      </c>
      <c r="B412" s="99"/>
      <c r="C412" s="100" t="s">
        <v>5</v>
      </c>
      <c r="D412" s="97"/>
    </row>
    <row r="413" spans="1:4" ht="42.75" customHeight="1" thickBot="1">
      <c r="A413" s="101">
        <v>62</v>
      </c>
      <c r="B413" s="102"/>
      <c r="C413" s="96" t="s">
        <v>6</v>
      </c>
      <c r="D413" s="97"/>
    </row>
    <row r="414" spans="1:4" ht="42.75" customHeight="1" thickBot="1">
      <c r="A414" s="103"/>
      <c r="B414" s="104"/>
      <c r="C414" s="96" t="s">
        <v>21</v>
      </c>
      <c r="D414" s="97"/>
    </row>
    <row r="415" spans="1:4" ht="42.75" customHeight="1" thickBot="1">
      <c r="A415" s="105">
        <f>A413*A412</f>
        <v>0</v>
      </c>
      <c r="B415" s="106"/>
      <c r="C415" s="96" t="s">
        <v>7</v>
      </c>
      <c r="D415" s="97"/>
    </row>
    <row r="416" spans="1:4" ht="42.75" customHeight="1" thickBot="1">
      <c r="A416" s="107" t="s">
        <v>17</v>
      </c>
      <c r="B416" s="108"/>
      <c r="C416" s="108"/>
      <c r="D416" s="109"/>
    </row>
    <row r="417" spans="1:4" ht="42.75" customHeight="1" thickBot="1">
      <c r="A417" s="116" t="s">
        <v>20</v>
      </c>
      <c r="B417" s="117"/>
      <c r="C417" s="117"/>
      <c r="D417" s="118"/>
    </row>
    <row r="418" spans="1:4" ht="42.75" customHeight="1" thickBot="1">
      <c r="A418" s="113" t="s">
        <v>18</v>
      </c>
      <c r="B418" s="114"/>
      <c r="C418" s="114"/>
      <c r="D418" s="115"/>
    </row>
    <row r="419" spans="1:4" ht="42.75" customHeight="1" thickBot="1">
      <c r="A419" s="119"/>
      <c r="B419" s="119"/>
      <c r="C419" s="119"/>
      <c r="D419" s="119"/>
    </row>
    <row r="420" spans="1:4" ht="42.75" customHeight="1" thickBot="1">
      <c r="A420" s="126" t="s">
        <v>19</v>
      </c>
      <c r="B420" s="127"/>
      <c r="C420" s="127"/>
      <c r="D420" s="128"/>
    </row>
    <row r="421" spans="1:4" ht="42.75" customHeight="1" thickBot="1">
      <c r="A421" s="123" t="s">
        <v>11</v>
      </c>
      <c r="B421" s="124"/>
      <c r="C421" s="125" t="s">
        <v>603</v>
      </c>
      <c r="D421" s="124"/>
    </row>
    <row r="422" spans="1:4" ht="42.75" customHeight="1" thickBot="1">
      <c r="A422" s="1" t="s">
        <v>686</v>
      </c>
      <c r="B422" s="26" t="s">
        <v>1</v>
      </c>
      <c r="C422" s="90" t="s">
        <v>34</v>
      </c>
      <c r="D422" s="91"/>
    </row>
    <row r="423" spans="1:4" ht="42.75" customHeight="1" thickBot="1">
      <c r="A423" s="26"/>
      <c r="B423" s="26" t="s">
        <v>0</v>
      </c>
      <c r="C423" s="5" t="s">
        <v>687</v>
      </c>
      <c r="D423" s="4" t="s">
        <v>2</v>
      </c>
    </row>
    <row r="424" spans="1:4" ht="42.75" customHeight="1" thickBot="1">
      <c r="A424" s="92">
        <v>3175</v>
      </c>
      <c r="B424" s="93"/>
      <c r="C424" s="94" t="s">
        <v>3</v>
      </c>
      <c r="D424" s="95"/>
    </row>
    <row r="425" spans="1:4" ht="42.75" customHeight="1" thickBot="1">
      <c r="A425" s="92">
        <v>3205</v>
      </c>
      <c r="B425" s="93"/>
      <c r="C425" s="96" t="s">
        <v>4</v>
      </c>
      <c r="D425" s="97"/>
    </row>
    <row r="426" spans="1:4" ht="42.75" customHeight="1" thickBot="1">
      <c r="A426" s="98">
        <f>A425-A424</f>
        <v>30</v>
      </c>
      <c r="B426" s="99"/>
      <c r="C426" s="100" t="s">
        <v>5</v>
      </c>
      <c r="D426" s="97"/>
    </row>
    <row r="427" spans="1:4" ht="42.75" customHeight="1" thickBot="1">
      <c r="A427" s="101">
        <v>62</v>
      </c>
      <c r="B427" s="102"/>
      <c r="C427" s="96" t="s">
        <v>6</v>
      </c>
      <c r="D427" s="97"/>
    </row>
    <row r="428" spans="1:4" ht="42.75" customHeight="1" thickBot="1">
      <c r="A428" s="103"/>
      <c r="B428" s="104"/>
      <c r="C428" s="96" t="s">
        <v>21</v>
      </c>
      <c r="D428" s="97"/>
    </row>
    <row r="429" spans="1:4" ht="42.75" customHeight="1" thickBot="1">
      <c r="A429" s="105">
        <v>1850</v>
      </c>
      <c r="B429" s="106"/>
      <c r="C429" s="96" t="s">
        <v>7</v>
      </c>
      <c r="D429" s="97"/>
    </row>
    <row r="430" spans="1:4" ht="42.75" customHeight="1" thickBot="1">
      <c r="A430" s="107" t="s">
        <v>17</v>
      </c>
      <c r="B430" s="108"/>
      <c r="C430" s="108"/>
      <c r="D430" s="109"/>
    </row>
    <row r="431" spans="1:4" ht="42.75" customHeight="1" thickBot="1">
      <c r="A431" s="110" t="s">
        <v>20</v>
      </c>
      <c r="B431" s="111"/>
      <c r="C431" s="111"/>
      <c r="D431" s="112"/>
    </row>
    <row r="432" spans="1:4" ht="42.75" customHeight="1" thickBot="1">
      <c r="A432" s="113" t="s">
        <v>18</v>
      </c>
      <c r="B432" s="114"/>
      <c r="C432" s="114"/>
      <c r="D432" s="115"/>
    </row>
    <row r="433" spans="1:4" ht="42.75" customHeight="1" thickBot="1">
      <c r="A433" s="126" t="s">
        <v>19</v>
      </c>
      <c r="B433" s="127"/>
      <c r="C433" s="127"/>
      <c r="D433" s="128"/>
    </row>
    <row r="434" spans="1:4" ht="42.75" customHeight="1" thickBot="1">
      <c r="A434" s="123" t="s">
        <v>11</v>
      </c>
      <c r="B434" s="124"/>
      <c r="C434" s="125" t="s">
        <v>603</v>
      </c>
      <c r="D434" s="124"/>
    </row>
    <row r="435" spans="1:4" ht="42.75" customHeight="1" thickBot="1">
      <c r="A435" s="1" t="s">
        <v>686</v>
      </c>
      <c r="B435" s="26" t="s">
        <v>1</v>
      </c>
      <c r="C435" s="90" t="s">
        <v>35</v>
      </c>
      <c r="D435" s="91"/>
    </row>
    <row r="436" spans="1:4" ht="42.75" customHeight="1" thickBot="1">
      <c r="A436" s="26"/>
      <c r="B436" s="26" t="s">
        <v>0</v>
      </c>
      <c r="C436" s="5" t="s">
        <v>687</v>
      </c>
      <c r="D436" s="4" t="s">
        <v>2</v>
      </c>
    </row>
    <row r="437" spans="1:4" ht="42.75" customHeight="1" thickBot="1">
      <c r="A437" s="92">
        <v>2700</v>
      </c>
      <c r="B437" s="93"/>
      <c r="C437" s="94" t="s">
        <v>3</v>
      </c>
      <c r="D437" s="95"/>
    </row>
    <row r="438" spans="1:4" ht="42.75" customHeight="1" thickBot="1">
      <c r="A438" s="92">
        <v>2700</v>
      </c>
      <c r="B438" s="93"/>
      <c r="C438" s="96" t="s">
        <v>4</v>
      </c>
      <c r="D438" s="97"/>
    </row>
    <row r="439" spans="1:4" ht="42.75" customHeight="1" thickBot="1">
      <c r="A439" s="98">
        <f>A438-A437</f>
        <v>0</v>
      </c>
      <c r="B439" s="99"/>
      <c r="C439" s="100" t="s">
        <v>5</v>
      </c>
      <c r="D439" s="97"/>
    </row>
    <row r="440" spans="1:4" ht="42.75" customHeight="1" thickBot="1">
      <c r="A440" s="101">
        <v>62</v>
      </c>
      <c r="B440" s="102"/>
      <c r="C440" s="96" t="s">
        <v>6</v>
      </c>
      <c r="D440" s="97"/>
    </row>
    <row r="441" spans="1:4" ht="42.75" customHeight="1" thickBot="1">
      <c r="A441" s="103"/>
      <c r="B441" s="104"/>
      <c r="C441" s="96" t="s">
        <v>21</v>
      </c>
      <c r="D441" s="97"/>
    </row>
    <row r="442" spans="1:4" ht="42.75" customHeight="1" thickBot="1">
      <c r="A442" s="105">
        <f>A440*A439</f>
        <v>0</v>
      </c>
      <c r="B442" s="106"/>
      <c r="C442" s="96" t="s">
        <v>7</v>
      </c>
      <c r="D442" s="97"/>
    </row>
    <row r="443" spans="1:4" ht="42.75" customHeight="1" thickBot="1">
      <c r="A443" s="107" t="s">
        <v>17</v>
      </c>
      <c r="B443" s="108"/>
      <c r="C443" s="108"/>
      <c r="D443" s="109"/>
    </row>
    <row r="444" spans="1:4" ht="42.75" customHeight="1" thickBot="1">
      <c r="A444" s="116" t="s">
        <v>20</v>
      </c>
      <c r="B444" s="117"/>
      <c r="C444" s="117"/>
      <c r="D444" s="118"/>
    </row>
    <row r="445" spans="1:4" ht="42.75" customHeight="1" thickBot="1">
      <c r="A445" s="113" t="s">
        <v>18</v>
      </c>
      <c r="B445" s="114"/>
      <c r="C445" s="114"/>
      <c r="D445" s="115"/>
    </row>
    <row r="446" spans="1:4" ht="42.75" customHeight="1" thickBot="1">
      <c r="A446" s="119"/>
      <c r="B446" s="119"/>
      <c r="C446" s="119"/>
      <c r="D446" s="119"/>
    </row>
    <row r="447" spans="1:4" ht="42.75" customHeight="1" thickBot="1">
      <c r="A447" s="126" t="s">
        <v>19</v>
      </c>
      <c r="B447" s="127"/>
      <c r="C447" s="127"/>
      <c r="D447" s="128"/>
    </row>
    <row r="448" spans="1:4" ht="42.75" customHeight="1" thickBot="1">
      <c r="A448" s="123" t="s">
        <v>11</v>
      </c>
      <c r="B448" s="124"/>
      <c r="C448" s="125" t="s">
        <v>603</v>
      </c>
      <c r="D448" s="124"/>
    </row>
    <row r="449" spans="1:4" ht="42.75" customHeight="1" thickBot="1">
      <c r="A449" s="1" t="s">
        <v>686</v>
      </c>
      <c r="B449" s="26" t="s">
        <v>1</v>
      </c>
      <c r="C449" s="90" t="s">
        <v>35</v>
      </c>
      <c r="D449" s="91"/>
    </row>
    <row r="450" spans="1:4" ht="42.75" customHeight="1" thickBot="1">
      <c r="A450" s="26"/>
      <c r="B450" s="26" t="s">
        <v>0</v>
      </c>
      <c r="C450" s="5" t="s">
        <v>687</v>
      </c>
      <c r="D450" s="4" t="s">
        <v>2</v>
      </c>
    </row>
    <row r="451" spans="1:4" ht="42.75" customHeight="1" thickBot="1">
      <c r="A451" s="92">
        <v>2630</v>
      </c>
      <c r="B451" s="93"/>
      <c r="C451" s="94" t="s">
        <v>3</v>
      </c>
      <c r="D451" s="95"/>
    </row>
    <row r="452" spans="1:4" ht="42.75" customHeight="1" thickBot="1">
      <c r="A452" s="92">
        <v>2700</v>
      </c>
      <c r="B452" s="93"/>
      <c r="C452" s="96" t="s">
        <v>4</v>
      </c>
      <c r="D452" s="97"/>
    </row>
    <row r="453" spans="1:4" ht="42.75" customHeight="1" thickBot="1">
      <c r="A453" s="98">
        <f>A452-A451</f>
        <v>70</v>
      </c>
      <c r="B453" s="99"/>
      <c r="C453" s="100" t="s">
        <v>5</v>
      </c>
      <c r="D453" s="97"/>
    </row>
    <row r="454" spans="1:4" ht="42.75" customHeight="1" thickBot="1">
      <c r="A454" s="101">
        <v>62</v>
      </c>
      <c r="B454" s="102"/>
      <c r="C454" s="96" t="s">
        <v>6</v>
      </c>
      <c r="D454" s="97"/>
    </row>
    <row r="455" spans="1:4" ht="42.75" customHeight="1" thickBot="1">
      <c r="A455" s="103"/>
      <c r="B455" s="104"/>
      <c r="C455" s="96" t="s">
        <v>21</v>
      </c>
      <c r="D455" s="97"/>
    </row>
    <row r="456" spans="1:4" ht="42.75" customHeight="1" thickBot="1">
      <c r="A456" s="105">
        <v>4350</v>
      </c>
      <c r="B456" s="106"/>
      <c r="C456" s="96" t="s">
        <v>7</v>
      </c>
      <c r="D456" s="97"/>
    </row>
    <row r="457" spans="1:4" ht="42.75" customHeight="1" thickBot="1">
      <c r="A457" s="107" t="s">
        <v>17</v>
      </c>
      <c r="B457" s="108"/>
      <c r="C457" s="108"/>
      <c r="D457" s="109"/>
    </row>
    <row r="458" spans="1:4" ht="42.75" customHeight="1" thickBot="1">
      <c r="A458" s="110" t="s">
        <v>20</v>
      </c>
      <c r="B458" s="111"/>
      <c r="C458" s="111"/>
      <c r="D458" s="112"/>
    </row>
    <row r="459" spans="1:4" ht="42.75" customHeight="1" thickBot="1">
      <c r="A459" s="113" t="s">
        <v>18</v>
      </c>
      <c r="B459" s="114"/>
      <c r="C459" s="114"/>
      <c r="D459" s="115"/>
    </row>
    <row r="460" spans="1:4" ht="42.75" customHeight="1" thickBot="1">
      <c r="A460" s="126" t="s">
        <v>19</v>
      </c>
      <c r="B460" s="127"/>
      <c r="C460" s="127"/>
      <c r="D460" s="128"/>
    </row>
    <row r="461" spans="1:4" ht="42.75" customHeight="1" thickBot="1">
      <c r="A461" s="123" t="s">
        <v>11</v>
      </c>
      <c r="B461" s="124"/>
      <c r="C461" s="125" t="s">
        <v>603</v>
      </c>
      <c r="D461" s="124"/>
    </row>
    <row r="462" spans="1:4" ht="42.75" customHeight="1" thickBot="1">
      <c r="A462" s="1" t="s">
        <v>686</v>
      </c>
      <c r="B462" s="26" t="s">
        <v>1</v>
      </c>
      <c r="C462" s="90" t="s">
        <v>36</v>
      </c>
      <c r="D462" s="91"/>
    </row>
    <row r="463" spans="1:4" ht="42.75" customHeight="1" thickBot="1">
      <c r="A463" s="26"/>
      <c r="B463" s="26" t="s">
        <v>0</v>
      </c>
      <c r="C463" s="5" t="s">
        <v>687</v>
      </c>
      <c r="D463" s="4" t="s">
        <v>2</v>
      </c>
    </row>
    <row r="464" spans="1:4" ht="42.75" customHeight="1" thickBot="1">
      <c r="A464" s="92">
        <v>1110</v>
      </c>
      <c r="B464" s="93"/>
      <c r="C464" s="94" t="s">
        <v>3</v>
      </c>
      <c r="D464" s="95"/>
    </row>
    <row r="465" spans="1:4" ht="42.75" customHeight="1" thickBot="1">
      <c r="A465" s="92">
        <v>1110</v>
      </c>
      <c r="B465" s="93"/>
      <c r="C465" s="96" t="s">
        <v>4</v>
      </c>
      <c r="D465" s="97"/>
    </row>
    <row r="466" spans="1:4" ht="42.75" customHeight="1" thickBot="1">
      <c r="A466" s="98">
        <f>A465-A464</f>
        <v>0</v>
      </c>
      <c r="B466" s="99"/>
      <c r="C466" s="100" t="s">
        <v>5</v>
      </c>
      <c r="D466" s="97"/>
    </row>
    <row r="467" spans="1:4" ht="42.75" customHeight="1" thickBot="1">
      <c r="A467" s="101">
        <v>63</v>
      </c>
      <c r="B467" s="102"/>
      <c r="C467" s="96" t="s">
        <v>6</v>
      </c>
      <c r="D467" s="97"/>
    </row>
    <row r="468" spans="1:4" ht="42.75" customHeight="1" thickBot="1">
      <c r="A468" s="103"/>
      <c r="B468" s="104"/>
      <c r="C468" s="96" t="s">
        <v>21</v>
      </c>
      <c r="D468" s="97"/>
    </row>
    <row r="469" spans="1:4" ht="42.75" customHeight="1" thickBot="1">
      <c r="A469" s="105">
        <f>A467*A466</f>
        <v>0</v>
      </c>
      <c r="B469" s="106"/>
      <c r="C469" s="96" t="s">
        <v>7</v>
      </c>
      <c r="D469" s="97"/>
    </row>
    <row r="470" spans="1:4" ht="42.75" customHeight="1" thickBot="1">
      <c r="A470" s="107" t="s">
        <v>17</v>
      </c>
      <c r="B470" s="108"/>
      <c r="C470" s="108"/>
      <c r="D470" s="109"/>
    </row>
    <row r="471" spans="1:4" ht="42.75" customHeight="1" thickBot="1">
      <c r="A471" s="116" t="s">
        <v>20</v>
      </c>
      <c r="B471" s="117"/>
      <c r="C471" s="117"/>
      <c r="D471" s="118"/>
    </row>
    <row r="472" spans="1:4" ht="42.75" customHeight="1" thickBot="1">
      <c r="A472" s="113" t="s">
        <v>18</v>
      </c>
      <c r="B472" s="114"/>
      <c r="C472" s="114"/>
      <c r="D472" s="115"/>
    </row>
    <row r="473" spans="1:4" ht="42.75" customHeight="1" thickBot="1">
      <c r="A473" s="119"/>
      <c r="B473" s="119"/>
      <c r="C473" s="119"/>
      <c r="D473" s="119"/>
    </row>
    <row r="474" spans="1:4" ht="42.75" customHeight="1" thickBot="1">
      <c r="A474" s="126" t="s">
        <v>19</v>
      </c>
      <c r="B474" s="127"/>
      <c r="C474" s="127"/>
      <c r="D474" s="128"/>
    </row>
    <row r="475" spans="1:4" ht="42.75" customHeight="1" thickBot="1">
      <c r="A475" s="123" t="s">
        <v>11</v>
      </c>
      <c r="B475" s="124"/>
      <c r="C475" s="125" t="s">
        <v>603</v>
      </c>
      <c r="D475" s="124"/>
    </row>
    <row r="476" spans="1:4" ht="42.75" customHeight="1" thickBot="1">
      <c r="A476" s="1" t="s">
        <v>686</v>
      </c>
      <c r="B476" s="26" t="s">
        <v>1</v>
      </c>
      <c r="C476" s="90" t="s">
        <v>36</v>
      </c>
      <c r="D476" s="91"/>
    </row>
    <row r="477" spans="1:4" ht="42.75" customHeight="1" thickBot="1">
      <c r="A477" s="26"/>
      <c r="B477" s="26" t="s">
        <v>0</v>
      </c>
      <c r="C477" s="5" t="s">
        <v>687</v>
      </c>
      <c r="D477" s="4" t="s">
        <v>2</v>
      </c>
    </row>
    <row r="478" spans="1:4" ht="42.75" customHeight="1" thickBot="1">
      <c r="A478" s="92">
        <v>1106</v>
      </c>
      <c r="B478" s="93"/>
      <c r="C478" s="94" t="s">
        <v>3</v>
      </c>
      <c r="D478" s="95"/>
    </row>
    <row r="479" spans="1:4" ht="42.75" customHeight="1" thickBot="1">
      <c r="A479" s="92">
        <v>1110</v>
      </c>
      <c r="B479" s="93"/>
      <c r="C479" s="96" t="s">
        <v>4</v>
      </c>
      <c r="D479" s="97"/>
    </row>
    <row r="480" spans="1:4" ht="42.75" customHeight="1" thickBot="1">
      <c r="A480" s="98">
        <v>10</v>
      </c>
      <c r="B480" s="99"/>
      <c r="C480" s="100" t="s">
        <v>5</v>
      </c>
      <c r="D480" s="97"/>
    </row>
    <row r="481" spans="1:4" ht="42.75" customHeight="1" thickBot="1">
      <c r="A481" s="101">
        <v>63</v>
      </c>
      <c r="B481" s="102"/>
      <c r="C481" s="96" t="s">
        <v>6</v>
      </c>
      <c r="D481" s="97"/>
    </row>
    <row r="482" spans="1:4" ht="42.75" customHeight="1" thickBot="1">
      <c r="A482" s="103"/>
      <c r="B482" s="104"/>
      <c r="C482" s="96" t="s">
        <v>21</v>
      </c>
      <c r="D482" s="97"/>
    </row>
    <row r="483" spans="1:4" ht="42.75" customHeight="1" thickBot="1">
      <c r="A483" s="105">
        <v>600</v>
      </c>
      <c r="B483" s="106"/>
      <c r="C483" s="96" t="s">
        <v>7</v>
      </c>
      <c r="D483" s="97"/>
    </row>
    <row r="484" spans="1:4" ht="42.75" customHeight="1" thickBot="1">
      <c r="A484" s="107" t="s">
        <v>17</v>
      </c>
      <c r="B484" s="108"/>
      <c r="C484" s="108"/>
      <c r="D484" s="109"/>
    </row>
    <row r="485" spans="1:4" ht="42.75" customHeight="1" thickBot="1">
      <c r="A485" s="110" t="s">
        <v>20</v>
      </c>
      <c r="B485" s="111"/>
      <c r="C485" s="111"/>
      <c r="D485" s="112"/>
    </row>
    <row r="486" spans="1:4" ht="42.75" customHeight="1" thickBot="1">
      <c r="A486" s="113" t="s">
        <v>18</v>
      </c>
      <c r="B486" s="114"/>
      <c r="C486" s="114"/>
      <c r="D486" s="115"/>
    </row>
    <row r="487" spans="1:4" ht="42.75" customHeight="1" thickBot="1">
      <c r="A487" s="126" t="s">
        <v>19</v>
      </c>
      <c r="B487" s="127"/>
      <c r="C487" s="127"/>
      <c r="D487" s="128"/>
    </row>
    <row r="488" spans="1:4" ht="42.75" customHeight="1" thickBot="1">
      <c r="A488" s="123" t="s">
        <v>11</v>
      </c>
      <c r="B488" s="124"/>
      <c r="C488" s="125" t="s">
        <v>603</v>
      </c>
      <c r="D488" s="124"/>
    </row>
    <row r="489" spans="1:4" ht="42.75" customHeight="1" thickBot="1">
      <c r="A489" s="1" t="s">
        <v>686</v>
      </c>
      <c r="B489" s="26" t="s">
        <v>1</v>
      </c>
      <c r="C489" s="90" t="s">
        <v>37</v>
      </c>
      <c r="D489" s="91"/>
    </row>
    <row r="490" spans="1:4" ht="42.75" customHeight="1" thickBot="1">
      <c r="A490" s="26"/>
      <c r="B490" s="26" t="s">
        <v>0</v>
      </c>
      <c r="C490" s="5" t="s">
        <v>687</v>
      </c>
      <c r="D490" s="4" t="s">
        <v>2</v>
      </c>
    </row>
    <row r="491" spans="1:4" ht="42.75" customHeight="1" thickBot="1">
      <c r="A491" s="92">
        <v>1635</v>
      </c>
      <c r="B491" s="93"/>
      <c r="C491" s="94" t="s">
        <v>3</v>
      </c>
      <c r="D491" s="95"/>
    </row>
    <row r="492" spans="1:4" ht="42.75" customHeight="1" thickBot="1">
      <c r="A492" s="92">
        <v>1635</v>
      </c>
      <c r="B492" s="93"/>
      <c r="C492" s="96" t="s">
        <v>4</v>
      </c>
      <c r="D492" s="97"/>
    </row>
    <row r="493" spans="1:4" ht="42.75" customHeight="1" thickBot="1">
      <c r="A493" s="98">
        <f>A492-A491</f>
        <v>0</v>
      </c>
      <c r="B493" s="99"/>
      <c r="C493" s="100" t="s">
        <v>5</v>
      </c>
      <c r="D493" s="97"/>
    </row>
    <row r="494" spans="1:4" ht="42.75" customHeight="1" thickBot="1">
      <c r="A494" s="101">
        <v>62</v>
      </c>
      <c r="B494" s="102"/>
      <c r="C494" s="96" t="s">
        <v>6</v>
      </c>
      <c r="D494" s="97"/>
    </row>
    <row r="495" spans="1:4" ht="42.75" customHeight="1" thickBot="1">
      <c r="A495" s="103"/>
      <c r="B495" s="104"/>
      <c r="C495" s="96" t="s">
        <v>21</v>
      </c>
      <c r="D495" s="97"/>
    </row>
    <row r="496" spans="1:4" ht="42.75" customHeight="1" thickBot="1">
      <c r="A496" s="105">
        <f>A494*A493</f>
        <v>0</v>
      </c>
      <c r="B496" s="106"/>
      <c r="C496" s="96" t="s">
        <v>7</v>
      </c>
      <c r="D496" s="97"/>
    </row>
    <row r="497" spans="1:4" ht="42.75" customHeight="1" thickBot="1">
      <c r="A497" s="107" t="s">
        <v>17</v>
      </c>
      <c r="B497" s="108"/>
      <c r="C497" s="108"/>
      <c r="D497" s="109"/>
    </row>
    <row r="498" spans="1:4" ht="42.75" customHeight="1" thickBot="1">
      <c r="A498" s="116" t="s">
        <v>20</v>
      </c>
      <c r="B498" s="117"/>
      <c r="C498" s="117"/>
      <c r="D498" s="118"/>
    </row>
    <row r="499" spans="1:4" ht="42.75" customHeight="1" thickBot="1">
      <c r="A499" s="113" t="s">
        <v>18</v>
      </c>
      <c r="B499" s="114"/>
      <c r="C499" s="114"/>
      <c r="D499" s="115"/>
    </row>
    <row r="500" spans="1:4" ht="42.75" customHeight="1" thickBot="1">
      <c r="A500" s="119"/>
      <c r="B500" s="119"/>
      <c r="C500" s="119"/>
      <c r="D500" s="119"/>
    </row>
    <row r="501" spans="1:4" ht="42.75" customHeight="1" thickBot="1">
      <c r="A501" s="126" t="s">
        <v>19</v>
      </c>
      <c r="B501" s="127"/>
      <c r="C501" s="127"/>
      <c r="D501" s="128"/>
    </row>
    <row r="502" spans="1:4" ht="42.75" customHeight="1" thickBot="1">
      <c r="A502" s="123" t="s">
        <v>11</v>
      </c>
      <c r="B502" s="124"/>
      <c r="C502" s="125" t="s">
        <v>603</v>
      </c>
      <c r="D502" s="124"/>
    </row>
    <row r="503" spans="1:4" ht="42.75" customHeight="1" thickBot="1">
      <c r="A503" s="1" t="s">
        <v>686</v>
      </c>
      <c r="B503" s="26" t="s">
        <v>1</v>
      </c>
      <c r="C503" s="90" t="s">
        <v>37</v>
      </c>
      <c r="D503" s="91"/>
    </row>
    <row r="504" spans="1:4" ht="42.75" customHeight="1" thickBot="1">
      <c r="A504" s="26"/>
      <c r="B504" s="26" t="s">
        <v>0</v>
      </c>
      <c r="C504" s="5" t="s">
        <v>687</v>
      </c>
      <c r="D504" s="4" t="s">
        <v>2</v>
      </c>
    </row>
    <row r="505" spans="1:4" ht="42.75" customHeight="1" thickBot="1">
      <c r="A505" s="92">
        <v>1610</v>
      </c>
      <c r="B505" s="93"/>
      <c r="C505" s="94" t="s">
        <v>3</v>
      </c>
      <c r="D505" s="95"/>
    </row>
    <row r="506" spans="1:4" ht="42.75" customHeight="1" thickBot="1">
      <c r="A506" s="92">
        <v>1635</v>
      </c>
      <c r="B506" s="93"/>
      <c r="C506" s="96" t="s">
        <v>4</v>
      </c>
      <c r="D506" s="97"/>
    </row>
    <row r="507" spans="1:4" ht="42.75" customHeight="1" thickBot="1">
      <c r="A507" s="98">
        <f>A506-A505</f>
        <v>25</v>
      </c>
      <c r="B507" s="99"/>
      <c r="C507" s="100" t="s">
        <v>5</v>
      </c>
      <c r="D507" s="97"/>
    </row>
    <row r="508" spans="1:4" ht="42.75" customHeight="1" thickBot="1">
      <c r="A508" s="101">
        <v>62</v>
      </c>
      <c r="B508" s="102"/>
      <c r="C508" s="96" t="s">
        <v>6</v>
      </c>
      <c r="D508" s="97"/>
    </row>
    <row r="509" spans="1:4" ht="42.75" customHeight="1" thickBot="1">
      <c r="A509" s="103"/>
      <c r="B509" s="104"/>
      <c r="C509" s="96" t="s">
        <v>21</v>
      </c>
      <c r="D509" s="97"/>
    </row>
    <row r="510" spans="1:4" ht="42.75" customHeight="1" thickBot="1">
      <c r="A510" s="105">
        <f>A508*A507</f>
        <v>1550</v>
      </c>
      <c r="B510" s="106"/>
      <c r="C510" s="96" t="s">
        <v>7</v>
      </c>
      <c r="D510" s="97"/>
    </row>
    <row r="511" spans="1:4" ht="42.75" customHeight="1" thickBot="1">
      <c r="A511" s="107" t="s">
        <v>17</v>
      </c>
      <c r="B511" s="108"/>
      <c r="C511" s="108"/>
      <c r="D511" s="109"/>
    </row>
    <row r="512" spans="1:4" ht="42.75" customHeight="1" thickBot="1">
      <c r="A512" s="110" t="s">
        <v>20</v>
      </c>
      <c r="B512" s="111"/>
      <c r="C512" s="111"/>
      <c r="D512" s="112"/>
    </row>
    <row r="513" spans="1:4" ht="42.75" customHeight="1" thickBot="1">
      <c r="A513" s="113" t="s">
        <v>18</v>
      </c>
      <c r="B513" s="114"/>
      <c r="C513" s="114"/>
      <c r="D513" s="115"/>
    </row>
    <row r="514" spans="1:4" ht="42.75" customHeight="1" thickBot="1">
      <c r="A514" s="126" t="s">
        <v>19</v>
      </c>
      <c r="B514" s="127"/>
      <c r="C514" s="127"/>
      <c r="D514" s="128"/>
    </row>
    <row r="515" spans="1:4" ht="42.75" customHeight="1" thickBot="1">
      <c r="A515" s="123" t="s">
        <v>11</v>
      </c>
      <c r="B515" s="124"/>
      <c r="C515" s="125" t="s">
        <v>603</v>
      </c>
      <c r="D515" s="124"/>
    </row>
    <row r="516" spans="1:4" ht="42.75" customHeight="1" thickBot="1">
      <c r="A516" s="1" t="s">
        <v>686</v>
      </c>
      <c r="B516" s="26" t="s">
        <v>1</v>
      </c>
      <c r="C516" s="90" t="s">
        <v>38</v>
      </c>
      <c r="D516" s="91"/>
    </row>
    <row r="517" spans="1:4" ht="42.75" customHeight="1" thickBot="1">
      <c r="A517" s="26"/>
      <c r="B517" s="26" t="s">
        <v>0</v>
      </c>
      <c r="C517" s="5" t="s">
        <v>687</v>
      </c>
      <c r="D517" s="4" t="s">
        <v>2</v>
      </c>
    </row>
    <row r="518" spans="1:4" ht="42.75" customHeight="1" thickBot="1">
      <c r="A518" s="92">
        <v>4160</v>
      </c>
      <c r="B518" s="93"/>
      <c r="C518" s="94" t="s">
        <v>3</v>
      </c>
      <c r="D518" s="95"/>
    </row>
    <row r="519" spans="1:4" ht="42.75" customHeight="1" thickBot="1">
      <c r="A519" s="92">
        <v>4160</v>
      </c>
      <c r="B519" s="93"/>
      <c r="C519" s="96" t="s">
        <v>4</v>
      </c>
      <c r="D519" s="97"/>
    </row>
    <row r="520" spans="1:4" ht="42.75" customHeight="1" thickBot="1">
      <c r="A520" s="98">
        <f>A519-A518</f>
        <v>0</v>
      </c>
      <c r="B520" s="99"/>
      <c r="C520" s="100" t="s">
        <v>5</v>
      </c>
      <c r="D520" s="97"/>
    </row>
    <row r="521" spans="1:4" ht="42.75" customHeight="1" thickBot="1">
      <c r="A521" s="101">
        <v>62</v>
      </c>
      <c r="B521" s="102"/>
      <c r="C521" s="96" t="s">
        <v>6</v>
      </c>
      <c r="D521" s="97"/>
    </row>
    <row r="522" spans="1:4" ht="42.75" customHeight="1" thickBot="1">
      <c r="A522" s="103"/>
      <c r="B522" s="104"/>
      <c r="C522" s="96" t="s">
        <v>21</v>
      </c>
      <c r="D522" s="97"/>
    </row>
    <row r="523" spans="1:4" ht="42.75" customHeight="1" thickBot="1">
      <c r="A523" s="105">
        <f>A521*A520</f>
        <v>0</v>
      </c>
      <c r="B523" s="106"/>
      <c r="C523" s="96" t="s">
        <v>7</v>
      </c>
      <c r="D523" s="97"/>
    </row>
    <row r="524" spans="1:4" ht="42.75" customHeight="1" thickBot="1">
      <c r="A524" s="107" t="s">
        <v>17</v>
      </c>
      <c r="B524" s="108"/>
      <c r="C524" s="108"/>
      <c r="D524" s="109"/>
    </row>
    <row r="525" spans="1:4" ht="42.75" customHeight="1" thickBot="1">
      <c r="A525" s="116" t="s">
        <v>20</v>
      </c>
      <c r="B525" s="117"/>
      <c r="C525" s="117"/>
      <c r="D525" s="118"/>
    </row>
    <row r="526" spans="1:4" ht="42.75" customHeight="1" thickBot="1">
      <c r="A526" s="113" t="s">
        <v>18</v>
      </c>
      <c r="B526" s="114"/>
      <c r="C526" s="114"/>
      <c r="D526" s="115"/>
    </row>
    <row r="527" spans="1:4" ht="42.75" customHeight="1" thickBot="1">
      <c r="A527" s="119"/>
      <c r="B527" s="119"/>
      <c r="C527" s="119"/>
      <c r="D527" s="119"/>
    </row>
    <row r="528" spans="1:4" ht="42.75" customHeight="1" thickBot="1">
      <c r="A528" s="126" t="s">
        <v>19</v>
      </c>
      <c r="B528" s="127"/>
      <c r="C528" s="127"/>
      <c r="D528" s="128"/>
    </row>
    <row r="529" spans="1:4" ht="42.75" customHeight="1" thickBot="1">
      <c r="A529" s="123" t="s">
        <v>11</v>
      </c>
      <c r="B529" s="124"/>
      <c r="C529" s="125" t="s">
        <v>603</v>
      </c>
      <c r="D529" s="124"/>
    </row>
    <row r="530" spans="1:4" ht="42.75" customHeight="1" thickBot="1">
      <c r="A530" s="1" t="s">
        <v>686</v>
      </c>
      <c r="B530" s="26" t="s">
        <v>1</v>
      </c>
      <c r="C530" s="90" t="s">
        <v>38</v>
      </c>
      <c r="D530" s="91"/>
    </row>
    <row r="531" spans="1:4" ht="42.75" customHeight="1" thickBot="1">
      <c r="A531" s="26"/>
      <c r="B531" s="26" t="s">
        <v>0</v>
      </c>
      <c r="C531" s="5" t="s">
        <v>687</v>
      </c>
      <c r="D531" s="4" t="s">
        <v>2</v>
      </c>
    </row>
    <row r="532" spans="1:4" ht="42.75" customHeight="1" thickBot="1">
      <c r="A532" s="92">
        <v>4100</v>
      </c>
      <c r="B532" s="93"/>
      <c r="C532" s="94" t="s">
        <v>3</v>
      </c>
      <c r="D532" s="95"/>
    </row>
    <row r="533" spans="1:4" ht="42.75" customHeight="1" thickBot="1">
      <c r="A533" s="92">
        <v>4160</v>
      </c>
      <c r="B533" s="93"/>
      <c r="C533" s="96" t="s">
        <v>4</v>
      </c>
      <c r="D533" s="97"/>
    </row>
    <row r="534" spans="1:4" ht="42.75" customHeight="1" thickBot="1">
      <c r="A534" s="98">
        <f>A533-A532</f>
        <v>60</v>
      </c>
      <c r="B534" s="99"/>
      <c r="C534" s="100" t="s">
        <v>5</v>
      </c>
      <c r="D534" s="97"/>
    </row>
    <row r="535" spans="1:4" ht="42.75" customHeight="1" thickBot="1">
      <c r="A535" s="101">
        <v>62</v>
      </c>
      <c r="B535" s="102"/>
      <c r="C535" s="96" t="s">
        <v>6</v>
      </c>
      <c r="D535" s="97"/>
    </row>
    <row r="536" spans="1:4" ht="42.75" customHeight="1" thickBot="1">
      <c r="A536" s="103"/>
      <c r="B536" s="104"/>
      <c r="C536" s="96" t="s">
        <v>21</v>
      </c>
      <c r="D536" s="97"/>
    </row>
    <row r="537" spans="1:4" ht="42.75" customHeight="1" thickBot="1">
      <c r="A537" s="105">
        <v>3700</v>
      </c>
      <c r="B537" s="106"/>
      <c r="C537" s="96" t="s">
        <v>7</v>
      </c>
      <c r="D537" s="97"/>
    </row>
    <row r="538" spans="1:4" ht="42.75" customHeight="1" thickBot="1">
      <c r="A538" s="107" t="s">
        <v>17</v>
      </c>
      <c r="B538" s="108"/>
      <c r="C538" s="108"/>
      <c r="D538" s="109"/>
    </row>
    <row r="539" spans="1:4" ht="42.75" customHeight="1" thickBot="1">
      <c r="A539" s="116" t="s">
        <v>20</v>
      </c>
      <c r="B539" s="117"/>
      <c r="C539" s="117"/>
      <c r="D539" s="118"/>
    </row>
    <row r="540" spans="1:4" ht="42.75" customHeight="1" thickBot="1">
      <c r="A540" s="113" t="s">
        <v>18</v>
      </c>
      <c r="B540" s="114"/>
      <c r="C540" s="114"/>
      <c r="D540" s="115"/>
    </row>
    <row r="541" spans="1:4" ht="42.75" customHeight="1" thickBot="1">
      <c r="A541" s="126" t="s">
        <v>19</v>
      </c>
      <c r="B541" s="127"/>
      <c r="C541" s="127"/>
      <c r="D541" s="128"/>
    </row>
    <row r="542" spans="1:4" ht="42.75" customHeight="1" thickBot="1">
      <c r="A542" s="123" t="s">
        <v>11</v>
      </c>
      <c r="B542" s="124"/>
      <c r="C542" s="125" t="s">
        <v>603</v>
      </c>
      <c r="D542" s="124"/>
    </row>
    <row r="543" spans="1:4" ht="42.75" customHeight="1" thickBot="1">
      <c r="A543" s="1" t="s">
        <v>686</v>
      </c>
      <c r="B543" s="26" t="s">
        <v>1</v>
      </c>
      <c r="C543" s="90" t="s">
        <v>39</v>
      </c>
      <c r="D543" s="91"/>
    </row>
    <row r="544" spans="1:4" ht="42.75" customHeight="1" thickBot="1">
      <c r="A544" s="26"/>
      <c r="B544" s="26" t="s">
        <v>0</v>
      </c>
      <c r="C544" s="5" t="s">
        <v>687</v>
      </c>
      <c r="D544" s="4" t="s">
        <v>2</v>
      </c>
    </row>
    <row r="545" spans="1:4" ht="42.75" customHeight="1" thickBot="1">
      <c r="A545" s="92">
        <v>865</v>
      </c>
      <c r="B545" s="93"/>
      <c r="C545" s="94" t="s">
        <v>3</v>
      </c>
      <c r="D545" s="95"/>
    </row>
    <row r="546" spans="1:4" ht="42.75" customHeight="1" thickBot="1">
      <c r="A546" s="92">
        <v>865</v>
      </c>
      <c r="B546" s="93"/>
      <c r="C546" s="96" t="s">
        <v>4</v>
      </c>
      <c r="D546" s="97"/>
    </row>
    <row r="547" spans="1:4" ht="42.75" customHeight="1" thickBot="1">
      <c r="A547" s="98">
        <f>A546-A545</f>
        <v>0</v>
      </c>
      <c r="B547" s="99"/>
      <c r="C547" s="100" t="s">
        <v>5</v>
      </c>
      <c r="D547" s="97"/>
    </row>
    <row r="548" spans="1:4" ht="42.75" customHeight="1" thickBot="1">
      <c r="A548" s="101">
        <v>62</v>
      </c>
      <c r="B548" s="102"/>
      <c r="C548" s="96" t="s">
        <v>6</v>
      </c>
      <c r="D548" s="97"/>
    </row>
    <row r="549" spans="1:4" ht="42.75" customHeight="1" thickBot="1">
      <c r="A549" s="103"/>
      <c r="B549" s="104"/>
      <c r="C549" s="96" t="s">
        <v>21</v>
      </c>
      <c r="D549" s="97"/>
    </row>
    <row r="550" spans="1:4" ht="42.75" customHeight="1" thickBot="1">
      <c r="A550" s="105">
        <f>A548*A547</f>
        <v>0</v>
      </c>
      <c r="B550" s="106"/>
      <c r="C550" s="96" t="s">
        <v>7</v>
      </c>
      <c r="D550" s="97"/>
    </row>
    <row r="551" spans="1:4" ht="42.75" customHeight="1" thickBot="1">
      <c r="A551" s="107" t="s">
        <v>17</v>
      </c>
      <c r="B551" s="108"/>
      <c r="C551" s="108"/>
      <c r="D551" s="109"/>
    </row>
    <row r="552" spans="1:4" ht="42.75" customHeight="1" thickBot="1">
      <c r="A552" s="116" t="s">
        <v>20</v>
      </c>
      <c r="B552" s="117"/>
      <c r="C552" s="117"/>
      <c r="D552" s="118"/>
    </row>
    <row r="553" spans="1:4" ht="42.75" customHeight="1" thickBot="1">
      <c r="A553" s="113" t="s">
        <v>18</v>
      </c>
      <c r="B553" s="114"/>
      <c r="C553" s="114"/>
      <c r="D553" s="115"/>
    </row>
    <row r="554" spans="1:4" ht="42.75" customHeight="1" thickBot="1">
      <c r="A554" s="119"/>
      <c r="B554" s="119"/>
      <c r="C554" s="119"/>
      <c r="D554" s="119"/>
    </row>
    <row r="555" spans="1:4" ht="42.75" customHeight="1" thickBot="1">
      <c r="A555" s="126" t="s">
        <v>19</v>
      </c>
      <c r="B555" s="127"/>
      <c r="C555" s="127"/>
      <c r="D555" s="128"/>
    </row>
    <row r="556" spans="1:4" ht="42.75" customHeight="1" thickBot="1">
      <c r="A556" s="123" t="s">
        <v>11</v>
      </c>
      <c r="B556" s="124"/>
      <c r="C556" s="125" t="s">
        <v>603</v>
      </c>
      <c r="D556" s="124"/>
    </row>
    <row r="557" spans="1:4" ht="42.75" customHeight="1" thickBot="1">
      <c r="A557" s="1" t="s">
        <v>686</v>
      </c>
      <c r="B557" s="26" t="s">
        <v>1</v>
      </c>
      <c r="C557" s="90" t="s">
        <v>39</v>
      </c>
      <c r="D557" s="91"/>
    </row>
    <row r="558" spans="1:4" ht="42.75" customHeight="1" thickBot="1">
      <c r="A558" s="26"/>
      <c r="B558" s="26" t="s">
        <v>0</v>
      </c>
      <c r="C558" s="5" t="s">
        <v>687</v>
      </c>
      <c r="D558" s="4" t="s">
        <v>2</v>
      </c>
    </row>
    <row r="559" spans="1:4" ht="42.75" customHeight="1" thickBot="1">
      <c r="A559" s="92">
        <v>852</v>
      </c>
      <c r="B559" s="93"/>
      <c r="C559" s="94" t="s">
        <v>3</v>
      </c>
      <c r="D559" s="95"/>
    </row>
    <row r="560" spans="1:4" ht="42.75" customHeight="1" thickBot="1">
      <c r="A560" s="92">
        <v>865</v>
      </c>
      <c r="B560" s="93"/>
      <c r="C560" s="96" t="s">
        <v>4</v>
      </c>
      <c r="D560" s="97"/>
    </row>
    <row r="561" spans="1:4" ht="42.75" customHeight="1" thickBot="1">
      <c r="A561" s="98">
        <f>A560-A559</f>
        <v>13</v>
      </c>
      <c r="B561" s="99"/>
      <c r="C561" s="100" t="s">
        <v>5</v>
      </c>
      <c r="D561" s="97"/>
    </row>
    <row r="562" spans="1:4" ht="42.75" customHeight="1" thickBot="1">
      <c r="A562" s="101">
        <v>62</v>
      </c>
      <c r="B562" s="102"/>
      <c r="C562" s="96" t="s">
        <v>6</v>
      </c>
      <c r="D562" s="97"/>
    </row>
    <row r="563" spans="1:4" ht="42.75" customHeight="1" thickBot="1">
      <c r="A563" s="103"/>
      <c r="B563" s="104"/>
      <c r="C563" s="96" t="s">
        <v>21</v>
      </c>
      <c r="D563" s="97"/>
    </row>
    <row r="564" spans="1:4" ht="42.75" customHeight="1" thickBot="1">
      <c r="A564" s="105">
        <f>A562*A561</f>
        <v>806</v>
      </c>
      <c r="B564" s="106"/>
      <c r="C564" s="96" t="s">
        <v>7</v>
      </c>
      <c r="D564" s="97"/>
    </row>
    <row r="565" spans="1:4" ht="42.75" customHeight="1" thickBot="1">
      <c r="A565" s="107" t="s">
        <v>17</v>
      </c>
      <c r="B565" s="108"/>
      <c r="C565" s="108"/>
      <c r="D565" s="109"/>
    </row>
    <row r="566" spans="1:4" ht="42.75" customHeight="1" thickBot="1">
      <c r="A566" s="110" t="s">
        <v>20</v>
      </c>
      <c r="B566" s="111"/>
      <c r="C566" s="111"/>
      <c r="D566" s="112"/>
    </row>
    <row r="567" spans="1:4" ht="42.75" customHeight="1" thickBot="1">
      <c r="A567" s="113" t="s">
        <v>18</v>
      </c>
      <c r="B567" s="114"/>
      <c r="C567" s="114"/>
      <c r="D567" s="115"/>
    </row>
    <row r="568" spans="1:4" ht="42.75" customHeight="1" thickBot="1">
      <c r="A568" s="126" t="s">
        <v>19</v>
      </c>
      <c r="B568" s="127"/>
      <c r="C568" s="127"/>
      <c r="D568" s="128"/>
    </row>
    <row r="569" spans="1:4" ht="42.75" customHeight="1" thickBot="1">
      <c r="A569" s="123" t="s">
        <v>11</v>
      </c>
      <c r="B569" s="124"/>
      <c r="C569" s="125" t="s">
        <v>603</v>
      </c>
      <c r="D569" s="124"/>
    </row>
    <row r="570" spans="1:4" ht="42.75" customHeight="1" thickBot="1">
      <c r="A570" s="1" t="s">
        <v>686</v>
      </c>
      <c r="B570" s="26" t="s">
        <v>1</v>
      </c>
      <c r="C570" s="90" t="s">
        <v>40</v>
      </c>
      <c r="D570" s="91"/>
    </row>
    <row r="571" spans="1:4" ht="42.75" customHeight="1" thickBot="1">
      <c r="A571" s="26"/>
      <c r="B571" s="26" t="s">
        <v>0</v>
      </c>
      <c r="C571" s="5" t="s">
        <v>687</v>
      </c>
      <c r="D571" s="4" t="s">
        <v>2</v>
      </c>
    </row>
    <row r="572" spans="1:4" ht="42.75" customHeight="1" thickBot="1">
      <c r="A572" s="92">
        <v>300</v>
      </c>
      <c r="B572" s="93"/>
      <c r="C572" s="94" t="s">
        <v>3</v>
      </c>
      <c r="D572" s="95"/>
    </row>
    <row r="573" spans="1:4" ht="42.75" customHeight="1" thickBot="1">
      <c r="A573" s="92">
        <v>300</v>
      </c>
      <c r="B573" s="93"/>
      <c r="C573" s="96" t="s">
        <v>4</v>
      </c>
      <c r="D573" s="97"/>
    </row>
    <row r="574" spans="1:4" ht="42.75" customHeight="1" thickBot="1">
      <c r="A574" s="98">
        <f>A573-A572</f>
        <v>0</v>
      </c>
      <c r="B574" s="99"/>
      <c r="C574" s="100" t="s">
        <v>5</v>
      </c>
      <c r="D574" s="97"/>
    </row>
    <row r="575" spans="1:4" ht="42.75" customHeight="1" thickBot="1">
      <c r="A575" s="101">
        <v>62</v>
      </c>
      <c r="B575" s="102"/>
      <c r="C575" s="96" t="s">
        <v>6</v>
      </c>
      <c r="D575" s="97"/>
    </row>
    <row r="576" spans="1:4" ht="42.75" customHeight="1" thickBot="1">
      <c r="A576" s="103"/>
      <c r="B576" s="104"/>
      <c r="C576" s="96" t="s">
        <v>21</v>
      </c>
      <c r="D576" s="97"/>
    </row>
    <row r="577" spans="1:4" ht="42.75" customHeight="1" thickBot="1">
      <c r="A577" s="105">
        <f>A575*A574</f>
        <v>0</v>
      </c>
      <c r="B577" s="106"/>
      <c r="C577" s="96" t="s">
        <v>7</v>
      </c>
      <c r="D577" s="97"/>
    </row>
    <row r="578" spans="1:4" ht="42.75" customHeight="1" thickBot="1">
      <c r="A578" s="107" t="s">
        <v>17</v>
      </c>
      <c r="B578" s="108"/>
      <c r="C578" s="108"/>
      <c r="D578" s="109"/>
    </row>
    <row r="579" spans="1:4" ht="42.75" customHeight="1" thickBot="1">
      <c r="A579" s="116" t="s">
        <v>20</v>
      </c>
      <c r="B579" s="117"/>
      <c r="C579" s="117"/>
      <c r="D579" s="118"/>
    </row>
    <row r="580" spans="1:4" ht="42.75" customHeight="1" thickBot="1">
      <c r="A580" s="113" t="s">
        <v>18</v>
      </c>
      <c r="B580" s="114"/>
      <c r="C580" s="114"/>
      <c r="D580" s="115"/>
    </row>
    <row r="581" spans="1:4" ht="42.75" customHeight="1" thickBot="1">
      <c r="A581" s="119"/>
      <c r="B581" s="119"/>
      <c r="C581" s="119"/>
      <c r="D581" s="119"/>
    </row>
    <row r="582" spans="1:4" ht="42.75" customHeight="1" thickBot="1">
      <c r="A582" s="126" t="s">
        <v>19</v>
      </c>
      <c r="B582" s="127"/>
      <c r="C582" s="127"/>
      <c r="D582" s="128"/>
    </row>
    <row r="583" spans="1:4" ht="42.75" customHeight="1" thickBot="1">
      <c r="A583" s="123" t="s">
        <v>11</v>
      </c>
      <c r="B583" s="124"/>
      <c r="C583" s="125" t="s">
        <v>603</v>
      </c>
      <c r="D583" s="124"/>
    </row>
    <row r="584" spans="1:4" ht="42.75" customHeight="1" thickBot="1">
      <c r="A584" s="1" t="s">
        <v>686</v>
      </c>
      <c r="B584" s="26" t="s">
        <v>1</v>
      </c>
      <c r="C584" s="90" t="s">
        <v>40</v>
      </c>
      <c r="D584" s="91"/>
    </row>
    <row r="585" spans="1:4" ht="42.75" customHeight="1" thickBot="1">
      <c r="A585" s="26"/>
      <c r="B585" s="26" t="s">
        <v>0</v>
      </c>
      <c r="C585" s="5" t="s">
        <v>687</v>
      </c>
      <c r="D585" s="4" t="s">
        <v>2</v>
      </c>
    </row>
    <row r="586" spans="1:4" ht="42.75" customHeight="1" thickBot="1">
      <c r="A586" s="92">
        <v>275</v>
      </c>
      <c r="B586" s="93"/>
      <c r="C586" s="94" t="s">
        <v>3</v>
      </c>
      <c r="D586" s="95"/>
    </row>
    <row r="587" spans="1:4" ht="42.75" customHeight="1" thickBot="1">
      <c r="A587" s="92">
        <v>300</v>
      </c>
      <c r="B587" s="93"/>
      <c r="C587" s="96" t="s">
        <v>4</v>
      </c>
      <c r="D587" s="97"/>
    </row>
    <row r="588" spans="1:4" ht="42.75" customHeight="1" thickBot="1">
      <c r="A588" s="98">
        <f>A587-A586</f>
        <v>25</v>
      </c>
      <c r="B588" s="99"/>
      <c r="C588" s="100" t="s">
        <v>5</v>
      </c>
      <c r="D588" s="97"/>
    </row>
    <row r="589" spans="1:4" ht="42.75" customHeight="1" thickBot="1">
      <c r="A589" s="101">
        <v>62</v>
      </c>
      <c r="B589" s="102"/>
      <c r="C589" s="96" t="s">
        <v>6</v>
      </c>
      <c r="D589" s="97"/>
    </row>
    <row r="590" spans="1:4" ht="42.75" customHeight="1" thickBot="1">
      <c r="A590" s="103"/>
      <c r="B590" s="104"/>
      <c r="C590" s="96" t="s">
        <v>21</v>
      </c>
      <c r="D590" s="97"/>
    </row>
    <row r="591" spans="1:4" ht="42.75" customHeight="1" thickBot="1">
      <c r="A591" s="105">
        <f>A589*A588</f>
        <v>1550</v>
      </c>
      <c r="B591" s="106"/>
      <c r="C591" s="96" t="s">
        <v>7</v>
      </c>
      <c r="D591" s="97"/>
    </row>
    <row r="592" spans="1:4" ht="42.75" customHeight="1" thickBot="1">
      <c r="A592" s="107" t="s">
        <v>17</v>
      </c>
      <c r="B592" s="108"/>
      <c r="C592" s="108"/>
      <c r="D592" s="109"/>
    </row>
    <row r="593" spans="1:4" ht="42.75" customHeight="1" thickBot="1">
      <c r="A593" s="110" t="s">
        <v>20</v>
      </c>
      <c r="B593" s="111"/>
      <c r="C593" s="111"/>
      <c r="D593" s="112"/>
    </row>
    <row r="594" spans="1:4" ht="42.75" customHeight="1" thickBot="1">
      <c r="A594" s="113" t="s">
        <v>18</v>
      </c>
      <c r="B594" s="114"/>
      <c r="C594" s="114"/>
      <c r="D594" s="115"/>
    </row>
    <row r="595" spans="1:4" ht="42.75" customHeight="1" thickBot="1">
      <c r="A595" s="126" t="s">
        <v>19</v>
      </c>
      <c r="B595" s="127"/>
      <c r="C595" s="127"/>
      <c r="D595" s="128"/>
    </row>
    <row r="596" spans="1:4" ht="42.75" customHeight="1" thickBot="1">
      <c r="A596" s="123" t="s">
        <v>11</v>
      </c>
      <c r="B596" s="124"/>
      <c r="C596" s="125" t="s">
        <v>603</v>
      </c>
      <c r="D596" s="124"/>
    </row>
    <row r="597" spans="1:4" ht="42.75" customHeight="1" thickBot="1">
      <c r="A597" s="1" t="s">
        <v>686</v>
      </c>
      <c r="B597" s="26" t="s">
        <v>1</v>
      </c>
      <c r="C597" s="90" t="s">
        <v>41</v>
      </c>
      <c r="D597" s="91"/>
    </row>
    <row r="598" spans="1:4" ht="42.75" customHeight="1" thickBot="1">
      <c r="A598" s="26"/>
      <c r="B598" s="26" t="s">
        <v>0</v>
      </c>
      <c r="C598" s="5" t="s">
        <v>687</v>
      </c>
      <c r="D598" s="4" t="s">
        <v>2</v>
      </c>
    </row>
    <row r="599" spans="1:4" ht="42.75" customHeight="1" thickBot="1">
      <c r="A599" s="92">
        <v>415</v>
      </c>
      <c r="B599" s="93"/>
      <c r="C599" s="94" t="s">
        <v>3</v>
      </c>
      <c r="D599" s="95"/>
    </row>
    <row r="600" spans="1:4" ht="42.75" customHeight="1" thickBot="1">
      <c r="A600" s="92">
        <v>415</v>
      </c>
      <c r="B600" s="93"/>
      <c r="C600" s="96" t="s">
        <v>4</v>
      </c>
      <c r="D600" s="97"/>
    </row>
    <row r="601" spans="1:4" ht="42.75" customHeight="1" thickBot="1">
      <c r="A601" s="98">
        <f>A600-A599</f>
        <v>0</v>
      </c>
      <c r="B601" s="99"/>
      <c r="C601" s="100" t="s">
        <v>5</v>
      </c>
      <c r="D601" s="97"/>
    </row>
    <row r="602" spans="1:4" ht="42.75" customHeight="1" thickBot="1">
      <c r="A602" s="101">
        <v>62</v>
      </c>
      <c r="B602" s="102"/>
      <c r="C602" s="96" t="s">
        <v>6</v>
      </c>
      <c r="D602" s="97"/>
    </row>
    <row r="603" spans="1:4" ht="42.75" customHeight="1" thickBot="1">
      <c r="A603" s="103"/>
      <c r="B603" s="104"/>
      <c r="C603" s="96" t="s">
        <v>21</v>
      </c>
      <c r="D603" s="97"/>
    </row>
    <row r="604" spans="1:4" ht="42.75" customHeight="1" thickBot="1">
      <c r="A604" s="105">
        <f>A602*A601</f>
        <v>0</v>
      </c>
      <c r="B604" s="106"/>
      <c r="C604" s="96" t="s">
        <v>7</v>
      </c>
      <c r="D604" s="97"/>
    </row>
    <row r="605" spans="1:4" ht="42.75" customHeight="1" thickBot="1">
      <c r="A605" s="107" t="s">
        <v>17</v>
      </c>
      <c r="B605" s="108"/>
      <c r="C605" s="108"/>
      <c r="D605" s="109"/>
    </row>
    <row r="606" spans="1:4" ht="42.75" customHeight="1" thickBot="1">
      <c r="A606" s="116" t="s">
        <v>20</v>
      </c>
      <c r="B606" s="117"/>
      <c r="C606" s="117"/>
      <c r="D606" s="118"/>
    </row>
    <row r="607" spans="1:4" ht="42.75" customHeight="1" thickBot="1">
      <c r="A607" s="113" t="s">
        <v>18</v>
      </c>
      <c r="B607" s="114"/>
      <c r="C607" s="114"/>
      <c r="D607" s="115"/>
    </row>
    <row r="608" spans="1:4" ht="42.75" customHeight="1" thickBot="1">
      <c r="A608" s="119"/>
      <c r="B608" s="119"/>
      <c r="C608" s="119"/>
      <c r="D608" s="119"/>
    </row>
    <row r="609" spans="1:4" ht="42.75" customHeight="1" thickBot="1">
      <c r="A609" s="126" t="s">
        <v>19</v>
      </c>
      <c r="B609" s="127"/>
      <c r="C609" s="127"/>
      <c r="D609" s="128"/>
    </row>
    <row r="610" spans="1:4" ht="42.75" customHeight="1" thickBot="1">
      <c r="A610" s="123" t="s">
        <v>11</v>
      </c>
      <c r="B610" s="124"/>
      <c r="C610" s="125" t="s">
        <v>603</v>
      </c>
      <c r="D610" s="124"/>
    </row>
    <row r="611" spans="1:4" ht="42.75" customHeight="1" thickBot="1">
      <c r="A611" s="1" t="s">
        <v>686</v>
      </c>
      <c r="B611" s="26" t="s">
        <v>1</v>
      </c>
      <c r="C611" s="90" t="s">
        <v>41</v>
      </c>
      <c r="D611" s="91"/>
    </row>
    <row r="612" spans="1:4" ht="42.75" customHeight="1" thickBot="1">
      <c r="A612" s="26"/>
      <c r="B612" s="26" t="s">
        <v>0</v>
      </c>
      <c r="C612" s="5" t="s">
        <v>687</v>
      </c>
      <c r="D612" s="4" t="s">
        <v>2</v>
      </c>
    </row>
    <row r="613" spans="1:4" ht="42.75" customHeight="1" thickBot="1">
      <c r="A613" s="92">
        <v>395</v>
      </c>
      <c r="B613" s="93"/>
      <c r="C613" s="94" t="s">
        <v>3</v>
      </c>
      <c r="D613" s="95"/>
    </row>
    <row r="614" spans="1:4" ht="42.75" customHeight="1" thickBot="1">
      <c r="A614" s="92">
        <v>415</v>
      </c>
      <c r="B614" s="93"/>
      <c r="C614" s="96" t="s">
        <v>4</v>
      </c>
      <c r="D614" s="97"/>
    </row>
    <row r="615" spans="1:4" ht="42.75" customHeight="1" thickBot="1">
      <c r="A615" s="98">
        <f>A614-A613</f>
        <v>20</v>
      </c>
      <c r="B615" s="99"/>
      <c r="C615" s="100" t="s">
        <v>5</v>
      </c>
      <c r="D615" s="97"/>
    </row>
    <row r="616" spans="1:4" ht="42.75" customHeight="1" thickBot="1">
      <c r="A616" s="101">
        <v>62</v>
      </c>
      <c r="B616" s="102"/>
      <c r="C616" s="96" t="s">
        <v>6</v>
      </c>
      <c r="D616" s="97"/>
    </row>
    <row r="617" spans="1:4" ht="42.75" customHeight="1" thickBot="1">
      <c r="A617" s="103"/>
      <c r="B617" s="104"/>
      <c r="C617" s="96" t="s">
        <v>21</v>
      </c>
      <c r="D617" s="97"/>
    </row>
    <row r="618" spans="1:4" ht="42.75" customHeight="1" thickBot="1">
      <c r="A618" s="105">
        <v>1250</v>
      </c>
      <c r="B618" s="106"/>
      <c r="C618" s="96" t="s">
        <v>7</v>
      </c>
      <c r="D618" s="97"/>
    </row>
    <row r="619" spans="1:4" ht="42.75" customHeight="1" thickBot="1">
      <c r="A619" s="107" t="s">
        <v>17</v>
      </c>
      <c r="B619" s="108"/>
      <c r="C619" s="108"/>
      <c r="D619" s="109"/>
    </row>
    <row r="620" spans="1:4" ht="42.75" customHeight="1" thickBot="1">
      <c r="A620" s="110" t="s">
        <v>20</v>
      </c>
      <c r="B620" s="111"/>
      <c r="C620" s="111"/>
      <c r="D620" s="112"/>
    </row>
    <row r="621" spans="1:4" ht="42.75" customHeight="1" thickBot="1">
      <c r="A621" s="113" t="s">
        <v>18</v>
      </c>
      <c r="B621" s="114"/>
      <c r="C621" s="114"/>
      <c r="D621" s="115"/>
    </row>
    <row r="622" spans="1:4" ht="42.75" customHeight="1" thickBot="1">
      <c r="A622" s="126" t="s">
        <v>19</v>
      </c>
      <c r="B622" s="127"/>
      <c r="C622" s="127"/>
      <c r="D622" s="128"/>
    </row>
    <row r="623" spans="1:4" ht="42.75" customHeight="1" thickBot="1">
      <c r="A623" s="123" t="s">
        <v>11</v>
      </c>
      <c r="B623" s="124"/>
      <c r="C623" s="125" t="s">
        <v>603</v>
      </c>
      <c r="D623" s="124"/>
    </row>
    <row r="624" spans="1:4" ht="42.75" customHeight="1" thickBot="1">
      <c r="A624" s="1" t="s">
        <v>686</v>
      </c>
      <c r="B624" s="26" t="s">
        <v>1</v>
      </c>
      <c r="C624" s="90" t="s">
        <v>42</v>
      </c>
      <c r="D624" s="91"/>
    </row>
    <row r="625" spans="1:4" ht="42.75" customHeight="1" thickBot="1">
      <c r="A625" s="26"/>
      <c r="B625" s="26" t="s">
        <v>0</v>
      </c>
      <c r="C625" s="5" t="s">
        <v>687</v>
      </c>
      <c r="D625" s="4" t="s">
        <v>2</v>
      </c>
    </row>
    <row r="626" spans="1:4" ht="42.75" customHeight="1" thickBot="1">
      <c r="A626" s="92">
        <v>560</v>
      </c>
      <c r="B626" s="93"/>
      <c r="C626" s="94" t="s">
        <v>3</v>
      </c>
      <c r="D626" s="95"/>
    </row>
    <row r="627" spans="1:4" ht="42.75" customHeight="1" thickBot="1">
      <c r="A627" s="92">
        <v>560</v>
      </c>
      <c r="B627" s="93"/>
      <c r="C627" s="96" t="s">
        <v>4</v>
      </c>
      <c r="D627" s="97"/>
    </row>
    <row r="628" spans="1:4" ht="42.75" customHeight="1" thickBot="1">
      <c r="A628" s="98">
        <f>A627-A626</f>
        <v>0</v>
      </c>
      <c r="B628" s="99"/>
      <c r="C628" s="100" t="s">
        <v>5</v>
      </c>
      <c r="D628" s="97"/>
    </row>
    <row r="629" spans="1:4" ht="42.75" customHeight="1" thickBot="1">
      <c r="A629" s="101">
        <v>62</v>
      </c>
      <c r="B629" s="102"/>
      <c r="C629" s="96" t="s">
        <v>6</v>
      </c>
      <c r="D629" s="97"/>
    </row>
    <row r="630" spans="1:4" ht="42.75" customHeight="1" thickBot="1">
      <c r="A630" s="103"/>
      <c r="B630" s="104"/>
      <c r="C630" s="96" t="s">
        <v>21</v>
      </c>
      <c r="D630" s="97"/>
    </row>
    <row r="631" spans="1:4" ht="42.75" customHeight="1" thickBot="1">
      <c r="A631" s="105">
        <f>A629*A628</f>
        <v>0</v>
      </c>
      <c r="B631" s="106"/>
      <c r="C631" s="96" t="s">
        <v>7</v>
      </c>
      <c r="D631" s="97"/>
    </row>
    <row r="632" spans="1:4" ht="42.75" customHeight="1" thickBot="1">
      <c r="A632" s="107" t="s">
        <v>17</v>
      </c>
      <c r="B632" s="108"/>
      <c r="C632" s="108"/>
      <c r="D632" s="109"/>
    </row>
    <row r="633" spans="1:4" ht="42.75" customHeight="1" thickBot="1">
      <c r="A633" s="116" t="s">
        <v>20</v>
      </c>
      <c r="B633" s="117"/>
      <c r="C633" s="117"/>
      <c r="D633" s="118"/>
    </row>
    <row r="634" spans="1:4" ht="42.75" customHeight="1" thickBot="1">
      <c r="A634" s="113" t="s">
        <v>18</v>
      </c>
      <c r="B634" s="114"/>
      <c r="C634" s="114"/>
      <c r="D634" s="115"/>
    </row>
    <row r="635" spans="1:4" ht="42.75" customHeight="1" thickBot="1">
      <c r="A635" s="119"/>
      <c r="B635" s="119"/>
      <c r="C635" s="119"/>
      <c r="D635" s="119"/>
    </row>
    <row r="636" spans="1:4" ht="42.75" customHeight="1" thickBot="1">
      <c r="A636" s="126" t="s">
        <v>19</v>
      </c>
      <c r="B636" s="127"/>
      <c r="C636" s="127"/>
      <c r="D636" s="128"/>
    </row>
    <row r="637" spans="1:4" ht="42.75" customHeight="1" thickBot="1">
      <c r="A637" s="123" t="s">
        <v>11</v>
      </c>
      <c r="B637" s="124"/>
      <c r="C637" s="125" t="s">
        <v>603</v>
      </c>
      <c r="D637" s="124"/>
    </row>
    <row r="638" spans="1:4" ht="42.75" customHeight="1" thickBot="1">
      <c r="A638" s="1" t="s">
        <v>686</v>
      </c>
      <c r="B638" s="26" t="s">
        <v>1</v>
      </c>
      <c r="C638" s="90" t="s">
        <v>42</v>
      </c>
      <c r="D638" s="91"/>
    </row>
    <row r="639" spans="1:4" ht="42.75" customHeight="1" thickBot="1">
      <c r="A639" s="26"/>
      <c r="B639" s="26" t="s">
        <v>0</v>
      </c>
      <c r="C639" s="5" t="s">
        <v>687</v>
      </c>
      <c r="D639" s="4" t="s">
        <v>2</v>
      </c>
    </row>
    <row r="640" spans="1:4" ht="42.75" customHeight="1" thickBot="1">
      <c r="A640" s="92">
        <v>542</v>
      </c>
      <c r="B640" s="93"/>
      <c r="C640" s="94" t="s">
        <v>3</v>
      </c>
      <c r="D640" s="95"/>
    </row>
    <row r="641" spans="1:4" ht="42.75" customHeight="1" thickBot="1">
      <c r="A641" s="92">
        <v>560</v>
      </c>
      <c r="B641" s="93"/>
      <c r="C641" s="96" t="s">
        <v>4</v>
      </c>
      <c r="D641" s="97"/>
    </row>
    <row r="642" spans="1:4" ht="42.75" customHeight="1" thickBot="1">
      <c r="A642" s="98">
        <f>A641-A640</f>
        <v>18</v>
      </c>
      <c r="B642" s="99"/>
      <c r="C642" s="100" t="s">
        <v>5</v>
      </c>
      <c r="D642" s="97"/>
    </row>
    <row r="643" spans="1:4" ht="42.75" customHeight="1" thickBot="1">
      <c r="A643" s="101">
        <v>62</v>
      </c>
      <c r="B643" s="102"/>
      <c r="C643" s="96" t="s">
        <v>6</v>
      </c>
      <c r="D643" s="97"/>
    </row>
    <row r="644" spans="1:4" ht="42.75" customHeight="1" thickBot="1">
      <c r="A644" s="103"/>
      <c r="B644" s="104"/>
      <c r="C644" s="96" t="s">
        <v>21</v>
      </c>
      <c r="D644" s="97"/>
    </row>
    <row r="645" spans="1:4" ht="42.75" customHeight="1" thickBot="1">
      <c r="A645" s="105">
        <v>1100</v>
      </c>
      <c r="B645" s="106"/>
      <c r="C645" s="96" t="s">
        <v>7</v>
      </c>
      <c r="D645" s="97"/>
    </row>
    <row r="646" spans="1:4" ht="42.75" customHeight="1" thickBot="1">
      <c r="A646" s="107" t="s">
        <v>17</v>
      </c>
      <c r="B646" s="108"/>
      <c r="C646" s="108"/>
      <c r="D646" s="109"/>
    </row>
    <row r="647" spans="1:4" ht="42.75" customHeight="1" thickBot="1">
      <c r="A647" s="110" t="s">
        <v>20</v>
      </c>
      <c r="B647" s="111"/>
      <c r="C647" s="111"/>
      <c r="D647" s="112"/>
    </row>
    <row r="648" spans="1:4" ht="42.75" customHeight="1" thickBot="1">
      <c r="A648" s="113" t="s">
        <v>18</v>
      </c>
      <c r="B648" s="114"/>
      <c r="C648" s="114"/>
      <c r="D648" s="115"/>
    </row>
    <row r="649" spans="1:4" ht="42.75" customHeight="1" thickBot="1">
      <c r="A649" s="126" t="s">
        <v>19</v>
      </c>
      <c r="B649" s="127"/>
      <c r="C649" s="127"/>
      <c r="D649" s="128"/>
    </row>
    <row r="650" spans="1:4" ht="42.75" customHeight="1" thickBot="1">
      <c r="A650" s="123" t="s">
        <v>11</v>
      </c>
      <c r="B650" s="124"/>
      <c r="C650" s="125" t="s">
        <v>603</v>
      </c>
      <c r="D650" s="124"/>
    </row>
    <row r="651" spans="1:4" ht="42.75" customHeight="1" thickBot="1">
      <c r="A651" s="1" t="s">
        <v>686</v>
      </c>
      <c r="B651" s="26" t="s">
        <v>1</v>
      </c>
      <c r="C651" s="90" t="s">
        <v>569</v>
      </c>
      <c r="D651" s="91"/>
    </row>
    <row r="652" spans="1:4" ht="42.75" customHeight="1" thickBot="1">
      <c r="A652" s="26"/>
      <c r="B652" s="26" t="s">
        <v>0</v>
      </c>
      <c r="C652" s="5" t="s">
        <v>687</v>
      </c>
      <c r="D652" s="4" t="s">
        <v>2</v>
      </c>
    </row>
    <row r="653" spans="1:4" ht="42.75" customHeight="1" thickBot="1">
      <c r="A653" s="92">
        <v>660</v>
      </c>
      <c r="B653" s="93"/>
      <c r="C653" s="94" t="s">
        <v>3</v>
      </c>
      <c r="D653" s="95"/>
    </row>
    <row r="654" spans="1:4" ht="42.75" customHeight="1" thickBot="1">
      <c r="A654" s="92">
        <v>660</v>
      </c>
      <c r="B654" s="93"/>
      <c r="C654" s="96" t="s">
        <v>4</v>
      </c>
      <c r="D654" s="97"/>
    </row>
    <row r="655" spans="1:4" ht="42.75" customHeight="1" thickBot="1">
      <c r="A655" s="98">
        <f>A654-A653</f>
        <v>0</v>
      </c>
      <c r="B655" s="99"/>
      <c r="C655" s="100" t="s">
        <v>5</v>
      </c>
      <c r="D655" s="97"/>
    </row>
    <row r="656" spans="1:4" ht="42.75" customHeight="1" thickBot="1">
      <c r="A656" s="101">
        <v>62</v>
      </c>
      <c r="B656" s="102"/>
      <c r="C656" s="96" t="s">
        <v>6</v>
      </c>
      <c r="D656" s="97"/>
    </row>
    <row r="657" spans="1:4" ht="42.75" customHeight="1" thickBot="1">
      <c r="A657" s="103"/>
      <c r="B657" s="104"/>
      <c r="C657" s="96" t="s">
        <v>21</v>
      </c>
      <c r="D657" s="97"/>
    </row>
    <row r="658" spans="1:4" ht="42.75" customHeight="1" thickBot="1">
      <c r="A658" s="105">
        <f>A656*A655</f>
        <v>0</v>
      </c>
      <c r="B658" s="106"/>
      <c r="C658" s="96" t="s">
        <v>7</v>
      </c>
      <c r="D658" s="97"/>
    </row>
    <row r="659" spans="1:4" ht="42.75" customHeight="1" thickBot="1">
      <c r="A659" s="107" t="s">
        <v>17</v>
      </c>
      <c r="B659" s="108"/>
      <c r="C659" s="108"/>
      <c r="D659" s="109"/>
    </row>
    <row r="660" spans="1:4" ht="42.75" customHeight="1" thickBot="1">
      <c r="A660" s="116" t="s">
        <v>20</v>
      </c>
      <c r="B660" s="117"/>
      <c r="C660" s="117"/>
      <c r="D660" s="118"/>
    </row>
    <row r="661" spans="1:4" ht="42.75" customHeight="1" thickBot="1">
      <c r="A661" s="113" t="s">
        <v>18</v>
      </c>
      <c r="B661" s="114"/>
      <c r="C661" s="114"/>
      <c r="D661" s="115"/>
    </row>
    <row r="662" spans="1:4" ht="42.75" customHeight="1" thickBot="1">
      <c r="A662" s="119"/>
      <c r="B662" s="119"/>
      <c r="C662" s="119"/>
      <c r="D662" s="119"/>
    </row>
    <row r="663" spans="1:4" ht="42.75" customHeight="1" thickBot="1">
      <c r="A663" s="126" t="s">
        <v>19</v>
      </c>
      <c r="B663" s="127"/>
      <c r="C663" s="127"/>
      <c r="D663" s="128"/>
    </row>
    <row r="664" spans="1:4" ht="42.75" customHeight="1" thickBot="1">
      <c r="A664" s="123" t="s">
        <v>11</v>
      </c>
      <c r="B664" s="124"/>
      <c r="C664" s="125" t="s">
        <v>603</v>
      </c>
      <c r="D664" s="124"/>
    </row>
    <row r="665" spans="1:4" ht="42.75" customHeight="1" thickBot="1">
      <c r="A665" s="1" t="s">
        <v>686</v>
      </c>
      <c r="B665" s="26" t="s">
        <v>1</v>
      </c>
      <c r="C665" s="90" t="s">
        <v>569</v>
      </c>
      <c r="D665" s="91"/>
    </row>
    <row r="666" spans="1:4" ht="42.75" customHeight="1" thickBot="1">
      <c r="A666" s="26"/>
      <c r="B666" s="26" t="s">
        <v>0</v>
      </c>
      <c r="C666" s="5" t="s">
        <v>687</v>
      </c>
      <c r="D666" s="4" t="s">
        <v>2</v>
      </c>
    </row>
    <row r="667" spans="1:4" ht="42.75" customHeight="1" thickBot="1">
      <c r="A667" s="92">
        <v>585</v>
      </c>
      <c r="B667" s="93"/>
      <c r="C667" s="94" t="s">
        <v>3</v>
      </c>
      <c r="D667" s="95"/>
    </row>
    <row r="668" spans="1:4" ht="42.75" customHeight="1" thickBot="1">
      <c r="A668" s="92">
        <v>660</v>
      </c>
      <c r="B668" s="93"/>
      <c r="C668" s="96" t="s">
        <v>4</v>
      </c>
      <c r="D668" s="97"/>
    </row>
    <row r="669" spans="1:4" ht="42.75" customHeight="1" thickBot="1">
      <c r="A669" s="98">
        <f>A668-A667</f>
        <v>75</v>
      </c>
      <c r="B669" s="99"/>
      <c r="C669" s="100" t="s">
        <v>5</v>
      </c>
      <c r="D669" s="97"/>
    </row>
    <row r="670" spans="1:4" ht="42.75" customHeight="1" thickBot="1">
      <c r="A670" s="101">
        <v>62</v>
      </c>
      <c r="B670" s="102"/>
      <c r="C670" s="96" t="s">
        <v>6</v>
      </c>
      <c r="D670" s="97"/>
    </row>
    <row r="671" spans="1:4" ht="42.75" customHeight="1" thickBot="1">
      <c r="A671" s="103"/>
      <c r="B671" s="104"/>
      <c r="C671" s="96" t="s">
        <v>21</v>
      </c>
      <c r="D671" s="97"/>
    </row>
    <row r="672" spans="1:4" ht="42.75" customHeight="1" thickBot="1">
      <c r="A672" s="105">
        <f>A670*A669</f>
        <v>4650</v>
      </c>
      <c r="B672" s="106"/>
      <c r="C672" s="96" t="s">
        <v>7</v>
      </c>
      <c r="D672" s="97"/>
    </row>
    <row r="673" spans="1:4" ht="42.75" customHeight="1" thickBot="1">
      <c r="A673" s="107" t="s">
        <v>17</v>
      </c>
      <c r="B673" s="108"/>
      <c r="C673" s="108"/>
      <c r="D673" s="109"/>
    </row>
    <row r="674" spans="1:4" ht="42.75" customHeight="1" thickBot="1">
      <c r="A674" s="110" t="s">
        <v>20</v>
      </c>
      <c r="B674" s="111"/>
      <c r="C674" s="111"/>
      <c r="D674" s="112"/>
    </row>
    <row r="675" spans="1:4" ht="42.75" customHeight="1" thickBot="1">
      <c r="A675" s="113" t="s">
        <v>18</v>
      </c>
      <c r="B675" s="114"/>
      <c r="C675" s="114"/>
      <c r="D675" s="115"/>
    </row>
    <row r="676" spans="1:4" ht="42.75" customHeight="1" thickBot="1">
      <c r="A676" s="126" t="s">
        <v>19</v>
      </c>
      <c r="B676" s="127"/>
      <c r="C676" s="127"/>
      <c r="D676" s="128"/>
    </row>
    <row r="677" spans="1:4" ht="42.75" customHeight="1" thickBot="1">
      <c r="A677" s="123" t="s">
        <v>11</v>
      </c>
      <c r="B677" s="124"/>
      <c r="C677" s="125" t="s">
        <v>603</v>
      </c>
      <c r="D677" s="124"/>
    </row>
    <row r="678" spans="1:4" ht="42.75" customHeight="1" thickBot="1">
      <c r="A678" s="1" t="s">
        <v>686</v>
      </c>
      <c r="B678" s="26" t="s">
        <v>1</v>
      </c>
      <c r="C678" s="90" t="s">
        <v>291</v>
      </c>
      <c r="D678" s="91"/>
    </row>
    <row r="679" spans="1:4" ht="42.75" customHeight="1" thickBot="1">
      <c r="A679" s="26"/>
      <c r="B679" s="26" t="s">
        <v>0</v>
      </c>
      <c r="C679" s="5" t="s">
        <v>687</v>
      </c>
      <c r="D679" s="4" t="s">
        <v>2</v>
      </c>
    </row>
    <row r="680" spans="1:4" ht="42.75" customHeight="1" thickBot="1">
      <c r="A680" s="92">
        <v>146</v>
      </c>
      <c r="B680" s="93"/>
      <c r="C680" s="94" t="s">
        <v>3</v>
      </c>
      <c r="D680" s="95"/>
    </row>
    <row r="681" spans="1:4" ht="42.75" customHeight="1" thickBot="1">
      <c r="A681" s="92">
        <v>146</v>
      </c>
      <c r="B681" s="93"/>
      <c r="C681" s="96" t="s">
        <v>4</v>
      </c>
      <c r="D681" s="97"/>
    </row>
    <row r="682" spans="1:4" ht="42.75" customHeight="1" thickBot="1">
      <c r="A682" s="98">
        <f>A681-A680</f>
        <v>0</v>
      </c>
      <c r="B682" s="99"/>
      <c r="C682" s="100" t="s">
        <v>5</v>
      </c>
      <c r="D682" s="97"/>
    </row>
    <row r="683" spans="1:4" ht="42.75" customHeight="1" thickBot="1">
      <c r="A683" s="101">
        <v>62</v>
      </c>
      <c r="B683" s="102"/>
      <c r="C683" s="96" t="s">
        <v>6</v>
      </c>
      <c r="D683" s="97"/>
    </row>
    <row r="684" spans="1:4" ht="42.75" customHeight="1" thickBot="1">
      <c r="A684" s="103"/>
      <c r="B684" s="104"/>
      <c r="C684" s="96" t="s">
        <v>21</v>
      </c>
      <c r="D684" s="97"/>
    </row>
    <row r="685" spans="1:4" ht="42.75" customHeight="1" thickBot="1">
      <c r="A685" s="105">
        <f>A683*A682</f>
        <v>0</v>
      </c>
      <c r="B685" s="106"/>
      <c r="C685" s="96" t="s">
        <v>7</v>
      </c>
      <c r="D685" s="97"/>
    </row>
    <row r="686" spans="1:4" ht="42.75" customHeight="1" thickBot="1">
      <c r="A686" s="107" t="s">
        <v>17</v>
      </c>
      <c r="B686" s="108"/>
      <c r="C686" s="108"/>
      <c r="D686" s="109"/>
    </row>
    <row r="687" spans="1:4" ht="42.75" customHeight="1" thickBot="1">
      <c r="A687" s="116" t="s">
        <v>20</v>
      </c>
      <c r="B687" s="117"/>
      <c r="C687" s="117"/>
      <c r="D687" s="118"/>
    </row>
    <row r="688" spans="1:4" ht="42.75" customHeight="1" thickBot="1">
      <c r="A688" s="113" t="s">
        <v>18</v>
      </c>
      <c r="B688" s="114"/>
      <c r="C688" s="114"/>
      <c r="D688" s="115"/>
    </row>
    <row r="689" spans="1:4" ht="42.75" customHeight="1" thickBot="1">
      <c r="A689" s="119"/>
      <c r="B689" s="119"/>
      <c r="C689" s="119"/>
      <c r="D689" s="119"/>
    </row>
    <row r="690" spans="1:4" ht="42.75" customHeight="1" thickBot="1">
      <c r="A690" s="126" t="s">
        <v>19</v>
      </c>
      <c r="B690" s="127"/>
      <c r="C690" s="127"/>
      <c r="D690" s="128"/>
    </row>
    <row r="691" spans="1:4" ht="42.75" customHeight="1" thickBot="1">
      <c r="A691" s="123" t="s">
        <v>11</v>
      </c>
      <c r="B691" s="124"/>
      <c r="C691" s="125" t="s">
        <v>603</v>
      </c>
      <c r="D691" s="124"/>
    </row>
    <row r="692" spans="1:4" ht="42.75" customHeight="1" thickBot="1">
      <c r="A692" s="1" t="s">
        <v>686</v>
      </c>
      <c r="B692" s="26" t="s">
        <v>1</v>
      </c>
      <c r="C692" s="90" t="s">
        <v>291</v>
      </c>
      <c r="D692" s="91"/>
    </row>
    <row r="693" spans="1:4" ht="42.75" customHeight="1" thickBot="1">
      <c r="A693" s="26"/>
      <c r="B693" s="26" t="s">
        <v>0</v>
      </c>
      <c r="C693" s="5" t="s">
        <v>687</v>
      </c>
      <c r="D693" s="4" t="s">
        <v>2</v>
      </c>
    </row>
    <row r="694" spans="1:4" ht="42.75" customHeight="1" thickBot="1">
      <c r="A694" s="92">
        <v>142</v>
      </c>
      <c r="B694" s="93"/>
      <c r="C694" s="94" t="s">
        <v>3</v>
      </c>
      <c r="D694" s="95"/>
    </row>
    <row r="695" spans="1:4" ht="42.75" customHeight="1" thickBot="1">
      <c r="A695" s="92">
        <v>146</v>
      </c>
      <c r="B695" s="93"/>
      <c r="C695" s="96" t="s">
        <v>4</v>
      </c>
      <c r="D695" s="97"/>
    </row>
    <row r="696" spans="1:4" ht="42.75" customHeight="1" thickBot="1">
      <c r="A696" s="98">
        <v>10</v>
      </c>
      <c r="B696" s="99"/>
      <c r="C696" s="100" t="s">
        <v>5</v>
      </c>
      <c r="D696" s="97"/>
    </row>
    <row r="697" spans="1:4" ht="42.75" customHeight="1" thickBot="1">
      <c r="A697" s="101">
        <v>62</v>
      </c>
      <c r="B697" s="102"/>
      <c r="C697" s="96" t="s">
        <v>6</v>
      </c>
      <c r="D697" s="97"/>
    </row>
    <row r="698" spans="1:4" ht="42.75" customHeight="1" thickBot="1">
      <c r="A698" s="103"/>
      <c r="B698" s="104"/>
      <c r="C698" s="96" t="s">
        <v>21</v>
      </c>
      <c r="D698" s="97"/>
    </row>
    <row r="699" spans="1:4" ht="42.75" customHeight="1" thickBot="1">
      <c r="A699" s="105">
        <v>600</v>
      </c>
      <c r="B699" s="106"/>
      <c r="C699" s="96" t="s">
        <v>7</v>
      </c>
      <c r="D699" s="97"/>
    </row>
    <row r="700" spans="1:4" ht="42.75" customHeight="1" thickBot="1">
      <c r="A700" s="107" t="s">
        <v>17</v>
      </c>
      <c r="B700" s="108"/>
      <c r="C700" s="108"/>
      <c r="D700" s="109"/>
    </row>
    <row r="701" spans="1:4" ht="42.75" customHeight="1" thickBot="1">
      <c r="A701" s="110" t="s">
        <v>20</v>
      </c>
      <c r="B701" s="111"/>
      <c r="C701" s="111"/>
      <c r="D701" s="112"/>
    </row>
    <row r="702" spans="1:4" ht="42.75" customHeight="1" thickBot="1">
      <c r="A702" s="113" t="s">
        <v>18</v>
      </c>
      <c r="B702" s="114"/>
      <c r="C702" s="114"/>
      <c r="D702" s="115"/>
    </row>
    <row r="703" spans="1:4" ht="42.75" customHeight="1" thickBot="1">
      <c r="A703" s="126" t="s">
        <v>19</v>
      </c>
      <c r="B703" s="127"/>
      <c r="C703" s="127"/>
      <c r="D703" s="128"/>
    </row>
    <row r="704" spans="1:4" ht="42.75" customHeight="1" thickBot="1">
      <c r="A704" s="123" t="s">
        <v>11</v>
      </c>
      <c r="B704" s="124"/>
      <c r="C704" s="125" t="s">
        <v>603</v>
      </c>
      <c r="D704" s="124"/>
    </row>
    <row r="705" spans="1:4" ht="42.75" customHeight="1" thickBot="1">
      <c r="A705" s="1" t="s">
        <v>686</v>
      </c>
      <c r="B705" s="26" t="s">
        <v>1</v>
      </c>
      <c r="C705" s="90" t="s">
        <v>570</v>
      </c>
      <c r="D705" s="91"/>
    </row>
    <row r="706" spans="1:4" ht="42.75" customHeight="1" thickBot="1">
      <c r="A706" s="26"/>
      <c r="B706" s="26" t="s">
        <v>0</v>
      </c>
      <c r="C706" s="5" t="s">
        <v>687</v>
      </c>
      <c r="D706" s="4" t="s">
        <v>2</v>
      </c>
    </row>
    <row r="707" spans="1:4" ht="42.75" customHeight="1" thickBot="1">
      <c r="A707" s="92">
        <v>3430</v>
      </c>
      <c r="B707" s="93"/>
      <c r="C707" s="94" t="s">
        <v>3</v>
      </c>
      <c r="D707" s="95"/>
    </row>
    <row r="708" spans="1:4" ht="42.75" customHeight="1" thickBot="1">
      <c r="A708" s="92">
        <v>3430</v>
      </c>
      <c r="B708" s="93"/>
      <c r="C708" s="96" t="s">
        <v>4</v>
      </c>
      <c r="D708" s="97"/>
    </row>
    <row r="709" spans="1:4" ht="42.75" customHeight="1" thickBot="1">
      <c r="A709" s="98">
        <f>A708-A707</f>
        <v>0</v>
      </c>
      <c r="B709" s="99"/>
      <c r="C709" s="100" t="s">
        <v>5</v>
      </c>
      <c r="D709" s="97"/>
    </row>
    <row r="710" spans="1:4" ht="42.75" customHeight="1" thickBot="1">
      <c r="A710" s="101">
        <v>62</v>
      </c>
      <c r="B710" s="102"/>
      <c r="C710" s="96" t="s">
        <v>6</v>
      </c>
      <c r="D710" s="97"/>
    </row>
    <row r="711" spans="1:4" ht="42.75" customHeight="1" thickBot="1">
      <c r="A711" s="103"/>
      <c r="B711" s="104"/>
      <c r="C711" s="96" t="s">
        <v>21</v>
      </c>
      <c r="D711" s="97"/>
    </row>
    <row r="712" spans="1:4" ht="42.75" customHeight="1" thickBot="1">
      <c r="A712" s="105">
        <f>A710*A709</f>
        <v>0</v>
      </c>
      <c r="B712" s="106"/>
      <c r="C712" s="96" t="s">
        <v>7</v>
      </c>
      <c r="D712" s="97"/>
    </row>
    <row r="713" spans="1:4" ht="42.75" customHeight="1" thickBot="1">
      <c r="A713" s="107" t="s">
        <v>17</v>
      </c>
      <c r="B713" s="108"/>
      <c r="C713" s="108"/>
      <c r="D713" s="109"/>
    </row>
    <row r="714" spans="1:4" ht="42.75" customHeight="1" thickBot="1">
      <c r="A714" s="116" t="s">
        <v>20</v>
      </c>
      <c r="B714" s="117"/>
      <c r="C714" s="117"/>
      <c r="D714" s="118"/>
    </row>
    <row r="715" spans="1:4" ht="42.75" customHeight="1" thickBot="1">
      <c r="A715" s="113" t="s">
        <v>18</v>
      </c>
      <c r="B715" s="114"/>
      <c r="C715" s="114"/>
      <c r="D715" s="115"/>
    </row>
    <row r="716" spans="1:4" ht="42.75" customHeight="1" thickBot="1">
      <c r="A716" s="119"/>
      <c r="B716" s="119"/>
      <c r="C716" s="119"/>
      <c r="D716" s="119"/>
    </row>
    <row r="717" spans="1:4" ht="42.75" customHeight="1" thickBot="1">
      <c r="A717" s="126" t="s">
        <v>19</v>
      </c>
      <c r="B717" s="127"/>
      <c r="C717" s="127"/>
      <c r="D717" s="128"/>
    </row>
    <row r="718" spans="1:4" ht="42.75" customHeight="1" thickBot="1">
      <c r="A718" s="123" t="s">
        <v>11</v>
      </c>
      <c r="B718" s="124"/>
      <c r="C718" s="125" t="s">
        <v>603</v>
      </c>
      <c r="D718" s="124"/>
    </row>
    <row r="719" spans="1:4" ht="42.75" customHeight="1" thickBot="1">
      <c r="A719" s="1" t="s">
        <v>686</v>
      </c>
      <c r="B719" s="26" t="s">
        <v>1</v>
      </c>
      <c r="C719" s="90" t="s">
        <v>570</v>
      </c>
      <c r="D719" s="91"/>
    </row>
    <row r="720" spans="1:4" ht="42.75" customHeight="1" thickBot="1">
      <c r="A720" s="26"/>
      <c r="B720" s="26" t="s">
        <v>0</v>
      </c>
      <c r="C720" s="5" t="s">
        <v>687</v>
      </c>
      <c r="D720" s="4" t="s">
        <v>2</v>
      </c>
    </row>
    <row r="721" spans="1:4" ht="42.75" customHeight="1" thickBot="1">
      <c r="A721" s="92">
        <v>3402</v>
      </c>
      <c r="B721" s="93"/>
      <c r="C721" s="94" t="s">
        <v>3</v>
      </c>
      <c r="D721" s="95"/>
    </row>
    <row r="722" spans="1:4" ht="42.75" customHeight="1" thickBot="1">
      <c r="A722" s="92">
        <v>3430</v>
      </c>
      <c r="B722" s="93"/>
      <c r="C722" s="96" t="s">
        <v>4</v>
      </c>
      <c r="D722" s="97"/>
    </row>
    <row r="723" spans="1:4" ht="42.75" customHeight="1" thickBot="1">
      <c r="A723" s="98">
        <f>A722-A721</f>
        <v>28</v>
      </c>
      <c r="B723" s="99"/>
      <c r="C723" s="100" t="s">
        <v>5</v>
      </c>
      <c r="D723" s="97"/>
    </row>
    <row r="724" spans="1:4" ht="42.75" customHeight="1" thickBot="1">
      <c r="A724" s="101">
        <v>62</v>
      </c>
      <c r="B724" s="102"/>
      <c r="C724" s="96" t="s">
        <v>6</v>
      </c>
      <c r="D724" s="97"/>
    </row>
    <row r="725" spans="1:4" ht="42.75" customHeight="1" thickBot="1">
      <c r="A725" s="103"/>
      <c r="B725" s="104"/>
      <c r="C725" s="96" t="s">
        <v>21</v>
      </c>
      <c r="D725" s="97"/>
    </row>
    <row r="726" spans="1:4" ht="42.75" customHeight="1" thickBot="1">
      <c r="A726" s="105">
        <v>1730</v>
      </c>
      <c r="B726" s="106"/>
      <c r="C726" s="96" t="s">
        <v>7</v>
      </c>
      <c r="D726" s="97"/>
    </row>
    <row r="727" spans="1:4" ht="42.75" customHeight="1" thickBot="1">
      <c r="A727" s="107" t="s">
        <v>17</v>
      </c>
      <c r="B727" s="108"/>
      <c r="C727" s="108"/>
      <c r="D727" s="109"/>
    </row>
    <row r="728" spans="1:4" ht="42.75" customHeight="1" thickBot="1">
      <c r="A728" s="110" t="s">
        <v>20</v>
      </c>
      <c r="B728" s="111"/>
      <c r="C728" s="111"/>
      <c r="D728" s="112"/>
    </row>
    <row r="729" spans="1:4" ht="42.75" customHeight="1" thickBot="1">
      <c r="A729" s="113" t="s">
        <v>18</v>
      </c>
      <c r="B729" s="114"/>
      <c r="C729" s="114"/>
      <c r="D729" s="115"/>
    </row>
    <row r="730" spans="1:4" ht="42.75" customHeight="1" thickBot="1">
      <c r="A730" s="126" t="s">
        <v>19</v>
      </c>
      <c r="B730" s="127"/>
      <c r="C730" s="127"/>
      <c r="D730" s="128"/>
    </row>
    <row r="731" spans="1:4" ht="42.75" customHeight="1" thickBot="1">
      <c r="A731" s="123" t="s">
        <v>11</v>
      </c>
      <c r="B731" s="124"/>
      <c r="C731" s="125" t="s">
        <v>603</v>
      </c>
      <c r="D731" s="124"/>
    </row>
    <row r="732" spans="1:4" ht="42.75" customHeight="1" thickBot="1">
      <c r="A732" s="1" t="s">
        <v>686</v>
      </c>
      <c r="B732" s="26" t="s">
        <v>1</v>
      </c>
      <c r="C732" s="90" t="s">
        <v>43</v>
      </c>
      <c r="D732" s="91"/>
    </row>
    <row r="733" spans="1:4" ht="42.75" customHeight="1" thickBot="1">
      <c r="A733" s="26"/>
      <c r="B733" s="26" t="s">
        <v>0</v>
      </c>
      <c r="C733" s="5" t="s">
        <v>687</v>
      </c>
      <c r="D733" s="4" t="s">
        <v>2</v>
      </c>
    </row>
    <row r="734" spans="1:4" ht="42.75" customHeight="1" thickBot="1">
      <c r="A734" s="92">
        <v>1692</v>
      </c>
      <c r="B734" s="93"/>
      <c r="C734" s="94" t="s">
        <v>3</v>
      </c>
      <c r="D734" s="95"/>
    </row>
    <row r="735" spans="1:4" ht="42.75" customHeight="1" thickBot="1">
      <c r="A735" s="92">
        <v>1692</v>
      </c>
      <c r="B735" s="93"/>
      <c r="C735" s="96" t="s">
        <v>4</v>
      </c>
      <c r="D735" s="97"/>
    </row>
    <row r="736" spans="1:4" ht="42.75" customHeight="1" thickBot="1">
      <c r="A736" s="98">
        <f>A735-A734</f>
        <v>0</v>
      </c>
      <c r="B736" s="99"/>
      <c r="C736" s="100" t="s">
        <v>5</v>
      </c>
      <c r="D736" s="97"/>
    </row>
    <row r="737" spans="1:4" ht="42.75" customHeight="1" thickBot="1">
      <c r="A737" s="101">
        <v>62</v>
      </c>
      <c r="B737" s="102"/>
      <c r="C737" s="96" t="s">
        <v>6</v>
      </c>
      <c r="D737" s="97"/>
    </row>
    <row r="738" spans="1:4" ht="42.75" customHeight="1" thickBot="1">
      <c r="A738" s="103"/>
      <c r="B738" s="104"/>
      <c r="C738" s="96" t="s">
        <v>21</v>
      </c>
      <c r="D738" s="97"/>
    </row>
    <row r="739" spans="1:4" ht="42.75" customHeight="1" thickBot="1">
      <c r="A739" s="105">
        <f>A737*A736</f>
        <v>0</v>
      </c>
      <c r="B739" s="106"/>
      <c r="C739" s="96" t="s">
        <v>7</v>
      </c>
      <c r="D739" s="97"/>
    </row>
    <row r="740" spans="1:4" ht="42.75" customHeight="1" thickBot="1">
      <c r="A740" s="107" t="s">
        <v>17</v>
      </c>
      <c r="B740" s="108"/>
      <c r="C740" s="108"/>
      <c r="D740" s="109"/>
    </row>
    <row r="741" spans="1:4" ht="42.75" customHeight="1" thickBot="1">
      <c r="A741" s="116" t="s">
        <v>20</v>
      </c>
      <c r="B741" s="117"/>
      <c r="C741" s="117"/>
      <c r="D741" s="118"/>
    </row>
    <row r="742" spans="1:4" ht="42.75" customHeight="1" thickBot="1">
      <c r="A742" s="113" t="s">
        <v>18</v>
      </c>
      <c r="B742" s="114"/>
      <c r="C742" s="114"/>
      <c r="D742" s="115"/>
    </row>
    <row r="743" spans="1:4" ht="42.75" customHeight="1" thickBot="1">
      <c r="A743" s="119"/>
      <c r="B743" s="119"/>
      <c r="C743" s="119"/>
      <c r="D743" s="119"/>
    </row>
    <row r="744" spans="1:4" ht="42.75" customHeight="1" thickBot="1">
      <c r="A744" s="126" t="s">
        <v>19</v>
      </c>
      <c r="B744" s="127"/>
      <c r="C744" s="127"/>
      <c r="D744" s="128"/>
    </row>
    <row r="745" spans="1:4" ht="42.75" customHeight="1" thickBot="1">
      <c r="A745" s="123" t="s">
        <v>11</v>
      </c>
      <c r="B745" s="124"/>
      <c r="C745" s="125" t="s">
        <v>603</v>
      </c>
      <c r="D745" s="124"/>
    </row>
    <row r="746" spans="1:4" ht="42.75" customHeight="1" thickBot="1">
      <c r="A746" s="1" t="s">
        <v>686</v>
      </c>
      <c r="B746" s="26" t="s">
        <v>1</v>
      </c>
      <c r="C746" s="90" t="s">
        <v>43</v>
      </c>
      <c r="D746" s="91"/>
    </row>
    <row r="747" spans="1:4" ht="42.75" customHeight="1" thickBot="1">
      <c r="A747" s="26"/>
      <c r="B747" s="26" t="s">
        <v>0</v>
      </c>
      <c r="C747" s="5" t="s">
        <v>687</v>
      </c>
      <c r="D747" s="4" t="s">
        <v>2</v>
      </c>
    </row>
    <row r="748" spans="1:4" ht="42.75" customHeight="1" thickBot="1">
      <c r="A748" s="92">
        <v>1686</v>
      </c>
      <c r="B748" s="93"/>
      <c r="C748" s="94" t="s">
        <v>3</v>
      </c>
      <c r="D748" s="95"/>
    </row>
    <row r="749" spans="1:4" ht="42.75" customHeight="1" thickBot="1">
      <c r="A749" s="92">
        <v>1692</v>
      </c>
      <c r="B749" s="93"/>
      <c r="C749" s="96" t="s">
        <v>4</v>
      </c>
      <c r="D749" s="97"/>
    </row>
    <row r="750" spans="1:4" ht="42.75" customHeight="1" thickBot="1">
      <c r="A750" s="98">
        <v>10</v>
      </c>
      <c r="B750" s="99"/>
      <c r="C750" s="100" t="s">
        <v>5</v>
      </c>
      <c r="D750" s="97"/>
    </row>
    <row r="751" spans="1:4" ht="42.75" customHeight="1" thickBot="1">
      <c r="A751" s="101">
        <v>62</v>
      </c>
      <c r="B751" s="102"/>
      <c r="C751" s="96" t="s">
        <v>6</v>
      </c>
      <c r="D751" s="97"/>
    </row>
    <row r="752" spans="1:4" ht="42.75" customHeight="1" thickBot="1">
      <c r="A752" s="103"/>
      <c r="B752" s="104"/>
      <c r="C752" s="96" t="s">
        <v>21</v>
      </c>
      <c r="D752" s="97"/>
    </row>
    <row r="753" spans="1:4" ht="42.75" customHeight="1" thickBot="1">
      <c r="A753" s="105">
        <v>600</v>
      </c>
      <c r="B753" s="106"/>
      <c r="C753" s="96" t="s">
        <v>7</v>
      </c>
      <c r="D753" s="97"/>
    </row>
    <row r="754" spans="1:4" ht="42.75" customHeight="1" thickBot="1">
      <c r="A754" s="107" t="s">
        <v>17</v>
      </c>
      <c r="B754" s="108"/>
      <c r="C754" s="108"/>
      <c r="D754" s="109"/>
    </row>
    <row r="755" spans="1:4" ht="42.75" customHeight="1" thickBot="1">
      <c r="A755" s="110" t="s">
        <v>20</v>
      </c>
      <c r="B755" s="111"/>
      <c r="C755" s="111"/>
      <c r="D755" s="112"/>
    </row>
    <row r="756" spans="1:4" ht="42.75" customHeight="1" thickBot="1">
      <c r="A756" s="113" t="s">
        <v>18</v>
      </c>
      <c r="B756" s="114"/>
      <c r="C756" s="114"/>
      <c r="D756" s="115"/>
    </row>
    <row r="757" spans="1:4" ht="42.75" customHeight="1" thickBot="1">
      <c r="A757" s="126" t="s">
        <v>19</v>
      </c>
      <c r="B757" s="127"/>
      <c r="C757" s="127"/>
      <c r="D757" s="128"/>
    </row>
    <row r="758" spans="1:4" ht="42.75" customHeight="1" thickBot="1">
      <c r="A758" s="123" t="s">
        <v>11</v>
      </c>
      <c r="B758" s="124"/>
      <c r="C758" s="125" t="s">
        <v>603</v>
      </c>
      <c r="D758" s="124"/>
    </row>
    <row r="759" spans="1:4" ht="42.75" customHeight="1" thickBot="1">
      <c r="A759" s="1" t="s">
        <v>686</v>
      </c>
      <c r="B759" s="26" t="s">
        <v>1</v>
      </c>
      <c r="C759" s="90" t="s">
        <v>44</v>
      </c>
      <c r="D759" s="91"/>
    </row>
    <row r="760" spans="1:4" ht="42.75" customHeight="1" thickBot="1">
      <c r="A760" s="26"/>
      <c r="B760" s="26" t="s">
        <v>0</v>
      </c>
      <c r="C760" s="5" t="s">
        <v>687</v>
      </c>
      <c r="D760" s="4" t="s">
        <v>2</v>
      </c>
    </row>
    <row r="761" spans="1:4" ht="42.75" customHeight="1" thickBot="1">
      <c r="A761" s="92">
        <v>1489</v>
      </c>
      <c r="B761" s="93"/>
      <c r="C761" s="94" t="s">
        <v>3</v>
      </c>
      <c r="D761" s="95"/>
    </row>
    <row r="762" spans="1:4" ht="42.75" customHeight="1" thickBot="1">
      <c r="A762" s="92">
        <v>1489</v>
      </c>
      <c r="B762" s="93"/>
      <c r="C762" s="96" t="s">
        <v>4</v>
      </c>
      <c r="D762" s="97"/>
    </row>
    <row r="763" spans="1:4" ht="42.75" customHeight="1" thickBot="1">
      <c r="A763" s="98">
        <f>A762-A761</f>
        <v>0</v>
      </c>
      <c r="B763" s="99"/>
      <c r="C763" s="100" t="s">
        <v>5</v>
      </c>
      <c r="D763" s="97"/>
    </row>
    <row r="764" spans="1:4" ht="42.75" customHeight="1" thickBot="1">
      <c r="A764" s="101">
        <v>62</v>
      </c>
      <c r="B764" s="102"/>
      <c r="C764" s="96" t="s">
        <v>6</v>
      </c>
      <c r="D764" s="97"/>
    </row>
    <row r="765" spans="1:4" ht="42.75" customHeight="1" thickBot="1">
      <c r="A765" s="103"/>
      <c r="B765" s="104"/>
      <c r="C765" s="96" t="s">
        <v>21</v>
      </c>
      <c r="D765" s="97"/>
    </row>
    <row r="766" spans="1:4" ht="42.75" customHeight="1" thickBot="1">
      <c r="A766" s="105">
        <f>A764*A763</f>
        <v>0</v>
      </c>
      <c r="B766" s="106"/>
      <c r="C766" s="96" t="s">
        <v>7</v>
      </c>
      <c r="D766" s="97"/>
    </row>
    <row r="767" spans="1:4" ht="42.75" customHeight="1" thickBot="1">
      <c r="A767" s="107" t="s">
        <v>17</v>
      </c>
      <c r="B767" s="108"/>
      <c r="C767" s="108"/>
      <c r="D767" s="109"/>
    </row>
    <row r="768" spans="1:4" ht="42.75" customHeight="1" thickBot="1">
      <c r="A768" s="116" t="s">
        <v>20</v>
      </c>
      <c r="B768" s="117"/>
      <c r="C768" s="117"/>
      <c r="D768" s="118"/>
    </row>
    <row r="769" spans="1:4" ht="42.75" customHeight="1" thickBot="1">
      <c r="A769" s="113" t="s">
        <v>18</v>
      </c>
      <c r="B769" s="114"/>
      <c r="C769" s="114"/>
      <c r="D769" s="115"/>
    </row>
    <row r="770" spans="1:4" ht="42.75" customHeight="1" thickBot="1">
      <c r="A770" s="119"/>
      <c r="B770" s="119"/>
      <c r="C770" s="119"/>
      <c r="D770" s="119"/>
    </row>
    <row r="771" spans="1:4" ht="42.75" customHeight="1" thickBot="1">
      <c r="A771" s="126" t="s">
        <v>19</v>
      </c>
      <c r="B771" s="127"/>
      <c r="C771" s="127"/>
      <c r="D771" s="128"/>
    </row>
    <row r="772" spans="1:4" ht="42.75" customHeight="1" thickBot="1">
      <c r="A772" s="123" t="s">
        <v>11</v>
      </c>
      <c r="B772" s="124"/>
      <c r="C772" s="125" t="s">
        <v>603</v>
      </c>
      <c r="D772" s="124"/>
    </row>
    <row r="773" spans="1:4" ht="42.75" customHeight="1" thickBot="1">
      <c r="A773" s="1" t="s">
        <v>686</v>
      </c>
      <c r="B773" s="26" t="s">
        <v>1</v>
      </c>
      <c r="C773" s="90" t="s">
        <v>44</v>
      </c>
      <c r="D773" s="91"/>
    </row>
    <row r="774" spans="1:4" ht="42.75" customHeight="1" thickBot="1">
      <c r="A774" s="26"/>
      <c r="B774" s="26" t="s">
        <v>0</v>
      </c>
      <c r="C774" s="5" t="s">
        <v>687</v>
      </c>
      <c r="D774" s="4" t="s">
        <v>2</v>
      </c>
    </row>
    <row r="775" spans="1:4" ht="42.75" customHeight="1" thickBot="1">
      <c r="A775" s="92">
        <v>1483</v>
      </c>
      <c r="B775" s="93"/>
      <c r="C775" s="94" t="s">
        <v>3</v>
      </c>
      <c r="D775" s="95"/>
    </row>
    <row r="776" spans="1:4" ht="42.75" customHeight="1" thickBot="1">
      <c r="A776" s="92">
        <v>1489</v>
      </c>
      <c r="B776" s="93"/>
      <c r="C776" s="96" t="s">
        <v>4</v>
      </c>
      <c r="D776" s="97"/>
    </row>
    <row r="777" spans="1:4" ht="42.75" customHeight="1" thickBot="1">
      <c r="A777" s="98">
        <v>10</v>
      </c>
      <c r="B777" s="99"/>
      <c r="C777" s="100" t="s">
        <v>5</v>
      </c>
      <c r="D777" s="97"/>
    </row>
    <row r="778" spans="1:4" ht="42.75" customHeight="1" thickBot="1">
      <c r="A778" s="101">
        <v>62</v>
      </c>
      <c r="B778" s="102"/>
      <c r="C778" s="96" t="s">
        <v>6</v>
      </c>
      <c r="D778" s="97"/>
    </row>
    <row r="779" spans="1:4" ht="42.75" customHeight="1" thickBot="1">
      <c r="A779" s="103"/>
      <c r="B779" s="104"/>
      <c r="C779" s="96" t="s">
        <v>21</v>
      </c>
      <c r="D779" s="97"/>
    </row>
    <row r="780" spans="1:4" ht="42.75" customHeight="1" thickBot="1">
      <c r="A780" s="105">
        <v>600</v>
      </c>
      <c r="B780" s="106"/>
      <c r="C780" s="96" t="s">
        <v>7</v>
      </c>
      <c r="D780" s="97"/>
    </row>
    <row r="781" spans="1:4" ht="42.75" customHeight="1" thickBot="1">
      <c r="A781" s="107" t="s">
        <v>17</v>
      </c>
      <c r="B781" s="108"/>
      <c r="C781" s="108"/>
      <c r="D781" s="109"/>
    </row>
    <row r="782" spans="1:4" ht="42.75" customHeight="1" thickBot="1">
      <c r="A782" s="110" t="s">
        <v>20</v>
      </c>
      <c r="B782" s="111"/>
      <c r="C782" s="111"/>
      <c r="D782" s="112"/>
    </row>
    <row r="783" spans="1:4" ht="42.75" customHeight="1" thickBot="1">
      <c r="A783" s="113" t="s">
        <v>18</v>
      </c>
      <c r="B783" s="114"/>
      <c r="C783" s="114"/>
      <c r="D783" s="115"/>
    </row>
    <row r="784" spans="1:4" ht="42.75" customHeight="1" thickBot="1">
      <c r="A784" s="126" t="s">
        <v>19</v>
      </c>
      <c r="B784" s="127"/>
      <c r="C784" s="127"/>
      <c r="D784" s="128"/>
    </row>
    <row r="785" spans="1:4" ht="42.75" customHeight="1" thickBot="1">
      <c r="A785" s="123" t="s">
        <v>11</v>
      </c>
      <c r="B785" s="124"/>
      <c r="C785" s="125" t="s">
        <v>603</v>
      </c>
      <c r="D785" s="124"/>
    </row>
    <row r="786" spans="1:4" ht="42.75" customHeight="1" thickBot="1">
      <c r="A786" s="1" t="s">
        <v>686</v>
      </c>
      <c r="B786" s="26" t="s">
        <v>1</v>
      </c>
      <c r="C786" s="90" t="s">
        <v>45</v>
      </c>
      <c r="D786" s="91"/>
    </row>
    <row r="787" spans="1:4" ht="42.75" customHeight="1" thickBot="1">
      <c r="A787" s="26"/>
      <c r="B787" s="26" t="s">
        <v>0</v>
      </c>
      <c r="C787" s="5" t="s">
        <v>687</v>
      </c>
      <c r="D787" s="4" t="s">
        <v>2</v>
      </c>
    </row>
    <row r="788" spans="1:4" ht="42.75" customHeight="1" thickBot="1">
      <c r="A788" s="92">
        <v>1891</v>
      </c>
      <c r="B788" s="93"/>
      <c r="C788" s="94" t="s">
        <v>3</v>
      </c>
      <c r="D788" s="95"/>
    </row>
    <row r="789" spans="1:4" ht="42.75" customHeight="1" thickBot="1">
      <c r="A789" s="92">
        <v>1891</v>
      </c>
      <c r="B789" s="93"/>
      <c r="C789" s="96" t="s">
        <v>4</v>
      </c>
      <c r="D789" s="97"/>
    </row>
    <row r="790" spans="1:4" ht="42.75" customHeight="1" thickBot="1">
      <c r="A790" s="98">
        <f>A789-A788</f>
        <v>0</v>
      </c>
      <c r="B790" s="99"/>
      <c r="C790" s="100" t="s">
        <v>5</v>
      </c>
      <c r="D790" s="97"/>
    </row>
    <row r="791" spans="1:4" ht="42.75" customHeight="1" thickBot="1">
      <c r="A791" s="101">
        <v>62</v>
      </c>
      <c r="B791" s="102"/>
      <c r="C791" s="96" t="s">
        <v>6</v>
      </c>
      <c r="D791" s="97"/>
    </row>
    <row r="792" spans="1:4" ht="42.75" customHeight="1" thickBot="1">
      <c r="A792" s="103"/>
      <c r="B792" s="104"/>
      <c r="C792" s="96" t="s">
        <v>21</v>
      </c>
      <c r="D792" s="97"/>
    </row>
    <row r="793" spans="1:4" ht="42.75" customHeight="1" thickBot="1">
      <c r="A793" s="105">
        <f>A791*A790</f>
        <v>0</v>
      </c>
      <c r="B793" s="106"/>
      <c r="C793" s="96" t="s">
        <v>7</v>
      </c>
      <c r="D793" s="97"/>
    </row>
    <row r="794" spans="1:4" ht="42.75" customHeight="1" thickBot="1">
      <c r="A794" s="107" t="s">
        <v>17</v>
      </c>
      <c r="B794" s="108"/>
      <c r="C794" s="108"/>
      <c r="D794" s="109"/>
    </row>
    <row r="795" spans="1:4" ht="42.75" customHeight="1" thickBot="1">
      <c r="A795" s="116" t="s">
        <v>20</v>
      </c>
      <c r="B795" s="117"/>
      <c r="C795" s="117"/>
      <c r="D795" s="118"/>
    </row>
    <row r="796" spans="1:4" ht="42.75" customHeight="1" thickBot="1">
      <c r="A796" s="113" t="s">
        <v>18</v>
      </c>
      <c r="B796" s="114"/>
      <c r="C796" s="114"/>
      <c r="D796" s="115"/>
    </row>
    <row r="797" spans="1:4" ht="42.75" customHeight="1" thickBot="1">
      <c r="A797" s="119"/>
      <c r="B797" s="119"/>
      <c r="C797" s="119"/>
      <c r="D797" s="119"/>
    </row>
    <row r="798" spans="1:4" ht="42.75" customHeight="1" thickBot="1">
      <c r="A798" s="126" t="s">
        <v>19</v>
      </c>
      <c r="B798" s="127"/>
      <c r="C798" s="127"/>
      <c r="D798" s="128"/>
    </row>
    <row r="799" spans="1:4" ht="42.75" customHeight="1" thickBot="1">
      <c r="A799" s="123" t="s">
        <v>11</v>
      </c>
      <c r="B799" s="124"/>
      <c r="C799" s="125" t="s">
        <v>603</v>
      </c>
      <c r="D799" s="124"/>
    </row>
    <row r="800" spans="1:4" ht="42.75" customHeight="1" thickBot="1">
      <c r="A800" s="1" t="s">
        <v>686</v>
      </c>
      <c r="B800" s="26" t="s">
        <v>1</v>
      </c>
      <c r="C800" s="90" t="s">
        <v>45</v>
      </c>
      <c r="D800" s="91"/>
    </row>
    <row r="801" spans="1:4" ht="42.75" customHeight="1" thickBot="1">
      <c r="A801" s="26"/>
      <c r="B801" s="26" t="s">
        <v>0</v>
      </c>
      <c r="C801" s="5" t="s">
        <v>687</v>
      </c>
      <c r="D801" s="4" t="s">
        <v>2</v>
      </c>
    </row>
    <row r="802" spans="1:4" ht="42.75" customHeight="1" thickBot="1">
      <c r="A802" s="92">
        <v>1879</v>
      </c>
      <c r="B802" s="93"/>
      <c r="C802" s="94" t="s">
        <v>3</v>
      </c>
      <c r="D802" s="95"/>
    </row>
    <row r="803" spans="1:4" ht="42.75" customHeight="1" thickBot="1">
      <c r="A803" s="92">
        <v>1891</v>
      </c>
      <c r="B803" s="93"/>
      <c r="C803" s="96" t="s">
        <v>4</v>
      </c>
      <c r="D803" s="97"/>
    </row>
    <row r="804" spans="1:4" ht="42.75" customHeight="1" thickBot="1">
      <c r="A804" s="98">
        <f>A803-A802</f>
        <v>12</v>
      </c>
      <c r="B804" s="99"/>
      <c r="C804" s="100" t="s">
        <v>5</v>
      </c>
      <c r="D804" s="97"/>
    </row>
    <row r="805" spans="1:4" ht="42.75" customHeight="1" thickBot="1">
      <c r="A805" s="101">
        <v>62</v>
      </c>
      <c r="B805" s="102"/>
      <c r="C805" s="96" t="s">
        <v>6</v>
      </c>
      <c r="D805" s="97"/>
    </row>
    <row r="806" spans="1:4" ht="42.75" customHeight="1" thickBot="1">
      <c r="A806" s="103"/>
      <c r="B806" s="104"/>
      <c r="C806" s="96" t="s">
        <v>21</v>
      </c>
      <c r="D806" s="97"/>
    </row>
    <row r="807" spans="1:4" ht="42.75" customHeight="1" thickBot="1">
      <c r="A807" s="105">
        <v>750</v>
      </c>
      <c r="B807" s="106"/>
      <c r="C807" s="96" t="s">
        <v>7</v>
      </c>
      <c r="D807" s="97"/>
    </row>
    <row r="808" spans="1:4" ht="42.75" customHeight="1" thickBot="1">
      <c r="A808" s="107" t="s">
        <v>17</v>
      </c>
      <c r="B808" s="108"/>
      <c r="C808" s="108"/>
      <c r="D808" s="109"/>
    </row>
    <row r="809" spans="1:4" ht="42.75" customHeight="1" thickBot="1">
      <c r="A809" s="110" t="s">
        <v>20</v>
      </c>
      <c r="B809" s="111"/>
      <c r="C809" s="111"/>
      <c r="D809" s="112"/>
    </row>
    <row r="810" spans="1:4" ht="42.75" customHeight="1" thickBot="1">
      <c r="A810" s="113" t="s">
        <v>18</v>
      </c>
      <c r="B810" s="114"/>
      <c r="C810" s="114"/>
      <c r="D810" s="115"/>
    </row>
    <row r="811" spans="1:4" ht="42.75" customHeight="1" thickBot="1">
      <c r="A811" s="126" t="s">
        <v>19</v>
      </c>
      <c r="B811" s="127"/>
      <c r="C811" s="127"/>
      <c r="D811" s="128"/>
    </row>
    <row r="812" spans="1:4" ht="42.75" customHeight="1" thickBot="1">
      <c r="A812" s="123" t="s">
        <v>11</v>
      </c>
      <c r="B812" s="124"/>
      <c r="C812" s="125" t="s">
        <v>603</v>
      </c>
      <c r="D812" s="124"/>
    </row>
    <row r="813" spans="1:4" ht="42.75" customHeight="1" thickBot="1">
      <c r="A813" s="1" t="s">
        <v>686</v>
      </c>
      <c r="B813" s="26" t="s">
        <v>1</v>
      </c>
      <c r="C813" s="90" t="s">
        <v>46</v>
      </c>
      <c r="D813" s="91"/>
    </row>
    <row r="814" spans="1:4" ht="42.75" customHeight="1" thickBot="1">
      <c r="A814" s="26"/>
      <c r="B814" s="26" t="s">
        <v>0</v>
      </c>
      <c r="C814" s="5" t="s">
        <v>687</v>
      </c>
      <c r="D814" s="4" t="s">
        <v>2</v>
      </c>
    </row>
    <row r="815" spans="1:4" ht="42.75" customHeight="1" thickBot="1">
      <c r="A815" s="92">
        <v>1620</v>
      </c>
      <c r="B815" s="93"/>
      <c r="C815" s="94" t="s">
        <v>3</v>
      </c>
      <c r="D815" s="95"/>
    </row>
    <row r="816" spans="1:4" ht="42.75" customHeight="1" thickBot="1">
      <c r="A816" s="92">
        <v>1620</v>
      </c>
      <c r="B816" s="93"/>
      <c r="C816" s="96" t="s">
        <v>4</v>
      </c>
      <c r="D816" s="97"/>
    </row>
    <row r="817" spans="1:4" ht="42.75" customHeight="1" thickBot="1">
      <c r="A817" s="98">
        <f>A816-A815</f>
        <v>0</v>
      </c>
      <c r="B817" s="99"/>
      <c r="C817" s="100" t="s">
        <v>5</v>
      </c>
      <c r="D817" s="97"/>
    </row>
    <row r="818" spans="1:4" ht="42.75" customHeight="1" thickBot="1">
      <c r="A818" s="101">
        <v>62</v>
      </c>
      <c r="B818" s="102"/>
      <c r="C818" s="96" t="s">
        <v>6</v>
      </c>
      <c r="D818" s="97"/>
    </row>
    <row r="819" spans="1:4" ht="42.75" customHeight="1" thickBot="1">
      <c r="A819" s="103"/>
      <c r="B819" s="104"/>
      <c r="C819" s="96" t="s">
        <v>21</v>
      </c>
      <c r="D819" s="97"/>
    </row>
    <row r="820" spans="1:4" ht="42.75" customHeight="1" thickBot="1">
      <c r="A820" s="105">
        <f>A818*A817</f>
        <v>0</v>
      </c>
      <c r="B820" s="106"/>
      <c r="C820" s="96" t="s">
        <v>7</v>
      </c>
      <c r="D820" s="97"/>
    </row>
    <row r="821" spans="1:4" ht="42.75" customHeight="1" thickBot="1">
      <c r="A821" s="107" t="s">
        <v>17</v>
      </c>
      <c r="B821" s="108"/>
      <c r="C821" s="108"/>
      <c r="D821" s="109"/>
    </row>
    <row r="822" spans="1:4" ht="42.75" customHeight="1" thickBot="1">
      <c r="A822" s="116" t="s">
        <v>20</v>
      </c>
      <c r="B822" s="117"/>
      <c r="C822" s="117"/>
      <c r="D822" s="118"/>
    </row>
    <row r="823" spans="1:4" ht="42.75" customHeight="1" thickBot="1">
      <c r="A823" s="113" t="s">
        <v>18</v>
      </c>
      <c r="B823" s="114"/>
      <c r="C823" s="114"/>
      <c r="D823" s="115"/>
    </row>
    <row r="824" spans="1:4" ht="42.75" customHeight="1" thickBot="1">
      <c r="A824" s="119"/>
      <c r="B824" s="119"/>
      <c r="C824" s="119"/>
      <c r="D824" s="119"/>
    </row>
    <row r="825" spans="1:4" ht="42.75" customHeight="1" thickBot="1">
      <c r="A825" s="126" t="s">
        <v>19</v>
      </c>
      <c r="B825" s="127"/>
      <c r="C825" s="127"/>
      <c r="D825" s="128"/>
    </row>
    <row r="826" spans="1:4" ht="42.75" customHeight="1" thickBot="1">
      <c r="A826" s="123" t="s">
        <v>11</v>
      </c>
      <c r="B826" s="124"/>
      <c r="C826" s="125" t="s">
        <v>603</v>
      </c>
      <c r="D826" s="124"/>
    </row>
    <row r="827" spans="1:4" ht="42.75" customHeight="1" thickBot="1">
      <c r="A827" s="1" t="s">
        <v>686</v>
      </c>
      <c r="B827" s="26" t="s">
        <v>1</v>
      </c>
      <c r="C827" s="90" t="s">
        <v>46</v>
      </c>
      <c r="D827" s="91"/>
    </row>
    <row r="828" spans="1:4" ht="42.75" customHeight="1" thickBot="1">
      <c r="A828" s="26"/>
      <c r="B828" s="26" t="s">
        <v>0</v>
      </c>
      <c r="C828" s="5" t="s">
        <v>687</v>
      </c>
      <c r="D828" s="4" t="s">
        <v>2</v>
      </c>
    </row>
    <row r="829" spans="1:4" ht="42.75" customHeight="1" thickBot="1">
      <c r="A829" s="92">
        <v>1595</v>
      </c>
      <c r="B829" s="93"/>
      <c r="C829" s="94" t="s">
        <v>3</v>
      </c>
      <c r="D829" s="95"/>
    </row>
    <row r="830" spans="1:4" ht="42.75" customHeight="1" thickBot="1">
      <c r="A830" s="92">
        <v>1620</v>
      </c>
      <c r="B830" s="93"/>
      <c r="C830" s="96" t="s">
        <v>4</v>
      </c>
      <c r="D830" s="97"/>
    </row>
    <row r="831" spans="1:4" ht="42.75" customHeight="1" thickBot="1">
      <c r="A831" s="98">
        <f>A830-A829</f>
        <v>25</v>
      </c>
      <c r="B831" s="99"/>
      <c r="C831" s="100" t="s">
        <v>5</v>
      </c>
      <c r="D831" s="97"/>
    </row>
    <row r="832" spans="1:4" ht="42.75" customHeight="1" thickBot="1">
      <c r="A832" s="101">
        <v>62</v>
      </c>
      <c r="B832" s="102"/>
      <c r="C832" s="96" t="s">
        <v>6</v>
      </c>
      <c r="D832" s="97"/>
    </row>
    <row r="833" spans="1:4" ht="42.75" customHeight="1" thickBot="1">
      <c r="A833" s="103"/>
      <c r="B833" s="104"/>
      <c r="C833" s="96" t="s">
        <v>21</v>
      </c>
      <c r="D833" s="97"/>
    </row>
    <row r="834" spans="1:4" ht="42.75" customHeight="1" thickBot="1">
      <c r="A834" s="105">
        <f>A832*A831</f>
        <v>1550</v>
      </c>
      <c r="B834" s="106"/>
      <c r="C834" s="96" t="s">
        <v>7</v>
      </c>
      <c r="D834" s="97"/>
    </row>
    <row r="835" spans="1:4" ht="42.75" customHeight="1" thickBot="1">
      <c r="A835" s="107" t="s">
        <v>17</v>
      </c>
      <c r="B835" s="108"/>
      <c r="C835" s="108"/>
      <c r="D835" s="109"/>
    </row>
    <row r="836" spans="1:4" ht="42.75" customHeight="1" thickBot="1">
      <c r="A836" s="110" t="s">
        <v>20</v>
      </c>
      <c r="B836" s="111"/>
      <c r="C836" s="111"/>
      <c r="D836" s="112"/>
    </row>
    <row r="837" spans="1:4" ht="42.75" customHeight="1" thickBot="1">
      <c r="A837" s="113" t="s">
        <v>18</v>
      </c>
      <c r="B837" s="114"/>
      <c r="C837" s="114"/>
      <c r="D837" s="115"/>
    </row>
    <row r="838" spans="1:4" ht="42.75" customHeight="1" thickBot="1">
      <c r="A838" s="126" t="s">
        <v>19</v>
      </c>
      <c r="B838" s="127"/>
      <c r="C838" s="127"/>
      <c r="D838" s="128"/>
    </row>
    <row r="839" spans="1:4" ht="42.75" customHeight="1" thickBot="1">
      <c r="A839" s="123" t="s">
        <v>11</v>
      </c>
      <c r="B839" s="124"/>
      <c r="C839" s="125" t="s">
        <v>603</v>
      </c>
      <c r="D839" s="124"/>
    </row>
    <row r="840" spans="1:4" ht="42.75" customHeight="1" thickBot="1">
      <c r="A840" s="1" t="s">
        <v>686</v>
      </c>
      <c r="B840" s="26" t="s">
        <v>1</v>
      </c>
      <c r="C840" s="90" t="s">
        <v>47</v>
      </c>
      <c r="D840" s="91"/>
    </row>
    <row r="841" spans="1:4" ht="42.75" customHeight="1" thickBot="1">
      <c r="A841" s="26"/>
      <c r="B841" s="26" t="s">
        <v>0</v>
      </c>
      <c r="C841" s="5" t="s">
        <v>687</v>
      </c>
      <c r="D841" s="4" t="s">
        <v>2</v>
      </c>
    </row>
    <row r="842" spans="1:4" ht="42.75" customHeight="1" thickBot="1">
      <c r="A842" s="92">
        <v>2798</v>
      </c>
      <c r="B842" s="93"/>
      <c r="C842" s="94" t="s">
        <v>3</v>
      </c>
      <c r="D842" s="95"/>
    </row>
    <row r="843" spans="1:4" ht="42.75" customHeight="1" thickBot="1">
      <c r="A843" s="92">
        <v>2798</v>
      </c>
      <c r="B843" s="93"/>
      <c r="C843" s="96" t="s">
        <v>4</v>
      </c>
      <c r="D843" s="97"/>
    </row>
    <row r="844" spans="1:4" ht="42.75" customHeight="1" thickBot="1">
      <c r="A844" s="98">
        <f>A843-A842</f>
        <v>0</v>
      </c>
      <c r="B844" s="99"/>
      <c r="C844" s="100" t="s">
        <v>5</v>
      </c>
      <c r="D844" s="97"/>
    </row>
    <row r="845" spans="1:4" ht="42.75" customHeight="1" thickBot="1">
      <c r="A845" s="101">
        <v>62</v>
      </c>
      <c r="B845" s="102"/>
      <c r="C845" s="96" t="s">
        <v>6</v>
      </c>
      <c r="D845" s="97"/>
    </row>
    <row r="846" spans="1:4" ht="42.75" customHeight="1" thickBot="1">
      <c r="A846" s="103"/>
      <c r="B846" s="104"/>
      <c r="C846" s="96" t="s">
        <v>21</v>
      </c>
      <c r="D846" s="97"/>
    </row>
    <row r="847" spans="1:4" ht="42.75" customHeight="1" thickBot="1">
      <c r="A847" s="105">
        <f>A845*A844</f>
        <v>0</v>
      </c>
      <c r="B847" s="106"/>
      <c r="C847" s="96" t="s">
        <v>7</v>
      </c>
      <c r="D847" s="97"/>
    </row>
    <row r="848" spans="1:4" ht="42.75" customHeight="1" thickBot="1">
      <c r="A848" s="107" t="s">
        <v>17</v>
      </c>
      <c r="B848" s="108"/>
      <c r="C848" s="108"/>
      <c r="D848" s="109"/>
    </row>
    <row r="849" spans="1:4" ht="42.75" customHeight="1" thickBot="1">
      <c r="A849" s="116" t="s">
        <v>20</v>
      </c>
      <c r="B849" s="117"/>
      <c r="C849" s="117"/>
      <c r="D849" s="118"/>
    </row>
    <row r="850" spans="1:4" ht="42.75" customHeight="1" thickBot="1">
      <c r="A850" s="113" t="s">
        <v>18</v>
      </c>
      <c r="B850" s="114"/>
      <c r="C850" s="114"/>
      <c r="D850" s="115"/>
    </row>
    <row r="851" spans="1:4" ht="42.75" customHeight="1" thickBot="1">
      <c r="A851" s="119"/>
      <c r="B851" s="119"/>
      <c r="C851" s="119"/>
      <c r="D851" s="119"/>
    </row>
    <row r="852" spans="1:4" ht="42.75" customHeight="1" thickBot="1">
      <c r="A852" s="126" t="s">
        <v>19</v>
      </c>
      <c r="B852" s="127"/>
      <c r="C852" s="127"/>
      <c r="D852" s="128"/>
    </row>
    <row r="853" spans="1:4" ht="42.75" customHeight="1" thickBot="1">
      <c r="A853" s="123" t="s">
        <v>11</v>
      </c>
      <c r="B853" s="124"/>
      <c r="C853" s="125" t="s">
        <v>603</v>
      </c>
      <c r="D853" s="124"/>
    </row>
    <row r="854" spans="1:4" ht="42.75" customHeight="1" thickBot="1">
      <c r="A854" s="1" t="s">
        <v>686</v>
      </c>
      <c r="B854" s="26" t="s">
        <v>1</v>
      </c>
      <c r="C854" s="90" t="s">
        <v>47</v>
      </c>
      <c r="D854" s="91"/>
    </row>
    <row r="855" spans="1:4" ht="42.75" customHeight="1" thickBot="1">
      <c r="A855" s="26"/>
      <c r="B855" s="26" t="s">
        <v>0</v>
      </c>
      <c r="C855" s="5" t="s">
        <v>687</v>
      </c>
      <c r="D855" s="4" t="s">
        <v>2</v>
      </c>
    </row>
    <row r="856" spans="1:4" ht="42.75" customHeight="1" thickBot="1">
      <c r="A856" s="92">
        <v>2782</v>
      </c>
      <c r="B856" s="93"/>
      <c r="C856" s="94" t="s">
        <v>3</v>
      </c>
      <c r="D856" s="95"/>
    </row>
    <row r="857" spans="1:4" ht="42.75" customHeight="1" thickBot="1">
      <c r="A857" s="92">
        <v>2798</v>
      </c>
      <c r="B857" s="93"/>
      <c r="C857" s="96" t="s">
        <v>4</v>
      </c>
      <c r="D857" s="97"/>
    </row>
    <row r="858" spans="1:4" ht="42.75" customHeight="1" thickBot="1">
      <c r="A858" s="98">
        <f>A857-A856</f>
        <v>16</v>
      </c>
      <c r="B858" s="99"/>
      <c r="C858" s="100" t="s">
        <v>5</v>
      </c>
      <c r="D858" s="97"/>
    </row>
    <row r="859" spans="1:4" ht="42.75" customHeight="1" thickBot="1">
      <c r="A859" s="101">
        <v>62</v>
      </c>
      <c r="B859" s="102"/>
      <c r="C859" s="96" t="s">
        <v>6</v>
      </c>
      <c r="D859" s="97"/>
    </row>
    <row r="860" spans="1:4" ht="42.75" customHeight="1" thickBot="1">
      <c r="A860" s="103"/>
      <c r="B860" s="104"/>
      <c r="C860" s="96" t="s">
        <v>21</v>
      </c>
      <c r="D860" s="97"/>
    </row>
    <row r="861" spans="1:4" ht="42.75" customHeight="1" thickBot="1">
      <c r="A861" s="105">
        <v>1000</v>
      </c>
      <c r="B861" s="106"/>
      <c r="C861" s="96" t="s">
        <v>7</v>
      </c>
      <c r="D861" s="97"/>
    </row>
    <row r="862" spans="1:4" ht="42.75" customHeight="1" thickBot="1">
      <c r="A862" s="107" t="s">
        <v>17</v>
      </c>
      <c r="B862" s="108"/>
      <c r="C862" s="108"/>
      <c r="D862" s="109"/>
    </row>
    <row r="863" spans="1:4" ht="42.75" customHeight="1" thickBot="1">
      <c r="A863" s="110" t="s">
        <v>20</v>
      </c>
      <c r="B863" s="111"/>
      <c r="C863" s="111"/>
      <c r="D863" s="112"/>
    </row>
    <row r="864" spans="1:4" ht="42.75" customHeight="1" thickBot="1">
      <c r="A864" s="113" t="s">
        <v>18</v>
      </c>
      <c r="B864" s="114"/>
      <c r="C864" s="114"/>
      <c r="D864" s="115"/>
    </row>
    <row r="865" spans="1:4" ht="42.75" customHeight="1" thickBot="1">
      <c r="A865" s="126" t="s">
        <v>19</v>
      </c>
      <c r="B865" s="127"/>
      <c r="C865" s="127"/>
      <c r="D865" s="128"/>
    </row>
    <row r="866" spans="1:4" ht="42.75" customHeight="1" thickBot="1">
      <c r="A866" s="123" t="s">
        <v>11</v>
      </c>
      <c r="B866" s="124"/>
      <c r="C866" s="125" t="s">
        <v>603</v>
      </c>
      <c r="D866" s="124"/>
    </row>
    <row r="867" spans="1:4" ht="42.75" customHeight="1" thickBot="1">
      <c r="A867" s="1" t="s">
        <v>686</v>
      </c>
      <c r="B867" s="26" t="s">
        <v>1</v>
      </c>
      <c r="C867" s="90" t="s">
        <v>48</v>
      </c>
      <c r="D867" s="91"/>
    </row>
    <row r="868" spans="1:4" ht="42.75" customHeight="1" thickBot="1">
      <c r="A868" s="26"/>
      <c r="B868" s="26" t="s">
        <v>0</v>
      </c>
      <c r="C868" s="5" t="s">
        <v>687</v>
      </c>
      <c r="D868" s="4" t="s">
        <v>2</v>
      </c>
    </row>
    <row r="869" spans="1:4" ht="42.75" customHeight="1" thickBot="1">
      <c r="A869" s="92">
        <v>1340</v>
      </c>
      <c r="B869" s="93"/>
      <c r="C869" s="94" t="s">
        <v>3</v>
      </c>
      <c r="D869" s="95"/>
    </row>
    <row r="870" spans="1:4" ht="42.75" customHeight="1" thickBot="1">
      <c r="A870" s="92">
        <v>1340</v>
      </c>
      <c r="B870" s="93"/>
      <c r="C870" s="96" t="s">
        <v>4</v>
      </c>
      <c r="D870" s="97"/>
    </row>
    <row r="871" spans="1:4" ht="42.75" customHeight="1" thickBot="1">
      <c r="A871" s="98">
        <f>A870-A869</f>
        <v>0</v>
      </c>
      <c r="B871" s="99"/>
      <c r="C871" s="100" t="s">
        <v>5</v>
      </c>
      <c r="D871" s="97"/>
    </row>
    <row r="872" spans="1:4" ht="42.75" customHeight="1" thickBot="1">
      <c r="A872" s="101">
        <v>62</v>
      </c>
      <c r="B872" s="102"/>
      <c r="C872" s="96" t="s">
        <v>6</v>
      </c>
      <c r="D872" s="97"/>
    </row>
    <row r="873" spans="1:4" ht="42.75" customHeight="1" thickBot="1">
      <c r="A873" s="103"/>
      <c r="B873" s="104"/>
      <c r="C873" s="96" t="s">
        <v>21</v>
      </c>
      <c r="D873" s="97"/>
    </row>
    <row r="874" spans="1:4" ht="42.75" customHeight="1" thickBot="1">
      <c r="A874" s="105">
        <f>A872*A871</f>
        <v>0</v>
      </c>
      <c r="B874" s="106"/>
      <c r="C874" s="96" t="s">
        <v>7</v>
      </c>
      <c r="D874" s="97"/>
    </row>
    <row r="875" spans="1:4" ht="42.75" customHeight="1" thickBot="1">
      <c r="A875" s="107" t="s">
        <v>17</v>
      </c>
      <c r="B875" s="108"/>
      <c r="C875" s="108"/>
      <c r="D875" s="109"/>
    </row>
    <row r="876" spans="1:4" ht="42.75" customHeight="1" thickBot="1">
      <c r="A876" s="116" t="s">
        <v>20</v>
      </c>
      <c r="B876" s="117"/>
      <c r="C876" s="117"/>
      <c r="D876" s="118"/>
    </row>
    <row r="877" spans="1:4" ht="42.75" customHeight="1" thickBot="1">
      <c r="A877" s="113" t="s">
        <v>18</v>
      </c>
      <c r="B877" s="114"/>
      <c r="C877" s="114"/>
      <c r="D877" s="115"/>
    </row>
    <row r="878" spans="1:4" ht="42.75" customHeight="1" thickBot="1">
      <c r="A878" s="119"/>
      <c r="B878" s="119"/>
      <c r="C878" s="119"/>
      <c r="D878" s="119"/>
    </row>
    <row r="879" spans="1:4" ht="42.75" customHeight="1" thickBot="1">
      <c r="A879" s="126" t="s">
        <v>19</v>
      </c>
      <c r="B879" s="127"/>
      <c r="C879" s="127"/>
      <c r="D879" s="128"/>
    </row>
    <row r="880" spans="1:4" ht="42.75" customHeight="1" thickBot="1">
      <c r="A880" s="123" t="s">
        <v>11</v>
      </c>
      <c r="B880" s="124"/>
      <c r="C880" s="125" t="s">
        <v>603</v>
      </c>
      <c r="D880" s="124"/>
    </row>
    <row r="881" spans="1:4" ht="42.75" customHeight="1" thickBot="1">
      <c r="A881" s="1" t="s">
        <v>686</v>
      </c>
      <c r="B881" s="26" t="s">
        <v>1</v>
      </c>
      <c r="C881" s="90" t="s">
        <v>48</v>
      </c>
      <c r="D881" s="91"/>
    </row>
    <row r="882" spans="1:4" ht="42.75" customHeight="1" thickBot="1">
      <c r="A882" s="26"/>
      <c r="B882" s="26" t="s">
        <v>0</v>
      </c>
      <c r="C882" s="5" t="s">
        <v>687</v>
      </c>
      <c r="D882" s="4" t="s">
        <v>2</v>
      </c>
    </row>
    <row r="883" spans="1:4" ht="42.75" customHeight="1" thickBot="1">
      <c r="A883" s="92">
        <v>1327</v>
      </c>
      <c r="B883" s="93"/>
      <c r="C883" s="94" t="s">
        <v>3</v>
      </c>
      <c r="D883" s="95"/>
    </row>
    <row r="884" spans="1:4" ht="42.75" customHeight="1" thickBot="1">
      <c r="A884" s="92">
        <v>1340</v>
      </c>
      <c r="B884" s="93"/>
      <c r="C884" s="96" t="s">
        <v>4</v>
      </c>
      <c r="D884" s="97"/>
    </row>
    <row r="885" spans="1:4" ht="42.75" customHeight="1" thickBot="1">
      <c r="A885" s="98">
        <f>A884-A883</f>
        <v>13</v>
      </c>
      <c r="B885" s="99"/>
      <c r="C885" s="100" t="s">
        <v>5</v>
      </c>
      <c r="D885" s="97"/>
    </row>
    <row r="886" spans="1:4" ht="42.75" customHeight="1" thickBot="1">
      <c r="A886" s="101">
        <v>62</v>
      </c>
      <c r="B886" s="102"/>
      <c r="C886" s="96" t="s">
        <v>6</v>
      </c>
      <c r="D886" s="97"/>
    </row>
    <row r="887" spans="1:4" ht="42.75" customHeight="1" thickBot="1">
      <c r="A887" s="103"/>
      <c r="B887" s="104"/>
      <c r="C887" s="96" t="s">
        <v>21</v>
      </c>
      <c r="D887" s="97"/>
    </row>
    <row r="888" spans="1:4" ht="42.75" customHeight="1" thickBot="1">
      <c r="A888" s="105">
        <f>A886*A885</f>
        <v>806</v>
      </c>
      <c r="B888" s="106"/>
      <c r="C888" s="96" t="s">
        <v>7</v>
      </c>
      <c r="D888" s="97"/>
    </row>
    <row r="889" spans="1:4" ht="42.75" customHeight="1" thickBot="1">
      <c r="A889" s="107" t="s">
        <v>17</v>
      </c>
      <c r="B889" s="108"/>
      <c r="C889" s="108"/>
      <c r="D889" s="109"/>
    </row>
    <row r="890" spans="1:4" ht="42.75" customHeight="1" thickBot="1">
      <c r="A890" s="110" t="s">
        <v>20</v>
      </c>
      <c r="B890" s="111"/>
      <c r="C890" s="111"/>
      <c r="D890" s="112"/>
    </row>
    <row r="891" spans="1:4" ht="42.75" customHeight="1" thickBot="1">
      <c r="A891" s="113" t="s">
        <v>18</v>
      </c>
      <c r="B891" s="114"/>
      <c r="C891" s="114"/>
      <c r="D891" s="115"/>
    </row>
    <row r="892" spans="1:4" ht="42.75" customHeight="1" thickBot="1">
      <c r="A892" s="126" t="s">
        <v>19</v>
      </c>
      <c r="B892" s="127"/>
      <c r="C892" s="127"/>
      <c r="D892" s="128"/>
    </row>
    <row r="893" spans="1:4" ht="42.75" customHeight="1" thickBot="1">
      <c r="A893" s="123" t="s">
        <v>11</v>
      </c>
      <c r="B893" s="124"/>
      <c r="C893" s="125" t="s">
        <v>603</v>
      </c>
      <c r="D893" s="124"/>
    </row>
    <row r="894" spans="1:4" ht="42.75" customHeight="1" thickBot="1">
      <c r="A894" s="1" t="s">
        <v>686</v>
      </c>
      <c r="B894" s="26" t="s">
        <v>1</v>
      </c>
      <c r="C894" s="90" t="s">
        <v>49</v>
      </c>
      <c r="D894" s="91"/>
    </row>
    <row r="895" spans="1:4" ht="42.75" customHeight="1" thickBot="1">
      <c r="A895" s="26"/>
      <c r="B895" s="26" t="s">
        <v>0</v>
      </c>
      <c r="C895" s="5" t="s">
        <v>687</v>
      </c>
      <c r="D895" s="4" t="s">
        <v>2</v>
      </c>
    </row>
    <row r="896" spans="1:4" ht="42.75" customHeight="1" thickBot="1">
      <c r="A896" s="92">
        <v>1749</v>
      </c>
      <c r="B896" s="93"/>
      <c r="C896" s="94" t="s">
        <v>3</v>
      </c>
      <c r="D896" s="95"/>
    </row>
    <row r="897" spans="1:4" ht="42.75" customHeight="1" thickBot="1">
      <c r="A897" s="92">
        <v>1749</v>
      </c>
      <c r="B897" s="93"/>
      <c r="C897" s="96" t="s">
        <v>4</v>
      </c>
      <c r="D897" s="97"/>
    </row>
    <row r="898" spans="1:4" ht="42.75" customHeight="1" thickBot="1">
      <c r="A898" s="98">
        <f>A897-A896</f>
        <v>0</v>
      </c>
      <c r="B898" s="99"/>
      <c r="C898" s="100" t="s">
        <v>5</v>
      </c>
      <c r="D898" s="97"/>
    </row>
    <row r="899" spans="1:4" ht="42.75" customHeight="1" thickBot="1">
      <c r="A899" s="101">
        <v>62</v>
      </c>
      <c r="B899" s="102"/>
      <c r="C899" s="96" t="s">
        <v>6</v>
      </c>
      <c r="D899" s="97"/>
    </row>
    <row r="900" spans="1:4" ht="42.75" customHeight="1" thickBot="1">
      <c r="A900" s="103"/>
      <c r="B900" s="104"/>
      <c r="C900" s="96" t="s">
        <v>21</v>
      </c>
      <c r="D900" s="97"/>
    </row>
    <row r="901" spans="1:4" ht="42.75" customHeight="1" thickBot="1">
      <c r="A901" s="105">
        <f>A899*A898</f>
        <v>0</v>
      </c>
      <c r="B901" s="106"/>
      <c r="C901" s="96" t="s">
        <v>7</v>
      </c>
      <c r="D901" s="97"/>
    </row>
    <row r="902" spans="1:4" ht="42.75" customHeight="1" thickBot="1">
      <c r="A902" s="107" t="s">
        <v>17</v>
      </c>
      <c r="B902" s="108"/>
      <c r="C902" s="108"/>
      <c r="D902" s="109"/>
    </row>
    <row r="903" spans="1:4" ht="42.75" customHeight="1" thickBot="1">
      <c r="A903" s="116" t="s">
        <v>20</v>
      </c>
      <c r="B903" s="117"/>
      <c r="C903" s="117"/>
      <c r="D903" s="118"/>
    </row>
    <row r="904" spans="1:4" ht="42.75" customHeight="1" thickBot="1">
      <c r="A904" s="113" t="s">
        <v>18</v>
      </c>
      <c r="B904" s="114"/>
      <c r="C904" s="114"/>
      <c r="D904" s="115"/>
    </row>
    <row r="905" spans="1:4" ht="42.75" customHeight="1" thickBot="1">
      <c r="A905" s="119"/>
      <c r="B905" s="119"/>
      <c r="C905" s="119"/>
      <c r="D905" s="119"/>
    </row>
    <row r="906" spans="1:4" ht="42.75" customHeight="1" thickBot="1">
      <c r="A906" s="126" t="s">
        <v>19</v>
      </c>
      <c r="B906" s="127"/>
      <c r="C906" s="127"/>
      <c r="D906" s="128"/>
    </row>
    <row r="907" spans="1:4" ht="42.75" customHeight="1" thickBot="1">
      <c r="A907" s="123" t="s">
        <v>11</v>
      </c>
      <c r="B907" s="124"/>
      <c r="C907" s="125" t="s">
        <v>603</v>
      </c>
      <c r="D907" s="124"/>
    </row>
    <row r="908" spans="1:4" ht="42.75" customHeight="1" thickBot="1">
      <c r="A908" s="1" t="s">
        <v>686</v>
      </c>
      <c r="B908" s="26" t="s">
        <v>1</v>
      </c>
      <c r="C908" s="90" t="s">
        <v>49</v>
      </c>
      <c r="D908" s="91"/>
    </row>
    <row r="909" spans="1:4" ht="42.75" customHeight="1" thickBot="1">
      <c r="A909" s="26"/>
      <c r="B909" s="26" t="s">
        <v>0</v>
      </c>
      <c r="C909" s="5" t="s">
        <v>687</v>
      </c>
      <c r="D909" s="4" t="s">
        <v>2</v>
      </c>
    </row>
    <row r="910" spans="1:4" ht="42.75" customHeight="1" thickBot="1">
      <c r="A910" s="92">
        <v>1731</v>
      </c>
      <c r="B910" s="93"/>
      <c r="C910" s="94" t="s">
        <v>3</v>
      </c>
      <c r="D910" s="95"/>
    </row>
    <row r="911" spans="1:4" ht="42.75" customHeight="1" thickBot="1">
      <c r="A911" s="92">
        <v>1749</v>
      </c>
      <c r="B911" s="93"/>
      <c r="C911" s="96" t="s">
        <v>4</v>
      </c>
      <c r="D911" s="97"/>
    </row>
    <row r="912" spans="1:4" ht="42.75" customHeight="1" thickBot="1">
      <c r="A912" s="98">
        <f>A911-A910</f>
        <v>18</v>
      </c>
      <c r="B912" s="99"/>
      <c r="C912" s="100" t="s">
        <v>5</v>
      </c>
      <c r="D912" s="97"/>
    </row>
    <row r="913" spans="1:4" ht="42.75" customHeight="1" thickBot="1">
      <c r="A913" s="101">
        <v>62</v>
      </c>
      <c r="B913" s="102"/>
      <c r="C913" s="96" t="s">
        <v>6</v>
      </c>
      <c r="D913" s="97"/>
    </row>
    <row r="914" spans="1:4" ht="42.75" customHeight="1" thickBot="1">
      <c r="A914" s="103"/>
      <c r="B914" s="104"/>
      <c r="C914" s="96" t="s">
        <v>21</v>
      </c>
      <c r="D914" s="97"/>
    </row>
    <row r="915" spans="1:4" ht="42.75" customHeight="1" thickBot="1">
      <c r="A915" s="105">
        <v>1100</v>
      </c>
      <c r="B915" s="106"/>
      <c r="C915" s="96" t="s">
        <v>7</v>
      </c>
      <c r="D915" s="97"/>
    </row>
    <row r="916" spans="1:4" ht="42.75" customHeight="1" thickBot="1">
      <c r="A916" s="107" t="s">
        <v>17</v>
      </c>
      <c r="B916" s="108"/>
      <c r="C916" s="108"/>
      <c r="D916" s="109"/>
    </row>
    <row r="917" spans="1:4" ht="42.75" customHeight="1" thickBot="1">
      <c r="A917" s="110" t="s">
        <v>20</v>
      </c>
      <c r="B917" s="111"/>
      <c r="C917" s="111"/>
      <c r="D917" s="112"/>
    </row>
    <row r="918" spans="1:4" ht="42.75" customHeight="1" thickBot="1">
      <c r="A918" s="113" t="s">
        <v>18</v>
      </c>
      <c r="B918" s="114"/>
      <c r="C918" s="114"/>
      <c r="D918" s="115"/>
    </row>
    <row r="919" spans="1:4" ht="42.75" customHeight="1" thickBot="1">
      <c r="A919" s="126" t="s">
        <v>19</v>
      </c>
      <c r="B919" s="127"/>
      <c r="C919" s="127"/>
      <c r="D919" s="128"/>
    </row>
    <row r="920" spans="1:4" ht="42.75" customHeight="1" thickBot="1">
      <c r="A920" s="123" t="s">
        <v>11</v>
      </c>
      <c r="B920" s="124"/>
      <c r="C920" s="125" t="s">
        <v>603</v>
      </c>
      <c r="D920" s="124"/>
    </row>
    <row r="921" spans="1:4" ht="42.75" customHeight="1" thickBot="1">
      <c r="A921" s="1" t="s">
        <v>686</v>
      </c>
      <c r="B921" s="26" t="s">
        <v>1</v>
      </c>
      <c r="C921" s="90" t="s">
        <v>50</v>
      </c>
      <c r="D921" s="91"/>
    </row>
    <row r="922" spans="1:4" ht="42.75" customHeight="1" thickBot="1">
      <c r="A922" s="26"/>
      <c r="B922" s="26" t="s">
        <v>0</v>
      </c>
      <c r="C922" s="5" t="s">
        <v>687</v>
      </c>
      <c r="D922" s="4" t="s">
        <v>2</v>
      </c>
    </row>
    <row r="923" spans="1:4" ht="42.75" customHeight="1" thickBot="1">
      <c r="A923" s="92">
        <v>895</v>
      </c>
      <c r="B923" s="93"/>
      <c r="C923" s="94" t="s">
        <v>3</v>
      </c>
      <c r="D923" s="95"/>
    </row>
    <row r="924" spans="1:4" ht="42.75" customHeight="1" thickBot="1">
      <c r="A924" s="92">
        <v>895</v>
      </c>
      <c r="B924" s="93"/>
      <c r="C924" s="96" t="s">
        <v>4</v>
      </c>
      <c r="D924" s="97"/>
    </row>
    <row r="925" spans="1:4" ht="42.75" customHeight="1" thickBot="1">
      <c r="A925" s="98">
        <f>A924-A923</f>
        <v>0</v>
      </c>
      <c r="B925" s="99"/>
      <c r="C925" s="100" t="s">
        <v>5</v>
      </c>
      <c r="D925" s="97"/>
    </row>
    <row r="926" spans="1:4" ht="42.75" customHeight="1" thickBot="1">
      <c r="A926" s="101">
        <v>62</v>
      </c>
      <c r="B926" s="102"/>
      <c r="C926" s="96" t="s">
        <v>6</v>
      </c>
      <c r="D926" s="97"/>
    </row>
    <row r="927" spans="1:4" ht="42.75" customHeight="1" thickBot="1">
      <c r="A927" s="103"/>
      <c r="B927" s="104"/>
      <c r="C927" s="96" t="s">
        <v>21</v>
      </c>
      <c r="D927" s="97"/>
    </row>
    <row r="928" spans="1:4" ht="42.75" customHeight="1" thickBot="1">
      <c r="A928" s="105">
        <f>A926*A925</f>
        <v>0</v>
      </c>
      <c r="B928" s="106"/>
      <c r="C928" s="96" t="s">
        <v>7</v>
      </c>
      <c r="D928" s="97"/>
    </row>
    <row r="929" spans="1:4" ht="42.75" customHeight="1" thickBot="1">
      <c r="A929" s="107" t="s">
        <v>17</v>
      </c>
      <c r="B929" s="108"/>
      <c r="C929" s="108"/>
      <c r="D929" s="109"/>
    </row>
    <row r="930" spans="1:4" ht="42.75" customHeight="1" thickBot="1">
      <c r="A930" s="116" t="s">
        <v>20</v>
      </c>
      <c r="B930" s="117"/>
      <c r="C930" s="117"/>
      <c r="D930" s="118"/>
    </row>
    <row r="931" spans="1:4" ht="42.75" customHeight="1" thickBot="1">
      <c r="A931" s="113" t="s">
        <v>18</v>
      </c>
      <c r="B931" s="114"/>
      <c r="C931" s="114"/>
      <c r="D931" s="115"/>
    </row>
    <row r="932" spans="1:4" ht="42.75" customHeight="1" thickBot="1">
      <c r="A932" s="119"/>
      <c r="B932" s="119"/>
      <c r="C932" s="119"/>
      <c r="D932" s="119"/>
    </row>
    <row r="933" spans="1:4" ht="42.75" customHeight="1" thickBot="1">
      <c r="A933" s="126" t="s">
        <v>19</v>
      </c>
      <c r="B933" s="127"/>
      <c r="C933" s="127"/>
      <c r="D933" s="128"/>
    </row>
    <row r="934" spans="1:4" ht="42.75" customHeight="1" thickBot="1">
      <c r="A934" s="123" t="s">
        <v>11</v>
      </c>
      <c r="B934" s="124"/>
      <c r="C934" s="125" t="s">
        <v>603</v>
      </c>
      <c r="D934" s="124"/>
    </row>
    <row r="935" spans="1:4" ht="42.75" customHeight="1" thickBot="1">
      <c r="A935" s="1" t="s">
        <v>686</v>
      </c>
      <c r="B935" s="26" t="s">
        <v>1</v>
      </c>
      <c r="C935" s="90" t="s">
        <v>50</v>
      </c>
      <c r="D935" s="91"/>
    </row>
    <row r="936" spans="1:4" ht="42.75" customHeight="1" thickBot="1">
      <c r="A936" s="26"/>
      <c r="B936" s="26" t="s">
        <v>0</v>
      </c>
      <c r="C936" s="5" t="s">
        <v>687</v>
      </c>
      <c r="D936" s="4" t="s">
        <v>2</v>
      </c>
    </row>
    <row r="937" spans="1:4" ht="42.75" customHeight="1" thickBot="1">
      <c r="A937" s="92">
        <v>850</v>
      </c>
      <c r="B937" s="93"/>
      <c r="C937" s="94" t="s">
        <v>3</v>
      </c>
      <c r="D937" s="95"/>
    </row>
    <row r="938" spans="1:4" ht="42.75" customHeight="1" thickBot="1">
      <c r="A938" s="92">
        <v>895</v>
      </c>
      <c r="B938" s="93"/>
      <c r="C938" s="96" t="s">
        <v>4</v>
      </c>
      <c r="D938" s="97"/>
    </row>
    <row r="939" spans="1:4" ht="42.75" customHeight="1" thickBot="1">
      <c r="A939" s="98">
        <f>A938-A937</f>
        <v>45</v>
      </c>
      <c r="B939" s="99"/>
      <c r="C939" s="100" t="s">
        <v>5</v>
      </c>
      <c r="D939" s="97"/>
    </row>
    <row r="940" spans="1:4" ht="42.75" customHeight="1" thickBot="1">
      <c r="A940" s="101">
        <v>62</v>
      </c>
      <c r="B940" s="102"/>
      <c r="C940" s="96" t="s">
        <v>6</v>
      </c>
      <c r="D940" s="97"/>
    </row>
    <row r="941" spans="1:4" ht="42.75" customHeight="1" thickBot="1">
      <c r="A941" s="103"/>
      <c r="B941" s="104"/>
      <c r="C941" s="96" t="s">
        <v>21</v>
      </c>
      <c r="D941" s="97"/>
    </row>
    <row r="942" spans="1:4" ht="42.75" customHeight="1" thickBot="1">
      <c r="A942" s="105">
        <v>2800</v>
      </c>
      <c r="B942" s="106"/>
      <c r="C942" s="96" t="s">
        <v>7</v>
      </c>
      <c r="D942" s="97"/>
    </row>
    <row r="943" spans="1:4" ht="42.75" customHeight="1" thickBot="1">
      <c r="A943" s="107" t="s">
        <v>17</v>
      </c>
      <c r="B943" s="108"/>
      <c r="C943" s="108"/>
      <c r="D943" s="109"/>
    </row>
    <row r="944" spans="1:4" ht="42.75" customHeight="1" thickBot="1">
      <c r="A944" s="110" t="s">
        <v>20</v>
      </c>
      <c r="B944" s="111"/>
      <c r="C944" s="111"/>
      <c r="D944" s="112"/>
    </row>
    <row r="945" spans="1:4" ht="42.75" customHeight="1" thickBot="1">
      <c r="A945" s="113" t="s">
        <v>18</v>
      </c>
      <c r="B945" s="114"/>
      <c r="C945" s="114"/>
      <c r="D945" s="115"/>
    </row>
    <row r="946" spans="1:4" ht="42.75" customHeight="1" thickBot="1">
      <c r="A946" s="126" t="s">
        <v>19</v>
      </c>
      <c r="B946" s="127"/>
      <c r="C946" s="127"/>
      <c r="D946" s="128"/>
    </row>
    <row r="947" spans="1:4" ht="42.75" customHeight="1" thickBot="1">
      <c r="A947" s="123" t="s">
        <v>11</v>
      </c>
      <c r="B947" s="124"/>
      <c r="C947" s="125" t="s">
        <v>603</v>
      </c>
      <c r="D947" s="124"/>
    </row>
    <row r="948" spans="1:4" ht="42.75" customHeight="1" thickBot="1">
      <c r="A948" s="1" t="s">
        <v>686</v>
      </c>
      <c r="B948" s="26" t="s">
        <v>1</v>
      </c>
      <c r="C948" s="90" t="s">
        <v>51</v>
      </c>
      <c r="D948" s="91"/>
    </row>
    <row r="949" spans="1:4" ht="42.75" customHeight="1" thickBot="1">
      <c r="A949" s="26"/>
      <c r="B949" s="26" t="s">
        <v>0</v>
      </c>
      <c r="C949" s="5" t="s">
        <v>687</v>
      </c>
      <c r="D949" s="4" t="s">
        <v>2</v>
      </c>
    </row>
    <row r="950" spans="1:4" ht="42.75" customHeight="1" thickBot="1">
      <c r="A950" s="92">
        <v>1370</v>
      </c>
      <c r="B950" s="93"/>
      <c r="C950" s="94" t="s">
        <v>3</v>
      </c>
      <c r="D950" s="95"/>
    </row>
    <row r="951" spans="1:4" ht="42.75" customHeight="1" thickBot="1">
      <c r="A951" s="92">
        <v>1370</v>
      </c>
      <c r="B951" s="93"/>
      <c r="C951" s="96" t="s">
        <v>4</v>
      </c>
      <c r="D951" s="97"/>
    </row>
    <row r="952" spans="1:4" ht="42.75" customHeight="1" thickBot="1">
      <c r="A952" s="98">
        <f>A951-A950</f>
        <v>0</v>
      </c>
      <c r="B952" s="99"/>
      <c r="C952" s="100" t="s">
        <v>5</v>
      </c>
      <c r="D952" s="97"/>
    </row>
    <row r="953" spans="1:4" ht="42.75" customHeight="1" thickBot="1">
      <c r="A953" s="101">
        <v>62</v>
      </c>
      <c r="B953" s="102"/>
      <c r="C953" s="96" t="s">
        <v>6</v>
      </c>
      <c r="D953" s="97"/>
    </row>
    <row r="954" spans="1:4" ht="42.75" customHeight="1" thickBot="1">
      <c r="A954" s="103"/>
      <c r="B954" s="104"/>
      <c r="C954" s="96" t="s">
        <v>21</v>
      </c>
      <c r="D954" s="97"/>
    </row>
    <row r="955" spans="1:4" ht="42.75" customHeight="1" thickBot="1">
      <c r="A955" s="105">
        <f>A953*A952</f>
        <v>0</v>
      </c>
      <c r="B955" s="106"/>
      <c r="C955" s="96" t="s">
        <v>7</v>
      </c>
      <c r="D955" s="97"/>
    </row>
    <row r="956" spans="1:4" ht="42.75" customHeight="1" thickBot="1">
      <c r="A956" s="107" t="s">
        <v>17</v>
      </c>
      <c r="B956" s="108"/>
      <c r="C956" s="108"/>
      <c r="D956" s="109"/>
    </row>
    <row r="957" spans="1:4" ht="42.75" customHeight="1" thickBot="1">
      <c r="A957" s="116" t="s">
        <v>20</v>
      </c>
      <c r="B957" s="117"/>
      <c r="C957" s="117"/>
      <c r="D957" s="118"/>
    </row>
    <row r="958" spans="1:4" ht="42.75" customHeight="1" thickBot="1">
      <c r="A958" s="113" t="s">
        <v>18</v>
      </c>
      <c r="B958" s="114"/>
      <c r="C958" s="114"/>
      <c r="D958" s="115"/>
    </row>
    <row r="959" spans="1:4" ht="42.75" customHeight="1" thickBot="1">
      <c r="A959" s="119"/>
      <c r="B959" s="119"/>
      <c r="C959" s="119"/>
      <c r="D959" s="119"/>
    </row>
    <row r="960" spans="1:4" ht="42.75" customHeight="1" thickBot="1">
      <c r="A960" s="126" t="s">
        <v>19</v>
      </c>
      <c r="B960" s="127"/>
      <c r="C960" s="127"/>
      <c r="D960" s="128"/>
    </row>
    <row r="961" spans="1:4" ht="42.75" customHeight="1" thickBot="1">
      <c r="A961" s="123" t="s">
        <v>11</v>
      </c>
      <c r="B961" s="124"/>
      <c r="C961" s="125" t="s">
        <v>603</v>
      </c>
      <c r="D961" s="124"/>
    </row>
    <row r="962" spans="1:4" ht="42.75" customHeight="1" thickBot="1">
      <c r="A962" s="1" t="s">
        <v>686</v>
      </c>
      <c r="B962" s="26" t="s">
        <v>1</v>
      </c>
      <c r="C962" s="90" t="s">
        <v>51</v>
      </c>
      <c r="D962" s="91"/>
    </row>
    <row r="963" spans="1:4" ht="42.75" customHeight="1" thickBot="1">
      <c r="A963" s="26"/>
      <c r="B963" s="26" t="s">
        <v>0</v>
      </c>
      <c r="C963" s="5" t="s">
        <v>687</v>
      </c>
      <c r="D963" s="4" t="s">
        <v>2</v>
      </c>
    </row>
    <row r="964" spans="1:4" ht="42.75" customHeight="1" thickBot="1">
      <c r="A964" s="92">
        <v>1319</v>
      </c>
      <c r="B964" s="93"/>
      <c r="C964" s="94" t="s">
        <v>3</v>
      </c>
      <c r="D964" s="95"/>
    </row>
    <row r="965" spans="1:4" ht="42.75" customHeight="1" thickBot="1">
      <c r="A965" s="92">
        <v>1370</v>
      </c>
      <c r="B965" s="93"/>
      <c r="C965" s="96" t="s">
        <v>4</v>
      </c>
      <c r="D965" s="97"/>
    </row>
    <row r="966" spans="1:4" ht="42.75" customHeight="1" thickBot="1">
      <c r="A966" s="98">
        <f>A965-A964</f>
        <v>51</v>
      </c>
      <c r="B966" s="99"/>
      <c r="C966" s="100" t="s">
        <v>5</v>
      </c>
      <c r="D966" s="97"/>
    </row>
    <row r="967" spans="1:4" ht="42.75" customHeight="1" thickBot="1">
      <c r="A967" s="101">
        <v>62</v>
      </c>
      <c r="B967" s="102"/>
      <c r="C967" s="96" t="s">
        <v>6</v>
      </c>
      <c r="D967" s="97"/>
    </row>
    <row r="968" spans="1:4" ht="42.75" customHeight="1" thickBot="1">
      <c r="A968" s="103"/>
      <c r="B968" s="104"/>
      <c r="C968" s="96" t="s">
        <v>21</v>
      </c>
      <c r="D968" s="97"/>
    </row>
    <row r="969" spans="1:4" ht="42.75" customHeight="1" thickBot="1">
      <c r="A969" s="105">
        <v>3150</v>
      </c>
      <c r="B969" s="106"/>
      <c r="C969" s="96" t="s">
        <v>7</v>
      </c>
      <c r="D969" s="97"/>
    </row>
    <row r="970" spans="1:4" ht="42.75" customHeight="1" thickBot="1">
      <c r="A970" s="107" t="s">
        <v>17</v>
      </c>
      <c r="B970" s="108"/>
      <c r="C970" s="108"/>
      <c r="D970" s="109"/>
    </row>
    <row r="971" spans="1:4" ht="42.75" customHeight="1" thickBot="1">
      <c r="A971" s="110" t="s">
        <v>20</v>
      </c>
      <c r="B971" s="111"/>
      <c r="C971" s="111"/>
      <c r="D971" s="112"/>
    </row>
    <row r="972" spans="1:4" ht="42.75" customHeight="1" thickBot="1">
      <c r="A972" s="113" t="s">
        <v>18</v>
      </c>
      <c r="B972" s="114"/>
      <c r="C972" s="114"/>
      <c r="D972" s="115"/>
    </row>
    <row r="973" spans="1:4" ht="42.75" customHeight="1" thickBot="1">
      <c r="A973" s="126" t="s">
        <v>19</v>
      </c>
      <c r="B973" s="127"/>
      <c r="C973" s="127"/>
      <c r="D973" s="128"/>
    </row>
    <row r="974" spans="1:4" ht="42.75" customHeight="1" thickBot="1">
      <c r="A974" s="123" t="s">
        <v>11</v>
      </c>
      <c r="B974" s="124"/>
      <c r="C974" s="125" t="s">
        <v>603</v>
      </c>
      <c r="D974" s="124"/>
    </row>
    <row r="975" spans="1:4" ht="42.75" customHeight="1" thickBot="1">
      <c r="A975" s="1" t="s">
        <v>686</v>
      </c>
      <c r="B975" s="26" t="s">
        <v>1</v>
      </c>
      <c r="C975" s="90" t="s">
        <v>52</v>
      </c>
      <c r="D975" s="91"/>
    </row>
    <row r="976" spans="1:4" ht="42.75" customHeight="1" thickBot="1">
      <c r="A976" s="26"/>
      <c r="B976" s="26" t="s">
        <v>0</v>
      </c>
      <c r="C976" s="5" t="s">
        <v>687</v>
      </c>
      <c r="D976" s="4" t="s">
        <v>2</v>
      </c>
    </row>
    <row r="977" spans="1:4" ht="42.75" customHeight="1" thickBot="1">
      <c r="A977" s="92">
        <v>2590</v>
      </c>
      <c r="B977" s="93"/>
      <c r="C977" s="94" t="s">
        <v>3</v>
      </c>
      <c r="D977" s="95"/>
    </row>
    <row r="978" spans="1:4" ht="42.75" customHeight="1" thickBot="1">
      <c r="A978" s="92">
        <v>2590</v>
      </c>
      <c r="B978" s="93"/>
      <c r="C978" s="96" t="s">
        <v>4</v>
      </c>
      <c r="D978" s="97"/>
    </row>
    <row r="979" spans="1:4" ht="42.75" customHeight="1" thickBot="1">
      <c r="A979" s="98">
        <f>A978-A977</f>
        <v>0</v>
      </c>
      <c r="B979" s="99"/>
      <c r="C979" s="100" t="s">
        <v>5</v>
      </c>
      <c r="D979" s="97"/>
    </row>
    <row r="980" spans="1:4" ht="42.75" customHeight="1" thickBot="1">
      <c r="A980" s="101">
        <v>55</v>
      </c>
      <c r="B980" s="102"/>
      <c r="C980" s="96" t="s">
        <v>6</v>
      </c>
      <c r="D980" s="97"/>
    </row>
    <row r="981" spans="1:4" ht="42.75" customHeight="1" thickBot="1">
      <c r="A981" s="103"/>
      <c r="B981" s="104"/>
      <c r="C981" s="96" t="s">
        <v>21</v>
      </c>
      <c r="D981" s="97"/>
    </row>
    <row r="982" spans="1:4" ht="42.75" customHeight="1" thickBot="1">
      <c r="A982" s="105">
        <f>A980*A979</f>
        <v>0</v>
      </c>
      <c r="B982" s="106"/>
      <c r="C982" s="96" t="s">
        <v>7</v>
      </c>
      <c r="D982" s="97"/>
    </row>
    <row r="983" spans="1:4" ht="42.75" customHeight="1" thickBot="1">
      <c r="A983" s="107" t="s">
        <v>17</v>
      </c>
      <c r="B983" s="108"/>
      <c r="C983" s="108"/>
      <c r="D983" s="109"/>
    </row>
    <row r="984" spans="1:4" ht="42.75" customHeight="1" thickBot="1">
      <c r="A984" s="116" t="s">
        <v>20</v>
      </c>
      <c r="B984" s="117"/>
      <c r="C984" s="117"/>
      <c r="D984" s="118"/>
    </row>
    <row r="985" spans="1:4" ht="42.75" customHeight="1" thickBot="1">
      <c r="A985" s="113" t="s">
        <v>18</v>
      </c>
      <c r="B985" s="114"/>
      <c r="C985" s="114"/>
      <c r="D985" s="115"/>
    </row>
    <row r="986" spans="1:4" ht="42.75" customHeight="1" thickBot="1">
      <c r="A986" s="119"/>
      <c r="B986" s="119"/>
      <c r="C986" s="119"/>
      <c r="D986" s="119"/>
    </row>
    <row r="987" spans="1:4" ht="42.75" customHeight="1" thickBot="1">
      <c r="A987" s="126" t="s">
        <v>19</v>
      </c>
      <c r="B987" s="127"/>
      <c r="C987" s="127"/>
      <c r="D987" s="128"/>
    </row>
    <row r="988" spans="1:4" ht="42.75" customHeight="1" thickBot="1">
      <c r="A988" s="123" t="s">
        <v>11</v>
      </c>
      <c r="B988" s="124"/>
      <c r="C988" s="125" t="s">
        <v>603</v>
      </c>
      <c r="D988" s="124"/>
    </row>
    <row r="989" spans="1:4" ht="42.75" customHeight="1" thickBot="1">
      <c r="A989" s="1" t="s">
        <v>686</v>
      </c>
      <c r="B989" s="26" t="s">
        <v>1</v>
      </c>
      <c r="C989" s="90" t="s">
        <v>52</v>
      </c>
      <c r="D989" s="91"/>
    </row>
    <row r="990" spans="1:4" ht="42.75" customHeight="1" thickBot="1">
      <c r="A990" s="26"/>
      <c r="B990" s="26" t="s">
        <v>0</v>
      </c>
      <c r="C990" s="5" t="s">
        <v>687</v>
      </c>
      <c r="D990" s="4" t="s">
        <v>2</v>
      </c>
    </row>
    <row r="991" spans="1:4" ht="42.75" customHeight="1" thickBot="1">
      <c r="A991" s="92">
        <v>2530</v>
      </c>
      <c r="B991" s="93"/>
      <c r="C991" s="94" t="s">
        <v>3</v>
      </c>
      <c r="D991" s="95"/>
    </row>
    <row r="992" spans="1:4" ht="42.75" customHeight="1" thickBot="1">
      <c r="A992" s="92">
        <v>2590</v>
      </c>
      <c r="B992" s="93"/>
      <c r="C992" s="96" t="s">
        <v>4</v>
      </c>
      <c r="D992" s="97"/>
    </row>
    <row r="993" spans="1:4" ht="42.75" customHeight="1" thickBot="1">
      <c r="A993" s="98">
        <f>A992-A991</f>
        <v>60</v>
      </c>
      <c r="B993" s="99"/>
      <c r="C993" s="100" t="s">
        <v>5</v>
      </c>
      <c r="D993" s="97"/>
    </row>
    <row r="994" spans="1:4" ht="42.75" customHeight="1" thickBot="1">
      <c r="A994" s="101">
        <v>62</v>
      </c>
      <c r="B994" s="102"/>
      <c r="C994" s="96" t="s">
        <v>6</v>
      </c>
      <c r="D994" s="97"/>
    </row>
    <row r="995" spans="1:4" ht="42.75" customHeight="1" thickBot="1">
      <c r="A995" s="103"/>
      <c r="B995" s="104"/>
      <c r="C995" s="96" t="s">
        <v>21</v>
      </c>
      <c r="D995" s="97"/>
    </row>
    <row r="996" spans="1:4" ht="42.75" customHeight="1" thickBot="1">
      <c r="A996" s="105">
        <f>A994*A993</f>
        <v>3720</v>
      </c>
      <c r="B996" s="106"/>
      <c r="C996" s="96" t="s">
        <v>7</v>
      </c>
      <c r="D996" s="97"/>
    </row>
    <row r="997" spans="1:4" ht="42.75" customHeight="1" thickBot="1">
      <c r="A997" s="107" t="s">
        <v>17</v>
      </c>
      <c r="B997" s="108"/>
      <c r="C997" s="108"/>
      <c r="D997" s="109"/>
    </row>
    <row r="998" spans="1:4" ht="42.75" customHeight="1" thickBot="1">
      <c r="A998" s="110" t="s">
        <v>20</v>
      </c>
      <c r="B998" s="111"/>
      <c r="C998" s="111"/>
      <c r="D998" s="112"/>
    </row>
    <row r="999" spans="1:4" ht="42.75" customHeight="1" thickBot="1">
      <c r="A999" s="113" t="s">
        <v>18</v>
      </c>
      <c r="B999" s="114"/>
      <c r="C999" s="114"/>
      <c r="D999" s="115"/>
    </row>
    <row r="1000" spans="1:4" ht="42.75" customHeight="1" thickBot="1">
      <c r="A1000" s="126" t="s">
        <v>19</v>
      </c>
      <c r="B1000" s="127"/>
      <c r="C1000" s="127"/>
      <c r="D1000" s="128"/>
    </row>
    <row r="1001" spans="1:4" ht="42.75" customHeight="1" thickBot="1">
      <c r="A1001" s="123" t="s">
        <v>11</v>
      </c>
      <c r="B1001" s="124"/>
      <c r="C1001" s="125" t="s">
        <v>603</v>
      </c>
      <c r="D1001" s="124"/>
    </row>
    <row r="1002" spans="1:4" ht="42.75" customHeight="1" thickBot="1">
      <c r="A1002" s="1" t="s">
        <v>686</v>
      </c>
      <c r="B1002" s="26" t="s">
        <v>1</v>
      </c>
      <c r="C1002" s="90" t="s">
        <v>53</v>
      </c>
      <c r="D1002" s="91"/>
    </row>
    <row r="1003" spans="1:4" ht="42.75" customHeight="1" thickBot="1">
      <c r="A1003" s="26"/>
      <c r="B1003" s="26" t="s">
        <v>0</v>
      </c>
      <c r="C1003" s="5" t="s">
        <v>687</v>
      </c>
      <c r="D1003" s="4" t="s">
        <v>2</v>
      </c>
    </row>
    <row r="1004" spans="1:4" ht="42.75" customHeight="1" thickBot="1">
      <c r="A1004" s="92">
        <v>980</v>
      </c>
      <c r="B1004" s="93"/>
      <c r="C1004" s="94" t="s">
        <v>3</v>
      </c>
      <c r="D1004" s="95"/>
    </row>
    <row r="1005" spans="1:4" ht="42.75" customHeight="1" thickBot="1">
      <c r="A1005" s="92">
        <v>980</v>
      </c>
      <c r="B1005" s="93"/>
      <c r="C1005" s="96" t="s">
        <v>4</v>
      </c>
      <c r="D1005" s="97"/>
    </row>
    <row r="1006" spans="1:4" ht="42.75" customHeight="1" thickBot="1">
      <c r="A1006" s="98">
        <f>A1005-A1004</f>
        <v>0</v>
      </c>
      <c r="B1006" s="99"/>
      <c r="C1006" s="100" t="s">
        <v>5</v>
      </c>
      <c r="D1006" s="97"/>
    </row>
    <row r="1007" spans="1:4" ht="42.75" customHeight="1" thickBot="1">
      <c r="A1007" s="101">
        <v>62</v>
      </c>
      <c r="B1007" s="102"/>
      <c r="C1007" s="96" t="s">
        <v>6</v>
      </c>
      <c r="D1007" s="97"/>
    </row>
    <row r="1008" spans="1:4" ht="42.75" customHeight="1" thickBot="1">
      <c r="A1008" s="103"/>
      <c r="B1008" s="104"/>
      <c r="C1008" s="96" t="s">
        <v>21</v>
      </c>
      <c r="D1008" s="97"/>
    </row>
    <row r="1009" spans="1:4" ht="42.75" customHeight="1" thickBot="1">
      <c r="A1009" s="105">
        <f>A1007*A1006</f>
        <v>0</v>
      </c>
      <c r="B1009" s="106"/>
      <c r="C1009" s="96" t="s">
        <v>7</v>
      </c>
      <c r="D1009" s="97"/>
    </row>
    <row r="1010" spans="1:4" ht="42.75" customHeight="1" thickBot="1">
      <c r="A1010" s="107" t="s">
        <v>17</v>
      </c>
      <c r="B1010" s="108"/>
      <c r="C1010" s="108"/>
      <c r="D1010" s="109"/>
    </row>
    <row r="1011" spans="1:4" ht="42.75" customHeight="1" thickBot="1">
      <c r="A1011" s="116" t="s">
        <v>20</v>
      </c>
      <c r="B1011" s="117"/>
      <c r="C1011" s="117"/>
      <c r="D1011" s="118"/>
    </row>
    <row r="1012" spans="1:4" ht="42.75" customHeight="1" thickBot="1">
      <c r="A1012" s="113" t="s">
        <v>18</v>
      </c>
      <c r="B1012" s="114"/>
      <c r="C1012" s="114"/>
      <c r="D1012" s="115"/>
    </row>
    <row r="1013" spans="1:4" ht="42.75" customHeight="1" thickBot="1">
      <c r="A1013" s="119"/>
      <c r="B1013" s="119"/>
      <c r="C1013" s="119"/>
      <c r="D1013" s="119"/>
    </row>
    <row r="1014" spans="1:4" ht="42.75" customHeight="1" thickBot="1">
      <c r="A1014" s="126" t="s">
        <v>19</v>
      </c>
      <c r="B1014" s="127"/>
      <c r="C1014" s="127"/>
      <c r="D1014" s="128"/>
    </row>
    <row r="1015" spans="1:4" ht="42.75" customHeight="1" thickBot="1">
      <c r="A1015" s="123" t="s">
        <v>11</v>
      </c>
      <c r="B1015" s="124"/>
      <c r="C1015" s="125" t="s">
        <v>603</v>
      </c>
      <c r="D1015" s="124"/>
    </row>
    <row r="1016" spans="1:4" ht="42.75" customHeight="1" thickBot="1">
      <c r="A1016" s="1" t="s">
        <v>686</v>
      </c>
      <c r="B1016" s="26" t="s">
        <v>1</v>
      </c>
      <c r="C1016" s="90" t="s">
        <v>53</v>
      </c>
      <c r="D1016" s="91"/>
    </row>
    <row r="1017" spans="1:4" ht="42.75" customHeight="1" thickBot="1">
      <c r="A1017" s="26"/>
      <c r="B1017" s="26" t="s">
        <v>0</v>
      </c>
      <c r="C1017" s="5" t="s">
        <v>687</v>
      </c>
      <c r="D1017" s="4" t="s">
        <v>2</v>
      </c>
    </row>
    <row r="1018" spans="1:4" ht="42.75" customHeight="1" thickBot="1">
      <c r="A1018" s="92">
        <v>972</v>
      </c>
      <c r="B1018" s="93"/>
      <c r="C1018" s="94" t="s">
        <v>3</v>
      </c>
      <c r="D1018" s="95"/>
    </row>
    <row r="1019" spans="1:4" ht="42.75" customHeight="1" thickBot="1">
      <c r="A1019" s="92">
        <v>980</v>
      </c>
      <c r="B1019" s="93"/>
      <c r="C1019" s="96" t="s">
        <v>4</v>
      </c>
      <c r="D1019" s="97"/>
    </row>
    <row r="1020" spans="1:4" ht="42.75" customHeight="1" thickBot="1">
      <c r="A1020" s="98">
        <v>10</v>
      </c>
      <c r="B1020" s="99"/>
      <c r="C1020" s="100" t="s">
        <v>5</v>
      </c>
      <c r="D1020" s="97"/>
    </row>
    <row r="1021" spans="1:4" ht="42.75" customHeight="1" thickBot="1">
      <c r="A1021" s="101">
        <v>62</v>
      </c>
      <c r="B1021" s="102"/>
      <c r="C1021" s="96" t="s">
        <v>6</v>
      </c>
      <c r="D1021" s="97"/>
    </row>
    <row r="1022" spans="1:4" ht="42.75" customHeight="1" thickBot="1">
      <c r="A1022" s="103"/>
      <c r="B1022" s="104"/>
      <c r="C1022" s="96" t="s">
        <v>21</v>
      </c>
      <c r="D1022" s="97"/>
    </row>
    <row r="1023" spans="1:4" ht="42.75" customHeight="1" thickBot="1">
      <c r="A1023" s="105">
        <v>600</v>
      </c>
      <c r="B1023" s="106"/>
      <c r="C1023" s="96" t="s">
        <v>7</v>
      </c>
      <c r="D1023" s="97"/>
    </row>
    <row r="1024" spans="1:4" ht="42.75" customHeight="1" thickBot="1">
      <c r="A1024" s="107" t="s">
        <v>17</v>
      </c>
      <c r="B1024" s="108"/>
      <c r="C1024" s="108"/>
      <c r="D1024" s="109"/>
    </row>
    <row r="1025" spans="1:4" ht="42.75" customHeight="1" thickBot="1">
      <c r="A1025" s="110" t="s">
        <v>20</v>
      </c>
      <c r="B1025" s="111"/>
      <c r="C1025" s="111"/>
      <c r="D1025" s="112"/>
    </row>
    <row r="1026" spans="1:4" ht="42.75" customHeight="1" thickBot="1">
      <c r="A1026" s="113" t="s">
        <v>18</v>
      </c>
      <c r="B1026" s="114"/>
      <c r="C1026" s="114"/>
      <c r="D1026" s="115"/>
    </row>
    <row r="1027" spans="1:4" ht="42.75" customHeight="1" thickBot="1">
      <c r="A1027" s="126" t="s">
        <v>19</v>
      </c>
      <c r="B1027" s="127"/>
      <c r="C1027" s="127"/>
      <c r="D1027" s="128"/>
    </row>
    <row r="1028" spans="1:4" ht="42.75" customHeight="1" thickBot="1">
      <c r="A1028" s="123" t="s">
        <v>11</v>
      </c>
      <c r="B1028" s="124"/>
      <c r="C1028" s="125" t="s">
        <v>603</v>
      </c>
      <c r="D1028" s="124"/>
    </row>
    <row r="1029" spans="1:4" ht="42.75" customHeight="1" thickBot="1">
      <c r="A1029" s="1" t="s">
        <v>686</v>
      </c>
      <c r="B1029" s="26" t="s">
        <v>1</v>
      </c>
      <c r="C1029" s="90" t="s">
        <v>54</v>
      </c>
      <c r="D1029" s="91"/>
    </row>
    <row r="1030" spans="1:4" ht="42.75" customHeight="1" thickBot="1">
      <c r="A1030" s="26"/>
      <c r="B1030" s="26" t="s">
        <v>0</v>
      </c>
      <c r="C1030" s="5" t="s">
        <v>687</v>
      </c>
      <c r="D1030" s="4" t="s">
        <v>2</v>
      </c>
    </row>
    <row r="1031" spans="1:4" ht="42.75" customHeight="1" thickBot="1">
      <c r="A1031" s="92">
        <v>2258</v>
      </c>
      <c r="B1031" s="93"/>
      <c r="C1031" s="94" t="s">
        <v>3</v>
      </c>
      <c r="D1031" s="95"/>
    </row>
    <row r="1032" spans="1:4" ht="42.75" customHeight="1" thickBot="1">
      <c r="A1032" s="92">
        <v>2258</v>
      </c>
      <c r="B1032" s="93"/>
      <c r="C1032" s="96" t="s">
        <v>4</v>
      </c>
      <c r="D1032" s="97"/>
    </row>
    <row r="1033" spans="1:4" ht="42.75" customHeight="1" thickBot="1">
      <c r="A1033" s="98">
        <f>A1032-A1031</f>
        <v>0</v>
      </c>
      <c r="B1033" s="99"/>
      <c r="C1033" s="100" t="s">
        <v>5</v>
      </c>
      <c r="D1033" s="97"/>
    </row>
    <row r="1034" spans="1:4" ht="42.75" customHeight="1" thickBot="1">
      <c r="A1034" s="101">
        <v>62</v>
      </c>
      <c r="B1034" s="102"/>
      <c r="C1034" s="96" t="s">
        <v>6</v>
      </c>
      <c r="D1034" s="97"/>
    </row>
    <row r="1035" spans="1:4" ht="42.75" customHeight="1" thickBot="1">
      <c r="A1035" s="103"/>
      <c r="B1035" s="104"/>
      <c r="C1035" s="96" t="s">
        <v>21</v>
      </c>
      <c r="D1035" s="97"/>
    </row>
    <row r="1036" spans="1:4" ht="42.75" customHeight="1" thickBot="1">
      <c r="A1036" s="105">
        <f>A1034*A1033</f>
        <v>0</v>
      </c>
      <c r="B1036" s="106"/>
      <c r="C1036" s="96" t="s">
        <v>7</v>
      </c>
      <c r="D1036" s="97"/>
    </row>
    <row r="1037" spans="1:4" ht="42.75" customHeight="1" thickBot="1">
      <c r="A1037" s="107" t="s">
        <v>17</v>
      </c>
      <c r="B1037" s="108"/>
      <c r="C1037" s="108"/>
      <c r="D1037" s="109"/>
    </row>
    <row r="1038" spans="1:4" ht="42.75" customHeight="1" thickBot="1">
      <c r="A1038" s="116" t="s">
        <v>20</v>
      </c>
      <c r="B1038" s="117"/>
      <c r="C1038" s="117"/>
      <c r="D1038" s="118"/>
    </row>
    <row r="1039" spans="1:4" ht="42.75" customHeight="1" thickBot="1">
      <c r="A1039" s="113" t="s">
        <v>18</v>
      </c>
      <c r="B1039" s="114"/>
      <c r="C1039" s="114"/>
      <c r="D1039" s="115"/>
    </row>
    <row r="1040" spans="1:4" ht="42.75" customHeight="1" thickBot="1">
      <c r="A1040" s="119"/>
      <c r="B1040" s="119"/>
      <c r="C1040" s="119"/>
      <c r="D1040" s="119"/>
    </row>
    <row r="1041" spans="1:4" ht="42.75" customHeight="1" thickBot="1">
      <c r="A1041" s="126" t="s">
        <v>19</v>
      </c>
      <c r="B1041" s="127"/>
      <c r="C1041" s="127"/>
      <c r="D1041" s="128"/>
    </row>
    <row r="1042" spans="1:4" ht="42.75" customHeight="1" thickBot="1">
      <c r="A1042" s="123" t="s">
        <v>11</v>
      </c>
      <c r="B1042" s="124"/>
      <c r="C1042" s="125" t="s">
        <v>603</v>
      </c>
      <c r="D1042" s="124"/>
    </row>
    <row r="1043" spans="1:4" ht="42.75" customHeight="1" thickBot="1">
      <c r="A1043" s="1" t="s">
        <v>686</v>
      </c>
      <c r="B1043" s="26" t="s">
        <v>1</v>
      </c>
      <c r="C1043" s="90" t="s">
        <v>54</v>
      </c>
      <c r="D1043" s="91"/>
    </row>
    <row r="1044" spans="1:4" ht="42.75" customHeight="1" thickBot="1">
      <c r="A1044" s="26"/>
      <c r="B1044" s="26" t="s">
        <v>0</v>
      </c>
      <c r="C1044" s="5" t="s">
        <v>687</v>
      </c>
      <c r="D1044" s="4" t="s">
        <v>2</v>
      </c>
    </row>
    <row r="1045" spans="1:4" ht="42.75" customHeight="1" thickBot="1">
      <c r="A1045" s="92">
        <v>2253</v>
      </c>
      <c r="B1045" s="93"/>
      <c r="C1045" s="94" t="s">
        <v>3</v>
      </c>
      <c r="D1045" s="95"/>
    </row>
    <row r="1046" spans="1:4" ht="42.75" customHeight="1" thickBot="1">
      <c r="A1046" s="92">
        <v>2258</v>
      </c>
      <c r="B1046" s="93"/>
      <c r="C1046" s="96" t="s">
        <v>4</v>
      </c>
      <c r="D1046" s="97"/>
    </row>
    <row r="1047" spans="1:4" ht="42.75" customHeight="1" thickBot="1">
      <c r="A1047" s="98">
        <v>10</v>
      </c>
      <c r="B1047" s="99"/>
      <c r="C1047" s="100" t="s">
        <v>5</v>
      </c>
      <c r="D1047" s="97"/>
    </row>
    <row r="1048" spans="1:4" ht="42.75" customHeight="1" thickBot="1">
      <c r="A1048" s="101">
        <v>62</v>
      </c>
      <c r="B1048" s="102"/>
      <c r="C1048" s="96" t="s">
        <v>6</v>
      </c>
      <c r="D1048" s="97"/>
    </row>
    <row r="1049" spans="1:4" ht="42.75" customHeight="1" thickBot="1">
      <c r="A1049" s="103"/>
      <c r="B1049" s="104"/>
      <c r="C1049" s="96" t="s">
        <v>21</v>
      </c>
      <c r="D1049" s="97"/>
    </row>
    <row r="1050" spans="1:4" ht="42.75" customHeight="1" thickBot="1">
      <c r="A1050" s="105">
        <v>600</v>
      </c>
      <c r="B1050" s="106"/>
      <c r="C1050" s="96" t="s">
        <v>7</v>
      </c>
      <c r="D1050" s="97"/>
    </row>
    <row r="1051" spans="1:4" ht="42.75" customHeight="1" thickBot="1">
      <c r="A1051" s="107" t="s">
        <v>17</v>
      </c>
      <c r="B1051" s="108"/>
      <c r="C1051" s="108"/>
      <c r="D1051" s="109"/>
    </row>
    <row r="1052" spans="1:4" ht="42.75" customHeight="1" thickBot="1">
      <c r="A1052" s="110" t="s">
        <v>20</v>
      </c>
      <c r="B1052" s="111"/>
      <c r="C1052" s="111"/>
      <c r="D1052" s="112"/>
    </row>
    <row r="1053" spans="1:4" ht="42.75" customHeight="1" thickBot="1">
      <c r="A1053" s="113" t="s">
        <v>18</v>
      </c>
      <c r="B1053" s="114"/>
      <c r="C1053" s="114"/>
      <c r="D1053" s="115"/>
    </row>
    <row r="1054" spans="1:4" ht="42.75" customHeight="1" thickBot="1">
      <c r="A1054" s="126" t="s">
        <v>19</v>
      </c>
      <c r="B1054" s="127"/>
      <c r="C1054" s="127"/>
      <c r="D1054" s="128"/>
    </row>
    <row r="1055" spans="1:4" ht="42.75" customHeight="1" thickBot="1">
      <c r="A1055" s="123" t="s">
        <v>11</v>
      </c>
      <c r="B1055" s="124"/>
      <c r="C1055" s="125" t="s">
        <v>603</v>
      </c>
      <c r="D1055" s="124"/>
    </row>
    <row r="1056" spans="1:4" ht="42.75" customHeight="1" thickBot="1">
      <c r="A1056" s="1" t="s">
        <v>686</v>
      </c>
      <c r="B1056" s="26" t="s">
        <v>1</v>
      </c>
      <c r="C1056" s="90" t="s">
        <v>55</v>
      </c>
      <c r="D1056" s="91"/>
    </row>
    <row r="1057" spans="1:4" ht="42.75" customHeight="1" thickBot="1">
      <c r="A1057" s="26"/>
      <c r="B1057" s="26" t="s">
        <v>0</v>
      </c>
      <c r="C1057" s="5" t="s">
        <v>687</v>
      </c>
      <c r="D1057" s="4" t="s">
        <v>2</v>
      </c>
    </row>
    <row r="1058" spans="1:4" ht="42.75" customHeight="1" thickBot="1">
      <c r="A1058" s="92">
        <v>2710</v>
      </c>
      <c r="B1058" s="93"/>
      <c r="C1058" s="94" t="s">
        <v>3</v>
      </c>
      <c r="D1058" s="95"/>
    </row>
    <row r="1059" spans="1:4" ht="42.75" customHeight="1" thickBot="1">
      <c r="A1059" s="92">
        <v>2710</v>
      </c>
      <c r="B1059" s="93"/>
      <c r="C1059" s="96" t="s">
        <v>4</v>
      </c>
      <c r="D1059" s="97"/>
    </row>
    <row r="1060" spans="1:4" ht="42.75" customHeight="1" thickBot="1">
      <c r="A1060" s="98">
        <f>A1059-A1058</f>
        <v>0</v>
      </c>
      <c r="B1060" s="99"/>
      <c r="C1060" s="100" t="s">
        <v>5</v>
      </c>
      <c r="D1060" s="97"/>
    </row>
    <row r="1061" spans="1:4" ht="42.75" customHeight="1" thickBot="1">
      <c r="A1061" s="101">
        <v>62</v>
      </c>
      <c r="B1061" s="102"/>
      <c r="C1061" s="96" t="s">
        <v>6</v>
      </c>
      <c r="D1061" s="97"/>
    </row>
    <row r="1062" spans="1:4" ht="42.75" customHeight="1" thickBot="1">
      <c r="A1062" s="103"/>
      <c r="B1062" s="104"/>
      <c r="C1062" s="96" t="s">
        <v>21</v>
      </c>
      <c r="D1062" s="97"/>
    </row>
    <row r="1063" spans="1:4" ht="42.75" customHeight="1" thickBot="1">
      <c r="A1063" s="105">
        <f>A1061*A1060</f>
        <v>0</v>
      </c>
      <c r="B1063" s="106"/>
      <c r="C1063" s="96" t="s">
        <v>7</v>
      </c>
      <c r="D1063" s="97"/>
    </row>
    <row r="1064" spans="1:4" ht="42.75" customHeight="1" thickBot="1">
      <c r="A1064" s="107" t="s">
        <v>17</v>
      </c>
      <c r="B1064" s="108"/>
      <c r="C1064" s="108"/>
      <c r="D1064" s="109"/>
    </row>
    <row r="1065" spans="1:4" ht="42.75" customHeight="1" thickBot="1">
      <c r="A1065" s="116" t="s">
        <v>20</v>
      </c>
      <c r="B1065" s="117"/>
      <c r="C1065" s="117"/>
      <c r="D1065" s="118"/>
    </row>
    <row r="1066" spans="1:4" ht="42.75" customHeight="1" thickBot="1">
      <c r="A1066" s="113" t="s">
        <v>18</v>
      </c>
      <c r="B1066" s="114"/>
      <c r="C1066" s="114"/>
      <c r="D1066" s="115"/>
    </row>
    <row r="1067" spans="1:4" ht="42.75" customHeight="1" thickBot="1">
      <c r="A1067" s="119"/>
      <c r="B1067" s="119"/>
      <c r="C1067" s="119"/>
      <c r="D1067" s="119"/>
    </row>
    <row r="1068" spans="1:4" ht="42.75" customHeight="1" thickBot="1">
      <c r="A1068" s="126" t="s">
        <v>19</v>
      </c>
      <c r="B1068" s="127"/>
      <c r="C1068" s="127"/>
      <c r="D1068" s="128"/>
    </row>
    <row r="1069" spans="1:4" ht="42.75" customHeight="1" thickBot="1">
      <c r="A1069" s="123" t="s">
        <v>11</v>
      </c>
      <c r="B1069" s="124"/>
      <c r="C1069" s="125" t="s">
        <v>603</v>
      </c>
      <c r="D1069" s="124"/>
    </row>
    <row r="1070" spans="1:4" ht="42.75" customHeight="1" thickBot="1">
      <c r="A1070" s="1" t="s">
        <v>686</v>
      </c>
      <c r="B1070" s="26" t="s">
        <v>1</v>
      </c>
      <c r="C1070" s="90" t="s">
        <v>55</v>
      </c>
      <c r="D1070" s="91"/>
    </row>
    <row r="1071" spans="1:4" ht="42.75" customHeight="1" thickBot="1">
      <c r="A1071" s="26"/>
      <c r="B1071" s="26" t="s">
        <v>0</v>
      </c>
      <c r="C1071" s="5" t="s">
        <v>687</v>
      </c>
      <c r="D1071" s="4" t="s">
        <v>2</v>
      </c>
    </row>
    <row r="1072" spans="1:4" ht="42.75" customHeight="1" thickBot="1">
      <c r="A1072" s="92">
        <v>2695</v>
      </c>
      <c r="B1072" s="93"/>
      <c r="C1072" s="94" t="s">
        <v>3</v>
      </c>
      <c r="D1072" s="95"/>
    </row>
    <row r="1073" spans="1:4" ht="42.75" customHeight="1" thickBot="1">
      <c r="A1073" s="92">
        <v>2710</v>
      </c>
      <c r="B1073" s="93"/>
      <c r="C1073" s="96" t="s">
        <v>4</v>
      </c>
      <c r="D1073" s="97"/>
    </row>
    <row r="1074" spans="1:4" ht="42.75" customHeight="1" thickBot="1">
      <c r="A1074" s="98">
        <f>A1073-A1072</f>
        <v>15</v>
      </c>
      <c r="B1074" s="99"/>
      <c r="C1074" s="100" t="s">
        <v>5</v>
      </c>
      <c r="D1074" s="97"/>
    </row>
    <row r="1075" spans="1:4" ht="42.75" customHeight="1" thickBot="1">
      <c r="A1075" s="101">
        <v>62</v>
      </c>
      <c r="B1075" s="102"/>
      <c r="C1075" s="96" t="s">
        <v>6</v>
      </c>
      <c r="D1075" s="97"/>
    </row>
    <row r="1076" spans="1:4" ht="42.75" customHeight="1" thickBot="1">
      <c r="A1076" s="103"/>
      <c r="B1076" s="104"/>
      <c r="C1076" s="96" t="s">
        <v>21</v>
      </c>
      <c r="D1076" s="97"/>
    </row>
    <row r="1077" spans="1:4" ht="42.75" customHeight="1" thickBot="1">
      <c r="A1077" s="105">
        <v>950</v>
      </c>
      <c r="B1077" s="106"/>
      <c r="C1077" s="96" t="s">
        <v>7</v>
      </c>
      <c r="D1077" s="97"/>
    </row>
    <row r="1078" spans="1:4" ht="42.75" customHeight="1" thickBot="1">
      <c r="A1078" s="107" t="s">
        <v>17</v>
      </c>
      <c r="B1078" s="108"/>
      <c r="C1078" s="108"/>
      <c r="D1078" s="109"/>
    </row>
    <row r="1079" spans="1:4" ht="42.75" customHeight="1" thickBot="1">
      <c r="A1079" s="110" t="s">
        <v>20</v>
      </c>
      <c r="B1079" s="111"/>
      <c r="C1079" s="111"/>
      <c r="D1079" s="112"/>
    </row>
    <row r="1080" spans="1:4" ht="42.75" customHeight="1" thickBot="1">
      <c r="A1080" s="113" t="s">
        <v>18</v>
      </c>
      <c r="B1080" s="114"/>
      <c r="C1080" s="114"/>
      <c r="D1080" s="115"/>
    </row>
    <row r="1081" spans="1:4" ht="42.75" customHeight="1" thickBot="1">
      <c r="A1081" s="126" t="s">
        <v>19</v>
      </c>
      <c r="B1081" s="127"/>
      <c r="C1081" s="127"/>
      <c r="D1081" s="128"/>
    </row>
    <row r="1082" spans="1:4" ht="42.75" customHeight="1" thickBot="1">
      <c r="A1082" s="123" t="s">
        <v>11</v>
      </c>
      <c r="B1082" s="124"/>
      <c r="C1082" s="125" t="s">
        <v>603</v>
      </c>
      <c r="D1082" s="124"/>
    </row>
    <row r="1083" spans="1:4" ht="42.75" customHeight="1" thickBot="1">
      <c r="A1083" s="1" t="s">
        <v>686</v>
      </c>
      <c r="B1083" s="26" t="s">
        <v>1</v>
      </c>
      <c r="C1083" s="90" t="s">
        <v>56</v>
      </c>
      <c r="D1083" s="91"/>
    </row>
    <row r="1084" spans="1:4" ht="42.75" customHeight="1" thickBot="1">
      <c r="A1084" s="26"/>
      <c r="B1084" s="26" t="s">
        <v>0</v>
      </c>
      <c r="C1084" s="5" t="s">
        <v>687</v>
      </c>
      <c r="D1084" s="4" t="s">
        <v>2</v>
      </c>
    </row>
    <row r="1085" spans="1:4" ht="42.75" customHeight="1" thickBot="1">
      <c r="A1085" s="92">
        <v>1362</v>
      </c>
      <c r="B1085" s="93"/>
      <c r="C1085" s="94" t="s">
        <v>3</v>
      </c>
      <c r="D1085" s="95"/>
    </row>
    <row r="1086" spans="1:4" ht="42.75" customHeight="1" thickBot="1">
      <c r="A1086" s="92">
        <v>1362</v>
      </c>
      <c r="B1086" s="93"/>
      <c r="C1086" s="96" t="s">
        <v>4</v>
      </c>
      <c r="D1086" s="97"/>
    </row>
    <row r="1087" spans="1:4" ht="42.75" customHeight="1" thickBot="1">
      <c r="A1087" s="98">
        <f>A1086-A1085</f>
        <v>0</v>
      </c>
      <c r="B1087" s="99"/>
      <c r="C1087" s="100" t="s">
        <v>5</v>
      </c>
      <c r="D1087" s="97"/>
    </row>
    <row r="1088" spans="1:4" ht="42.75" customHeight="1" thickBot="1">
      <c r="A1088" s="101">
        <v>62</v>
      </c>
      <c r="B1088" s="102"/>
      <c r="C1088" s="96" t="s">
        <v>6</v>
      </c>
      <c r="D1088" s="97"/>
    </row>
    <row r="1089" spans="1:4" ht="42.75" customHeight="1" thickBot="1">
      <c r="A1089" s="103"/>
      <c r="B1089" s="104"/>
      <c r="C1089" s="96" t="s">
        <v>21</v>
      </c>
      <c r="D1089" s="97"/>
    </row>
    <row r="1090" spans="1:4" ht="42.75" customHeight="1" thickBot="1">
      <c r="A1090" s="105">
        <f>A1088*A1087</f>
        <v>0</v>
      </c>
      <c r="B1090" s="106"/>
      <c r="C1090" s="96" t="s">
        <v>7</v>
      </c>
      <c r="D1090" s="97"/>
    </row>
    <row r="1091" spans="1:4" ht="42.75" customHeight="1" thickBot="1">
      <c r="A1091" s="107" t="s">
        <v>17</v>
      </c>
      <c r="B1091" s="108"/>
      <c r="C1091" s="108"/>
      <c r="D1091" s="109"/>
    </row>
    <row r="1092" spans="1:4" ht="42.75" customHeight="1" thickBot="1">
      <c r="A1092" s="116" t="s">
        <v>20</v>
      </c>
      <c r="B1092" s="117"/>
      <c r="C1092" s="117"/>
      <c r="D1092" s="118"/>
    </row>
    <row r="1093" spans="1:4" ht="42.75" customHeight="1" thickBot="1">
      <c r="A1093" s="113" t="s">
        <v>18</v>
      </c>
      <c r="B1093" s="114"/>
      <c r="C1093" s="114"/>
      <c r="D1093" s="115"/>
    </row>
    <row r="1094" spans="1:4" ht="42.75" customHeight="1" thickBot="1">
      <c r="A1094" s="119"/>
      <c r="B1094" s="119"/>
      <c r="C1094" s="119"/>
      <c r="D1094" s="119"/>
    </row>
    <row r="1095" spans="1:4" ht="42.75" customHeight="1" thickBot="1">
      <c r="A1095" s="126" t="s">
        <v>19</v>
      </c>
      <c r="B1095" s="127"/>
      <c r="C1095" s="127"/>
      <c r="D1095" s="128"/>
    </row>
    <row r="1096" spans="1:4" ht="42.75" customHeight="1" thickBot="1">
      <c r="A1096" s="123" t="s">
        <v>11</v>
      </c>
      <c r="B1096" s="124"/>
      <c r="C1096" s="125" t="s">
        <v>603</v>
      </c>
      <c r="D1096" s="124"/>
    </row>
    <row r="1097" spans="1:4" ht="42.75" customHeight="1" thickBot="1">
      <c r="A1097" s="1" t="s">
        <v>686</v>
      </c>
      <c r="B1097" s="26" t="s">
        <v>1</v>
      </c>
      <c r="C1097" s="90" t="s">
        <v>56</v>
      </c>
      <c r="D1097" s="91"/>
    </row>
    <row r="1098" spans="1:4" ht="42.75" customHeight="1" thickBot="1">
      <c r="A1098" s="26"/>
      <c r="B1098" s="26" t="s">
        <v>0</v>
      </c>
      <c r="C1098" s="5" t="s">
        <v>687</v>
      </c>
      <c r="D1098" s="4" t="s">
        <v>2</v>
      </c>
    </row>
    <row r="1099" spans="1:4" ht="42.75" customHeight="1" thickBot="1">
      <c r="A1099" s="92">
        <v>1355</v>
      </c>
      <c r="B1099" s="93"/>
      <c r="C1099" s="94" t="s">
        <v>3</v>
      </c>
      <c r="D1099" s="95"/>
    </row>
    <row r="1100" spans="1:4" ht="42.75" customHeight="1" thickBot="1">
      <c r="A1100" s="92">
        <v>1362</v>
      </c>
      <c r="B1100" s="93"/>
      <c r="C1100" s="96" t="s">
        <v>4</v>
      </c>
      <c r="D1100" s="97"/>
    </row>
    <row r="1101" spans="1:4" ht="42.75" customHeight="1" thickBot="1">
      <c r="A1101" s="98">
        <v>10</v>
      </c>
      <c r="B1101" s="99"/>
      <c r="C1101" s="100" t="s">
        <v>5</v>
      </c>
      <c r="D1101" s="97"/>
    </row>
    <row r="1102" spans="1:4" ht="42.75" customHeight="1" thickBot="1">
      <c r="A1102" s="101">
        <v>62</v>
      </c>
      <c r="B1102" s="102"/>
      <c r="C1102" s="96" t="s">
        <v>6</v>
      </c>
      <c r="D1102" s="97"/>
    </row>
    <row r="1103" spans="1:4" ht="42.75" customHeight="1" thickBot="1">
      <c r="A1103" s="103"/>
      <c r="B1103" s="104"/>
      <c r="C1103" s="96" t="s">
        <v>21</v>
      </c>
      <c r="D1103" s="97"/>
    </row>
    <row r="1104" spans="1:4" ht="42.75" customHeight="1" thickBot="1">
      <c r="A1104" s="105">
        <v>600</v>
      </c>
      <c r="B1104" s="106"/>
      <c r="C1104" s="96" t="s">
        <v>7</v>
      </c>
      <c r="D1104" s="97"/>
    </row>
    <row r="1105" spans="1:4" ht="42.75" customHeight="1" thickBot="1">
      <c r="A1105" s="107" t="s">
        <v>17</v>
      </c>
      <c r="B1105" s="108"/>
      <c r="C1105" s="108"/>
      <c r="D1105" s="109"/>
    </row>
    <row r="1106" spans="1:4" ht="42.75" customHeight="1" thickBot="1">
      <c r="A1106" s="110" t="s">
        <v>20</v>
      </c>
      <c r="B1106" s="111"/>
      <c r="C1106" s="111"/>
      <c r="D1106" s="112"/>
    </row>
    <row r="1107" spans="1:4" ht="42.75" customHeight="1" thickBot="1">
      <c r="A1107" s="113" t="s">
        <v>18</v>
      </c>
      <c r="B1107" s="114"/>
      <c r="C1107" s="114"/>
      <c r="D1107" s="115"/>
    </row>
    <row r="1108" spans="1:4" ht="42.75" customHeight="1" thickBot="1">
      <c r="A1108" s="126" t="s">
        <v>19</v>
      </c>
      <c r="B1108" s="127"/>
      <c r="C1108" s="127"/>
      <c r="D1108" s="128"/>
    </row>
    <row r="1109" spans="1:4" ht="42.75" customHeight="1" thickBot="1">
      <c r="A1109" s="123" t="s">
        <v>11</v>
      </c>
      <c r="B1109" s="124"/>
      <c r="C1109" s="125" t="s">
        <v>603</v>
      </c>
      <c r="D1109" s="124"/>
    </row>
    <row r="1110" spans="1:4" ht="42.75" customHeight="1" thickBot="1">
      <c r="A1110" s="1" t="s">
        <v>686</v>
      </c>
      <c r="B1110" s="26" t="s">
        <v>1</v>
      </c>
      <c r="C1110" s="90" t="s">
        <v>57</v>
      </c>
      <c r="D1110" s="91"/>
    </row>
    <row r="1111" spans="1:4" ht="42.75" customHeight="1" thickBot="1">
      <c r="A1111" s="26"/>
      <c r="B1111" s="26" t="s">
        <v>0</v>
      </c>
      <c r="C1111" s="5" t="s">
        <v>687</v>
      </c>
      <c r="D1111" s="4" t="s">
        <v>2</v>
      </c>
    </row>
    <row r="1112" spans="1:4" ht="42.75" customHeight="1" thickBot="1">
      <c r="A1112" s="92">
        <v>825</v>
      </c>
      <c r="B1112" s="93"/>
      <c r="C1112" s="94" t="s">
        <v>3</v>
      </c>
      <c r="D1112" s="95"/>
    </row>
    <row r="1113" spans="1:4" ht="42.75" customHeight="1" thickBot="1">
      <c r="A1113" s="92">
        <v>825</v>
      </c>
      <c r="B1113" s="93"/>
      <c r="C1113" s="96" t="s">
        <v>4</v>
      </c>
      <c r="D1113" s="97"/>
    </row>
    <row r="1114" spans="1:4" ht="42.75" customHeight="1" thickBot="1">
      <c r="A1114" s="98">
        <f>A1113-A1112</f>
        <v>0</v>
      </c>
      <c r="B1114" s="99"/>
      <c r="C1114" s="100" t="s">
        <v>5</v>
      </c>
      <c r="D1114" s="97"/>
    </row>
    <row r="1115" spans="1:4" ht="42.75" customHeight="1" thickBot="1">
      <c r="A1115" s="101">
        <v>62</v>
      </c>
      <c r="B1115" s="102"/>
      <c r="C1115" s="96" t="s">
        <v>6</v>
      </c>
      <c r="D1115" s="97"/>
    </row>
    <row r="1116" spans="1:4" ht="42.75" customHeight="1" thickBot="1">
      <c r="A1116" s="103"/>
      <c r="B1116" s="104"/>
      <c r="C1116" s="96" t="s">
        <v>21</v>
      </c>
      <c r="D1116" s="97"/>
    </row>
    <row r="1117" spans="1:4" ht="42.75" customHeight="1" thickBot="1">
      <c r="A1117" s="105">
        <f>A1115*A1114</f>
        <v>0</v>
      </c>
      <c r="B1117" s="106"/>
      <c r="C1117" s="96" t="s">
        <v>7</v>
      </c>
      <c r="D1117" s="97"/>
    </row>
    <row r="1118" spans="1:4" ht="42.75" customHeight="1" thickBot="1">
      <c r="A1118" s="107" t="s">
        <v>17</v>
      </c>
      <c r="B1118" s="108"/>
      <c r="C1118" s="108"/>
      <c r="D1118" s="109"/>
    </row>
    <row r="1119" spans="1:4" ht="42.75" customHeight="1" thickBot="1">
      <c r="A1119" s="116" t="s">
        <v>20</v>
      </c>
      <c r="B1119" s="117"/>
      <c r="C1119" s="117"/>
      <c r="D1119" s="118"/>
    </row>
    <row r="1120" spans="1:4" ht="42.75" customHeight="1" thickBot="1">
      <c r="A1120" s="113" t="s">
        <v>18</v>
      </c>
      <c r="B1120" s="114"/>
      <c r="C1120" s="114"/>
      <c r="D1120" s="115"/>
    </row>
    <row r="1121" spans="1:4" ht="42.75" customHeight="1" thickBot="1">
      <c r="A1121" s="119"/>
      <c r="B1121" s="119"/>
      <c r="C1121" s="119"/>
      <c r="D1121" s="119"/>
    </row>
    <row r="1122" spans="1:4" ht="42.75" customHeight="1" thickBot="1">
      <c r="A1122" s="126" t="s">
        <v>19</v>
      </c>
      <c r="B1122" s="127"/>
      <c r="C1122" s="127"/>
      <c r="D1122" s="128"/>
    </row>
    <row r="1123" spans="1:4" ht="42.75" customHeight="1" thickBot="1">
      <c r="A1123" s="123" t="s">
        <v>11</v>
      </c>
      <c r="B1123" s="124"/>
      <c r="C1123" s="125" t="s">
        <v>603</v>
      </c>
      <c r="D1123" s="124"/>
    </row>
    <row r="1124" spans="1:4" ht="42.75" customHeight="1" thickBot="1">
      <c r="A1124" s="1" t="s">
        <v>686</v>
      </c>
      <c r="B1124" s="26" t="s">
        <v>1</v>
      </c>
      <c r="C1124" s="90" t="s">
        <v>57</v>
      </c>
      <c r="D1124" s="91"/>
    </row>
    <row r="1125" spans="1:4" ht="42.75" customHeight="1" thickBot="1">
      <c r="A1125" s="26"/>
      <c r="B1125" s="26" t="s">
        <v>0</v>
      </c>
      <c r="C1125" s="5" t="s">
        <v>687</v>
      </c>
      <c r="D1125" s="4" t="s">
        <v>2</v>
      </c>
    </row>
    <row r="1126" spans="1:4" ht="42.75" customHeight="1" thickBot="1">
      <c r="A1126" s="92">
        <v>790</v>
      </c>
      <c r="B1126" s="93"/>
      <c r="C1126" s="94" t="s">
        <v>3</v>
      </c>
      <c r="D1126" s="95"/>
    </row>
    <row r="1127" spans="1:4" ht="42.75" customHeight="1" thickBot="1">
      <c r="A1127" s="92">
        <v>825</v>
      </c>
      <c r="B1127" s="93"/>
      <c r="C1127" s="96" t="s">
        <v>4</v>
      </c>
      <c r="D1127" s="97"/>
    </row>
    <row r="1128" spans="1:4" ht="42.75" customHeight="1" thickBot="1">
      <c r="A1128" s="98">
        <f>A1127-A1126</f>
        <v>35</v>
      </c>
      <c r="B1128" s="99"/>
      <c r="C1128" s="100" t="s">
        <v>5</v>
      </c>
      <c r="D1128" s="97"/>
    </row>
    <row r="1129" spans="1:4" ht="42.75" customHeight="1" thickBot="1">
      <c r="A1129" s="101">
        <v>62</v>
      </c>
      <c r="B1129" s="102"/>
      <c r="C1129" s="96" t="s">
        <v>6</v>
      </c>
      <c r="D1129" s="97"/>
    </row>
    <row r="1130" spans="1:4" ht="42.75" customHeight="1" thickBot="1">
      <c r="A1130" s="103"/>
      <c r="B1130" s="104"/>
      <c r="C1130" s="96" t="s">
        <v>21</v>
      </c>
      <c r="D1130" s="97"/>
    </row>
    <row r="1131" spans="1:4" ht="42.75" customHeight="1" thickBot="1">
      <c r="A1131" s="105">
        <v>2200</v>
      </c>
      <c r="B1131" s="106"/>
      <c r="C1131" s="96" t="s">
        <v>7</v>
      </c>
      <c r="D1131" s="97"/>
    </row>
    <row r="1132" spans="1:4" ht="42.75" customHeight="1" thickBot="1">
      <c r="A1132" s="107" t="s">
        <v>17</v>
      </c>
      <c r="B1132" s="108"/>
      <c r="C1132" s="108"/>
      <c r="D1132" s="109"/>
    </row>
    <row r="1133" spans="1:4" ht="42.75" customHeight="1" thickBot="1">
      <c r="A1133" s="110" t="s">
        <v>20</v>
      </c>
      <c r="B1133" s="111"/>
      <c r="C1133" s="111"/>
      <c r="D1133" s="112"/>
    </row>
    <row r="1134" spans="1:4" ht="42.75" customHeight="1" thickBot="1">
      <c r="A1134" s="113" t="s">
        <v>18</v>
      </c>
      <c r="B1134" s="114"/>
      <c r="C1134" s="114"/>
      <c r="D1134" s="115"/>
    </row>
    <row r="1135" spans="1:4" ht="42.75" customHeight="1" thickBot="1">
      <c r="A1135" s="126" t="s">
        <v>19</v>
      </c>
      <c r="B1135" s="127"/>
      <c r="C1135" s="127"/>
      <c r="D1135" s="128"/>
    </row>
    <row r="1136" spans="1:4" ht="42.75" customHeight="1" thickBot="1">
      <c r="A1136" s="123" t="s">
        <v>11</v>
      </c>
      <c r="B1136" s="124"/>
      <c r="C1136" s="125" t="s">
        <v>603</v>
      </c>
      <c r="D1136" s="124"/>
    </row>
    <row r="1137" spans="1:4" ht="42.75" customHeight="1" thickBot="1">
      <c r="A1137" s="1" t="s">
        <v>686</v>
      </c>
      <c r="B1137" s="26" t="s">
        <v>1</v>
      </c>
      <c r="C1137" s="90" t="s">
        <v>668</v>
      </c>
      <c r="D1137" s="91"/>
    </row>
    <row r="1138" spans="1:4" ht="42.75" customHeight="1" thickBot="1">
      <c r="A1138" s="26"/>
      <c r="B1138" s="26" t="s">
        <v>0</v>
      </c>
      <c r="C1138" s="5" t="s">
        <v>687</v>
      </c>
      <c r="D1138" s="4" t="s">
        <v>2</v>
      </c>
    </row>
    <row r="1139" spans="1:4" ht="42.75" customHeight="1" thickBot="1">
      <c r="A1139" s="92">
        <v>1508</v>
      </c>
      <c r="B1139" s="93"/>
      <c r="C1139" s="94" t="s">
        <v>3</v>
      </c>
      <c r="D1139" s="95"/>
    </row>
    <row r="1140" spans="1:4" ht="42.75" customHeight="1" thickBot="1">
      <c r="A1140" s="92">
        <v>1508</v>
      </c>
      <c r="B1140" s="93"/>
      <c r="C1140" s="96" t="s">
        <v>4</v>
      </c>
      <c r="D1140" s="97"/>
    </row>
    <row r="1141" spans="1:4" ht="42.75" customHeight="1" thickBot="1">
      <c r="A1141" s="98">
        <f>A1140-A1139</f>
        <v>0</v>
      </c>
      <c r="B1141" s="99"/>
      <c r="C1141" s="100" t="s">
        <v>5</v>
      </c>
      <c r="D1141" s="97"/>
    </row>
    <row r="1142" spans="1:4" ht="42.75" customHeight="1" thickBot="1">
      <c r="A1142" s="101">
        <v>62</v>
      </c>
      <c r="B1142" s="102"/>
      <c r="C1142" s="96" t="s">
        <v>6</v>
      </c>
      <c r="D1142" s="97"/>
    </row>
    <row r="1143" spans="1:4" ht="42.75" customHeight="1" thickBot="1">
      <c r="A1143" s="103"/>
      <c r="B1143" s="104"/>
      <c r="C1143" s="96" t="s">
        <v>21</v>
      </c>
      <c r="D1143" s="97"/>
    </row>
    <row r="1144" spans="1:4" ht="42.75" customHeight="1" thickBot="1">
      <c r="A1144" s="105">
        <f>A1142*A1141</f>
        <v>0</v>
      </c>
      <c r="B1144" s="106"/>
      <c r="C1144" s="96" t="s">
        <v>7</v>
      </c>
      <c r="D1144" s="97"/>
    </row>
    <row r="1145" spans="1:4" ht="42.75" customHeight="1" thickBot="1">
      <c r="A1145" s="107" t="s">
        <v>17</v>
      </c>
      <c r="B1145" s="108"/>
      <c r="C1145" s="108"/>
      <c r="D1145" s="109"/>
    </row>
    <row r="1146" spans="1:4" ht="42.75" customHeight="1" thickBot="1">
      <c r="A1146" s="116" t="s">
        <v>20</v>
      </c>
      <c r="B1146" s="117"/>
      <c r="C1146" s="117"/>
      <c r="D1146" s="118"/>
    </row>
    <row r="1147" spans="1:4" ht="42.75" customHeight="1" thickBot="1">
      <c r="A1147" s="113" t="s">
        <v>18</v>
      </c>
      <c r="B1147" s="114"/>
      <c r="C1147" s="114"/>
      <c r="D1147" s="115"/>
    </row>
    <row r="1148" spans="1:4" ht="42.75" customHeight="1" thickBot="1">
      <c r="A1148" s="119"/>
      <c r="B1148" s="119"/>
      <c r="C1148" s="119"/>
      <c r="D1148" s="119"/>
    </row>
    <row r="1149" spans="1:4" ht="42.75" customHeight="1" thickBot="1">
      <c r="A1149" s="126" t="s">
        <v>19</v>
      </c>
      <c r="B1149" s="127"/>
      <c r="C1149" s="127"/>
      <c r="D1149" s="128"/>
    </row>
    <row r="1150" spans="1:4" ht="42.75" customHeight="1" thickBot="1">
      <c r="A1150" s="123" t="s">
        <v>11</v>
      </c>
      <c r="B1150" s="124"/>
      <c r="C1150" s="125" t="s">
        <v>603</v>
      </c>
      <c r="D1150" s="124"/>
    </row>
    <row r="1151" spans="1:4" ht="42.75" customHeight="1" thickBot="1">
      <c r="A1151" s="1" t="s">
        <v>686</v>
      </c>
      <c r="B1151" s="26" t="s">
        <v>1</v>
      </c>
      <c r="C1151" s="90" t="s">
        <v>668</v>
      </c>
      <c r="D1151" s="91"/>
    </row>
    <row r="1152" spans="1:4" ht="42.75" customHeight="1" thickBot="1">
      <c r="A1152" s="26"/>
      <c r="B1152" s="26" t="s">
        <v>0</v>
      </c>
      <c r="C1152" s="5" t="s">
        <v>687</v>
      </c>
      <c r="D1152" s="4" t="s">
        <v>2</v>
      </c>
    </row>
    <row r="1153" spans="1:4" ht="42.75" customHeight="1" thickBot="1">
      <c r="A1153" s="92">
        <v>1501</v>
      </c>
      <c r="B1153" s="93"/>
      <c r="C1153" s="94" t="s">
        <v>3</v>
      </c>
      <c r="D1153" s="95"/>
    </row>
    <row r="1154" spans="1:4" ht="42.75" customHeight="1" thickBot="1">
      <c r="A1154" s="92">
        <v>1508</v>
      </c>
      <c r="B1154" s="93"/>
      <c r="C1154" s="96" t="s">
        <v>4</v>
      </c>
      <c r="D1154" s="97"/>
    </row>
    <row r="1155" spans="1:4" ht="42.75" customHeight="1" thickBot="1">
      <c r="A1155" s="98">
        <v>10</v>
      </c>
      <c r="B1155" s="99"/>
      <c r="C1155" s="100" t="s">
        <v>5</v>
      </c>
      <c r="D1155" s="97"/>
    </row>
    <row r="1156" spans="1:4" ht="42.75" customHeight="1" thickBot="1">
      <c r="A1156" s="101">
        <v>62</v>
      </c>
      <c r="B1156" s="102"/>
      <c r="C1156" s="96" t="s">
        <v>6</v>
      </c>
      <c r="D1156" s="97"/>
    </row>
    <row r="1157" spans="1:4" ht="42.75" customHeight="1" thickBot="1">
      <c r="A1157" s="103"/>
      <c r="B1157" s="104"/>
      <c r="C1157" s="96" t="s">
        <v>21</v>
      </c>
      <c r="D1157" s="97"/>
    </row>
    <row r="1158" spans="1:4" ht="42.75" customHeight="1" thickBot="1">
      <c r="A1158" s="105">
        <v>600</v>
      </c>
      <c r="B1158" s="106"/>
      <c r="C1158" s="96" t="s">
        <v>7</v>
      </c>
      <c r="D1158" s="97"/>
    </row>
    <row r="1159" spans="1:4" ht="42.75" customHeight="1" thickBot="1">
      <c r="A1159" s="107" t="s">
        <v>17</v>
      </c>
      <c r="B1159" s="108"/>
      <c r="C1159" s="108"/>
      <c r="D1159" s="109"/>
    </row>
    <row r="1160" spans="1:4" ht="42.75" customHeight="1" thickBot="1">
      <c r="A1160" s="110" t="s">
        <v>20</v>
      </c>
      <c r="B1160" s="111"/>
      <c r="C1160" s="111"/>
      <c r="D1160" s="112"/>
    </row>
    <row r="1161" spans="1:4" ht="42.75" customHeight="1" thickBot="1">
      <c r="A1161" s="113" t="s">
        <v>18</v>
      </c>
      <c r="B1161" s="114"/>
      <c r="C1161" s="114"/>
      <c r="D1161" s="115"/>
    </row>
    <row r="1162" spans="1:4" ht="42.75" customHeight="1" thickBot="1">
      <c r="A1162" s="126" t="s">
        <v>19</v>
      </c>
      <c r="B1162" s="127"/>
      <c r="C1162" s="127"/>
      <c r="D1162" s="128"/>
    </row>
    <row r="1163" spans="1:4" ht="42.75" customHeight="1" thickBot="1">
      <c r="A1163" s="123" t="s">
        <v>11</v>
      </c>
      <c r="B1163" s="124"/>
      <c r="C1163" s="125" t="s">
        <v>603</v>
      </c>
      <c r="D1163" s="124"/>
    </row>
    <row r="1164" spans="1:4" ht="42.75" customHeight="1" thickBot="1">
      <c r="A1164" s="1" t="s">
        <v>686</v>
      </c>
      <c r="B1164" s="26" t="s">
        <v>1</v>
      </c>
      <c r="C1164" s="90" t="s">
        <v>59</v>
      </c>
      <c r="D1164" s="91"/>
    </row>
    <row r="1165" spans="1:4" ht="42.75" customHeight="1" thickBot="1">
      <c r="A1165" s="26"/>
      <c r="B1165" s="26" t="s">
        <v>0</v>
      </c>
      <c r="C1165" s="5" t="s">
        <v>687</v>
      </c>
      <c r="D1165" s="4" t="s">
        <v>2</v>
      </c>
    </row>
    <row r="1166" spans="1:4" ht="42.75" customHeight="1" thickBot="1">
      <c r="A1166" s="92">
        <v>4580</v>
      </c>
      <c r="B1166" s="93"/>
      <c r="C1166" s="94" t="s">
        <v>3</v>
      </c>
      <c r="D1166" s="95"/>
    </row>
    <row r="1167" spans="1:4" ht="42.75" customHeight="1" thickBot="1">
      <c r="A1167" s="92">
        <v>4580</v>
      </c>
      <c r="B1167" s="93"/>
      <c r="C1167" s="96" t="s">
        <v>4</v>
      </c>
      <c r="D1167" s="97"/>
    </row>
    <row r="1168" spans="1:4" ht="42.75" customHeight="1" thickBot="1">
      <c r="A1168" s="98">
        <f>A1167-A1166</f>
        <v>0</v>
      </c>
      <c r="B1168" s="99"/>
      <c r="C1168" s="100" t="s">
        <v>5</v>
      </c>
      <c r="D1168" s="97"/>
    </row>
    <row r="1169" spans="1:4" ht="42.75" customHeight="1" thickBot="1">
      <c r="A1169" s="101">
        <v>62</v>
      </c>
      <c r="B1169" s="102"/>
      <c r="C1169" s="96" t="s">
        <v>6</v>
      </c>
      <c r="D1169" s="97"/>
    </row>
    <row r="1170" spans="1:4" ht="42.75" customHeight="1" thickBot="1">
      <c r="A1170" s="103"/>
      <c r="B1170" s="104"/>
      <c r="C1170" s="96" t="s">
        <v>21</v>
      </c>
      <c r="D1170" s="97"/>
    </row>
    <row r="1171" spans="1:4" ht="42.75" customHeight="1" thickBot="1">
      <c r="A1171" s="105">
        <f>A1169*A1168</f>
        <v>0</v>
      </c>
      <c r="B1171" s="106"/>
      <c r="C1171" s="96" t="s">
        <v>7</v>
      </c>
      <c r="D1171" s="97"/>
    </row>
    <row r="1172" spans="1:4" ht="42.75" customHeight="1" thickBot="1">
      <c r="A1172" s="107" t="s">
        <v>17</v>
      </c>
      <c r="B1172" s="108"/>
      <c r="C1172" s="108"/>
      <c r="D1172" s="109"/>
    </row>
    <row r="1173" spans="1:4" ht="42.75" customHeight="1" thickBot="1">
      <c r="A1173" s="116" t="s">
        <v>20</v>
      </c>
      <c r="B1173" s="117"/>
      <c r="C1173" s="117"/>
      <c r="D1173" s="118"/>
    </row>
    <row r="1174" spans="1:4" ht="42.75" customHeight="1" thickBot="1">
      <c r="A1174" s="113" t="s">
        <v>18</v>
      </c>
      <c r="B1174" s="114"/>
      <c r="C1174" s="114"/>
      <c r="D1174" s="115"/>
    </row>
    <row r="1175" spans="1:4" ht="42.75" customHeight="1" thickBot="1">
      <c r="A1175" s="119"/>
      <c r="B1175" s="119"/>
      <c r="C1175" s="119"/>
      <c r="D1175" s="119"/>
    </row>
    <row r="1176" spans="1:4" ht="42.75" customHeight="1" thickBot="1">
      <c r="A1176" s="126" t="s">
        <v>19</v>
      </c>
      <c r="B1176" s="127"/>
      <c r="C1176" s="127"/>
      <c r="D1176" s="128"/>
    </row>
    <row r="1177" spans="1:4" ht="42.75" customHeight="1" thickBot="1">
      <c r="A1177" s="123" t="s">
        <v>11</v>
      </c>
      <c r="B1177" s="124"/>
      <c r="C1177" s="125" t="s">
        <v>603</v>
      </c>
      <c r="D1177" s="124"/>
    </row>
    <row r="1178" spans="1:4" ht="42.75" customHeight="1" thickBot="1">
      <c r="A1178" s="1" t="s">
        <v>686</v>
      </c>
      <c r="B1178" s="26" t="s">
        <v>1</v>
      </c>
      <c r="C1178" s="90" t="s">
        <v>59</v>
      </c>
      <c r="D1178" s="91"/>
    </row>
    <row r="1179" spans="1:4" ht="42.75" customHeight="1" thickBot="1">
      <c r="A1179" s="26"/>
      <c r="B1179" s="26" t="s">
        <v>0</v>
      </c>
      <c r="C1179" s="5" t="s">
        <v>687</v>
      </c>
      <c r="D1179" s="4" t="s">
        <v>2</v>
      </c>
    </row>
    <row r="1180" spans="1:4" ht="42.75" customHeight="1" thickBot="1">
      <c r="A1180" s="92">
        <v>4560</v>
      </c>
      <c r="B1180" s="93"/>
      <c r="C1180" s="94" t="s">
        <v>3</v>
      </c>
      <c r="D1180" s="95"/>
    </row>
    <row r="1181" spans="1:4" ht="42.75" customHeight="1" thickBot="1">
      <c r="A1181" s="92">
        <v>4580</v>
      </c>
      <c r="B1181" s="93"/>
      <c r="C1181" s="96" t="s">
        <v>4</v>
      </c>
      <c r="D1181" s="97"/>
    </row>
    <row r="1182" spans="1:4" ht="42.75" customHeight="1" thickBot="1">
      <c r="A1182" s="98">
        <f>A1181-A1180</f>
        <v>20</v>
      </c>
      <c r="B1182" s="99"/>
      <c r="C1182" s="100" t="s">
        <v>5</v>
      </c>
      <c r="D1182" s="97"/>
    </row>
    <row r="1183" spans="1:4" ht="42.75" customHeight="1" thickBot="1">
      <c r="A1183" s="101">
        <v>62</v>
      </c>
      <c r="B1183" s="102"/>
      <c r="C1183" s="96" t="s">
        <v>6</v>
      </c>
      <c r="D1183" s="97"/>
    </row>
    <row r="1184" spans="1:4" ht="42.75" customHeight="1" thickBot="1">
      <c r="A1184" s="103"/>
      <c r="B1184" s="104"/>
      <c r="C1184" s="96" t="s">
        <v>21</v>
      </c>
      <c r="D1184" s="97"/>
    </row>
    <row r="1185" spans="1:4" ht="42.75" customHeight="1" thickBot="1">
      <c r="A1185" s="105">
        <v>1250</v>
      </c>
      <c r="B1185" s="106"/>
      <c r="C1185" s="96" t="s">
        <v>7</v>
      </c>
      <c r="D1185" s="97"/>
    </row>
    <row r="1186" spans="1:4" ht="42.75" customHeight="1" thickBot="1">
      <c r="A1186" s="107" t="s">
        <v>17</v>
      </c>
      <c r="B1186" s="108"/>
      <c r="C1186" s="108"/>
      <c r="D1186" s="109"/>
    </row>
    <row r="1187" spans="1:4" ht="42.75" customHeight="1" thickBot="1">
      <c r="A1187" s="110" t="s">
        <v>20</v>
      </c>
      <c r="B1187" s="111"/>
      <c r="C1187" s="111"/>
      <c r="D1187" s="112"/>
    </row>
    <row r="1188" spans="1:4" ht="42.75" customHeight="1" thickBot="1">
      <c r="A1188" s="113" t="s">
        <v>18</v>
      </c>
      <c r="B1188" s="114"/>
      <c r="C1188" s="114"/>
      <c r="D1188" s="115"/>
    </row>
    <row r="1189" spans="1:4" ht="42.75" customHeight="1" thickBot="1">
      <c r="A1189" s="126" t="s">
        <v>19</v>
      </c>
      <c r="B1189" s="127"/>
      <c r="C1189" s="127"/>
      <c r="D1189" s="128"/>
    </row>
    <row r="1190" spans="1:4" ht="42.75" customHeight="1" thickBot="1">
      <c r="A1190" s="123" t="s">
        <v>11</v>
      </c>
      <c r="B1190" s="124"/>
      <c r="C1190" s="125" t="s">
        <v>603</v>
      </c>
      <c r="D1190" s="124"/>
    </row>
    <row r="1191" spans="1:4" ht="42.75" customHeight="1" thickBot="1">
      <c r="A1191" s="1" t="s">
        <v>686</v>
      </c>
      <c r="B1191" s="26" t="s">
        <v>1</v>
      </c>
      <c r="C1191" s="90" t="s">
        <v>60</v>
      </c>
      <c r="D1191" s="91"/>
    </row>
    <row r="1192" spans="1:4" ht="42.75" customHeight="1" thickBot="1">
      <c r="A1192" s="26"/>
      <c r="B1192" s="26" t="s">
        <v>0</v>
      </c>
      <c r="C1192" s="5" t="s">
        <v>687</v>
      </c>
      <c r="D1192" s="4" t="s">
        <v>2</v>
      </c>
    </row>
    <row r="1193" spans="1:4" ht="42.75" customHeight="1" thickBot="1">
      <c r="A1193" s="92">
        <v>6785</v>
      </c>
      <c r="B1193" s="93"/>
      <c r="C1193" s="94" t="s">
        <v>3</v>
      </c>
      <c r="D1193" s="95"/>
    </row>
    <row r="1194" spans="1:4" ht="42.75" customHeight="1" thickBot="1">
      <c r="A1194" s="92">
        <v>6785</v>
      </c>
      <c r="B1194" s="93"/>
      <c r="C1194" s="96" t="s">
        <v>4</v>
      </c>
      <c r="D1194" s="97"/>
    </row>
    <row r="1195" spans="1:4" ht="42.75" customHeight="1" thickBot="1">
      <c r="A1195" s="98">
        <f>A1194-A1193</f>
        <v>0</v>
      </c>
      <c r="B1195" s="99"/>
      <c r="C1195" s="100" t="s">
        <v>5</v>
      </c>
      <c r="D1195" s="97"/>
    </row>
    <row r="1196" spans="1:4" ht="42.75" customHeight="1" thickBot="1">
      <c r="A1196" s="101">
        <v>62</v>
      </c>
      <c r="B1196" s="102"/>
      <c r="C1196" s="96" t="s">
        <v>6</v>
      </c>
      <c r="D1196" s="97"/>
    </row>
    <row r="1197" spans="1:4" ht="42.75" customHeight="1" thickBot="1">
      <c r="A1197" s="103">
        <v>0</v>
      </c>
      <c r="B1197" s="104"/>
      <c r="C1197" s="96" t="s">
        <v>21</v>
      </c>
      <c r="D1197" s="97"/>
    </row>
    <row r="1198" spans="1:4" ht="42.75" customHeight="1" thickBot="1">
      <c r="A1198" s="105">
        <f>A1196*A1195</f>
        <v>0</v>
      </c>
      <c r="B1198" s="106"/>
      <c r="C1198" s="96" t="s">
        <v>7</v>
      </c>
      <c r="D1198" s="97"/>
    </row>
    <row r="1199" spans="1:4" ht="42.75" customHeight="1" thickBot="1">
      <c r="A1199" s="107" t="s">
        <v>17</v>
      </c>
      <c r="B1199" s="108"/>
      <c r="C1199" s="108"/>
      <c r="D1199" s="109"/>
    </row>
    <row r="1200" spans="1:4" ht="42.75" customHeight="1" thickBot="1">
      <c r="A1200" s="116" t="s">
        <v>20</v>
      </c>
      <c r="B1200" s="117"/>
      <c r="C1200" s="117"/>
      <c r="D1200" s="118"/>
    </row>
    <row r="1201" spans="1:4" ht="42.75" customHeight="1" thickBot="1">
      <c r="A1201" s="113" t="s">
        <v>18</v>
      </c>
      <c r="B1201" s="114"/>
      <c r="C1201" s="114"/>
      <c r="D1201" s="115"/>
    </row>
    <row r="1202" spans="1:4" ht="42.75" customHeight="1" thickBot="1">
      <c r="A1202" s="119"/>
      <c r="B1202" s="119"/>
      <c r="C1202" s="119"/>
      <c r="D1202" s="119"/>
    </row>
    <row r="1203" spans="1:4" ht="42.75" customHeight="1" thickBot="1">
      <c r="A1203" s="126" t="s">
        <v>19</v>
      </c>
      <c r="B1203" s="127"/>
      <c r="C1203" s="127"/>
      <c r="D1203" s="128"/>
    </row>
    <row r="1204" spans="1:4" ht="42.75" customHeight="1" thickBot="1">
      <c r="A1204" s="123" t="s">
        <v>11</v>
      </c>
      <c r="B1204" s="124"/>
      <c r="C1204" s="125" t="s">
        <v>603</v>
      </c>
      <c r="D1204" s="124"/>
    </row>
    <row r="1205" spans="1:4" ht="42.75" customHeight="1" thickBot="1">
      <c r="A1205" s="1" t="s">
        <v>686</v>
      </c>
      <c r="B1205" s="26" t="s">
        <v>1</v>
      </c>
      <c r="C1205" s="90" t="s">
        <v>60</v>
      </c>
      <c r="D1205" s="91"/>
    </row>
    <row r="1206" spans="1:4" ht="42.75" customHeight="1" thickBot="1">
      <c r="A1206" s="26"/>
      <c r="B1206" s="26" t="s">
        <v>0</v>
      </c>
      <c r="C1206" s="5" t="s">
        <v>687</v>
      </c>
      <c r="D1206" s="4" t="s">
        <v>2</v>
      </c>
    </row>
    <row r="1207" spans="1:4" ht="42.75" customHeight="1" thickBot="1">
      <c r="A1207" s="92">
        <v>6770</v>
      </c>
      <c r="B1207" s="93"/>
      <c r="C1207" s="94" t="s">
        <v>3</v>
      </c>
      <c r="D1207" s="95"/>
    </row>
    <row r="1208" spans="1:4" ht="42.75" customHeight="1" thickBot="1">
      <c r="A1208" s="92">
        <v>6785</v>
      </c>
      <c r="B1208" s="93"/>
      <c r="C1208" s="96" t="s">
        <v>4</v>
      </c>
      <c r="D1208" s="97"/>
    </row>
    <row r="1209" spans="1:4" ht="42.75" customHeight="1" thickBot="1">
      <c r="A1209" s="98">
        <f>A1208-A1207</f>
        <v>15</v>
      </c>
      <c r="B1209" s="99"/>
      <c r="C1209" s="100" t="s">
        <v>5</v>
      </c>
      <c r="D1209" s="97"/>
    </row>
    <row r="1210" spans="1:4" ht="42.75" customHeight="1" thickBot="1">
      <c r="A1210" s="101">
        <v>62</v>
      </c>
      <c r="B1210" s="102"/>
      <c r="C1210" s="96" t="s">
        <v>6</v>
      </c>
      <c r="D1210" s="97"/>
    </row>
    <row r="1211" spans="1:4" ht="42.75" customHeight="1" thickBot="1">
      <c r="A1211" s="103">
        <v>0</v>
      </c>
      <c r="B1211" s="104"/>
      <c r="C1211" s="96" t="s">
        <v>21</v>
      </c>
      <c r="D1211" s="97"/>
    </row>
    <row r="1212" spans="1:4" ht="42.75" customHeight="1" thickBot="1">
      <c r="A1212" s="105">
        <v>950</v>
      </c>
      <c r="B1212" s="106"/>
      <c r="C1212" s="96" t="s">
        <v>7</v>
      </c>
      <c r="D1212" s="97"/>
    </row>
    <row r="1213" spans="1:4" ht="42.75" customHeight="1" thickBot="1">
      <c r="A1213" s="107" t="s">
        <v>17</v>
      </c>
      <c r="B1213" s="108"/>
      <c r="C1213" s="108"/>
      <c r="D1213" s="109"/>
    </row>
    <row r="1214" spans="1:4" ht="42.75" customHeight="1" thickBot="1">
      <c r="A1214" s="110" t="s">
        <v>20</v>
      </c>
      <c r="B1214" s="111"/>
      <c r="C1214" s="111"/>
      <c r="D1214" s="112"/>
    </row>
    <row r="1215" spans="1:4" ht="42.75" customHeight="1" thickBot="1">
      <c r="A1215" s="113" t="s">
        <v>18</v>
      </c>
      <c r="B1215" s="114"/>
      <c r="C1215" s="114"/>
      <c r="D1215" s="115"/>
    </row>
    <row r="1216" spans="1:4" ht="42.75" customHeight="1" thickBot="1">
      <c r="A1216" s="126" t="s">
        <v>19</v>
      </c>
      <c r="B1216" s="127"/>
      <c r="C1216" s="127"/>
      <c r="D1216" s="128"/>
    </row>
    <row r="1217" spans="1:4" ht="42.75" customHeight="1" thickBot="1">
      <c r="A1217" s="123" t="s">
        <v>11</v>
      </c>
      <c r="B1217" s="124"/>
      <c r="C1217" s="125" t="s">
        <v>603</v>
      </c>
      <c r="D1217" s="124"/>
    </row>
    <row r="1218" spans="1:4" ht="42.75" customHeight="1" thickBot="1">
      <c r="A1218" s="1" t="s">
        <v>686</v>
      </c>
      <c r="B1218" s="26" t="s">
        <v>1</v>
      </c>
      <c r="C1218" s="90" t="s">
        <v>62</v>
      </c>
      <c r="D1218" s="91"/>
    </row>
    <row r="1219" spans="1:4" ht="42.75" customHeight="1" thickBot="1">
      <c r="A1219" s="26"/>
      <c r="B1219" s="26" t="s">
        <v>0</v>
      </c>
      <c r="C1219" s="5" t="s">
        <v>687</v>
      </c>
      <c r="D1219" s="4" t="s">
        <v>2</v>
      </c>
    </row>
    <row r="1220" spans="1:4" ht="42.75" customHeight="1" thickBot="1">
      <c r="A1220" s="92">
        <v>1246</v>
      </c>
      <c r="B1220" s="93"/>
      <c r="C1220" s="94" t="s">
        <v>3</v>
      </c>
      <c r="D1220" s="95"/>
    </row>
    <row r="1221" spans="1:4" ht="42.75" customHeight="1" thickBot="1">
      <c r="A1221" s="92">
        <v>1246</v>
      </c>
      <c r="B1221" s="93"/>
      <c r="C1221" s="96" t="s">
        <v>4</v>
      </c>
      <c r="D1221" s="97"/>
    </row>
    <row r="1222" spans="1:4" ht="42.75" customHeight="1" thickBot="1">
      <c r="A1222" s="98">
        <f>A1221-A1220</f>
        <v>0</v>
      </c>
      <c r="B1222" s="99"/>
      <c r="C1222" s="100" t="s">
        <v>5</v>
      </c>
      <c r="D1222" s="97"/>
    </row>
    <row r="1223" spans="1:4" ht="42.75" customHeight="1" thickBot="1">
      <c r="A1223" s="101">
        <v>62</v>
      </c>
      <c r="B1223" s="102"/>
      <c r="C1223" s="96" t="s">
        <v>6</v>
      </c>
      <c r="D1223" s="97"/>
    </row>
    <row r="1224" spans="1:4" ht="42.75" customHeight="1" thickBot="1">
      <c r="A1224" s="103"/>
      <c r="B1224" s="104"/>
      <c r="C1224" s="96" t="s">
        <v>21</v>
      </c>
      <c r="D1224" s="97"/>
    </row>
    <row r="1225" spans="1:4" ht="42.75" customHeight="1" thickBot="1">
      <c r="A1225" s="105">
        <f>A1223*A1222</f>
        <v>0</v>
      </c>
      <c r="B1225" s="106"/>
      <c r="C1225" s="96" t="s">
        <v>7</v>
      </c>
      <c r="D1225" s="97"/>
    </row>
    <row r="1226" spans="1:4" ht="42.75" customHeight="1" thickBot="1">
      <c r="A1226" s="107" t="s">
        <v>17</v>
      </c>
      <c r="B1226" s="108"/>
      <c r="C1226" s="108"/>
      <c r="D1226" s="109"/>
    </row>
    <row r="1227" spans="1:4" ht="42.75" customHeight="1" thickBot="1">
      <c r="A1227" s="116" t="s">
        <v>20</v>
      </c>
      <c r="B1227" s="117"/>
      <c r="C1227" s="117"/>
      <c r="D1227" s="118"/>
    </row>
    <row r="1228" spans="1:4" ht="42.75" customHeight="1" thickBot="1">
      <c r="A1228" s="113" t="s">
        <v>18</v>
      </c>
      <c r="B1228" s="114"/>
      <c r="C1228" s="114"/>
      <c r="D1228" s="115"/>
    </row>
    <row r="1229" spans="1:4" ht="42.75" customHeight="1" thickBot="1">
      <c r="A1229" s="119"/>
      <c r="B1229" s="119"/>
      <c r="C1229" s="119"/>
      <c r="D1229" s="119"/>
    </row>
    <row r="1230" spans="1:4" ht="42.75" customHeight="1" thickBot="1">
      <c r="A1230" s="126" t="s">
        <v>19</v>
      </c>
      <c r="B1230" s="127"/>
      <c r="C1230" s="127"/>
      <c r="D1230" s="128"/>
    </row>
    <row r="1231" spans="1:4" ht="42.75" customHeight="1" thickBot="1">
      <c r="A1231" s="123" t="s">
        <v>11</v>
      </c>
      <c r="B1231" s="124"/>
      <c r="C1231" s="125" t="s">
        <v>603</v>
      </c>
      <c r="D1231" s="124"/>
    </row>
    <row r="1232" spans="1:4" ht="42.75" customHeight="1" thickBot="1">
      <c r="A1232" s="1" t="s">
        <v>686</v>
      </c>
      <c r="B1232" s="26" t="s">
        <v>1</v>
      </c>
      <c r="C1232" s="90" t="s">
        <v>62</v>
      </c>
      <c r="D1232" s="91"/>
    </row>
    <row r="1233" spans="1:4" ht="42.75" customHeight="1" thickBot="1">
      <c r="A1233" s="26"/>
      <c r="B1233" s="26" t="s">
        <v>0</v>
      </c>
      <c r="C1233" s="5" t="s">
        <v>687</v>
      </c>
      <c r="D1233" s="4" t="s">
        <v>2</v>
      </c>
    </row>
    <row r="1234" spans="1:4" ht="42.75" customHeight="1" thickBot="1">
      <c r="A1234" s="92">
        <v>1206</v>
      </c>
      <c r="B1234" s="93"/>
      <c r="C1234" s="94" t="s">
        <v>3</v>
      </c>
      <c r="D1234" s="95"/>
    </row>
    <row r="1235" spans="1:4" ht="42.75" customHeight="1" thickBot="1">
      <c r="A1235" s="92">
        <v>1246</v>
      </c>
      <c r="B1235" s="93"/>
      <c r="C1235" s="96" t="s">
        <v>4</v>
      </c>
      <c r="D1235" s="97"/>
    </row>
    <row r="1236" spans="1:4" ht="42.75" customHeight="1" thickBot="1">
      <c r="A1236" s="98">
        <f>A1235-A1234</f>
        <v>40</v>
      </c>
      <c r="B1236" s="99"/>
      <c r="C1236" s="100" t="s">
        <v>5</v>
      </c>
      <c r="D1236" s="97"/>
    </row>
    <row r="1237" spans="1:4" ht="42.75" customHeight="1" thickBot="1">
      <c r="A1237" s="101">
        <v>62</v>
      </c>
      <c r="B1237" s="102"/>
      <c r="C1237" s="96" t="s">
        <v>6</v>
      </c>
      <c r="D1237" s="97"/>
    </row>
    <row r="1238" spans="1:4" ht="42.75" customHeight="1" thickBot="1">
      <c r="A1238" s="103"/>
      <c r="B1238" s="104"/>
      <c r="C1238" s="96" t="s">
        <v>21</v>
      </c>
      <c r="D1238" s="97"/>
    </row>
    <row r="1239" spans="1:4" ht="42.75" customHeight="1" thickBot="1">
      <c r="A1239" s="105">
        <v>2500</v>
      </c>
      <c r="B1239" s="106"/>
      <c r="C1239" s="96" t="s">
        <v>7</v>
      </c>
      <c r="D1239" s="97"/>
    </row>
    <row r="1240" spans="1:4" ht="42.75" customHeight="1" thickBot="1">
      <c r="A1240" s="107" t="s">
        <v>17</v>
      </c>
      <c r="B1240" s="108"/>
      <c r="C1240" s="108"/>
      <c r="D1240" s="109"/>
    </row>
    <row r="1241" spans="1:4" ht="42.75" customHeight="1" thickBot="1">
      <c r="A1241" s="110" t="s">
        <v>20</v>
      </c>
      <c r="B1241" s="111"/>
      <c r="C1241" s="111"/>
      <c r="D1241" s="112"/>
    </row>
    <row r="1242" spans="1:4" ht="42.75" customHeight="1" thickBot="1">
      <c r="A1242" s="113" t="s">
        <v>18</v>
      </c>
      <c r="B1242" s="114"/>
      <c r="C1242" s="114"/>
      <c r="D1242" s="115"/>
    </row>
    <row r="1243" spans="1:4" ht="42.75" customHeight="1" thickBot="1">
      <c r="A1243" s="126" t="s">
        <v>19</v>
      </c>
      <c r="B1243" s="127"/>
      <c r="C1243" s="127"/>
      <c r="D1243" s="128"/>
    </row>
    <row r="1244" spans="1:4" ht="42.75" customHeight="1" thickBot="1">
      <c r="A1244" s="123" t="s">
        <v>11</v>
      </c>
      <c r="B1244" s="124"/>
      <c r="C1244" s="125" t="s">
        <v>603</v>
      </c>
      <c r="D1244" s="124"/>
    </row>
    <row r="1245" spans="1:4" ht="42.75" customHeight="1" thickBot="1">
      <c r="A1245" s="1" t="s">
        <v>686</v>
      </c>
      <c r="B1245" s="26" t="s">
        <v>1</v>
      </c>
      <c r="C1245" s="90" t="s">
        <v>63</v>
      </c>
      <c r="D1245" s="91"/>
    </row>
    <row r="1246" spans="1:4" ht="42.75" customHeight="1" thickBot="1">
      <c r="A1246" s="26"/>
      <c r="B1246" s="26" t="s">
        <v>0</v>
      </c>
      <c r="C1246" s="5" t="s">
        <v>687</v>
      </c>
      <c r="D1246" s="4" t="s">
        <v>2</v>
      </c>
    </row>
    <row r="1247" spans="1:4" ht="42.75" customHeight="1" thickBot="1">
      <c r="A1247" s="92">
        <v>945</v>
      </c>
      <c r="B1247" s="93"/>
      <c r="C1247" s="94" t="s">
        <v>3</v>
      </c>
      <c r="D1247" s="95"/>
    </row>
    <row r="1248" spans="1:4" ht="42.75" customHeight="1" thickBot="1">
      <c r="A1248" s="92">
        <v>945</v>
      </c>
      <c r="B1248" s="93"/>
      <c r="C1248" s="96" t="s">
        <v>4</v>
      </c>
      <c r="D1248" s="97"/>
    </row>
    <row r="1249" spans="1:4" ht="42.75" customHeight="1" thickBot="1">
      <c r="A1249" s="98">
        <f>A1248-A1247</f>
        <v>0</v>
      </c>
      <c r="B1249" s="99"/>
      <c r="C1249" s="100" t="s">
        <v>5</v>
      </c>
      <c r="D1249" s="97"/>
    </row>
    <row r="1250" spans="1:4" ht="42.75" customHeight="1" thickBot="1">
      <c r="A1250" s="101">
        <v>62</v>
      </c>
      <c r="B1250" s="102"/>
      <c r="C1250" s="96" t="s">
        <v>6</v>
      </c>
      <c r="D1250" s="97"/>
    </row>
    <row r="1251" spans="1:4" ht="42.75" customHeight="1" thickBot="1">
      <c r="A1251" s="103"/>
      <c r="B1251" s="104"/>
      <c r="C1251" s="96" t="s">
        <v>21</v>
      </c>
      <c r="D1251" s="97"/>
    </row>
    <row r="1252" spans="1:4" ht="42.75" customHeight="1" thickBot="1">
      <c r="A1252" s="105">
        <f>A1250*A1249</f>
        <v>0</v>
      </c>
      <c r="B1252" s="106"/>
      <c r="C1252" s="96" t="s">
        <v>7</v>
      </c>
      <c r="D1252" s="97"/>
    </row>
    <row r="1253" spans="1:4" ht="42.75" customHeight="1" thickBot="1">
      <c r="A1253" s="107" t="s">
        <v>17</v>
      </c>
      <c r="B1253" s="108"/>
      <c r="C1253" s="108"/>
      <c r="D1253" s="109"/>
    </row>
    <row r="1254" spans="1:4" ht="42.75" customHeight="1" thickBot="1">
      <c r="A1254" s="116" t="s">
        <v>20</v>
      </c>
      <c r="B1254" s="117"/>
      <c r="C1254" s="117"/>
      <c r="D1254" s="118"/>
    </row>
    <row r="1255" spans="1:4" ht="42.75" customHeight="1" thickBot="1">
      <c r="A1255" s="113" t="s">
        <v>18</v>
      </c>
      <c r="B1255" s="114"/>
      <c r="C1255" s="114"/>
      <c r="D1255" s="115"/>
    </row>
    <row r="1256" spans="1:4" ht="42.75" customHeight="1" thickBot="1">
      <c r="A1256" s="119"/>
      <c r="B1256" s="119"/>
      <c r="C1256" s="119"/>
      <c r="D1256" s="119"/>
    </row>
    <row r="1257" spans="1:4" ht="42.75" customHeight="1" thickBot="1">
      <c r="A1257" s="126" t="s">
        <v>19</v>
      </c>
      <c r="B1257" s="127"/>
      <c r="C1257" s="127"/>
      <c r="D1257" s="128"/>
    </row>
    <row r="1258" spans="1:4" ht="42.75" customHeight="1" thickBot="1">
      <c r="A1258" s="123" t="s">
        <v>11</v>
      </c>
      <c r="B1258" s="124"/>
      <c r="C1258" s="125" t="s">
        <v>603</v>
      </c>
      <c r="D1258" s="124"/>
    </row>
    <row r="1259" spans="1:4" ht="42.75" customHeight="1" thickBot="1">
      <c r="A1259" s="1" t="s">
        <v>686</v>
      </c>
      <c r="B1259" s="26" t="s">
        <v>1</v>
      </c>
      <c r="C1259" s="90" t="s">
        <v>63</v>
      </c>
      <c r="D1259" s="91"/>
    </row>
    <row r="1260" spans="1:4" ht="42.75" customHeight="1" thickBot="1">
      <c r="A1260" s="26"/>
      <c r="B1260" s="26" t="s">
        <v>0</v>
      </c>
      <c r="C1260" s="5" t="s">
        <v>687</v>
      </c>
      <c r="D1260" s="4" t="s">
        <v>2</v>
      </c>
    </row>
    <row r="1261" spans="1:4" ht="42.75" customHeight="1" thickBot="1">
      <c r="A1261" s="92">
        <v>932</v>
      </c>
      <c r="B1261" s="93"/>
      <c r="C1261" s="94" t="s">
        <v>3</v>
      </c>
      <c r="D1261" s="95"/>
    </row>
    <row r="1262" spans="1:4" ht="42.75" customHeight="1" thickBot="1">
      <c r="A1262" s="92">
        <v>945</v>
      </c>
      <c r="B1262" s="93"/>
      <c r="C1262" s="96" t="s">
        <v>4</v>
      </c>
      <c r="D1262" s="97"/>
    </row>
    <row r="1263" spans="1:4" ht="42.75" customHeight="1" thickBot="1">
      <c r="A1263" s="98">
        <f>A1262-A1261</f>
        <v>13</v>
      </c>
      <c r="B1263" s="99"/>
      <c r="C1263" s="100" t="s">
        <v>5</v>
      </c>
      <c r="D1263" s="97"/>
    </row>
    <row r="1264" spans="1:4" ht="42.75" customHeight="1" thickBot="1">
      <c r="A1264" s="101">
        <v>62</v>
      </c>
      <c r="B1264" s="102"/>
      <c r="C1264" s="96" t="s">
        <v>6</v>
      </c>
      <c r="D1264" s="97"/>
    </row>
    <row r="1265" spans="1:4" ht="42.75" customHeight="1" thickBot="1">
      <c r="A1265" s="103"/>
      <c r="B1265" s="104"/>
      <c r="C1265" s="96" t="s">
        <v>21</v>
      </c>
      <c r="D1265" s="97"/>
    </row>
    <row r="1266" spans="1:4" ht="42.75" customHeight="1" thickBot="1">
      <c r="A1266" s="105">
        <f>A1264*A1263</f>
        <v>806</v>
      </c>
      <c r="B1266" s="106"/>
      <c r="C1266" s="96" t="s">
        <v>7</v>
      </c>
      <c r="D1266" s="97"/>
    </row>
    <row r="1267" spans="1:4" ht="42.75" customHeight="1" thickBot="1">
      <c r="A1267" s="107" t="s">
        <v>17</v>
      </c>
      <c r="B1267" s="108"/>
      <c r="C1267" s="108"/>
      <c r="D1267" s="109"/>
    </row>
    <row r="1268" spans="1:4" ht="42.75" customHeight="1" thickBot="1">
      <c r="A1268" s="110" t="s">
        <v>20</v>
      </c>
      <c r="B1268" s="111"/>
      <c r="C1268" s="111"/>
      <c r="D1268" s="112"/>
    </row>
    <row r="1269" spans="1:4" ht="42.75" customHeight="1" thickBot="1">
      <c r="A1269" s="113" t="s">
        <v>18</v>
      </c>
      <c r="B1269" s="114"/>
      <c r="C1269" s="114"/>
      <c r="D1269" s="115"/>
    </row>
    <row r="1270" spans="1:4" ht="42.75" customHeight="1" thickBot="1">
      <c r="A1270" s="126" t="s">
        <v>19</v>
      </c>
      <c r="B1270" s="127"/>
      <c r="C1270" s="127"/>
      <c r="D1270" s="128"/>
    </row>
    <row r="1271" spans="1:4" ht="42.75" customHeight="1" thickBot="1">
      <c r="A1271" s="123" t="s">
        <v>11</v>
      </c>
      <c r="B1271" s="124"/>
      <c r="C1271" s="125" t="s">
        <v>603</v>
      </c>
      <c r="D1271" s="124"/>
    </row>
    <row r="1272" spans="1:4" ht="42.75" customHeight="1" thickBot="1">
      <c r="A1272" s="1" t="s">
        <v>686</v>
      </c>
      <c r="B1272" s="26" t="s">
        <v>1</v>
      </c>
      <c r="C1272" s="90" t="s">
        <v>64</v>
      </c>
      <c r="D1272" s="91"/>
    </row>
    <row r="1273" spans="1:4" ht="42.75" customHeight="1" thickBot="1">
      <c r="A1273" s="26"/>
      <c r="B1273" s="26" t="s">
        <v>0</v>
      </c>
      <c r="C1273" s="5" t="s">
        <v>687</v>
      </c>
      <c r="D1273" s="4" t="s">
        <v>2</v>
      </c>
    </row>
    <row r="1274" spans="1:4" ht="42.75" customHeight="1" thickBot="1">
      <c r="A1274" s="92">
        <v>268</v>
      </c>
      <c r="B1274" s="93"/>
      <c r="C1274" s="94" t="s">
        <v>3</v>
      </c>
      <c r="D1274" s="95"/>
    </row>
    <row r="1275" spans="1:4" ht="42.75" customHeight="1" thickBot="1">
      <c r="A1275" s="92">
        <v>268</v>
      </c>
      <c r="B1275" s="93"/>
      <c r="C1275" s="96" t="s">
        <v>4</v>
      </c>
      <c r="D1275" s="97"/>
    </row>
    <row r="1276" spans="1:4" ht="42.75" customHeight="1" thickBot="1">
      <c r="A1276" s="98">
        <f>A1275-A1274</f>
        <v>0</v>
      </c>
      <c r="B1276" s="99"/>
      <c r="C1276" s="100" t="s">
        <v>5</v>
      </c>
      <c r="D1276" s="97"/>
    </row>
    <row r="1277" spans="1:4" ht="42.75" customHeight="1" thickBot="1">
      <c r="A1277" s="101">
        <v>62</v>
      </c>
      <c r="B1277" s="102"/>
      <c r="C1277" s="96" t="s">
        <v>6</v>
      </c>
      <c r="D1277" s="97"/>
    </row>
    <row r="1278" spans="1:4" ht="42.75" customHeight="1" thickBot="1">
      <c r="A1278" s="103"/>
      <c r="B1278" s="104"/>
      <c r="C1278" s="96" t="s">
        <v>21</v>
      </c>
      <c r="D1278" s="97"/>
    </row>
    <row r="1279" spans="1:4" ht="42.75" customHeight="1" thickBot="1">
      <c r="A1279" s="105">
        <f>A1277*A1276</f>
        <v>0</v>
      </c>
      <c r="B1279" s="106"/>
      <c r="C1279" s="96" t="s">
        <v>7</v>
      </c>
      <c r="D1279" s="97"/>
    </row>
    <row r="1280" spans="1:4" ht="42.75" customHeight="1" thickBot="1">
      <c r="A1280" s="107" t="s">
        <v>17</v>
      </c>
      <c r="B1280" s="108"/>
      <c r="C1280" s="108"/>
      <c r="D1280" s="109"/>
    </row>
    <row r="1281" spans="1:4" ht="42.75" customHeight="1" thickBot="1">
      <c r="A1281" s="116" t="s">
        <v>20</v>
      </c>
      <c r="B1281" s="117"/>
      <c r="C1281" s="117"/>
      <c r="D1281" s="118"/>
    </row>
    <row r="1282" spans="1:4" ht="42.75" customHeight="1" thickBot="1">
      <c r="A1282" s="113" t="s">
        <v>18</v>
      </c>
      <c r="B1282" s="114"/>
      <c r="C1282" s="114"/>
      <c r="D1282" s="115"/>
    </row>
    <row r="1283" spans="1:4" ht="42.75" customHeight="1" thickBot="1">
      <c r="A1283" s="119"/>
      <c r="B1283" s="119"/>
      <c r="C1283" s="119"/>
      <c r="D1283" s="119"/>
    </row>
    <row r="1284" spans="1:4" ht="42.75" customHeight="1" thickBot="1">
      <c r="A1284" s="126" t="s">
        <v>19</v>
      </c>
      <c r="B1284" s="127"/>
      <c r="C1284" s="127"/>
      <c r="D1284" s="128"/>
    </row>
    <row r="1285" spans="1:4" ht="42.75" customHeight="1" thickBot="1">
      <c r="A1285" s="123" t="s">
        <v>11</v>
      </c>
      <c r="B1285" s="124"/>
      <c r="C1285" s="125" t="s">
        <v>603</v>
      </c>
      <c r="D1285" s="124"/>
    </row>
    <row r="1286" spans="1:4" ht="42.75" customHeight="1" thickBot="1">
      <c r="A1286" s="1" t="s">
        <v>686</v>
      </c>
      <c r="B1286" s="26" t="s">
        <v>1</v>
      </c>
      <c r="C1286" s="90" t="s">
        <v>64</v>
      </c>
      <c r="D1286" s="91"/>
    </row>
    <row r="1287" spans="1:4" ht="42.75" customHeight="1" thickBot="1">
      <c r="A1287" s="26"/>
      <c r="B1287" s="26" t="s">
        <v>0</v>
      </c>
      <c r="C1287" s="5" t="s">
        <v>687</v>
      </c>
      <c r="D1287" s="4" t="s">
        <v>2</v>
      </c>
    </row>
    <row r="1288" spans="1:4" ht="42.75" customHeight="1" thickBot="1">
      <c r="A1288" s="92">
        <v>259</v>
      </c>
      <c r="B1288" s="93"/>
      <c r="C1288" s="94" t="s">
        <v>3</v>
      </c>
      <c r="D1288" s="95"/>
    </row>
    <row r="1289" spans="1:4" ht="42.75" customHeight="1" thickBot="1">
      <c r="A1289" s="92">
        <v>268</v>
      </c>
      <c r="B1289" s="93"/>
      <c r="C1289" s="96" t="s">
        <v>4</v>
      </c>
      <c r="D1289" s="97"/>
    </row>
    <row r="1290" spans="1:4" ht="42.75" customHeight="1" thickBot="1">
      <c r="A1290" s="98">
        <v>10</v>
      </c>
      <c r="B1290" s="99"/>
      <c r="C1290" s="100" t="s">
        <v>5</v>
      </c>
      <c r="D1290" s="97"/>
    </row>
    <row r="1291" spans="1:4" ht="42.75" customHeight="1" thickBot="1">
      <c r="A1291" s="101">
        <v>62</v>
      </c>
      <c r="B1291" s="102"/>
      <c r="C1291" s="96" t="s">
        <v>6</v>
      </c>
      <c r="D1291" s="97"/>
    </row>
    <row r="1292" spans="1:4" ht="42.75" customHeight="1" thickBot="1">
      <c r="A1292" s="103"/>
      <c r="B1292" s="104"/>
      <c r="C1292" s="96" t="s">
        <v>21</v>
      </c>
      <c r="D1292" s="97"/>
    </row>
    <row r="1293" spans="1:4" ht="42.75" customHeight="1" thickBot="1">
      <c r="A1293" s="105">
        <v>600</v>
      </c>
      <c r="B1293" s="106"/>
      <c r="C1293" s="96" t="s">
        <v>7</v>
      </c>
      <c r="D1293" s="97"/>
    </row>
    <row r="1294" spans="1:4" ht="42.75" customHeight="1" thickBot="1">
      <c r="A1294" s="107" t="s">
        <v>17</v>
      </c>
      <c r="B1294" s="108"/>
      <c r="C1294" s="108"/>
      <c r="D1294" s="109"/>
    </row>
    <row r="1295" spans="1:4" ht="42.75" customHeight="1" thickBot="1">
      <c r="A1295" s="110" t="s">
        <v>20</v>
      </c>
      <c r="B1295" s="111"/>
      <c r="C1295" s="111"/>
      <c r="D1295" s="112"/>
    </row>
    <row r="1296" spans="1:4" ht="42.75" customHeight="1" thickBot="1">
      <c r="A1296" s="113" t="s">
        <v>18</v>
      </c>
      <c r="B1296" s="114"/>
      <c r="C1296" s="114"/>
      <c r="D1296" s="115"/>
    </row>
    <row r="1297" spans="1:4" ht="42.75" customHeight="1" thickBot="1">
      <c r="A1297" s="126" t="s">
        <v>19</v>
      </c>
      <c r="B1297" s="127"/>
      <c r="C1297" s="127"/>
      <c r="D1297" s="128"/>
    </row>
    <row r="1298" spans="1:4" ht="42.75" customHeight="1" thickBot="1">
      <c r="A1298" s="123" t="s">
        <v>11</v>
      </c>
      <c r="B1298" s="124"/>
      <c r="C1298" s="125" t="s">
        <v>603</v>
      </c>
      <c r="D1298" s="124"/>
    </row>
    <row r="1299" spans="1:4" ht="42.75" customHeight="1" thickBot="1">
      <c r="A1299" s="1" t="s">
        <v>686</v>
      </c>
      <c r="B1299" s="26" t="s">
        <v>1</v>
      </c>
      <c r="C1299" s="90" t="s">
        <v>571</v>
      </c>
      <c r="D1299" s="91"/>
    </row>
    <row r="1300" spans="1:4" ht="42.75" customHeight="1" thickBot="1">
      <c r="A1300" s="26"/>
      <c r="B1300" s="26" t="s">
        <v>0</v>
      </c>
      <c r="C1300" s="5" t="s">
        <v>687</v>
      </c>
      <c r="D1300" s="4" t="s">
        <v>2</v>
      </c>
    </row>
    <row r="1301" spans="1:4" ht="42.75" customHeight="1" thickBot="1">
      <c r="A1301" s="92">
        <v>950</v>
      </c>
      <c r="B1301" s="93"/>
      <c r="C1301" s="94" t="s">
        <v>3</v>
      </c>
      <c r="D1301" s="95"/>
    </row>
    <row r="1302" spans="1:4" ht="42.75" customHeight="1" thickBot="1">
      <c r="A1302" s="92">
        <v>950</v>
      </c>
      <c r="B1302" s="93"/>
      <c r="C1302" s="96" t="s">
        <v>4</v>
      </c>
      <c r="D1302" s="97"/>
    </row>
    <row r="1303" spans="1:4" ht="42.75" customHeight="1" thickBot="1">
      <c r="A1303" s="98">
        <f>A1302-A1301</f>
        <v>0</v>
      </c>
      <c r="B1303" s="99"/>
      <c r="C1303" s="100" t="s">
        <v>5</v>
      </c>
      <c r="D1303" s="97"/>
    </row>
    <row r="1304" spans="1:4" ht="42.75" customHeight="1" thickBot="1">
      <c r="A1304" s="101">
        <v>62</v>
      </c>
      <c r="B1304" s="102"/>
      <c r="C1304" s="96" t="s">
        <v>6</v>
      </c>
      <c r="D1304" s="97"/>
    </row>
    <row r="1305" spans="1:4" ht="42.75" customHeight="1" thickBot="1">
      <c r="A1305" s="103"/>
      <c r="B1305" s="104"/>
      <c r="C1305" s="96" t="s">
        <v>21</v>
      </c>
      <c r="D1305" s="97"/>
    </row>
    <row r="1306" spans="1:4" ht="42.75" customHeight="1" thickBot="1">
      <c r="A1306" s="105">
        <f>A1304*A1303</f>
        <v>0</v>
      </c>
      <c r="B1306" s="106"/>
      <c r="C1306" s="96" t="s">
        <v>7</v>
      </c>
      <c r="D1306" s="97"/>
    </row>
    <row r="1307" spans="1:4" ht="42.75" customHeight="1" thickBot="1">
      <c r="A1307" s="107" t="s">
        <v>17</v>
      </c>
      <c r="B1307" s="108"/>
      <c r="C1307" s="108"/>
      <c r="D1307" s="109"/>
    </row>
    <row r="1308" spans="1:4" ht="42.75" customHeight="1" thickBot="1">
      <c r="A1308" s="116" t="s">
        <v>20</v>
      </c>
      <c r="B1308" s="117"/>
      <c r="C1308" s="117"/>
      <c r="D1308" s="118"/>
    </row>
    <row r="1309" spans="1:4" ht="42.75" customHeight="1" thickBot="1">
      <c r="A1309" s="113" t="s">
        <v>18</v>
      </c>
      <c r="B1309" s="114"/>
      <c r="C1309" s="114"/>
      <c r="D1309" s="115"/>
    </row>
    <row r="1310" spans="1:4" ht="42.75" customHeight="1" thickBot="1">
      <c r="A1310" s="119"/>
      <c r="B1310" s="119"/>
      <c r="C1310" s="119"/>
      <c r="D1310" s="119"/>
    </row>
    <row r="1311" spans="1:4" ht="42.75" customHeight="1" thickBot="1">
      <c r="A1311" s="126" t="s">
        <v>19</v>
      </c>
      <c r="B1311" s="127"/>
      <c r="C1311" s="127"/>
      <c r="D1311" s="128"/>
    </row>
    <row r="1312" spans="1:4" ht="42.75" customHeight="1" thickBot="1">
      <c r="A1312" s="123" t="s">
        <v>11</v>
      </c>
      <c r="B1312" s="124"/>
      <c r="C1312" s="125" t="s">
        <v>603</v>
      </c>
      <c r="D1312" s="124"/>
    </row>
    <row r="1313" spans="1:4" ht="42.75" customHeight="1" thickBot="1">
      <c r="A1313" s="1" t="s">
        <v>686</v>
      </c>
      <c r="B1313" s="26" t="s">
        <v>1</v>
      </c>
      <c r="C1313" s="90" t="s">
        <v>571</v>
      </c>
      <c r="D1313" s="91"/>
    </row>
    <row r="1314" spans="1:4" ht="42.75" customHeight="1" thickBot="1">
      <c r="A1314" s="26"/>
      <c r="B1314" s="26" t="s">
        <v>0</v>
      </c>
      <c r="C1314" s="5" t="s">
        <v>687</v>
      </c>
      <c r="D1314" s="4" t="s">
        <v>2</v>
      </c>
    </row>
    <row r="1315" spans="1:4" ht="42.75" customHeight="1" thickBot="1">
      <c r="A1315" s="92">
        <v>915</v>
      </c>
      <c r="B1315" s="93"/>
      <c r="C1315" s="94" t="s">
        <v>3</v>
      </c>
      <c r="D1315" s="95"/>
    </row>
    <row r="1316" spans="1:4" ht="42.75" customHeight="1" thickBot="1">
      <c r="A1316" s="92">
        <v>950</v>
      </c>
      <c r="B1316" s="93"/>
      <c r="C1316" s="96" t="s">
        <v>4</v>
      </c>
      <c r="D1316" s="97"/>
    </row>
    <row r="1317" spans="1:4" ht="42.75" customHeight="1" thickBot="1">
      <c r="A1317" s="98">
        <f>A1316-A1315</f>
        <v>35</v>
      </c>
      <c r="B1317" s="99"/>
      <c r="C1317" s="100" t="s">
        <v>5</v>
      </c>
      <c r="D1317" s="97"/>
    </row>
    <row r="1318" spans="1:4" ht="42.75" customHeight="1" thickBot="1">
      <c r="A1318" s="101">
        <v>62</v>
      </c>
      <c r="B1318" s="102"/>
      <c r="C1318" s="96" t="s">
        <v>6</v>
      </c>
      <c r="D1318" s="97"/>
    </row>
    <row r="1319" spans="1:4" ht="42.75" customHeight="1" thickBot="1">
      <c r="A1319" s="103"/>
      <c r="B1319" s="104"/>
      <c r="C1319" s="96" t="s">
        <v>21</v>
      </c>
      <c r="D1319" s="97"/>
    </row>
    <row r="1320" spans="1:4" ht="42.75" customHeight="1" thickBot="1">
      <c r="A1320" s="105">
        <v>2200</v>
      </c>
      <c r="B1320" s="106"/>
      <c r="C1320" s="96" t="s">
        <v>7</v>
      </c>
      <c r="D1320" s="97"/>
    </row>
    <row r="1321" spans="1:4" ht="42.75" customHeight="1" thickBot="1">
      <c r="A1321" s="107" t="s">
        <v>17</v>
      </c>
      <c r="B1321" s="108"/>
      <c r="C1321" s="108"/>
      <c r="D1321" s="109"/>
    </row>
    <row r="1322" spans="1:4" ht="42.75" customHeight="1" thickBot="1">
      <c r="A1322" s="110" t="s">
        <v>20</v>
      </c>
      <c r="B1322" s="111"/>
      <c r="C1322" s="111"/>
      <c r="D1322" s="112"/>
    </row>
    <row r="1323" spans="1:4" ht="42.75" customHeight="1" thickBot="1">
      <c r="A1323" s="113" t="s">
        <v>18</v>
      </c>
      <c r="B1323" s="114"/>
      <c r="C1323" s="114"/>
      <c r="D1323" s="115"/>
    </row>
    <row r="1324" spans="1:4" ht="42.75" customHeight="1" thickBot="1">
      <c r="A1324" s="126" t="s">
        <v>19</v>
      </c>
      <c r="B1324" s="127"/>
      <c r="C1324" s="127"/>
      <c r="D1324" s="128"/>
    </row>
    <row r="1325" spans="1:4" ht="42.75" customHeight="1" thickBot="1">
      <c r="A1325" s="123" t="s">
        <v>11</v>
      </c>
      <c r="B1325" s="124"/>
      <c r="C1325" s="125" t="s">
        <v>603</v>
      </c>
      <c r="D1325" s="124"/>
    </row>
    <row r="1326" spans="1:4" ht="42.75" customHeight="1" thickBot="1">
      <c r="A1326" s="1" t="s">
        <v>686</v>
      </c>
      <c r="B1326" s="26" t="s">
        <v>1</v>
      </c>
      <c r="C1326" s="90" t="s">
        <v>65</v>
      </c>
      <c r="D1326" s="91"/>
    </row>
    <row r="1327" spans="1:4" ht="42.75" customHeight="1" thickBot="1">
      <c r="A1327" s="26"/>
      <c r="B1327" s="26" t="s">
        <v>0</v>
      </c>
      <c r="C1327" s="5" t="s">
        <v>687</v>
      </c>
      <c r="D1327" s="4" t="s">
        <v>2</v>
      </c>
    </row>
    <row r="1328" spans="1:4" ht="42.75" customHeight="1" thickBot="1">
      <c r="A1328" s="92">
        <v>3455</v>
      </c>
      <c r="B1328" s="93"/>
      <c r="C1328" s="94" t="s">
        <v>3</v>
      </c>
      <c r="D1328" s="95"/>
    </row>
    <row r="1329" spans="1:4" ht="42.75" customHeight="1" thickBot="1">
      <c r="A1329" s="92">
        <v>3455</v>
      </c>
      <c r="B1329" s="93"/>
      <c r="C1329" s="96" t="s">
        <v>4</v>
      </c>
      <c r="D1329" s="97"/>
    </row>
    <row r="1330" spans="1:4" ht="42.75" customHeight="1" thickBot="1">
      <c r="A1330" s="98">
        <f>A1329-A1328</f>
        <v>0</v>
      </c>
      <c r="B1330" s="99"/>
      <c r="C1330" s="100" t="s">
        <v>5</v>
      </c>
      <c r="D1330" s="97"/>
    </row>
    <row r="1331" spans="1:4" ht="42.75" customHeight="1" thickBot="1">
      <c r="A1331" s="101">
        <v>62</v>
      </c>
      <c r="B1331" s="102"/>
      <c r="C1331" s="96" t="s">
        <v>6</v>
      </c>
      <c r="D1331" s="97"/>
    </row>
    <row r="1332" spans="1:4" ht="42.75" customHeight="1" thickBot="1">
      <c r="A1332" s="103"/>
      <c r="B1332" s="104"/>
      <c r="C1332" s="96" t="s">
        <v>21</v>
      </c>
      <c r="D1332" s="97"/>
    </row>
    <row r="1333" spans="1:4" ht="42.75" customHeight="1" thickBot="1">
      <c r="A1333" s="105">
        <f>A1331*A1330</f>
        <v>0</v>
      </c>
      <c r="B1333" s="106"/>
      <c r="C1333" s="96" t="s">
        <v>7</v>
      </c>
      <c r="D1333" s="97"/>
    </row>
    <row r="1334" spans="1:4" ht="42.75" customHeight="1" thickBot="1">
      <c r="A1334" s="107" t="s">
        <v>17</v>
      </c>
      <c r="B1334" s="108"/>
      <c r="C1334" s="108"/>
      <c r="D1334" s="109"/>
    </row>
    <row r="1335" spans="1:4" ht="42.75" customHeight="1" thickBot="1">
      <c r="A1335" s="116" t="s">
        <v>20</v>
      </c>
      <c r="B1335" s="117"/>
      <c r="C1335" s="117"/>
      <c r="D1335" s="118"/>
    </row>
    <row r="1336" spans="1:4" ht="42.75" customHeight="1" thickBot="1">
      <c r="A1336" s="113" t="s">
        <v>18</v>
      </c>
      <c r="B1336" s="114"/>
      <c r="C1336" s="114"/>
      <c r="D1336" s="115"/>
    </row>
    <row r="1337" spans="1:4" ht="42.75" customHeight="1" thickBot="1">
      <c r="A1337" s="119"/>
      <c r="B1337" s="119"/>
      <c r="C1337" s="119"/>
      <c r="D1337" s="119"/>
    </row>
    <row r="1338" spans="1:4" ht="42.75" customHeight="1" thickBot="1">
      <c r="A1338" s="126" t="s">
        <v>19</v>
      </c>
      <c r="B1338" s="127"/>
      <c r="C1338" s="127"/>
      <c r="D1338" s="128"/>
    </row>
    <row r="1339" spans="1:4" ht="42.75" customHeight="1" thickBot="1">
      <c r="A1339" s="123" t="s">
        <v>11</v>
      </c>
      <c r="B1339" s="124"/>
      <c r="C1339" s="125" t="s">
        <v>603</v>
      </c>
      <c r="D1339" s="124"/>
    </row>
    <row r="1340" spans="1:4" ht="42.75" customHeight="1" thickBot="1">
      <c r="A1340" s="1" t="s">
        <v>686</v>
      </c>
      <c r="B1340" s="26" t="s">
        <v>1</v>
      </c>
      <c r="C1340" s="90" t="s">
        <v>65</v>
      </c>
      <c r="D1340" s="91"/>
    </row>
    <row r="1341" spans="1:4" ht="42.75" customHeight="1" thickBot="1">
      <c r="A1341" s="26"/>
      <c r="B1341" s="26" t="s">
        <v>0</v>
      </c>
      <c r="C1341" s="5" t="s">
        <v>687</v>
      </c>
      <c r="D1341" s="4" t="s">
        <v>2</v>
      </c>
    </row>
    <row r="1342" spans="1:4" ht="42.75" customHeight="1" thickBot="1">
      <c r="A1342" s="92">
        <v>3435</v>
      </c>
      <c r="B1342" s="93"/>
      <c r="C1342" s="94" t="s">
        <v>3</v>
      </c>
      <c r="D1342" s="95"/>
    </row>
    <row r="1343" spans="1:4" ht="42.75" customHeight="1" thickBot="1">
      <c r="A1343" s="92">
        <v>3455</v>
      </c>
      <c r="B1343" s="93"/>
      <c r="C1343" s="96" t="s">
        <v>4</v>
      </c>
      <c r="D1343" s="97"/>
    </row>
    <row r="1344" spans="1:4" ht="42.75" customHeight="1" thickBot="1">
      <c r="A1344" s="98">
        <f>A1343-A1342</f>
        <v>20</v>
      </c>
      <c r="B1344" s="99"/>
      <c r="C1344" s="100" t="s">
        <v>5</v>
      </c>
      <c r="D1344" s="97"/>
    </row>
    <row r="1345" spans="1:4" ht="42.75" customHeight="1" thickBot="1">
      <c r="A1345" s="101">
        <v>62</v>
      </c>
      <c r="B1345" s="102"/>
      <c r="C1345" s="96" t="s">
        <v>6</v>
      </c>
      <c r="D1345" s="97"/>
    </row>
    <row r="1346" spans="1:4" ht="42.75" customHeight="1" thickBot="1">
      <c r="A1346" s="103"/>
      <c r="B1346" s="104"/>
      <c r="C1346" s="96" t="s">
        <v>21</v>
      </c>
      <c r="D1346" s="97"/>
    </row>
    <row r="1347" spans="1:4" ht="42.75" customHeight="1" thickBot="1">
      <c r="A1347" s="105">
        <v>1250</v>
      </c>
      <c r="B1347" s="106"/>
      <c r="C1347" s="96" t="s">
        <v>7</v>
      </c>
      <c r="D1347" s="97"/>
    </row>
    <row r="1348" spans="1:4" ht="42.75" customHeight="1" thickBot="1">
      <c r="A1348" s="107" t="s">
        <v>17</v>
      </c>
      <c r="B1348" s="108"/>
      <c r="C1348" s="108"/>
      <c r="D1348" s="109"/>
    </row>
    <row r="1349" spans="1:4" ht="42.75" customHeight="1" thickBot="1">
      <c r="A1349" s="110" t="s">
        <v>20</v>
      </c>
      <c r="B1349" s="111"/>
      <c r="C1349" s="111"/>
      <c r="D1349" s="112"/>
    </row>
    <row r="1350" spans="1:4" ht="42.75" customHeight="1" thickBot="1">
      <c r="A1350" s="113" t="s">
        <v>18</v>
      </c>
      <c r="B1350" s="114"/>
      <c r="C1350" s="114"/>
      <c r="D1350" s="115"/>
    </row>
    <row r="1351" spans="1:4" ht="42.75" customHeight="1" thickBot="1">
      <c r="A1351" s="126" t="s">
        <v>19</v>
      </c>
      <c r="B1351" s="127"/>
      <c r="C1351" s="127"/>
      <c r="D1351" s="128"/>
    </row>
    <row r="1352" spans="1:4" ht="42.75" customHeight="1" thickBot="1">
      <c r="A1352" s="123" t="s">
        <v>11</v>
      </c>
      <c r="B1352" s="124"/>
      <c r="C1352" s="125" t="s">
        <v>603</v>
      </c>
      <c r="D1352" s="124"/>
    </row>
    <row r="1353" spans="1:4" ht="42.75" customHeight="1" thickBot="1">
      <c r="A1353" s="1" t="s">
        <v>686</v>
      </c>
      <c r="B1353" s="26" t="s">
        <v>1</v>
      </c>
      <c r="C1353" s="90" t="s">
        <v>66</v>
      </c>
      <c r="D1353" s="91"/>
    </row>
    <row r="1354" spans="1:4" ht="42.75" customHeight="1" thickBot="1">
      <c r="A1354" s="26"/>
      <c r="B1354" s="26" t="s">
        <v>0</v>
      </c>
      <c r="C1354" s="5" t="s">
        <v>687</v>
      </c>
      <c r="D1354" s="4" t="s">
        <v>2</v>
      </c>
    </row>
    <row r="1355" spans="1:4" ht="42.75" customHeight="1" thickBot="1">
      <c r="A1355" s="92">
        <v>7805</v>
      </c>
      <c r="B1355" s="93"/>
      <c r="C1355" s="94" t="s">
        <v>3</v>
      </c>
      <c r="D1355" s="95"/>
    </row>
    <row r="1356" spans="1:4" ht="42.75" customHeight="1" thickBot="1">
      <c r="A1356" s="92">
        <v>7805</v>
      </c>
      <c r="B1356" s="93"/>
      <c r="C1356" s="96" t="s">
        <v>4</v>
      </c>
      <c r="D1356" s="97"/>
    </row>
    <row r="1357" spans="1:4" ht="42.75" customHeight="1" thickBot="1">
      <c r="A1357" s="98">
        <f>A1356-A1355</f>
        <v>0</v>
      </c>
      <c r="B1357" s="99"/>
      <c r="C1357" s="100" t="s">
        <v>5</v>
      </c>
      <c r="D1357" s="97"/>
    </row>
    <row r="1358" spans="1:4" ht="42.75" customHeight="1" thickBot="1">
      <c r="A1358" s="101">
        <v>62</v>
      </c>
      <c r="B1358" s="102"/>
      <c r="C1358" s="96" t="s">
        <v>6</v>
      </c>
      <c r="D1358" s="97"/>
    </row>
    <row r="1359" spans="1:4" ht="42.75" customHeight="1" thickBot="1">
      <c r="A1359" s="103"/>
      <c r="B1359" s="104"/>
      <c r="C1359" s="96" t="s">
        <v>21</v>
      </c>
      <c r="D1359" s="97"/>
    </row>
    <row r="1360" spans="1:4" ht="42.75" customHeight="1" thickBot="1">
      <c r="A1360" s="105">
        <f>A1358*A1357</f>
        <v>0</v>
      </c>
      <c r="B1360" s="106"/>
      <c r="C1360" s="96" t="s">
        <v>7</v>
      </c>
      <c r="D1360" s="97"/>
    </row>
    <row r="1361" spans="1:4" ht="42.75" customHeight="1" thickBot="1">
      <c r="A1361" s="107" t="s">
        <v>17</v>
      </c>
      <c r="B1361" s="108"/>
      <c r="C1361" s="108"/>
      <c r="D1361" s="109"/>
    </row>
    <row r="1362" spans="1:4" ht="42.75" customHeight="1" thickBot="1">
      <c r="A1362" s="116" t="s">
        <v>20</v>
      </c>
      <c r="B1362" s="117"/>
      <c r="C1362" s="117"/>
      <c r="D1362" s="118"/>
    </row>
    <row r="1363" spans="1:4" ht="42.75" customHeight="1" thickBot="1">
      <c r="A1363" s="113" t="s">
        <v>18</v>
      </c>
      <c r="B1363" s="114"/>
      <c r="C1363" s="114"/>
      <c r="D1363" s="115"/>
    </row>
    <row r="1364" spans="1:4" ht="42.75" customHeight="1" thickBot="1">
      <c r="A1364" s="119"/>
      <c r="B1364" s="119"/>
      <c r="C1364" s="119"/>
      <c r="D1364" s="119"/>
    </row>
    <row r="1365" spans="1:4" ht="42.75" customHeight="1" thickBot="1">
      <c r="A1365" s="126" t="s">
        <v>19</v>
      </c>
      <c r="B1365" s="127"/>
      <c r="C1365" s="127"/>
      <c r="D1365" s="128"/>
    </row>
    <row r="1366" spans="1:4" ht="42.75" customHeight="1" thickBot="1">
      <c r="A1366" s="123" t="s">
        <v>11</v>
      </c>
      <c r="B1366" s="124"/>
      <c r="C1366" s="125" t="s">
        <v>603</v>
      </c>
      <c r="D1366" s="124"/>
    </row>
    <row r="1367" spans="1:4" ht="42.75" customHeight="1" thickBot="1">
      <c r="A1367" s="1" t="s">
        <v>686</v>
      </c>
      <c r="B1367" s="26" t="s">
        <v>1</v>
      </c>
      <c r="C1367" s="90" t="s">
        <v>66</v>
      </c>
      <c r="D1367" s="91"/>
    </row>
    <row r="1368" spans="1:4" ht="42.75" customHeight="1" thickBot="1">
      <c r="A1368" s="26"/>
      <c r="B1368" s="26" t="s">
        <v>0</v>
      </c>
      <c r="C1368" s="5" t="s">
        <v>687</v>
      </c>
      <c r="D1368" s="4" t="s">
        <v>2</v>
      </c>
    </row>
    <row r="1369" spans="1:4" ht="42.75" customHeight="1" thickBot="1">
      <c r="A1369" s="92">
        <v>7710</v>
      </c>
      <c r="B1369" s="93"/>
      <c r="C1369" s="94" t="s">
        <v>3</v>
      </c>
      <c r="D1369" s="95"/>
    </row>
    <row r="1370" spans="1:4" ht="42.75" customHeight="1" thickBot="1">
      <c r="A1370" s="92">
        <v>7805</v>
      </c>
      <c r="B1370" s="93"/>
      <c r="C1370" s="96" t="s">
        <v>4</v>
      </c>
      <c r="D1370" s="97"/>
    </row>
    <row r="1371" spans="1:4" ht="42.75" customHeight="1" thickBot="1">
      <c r="A1371" s="98">
        <f>A1370-A1369</f>
        <v>95</v>
      </c>
      <c r="B1371" s="99"/>
      <c r="C1371" s="100" t="s">
        <v>5</v>
      </c>
      <c r="D1371" s="97"/>
    </row>
    <row r="1372" spans="1:4" ht="42.75" customHeight="1" thickBot="1">
      <c r="A1372" s="101">
        <v>62</v>
      </c>
      <c r="B1372" s="102"/>
      <c r="C1372" s="96" t="s">
        <v>6</v>
      </c>
      <c r="D1372" s="97"/>
    </row>
    <row r="1373" spans="1:4" ht="42.75" customHeight="1" thickBot="1">
      <c r="A1373" s="103"/>
      <c r="B1373" s="104"/>
      <c r="C1373" s="96" t="s">
        <v>21</v>
      </c>
      <c r="D1373" s="97"/>
    </row>
    <row r="1374" spans="1:4" ht="42.75" customHeight="1" thickBot="1">
      <c r="A1374" s="105">
        <v>5900</v>
      </c>
      <c r="B1374" s="106"/>
      <c r="C1374" s="96" t="s">
        <v>7</v>
      </c>
      <c r="D1374" s="97"/>
    </row>
    <row r="1375" spans="1:4" ht="42.75" customHeight="1" thickBot="1">
      <c r="A1375" s="107" t="s">
        <v>17</v>
      </c>
      <c r="B1375" s="108"/>
      <c r="C1375" s="108"/>
      <c r="D1375" s="109"/>
    </row>
    <row r="1376" spans="1:4" ht="42.75" customHeight="1" thickBot="1">
      <c r="A1376" s="110" t="s">
        <v>20</v>
      </c>
      <c r="B1376" s="111"/>
      <c r="C1376" s="111"/>
      <c r="D1376" s="112"/>
    </row>
    <row r="1377" spans="1:4" ht="42.75" customHeight="1" thickBot="1">
      <c r="A1377" s="113" t="s">
        <v>18</v>
      </c>
      <c r="B1377" s="114"/>
      <c r="C1377" s="114"/>
      <c r="D1377" s="115"/>
    </row>
    <row r="1378" spans="1:4" ht="42.75" customHeight="1" thickBot="1">
      <c r="A1378" s="126" t="s">
        <v>19</v>
      </c>
      <c r="B1378" s="127"/>
      <c r="C1378" s="127"/>
      <c r="D1378" s="128"/>
    </row>
    <row r="1379" spans="1:4" ht="42.75" customHeight="1" thickBot="1">
      <c r="A1379" s="123" t="s">
        <v>11</v>
      </c>
      <c r="B1379" s="124"/>
      <c r="C1379" s="125" t="s">
        <v>603</v>
      </c>
      <c r="D1379" s="124"/>
    </row>
    <row r="1380" spans="1:4" ht="42.75" customHeight="1" thickBot="1">
      <c r="A1380" s="1" t="s">
        <v>686</v>
      </c>
      <c r="B1380" s="26" t="s">
        <v>1</v>
      </c>
      <c r="C1380" s="90" t="s">
        <v>67</v>
      </c>
      <c r="D1380" s="91"/>
    </row>
    <row r="1381" spans="1:4" ht="42.75" customHeight="1" thickBot="1">
      <c r="A1381" s="26"/>
      <c r="B1381" s="26" t="s">
        <v>0</v>
      </c>
      <c r="C1381" s="5" t="s">
        <v>687</v>
      </c>
      <c r="D1381" s="4" t="s">
        <v>2</v>
      </c>
    </row>
    <row r="1382" spans="1:4" ht="42.75" customHeight="1" thickBot="1">
      <c r="A1382" s="92">
        <v>12360</v>
      </c>
      <c r="B1382" s="93"/>
      <c r="C1382" s="94" t="s">
        <v>3</v>
      </c>
      <c r="D1382" s="95"/>
    </row>
    <row r="1383" spans="1:4" ht="42.75" customHeight="1" thickBot="1">
      <c r="A1383" s="92">
        <v>12360</v>
      </c>
      <c r="B1383" s="93"/>
      <c r="C1383" s="96" t="s">
        <v>4</v>
      </c>
      <c r="D1383" s="97"/>
    </row>
    <row r="1384" spans="1:4" ht="42.75" customHeight="1" thickBot="1">
      <c r="A1384" s="98">
        <f>A1383-A1382</f>
        <v>0</v>
      </c>
      <c r="B1384" s="99"/>
      <c r="C1384" s="100" t="s">
        <v>5</v>
      </c>
      <c r="D1384" s="97"/>
    </row>
    <row r="1385" spans="1:4" ht="42.75" customHeight="1" thickBot="1">
      <c r="A1385" s="101">
        <v>35</v>
      </c>
      <c r="B1385" s="102"/>
      <c r="C1385" s="96" t="s">
        <v>6</v>
      </c>
      <c r="D1385" s="97"/>
    </row>
    <row r="1386" spans="1:4" ht="42.75" customHeight="1" thickBot="1">
      <c r="A1386" s="103"/>
      <c r="B1386" s="104"/>
      <c r="C1386" s="96" t="s">
        <v>21</v>
      </c>
      <c r="D1386" s="97"/>
    </row>
    <row r="1387" spans="1:4" ht="42.75" customHeight="1" thickBot="1">
      <c r="A1387" s="105">
        <f>A1385*A1384</f>
        <v>0</v>
      </c>
      <c r="B1387" s="106"/>
      <c r="C1387" s="96" t="s">
        <v>7</v>
      </c>
      <c r="D1387" s="97"/>
    </row>
    <row r="1388" spans="1:4" ht="42.75" customHeight="1" thickBot="1">
      <c r="A1388" s="107" t="s">
        <v>17</v>
      </c>
      <c r="B1388" s="108"/>
      <c r="C1388" s="108"/>
      <c r="D1388" s="109"/>
    </row>
    <row r="1389" spans="1:4" ht="42.75" customHeight="1" thickBot="1">
      <c r="A1389" s="116" t="s">
        <v>20</v>
      </c>
      <c r="B1389" s="117"/>
      <c r="C1389" s="117"/>
      <c r="D1389" s="118"/>
    </row>
    <row r="1390" spans="1:4" ht="42.75" customHeight="1" thickBot="1">
      <c r="A1390" s="113" t="s">
        <v>18</v>
      </c>
      <c r="B1390" s="114"/>
      <c r="C1390" s="114"/>
      <c r="D1390" s="115"/>
    </row>
    <row r="1391" spans="1:4" ht="42.75" customHeight="1" thickBot="1">
      <c r="A1391" s="119"/>
      <c r="B1391" s="119"/>
      <c r="C1391" s="119"/>
      <c r="D1391" s="119"/>
    </row>
    <row r="1392" spans="1:4" ht="42.75" customHeight="1" thickBot="1">
      <c r="A1392" s="126" t="s">
        <v>19</v>
      </c>
      <c r="B1392" s="127"/>
      <c r="C1392" s="127"/>
      <c r="D1392" s="128"/>
    </row>
    <row r="1393" spans="1:4" ht="42.75" customHeight="1" thickBot="1">
      <c r="A1393" s="123" t="s">
        <v>11</v>
      </c>
      <c r="B1393" s="124"/>
      <c r="C1393" s="125" t="s">
        <v>603</v>
      </c>
      <c r="D1393" s="124"/>
    </row>
    <row r="1394" spans="1:4" ht="42.75" customHeight="1" thickBot="1">
      <c r="A1394" s="1" t="s">
        <v>686</v>
      </c>
      <c r="B1394" s="26" t="s">
        <v>1</v>
      </c>
      <c r="C1394" s="90" t="s">
        <v>67</v>
      </c>
      <c r="D1394" s="91"/>
    </row>
    <row r="1395" spans="1:4" ht="42.75" customHeight="1" thickBot="1">
      <c r="A1395" s="26"/>
      <c r="B1395" s="26" t="s">
        <v>0</v>
      </c>
      <c r="C1395" s="5" t="s">
        <v>687</v>
      </c>
      <c r="D1395" s="4" t="s">
        <v>2</v>
      </c>
    </row>
    <row r="1396" spans="1:4" ht="42.75" customHeight="1" thickBot="1">
      <c r="A1396" s="92">
        <v>12150</v>
      </c>
      <c r="B1396" s="93"/>
      <c r="C1396" s="94" t="s">
        <v>3</v>
      </c>
      <c r="D1396" s="95"/>
    </row>
    <row r="1397" spans="1:4" ht="42.75" customHeight="1" thickBot="1">
      <c r="A1397" s="92">
        <v>12360</v>
      </c>
      <c r="B1397" s="93"/>
      <c r="C1397" s="96" t="s">
        <v>4</v>
      </c>
      <c r="D1397" s="97"/>
    </row>
    <row r="1398" spans="1:4" ht="42.75" customHeight="1" thickBot="1">
      <c r="A1398" s="98">
        <f>A1397-A1396</f>
        <v>210</v>
      </c>
      <c r="B1398" s="99"/>
      <c r="C1398" s="100" t="s">
        <v>5</v>
      </c>
      <c r="D1398" s="97"/>
    </row>
    <row r="1399" spans="1:4" ht="42.75" customHeight="1" thickBot="1">
      <c r="A1399" s="101">
        <v>40</v>
      </c>
      <c r="B1399" s="102"/>
      <c r="C1399" s="96" t="s">
        <v>6</v>
      </c>
      <c r="D1399" s="97"/>
    </row>
    <row r="1400" spans="1:4" ht="42.75" customHeight="1" thickBot="1">
      <c r="A1400" s="103"/>
      <c r="B1400" s="104"/>
      <c r="C1400" s="96" t="s">
        <v>21</v>
      </c>
      <c r="D1400" s="97"/>
    </row>
    <row r="1401" spans="1:4" ht="42.75" customHeight="1" thickBot="1">
      <c r="A1401" s="105">
        <f>A1399*A1398</f>
        <v>8400</v>
      </c>
      <c r="B1401" s="106"/>
      <c r="C1401" s="96" t="s">
        <v>7</v>
      </c>
      <c r="D1401" s="97"/>
    </row>
    <row r="1402" spans="1:4" ht="42.75" customHeight="1" thickBot="1">
      <c r="A1402" s="107" t="s">
        <v>17</v>
      </c>
      <c r="B1402" s="108"/>
      <c r="C1402" s="108"/>
      <c r="D1402" s="109"/>
    </row>
    <row r="1403" spans="1:4" ht="42.75" customHeight="1" thickBot="1">
      <c r="A1403" s="110" t="s">
        <v>20</v>
      </c>
      <c r="B1403" s="111"/>
      <c r="C1403" s="111"/>
      <c r="D1403" s="112"/>
    </row>
    <row r="1404" spans="1:4" ht="42.75" customHeight="1" thickBot="1">
      <c r="A1404" s="113" t="s">
        <v>18</v>
      </c>
      <c r="B1404" s="114"/>
      <c r="C1404" s="114"/>
      <c r="D1404" s="115"/>
    </row>
    <row r="1405" spans="1:4" ht="42.75" customHeight="1" thickBot="1">
      <c r="A1405" s="126" t="s">
        <v>19</v>
      </c>
      <c r="B1405" s="127"/>
      <c r="C1405" s="127"/>
      <c r="D1405" s="128"/>
    </row>
    <row r="1406" spans="1:4" ht="42.75" customHeight="1" thickBot="1">
      <c r="A1406" s="123" t="s">
        <v>11</v>
      </c>
      <c r="B1406" s="124"/>
      <c r="C1406" s="125" t="s">
        <v>603</v>
      </c>
      <c r="D1406" s="124"/>
    </row>
    <row r="1407" spans="1:4" ht="42.75" customHeight="1" thickBot="1">
      <c r="A1407" s="1" t="s">
        <v>686</v>
      </c>
      <c r="B1407" s="26" t="s">
        <v>1</v>
      </c>
      <c r="C1407" s="90" t="s">
        <v>68</v>
      </c>
      <c r="D1407" s="91"/>
    </row>
    <row r="1408" spans="1:4" ht="42.75" customHeight="1" thickBot="1">
      <c r="A1408" s="26"/>
      <c r="B1408" s="26" t="s">
        <v>0</v>
      </c>
      <c r="C1408" s="5" t="s">
        <v>687</v>
      </c>
      <c r="D1408" s="4" t="s">
        <v>2</v>
      </c>
    </row>
    <row r="1409" spans="1:4" ht="42.75" customHeight="1" thickBot="1">
      <c r="A1409" s="92">
        <v>6495</v>
      </c>
      <c r="B1409" s="93"/>
      <c r="C1409" s="94" t="s">
        <v>3</v>
      </c>
      <c r="D1409" s="95"/>
    </row>
    <row r="1410" spans="1:4" ht="42.75" customHeight="1" thickBot="1">
      <c r="A1410" s="92">
        <v>6495</v>
      </c>
      <c r="B1410" s="93"/>
      <c r="C1410" s="96" t="s">
        <v>4</v>
      </c>
      <c r="D1410" s="97"/>
    </row>
    <row r="1411" spans="1:4" ht="42.75" customHeight="1" thickBot="1">
      <c r="A1411" s="98">
        <f>A1410-A1409</f>
        <v>0</v>
      </c>
      <c r="B1411" s="99"/>
      <c r="C1411" s="100" t="s">
        <v>5</v>
      </c>
      <c r="D1411" s="97"/>
    </row>
    <row r="1412" spans="1:4" ht="42.75" customHeight="1" thickBot="1">
      <c r="A1412" s="101">
        <v>62</v>
      </c>
      <c r="B1412" s="102"/>
      <c r="C1412" s="96" t="s">
        <v>6</v>
      </c>
      <c r="D1412" s="97"/>
    </row>
    <row r="1413" spans="1:4" ht="42.75" customHeight="1" thickBot="1">
      <c r="A1413" s="103"/>
      <c r="B1413" s="104"/>
      <c r="C1413" s="96" t="s">
        <v>21</v>
      </c>
      <c r="D1413" s="97"/>
    </row>
    <row r="1414" spans="1:4" ht="42.75" customHeight="1" thickBot="1">
      <c r="A1414" s="105">
        <f>A1412*A1411</f>
        <v>0</v>
      </c>
      <c r="B1414" s="106"/>
      <c r="C1414" s="96" t="s">
        <v>7</v>
      </c>
      <c r="D1414" s="97"/>
    </row>
    <row r="1415" spans="1:4" ht="42.75" customHeight="1" thickBot="1">
      <c r="A1415" s="107" t="s">
        <v>17</v>
      </c>
      <c r="B1415" s="108"/>
      <c r="C1415" s="108"/>
      <c r="D1415" s="109"/>
    </row>
    <row r="1416" spans="1:4" ht="42.75" customHeight="1" thickBot="1">
      <c r="A1416" s="116" t="s">
        <v>20</v>
      </c>
      <c r="B1416" s="117"/>
      <c r="C1416" s="117"/>
      <c r="D1416" s="118"/>
    </row>
    <row r="1417" spans="1:4" ht="42.75" customHeight="1" thickBot="1">
      <c r="A1417" s="113" t="s">
        <v>18</v>
      </c>
      <c r="B1417" s="114"/>
      <c r="C1417" s="114"/>
      <c r="D1417" s="115"/>
    </row>
    <row r="1418" spans="1:4" ht="42.75" customHeight="1" thickBot="1">
      <c r="A1418" s="119"/>
      <c r="B1418" s="119"/>
      <c r="C1418" s="119"/>
      <c r="D1418" s="119"/>
    </row>
    <row r="1419" spans="1:4" ht="42.75" customHeight="1" thickBot="1">
      <c r="A1419" s="126" t="s">
        <v>19</v>
      </c>
      <c r="B1419" s="127"/>
      <c r="C1419" s="127"/>
      <c r="D1419" s="128"/>
    </row>
    <row r="1420" spans="1:4" ht="42.75" customHeight="1" thickBot="1">
      <c r="A1420" s="123" t="s">
        <v>11</v>
      </c>
      <c r="B1420" s="124"/>
      <c r="C1420" s="125" t="s">
        <v>603</v>
      </c>
      <c r="D1420" s="124"/>
    </row>
    <row r="1421" spans="1:4" ht="42.75" customHeight="1" thickBot="1">
      <c r="A1421" s="1" t="s">
        <v>686</v>
      </c>
      <c r="B1421" s="26" t="s">
        <v>1</v>
      </c>
      <c r="C1421" s="90" t="s">
        <v>68</v>
      </c>
      <c r="D1421" s="91"/>
    </row>
    <row r="1422" spans="1:4" ht="42.75" customHeight="1" thickBot="1">
      <c r="A1422" s="26"/>
      <c r="B1422" s="26" t="s">
        <v>0</v>
      </c>
      <c r="C1422" s="5" t="s">
        <v>687</v>
      </c>
      <c r="D1422" s="4" t="s">
        <v>2</v>
      </c>
    </row>
    <row r="1423" spans="1:4" ht="42.75" customHeight="1" thickBot="1">
      <c r="A1423" s="92">
        <v>6440</v>
      </c>
      <c r="B1423" s="93"/>
      <c r="C1423" s="94" t="s">
        <v>3</v>
      </c>
      <c r="D1423" s="95"/>
    </row>
    <row r="1424" spans="1:4" ht="42.75" customHeight="1" thickBot="1">
      <c r="A1424" s="92">
        <v>6495</v>
      </c>
      <c r="B1424" s="93"/>
      <c r="C1424" s="96" t="s">
        <v>4</v>
      </c>
      <c r="D1424" s="97"/>
    </row>
    <row r="1425" spans="1:4" ht="42.75" customHeight="1" thickBot="1">
      <c r="A1425" s="98">
        <f>A1424-A1423</f>
        <v>55</v>
      </c>
      <c r="B1425" s="99"/>
      <c r="C1425" s="100" t="s">
        <v>5</v>
      </c>
      <c r="D1425" s="97"/>
    </row>
    <row r="1426" spans="1:4" ht="42.75" customHeight="1" thickBot="1">
      <c r="A1426" s="101">
        <v>62</v>
      </c>
      <c r="B1426" s="102"/>
      <c r="C1426" s="96" t="s">
        <v>6</v>
      </c>
      <c r="D1426" s="97"/>
    </row>
    <row r="1427" spans="1:4" ht="42.75" customHeight="1" thickBot="1">
      <c r="A1427" s="103"/>
      <c r="B1427" s="104"/>
      <c r="C1427" s="96" t="s">
        <v>21</v>
      </c>
      <c r="D1427" s="97"/>
    </row>
    <row r="1428" spans="1:4" ht="42.75" customHeight="1" thickBot="1">
      <c r="A1428" s="105">
        <v>3400</v>
      </c>
      <c r="B1428" s="106"/>
      <c r="C1428" s="96" t="s">
        <v>7</v>
      </c>
      <c r="D1428" s="97"/>
    </row>
    <row r="1429" spans="1:4" ht="42.75" customHeight="1" thickBot="1">
      <c r="A1429" s="107" t="s">
        <v>17</v>
      </c>
      <c r="B1429" s="108"/>
      <c r="C1429" s="108"/>
      <c r="D1429" s="109"/>
    </row>
    <row r="1430" spans="1:4" ht="42.75" customHeight="1" thickBot="1">
      <c r="A1430" s="110" t="s">
        <v>20</v>
      </c>
      <c r="B1430" s="111"/>
      <c r="C1430" s="111"/>
      <c r="D1430" s="112"/>
    </row>
    <row r="1431" spans="1:4" ht="42.75" customHeight="1" thickBot="1">
      <c r="A1431" s="113" t="s">
        <v>18</v>
      </c>
      <c r="B1431" s="114"/>
      <c r="C1431" s="114"/>
      <c r="D1431" s="115"/>
    </row>
    <row r="1432" spans="1:4" ht="42.75" customHeight="1" thickBot="1">
      <c r="A1432" s="126" t="s">
        <v>19</v>
      </c>
      <c r="B1432" s="127"/>
      <c r="C1432" s="127"/>
      <c r="D1432" s="128"/>
    </row>
    <row r="1433" spans="1:4" ht="42.75" customHeight="1" thickBot="1">
      <c r="A1433" s="123" t="s">
        <v>11</v>
      </c>
      <c r="B1433" s="124"/>
      <c r="C1433" s="125" t="s">
        <v>603</v>
      </c>
      <c r="D1433" s="124"/>
    </row>
    <row r="1434" spans="1:4" ht="42.75" customHeight="1" thickBot="1">
      <c r="A1434" s="1" t="s">
        <v>686</v>
      </c>
      <c r="B1434" s="26" t="s">
        <v>1</v>
      </c>
      <c r="C1434" s="90" t="s">
        <v>69</v>
      </c>
      <c r="D1434" s="91"/>
    </row>
    <row r="1435" spans="1:4" ht="42.75" customHeight="1" thickBot="1">
      <c r="A1435" s="26"/>
      <c r="B1435" s="26" t="s">
        <v>0</v>
      </c>
      <c r="C1435" s="5" t="s">
        <v>687</v>
      </c>
      <c r="D1435" s="4" t="s">
        <v>2</v>
      </c>
    </row>
    <row r="1436" spans="1:4" ht="42.75" customHeight="1" thickBot="1">
      <c r="A1436" s="92">
        <v>3750</v>
      </c>
      <c r="B1436" s="93"/>
      <c r="C1436" s="94" t="s">
        <v>3</v>
      </c>
      <c r="D1436" s="95"/>
    </row>
    <row r="1437" spans="1:4" ht="42.75" customHeight="1" thickBot="1">
      <c r="A1437" s="92">
        <v>3750</v>
      </c>
      <c r="B1437" s="93"/>
      <c r="C1437" s="96" t="s">
        <v>4</v>
      </c>
      <c r="D1437" s="97"/>
    </row>
    <row r="1438" spans="1:4" ht="42.75" customHeight="1" thickBot="1">
      <c r="A1438" s="98">
        <f>A1437-A1436</f>
        <v>0</v>
      </c>
      <c r="B1438" s="99"/>
      <c r="C1438" s="100" t="s">
        <v>5</v>
      </c>
      <c r="D1438" s="97"/>
    </row>
    <row r="1439" spans="1:4" ht="42.75" customHeight="1" thickBot="1">
      <c r="A1439" s="101">
        <v>62</v>
      </c>
      <c r="B1439" s="102"/>
      <c r="C1439" s="96" t="s">
        <v>6</v>
      </c>
      <c r="D1439" s="97"/>
    </row>
    <row r="1440" spans="1:4" ht="42.75" customHeight="1" thickBot="1">
      <c r="A1440" s="103"/>
      <c r="B1440" s="104"/>
      <c r="C1440" s="96" t="s">
        <v>21</v>
      </c>
      <c r="D1440" s="97"/>
    </row>
    <row r="1441" spans="1:4" ht="42.75" customHeight="1" thickBot="1">
      <c r="A1441" s="105">
        <f>A1439*A1438</f>
        <v>0</v>
      </c>
      <c r="B1441" s="106"/>
      <c r="C1441" s="96" t="s">
        <v>7</v>
      </c>
      <c r="D1441" s="97"/>
    </row>
    <row r="1442" spans="1:4" ht="42.75" customHeight="1" thickBot="1">
      <c r="A1442" s="107" t="s">
        <v>17</v>
      </c>
      <c r="B1442" s="108"/>
      <c r="C1442" s="108"/>
      <c r="D1442" s="109"/>
    </row>
    <row r="1443" spans="1:4" ht="42.75" customHeight="1" thickBot="1">
      <c r="A1443" s="116" t="s">
        <v>20</v>
      </c>
      <c r="B1443" s="117"/>
      <c r="C1443" s="117"/>
      <c r="D1443" s="118"/>
    </row>
    <row r="1444" spans="1:4" ht="42.75" customHeight="1" thickBot="1">
      <c r="A1444" s="113" t="s">
        <v>18</v>
      </c>
      <c r="B1444" s="114"/>
      <c r="C1444" s="114"/>
      <c r="D1444" s="115"/>
    </row>
    <row r="1445" spans="1:4" ht="42.75" customHeight="1" thickBot="1">
      <c r="A1445" s="119"/>
      <c r="B1445" s="119"/>
      <c r="C1445" s="119"/>
      <c r="D1445" s="119"/>
    </row>
    <row r="1446" spans="1:4" ht="42.75" customHeight="1" thickBot="1">
      <c r="A1446" s="126" t="s">
        <v>19</v>
      </c>
      <c r="B1446" s="127"/>
      <c r="C1446" s="127"/>
      <c r="D1446" s="128"/>
    </row>
    <row r="1447" spans="1:4" ht="42.75" customHeight="1" thickBot="1">
      <c r="A1447" s="123" t="s">
        <v>11</v>
      </c>
      <c r="B1447" s="124"/>
      <c r="C1447" s="125" t="s">
        <v>603</v>
      </c>
      <c r="D1447" s="124"/>
    </row>
    <row r="1448" spans="1:4" ht="42.75" customHeight="1" thickBot="1">
      <c r="A1448" s="1" t="s">
        <v>686</v>
      </c>
      <c r="B1448" s="26" t="s">
        <v>1</v>
      </c>
      <c r="C1448" s="90" t="s">
        <v>69</v>
      </c>
      <c r="D1448" s="91"/>
    </row>
    <row r="1449" spans="1:4" ht="42.75" customHeight="1" thickBot="1">
      <c r="A1449" s="26"/>
      <c r="B1449" s="26" t="s">
        <v>0</v>
      </c>
      <c r="C1449" s="5" t="s">
        <v>687</v>
      </c>
      <c r="D1449" s="4" t="s">
        <v>2</v>
      </c>
    </row>
    <row r="1450" spans="1:4" ht="42.75" customHeight="1" thickBot="1">
      <c r="A1450" s="92">
        <v>3735</v>
      </c>
      <c r="B1450" s="93"/>
      <c r="C1450" s="94" t="s">
        <v>3</v>
      </c>
      <c r="D1450" s="95"/>
    </row>
    <row r="1451" spans="1:4" ht="42.75" customHeight="1" thickBot="1">
      <c r="A1451" s="92">
        <v>3750</v>
      </c>
      <c r="B1451" s="93"/>
      <c r="C1451" s="96" t="s">
        <v>4</v>
      </c>
      <c r="D1451" s="97"/>
    </row>
    <row r="1452" spans="1:4" ht="42.75" customHeight="1" thickBot="1">
      <c r="A1452" s="98">
        <f>A1451-A1450</f>
        <v>15</v>
      </c>
      <c r="B1452" s="99"/>
      <c r="C1452" s="100" t="s">
        <v>5</v>
      </c>
      <c r="D1452" s="97"/>
    </row>
    <row r="1453" spans="1:4" ht="42.75" customHeight="1" thickBot="1">
      <c r="A1453" s="101">
        <v>62</v>
      </c>
      <c r="B1453" s="102"/>
      <c r="C1453" s="96" t="s">
        <v>6</v>
      </c>
      <c r="D1453" s="97"/>
    </row>
    <row r="1454" spans="1:4" ht="42.75" customHeight="1" thickBot="1">
      <c r="A1454" s="103"/>
      <c r="B1454" s="104"/>
      <c r="C1454" s="96" t="s">
        <v>21</v>
      </c>
      <c r="D1454" s="97"/>
    </row>
    <row r="1455" spans="1:4" ht="42.75" customHeight="1" thickBot="1">
      <c r="A1455" s="105">
        <v>950</v>
      </c>
      <c r="B1455" s="106"/>
      <c r="C1455" s="96" t="s">
        <v>7</v>
      </c>
      <c r="D1455" s="97"/>
    </row>
    <row r="1456" spans="1:4" ht="42.75" customHeight="1" thickBot="1">
      <c r="A1456" s="107" t="s">
        <v>17</v>
      </c>
      <c r="B1456" s="108"/>
      <c r="C1456" s="108"/>
      <c r="D1456" s="109"/>
    </row>
    <row r="1457" spans="1:4" ht="42.75" customHeight="1" thickBot="1">
      <c r="A1457" s="110" t="s">
        <v>20</v>
      </c>
      <c r="B1457" s="111"/>
      <c r="C1457" s="111"/>
      <c r="D1457" s="112"/>
    </row>
    <row r="1458" spans="1:4" ht="42.75" customHeight="1" thickBot="1">
      <c r="A1458" s="113" t="s">
        <v>18</v>
      </c>
      <c r="B1458" s="114"/>
      <c r="C1458" s="114"/>
      <c r="D1458" s="115"/>
    </row>
    <row r="1459" spans="1:4" ht="42.75" customHeight="1" thickBot="1">
      <c r="A1459" s="126" t="s">
        <v>19</v>
      </c>
      <c r="B1459" s="127"/>
      <c r="C1459" s="127"/>
      <c r="D1459" s="128"/>
    </row>
    <row r="1460" spans="1:4" ht="42.75" customHeight="1" thickBot="1">
      <c r="A1460" s="123" t="s">
        <v>11</v>
      </c>
      <c r="B1460" s="124"/>
      <c r="C1460" s="125" t="s">
        <v>603</v>
      </c>
      <c r="D1460" s="124"/>
    </row>
    <row r="1461" spans="1:4" ht="42.75" customHeight="1" thickBot="1">
      <c r="A1461" s="1" t="s">
        <v>686</v>
      </c>
      <c r="B1461" s="26" t="s">
        <v>1</v>
      </c>
      <c r="C1461" s="90" t="s">
        <v>70</v>
      </c>
      <c r="D1461" s="91"/>
    </row>
    <row r="1462" spans="1:4" ht="42.75" customHeight="1" thickBot="1">
      <c r="A1462" s="26"/>
      <c r="B1462" s="26" t="s">
        <v>0</v>
      </c>
      <c r="C1462" s="5" t="s">
        <v>687</v>
      </c>
      <c r="D1462" s="4" t="s">
        <v>2</v>
      </c>
    </row>
    <row r="1463" spans="1:4" ht="42.75" customHeight="1" thickBot="1">
      <c r="A1463" s="92">
        <v>5100</v>
      </c>
      <c r="B1463" s="93"/>
      <c r="C1463" s="94" t="s">
        <v>3</v>
      </c>
      <c r="D1463" s="95"/>
    </row>
    <row r="1464" spans="1:4" ht="42.75" customHeight="1" thickBot="1">
      <c r="A1464" s="92">
        <v>5100</v>
      </c>
      <c r="B1464" s="93"/>
      <c r="C1464" s="96" t="s">
        <v>4</v>
      </c>
      <c r="D1464" s="97"/>
    </row>
    <row r="1465" spans="1:4" ht="42.75" customHeight="1" thickBot="1">
      <c r="A1465" s="98">
        <f>A1464-A1463</f>
        <v>0</v>
      </c>
      <c r="B1465" s="99"/>
      <c r="C1465" s="100" t="s">
        <v>5</v>
      </c>
      <c r="D1465" s="97"/>
    </row>
    <row r="1466" spans="1:4" ht="42.75" customHeight="1" thickBot="1">
      <c r="A1466" s="101">
        <v>62</v>
      </c>
      <c r="B1466" s="102"/>
      <c r="C1466" s="96" t="s">
        <v>6</v>
      </c>
      <c r="D1466" s="97"/>
    </row>
    <row r="1467" spans="1:4" ht="42.75" customHeight="1" thickBot="1">
      <c r="A1467" s="103"/>
      <c r="B1467" s="104"/>
      <c r="C1467" s="96" t="s">
        <v>21</v>
      </c>
      <c r="D1467" s="97"/>
    </row>
    <row r="1468" spans="1:4" ht="42.75" customHeight="1" thickBot="1">
      <c r="A1468" s="105">
        <f>A1466*A1465</f>
        <v>0</v>
      </c>
      <c r="B1468" s="106"/>
      <c r="C1468" s="96" t="s">
        <v>7</v>
      </c>
      <c r="D1468" s="97"/>
    </row>
    <row r="1469" spans="1:4" ht="42.75" customHeight="1" thickBot="1">
      <c r="A1469" s="107" t="s">
        <v>17</v>
      </c>
      <c r="B1469" s="108"/>
      <c r="C1469" s="108"/>
      <c r="D1469" s="109"/>
    </row>
    <row r="1470" spans="1:4" ht="42.75" customHeight="1" thickBot="1">
      <c r="A1470" s="116" t="s">
        <v>20</v>
      </c>
      <c r="B1470" s="117"/>
      <c r="C1470" s="117"/>
      <c r="D1470" s="118"/>
    </row>
    <row r="1471" spans="1:4" ht="42.75" customHeight="1" thickBot="1">
      <c r="A1471" s="113" t="s">
        <v>18</v>
      </c>
      <c r="B1471" s="114"/>
      <c r="C1471" s="114"/>
      <c r="D1471" s="115"/>
    </row>
    <row r="1472" spans="1:4" ht="42.75" customHeight="1" thickBot="1">
      <c r="A1472" s="119"/>
      <c r="B1472" s="119"/>
      <c r="C1472" s="119"/>
      <c r="D1472" s="119"/>
    </row>
    <row r="1473" spans="1:4" ht="42.75" customHeight="1" thickBot="1">
      <c r="A1473" s="126" t="s">
        <v>19</v>
      </c>
      <c r="B1473" s="127"/>
      <c r="C1473" s="127"/>
      <c r="D1473" s="128"/>
    </row>
    <row r="1474" spans="1:4" ht="42.75" customHeight="1" thickBot="1">
      <c r="A1474" s="123" t="s">
        <v>11</v>
      </c>
      <c r="B1474" s="124"/>
      <c r="C1474" s="125" t="s">
        <v>603</v>
      </c>
      <c r="D1474" s="124"/>
    </row>
    <row r="1475" spans="1:4" ht="42.75" customHeight="1" thickBot="1">
      <c r="A1475" s="1" t="s">
        <v>686</v>
      </c>
      <c r="B1475" s="26" t="s">
        <v>1</v>
      </c>
      <c r="C1475" s="90" t="s">
        <v>70</v>
      </c>
      <c r="D1475" s="91"/>
    </row>
    <row r="1476" spans="1:4" ht="42.75" customHeight="1" thickBot="1">
      <c r="A1476" s="26"/>
      <c r="B1476" s="26" t="s">
        <v>0</v>
      </c>
      <c r="C1476" s="5" t="s">
        <v>687</v>
      </c>
      <c r="D1476" s="4" t="s">
        <v>2</v>
      </c>
    </row>
    <row r="1477" spans="1:4" ht="42.75" customHeight="1" thickBot="1">
      <c r="A1477" s="92">
        <v>5050</v>
      </c>
      <c r="B1477" s="93"/>
      <c r="C1477" s="94" t="s">
        <v>3</v>
      </c>
      <c r="D1477" s="95"/>
    </row>
    <row r="1478" spans="1:4" ht="42.75" customHeight="1" thickBot="1">
      <c r="A1478" s="92">
        <v>5100</v>
      </c>
      <c r="B1478" s="93"/>
      <c r="C1478" s="96" t="s">
        <v>4</v>
      </c>
      <c r="D1478" s="97"/>
    </row>
    <row r="1479" spans="1:4" ht="42.75" customHeight="1" thickBot="1">
      <c r="A1479" s="98">
        <f>A1478-A1477</f>
        <v>50</v>
      </c>
      <c r="B1479" s="99"/>
      <c r="C1479" s="100" t="s">
        <v>5</v>
      </c>
      <c r="D1479" s="97"/>
    </row>
    <row r="1480" spans="1:4" ht="42.75" customHeight="1" thickBot="1">
      <c r="A1480" s="101">
        <v>62</v>
      </c>
      <c r="B1480" s="102"/>
      <c r="C1480" s="96" t="s">
        <v>6</v>
      </c>
      <c r="D1480" s="97"/>
    </row>
    <row r="1481" spans="1:4" ht="42.75" customHeight="1" thickBot="1">
      <c r="A1481" s="103"/>
      <c r="B1481" s="104"/>
      <c r="C1481" s="96" t="s">
        <v>21</v>
      </c>
      <c r="D1481" s="97"/>
    </row>
    <row r="1482" spans="1:4" ht="42.75" customHeight="1" thickBot="1">
      <c r="A1482" s="105">
        <f>A1480*A1479</f>
        <v>3100</v>
      </c>
      <c r="B1482" s="106"/>
      <c r="C1482" s="96" t="s">
        <v>7</v>
      </c>
      <c r="D1482" s="97"/>
    </row>
    <row r="1483" spans="1:4" ht="42.75" customHeight="1" thickBot="1">
      <c r="A1483" s="107" t="s">
        <v>17</v>
      </c>
      <c r="B1483" s="108"/>
      <c r="C1483" s="108"/>
      <c r="D1483" s="109"/>
    </row>
    <row r="1484" spans="1:4" ht="42.75" customHeight="1" thickBot="1">
      <c r="A1484" s="110" t="s">
        <v>20</v>
      </c>
      <c r="B1484" s="111"/>
      <c r="C1484" s="111"/>
      <c r="D1484" s="112"/>
    </row>
    <row r="1485" spans="1:4" ht="42.75" customHeight="1" thickBot="1">
      <c r="A1485" s="113" t="s">
        <v>18</v>
      </c>
      <c r="B1485" s="114"/>
      <c r="C1485" s="114"/>
      <c r="D1485" s="115"/>
    </row>
    <row r="1486" spans="1:4" ht="42.75" customHeight="1" thickBot="1">
      <c r="A1486" s="126" t="s">
        <v>19</v>
      </c>
      <c r="B1486" s="127"/>
      <c r="C1486" s="127"/>
      <c r="D1486" s="128"/>
    </row>
    <row r="1487" spans="1:4" ht="42.75" customHeight="1" thickBot="1">
      <c r="A1487" s="123" t="s">
        <v>11</v>
      </c>
      <c r="B1487" s="124"/>
      <c r="C1487" s="125" t="s">
        <v>603</v>
      </c>
      <c r="D1487" s="124"/>
    </row>
    <row r="1488" spans="1:4" ht="42.75" customHeight="1" thickBot="1">
      <c r="A1488" s="1" t="s">
        <v>686</v>
      </c>
      <c r="B1488" s="26" t="s">
        <v>1</v>
      </c>
      <c r="C1488" s="90" t="s">
        <v>71</v>
      </c>
      <c r="D1488" s="91"/>
    </row>
    <row r="1489" spans="1:4" ht="42.75" customHeight="1" thickBot="1">
      <c r="A1489" s="26"/>
      <c r="B1489" s="26" t="s">
        <v>0</v>
      </c>
      <c r="C1489" s="5" t="s">
        <v>687</v>
      </c>
      <c r="D1489" s="4" t="s">
        <v>2</v>
      </c>
    </row>
    <row r="1490" spans="1:4" ht="42.75" customHeight="1" thickBot="1">
      <c r="A1490" s="92">
        <v>4335</v>
      </c>
      <c r="B1490" s="93"/>
      <c r="C1490" s="94" t="s">
        <v>3</v>
      </c>
      <c r="D1490" s="95"/>
    </row>
    <row r="1491" spans="1:4" ht="42.75" customHeight="1" thickBot="1">
      <c r="A1491" s="92">
        <v>4335</v>
      </c>
      <c r="B1491" s="93"/>
      <c r="C1491" s="96" t="s">
        <v>4</v>
      </c>
      <c r="D1491" s="97"/>
    </row>
    <row r="1492" spans="1:4" ht="42.75" customHeight="1" thickBot="1">
      <c r="A1492" s="98">
        <f>A1491-A1490</f>
        <v>0</v>
      </c>
      <c r="B1492" s="99"/>
      <c r="C1492" s="100" t="s">
        <v>5</v>
      </c>
      <c r="D1492" s="97"/>
    </row>
    <row r="1493" spans="1:4" ht="42.75" customHeight="1" thickBot="1">
      <c r="A1493" s="101">
        <v>40</v>
      </c>
      <c r="B1493" s="102"/>
      <c r="C1493" s="96" t="s">
        <v>6</v>
      </c>
      <c r="D1493" s="97"/>
    </row>
    <row r="1494" spans="1:4" ht="42.75" customHeight="1" thickBot="1">
      <c r="A1494" s="103"/>
      <c r="B1494" s="104"/>
      <c r="C1494" s="96" t="s">
        <v>21</v>
      </c>
      <c r="D1494" s="97"/>
    </row>
    <row r="1495" spans="1:4" ht="42.75" customHeight="1" thickBot="1">
      <c r="A1495" s="105">
        <f>A1493*A1492</f>
        <v>0</v>
      </c>
      <c r="B1495" s="106"/>
      <c r="C1495" s="96" t="s">
        <v>7</v>
      </c>
      <c r="D1495" s="97"/>
    </row>
    <row r="1496" spans="1:4" ht="42.75" customHeight="1" thickBot="1">
      <c r="A1496" s="107" t="s">
        <v>17</v>
      </c>
      <c r="B1496" s="108"/>
      <c r="C1496" s="108"/>
      <c r="D1496" s="109"/>
    </row>
    <row r="1497" spans="1:4" ht="42.75" customHeight="1" thickBot="1">
      <c r="A1497" s="116" t="s">
        <v>20</v>
      </c>
      <c r="B1497" s="117"/>
      <c r="C1497" s="117"/>
      <c r="D1497" s="118"/>
    </row>
    <row r="1498" spans="1:4" ht="42.75" customHeight="1" thickBot="1">
      <c r="A1498" s="113" t="s">
        <v>18</v>
      </c>
      <c r="B1498" s="114"/>
      <c r="C1498" s="114"/>
      <c r="D1498" s="115"/>
    </row>
    <row r="1499" spans="1:4" ht="42.75" customHeight="1" thickBot="1">
      <c r="A1499" s="119"/>
      <c r="B1499" s="119"/>
      <c r="C1499" s="119"/>
      <c r="D1499" s="119"/>
    </row>
    <row r="1500" spans="1:4" ht="42.75" customHeight="1" thickBot="1">
      <c r="A1500" s="126" t="s">
        <v>19</v>
      </c>
      <c r="B1500" s="127"/>
      <c r="C1500" s="127"/>
      <c r="D1500" s="128"/>
    </row>
    <row r="1501" spans="1:4" ht="42.75" customHeight="1" thickBot="1">
      <c r="A1501" s="123" t="s">
        <v>11</v>
      </c>
      <c r="B1501" s="124"/>
      <c r="C1501" s="125" t="s">
        <v>603</v>
      </c>
      <c r="D1501" s="124"/>
    </row>
    <row r="1502" spans="1:4" ht="42.75" customHeight="1" thickBot="1">
      <c r="A1502" s="1" t="s">
        <v>686</v>
      </c>
      <c r="B1502" s="26" t="s">
        <v>1</v>
      </c>
      <c r="C1502" s="90" t="s">
        <v>71</v>
      </c>
      <c r="D1502" s="91"/>
    </row>
    <row r="1503" spans="1:4" ht="42.75" customHeight="1" thickBot="1">
      <c r="A1503" s="26"/>
      <c r="B1503" s="26" t="s">
        <v>0</v>
      </c>
      <c r="C1503" s="5" t="s">
        <v>687</v>
      </c>
      <c r="D1503" s="4" t="s">
        <v>2</v>
      </c>
    </row>
    <row r="1504" spans="1:4" ht="42.75" customHeight="1" thickBot="1">
      <c r="A1504" s="92">
        <v>4293</v>
      </c>
      <c r="B1504" s="93"/>
      <c r="C1504" s="94" t="s">
        <v>3</v>
      </c>
      <c r="D1504" s="95"/>
    </row>
    <row r="1505" spans="1:4" ht="42.75" customHeight="1" thickBot="1">
      <c r="A1505" s="92">
        <v>4335</v>
      </c>
      <c r="B1505" s="93"/>
      <c r="C1505" s="96" t="s">
        <v>4</v>
      </c>
      <c r="D1505" s="97"/>
    </row>
    <row r="1506" spans="1:4" ht="42.75" customHeight="1" thickBot="1">
      <c r="A1506" s="98">
        <f>A1505-A1504</f>
        <v>42</v>
      </c>
      <c r="B1506" s="99"/>
      <c r="C1506" s="100" t="s">
        <v>5</v>
      </c>
      <c r="D1506" s="97"/>
    </row>
    <row r="1507" spans="1:4" ht="42.75" customHeight="1" thickBot="1">
      <c r="A1507" s="101">
        <v>62</v>
      </c>
      <c r="B1507" s="102"/>
      <c r="C1507" s="96" t="s">
        <v>6</v>
      </c>
      <c r="D1507" s="97"/>
    </row>
    <row r="1508" spans="1:4" ht="42.75" customHeight="1" thickBot="1">
      <c r="A1508" s="103"/>
      <c r="B1508" s="104"/>
      <c r="C1508" s="96" t="s">
        <v>21</v>
      </c>
      <c r="D1508" s="97"/>
    </row>
    <row r="1509" spans="1:4" ht="42.75" customHeight="1" thickBot="1">
      <c r="A1509" s="105">
        <f>A1507*A1506</f>
        <v>2604</v>
      </c>
      <c r="B1509" s="106"/>
      <c r="C1509" s="96" t="s">
        <v>7</v>
      </c>
      <c r="D1509" s="97"/>
    </row>
    <row r="1510" spans="1:4" ht="42.75" customHeight="1" thickBot="1">
      <c r="A1510" s="107" t="s">
        <v>17</v>
      </c>
      <c r="B1510" s="108"/>
      <c r="C1510" s="108"/>
      <c r="D1510" s="109"/>
    </row>
    <row r="1511" spans="1:4" ht="42.75" customHeight="1" thickBot="1">
      <c r="A1511" s="110" t="s">
        <v>20</v>
      </c>
      <c r="B1511" s="111"/>
      <c r="C1511" s="111"/>
      <c r="D1511" s="112"/>
    </row>
    <row r="1512" spans="1:4" ht="42.75" customHeight="1" thickBot="1">
      <c r="A1512" s="113" t="s">
        <v>18</v>
      </c>
      <c r="B1512" s="114"/>
      <c r="C1512" s="114"/>
      <c r="D1512" s="115"/>
    </row>
    <row r="1513" spans="1:4" ht="42.75" customHeight="1" thickBot="1">
      <c r="A1513" s="126" t="s">
        <v>19</v>
      </c>
      <c r="B1513" s="127"/>
      <c r="C1513" s="127"/>
      <c r="D1513" s="128"/>
    </row>
    <row r="1514" spans="1:4" ht="42.75" customHeight="1" thickBot="1">
      <c r="A1514" s="123" t="s">
        <v>11</v>
      </c>
      <c r="B1514" s="124"/>
      <c r="C1514" s="125" t="s">
        <v>603</v>
      </c>
      <c r="D1514" s="124"/>
    </row>
    <row r="1515" spans="1:4" ht="42.75" customHeight="1" thickBot="1">
      <c r="A1515" s="1" t="s">
        <v>686</v>
      </c>
      <c r="B1515" s="26" t="s">
        <v>1</v>
      </c>
      <c r="C1515" s="90" t="s">
        <v>72</v>
      </c>
      <c r="D1515" s="91"/>
    </row>
    <row r="1516" spans="1:4" ht="42.75" customHeight="1" thickBot="1">
      <c r="A1516" s="26"/>
      <c r="B1516" s="26" t="s">
        <v>0</v>
      </c>
      <c r="C1516" s="5" t="s">
        <v>687</v>
      </c>
      <c r="D1516" s="4" t="s">
        <v>2</v>
      </c>
    </row>
    <row r="1517" spans="1:4" ht="42.75" customHeight="1" thickBot="1">
      <c r="A1517" s="92">
        <v>5415</v>
      </c>
      <c r="B1517" s="93"/>
      <c r="C1517" s="94" t="s">
        <v>3</v>
      </c>
      <c r="D1517" s="95"/>
    </row>
    <row r="1518" spans="1:4" ht="42.75" customHeight="1" thickBot="1">
      <c r="A1518" s="92">
        <v>5415</v>
      </c>
      <c r="B1518" s="93"/>
      <c r="C1518" s="96" t="s">
        <v>4</v>
      </c>
      <c r="D1518" s="97"/>
    </row>
    <row r="1519" spans="1:4" ht="42.75" customHeight="1" thickBot="1">
      <c r="A1519" s="98">
        <f>A1518-A1517</f>
        <v>0</v>
      </c>
      <c r="B1519" s="99"/>
      <c r="C1519" s="100" t="s">
        <v>5</v>
      </c>
      <c r="D1519" s="97"/>
    </row>
    <row r="1520" spans="1:4" ht="42.75" customHeight="1" thickBot="1">
      <c r="A1520" s="101">
        <v>62</v>
      </c>
      <c r="B1520" s="102"/>
      <c r="C1520" s="96" t="s">
        <v>6</v>
      </c>
      <c r="D1520" s="97"/>
    </row>
    <row r="1521" spans="1:4" ht="42.75" customHeight="1" thickBot="1">
      <c r="A1521" s="103"/>
      <c r="B1521" s="104"/>
      <c r="C1521" s="96" t="s">
        <v>21</v>
      </c>
      <c r="D1521" s="97"/>
    </row>
    <row r="1522" spans="1:4" ht="42.75" customHeight="1" thickBot="1">
      <c r="A1522" s="105">
        <f>A1520*A1519</f>
        <v>0</v>
      </c>
      <c r="B1522" s="106"/>
      <c r="C1522" s="96" t="s">
        <v>7</v>
      </c>
      <c r="D1522" s="97"/>
    </row>
    <row r="1523" spans="1:4" ht="42.75" customHeight="1" thickBot="1">
      <c r="A1523" s="107" t="s">
        <v>17</v>
      </c>
      <c r="B1523" s="108"/>
      <c r="C1523" s="108"/>
      <c r="D1523" s="109"/>
    </row>
    <row r="1524" spans="1:4" ht="42.75" customHeight="1" thickBot="1">
      <c r="A1524" s="116" t="s">
        <v>20</v>
      </c>
      <c r="B1524" s="117"/>
      <c r="C1524" s="117"/>
      <c r="D1524" s="118"/>
    </row>
    <row r="1525" spans="1:4" ht="42.75" customHeight="1" thickBot="1">
      <c r="A1525" s="113" t="s">
        <v>18</v>
      </c>
      <c r="B1525" s="114"/>
      <c r="C1525" s="114"/>
      <c r="D1525" s="115"/>
    </row>
    <row r="1526" spans="1:4" ht="42.75" customHeight="1" thickBot="1">
      <c r="A1526" s="119"/>
      <c r="B1526" s="119"/>
      <c r="C1526" s="119"/>
      <c r="D1526" s="119"/>
    </row>
    <row r="1527" spans="1:4" ht="42.75" customHeight="1" thickBot="1">
      <c r="A1527" s="126" t="s">
        <v>19</v>
      </c>
      <c r="B1527" s="127"/>
      <c r="C1527" s="127"/>
      <c r="D1527" s="128"/>
    </row>
    <row r="1528" spans="1:4" ht="42.75" customHeight="1" thickBot="1">
      <c r="A1528" s="123" t="s">
        <v>11</v>
      </c>
      <c r="B1528" s="124"/>
      <c r="C1528" s="125" t="s">
        <v>603</v>
      </c>
      <c r="D1528" s="124"/>
    </row>
    <row r="1529" spans="1:4" ht="42.75" customHeight="1" thickBot="1">
      <c r="A1529" s="1" t="s">
        <v>686</v>
      </c>
      <c r="B1529" s="26" t="s">
        <v>1</v>
      </c>
      <c r="C1529" s="90" t="s">
        <v>72</v>
      </c>
      <c r="D1529" s="91"/>
    </row>
    <row r="1530" spans="1:4" ht="42.75" customHeight="1" thickBot="1">
      <c r="A1530" s="26"/>
      <c r="B1530" s="26" t="s">
        <v>0</v>
      </c>
      <c r="C1530" s="5" t="s">
        <v>687</v>
      </c>
      <c r="D1530" s="4" t="s">
        <v>2</v>
      </c>
    </row>
    <row r="1531" spans="1:4" ht="42.75" customHeight="1" thickBot="1">
      <c r="A1531" s="92">
        <v>5385</v>
      </c>
      <c r="B1531" s="93"/>
      <c r="C1531" s="94" t="s">
        <v>3</v>
      </c>
      <c r="D1531" s="95"/>
    </row>
    <row r="1532" spans="1:4" ht="42.75" customHeight="1" thickBot="1">
      <c r="A1532" s="92">
        <v>5415</v>
      </c>
      <c r="B1532" s="93"/>
      <c r="C1532" s="96" t="s">
        <v>4</v>
      </c>
      <c r="D1532" s="97"/>
    </row>
    <row r="1533" spans="1:4" ht="42.75" customHeight="1" thickBot="1">
      <c r="A1533" s="98">
        <f>A1532-A1531</f>
        <v>30</v>
      </c>
      <c r="B1533" s="99"/>
      <c r="C1533" s="100" t="s">
        <v>5</v>
      </c>
      <c r="D1533" s="97"/>
    </row>
    <row r="1534" spans="1:4" ht="42.75" customHeight="1" thickBot="1">
      <c r="A1534" s="101">
        <v>62</v>
      </c>
      <c r="B1534" s="102"/>
      <c r="C1534" s="96" t="s">
        <v>6</v>
      </c>
      <c r="D1534" s="97"/>
    </row>
    <row r="1535" spans="1:4" ht="42.75" customHeight="1" thickBot="1">
      <c r="A1535" s="103"/>
      <c r="B1535" s="104"/>
      <c r="C1535" s="96" t="s">
        <v>21</v>
      </c>
      <c r="D1535" s="97"/>
    </row>
    <row r="1536" spans="1:4" ht="42.75" customHeight="1" thickBot="1">
      <c r="A1536" s="105">
        <f>A1534*A1533</f>
        <v>1860</v>
      </c>
      <c r="B1536" s="106"/>
      <c r="C1536" s="96" t="s">
        <v>7</v>
      </c>
      <c r="D1536" s="97"/>
    </row>
    <row r="1537" spans="1:4" ht="42.75" customHeight="1" thickBot="1">
      <c r="A1537" s="107" t="s">
        <v>17</v>
      </c>
      <c r="B1537" s="108"/>
      <c r="C1537" s="108"/>
      <c r="D1537" s="109"/>
    </row>
    <row r="1538" spans="1:4" ht="42.75" customHeight="1" thickBot="1">
      <c r="A1538" s="110" t="s">
        <v>20</v>
      </c>
      <c r="B1538" s="111"/>
      <c r="C1538" s="111"/>
      <c r="D1538" s="112"/>
    </row>
    <row r="1539" spans="1:4" ht="42.75" customHeight="1" thickBot="1">
      <c r="A1539" s="113" t="s">
        <v>18</v>
      </c>
      <c r="B1539" s="114"/>
      <c r="C1539" s="114"/>
      <c r="D1539" s="115"/>
    </row>
    <row r="1540" spans="1:4" ht="42.75" customHeight="1" thickBot="1">
      <c r="A1540" s="126" t="s">
        <v>19</v>
      </c>
      <c r="B1540" s="127"/>
      <c r="C1540" s="127"/>
      <c r="D1540" s="128"/>
    </row>
    <row r="1541" spans="1:4" ht="42.75" customHeight="1" thickBot="1">
      <c r="A1541" s="123" t="s">
        <v>11</v>
      </c>
      <c r="B1541" s="124"/>
      <c r="C1541" s="125" t="s">
        <v>603</v>
      </c>
      <c r="D1541" s="124"/>
    </row>
    <row r="1542" spans="1:4" ht="42.75" customHeight="1" thickBot="1">
      <c r="A1542" s="1" t="s">
        <v>686</v>
      </c>
      <c r="B1542" s="26" t="s">
        <v>1</v>
      </c>
      <c r="C1542" s="90" t="s">
        <v>73</v>
      </c>
      <c r="D1542" s="91"/>
    </row>
    <row r="1543" spans="1:4" ht="42.75" customHeight="1" thickBot="1">
      <c r="A1543" s="26"/>
      <c r="B1543" s="26" t="s">
        <v>0</v>
      </c>
      <c r="C1543" s="5" t="s">
        <v>687</v>
      </c>
      <c r="D1543" s="4" t="s">
        <v>2</v>
      </c>
    </row>
    <row r="1544" spans="1:4" ht="42.75" customHeight="1" thickBot="1">
      <c r="A1544" s="92">
        <v>5270</v>
      </c>
      <c r="B1544" s="93"/>
      <c r="C1544" s="94" t="s">
        <v>3</v>
      </c>
      <c r="D1544" s="95"/>
    </row>
    <row r="1545" spans="1:4" ht="42.75" customHeight="1" thickBot="1">
      <c r="A1545" s="92">
        <v>5270</v>
      </c>
      <c r="B1545" s="93"/>
      <c r="C1545" s="96" t="s">
        <v>4</v>
      </c>
      <c r="D1545" s="97"/>
    </row>
    <row r="1546" spans="1:4" ht="42.75" customHeight="1" thickBot="1">
      <c r="A1546" s="98">
        <f>A1545-A1544</f>
        <v>0</v>
      </c>
      <c r="B1546" s="99"/>
      <c r="C1546" s="100" t="s">
        <v>5</v>
      </c>
      <c r="D1546" s="97"/>
    </row>
    <row r="1547" spans="1:4" ht="42.75" customHeight="1" thickBot="1">
      <c r="A1547" s="101">
        <v>62</v>
      </c>
      <c r="B1547" s="102"/>
      <c r="C1547" s="96" t="s">
        <v>6</v>
      </c>
      <c r="D1547" s="97"/>
    </row>
    <row r="1548" spans="1:4" ht="42.75" customHeight="1" thickBot="1">
      <c r="A1548" s="103"/>
      <c r="B1548" s="104"/>
      <c r="C1548" s="96" t="s">
        <v>21</v>
      </c>
      <c r="D1548" s="97"/>
    </row>
    <row r="1549" spans="1:4" ht="42.75" customHeight="1" thickBot="1">
      <c r="A1549" s="105">
        <f>A1547*A1546</f>
        <v>0</v>
      </c>
      <c r="B1549" s="106"/>
      <c r="C1549" s="96" t="s">
        <v>7</v>
      </c>
      <c r="D1549" s="97"/>
    </row>
    <row r="1550" spans="1:4" ht="42.75" customHeight="1" thickBot="1">
      <c r="A1550" s="107" t="s">
        <v>17</v>
      </c>
      <c r="B1550" s="108"/>
      <c r="C1550" s="108"/>
      <c r="D1550" s="109"/>
    </row>
    <row r="1551" spans="1:4" ht="42.75" customHeight="1" thickBot="1">
      <c r="A1551" s="116" t="s">
        <v>20</v>
      </c>
      <c r="B1551" s="117"/>
      <c r="C1551" s="117"/>
      <c r="D1551" s="118"/>
    </row>
    <row r="1552" spans="1:4" ht="42.75" customHeight="1" thickBot="1">
      <c r="A1552" s="113" t="s">
        <v>18</v>
      </c>
      <c r="B1552" s="114"/>
      <c r="C1552" s="114"/>
      <c r="D1552" s="115"/>
    </row>
    <row r="1553" spans="1:4" ht="42.75" customHeight="1" thickBot="1">
      <c r="A1553" s="119"/>
      <c r="B1553" s="119"/>
      <c r="C1553" s="119"/>
      <c r="D1553" s="119"/>
    </row>
    <row r="1554" spans="1:4" ht="42.75" customHeight="1" thickBot="1">
      <c r="A1554" s="126" t="s">
        <v>19</v>
      </c>
      <c r="B1554" s="127"/>
      <c r="C1554" s="127"/>
      <c r="D1554" s="128"/>
    </row>
    <row r="1555" spans="1:4" ht="42.75" customHeight="1" thickBot="1">
      <c r="A1555" s="123" t="s">
        <v>11</v>
      </c>
      <c r="B1555" s="124"/>
      <c r="C1555" s="125" t="s">
        <v>603</v>
      </c>
      <c r="D1555" s="124"/>
    </row>
    <row r="1556" spans="1:4" ht="42.75" customHeight="1" thickBot="1">
      <c r="A1556" s="1" t="s">
        <v>686</v>
      </c>
      <c r="B1556" s="26" t="s">
        <v>1</v>
      </c>
      <c r="C1556" s="90" t="s">
        <v>73</v>
      </c>
      <c r="D1556" s="91"/>
    </row>
    <row r="1557" spans="1:4" ht="42.75" customHeight="1" thickBot="1">
      <c r="A1557" s="26"/>
      <c r="B1557" s="26" t="s">
        <v>0</v>
      </c>
      <c r="C1557" s="5" t="s">
        <v>687</v>
      </c>
      <c r="D1557" s="4" t="s">
        <v>2</v>
      </c>
    </row>
    <row r="1558" spans="1:4" ht="42.75" customHeight="1" thickBot="1">
      <c r="A1558" s="92">
        <v>5245</v>
      </c>
      <c r="B1558" s="93"/>
      <c r="C1558" s="94" t="s">
        <v>3</v>
      </c>
      <c r="D1558" s="95"/>
    </row>
    <row r="1559" spans="1:4" ht="42.75" customHeight="1" thickBot="1">
      <c r="A1559" s="92">
        <v>5270</v>
      </c>
      <c r="B1559" s="93"/>
      <c r="C1559" s="96" t="s">
        <v>4</v>
      </c>
      <c r="D1559" s="97"/>
    </row>
    <row r="1560" spans="1:4" ht="42.75" customHeight="1" thickBot="1">
      <c r="A1560" s="98">
        <f>A1559-A1558</f>
        <v>25</v>
      </c>
      <c r="B1560" s="99"/>
      <c r="C1560" s="100" t="s">
        <v>5</v>
      </c>
      <c r="D1560" s="97"/>
    </row>
    <row r="1561" spans="1:4" ht="42.75" customHeight="1" thickBot="1">
      <c r="A1561" s="101">
        <v>62</v>
      </c>
      <c r="B1561" s="102"/>
      <c r="C1561" s="96" t="s">
        <v>6</v>
      </c>
      <c r="D1561" s="97"/>
    </row>
    <row r="1562" spans="1:4" ht="42.75" customHeight="1" thickBot="1">
      <c r="A1562" s="103"/>
      <c r="B1562" s="104"/>
      <c r="C1562" s="96" t="s">
        <v>21</v>
      </c>
      <c r="D1562" s="97"/>
    </row>
    <row r="1563" spans="1:4" ht="42.75" customHeight="1" thickBot="1">
      <c r="A1563" s="105">
        <f>A1561*A1560</f>
        <v>1550</v>
      </c>
      <c r="B1563" s="106"/>
      <c r="C1563" s="96" t="s">
        <v>7</v>
      </c>
      <c r="D1563" s="97"/>
    </row>
    <row r="1564" spans="1:4" ht="42.75" customHeight="1" thickBot="1">
      <c r="A1564" s="107" t="s">
        <v>17</v>
      </c>
      <c r="B1564" s="108"/>
      <c r="C1564" s="108"/>
      <c r="D1564" s="109"/>
    </row>
    <row r="1565" spans="1:4" ht="42.75" customHeight="1" thickBot="1">
      <c r="A1565" s="110" t="s">
        <v>20</v>
      </c>
      <c r="B1565" s="111"/>
      <c r="C1565" s="111"/>
      <c r="D1565" s="112"/>
    </row>
    <row r="1566" spans="1:4" ht="42.75" customHeight="1" thickBot="1">
      <c r="A1566" s="113" t="s">
        <v>18</v>
      </c>
      <c r="B1566" s="114"/>
      <c r="C1566" s="114"/>
      <c r="D1566" s="115"/>
    </row>
    <row r="1567" spans="1:4" ht="42.75" customHeight="1" thickBot="1">
      <c r="A1567" s="126" t="s">
        <v>19</v>
      </c>
      <c r="B1567" s="127"/>
      <c r="C1567" s="127"/>
      <c r="D1567" s="128"/>
    </row>
    <row r="1568" spans="1:4" ht="42.75" customHeight="1" thickBot="1">
      <c r="A1568" s="123" t="s">
        <v>11</v>
      </c>
      <c r="B1568" s="124"/>
      <c r="C1568" s="125" t="s">
        <v>603</v>
      </c>
      <c r="D1568" s="124"/>
    </row>
    <row r="1569" spans="1:4" ht="42.75" customHeight="1" thickBot="1">
      <c r="A1569" s="1" t="s">
        <v>686</v>
      </c>
      <c r="B1569" s="26" t="s">
        <v>1</v>
      </c>
      <c r="C1569" s="90" t="s">
        <v>74</v>
      </c>
      <c r="D1569" s="91"/>
    </row>
    <row r="1570" spans="1:4" ht="42.75" customHeight="1" thickBot="1">
      <c r="A1570" s="26"/>
      <c r="B1570" s="26" t="s">
        <v>0</v>
      </c>
      <c r="C1570" s="5" t="s">
        <v>687</v>
      </c>
      <c r="D1570" s="4" t="s">
        <v>2</v>
      </c>
    </row>
    <row r="1571" spans="1:4" ht="42.75" customHeight="1" thickBot="1">
      <c r="A1571" s="92">
        <v>5740</v>
      </c>
      <c r="B1571" s="93"/>
      <c r="C1571" s="94" t="s">
        <v>3</v>
      </c>
      <c r="D1571" s="95"/>
    </row>
    <row r="1572" spans="1:4" ht="42.75" customHeight="1" thickBot="1">
      <c r="A1572" s="92">
        <v>5740</v>
      </c>
      <c r="B1572" s="93"/>
      <c r="C1572" s="96" t="s">
        <v>4</v>
      </c>
      <c r="D1572" s="97"/>
    </row>
    <row r="1573" spans="1:4" ht="42.75" customHeight="1" thickBot="1">
      <c r="A1573" s="98">
        <f>A1572-A1571</f>
        <v>0</v>
      </c>
      <c r="B1573" s="99"/>
      <c r="C1573" s="100" t="s">
        <v>5</v>
      </c>
      <c r="D1573" s="97"/>
    </row>
    <row r="1574" spans="1:4" ht="42.75" customHeight="1" thickBot="1">
      <c r="A1574" s="101">
        <v>62</v>
      </c>
      <c r="B1574" s="102"/>
      <c r="C1574" s="96" t="s">
        <v>6</v>
      </c>
      <c r="D1574" s="97"/>
    </row>
    <row r="1575" spans="1:4" ht="42.75" customHeight="1" thickBot="1">
      <c r="A1575" s="103"/>
      <c r="B1575" s="104"/>
      <c r="C1575" s="96" t="s">
        <v>21</v>
      </c>
      <c r="D1575" s="97"/>
    </row>
    <row r="1576" spans="1:4" ht="42.75" customHeight="1" thickBot="1">
      <c r="A1576" s="105">
        <f>A1574*A1573</f>
        <v>0</v>
      </c>
      <c r="B1576" s="106"/>
      <c r="C1576" s="96" t="s">
        <v>7</v>
      </c>
      <c r="D1576" s="97"/>
    </row>
    <row r="1577" spans="1:4" ht="42.75" customHeight="1" thickBot="1">
      <c r="A1577" s="107" t="s">
        <v>17</v>
      </c>
      <c r="B1577" s="108"/>
      <c r="C1577" s="108"/>
      <c r="D1577" s="109"/>
    </row>
    <row r="1578" spans="1:4" ht="42.75" customHeight="1" thickBot="1">
      <c r="A1578" s="116" t="s">
        <v>20</v>
      </c>
      <c r="B1578" s="117"/>
      <c r="C1578" s="117"/>
      <c r="D1578" s="118"/>
    </row>
    <row r="1579" spans="1:4" ht="42.75" customHeight="1" thickBot="1">
      <c r="A1579" s="113" t="s">
        <v>18</v>
      </c>
      <c r="B1579" s="114"/>
      <c r="C1579" s="114"/>
      <c r="D1579" s="115"/>
    </row>
    <row r="1580" spans="1:4" ht="42.75" customHeight="1" thickBot="1">
      <c r="A1580" s="119"/>
      <c r="B1580" s="119"/>
      <c r="C1580" s="119"/>
      <c r="D1580" s="119"/>
    </row>
    <row r="1581" spans="1:4" ht="42.75" customHeight="1" thickBot="1">
      <c r="A1581" s="132" t="s">
        <v>19</v>
      </c>
      <c r="B1581" s="133"/>
      <c r="C1581" s="133"/>
      <c r="D1581" s="134"/>
    </row>
    <row r="1582" spans="1:4" ht="42.75" customHeight="1" thickBot="1">
      <c r="A1582" s="123" t="s">
        <v>11</v>
      </c>
      <c r="B1582" s="124"/>
      <c r="C1582" s="123" t="s">
        <v>603</v>
      </c>
      <c r="D1582" s="124"/>
    </row>
    <row r="1583" spans="1:4" ht="42.75" customHeight="1" thickBot="1">
      <c r="A1583" s="1" t="s">
        <v>686</v>
      </c>
      <c r="B1583" s="26" t="s">
        <v>1</v>
      </c>
      <c r="C1583" s="90" t="s">
        <v>74</v>
      </c>
      <c r="D1583" s="91"/>
    </row>
    <row r="1584" spans="1:4" ht="42.75" customHeight="1" thickBot="1">
      <c r="A1584" s="26"/>
      <c r="B1584" s="26" t="s">
        <v>0</v>
      </c>
      <c r="C1584" s="5" t="s">
        <v>687</v>
      </c>
      <c r="D1584" s="4" t="s">
        <v>2</v>
      </c>
    </row>
    <row r="1585" spans="1:4" ht="42.75" customHeight="1" thickBot="1">
      <c r="A1585" s="92">
        <v>5665</v>
      </c>
      <c r="B1585" s="93"/>
      <c r="C1585" s="94" t="s">
        <v>3</v>
      </c>
      <c r="D1585" s="95"/>
    </row>
    <row r="1586" spans="1:4" ht="42.75" customHeight="1" thickBot="1">
      <c r="A1586" s="92">
        <v>5740</v>
      </c>
      <c r="B1586" s="93"/>
      <c r="C1586" s="96" t="s">
        <v>4</v>
      </c>
      <c r="D1586" s="97"/>
    </row>
    <row r="1587" spans="1:4" ht="42.75" customHeight="1" thickBot="1">
      <c r="A1587" s="98">
        <f>A1586-A1585</f>
        <v>75</v>
      </c>
      <c r="B1587" s="99"/>
      <c r="C1587" s="96" t="s">
        <v>5</v>
      </c>
      <c r="D1587" s="97"/>
    </row>
    <row r="1588" spans="1:4" ht="42.75" customHeight="1" thickBot="1">
      <c r="A1588" s="101">
        <v>62</v>
      </c>
      <c r="B1588" s="102"/>
      <c r="C1588" s="96" t="s">
        <v>6</v>
      </c>
      <c r="D1588" s="97"/>
    </row>
    <row r="1589" spans="1:4" ht="42.75" customHeight="1" thickBot="1">
      <c r="A1589" s="103"/>
      <c r="B1589" s="104"/>
      <c r="C1589" s="96" t="s">
        <v>21</v>
      </c>
      <c r="D1589" s="97"/>
    </row>
    <row r="1590" spans="1:4" ht="42.75" customHeight="1" thickBot="1">
      <c r="A1590" s="105">
        <f>A1588*A1587</f>
        <v>4650</v>
      </c>
      <c r="B1590" s="106"/>
      <c r="C1590" s="96" t="s">
        <v>7</v>
      </c>
      <c r="D1590" s="97"/>
    </row>
    <row r="1591" spans="1:4" ht="42.75" customHeight="1" thickBot="1">
      <c r="A1591" s="107" t="s">
        <v>17</v>
      </c>
      <c r="B1591" s="108"/>
      <c r="C1591" s="108"/>
      <c r="D1591" s="109"/>
    </row>
    <row r="1592" spans="1:4" ht="42.75" customHeight="1" thickBot="1">
      <c r="A1592" s="110" t="s">
        <v>20</v>
      </c>
      <c r="B1592" s="111"/>
      <c r="C1592" s="111"/>
      <c r="D1592" s="112"/>
    </row>
    <row r="1593" spans="1:4" ht="42.75" customHeight="1" thickBot="1">
      <c r="A1593" s="113" t="s">
        <v>18</v>
      </c>
      <c r="B1593" s="114"/>
      <c r="C1593" s="114"/>
      <c r="D1593" s="115"/>
    </row>
    <row r="1594" spans="1:4" ht="42.75" customHeight="1" thickBot="1">
      <c r="A1594" s="126" t="s">
        <v>19</v>
      </c>
      <c r="B1594" s="127"/>
      <c r="C1594" s="127"/>
      <c r="D1594" s="128"/>
    </row>
    <row r="1595" spans="1:4" ht="42.75" customHeight="1" thickBot="1">
      <c r="A1595" s="123" t="s">
        <v>11</v>
      </c>
      <c r="B1595" s="124"/>
      <c r="C1595" s="125" t="s">
        <v>603</v>
      </c>
      <c r="D1595" s="124"/>
    </row>
    <row r="1596" spans="1:4" ht="42.75" customHeight="1" thickBot="1">
      <c r="A1596" s="1" t="s">
        <v>686</v>
      </c>
      <c r="B1596" s="26" t="s">
        <v>1</v>
      </c>
      <c r="C1596" s="90" t="s">
        <v>75</v>
      </c>
      <c r="D1596" s="91"/>
    </row>
    <row r="1597" spans="1:4" ht="42.75" customHeight="1" thickBot="1">
      <c r="A1597" s="26"/>
      <c r="B1597" s="26" t="s">
        <v>0</v>
      </c>
      <c r="C1597" s="5" t="s">
        <v>687</v>
      </c>
      <c r="D1597" s="4" t="s">
        <v>2</v>
      </c>
    </row>
    <row r="1598" spans="1:4" ht="42.75" customHeight="1" thickBot="1">
      <c r="A1598" s="92">
        <v>4675</v>
      </c>
      <c r="B1598" s="93"/>
      <c r="C1598" s="94" t="s">
        <v>3</v>
      </c>
      <c r="D1598" s="95"/>
    </row>
    <row r="1599" spans="1:4" ht="42.75" customHeight="1" thickBot="1">
      <c r="A1599" s="92">
        <v>4675</v>
      </c>
      <c r="B1599" s="93"/>
      <c r="C1599" s="96" t="s">
        <v>4</v>
      </c>
      <c r="D1599" s="97"/>
    </row>
    <row r="1600" spans="1:4" ht="42.75" customHeight="1" thickBot="1">
      <c r="A1600" s="98">
        <f>A1599-A1598</f>
        <v>0</v>
      </c>
      <c r="B1600" s="99"/>
      <c r="C1600" s="100" t="s">
        <v>5</v>
      </c>
      <c r="D1600" s="97"/>
    </row>
    <row r="1601" spans="1:4" ht="42.75" customHeight="1" thickBot="1">
      <c r="A1601" s="101">
        <v>62</v>
      </c>
      <c r="B1601" s="102"/>
      <c r="C1601" s="96" t="s">
        <v>6</v>
      </c>
      <c r="D1601" s="97"/>
    </row>
    <row r="1602" spans="1:4" ht="42.75" customHeight="1" thickBot="1">
      <c r="A1602" s="103"/>
      <c r="B1602" s="104"/>
      <c r="C1602" s="96" t="s">
        <v>21</v>
      </c>
      <c r="D1602" s="97"/>
    </row>
    <row r="1603" spans="1:4" ht="42.75" customHeight="1" thickBot="1">
      <c r="A1603" s="105">
        <f>A1601*A1600</f>
        <v>0</v>
      </c>
      <c r="B1603" s="106"/>
      <c r="C1603" s="96" t="s">
        <v>7</v>
      </c>
      <c r="D1603" s="97"/>
    </row>
    <row r="1604" spans="1:4" ht="42.75" customHeight="1" thickBot="1">
      <c r="A1604" s="107" t="s">
        <v>17</v>
      </c>
      <c r="B1604" s="108"/>
      <c r="C1604" s="108"/>
      <c r="D1604" s="109"/>
    </row>
    <row r="1605" spans="1:4" ht="42.75" customHeight="1" thickBot="1">
      <c r="A1605" s="116" t="s">
        <v>20</v>
      </c>
      <c r="B1605" s="117"/>
      <c r="C1605" s="117"/>
      <c r="D1605" s="118"/>
    </row>
    <row r="1606" spans="1:4" ht="42.75" customHeight="1" thickBot="1">
      <c r="A1606" s="113" t="s">
        <v>18</v>
      </c>
      <c r="B1606" s="114"/>
      <c r="C1606" s="114"/>
      <c r="D1606" s="115"/>
    </row>
    <row r="1607" spans="1:4" ht="42.75" customHeight="1" thickBot="1">
      <c r="A1607" s="119"/>
      <c r="B1607" s="119"/>
      <c r="C1607" s="119"/>
      <c r="D1607" s="119"/>
    </row>
    <row r="1608" spans="1:4" ht="42.75" customHeight="1" thickBot="1">
      <c r="A1608" s="132" t="s">
        <v>19</v>
      </c>
      <c r="B1608" s="133"/>
      <c r="C1608" s="133"/>
      <c r="D1608" s="134"/>
    </row>
    <row r="1609" spans="1:4" ht="42.75" customHeight="1" thickBot="1">
      <c r="A1609" s="123" t="s">
        <v>11</v>
      </c>
      <c r="B1609" s="124"/>
      <c r="C1609" s="123" t="s">
        <v>603</v>
      </c>
      <c r="D1609" s="124"/>
    </row>
    <row r="1610" spans="1:4" ht="42.75" customHeight="1" thickBot="1">
      <c r="A1610" s="1" t="s">
        <v>686</v>
      </c>
      <c r="B1610" s="26" t="s">
        <v>1</v>
      </c>
      <c r="C1610" s="90" t="s">
        <v>75</v>
      </c>
      <c r="D1610" s="91"/>
    </row>
    <row r="1611" spans="1:4" ht="42.75" customHeight="1" thickBot="1">
      <c r="A1611" s="26"/>
      <c r="B1611" s="26" t="s">
        <v>0</v>
      </c>
      <c r="C1611" s="5" t="s">
        <v>687</v>
      </c>
      <c r="D1611" s="4" t="s">
        <v>2</v>
      </c>
    </row>
    <row r="1612" spans="1:4" ht="42.75" customHeight="1" thickBot="1">
      <c r="A1612" s="92">
        <v>4640</v>
      </c>
      <c r="B1612" s="93"/>
      <c r="C1612" s="94" t="s">
        <v>3</v>
      </c>
      <c r="D1612" s="95"/>
    </row>
    <row r="1613" spans="1:4" ht="42.75" customHeight="1" thickBot="1">
      <c r="A1613" s="92">
        <v>4675</v>
      </c>
      <c r="B1613" s="93"/>
      <c r="C1613" s="96" t="s">
        <v>4</v>
      </c>
      <c r="D1613" s="97"/>
    </row>
    <row r="1614" spans="1:4" ht="42.75" customHeight="1" thickBot="1">
      <c r="A1614" s="98">
        <f>A1613-A1612</f>
        <v>35</v>
      </c>
      <c r="B1614" s="99"/>
      <c r="C1614" s="96" t="s">
        <v>5</v>
      </c>
      <c r="D1614" s="97"/>
    </row>
    <row r="1615" spans="1:4" ht="42.75" customHeight="1" thickBot="1">
      <c r="A1615" s="101">
        <v>62</v>
      </c>
      <c r="B1615" s="102"/>
      <c r="C1615" s="96" t="s">
        <v>6</v>
      </c>
      <c r="D1615" s="97"/>
    </row>
    <row r="1616" spans="1:4" ht="42.75" customHeight="1" thickBot="1">
      <c r="A1616" s="103"/>
      <c r="B1616" s="104"/>
      <c r="C1616" s="96" t="s">
        <v>21</v>
      </c>
      <c r="D1616" s="97"/>
    </row>
    <row r="1617" spans="1:4" ht="42.75" customHeight="1" thickBot="1">
      <c r="A1617" s="105">
        <v>2200</v>
      </c>
      <c r="B1617" s="106"/>
      <c r="C1617" s="96" t="s">
        <v>7</v>
      </c>
      <c r="D1617" s="97"/>
    </row>
    <row r="1618" spans="1:4" ht="42.75" customHeight="1" thickBot="1">
      <c r="A1618" s="107" t="s">
        <v>17</v>
      </c>
      <c r="B1618" s="108"/>
      <c r="C1618" s="108"/>
      <c r="D1618" s="109"/>
    </row>
    <row r="1619" spans="1:4" ht="42.75" customHeight="1" thickBot="1">
      <c r="A1619" s="110" t="s">
        <v>20</v>
      </c>
      <c r="B1619" s="111"/>
      <c r="C1619" s="111"/>
      <c r="D1619" s="112"/>
    </row>
    <row r="1620" spans="1:4" ht="42.75" customHeight="1" thickBot="1">
      <c r="A1620" s="113" t="s">
        <v>18</v>
      </c>
      <c r="B1620" s="114"/>
      <c r="C1620" s="114"/>
      <c r="D1620" s="115"/>
    </row>
    <row r="1621" spans="1:4" ht="42.75" customHeight="1" thickBot="1">
      <c r="A1621" s="126" t="s">
        <v>19</v>
      </c>
      <c r="B1621" s="127"/>
      <c r="C1621" s="127"/>
      <c r="D1621" s="128"/>
    </row>
    <row r="1622" spans="1:4" ht="42.75" customHeight="1" thickBot="1">
      <c r="A1622" s="123" t="s">
        <v>11</v>
      </c>
      <c r="B1622" s="124"/>
      <c r="C1622" s="125" t="s">
        <v>603</v>
      </c>
      <c r="D1622" s="124"/>
    </row>
    <row r="1623" spans="1:4" ht="42.75" customHeight="1" thickBot="1">
      <c r="A1623" s="1" t="s">
        <v>686</v>
      </c>
      <c r="B1623" s="26" t="s">
        <v>1</v>
      </c>
      <c r="C1623" s="90" t="s">
        <v>76</v>
      </c>
      <c r="D1623" s="91"/>
    </row>
    <row r="1624" spans="1:4" ht="42.75" customHeight="1" thickBot="1">
      <c r="A1624" s="26"/>
      <c r="B1624" s="26" t="s">
        <v>0</v>
      </c>
      <c r="C1624" s="5" t="s">
        <v>687</v>
      </c>
      <c r="D1624" s="4" t="s">
        <v>2</v>
      </c>
    </row>
    <row r="1625" spans="1:4" ht="42.75" customHeight="1" thickBot="1">
      <c r="A1625" s="92">
        <v>5025</v>
      </c>
      <c r="B1625" s="93"/>
      <c r="C1625" s="94" t="s">
        <v>3</v>
      </c>
      <c r="D1625" s="95"/>
    </row>
    <row r="1626" spans="1:4" ht="42.75" customHeight="1" thickBot="1">
      <c r="A1626" s="92">
        <v>5025</v>
      </c>
      <c r="B1626" s="93"/>
      <c r="C1626" s="96" t="s">
        <v>4</v>
      </c>
      <c r="D1626" s="97"/>
    </row>
    <row r="1627" spans="1:4" ht="42.75" customHeight="1" thickBot="1">
      <c r="A1627" s="98">
        <f>A1626-A1625</f>
        <v>0</v>
      </c>
      <c r="B1627" s="99"/>
      <c r="C1627" s="100" t="s">
        <v>5</v>
      </c>
      <c r="D1627" s="97"/>
    </row>
    <row r="1628" spans="1:4" ht="42.75" customHeight="1" thickBot="1">
      <c r="A1628" s="101">
        <v>62</v>
      </c>
      <c r="B1628" s="102"/>
      <c r="C1628" s="96" t="s">
        <v>6</v>
      </c>
      <c r="D1628" s="97"/>
    </row>
    <row r="1629" spans="1:4" ht="42.75" customHeight="1" thickBot="1">
      <c r="A1629" s="103"/>
      <c r="B1629" s="104"/>
      <c r="C1629" s="96" t="s">
        <v>21</v>
      </c>
      <c r="D1629" s="97"/>
    </row>
    <row r="1630" spans="1:4" ht="42.75" customHeight="1" thickBot="1">
      <c r="A1630" s="105">
        <f>A1628*A1627</f>
        <v>0</v>
      </c>
      <c r="B1630" s="106"/>
      <c r="C1630" s="96" t="s">
        <v>7</v>
      </c>
      <c r="D1630" s="97"/>
    </row>
    <row r="1631" spans="1:4" ht="42.75" customHeight="1" thickBot="1">
      <c r="A1631" s="107" t="s">
        <v>17</v>
      </c>
      <c r="B1631" s="108"/>
      <c r="C1631" s="108"/>
      <c r="D1631" s="109"/>
    </row>
    <row r="1632" spans="1:4" ht="42.75" customHeight="1" thickBot="1">
      <c r="A1632" s="116" t="s">
        <v>20</v>
      </c>
      <c r="B1632" s="117"/>
      <c r="C1632" s="117"/>
      <c r="D1632" s="118"/>
    </row>
    <row r="1633" spans="1:4" ht="42.75" customHeight="1" thickBot="1">
      <c r="A1633" s="113" t="s">
        <v>18</v>
      </c>
      <c r="B1633" s="114"/>
      <c r="C1633" s="114"/>
      <c r="D1633" s="115"/>
    </row>
    <row r="1634" spans="1:4" ht="42.75" customHeight="1" thickBot="1">
      <c r="A1634" s="119"/>
      <c r="B1634" s="119"/>
      <c r="C1634" s="119"/>
      <c r="D1634" s="119"/>
    </row>
    <row r="1635" spans="1:4" ht="42.75" customHeight="1" thickBot="1">
      <c r="A1635" s="126" t="s">
        <v>19</v>
      </c>
      <c r="B1635" s="127"/>
      <c r="C1635" s="127"/>
      <c r="D1635" s="128"/>
    </row>
    <row r="1636" spans="1:4" ht="42.75" customHeight="1" thickBot="1">
      <c r="A1636" s="123" t="s">
        <v>11</v>
      </c>
      <c r="B1636" s="124"/>
      <c r="C1636" s="125" t="s">
        <v>603</v>
      </c>
      <c r="D1636" s="124"/>
    </row>
    <row r="1637" spans="1:4" ht="42.75" customHeight="1" thickBot="1">
      <c r="A1637" s="1" t="s">
        <v>686</v>
      </c>
      <c r="B1637" s="26" t="s">
        <v>1</v>
      </c>
      <c r="C1637" s="90" t="s">
        <v>76</v>
      </c>
      <c r="D1637" s="91"/>
    </row>
    <row r="1638" spans="1:4" ht="42.75" customHeight="1" thickBot="1">
      <c r="A1638" s="26"/>
      <c r="B1638" s="26" t="s">
        <v>0</v>
      </c>
      <c r="C1638" s="5" t="s">
        <v>687</v>
      </c>
      <c r="D1638" s="4" t="s">
        <v>2</v>
      </c>
    </row>
    <row r="1639" spans="1:4" ht="42.75" customHeight="1" thickBot="1">
      <c r="A1639" s="92">
        <v>4980</v>
      </c>
      <c r="B1639" s="93"/>
      <c r="C1639" s="94" t="s">
        <v>3</v>
      </c>
      <c r="D1639" s="95"/>
    </row>
    <row r="1640" spans="1:4" ht="42.75" customHeight="1" thickBot="1">
      <c r="A1640" s="92">
        <v>5025</v>
      </c>
      <c r="B1640" s="93"/>
      <c r="C1640" s="96" t="s">
        <v>4</v>
      </c>
      <c r="D1640" s="97"/>
    </row>
    <row r="1641" spans="1:4" ht="42.75" customHeight="1" thickBot="1">
      <c r="A1641" s="98">
        <f>A1640-A1639</f>
        <v>45</v>
      </c>
      <c r="B1641" s="99"/>
      <c r="C1641" s="100" t="s">
        <v>5</v>
      </c>
      <c r="D1641" s="97"/>
    </row>
    <row r="1642" spans="1:4" ht="42.75" customHeight="1" thickBot="1">
      <c r="A1642" s="101">
        <v>62</v>
      </c>
      <c r="B1642" s="102"/>
      <c r="C1642" s="96" t="s">
        <v>6</v>
      </c>
      <c r="D1642" s="97"/>
    </row>
    <row r="1643" spans="1:4" ht="42.75" customHeight="1" thickBot="1">
      <c r="A1643" s="103"/>
      <c r="B1643" s="104"/>
      <c r="C1643" s="96" t="s">
        <v>21</v>
      </c>
      <c r="D1643" s="97"/>
    </row>
    <row r="1644" spans="1:4" ht="42.75" customHeight="1" thickBot="1">
      <c r="A1644" s="105">
        <v>2800</v>
      </c>
      <c r="B1644" s="106"/>
      <c r="C1644" s="96" t="s">
        <v>7</v>
      </c>
      <c r="D1644" s="97"/>
    </row>
    <row r="1645" spans="1:4" ht="42.75" customHeight="1" thickBot="1">
      <c r="A1645" s="107" t="s">
        <v>17</v>
      </c>
      <c r="B1645" s="108"/>
      <c r="C1645" s="108"/>
      <c r="D1645" s="109"/>
    </row>
    <row r="1646" spans="1:4" ht="42.75" customHeight="1" thickBot="1">
      <c r="A1646" s="110" t="s">
        <v>20</v>
      </c>
      <c r="B1646" s="111"/>
      <c r="C1646" s="111"/>
      <c r="D1646" s="112"/>
    </row>
    <row r="1647" spans="1:4" ht="42.75" customHeight="1" thickBot="1">
      <c r="A1647" s="113" t="s">
        <v>18</v>
      </c>
      <c r="B1647" s="114"/>
      <c r="C1647" s="114"/>
      <c r="D1647" s="115"/>
    </row>
    <row r="1648" spans="1:4" ht="42.75" customHeight="1" thickBot="1">
      <c r="A1648" s="126" t="s">
        <v>19</v>
      </c>
      <c r="B1648" s="127"/>
      <c r="C1648" s="127"/>
      <c r="D1648" s="128"/>
    </row>
    <row r="1649" spans="1:4" ht="42.75" customHeight="1" thickBot="1">
      <c r="A1649" s="123" t="s">
        <v>11</v>
      </c>
      <c r="B1649" s="124"/>
      <c r="C1649" s="125" t="s">
        <v>603</v>
      </c>
      <c r="D1649" s="124"/>
    </row>
    <row r="1650" spans="1:4" ht="42.75" customHeight="1" thickBot="1">
      <c r="A1650" s="1" t="s">
        <v>686</v>
      </c>
      <c r="B1650" s="26" t="s">
        <v>1</v>
      </c>
      <c r="C1650" s="90" t="s">
        <v>77</v>
      </c>
      <c r="D1650" s="91"/>
    </row>
    <row r="1651" spans="1:4" ht="42.75" customHeight="1" thickBot="1">
      <c r="A1651" s="26"/>
      <c r="B1651" s="26" t="s">
        <v>0</v>
      </c>
      <c r="C1651" s="5" t="s">
        <v>687</v>
      </c>
      <c r="D1651" s="4" t="s">
        <v>2</v>
      </c>
    </row>
    <row r="1652" spans="1:4" ht="42.75" customHeight="1" thickBot="1">
      <c r="A1652" s="92">
        <v>10200</v>
      </c>
      <c r="B1652" s="93"/>
      <c r="C1652" s="94" t="s">
        <v>3</v>
      </c>
      <c r="D1652" s="95"/>
    </row>
    <row r="1653" spans="1:4" ht="42.75" customHeight="1" thickBot="1">
      <c r="A1653" s="92">
        <v>10200</v>
      </c>
      <c r="B1653" s="93"/>
      <c r="C1653" s="96" t="s">
        <v>4</v>
      </c>
      <c r="D1653" s="97"/>
    </row>
    <row r="1654" spans="1:4" ht="42.75" customHeight="1" thickBot="1">
      <c r="A1654" s="98">
        <f>A1653-A1652</f>
        <v>0</v>
      </c>
      <c r="B1654" s="99"/>
      <c r="C1654" s="100" t="s">
        <v>5</v>
      </c>
      <c r="D1654" s="97"/>
    </row>
    <row r="1655" spans="1:4" ht="42.75" customHeight="1" thickBot="1">
      <c r="A1655" s="101">
        <v>35</v>
      </c>
      <c r="B1655" s="102"/>
      <c r="C1655" s="96" t="s">
        <v>6</v>
      </c>
      <c r="D1655" s="97"/>
    </row>
    <row r="1656" spans="1:4" ht="42.75" customHeight="1" thickBot="1">
      <c r="A1656" s="103"/>
      <c r="B1656" s="104"/>
      <c r="C1656" s="96" t="s">
        <v>21</v>
      </c>
      <c r="D1656" s="97"/>
    </row>
    <row r="1657" spans="1:4" ht="42.75" customHeight="1" thickBot="1">
      <c r="A1657" s="105">
        <f>A1655*A1654</f>
        <v>0</v>
      </c>
      <c r="B1657" s="106"/>
      <c r="C1657" s="96" t="s">
        <v>7</v>
      </c>
      <c r="D1657" s="97"/>
    </row>
    <row r="1658" spans="1:4" ht="42.75" customHeight="1" thickBot="1">
      <c r="A1658" s="107" t="s">
        <v>17</v>
      </c>
      <c r="B1658" s="108"/>
      <c r="C1658" s="108"/>
      <c r="D1658" s="109"/>
    </row>
    <row r="1659" spans="1:4" ht="42.75" customHeight="1" thickBot="1">
      <c r="A1659" s="116" t="s">
        <v>20</v>
      </c>
      <c r="B1659" s="117"/>
      <c r="C1659" s="117"/>
      <c r="D1659" s="118"/>
    </row>
    <row r="1660" spans="1:4" ht="42.75" customHeight="1" thickBot="1">
      <c r="A1660" s="113" t="s">
        <v>18</v>
      </c>
      <c r="B1660" s="114"/>
      <c r="C1660" s="114"/>
      <c r="D1660" s="115"/>
    </row>
    <row r="1661" spans="1:4" ht="42.75" customHeight="1" thickBot="1">
      <c r="A1661" s="119"/>
      <c r="B1661" s="119"/>
      <c r="C1661" s="119"/>
      <c r="D1661" s="119"/>
    </row>
    <row r="1662" spans="1:4" ht="42.75" customHeight="1" thickBot="1">
      <c r="A1662" s="126" t="s">
        <v>19</v>
      </c>
      <c r="B1662" s="127"/>
      <c r="C1662" s="127"/>
      <c r="D1662" s="128"/>
    </row>
    <row r="1663" spans="1:4" ht="42.75" customHeight="1" thickBot="1">
      <c r="A1663" s="123" t="s">
        <v>11</v>
      </c>
      <c r="B1663" s="124"/>
      <c r="C1663" s="125" t="s">
        <v>603</v>
      </c>
      <c r="D1663" s="124"/>
    </row>
    <row r="1664" spans="1:4" ht="42.75" customHeight="1" thickBot="1">
      <c r="A1664" s="1" t="s">
        <v>686</v>
      </c>
      <c r="B1664" s="26" t="s">
        <v>1</v>
      </c>
      <c r="C1664" s="90" t="s">
        <v>77</v>
      </c>
      <c r="D1664" s="91"/>
    </row>
    <row r="1665" spans="1:4" ht="42.75" customHeight="1" thickBot="1">
      <c r="A1665" s="26"/>
      <c r="B1665" s="26" t="s">
        <v>0</v>
      </c>
      <c r="C1665" s="5" t="s">
        <v>687</v>
      </c>
      <c r="D1665" s="4" t="s">
        <v>2</v>
      </c>
    </row>
    <row r="1666" spans="1:4" ht="42.75" customHeight="1" thickBot="1">
      <c r="A1666" s="92">
        <v>9970</v>
      </c>
      <c r="B1666" s="93"/>
      <c r="C1666" s="94" t="s">
        <v>3</v>
      </c>
      <c r="D1666" s="95"/>
    </row>
    <row r="1667" spans="1:4" ht="42.75" customHeight="1" thickBot="1">
      <c r="A1667" s="92">
        <v>10200</v>
      </c>
      <c r="B1667" s="93"/>
      <c r="C1667" s="96" t="s">
        <v>4</v>
      </c>
      <c r="D1667" s="97"/>
    </row>
    <row r="1668" spans="1:4" ht="42.75" customHeight="1" thickBot="1">
      <c r="A1668" s="98">
        <f>A1667-A1666</f>
        <v>230</v>
      </c>
      <c r="B1668" s="99"/>
      <c r="C1668" s="100" t="s">
        <v>5</v>
      </c>
      <c r="D1668" s="97"/>
    </row>
    <row r="1669" spans="1:4" ht="42.75" customHeight="1" thickBot="1">
      <c r="A1669" s="101">
        <v>40</v>
      </c>
      <c r="B1669" s="102"/>
      <c r="C1669" s="96" t="s">
        <v>6</v>
      </c>
      <c r="D1669" s="97"/>
    </row>
    <row r="1670" spans="1:4" ht="42.75" customHeight="1" thickBot="1">
      <c r="A1670" s="103"/>
      <c r="B1670" s="104"/>
      <c r="C1670" s="96" t="s">
        <v>21</v>
      </c>
      <c r="D1670" s="97"/>
    </row>
    <row r="1671" spans="1:4" ht="42.75" customHeight="1" thickBot="1">
      <c r="A1671" s="105">
        <f>A1669*A1668</f>
        <v>9200</v>
      </c>
      <c r="B1671" s="106"/>
      <c r="C1671" s="96" t="s">
        <v>7</v>
      </c>
      <c r="D1671" s="97"/>
    </row>
    <row r="1672" spans="1:4" ht="42.75" customHeight="1" thickBot="1">
      <c r="A1672" s="107" t="s">
        <v>17</v>
      </c>
      <c r="B1672" s="108"/>
      <c r="C1672" s="108"/>
      <c r="D1672" s="109"/>
    </row>
    <row r="1673" spans="1:4" ht="42.75" customHeight="1" thickBot="1">
      <c r="A1673" s="110" t="s">
        <v>20</v>
      </c>
      <c r="B1673" s="111"/>
      <c r="C1673" s="111"/>
      <c r="D1673" s="112"/>
    </row>
    <row r="1674" spans="1:4" ht="42.75" customHeight="1" thickBot="1">
      <c r="A1674" s="113" t="s">
        <v>18</v>
      </c>
      <c r="B1674" s="114"/>
      <c r="C1674" s="114"/>
      <c r="D1674" s="115"/>
    </row>
    <row r="1675" spans="1:4" ht="42.75" customHeight="1" thickBot="1">
      <c r="A1675" s="126" t="s">
        <v>19</v>
      </c>
      <c r="B1675" s="127"/>
      <c r="C1675" s="127"/>
      <c r="D1675" s="128"/>
    </row>
    <row r="1676" spans="1:4" ht="42.75" customHeight="1" thickBot="1">
      <c r="A1676" s="123" t="s">
        <v>11</v>
      </c>
      <c r="B1676" s="124"/>
      <c r="C1676" s="125" t="s">
        <v>603</v>
      </c>
      <c r="D1676" s="124"/>
    </row>
    <row r="1677" spans="1:4" ht="42.75" customHeight="1" thickBot="1">
      <c r="A1677" s="1" t="s">
        <v>686</v>
      </c>
      <c r="B1677" s="26" t="s">
        <v>1</v>
      </c>
      <c r="C1677" s="90" t="s">
        <v>78</v>
      </c>
      <c r="D1677" s="91"/>
    </row>
    <row r="1678" spans="1:4" ht="42.75" customHeight="1" thickBot="1">
      <c r="A1678" s="26"/>
      <c r="B1678" s="26" t="s">
        <v>0</v>
      </c>
      <c r="C1678" s="5" t="s">
        <v>687</v>
      </c>
      <c r="D1678" s="4" t="s">
        <v>2</v>
      </c>
    </row>
    <row r="1679" spans="1:4" ht="42.75" customHeight="1" thickBot="1">
      <c r="A1679" s="92">
        <v>35200</v>
      </c>
      <c r="B1679" s="93"/>
      <c r="C1679" s="94" t="s">
        <v>3</v>
      </c>
      <c r="D1679" s="95"/>
    </row>
    <row r="1680" spans="1:4" ht="42.75" customHeight="1" thickBot="1">
      <c r="A1680" s="92">
        <v>35200</v>
      </c>
      <c r="B1680" s="93"/>
      <c r="C1680" s="96" t="s">
        <v>4</v>
      </c>
      <c r="D1680" s="97"/>
    </row>
    <row r="1681" spans="1:4" ht="42.75" customHeight="1" thickBot="1">
      <c r="A1681" s="98">
        <f>A1680-A1679</f>
        <v>0</v>
      </c>
      <c r="B1681" s="99"/>
      <c r="C1681" s="100" t="s">
        <v>5</v>
      </c>
      <c r="D1681" s="97"/>
    </row>
    <row r="1682" spans="1:4" ht="42.75" customHeight="1" thickBot="1">
      <c r="A1682" s="101">
        <v>35</v>
      </c>
      <c r="B1682" s="102"/>
      <c r="C1682" s="96" t="s">
        <v>6</v>
      </c>
      <c r="D1682" s="97"/>
    </row>
    <row r="1683" spans="1:4" ht="42.75" customHeight="1" thickBot="1">
      <c r="A1683" s="103"/>
      <c r="B1683" s="104"/>
      <c r="C1683" s="96" t="s">
        <v>21</v>
      </c>
      <c r="D1683" s="97"/>
    </row>
    <row r="1684" spans="1:4" ht="42.75" customHeight="1" thickBot="1">
      <c r="A1684" s="105">
        <f>A1682*A1681</f>
        <v>0</v>
      </c>
      <c r="B1684" s="106"/>
      <c r="C1684" s="96" t="s">
        <v>7</v>
      </c>
      <c r="D1684" s="97"/>
    </row>
    <row r="1685" spans="1:4" ht="42.75" customHeight="1" thickBot="1">
      <c r="A1685" s="107" t="s">
        <v>17</v>
      </c>
      <c r="B1685" s="108"/>
      <c r="C1685" s="108"/>
      <c r="D1685" s="109"/>
    </row>
    <row r="1686" spans="1:4" ht="42.75" customHeight="1" thickBot="1">
      <c r="A1686" s="116" t="s">
        <v>20</v>
      </c>
      <c r="B1686" s="117"/>
      <c r="C1686" s="117"/>
      <c r="D1686" s="118"/>
    </row>
    <row r="1687" spans="1:4" ht="42.75" customHeight="1" thickBot="1">
      <c r="A1687" s="113" t="s">
        <v>18</v>
      </c>
      <c r="B1687" s="114"/>
      <c r="C1687" s="114"/>
      <c r="D1687" s="115"/>
    </row>
    <row r="1688" spans="1:4" ht="42.75" customHeight="1" thickBot="1">
      <c r="A1688" s="119"/>
      <c r="B1688" s="119"/>
      <c r="C1688" s="119"/>
      <c r="D1688" s="119"/>
    </row>
    <row r="1689" spans="1:4" ht="42.75" customHeight="1" thickBot="1">
      <c r="A1689" s="126" t="s">
        <v>19</v>
      </c>
      <c r="B1689" s="127"/>
      <c r="C1689" s="127"/>
      <c r="D1689" s="128"/>
    </row>
    <row r="1690" spans="1:4" ht="42.75" customHeight="1" thickBot="1">
      <c r="A1690" s="123" t="s">
        <v>11</v>
      </c>
      <c r="B1690" s="124"/>
      <c r="C1690" s="125" t="s">
        <v>603</v>
      </c>
      <c r="D1690" s="124"/>
    </row>
    <row r="1691" spans="1:4" ht="42.75" customHeight="1" thickBot="1">
      <c r="A1691" s="1" t="s">
        <v>686</v>
      </c>
      <c r="B1691" s="26" t="s">
        <v>1</v>
      </c>
      <c r="C1691" s="90" t="s">
        <v>78</v>
      </c>
      <c r="D1691" s="91"/>
    </row>
    <row r="1692" spans="1:4" ht="42.75" customHeight="1" thickBot="1">
      <c r="A1692" s="26"/>
      <c r="B1692" s="26" t="s">
        <v>0</v>
      </c>
      <c r="C1692" s="5" t="s">
        <v>687</v>
      </c>
      <c r="D1692" s="4" t="s">
        <v>2</v>
      </c>
    </row>
    <row r="1693" spans="1:4" ht="42.75" customHeight="1" thickBot="1">
      <c r="A1693" s="92">
        <v>34430</v>
      </c>
      <c r="B1693" s="93"/>
      <c r="C1693" s="94" t="s">
        <v>3</v>
      </c>
      <c r="D1693" s="95"/>
    </row>
    <row r="1694" spans="1:4" ht="42.75" customHeight="1" thickBot="1">
      <c r="A1694" s="92">
        <v>35200</v>
      </c>
      <c r="B1694" s="93"/>
      <c r="C1694" s="96" t="s">
        <v>4</v>
      </c>
      <c r="D1694" s="97"/>
    </row>
    <row r="1695" spans="1:4" ht="42.75" customHeight="1" thickBot="1">
      <c r="A1695" s="98">
        <f>A1694-A1693</f>
        <v>770</v>
      </c>
      <c r="B1695" s="99"/>
      <c r="C1695" s="100" t="s">
        <v>5</v>
      </c>
      <c r="D1695" s="97"/>
    </row>
    <row r="1696" spans="1:4" ht="42.75" customHeight="1" thickBot="1">
      <c r="A1696" s="101">
        <v>40</v>
      </c>
      <c r="B1696" s="102"/>
      <c r="C1696" s="96" t="s">
        <v>6</v>
      </c>
      <c r="D1696" s="97"/>
    </row>
    <row r="1697" spans="1:4" ht="42.75" customHeight="1" thickBot="1">
      <c r="A1697" s="103"/>
      <c r="B1697" s="104"/>
      <c r="C1697" s="96" t="s">
        <v>21</v>
      </c>
      <c r="D1697" s="97"/>
    </row>
    <row r="1698" spans="1:4" ht="42.75" customHeight="1" thickBot="1">
      <c r="A1698" s="105">
        <f>A1696*A1695</f>
        <v>30800</v>
      </c>
      <c r="B1698" s="106"/>
      <c r="C1698" s="96" t="s">
        <v>7</v>
      </c>
      <c r="D1698" s="97"/>
    </row>
    <row r="1699" spans="1:4" ht="42.75" customHeight="1" thickBot="1">
      <c r="A1699" s="107" t="s">
        <v>17</v>
      </c>
      <c r="B1699" s="108"/>
      <c r="C1699" s="108"/>
      <c r="D1699" s="109"/>
    </row>
    <row r="1700" spans="1:4" ht="42.75" customHeight="1" thickBot="1">
      <c r="A1700" s="110" t="s">
        <v>20</v>
      </c>
      <c r="B1700" s="111"/>
      <c r="C1700" s="111"/>
      <c r="D1700" s="112"/>
    </row>
    <row r="1701" spans="1:4" ht="42.75" customHeight="1" thickBot="1">
      <c r="A1701" s="113" t="s">
        <v>18</v>
      </c>
      <c r="B1701" s="114"/>
      <c r="C1701" s="114"/>
      <c r="D1701" s="115"/>
    </row>
    <row r="1702" spans="1:4" ht="42.75" customHeight="1" thickBot="1">
      <c r="A1702" s="126" t="s">
        <v>19</v>
      </c>
      <c r="B1702" s="127"/>
      <c r="C1702" s="127"/>
      <c r="D1702" s="128"/>
    </row>
    <row r="1703" spans="1:4" ht="42.75" customHeight="1" thickBot="1">
      <c r="A1703" s="123" t="s">
        <v>11</v>
      </c>
      <c r="B1703" s="124"/>
      <c r="C1703" s="125" t="s">
        <v>603</v>
      </c>
      <c r="D1703" s="124"/>
    </row>
    <row r="1704" spans="1:4" ht="42.75" customHeight="1" thickBot="1">
      <c r="A1704" s="1" t="s">
        <v>686</v>
      </c>
      <c r="B1704" s="26" t="s">
        <v>1</v>
      </c>
      <c r="C1704" s="90" t="s">
        <v>79</v>
      </c>
      <c r="D1704" s="91"/>
    </row>
    <row r="1705" spans="1:4" ht="42.75" customHeight="1" thickBot="1">
      <c r="A1705" s="26"/>
      <c r="B1705" s="26" t="s">
        <v>0</v>
      </c>
      <c r="C1705" s="5" t="s">
        <v>687</v>
      </c>
      <c r="D1705" s="4" t="s">
        <v>2</v>
      </c>
    </row>
    <row r="1706" spans="1:4" ht="42.75" customHeight="1" thickBot="1">
      <c r="A1706" s="92">
        <v>13875</v>
      </c>
      <c r="B1706" s="93"/>
      <c r="C1706" s="94" t="s">
        <v>3</v>
      </c>
      <c r="D1706" s="95"/>
    </row>
    <row r="1707" spans="1:4" ht="42.75" customHeight="1" thickBot="1">
      <c r="A1707" s="92">
        <v>13875</v>
      </c>
      <c r="B1707" s="93"/>
      <c r="C1707" s="96" t="s">
        <v>4</v>
      </c>
      <c r="D1707" s="97"/>
    </row>
    <row r="1708" spans="1:4" ht="42.75" customHeight="1" thickBot="1">
      <c r="A1708" s="98">
        <f>A1707-A1706</f>
        <v>0</v>
      </c>
      <c r="B1708" s="99"/>
      <c r="C1708" s="100" t="s">
        <v>5</v>
      </c>
      <c r="D1708" s="97"/>
    </row>
    <row r="1709" spans="1:4" ht="42.75" customHeight="1" thickBot="1">
      <c r="A1709" s="101">
        <v>62</v>
      </c>
      <c r="B1709" s="102"/>
      <c r="C1709" s="96" t="s">
        <v>6</v>
      </c>
      <c r="D1709" s="97"/>
    </row>
    <row r="1710" spans="1:4" ht="42.75" customHeight="1" thickBot="1">
      <c r="A1710" s="103"/>
      <c r="B1710" s="104"/>
      <c r="C1710" s="96" t="s">
        <v>21</v>
      </c>
      <c r="D1710" s="97"/>
    </row>
    <row r="1711" spans="1:4" ht="42.75" customHeight="1" thickBot="1">
      <c r="A1711" s="105">
        <f>A1709*A1708</f>
        <v>0</v>
      </c>
      <c r="B1711" s="106"/>
      <c r="C1711" s="96" t="s">
        <v>7</v>
      </c>
      <c r="D1711" s="97"/>
    </row>
    <row r="1712" spans="1:4" ht="42.75" customHeight="1" thickBot="1">
      <c r="A1712" s="107" t="s">
        <v>17</v>
      </c>
      <c r="B1712" s="108"/>
      <c r="C1712" s="108"/>
      <c r="D1712" s="109"/>
    </row>
    <row r="1713" spans="1:4" ht="42.75" customHeight="1" thickBot="1">
      <c r="A1713" s="116" t="s">
        <v>20</v>
      </c>
      <c r="B1713" s="117"/>
      <c r="C1713" s="117"/>
      <c r="D1713" s="118"/>
    </row>
    <row r="1714" spans="1:4" ht="42.75" customHeight="1" thickBot="1">
      <c r="A1714" s="113" t="s">
        <v>18</v>
      </c>
      <c r="B1714" s="114"/>
      <c r="C1714" s="114"/>
      <c r="D1714" s="115"/>
    </row>
    <row r="1715" spans="1:4" ht="42.75" customHeight="1" thickBot="1">
      <c r="A1715" s="119"/>
      <c r="B1715" s="119"/>
      <c r="C1715" s="119"/>
      <c r="D1715" s="119"/>
    </row>
    <row r="1716" spans="1:4" ht="42.75" customHeight="1" thickBot="1">
      <c r="A1716" s="126" t="s">
        <v>19</v>
      </c>
      <c r="B1716" s="127"/>
      <c r="C1716" s="127"/>
      <c r="D1716" s="128"/>
    </row>
    <row r="1717" spans="1:4" ht="42.75" customHeight="1" thickBot="1">
      <c r="A1717" s="123" t="s">
        <v>11</v>
      </c>
      <c r="B1717" s="124"/>
      <c r="C1717" s="125" t="s">
        <v>603</v>
      </c>
      <c r="D1717" s="124"/>
    </row>
    <row r="1718" spans="1:4" ht="42.75" customHeight="1" thickBot="1">
      <c r="A1718" s="1" t="s">
        <v>686</v>
      </c>
      <c r="B1718" s="26" t="s">
        <v>1</v>
      </c>
      <c r="C1718" s="90" t="s">
        <v>79</v>
      </c>
      <c r="D1718" s="91"/>
    </row>
    <row r="1719" spans="1:4" ht="42.75" customHeight="1" thickBot="1">
      <c r="A1719" s="26"/>
      <c r="B1719" s="26" t="s">
        <v>0</v>
      </c>
      <c r="C1719" s="5" t="s">
        <v>687</v>
      </c>
      <c r="D1719" s="4" t="s">
        <v>2</v>
      </c>
    </row>
    <row r="1720" spans="1:4" ht="42.75" customHeight="1" thickBot="1">
      <c r="A1720" s="92">
        <v>13825</v>
      </c>
      <c r="B1720" s="93"/>
      <c r="C1720" s="94" t="s">
        <v>3</v>
      </c>
      <c r="D1720" s="95"/>
    </row>
    <row r="1721" spans="1:4" ht="42.75" customHeight="1" thickBot="1">
      <c r="A1721" s="92">
        <v>13875</v>
      </c>
      <c r="B1721" s="93"/>
      <c r="C1721" s="96" t="s">
        <v>4</v>
      </c>
      <c r="D1721" s="97"/>
    </row>
    <row r="1722" spans="1:4" ht="42.75" customHeight="1" thickBot="1">
      <c r="A1722" s="98">
        <f>A1721-A1720</f>
        <v>50</v>
      </c>
      <c r="B1722" s="99"/>
      <c r="C1722" s="100" t="s">
        <v>5</v>
      </c>
      <c r="D1722" s="97"/>
    </row>
    <row r="1723" spans="1:4" ht="42.75" customHeight="1" thickBot="1">
      <c r="A1723" s="101">
        <v>62</v>
      </c>
      <c r="B1723" s="102"/>
      <c r="C1723" s="96" t="s">
        <v>6</v>
      </c>
      <c r="D1723" s="97"/>
    </row>
    <row r="1724" spans="1:4" ht="42.75" customHeight="1" thickBot="1">
      <c r="A1724" s="103"/>
      <c r="B1724" s="104"/>
      <c r="C1724" s="96" t="s">
        <v>21</v>
      </c>
      <c r="D1724" s="97"/>
    </row>
    <row r="1725" spans="1:4" ht="42.75" customHeight="1" thickBot="1">
      <c r="A1725" s="105">
        <f>A1723*A1722</f>
        <v>3100</v>
      </c>
      <c r="B1725" s="106"/>
      <c r="C1725" s="96" t="s">
        <v>7</v>
      </c>
      <c r="D1725" s="97"/>
    </row>
    <row r="1726" spans="1:4" ht="42.75" customHeight="1" thickBot="1">
      <c r="A1726" s="107" t="s">
        <v>17</v>
      </c>
      <c r="B1726" s="108"/>
      <c r="C1726" s="108"/>
      <c r="D1726" s="109"/>
    </row>
    <row r="1727" spans="1:4" ht="42.75" customHeight="1" thickBot="1">
      <c r="A1727" s="110" t="s">
        <v>20</v>
      </c>
      <c r="B1727" s="111"/>
      <c r="C1727" s="111"/>
      <c r="D1727" s="112"/>
    </row>
    <row r="1728" spans="1:4" ht="42.75" customHeight="1" thickBot="1">
      <c r="A1728" s="113" t="s">
        <v>18</v>
      </c>
      <c r="B1728" s="114"/>
      <c r="C1728" s="114"/>
      <c r="D1728" s="115"/>
    </row>
    <row r="1729" spans="1:4" ht="42.75" customHeight="1" thickBot="1">
      <c r="A1729" s="126" t="s">
        <v>19</v>
      </c>
      <c r="B1729" s="127"/>
      <c r="C1729" s="127"/>
      <c r="D1729" s="128"/>
    </row>
    <row r="1730" spans="1:4" ht="42.75" customHeight="1" thickBot="1">
      <c r="A1730" s="123" t="s">
        <v>11</v>
      </c>
      <c r="B1730" s="124"/>
      <c r="C1730" s="125" t="s">
        <v>603</v>
      </c>
      <c r="D1730" s="124"/>
    </row>
    <row r="1731" spans="1:4" ht="42.75" customHeight="1" thickBot="1">
      <c r="A1731" s="1" t="s">
        <v>686</v>
      </c>
      <c r="B1731" s="26" t="s">
        <v>1</v>
      </c>
      <c r="C1731" s="90" t="s">
        <v>80</v>
      </c>
      <c r="D1731" s="91"/>
    </row>
    <row r="1732" spans="1:4" ht="42.75" customHeight="1" thickBot="1">
      <c r="A1732" s="26"/>
      <c r="B1732" s="26" t="s">
        <v>0</v>
      </c>
      <c r="C1732" s="5" t="s">
        <v>687</v>
      </c>
      <c r="D1732" s="4" t="s">
        <v>2</v>
      </c>
    </row>
    <row r="1733" spans="1:4" ht="42.75" customHeight="1" thickBot="1">
      <c r="A1733" s="92">
        <v>6135</v>
      </c>
      <c r="B1733" s="93"/>
      <c r="C1733" s="94" t="s">
        <v>3</v>
      </c>
      <c r="D1733" s="95"/>
    </row>
    <row r="1734" spans="1:4" ht="42.75" customHeight="1" thickBot="1">
      <c r="A1734" s="92">
        <v>6135</v>
      </c>
      <c r="B1734" s="93"/>
      <c r="C1734" s="96" t="s">
        <v>4</v>
      </c>
      <c r="D1734" s="97"/>
    </row>
    <row r="1735" spans="1:4" ht="42.75" customHeight="1" thickBot="1">
      <c r="A1735" s="98">
        <f>A1734-A1733</f>
        <v>0</v>
      </c>
      <c r="B1735" s="99"/>
      <c r="C1735" s="100" t="s">
        <v>5</v>
      </c>
      <c r="D1735" s="97"/>
    </row>
    <row r="1736" spans="1:4" ht="42.75" customHeight="1" thickBot="1">
      <c r="A1736" s="101">
        <v>62</v>
      </c>
      <c r="B1736" s="102"/>
      <c r="C1736" s="96" t="s">
        <v>6</v>
      </c>
      <c r="D1736" s="97"/>
    </row>
    <row r="1737" spans="1:4" ht="42.75" customHeight="1" thickBot="1">
      <c r="A1737" s="103"/>
      <c r="B1737" s="104"/>
      <c r="C1737" s="96" t="s">
        <v>21</v>
      </c>
      <c r="D1737" s="97"/>
    </row>
    <row r="1738" spans="1:4" ht="42.75" customHeight="1" thickBot="1">
      <c r="A1738" s="105">
        <f>A1736*A1735</f>
        <v>0</v>
      </c>
      <c r="B1738" s="106"/>
      <c r="C1738" s="96" t="s">
        <v>7</v>
      </c>
      <c r="D1738" s="97"/>
    </row>
    <row r="1739" spans="1:4" ht="42.75" customHeight="1" thickBot="1">
      <c r="A1739" s="107" t="s">
        <v>17</v>
      </c>
      <c r="B1739" s="108"/>
      <c r="C1739" s="108"/>
      <c r="D1739" s="109"/>
    </row>
    <row r="1740" spans="1:4" ht="42.75" customHeight="1" thickBot="1">
      <c r="A1740" s="116" t="s">
        <v>20</v>
      </c>
      <c r="B1740" s="117"/>
      <c r="C1740" s="117"/>
      <c r="D1740" s="118"/>
    </row>
    <row r="1741" spans="1:4" ht="42.75" customHeight="1" thickBot="1">
      <c r="A1741" s="113" t="s">
        <v>18</v>
      </c>
      <c r="B1741" s="114"/>
      <c r="C1741" s="114"/>
      <c r="D1741" s="115"/>
    </row>
    <row r="1742" spans="1:4" ht="42.75" customHeight="1" thickBot="1">
      <c r="A1742" s="119"/>
      <c r="B1742" s="119"/>
      <c r="C1742" s="119"/>
      <c r="D1742" s="119"/>
    </row>
    <row r="1743" spans="1:4" ht="42.75" customHeight="1" thickBot="1">
      <c r="A1743" s="126" t="s">
        <v>19</v>
      </c>
      <c r="B1743" s="127"/>
      <c r="C1743" s="127"/>
      <c r="D1743" s="128"/>
    </row>
    <row r="1744" spans="1:4" ht="42.75" customHeight="1" thickBot="1">
      <c r="A1744" s="123" t="s">
        <v>11</v>
      </c>
      <c r="B1744" s="124"/>
      <c r="C1744" s="125" t="s">
        <v>603</v>
      </c>
      <c r="D1744" s="124"/>
    </row>
    <row r="1745" spans="1:4" ht="42.75" customHeight="1" thickBot="1">
      <c r="A1745" s="1" t="s">
        <v>686</v>
      </c>
      <c r="B1745" s="26" t="s">
        <v>1</v>
      </c>
      <c r="C1745" s="90" t="s">
        <v>80</v>
      </c>
      <c r="D1745" s="91"/>
    </row>
    <row r="1746" spans="1:4" ht="42.75" customHeight="1" thickBot="1">
      <c r="A1746" s="26"/>
      <c r="B1746" s="26" t="s">
        <v>0</v>
      </c>
      <c r="C1746" s="5" t="s">
        <v>687</v>
      </c>
      <c r="D1746" s="4" t="s">
        <v>2</v>
      </c>
    </row>
    <row r="1747" spans="1:4" ht="42.75" customHeight="1" thickBot="1">
      <c r="A1747" s="92">
        <v>6065</v>
      </c>
      <c r="B1747" s="93"/>
      <c r="C1747" s="94" t="s">
        <v>3</v>
      </c>
      <c r="D1747" s="95"/>
    </row>
    <row r="1748" spans="1:4" ht="42.75" customHeight="1" thickBot="1">
      <c r="A1748" s="92">
        <v>6135</v>
      </c>
      <c r="B1748" s="93"/>
      <c r="C1748" s="96" t="s">
        <v>4</v>
      </c>
      <c r="D1748" s="97"/>
    </row>
    <row r="1749" spans="1:4" ht="42.75" customHeight="1" thickBot="1">
      <c r="A1749" s="98">
        <f>A1748-A1747</f>
        <v>70</v>
      </c>
      <c r="B1749" s="99"/>
      <c r="C1749" s="100" t="s">
        <v>5</v>
      </c>
      <c r="D1749" s="97"/>
    </row>
    <row r="1750" spans="1:4" ht="42.75" customHeight="1" thickBot="1">
      <c r="A1750" s="101">
        <v>62</v>
      </c>
      <c r="B1750" s="102"/>
      <c r="C1750" s="96" t="s">
        <v>6</v>
      </c>
      <c r="D1750" s="97"/>
    </row>
    <row r="1751" spans="1:4" ht="42.75" customHeight="1" thickBot="1">
      <c r="A1751" s="103"/>
      <c r="B1751" s="104"/>
      <c r="C1751" s="96" t="s">
        <v>21</v>
      </c>
      <c r="D1751" s="97"/>
    </row>
    <row r="1752" spans="1:4" ht="42.75" customHeight="1" thickBot="1">
      <c r="A1752" s="105">
        <v>4350</v>
      </c>
      <c r="B1752" s="106"/>
      <c r="C1752" s="96" t="s">
        <v>7</v>
      </c>
      <c r="D1752" s="97"/>
    </row>
    <row r="1753" spans="1:4" ht="42.75" customHeight="1" thickBot="1">
      <c r="A1753" s="107" t="s">
        <v>17</v>
      </c>
      <c r="B1753" s="108"/>
      <c r="C1753" s="108"/>
      <c r="D1753" s="109"/>
    </row>
    <row r="1754" spans="1:4" ht="42.75" customHeight="1" thickBot="1">
      <c r="A1754" s="110" t="s">
        <v>20</v>
      </c>
      <c r="B1754" s="111"/>
      <c r="C1754" s="111"/>
      <c r="D1754" s="112"/>
    </row>
    <row r="1755" spans="1:4" ht="42.75" customHeight="1" thickBot="1">
      <c r="A1755" s="113" t="s">
        <v>18</v>
      </c>
      <c r="B1755" s="114"/>
      <c r="C1755" s="114"/>
      <c r="D1755" s="115"/>
    </row>
    <row r="1756" spans="1:4" ht="42.75" customHeight="1" thickBot="1">
      <c r="A1756" s="126" t="s">
        <v>19</v>
      </c>
      <c r="B1756" s="127"/>
      <c r="C1756" s="127"/>
      <c r="D1756" s="128"/>
    </row>
    <row r="1757" spans="1:4" ht="42.75" customHeight="1" thickBot="1">
      <c r="A1757" s="123" t="s">
        <v>11</v>
      </c>
      <c r="B1757" s="124"/>
      <c r="C1757" s="125" t="s">
        <v>603</v>
      </c>
      <c r="D1757" s="124"/>
    </row>
    <row r="1758" spans="1:4" ht="42.75" customHeight="1" thickBot="1">
      <c r="A1758" s="1" t="s">
        <v>686</v>
      </c>
      <c r="B1758" s="26" t="s">
        <v>1</v>
      </c>
      <c r="C1758" s="90" t="s">
        <v>81</v>
      </c>
      <c r="D1758" s="91"/>
    </row>
    <row r="1759" spans="1:4" ht="42.75" customHeight="1" thickBot="1">
      <c r="A1759" s="26"/>
      <c r="B1759" s="26" t="s">
        <v>0</v>
      </c>
      <c r="C1759" s="5" t="s">
        <v>687</v>
      </c>
      <c r="D1759" s="4" t="s">
        <v>2</v>
      </c>
    </row>
    <row r="1760" spans="1:4" ht="42.75" customHeight="1" thickBot="1">
      <c r="A1760" s="92">
        <v>4475</v>
      </c>
      <c r="B1760" s="93"/>
      <c r="C1760" s="94" t="s">
        <v>3</v>
      </c>
      <c r="D1760" s="95"/>
    </row>
    <row r="1761" spans="1:4" ht="42.75" customHeight="1" thickBot="1">
      <c r="A1761" s="92">
        <v>4475</v>
      </c>
      <c r="B1761" s="93"/>
      <c r="C1761" s="96" t="s">
        <v>4</v>
      </c>
      <c r="D1761" s="97"/>
    </row>
    <row r="1762" spans="1:4" ht="42.75" customHeight="1" thickBot="1">
      <c r="A1762" s="98">
        <f>A1761-A1760</f>
        <v>0</v>
      </c>
      <c r="B1762" s="99"/>
      <c r="C1762" s="100" t="s">
        <v>5</v>
      </c>
      <c r="D1762" s="97"/>
    </row>
    <row r="1763" spans="1:4" ht="42.75" customHeight="1" thickBot="1">
      <c r="A1763" s="101">
        <v>62</v>
      </c>
      <c r="B1763" s="102"/>
      <c r="C1763" s="96" t="s">
        <v>6</v>
      </c>
      <c r="D1763" s="97"/>
    </row>
    <row r="1764" spans="1:4" ht="42.75" customHeight="1" thickBot="1">
      <c r="A1764" s="103"/>
      <c r="B1764" s="104"/>
      <c r="C1764" s="96" t="s">
        <v>21</v>
      </c>
      <c r="D1764" s="97"/>
    </row>
    <row r="1765" spans="1:4" ht="42.75" customHeight="1" thickBot="1">
      <c r="A1765" s="105">
        <f>A1763*A1762</f>
        <v>0</v>
      </c>
      <c r="B1765" s="106"/>
      <c r="C1765" s="96" t="s">
        <v>7</v>
      </c>
      <c r="D1765" s="97"/>
    </row>
    <row r="1766" spans="1:4" ht="42.75" customHeight="1" thickBot="1">
      <c r="A1766" s="107" t="s">
        <v>17</v>
      </c>
      <c r="B1766" s="108"/>
      <c r="C1766" s="108"/>
      <c r="D1766" s="109"/>
    </row>
    <row r="1767" spans="1:4" ht="42.75" customHeight="1" thickBot="1">
      <c r="A1767" s="116" t="s">
        <v>20</v>
      </c>
      <c r="B1767" s="117"/>
      <c r="C1767" s="117"/>
      <c r="D1767" s="118"/>
    </row>
    <row r="1768" spans="1:4" ht="42.75" customHeight="1" thickBot="1">
      <c r="A1768" s="113" t="s">
        <v>18</v>
      </c>
      <c r="B1768" s="114"/>
      <c r="C1768" s="114"/>
      <c r="D1768" s="115"/>
    </row>
    <row r="1769" spans="1:4" ht="42.75" customHeight="1" thickBot="1">
      <c r="A1769" s="119"/>
      <c r="B1769" s="119"/>
      <c r="C1769" s="119"/>
      <c r="D1769" s="119"/>
    </row>
    <row r="1770" spans="1:4" ht="42.75" customHeight="1" thickBot="1">
      <c r="A1770" s="126" t="s">
        <v>19</v>
      </c>
      <c r="B1770" s="127"/>
      <c r="C1770" s="127"/>
      <c r="D1770" s="128"/>
    </row>
    <row r="1771" spans="1:4" ht="42.75" customHeight="1" thickBot="1">
      <c r="A1771" s="123" t="s">
        <v>11</v>
      </c>
      <c r="B1771" s="124"/>
      <c r="C1771" s="125" t="s">
        <v>603</v>
      </c>
      <c r="D1771" s="124"/>
    </row>
    <row r="1772" spans="1:4" ht="42.75" customHeight="1" thickBot="1">
      <c r="A1772" s="1" t="s">
        <v>686</v>
      </c>
      <c r="B1772" s="26" t="s">
        <v>1</v>
      </c>
      <c r="C1772" s="90" t="s">
        <v>81</v>
      </c>
      <c r="D1772" s="91"/>
    </row>
    <row r="1773" spans="1:4" ht="42.75" customHeight="1" thickBot="1">
      <c r="A1773" s="26"/>
      <c r="B1773" s="26" t="s">
        <v>0</v>
      </c>
      <c r="C1773" s="5" t="s">
        <v>687</v>
      </c>
      <c r="D1773" s="4" t="s">
        <v>2</v>
      </c>
    </row>
    <row r="1774" spans="1:4" ht="42.75" customHeight="1" thickBot="1">
      <c r="A1774" s="92">
        <v>4430</v>
      </c>
      <c r="B1774" s="93"/>
      <c r="C1774" s="94" t="s">
        <v>3</v>
      </c>
      <c r="D1774" s="95"/>
    </row>
    <row r="1775" spans="1:4" ht="42.75" customHeight="1" thickBot="1">
      <c r="A1775" s="92">
        <v>4475</v>
      </c>
      <c r="B1775" s="93"/>
      <c r="C1775" s="96" t="s">
        <v>4</v>
      </c>
      <c r="D1775" s="97"/>
    </row>
    <row r="1776" spans="1:4" ht="42.75" customHeight="1" thickBot="1">
      <c r="A1776" s="98">
        <f>A1775-A1774</f>
        <v>45</v>
      </c>
      <c r="B1776" s="99"/>
      <c r="C1776" s="100" t="s">
        <v>5</v>
      </c>
      <c r="D1776" s="97"/>
    </row>
    <row r="1777" spans="1:4" ht="42.75" customHeight="1" thickBot="1">
      <c r="A1777" s="101">
        <v>62</v>
      </c>
      <c r="B1777" s="102"/>
      <c r="C1777" s="96" t="s">
        <v>6</v>
      </c>
      <c r="D1777" s="97"/>
    </row>
    <row r="1778" spans="1:4" ht="42.75" customHeight="1" thickBot="1">
      <c r="A1778" s="103"/>
      <c r="B1778" s="104"/>
      <c r="C1778" s="96" t="s">
        <v>21</v>
      </c>
      <c r="D1778" s="97"/>
    </row>
    <row r="1779" spans="1:4" ht="42.75" customHeight="1" thickBot="1">
      <c r="A1779" s="105">
        <v>2800</v>
      </c>
      <c r="B1779" s="106"/>
      <c r="C1779" s="96" t="s">
        <v>7</v>
      </c>
      <c r="D1779" s="97"/>
    </row>
    <row r="1780" spans="1:4" ht="42.75" customHeight="1" thickBot="1">
      <c r="A1780" s="107" t="s">
        <v>17</v>
      </c>
      <c r="B1780" s="108"/>
      <c r="C1780" s="108"/>
      <c r="D1780" s="109"/>
    </row>
    <row r="1781" spans="1:4" ht="42.75" customHeight="1" thickBot="1">
      <c r="A1781" s="110" t="s">
        <v>20</v>
      </c>
      <c r="B1781" s="111"/>
      <c r="C1781" s="111"/>
      <c r="D1781" s="112"/>
    </row>
    <row r="1782" spans="1:4" ht="42.75" customHeight="1" thickBot="1">
      <c r="A1782" s="113" t="s">
        <v>18</v>
      </c>
      <c r="B1782" s="114"/>
      <c r="C1782" s="114"/>
      <c r="D1782" s="115"/>
    </row>
    <row r="1783" spans="1:4" ht="42.75" customHeight="1" thickBot="1">
      <c r="A1783" s="126" t="s">
        <v>19</v>
      </c>
      <c r="B1783" s="127"/>
      <c r="C1783" s="127"/>
      <c r="D1783" s="128"/>
    </row>
    <row r="1784" spans="1:4" ht="42.75" customHeight="1" thickBot="1">
      <c r="A1784" s="123" t="s">
        <v>11</v>
      </c>
      <c r="B1784" s="124"/>
      <c r="C1784" s="125" t="s">
        <v>603</v>
      </c>
      <c r="D1784" s="124"/>
    </row>
    <row r="1785" spans="1:4" ht="42.75" customHeight="1" thickBot="1">
      <c r="A1785" s="1" t="s">
        <v>686</v>
      </c>
      <c r="B1785" s="26" t="s">
        <v>1</v>
      </c>
      <c r="C1785" s="90" t="s">
        <v>82</v>
      </c>
      <c r="D1785" s="91"/>
    </row>
    <row r="1786" spans="1:4" ht="42.75" customHeight="1" thickBot="1">
      <c r="A1786" s="26"/>
      <c r="B1786" s="26" t="s">
        <v>0</v>
      </c>
      <c r="C1786" s="5" t="s">
        <v>687</v>
      </c>
      <c r="D1786" s="4" t="s">
        <v>2</v>
      </c>
    </row>
    <row r="1787" spans="1:4" ht="42.75" customHeight="1" thickBot="1">
      <c r="A1787" s="92">
        <v>5120</v>
      </c>
      <c r="B1787" s="93"/>
      <c r="C1787" s="94" t="s">
        <v>3</v>
      </c>
      <c r="D1787" s="95"/>
    </row>
    <row r="1788" spans="1:4" ht="42.75" customHeight="1" thickBot="1">
      <c r="A1788" s="92">
        <v>5120</v>
      </c>
      <c r="B1788" s="93"/>
      <c r="C1788" s="96" t="s">
        <v>4</v>
      </c>
      <c r="D1788" s="97"/>
    </row>
    <row r="1789" spans="1:4" ht="42.75" customHeight="1" thickBot="1">
      <c r="A1789" s="98">
        <f>A1788-A1787</f>
        <v>0</v>
      </c>
      <c r="B1789" s="99"/>
      <c r="C1789" s="100" t="s">
        <v>5</v>
      </c>
      <c r="D1789" s="97"/>
    </row>
    <row r="1790" spans="1:4" ht="42.75" customHeight="1" thickBot="1">
      <c r="A1790" s="101">
        <v>62</v>
      </c>
      <c r="B1790" s="102"/>
      <c r="C1790" s="96" t="s">
        <v>6</v>
      </c>
      <c r="D1790" s="97"/>
    </row>
    <row r="1791" spans="1:4" ht="42.75" customHeight="1" thickBot="1">
      <c r="A1791" s="103"/>
      <c r="B1791" s="104"/>
      <c r="C1791" s="96" t="s">
        <v>21</v>
      </c>
      <c r="D1791" s="97"/>
    </row>
    <row r="1792" spans="1:4" ht="42.75" customHeight="1" thickBot="1">
      <c r="A1792" s="105">
        <f>A1790*A1789</f>
        <v>0</v>
      </c>
      <c r="B1792" s="106"/>
      <c r="C1792" s="96" t="s">
        <v>7</v>
      </c>
      <c r="D1792" s="97"/>
    </row>
    <row r="1793" spans="1:4" ht="42.75" customHeight="1" thickBot="1">
      <c r="A1793" s="107" t="s">
        <v>17</v>
      </c>
      <c r="B1793" s="108"/>
      <c r="C1793" s="108"/>
      <c r="D1793" s="109"/>
    </row>
    <row r="1794" spans="1:4" ht="42.75" customHeight="1" thickBot="1">
      <c r="A1794" s="116" t="s">
        <v>20</v>
      </c>
      <c r="B1794" s="117"/>
      <c r="C1794" s="117"/>
      <c r="D1794" s="118"/>
    </row>
    <row r="1795" spans="1:4" ht="42.75" customHeight="1" thickBot="1">
      <c r="A1795" s="113" t="s">
        <v>18</v>
      </c>
      <c r="B1795" s="114"/>
      <c r="C1795" s="114"/>
      <c r="D1795" s="115"/>
    </row>
    <row r="1796" spans="1:4" ht="42.75" customHeight="1" thickBot="1">
      <c r="A1796" s="119"/>
      <c r="B1796" s="119"/>
      <c r="C1796" s="119"/>
      <c r="D1796" s="119"/>
    </row>
    <row r="1797" spans="1:4" ht="42.75" customHeight="1" thickBot="1">
      <c r="A1797" s="126" t="s">
        <v>19</v>
      </c>
      <c r="B1797" s="127"/>
      <c r="C1797" s="127"/>
      <c r="D1797" s="128"/>
    </row>
    <row r="1798" spans="1:4" ht="42.75" customHeight="1" thickBot="1">
      <c r="A1798" s="123" t="s">
        <v>11</v>
      </c>
      <c r="B1798" s="124"/>
      <c r="C1798" s="125" t="s">
        <v>603</v>
      </c>
      <c r="D1798" s="124"/>
    </row>
    <row r="1799" spans="1:4" ht="42.75" customHeight="1" thickBot="1">
      <c r="A1799" s="1" t="s">
        <v>686</v>
      </c>
      <c r="B1799" s="26" t="s">
        <v>1</v>
      </c>
      <c r="C1799" s="90" t="s">
        <v>82</v>
      </c>
      <c r="D1799" s="91"/>
    </row>
    <row r="1800" spans="1:4" ht="42.75" customHeight="1" thickBot="1">
      <c r="A1800" s="26"/>
      <c r="B1800" s="26" t="s">
        <v>0</v>
      </c>
      <c r="C1800" s="5" t="s">
        <v>687</v>
      </c>
      <c r="D1800" s="4" t="s">
        <v>2</v>
      </c>
    </row>
    <row r="1801" spans="1:4" ht="42.75" customHeight="1" thickBot="1">
      <c r="A1801" s="92">
        <v>5080</v>
      </c>
      <c r="B1801" s="93"/>
      <c r="C1801" s="94" t="s">
        <v>3</v>
      </c>
      <c r="D1801" s="95"/>
    </row>
    <row r="1802" spans="1:4" ht="42.75" customHeight="1" thickBot="1">
      <c r="A1802" s="92">
        <v>5120</v>
      </c>
      <c r="B1802" s="93"/>
      <c r="C1802" s="96" t="s">
        <v>4</v>
      </c>
      <c r="D1802" s="97"/>
    </row>
    <row r="1803" spans="1:4" ht="42.75" customHeight="1" thickBot="1">
      <c r="A1803" s="98">
        <f>A1802-A1801</f>
        <v>40</v>
      </c>
      <c r="B1803" s="99"/>
      <c r="C1803" s="100" t="s">
        <v>5</v>
      </c>
      <c r="D1803" s="97"/>
    </row>
    <row r="1804" spans="1:4" ht="42.75" customHeight="1" thickBot="1">
      <c r="A1804" s="101">
        <v>62</v>
      </c>
      <c r="B1804" s="102"/>
      <c r="C1804" s="96" t="s">
        <v>6</v>
      </c>
      <c r="D1804" s="97"/>
    </row>
    <row r="1805" spans="1:4" ht="42.75" customHeight="1" thickBot="1">
      <c r="A1805" s="103"/>
      <c r="B1805" s="104"/>
      <c r="C1805" s="96" t="s">
        <v>21</v>
      </c>
      <c r="D1805" s="97"/>
    </row>
    <row r="1806" spans="1:4" ht="42.75" customHeight="1" thickBot="1">
      <c r="A1806" s="105">
        <v>2500</v>
      </c>
      <c r="B1806" s="106"/>
      <c r="C1806" s="96" t="s">
        <v>7</v>
      </c>
      <c r="D1806" s="97"/>
    </row>
    <row r="1807" spans="1:4" ht="42.75" customHeight="1" thickBot="1">
      <c r="A1807" s="107" t="s">
        <v>17</v>
      </c>
      <c r="B1807" s="108"/>
      <c r="C1807" s="108"/>
      <c r="D1807" s="109"/>
    </row>
    <row r="1808" spans="1:4" ht="42.75" customHeight="1" thickBot="1">
      <c r="A1808" s="110" t="s">
        <v>20</v>
      </c>
      <c r="B1808" s="111"/>
      <c r="C1808" s="111"/>
      <c r="D1808" s="112"/>
    </row>
    <row r="1809" spans="1:4" ht="42.75" customHeight="1" thickBot="1">
      <c r="A1809" s="113" t="s">
        <v>18</v>
      </c>
      <c r="B1809" s="114"/>
      <c r="C1809" s="114"/>
      <c r="D1809" s="115"/>
    </row>
    <row r="1810" spans="1:4" ht="42.75" customHeight="1" thickBot="1">
      <c r="A1810" s="126" t="s">
        <v>19</v>
      </c>
      <c r="B1810" s="127"/>
      <c r="C1810" s="127"/>
      <c r="D1810" s="128"/>
    </row>
    <row r="1811" spans="1:4" ht="42.75" customHeight="1" thickBot="1">
      <c r="A1811" s="123" t="s">
        <v>11</v>
      </c>
      <c r="B1811" s="124"/>
      <c r="C1811" s="125" t="s">
        <v>603</v>
      </c>
      <c r="D1811" s="124"/>
    </row>
    <row r="1812" spans="1:4" ht="42.75" customHeight="1" thickBot="1">
      <c r="A1812" s="1" t="s">
        <v>686</v>
      </c>
      <c r="B1812" s="26" t="s">
        <v>1</v>
      </c>
      <c r="C1812" s="90" t="s">
        <v>83</v>
      </c>
      <c r="D1812" s="91"/>
    </row>
    <row r="1813" spans="1:4" ht="42.75" customHeight="1" thickBot="1">
      <c r="A1813" s="26"/>
      <c r="B1813" s="26" t="s">
        <v>0</v>
      </c>
      <c r="C1813" s="5" t="s">
        <v>687</v>
      </c>
      <c r="D1813" s="4" t="s">
        <v>2</v>
      </c>
    </row>
    <row r="1814" spans="1:4" ht="42.75" customHeight="1" thickBot="1">
      <c r="A1814" s="92">
        <v>3800</v>
      </c>
      <c r="B1814" s="93"/>
      <c r="C1814" s="94" t="s">
        <v>3</v>
      </c>
      <c r="D1814" s="95"/>
    </row>
    <row r="1815" spans="1:4" ht="42.75" customHeight="1" thickBot="1">
      <c r="A1815" s="92">
        <v>3800</v>
      </c>
      <c r="B1815" s="93"/>
      <c r="C1815" s="96" t="s">
        <v>4</v>
      </c>
      <c r="D1815" s="97"/>
    </row>
    <row r="1816" spans="1:4" ht="42.75" customHeight="1" thickBot="1">
      <c r="A1816" s="98">
        <f>A1815-A1814</f>
        <v>0</v>
      </c>
      <c r="B1816" s="99"/>
      <c r="C1816" s="100" t="s">
        <v>5</v>
      </c>
      <c r="D1816" s="97"/>
    </row>
    <row r="1817" spans="1:4" ht="42.75" customHeight="1" thickBot="1">
      <c r="A1817" s="101">
        <v>62</v>
      </c>
      <c r="B1817" s="102"/>
      <c r="C1817" s="96" t="s">
        <v>6</v>
      </c>
      <c r="D1817" s="97"/>
    </row>
    <row r="1818" spans="1:4" ht="42.75" customHeight="1" thickBot="1">
      <c r="A1818" s="103"/>
      <c r="B1818" s="104"/>
      <c r="C1818" s="96" t="s">
        <v>21</v>
      </c>
      <c r="D1818" s="97"/>
    </row>
    <row r="1819" spans="1:4" ht="42.75" customHeight="1" thickBot="1">
      <c r="A1819" s="105">
        <f>A1817*A1816</f>
        <v>0</v>
      </c>
      <c r="B1819" s="106"/>
      <c r="C1819" s="96" t="s">
        <v>7</v>
      </c>
      <c r="D1819" s="97"/>
    </row>
    <row r="1820" spans="1:4" ht="42.75" customHeight="1" thickBot="1">
      <c r="A1820" s="107" t="s">
        <v>17</v>
      </c>
      <c r="B1820" s="108"/>
      <c r="C1820" s="108"/>
      <c r="D1820" s="109"/>
    </row>
    <row r="1821" spans="1:4" ht="42.75" customHeight="1" thickBot="1">
      <c r="A1821" s="116" t="s">
        <v>20</v>
      </c>
      <c r="B1821" s="117"/>
      <c r="C1821" s="117"/>
      <c r="D1821" s="118"/>
    </row>
    <row r="1822" spans="1:4" ht="42.75" customHeight="1" thickBot="1">
      <c r="A1822" s="113" t="s">
        <v>18</v>
      </c>
      <c r="B1822" s="114"/>
      <c r="C1822" s="114"/>
      <c r="D1822" s="115"/>
    </row>
    <row r="1823" spans="1:4" ht="42.75" customHeight="1" thickBot="1">
      <c r="A1823" s="119"/>
      <c r="B1823" s="119"/>
      <c r="C1823" s="119"/>
      <c r="D1823" s="119"/>
    </row>
    <row r="1824" spans="1:4" ht="42.75" customHeight="1" thickBot="1">
      <c r="A1824" s="126" t="s">
        <v>19</v>
      </c>
      <c r="B1824" s="127"/>
      <c r="C1824" s="127"/>
      <c r="D1824" s="128"/>
    </row>
    <row r="1825" spans="1:4" ht="42.75" customHeight="1" thickBot="1">
      <c r="A1825" s="123" t="s">
        <v>11</v>
      </c>
      <c r="B1825" s="124"/>
      <c r="C1825" s="125" t="s">
        <v>603</v>
      </c>
      <c r="D1825" s="124"/>
    </row>
    <row r="1826" spans="1:4" ht="42.75" customHeight="1" thickBot="1">
      <c r="A1826" s="1" t="s">
        <v>686</v>
      </c>
      <c r="B1826" s="26" t="s">
        <v>1</v>
      </c>
      <c r="C1826" s="90" t="s">
        <v>83</v>
      </c>
      <c r="D1826" s="91"/>
    </row>
    <row r="1827" spans="1:4" ht="42.75" customHeight="1" thickBot="1">
      <c r="A1827" s="26"/>
      <c r="B1827" s="26" t="s">
        <v>0</v>
      </c>
      <c r="C1827" s="5" t="s">
        <v>687</v>
      </c>
      <c r="D1827" s="4" t="s">
        <v>2</v>
      </c>
    </row>
    <row r="1828" spans="1:4" ht="42.75" customHeight="1" thickBot="1">
      <c r="A1828" s="92">
        <v>3750</v>
      </c>
      <c r="B1828" s="93"/>
      <c r="C1828" s="94" t="s">
        <v>3</v>
      </c>
      <c r="D1828" s="95"/>
    </row>
    <row r="1829" spans="1:4" ht="42.75" customHeight="1" thickBot="1">
      <c r="A1829" s="92">
        <v>3800</v>
      </c>
      <c r="B1829" s="93"/>
      <c r="C1829" s="96" t="s">
        <v>4</v>
      </c>
      <c r="D1829" s="97"/>
    </row>
    <row r="1830" spans="1:4" ht="42.75" customHeight="1" thickBot="1">
      <c r="A1830" s="98">
        <f>A1829-A1828</f>
        <v>50</v>
      </c>
      <c r="B1830" s="99"/>
      <c r="C1830" s="100" t="s">
        <v>5</v>
      </c>
      <c r="D1830" s="97"/>
    </row>
    <row r="1831" spans="1:4" ht="42.75" customHeight="1" thickBot="1">
      <c r="A1831" s="101">
        <v>62</v>
      </c>
      <c r="B1831" s="102"/>
      <c r="C1831" s="96" t="s">
        <v>6</v>
      </c>
      <c r="D1831" s="97"/>
    </row>
    <row r="1832" spans="1:4" ht="42.75" customHeight="1" thickBot="1">
      <c r="A1832" s="103"/>
      <c r="B1832" s="104"/>
      <c r="C1832" s="96" t="s">
        <v>21</v>
      </c>
      <c r="D1832" s="97"/>
    </row>
    <row r="1833" spans="1:4" ht="42.75" customHeight="1" thickBot="1">
      <c r="A1833" s="105">
        <f>A1831*A1830</f>
        <v>3100</v>
      </c>
      <c r="B1833" s="106"/>
      <c r="C1833" s="96" t="s">
        <v>7</v>
      </c>
      <c r="D1833" s="97"/>
    </row>
    <row r="1834" spans="1:4" ht="42.75" customHeight="1" thickBot="1">
      <c r="A1834" s="107" t="s">
        <v>17</v>
      </c>
      <c r="B1834" s="108"/>
      <c r="C1834" s="108"/>
      <c r="D1834" s="109"/>
    </row>
    <row r="1835" spans="1:4" ht="42.75" customHeight="1" thickBot="1">
      <c r="A1835" s="110" t="s">
        <v>20</v>
      </c>
      <c r="B1835" s="111"/>
      <c r="C1835" s="111"/>
      <c r="D1835" s="112"/>
    </row>
    <row r="1836" spans="1:4" ht="42.75" customHeight="1" thickBot="1">
      <c r="A1836" s="113" t="s">
        <v>18</v>
      </c>
      <c r="B1836" s="114"/>
      <c r="C1836" s="114"/>
      <c r="D1836" s="115"/>
    </row>
    <row r="1837" spans="1:4" ht="42.75" customHeight="1" thickBot="1">
      <c r="A1837" s="126" t="s">
        <v>19</v>
      </c>
      <c r="B1837" s="127"/>
      <c r="C1837" s="127"/>
      <c r="D1837" s="128"/>
    </row>
    <row r="1838" spans="1:4" ht="42.75" customHeight="1" thickBot="1">
      <c r="A1838" s="123" t="s">
        <v>11</v>
      </c>
      <c r="B1838" s="124"/>
      <c r="C1838" s="125" t="s">
        <v>603</v>
      </c>
      <c r="D1838" s="124"/>
    </row>
    <row r="1839" spans="1:4" ht="42.75" customHeight="1" thickBot="1">
      <c r="A1839" s="1" t="s">
        <v>686</v>
      </c>
      <c r="B1839" s="26" t="s">
        <v>1</v>
      </c>
      <c r="C1839" s="90" t="s">
        <v>84</v>
      </c>
      <c r="D1839" s="91"/>
    </row>
    <row r="1840" spans="1:4" ht="42.75" customHeight="1" thickBot="1">
      <c r="A1840" s="26"/>
      <c r="B1840" s="26" t="s">
        <v>0</v>
      </c>
      <c r="C1840" s="5" t="s">
        <v>687</v>
      </c>
      <c r="D1840" s="4" t="s">
        <v>2</v>
      </c>
    </row>
    <row r="1841" spans="1:4" ht="42.75" customHeight="1" thickBot="1">
      <c r="A1841" s="92">
        <v>6505</v>
      </c>
      <c r="B1841" s="93"/>
      <c r="C1841" s="94" t="s">
        <v>3</v>
      </c>
      <c r="D1841" s="95"/>
    </row>
    <row r="1842" spans="1:4" ht="42.75" customHeight="1" thickBot="1">
      <c r="A1842" s="92">
        <v>6505</v>
      </c>
      <c r="B1842" s="93"/>
      <c r="C1842" s="96" t="s">
        <v>4</v>
      </c>
      <c r="D1842" s="97"/>
    </row>
    <row r="1843" spans="1:4" ht="42.75" customHeight="1" thickBot="1">
      <c r="A1843" s="98">
        <f>A1842-A1841</f>
        <v>0</v>
      </c>
      <c r="B1843" s="99"/>
      <c r="C1843" s="100" t="s">
        <v>5</v>
      </c>
      <c r="D1843" s="97"/>
    </row>
    <row r="1844" spans="1:4" ht="42.75" customHeight="1" thickBot="1">
      <c r="A1844" s="101">
        <v>62</v>
      </c>
      <c r="B1844" s="102"/>
      <c r="C1844" s="96" t="s">
        <v>6</v>
      </c>
      <c r="D1844" s="97"/>
    </row>
    <row r="1845" spans="1:4" ht="42.75" customHeight="1" thickBot="1">
      <c r="A1845" s="103"/>
      <c r="B1845" s="104"/>
      <c r="C1845" s="96" t="s">
        <v>21</v>
      </c>
      <c r="D1845" s="97"/>
    </row>
    <row r="1846" spans="1:4" ht="42.75" customHeight="1" thickBot="1">
      <c r="A1846" s="105">
        <f>A1844*A1843</f>
        <v>0</v>
      </c>
      <c r="B1846" s="106"/>
      <c r="C1846" s="96" t="s">
        <v>7</v>
      </c>
      <c r="D1846" s="97"/>
    </row>
    <row r="1847" spans="1:4" ht="42.75" customHeight="1" thickBot="1">
      <c r="A1847" s="107" t="s">
        <v>17</v>
      </c>
      <c r="B1847" s="108"/>
      <c r="C1847" s="108"/>
      <c r="D1847" s="109"/>
    </row>
    <row r="1848" spans="1:4" ht="42.75" customHeight="1" thickBot="1">
      <c r="A1848" s="116" t="s">
        <v>20</v>
      </c>
      <c r="B1848" s="117"/>
      <c r="C1848" s="117"/>
      <c r="D1848" s="118"/>
    </row>
    <row r="1849" spans="1:4" ht="42.75" customHeight="1" thickBot="1">
      <c r="A1849" s="113" t="s">
        <v>18</v>
      </c>
      <c r="B1849" s="114"/>
      <c r="C1849" s="114"/>
      <c r="D1849" s="115"/>
    </row>
    <row r="1850" spans="1:4" ht="42.75" customHeight="1" thickBot="1">
      <c r="A1850" s="119"/>
      <c r="B1850" s="119"/>
      <c r="C1850" s="119"/>
      <c r="D1850" s="119"/>
    </row>
    <row r="1851" spans="1:4" ht="42.75" customHeight="1" thickBot="1">
      <c r="A1851" s="126" t="s">
        <v>19</v>
      </c>
      <c r="B1851" s="127"/>
      <c r="C1851" s="127"/>
      <c r="D1851" s="128"/>
    </row>
    <row r="1852" spans="1:4" ht="42.75" customHeight="1" thickBot="1">
      <c r="A1852" s="123" t="s">
        <v>11</v>
      </c>
      <c r="B1852" s="124"/>
      <c r="C1852" s="125" t="s">
        <v>603</v>
      </c>
      <c r="D1852" s="124"/>
    </row>
    <row r="1853" spans="1:4" ht="42.75" customHeight="1" thickBot="1">
      <c r="A1853" s="1" t="s">
        <v>686</v>
      </c>
      <c r="B1853" s="26" t="s">
        <v>1</v>
      </c>
      <c r="C1853" s="90" t="s">
        <v>84</v>
      </c>
      <c r="D1853" s="91"/>
    </row>
    <row r="1854" spans="1:4" ht="42.75" customHeight="1" thickBot="1">
      <c r="A1854" s="26"/>
      <c r="B1854" s="26" t="s">
        <v>0</v>
      </c>
      <c r="C1854" s="5" t="s">
        <v>687</v>
      </c>
      <c r="D1854" s="4" t="s">
        <v>2</v>
      </c>
    </row>
    <row r="1855" spans="1:4" ht="42.75" customHeight="1" thickBot="1">
      <c r="A1855" s="92">
        <v>6465</v>
      </c>
      <c r="B1855" s="93"/>
      <c r="C1855" s="94" t="s">
        <v>3</v>
      </c>
      <c r="D1855" s="95"/>
    </row>
    <row r="1856" spans="1:4" ht="42.75" customHeight="1" thickBot="1">
      <c r="A1856" s="92">
        <v>6505</v>
      </c>
      <c r="B1856" s="93"/>
      <c r="C1856" s="96" t="s">
        <v>4</v>
      </c>
      <c r="D1856" s="97"/>
    </row>
    <row r="1857" spans="1:4" ht="42.75" customHeight="1" thickBot="1">
      <c r="A1857" s="98">
        <f>A1856-A1855</f>
        <v>40</v>
      </c>
      <c r="B1857" s="99"/>
      <c r="C1857" s="100" t="s">
        <v>5</v>
      </c>
      <c r="D1857" s="97"/>
    </row>
    <row r="1858" spans="1:4" ht="42.75" customHeight="1" thickBot="1">
      <c r="A1858" s="101">
        <v>62</v>
      </c>
      <c r="B1858" s="102"/>
      <c r="C1858" s="96" t="s">
        <v>6</v>
      </c>
      <c r="D1858" s="97"/>
    </row>
    <row r="1859" spans="1:4" ht="42.75" customHeight="1" thickBot="1">
      <c r="A1859" s="103"/>
      <c r="B1859" s="104"/>
      <c r="C1859" s="96" t="s">
        <v>21</v>
      </c>
      <c r="D1859" s="97"/>
    </row>
    <row r="1860" spans="1:4" ht="42.75" customHeight="1" thickBot="1">
      <c r="A1860" s="105">
        <v>2500</v>
      </c>
      <c r="B1860" s="106"/>
      <c r="C1860" s="96" t="s">
        <v>7</v>
      </c>
      <c r="D1860" s="97"/>
    </row>
    <row r="1861" spans="1:4" ht="42.75" customHeight="1" thickBot="1">
      <c r="A1861" s="107" t="s">
        <v>17</v>
      </c>
      <c r="B1861" s="108"/>
      <c r="C1861" s="108"/>
      <c r="D1861" s="109"/>
    </row>
    <row r="1862" spans="1:4" ht="42.75" customHeight="1" thickBot="1">
      <c r="A1862" s="110" t="s">
        <v>20</v>
      </c>
      <c r="B1862" s="111"/>
      <c r="C1862" s="111"/>
      <c r="D1862" s="112"/>
    </row>
    <row r="1863" spans="1:4" ht="42.75" customHeight="1" thickBot="1">
      <c r="A1863" s="113" t="s">
        <v>18</v>
      </c>
      <c r="B1863" s="114"/>
      <c r="C1863" s="114"/>
      <c r="D1863" s="115"/>
    </row>
    <row r="1864" spans="1:4" ht="42.75" customHeight="1" thickBot="1">
      <c r="A1864" s="126" t="s">
        <v>19</v>
      </c>
      <c r="B1864" s="127"/>
      <c r="C1864" s="127"/>
      <c r="D1864" s="128"/>
    </row>
    <row r="1865" spans="1:4" ht="42.75" customHeight="1" thickBot="1">
      <c r="A1865" s="123" t="s">
        <v>11</v>
      </c>
      <c r="B1865" s="124"/>
      <c r="C1865" s="125" t="s">
        <v>603</v>
      </c>
      <c r="D1865" s="124"/>
    </row>
    <row r="1866" spans="1:4" ht="42.75" customHeight="1" thickBot="1">
      <c r="A1866" s="1" t="s">
        <v>686</v>
      </c>
      <c r="B1866" s="26" t="s">
        <v>1</v>
      </c>
      <c r="C1866" s="90" t="s">
        <v>85</v>
      </c>
      <c r="D1866" s="91"/>
    </row>
    <row r="1867" spans="1:4" ht="42.75" customHeight="1" thickBot="1">
      <c r="A1867" s="26"/>
      <c r="B1867" s="26" t="s">
        <v>0</v>
      </c>
      <c r="C1867" s="5" t="s">
        <v>687</v>
      </c>
      <c r="D1867" s="4" t="s">
        <v>2</v>
      </c>
    </row>
    <row r="1868" spans="1:4" ht="42.75" customHeight="1" thickBot="1">
      <c r="A1868" s="92">
        <v>4830</v>
      </c>
      <c r="B1868" s="93"/>
      <c r="C1868" s="94" t="s">
        <v>3</v>
      </c>
      <c r="D1868" s="95"/>
    </row>
    <row r="1869" spans="1:4" ht="42.75" customHeight="1" thickBot="1">
      <c r="A1869" s="92">
        <v>4830</v>
      </c>
      <c r="B1869" s="93"/>
      <c r="C1869" s="96" t="s">
        <v>4</v>
      </c>
      <c r="D1869" s="97"/>
    </row>
    <row r="1870" spans="1:4" ht="42.75" customHeight="1" thickBot="1">
      <c r="A1870" s="98">
        <f>A1869-A1868</f>
        <v>0</v>
      </c>
      <c r="B1870" s="99"/>
      <c r="C1870" s="100" t="s">
        <v>5</v>
      </c>
      <c r="D1870" s="97"/>
    </row>
    <row r="1871" spans="1:4" ht="42.75" customHeight="1" thickBot="1">
      <c r="A1871" s="101">
        <v>62</v>
      </c>
      <c r="B1871" s="102"/>
      <c r="C1871" s="96" t="s">
        <v>6</v>
      </c>
      <c r="D1871" s="97"/>
    </row>
    <row r="1872" spans="1:4" ht="42.75" customHeight="1" thickBot="1">
      <c r="A1872" s="103"/>
      <c r="B1872" s="104"/>
      <c r="C1872" s="96" t="s">
        <v>21</v>
      </c>
      <c r="D1872" s="97"/>
    </row>
    <row r="1873" spans="1:4" ht="42.75" customHeight="1" thickBot="1">
      <c r="A1873" s="105">
        <f>A1871*A1870</f>
        <v>0</v>
      </c>
      <c r="B1873" s="106"/>
      <c r="C1873" s="96" t="s">
        <v>7</v>
      </c>
      <c r="D1873" s="97"/>
    </row>
    <row r="1874" spans="1:4" ht="42.75" customHeight="1" thickBot="1">
      <c r="A1874" s="107" t="s">
        <v>17</v>
      </c>
      <c r="B1874" s="108"/>
      <c r="C1874" s="108"/>
      <c r="D1874" s="109"/>
    </row>
    <row r="1875" spans="1:4" ht="42.75" customHeight="1" thickBot="1">
      <c r="A1875" s="116" t="s">
        <v>20</v>
      </c>
      <c r="B1875" s="117"/>
      <c r="C1875" s="117"/>
      <c r="D1875" s="118"/>
    </row>
    <row r="1876" spans="1:4" ht="42.75" customHeight="1" thickBot="1">
      <c r="A1876" s="113" t="s">
        <v>18</v>
      </c>
      <c r="B1876" s="114"/>
      <c r="C1876" s="114"/>
      <c r="D1876" s="115"/>
    </row>
    <row r="1877" spans="1:4" ht="42.75" customHeight="1" thickBot="1">
      <c r="A1877" s="119"/>
      <c r="B1877" s="119"/>
      <c r="C1877" s="119"/>
      <c r="D1877" s="119"/>
    </row>
    <row r="1878" spans="1:4" ht="42.75" customHeight="1" thickBot="1">
      <c r="A1878" s="126" t="s">
        <v>19</v>
      </c>
      <c r="B1878" s="127"/>
      <c r="C1878" s="127"/>
      <c r="D1878" s="128"/>
    </row>
    <row r="1879" spans="1:4" ht="42.75" customHeight="1" thickBot="1">
      <c r="A1879" s="123" t="s">
        <v>11</v>
      </c>
      <c r="B1879" s="124"/>
      <c r="C1879" s="125" t="s">
        <v>603</v>
      </c>
      <c r="D1879" s="124"/>
    </row>
    <row r="1880" spans="1:4" ht="42.75" customHeight="1" thickBot="1">
      <c r="A1880" s="1" t="s">
        <v>686</v>
      </c>
      <c r="B1880" s="26" t="s">
        <v>1</v>
      </c>
      <c r="C1880" s="90" t="s">
        <v>85</v>
      </c>
      <c r="D1880" s="91"/>
    </row>
    <row r="1881" spans="1:4" ht="42.75" customHeight="1" thickBot="1">
      <c r="A1881" s="26"/>
      <c r="B1881" s="26" t="s">
        <v>0</v>
      </c>
      <c r="C1881" s="5" t="s">
        <v>687</v>
      </c>
      <c r="D1881" s="4" t="s">
        <v>2</v>
      </c>
    </row>
    <row r="1882" spans="1:4" ht="42.75" customHeight="1" thickBot="1">
      <c r="A1882" s="92">
        <v>4790</v>
      </c>
      <c r="B1882" s="93"/>
      <c r="C1882" s="94" t="s">
        <v>3</v>
      </c>
      <c r="D1882" s="95"/>
    </row>
    <row r="1883" spans="1:4" ht="42.75" customHeight="1" thickBot="1">
      <c r="A1883" s="92">
        <v>4830</v>
      </c>
      <c r="B1883" s="93"/>
      <c r="C1883" s="96" t="s">
        <v>4</v>
      </c>
      <c r="D1883" s="97"/>
    </row>
    <row r="1884" spans="1:4" ht="42.75" customHeight="1" thickBot="1">
      <c r="A1884" s="98">
        <f>A1883-A1882</f>
        <v>40</v>
      </c>
      <c r="B1884" s="99"/>
      <c r="C1884" s="100" t="s">
        <v>5</v>
      </c>
      <c r="D1884" s="97"/>
    </row>
    <row r="1885" spans="1:4" ht="42.75" customHeight="1" thickBot="1">
      <c r="A1885" s="101">
        <v>62</v>
      </c>
      <c r="B1885" s="102"/>
      <c r="C1885" s="96" t="s">
        <v>6</v>
      </c>
      <c r="D1885" s="97"/>
    </row>
    <row r="1886" spans="1:4" ht="42.75" customHeight="1" thickBot="1">
      <c r="A1886" s="103"/>
      <c r="B1886" s="104"/>
      <c r="C1886" s="96" t="s">
        <v>21</v>
      </c>
      <c r="D1886" s="97"/>
    </row>
    <row r="1887" spans="1:4" ht="42.75" customHeight="1" thickBot="1">
      <c r="A1887" s="105">
        <v>2500</v>
      </c>
      <c r="B1887" s="106"/>
      <c r="C1887" s="96" t="s">
        <v>7</v>
      </c>
      <c r="D1887" s="97"/>
    </row>
    <row r="1888" spans="1:4" ht="42.75" customHeight="1" thickBot="1">
      <c r="A1888" s="107" t="s">
        <v>17</v>
      </c>
      <c r="B1888" s="108"/>
      <c r="C1888" s="108"/>
      <c r="D1888" s="109"/>
    </row>
    <row r="1889" spans="1:4" ht="42.75" customHeight="1" thickBot="1">
      <c r="A1889" s="110" t="s">
        <v>20</v>
      </c>
      <c r="B1889" s="111"/>
      <c r="C1889" s="111"/>
      <c r="D1889" s="112"/>
    </row>
    <row r="1890" spans="1:4" ht="42.75" customHeight="1" thickBot="1">
      <c r="A1890" s="113" t="s">
        <v>18</v>
      </c>
      <c r="B1890" s="114"/>
      <c r="C1890" s="114"/>
      <c r="D1890" s="115"/>
    </row>
    <row r="1891" spans="1:4" ht="42.75" customHeight="1" thickBot="1">
      <c r="A1891" s="126" t="s">
        <v>19</v>
      </c>
      <c r="B1891" s="127"/>
      <c r="C1891" s="127"/>
      <c r="D1891" s="128"/>
    </row>
    <row r="1892" spans="1:4" ht="42.75" customHeight="1" thickBot="1">
      <c r="A1892" s="123" t="s">
        <v>11</v>
      </c>
      <c r="B1892" s="124"/>
      <c r="C1892" s="125" t="s">
        <v>603</v>
      </c>
      <c r="D1892" s="124"/>
    </row>
    <row r="1893" spans="1:4" ht="42.75" customHeight="1" thickBot="1">
      <c r="A1893" s="1" t="s">
        <v>686</v>
      </c>
      <c r="B1893" s="26" t="s">
        <v>1</v>
      </c>
      <c r="C1893" s="90" t="s">
        <v>86</v>
      </c>
      <c r="D1893" s="91"/>
    </row>
    <row r="1894" spans="1:4" ht="42.75" customHeight="1" thickBot="1">
      <c r="A1894" s="26"/>
      <c r="B1894" s="26" t="s">
        <v>0</v>
      </c>
      <c r="C1894" s="5" t="s">
        <v>687</v>
      </c>
      <c r="D1894" s="4" t="s">
        <v>2</v>
      </c>
    </row>
    <row r="1895" spans="1:4" ht="42.75" customHeight="1" thickBot="1">
      <c r="A1895" s="92">
        <v>19060</v>
      </c>
      <c r="B1895" s="93"/>
      <c r="C1895" s="94" t="s">
        <v>3</v>
      </c>
      <c r="D1895" s="95"/>
    </row>
    <row r="1896" spans="1:4" ht="42.75" customHeight="1" thickBot="1">
      <c r="A1896" s="92">
        <v>19060</v>
      </c>
      <c r="B1896" s="93"/>
      <c r="C1896" s="96" t="s">
        <v>4</v>
      </c>
      <c r="D1896" s="97"/>
    </row>
    <row r="1897" spans="1:4" ht="42.75" customHeight="1" thickBot="1">
      <c r="A1897" s="98">
        <f>A1896-A1895</f>
        <v>0</v>
      </c>
      <c r="B1897" s="99"/>
      <c r="C1897" s="100" t="s">
        <v>5</v>
      </c>
      <c r="D1897" s="97"/>
    </row>
    <row r="1898" spans="1:4" ht="42.75" customHeight="1" thickBot="1">
      <c r="A1898" s="101">
        <v>35</v>
      </c>
      <c r="B1898" s="102"/>
      <c r="C1898" s="96" t="s">
        <v>6</v>
      </c>
      <c r="D1898" s="97"/>
    </row>
    <row r="1899" spans="1:4" ht="42.75" customHeight="1" thickBot="1">
      <c r="A1899" s="103"/>
      <c r="B1899" s="104"/>
      <c r="C1899" s="96" t="s">
        <v>21</v>
      </c>
      <c r="D1899" s="97"/>
    </row>
    <row r="1900" spans="1:4" ht="42.75" customHeight="1" thickBot="1">
      <c r="A1900" s="105">
        <f>A1898*A1897</f>
        <v>0</v>
      </c>
      <c r="B1900" s="106"/>
      <c r="C1900" s="96" t="s">
        <v>7</v>
      </c>
      <c r="D1900" s="97"/>
    </row>
    <row r="1901" spans="1:4" ht="42.75" customHeight="1" thickBot="1">
      <c r="A1901" s="107" t="s">
        <v>17</v>
      </c>
      <c r="B1901" s="108"/>
      <c r="C1901" s="108"/>
      <c r="D1901" s="109"/>
    </row>
    <row r="1902" spans="1:4" ht="42.75" customHeight="1" thickBot="1">
      <c r="A1902" s="116" t="s">
        <v>20</v>
      </c>
      <c r="B1902" s="117"/>
      <c r="C1902" s="117"/>
      <c r="D1902" s="118"/>
    </row>
    <row r="1903" spans="1:4" ht="42.75" customHeight="1" thickBot="1">
      <c r="A1903" s="113" t="s">
        <v>18</v>
      </c>
      <c r="B1903" s="114"/>
      <c r="C1903" s="114"/>
      <c r="D1903" s="115"/>
    </row>
    <row r="1904" spans="1:4" ht="42.75" customHeight="1" thickBot="1">
      <c r="A1904" s="119"/>
      <c r="B1904" s="119"/>
      <c r="C1904" s="119"/>
      <c r="D1904" s="119"/>
    </row>
    <row r="1905" spans="1:4" ht="42.75" customHeight="1" thickBot="1">
      <c r="A1905" s="126" t="s">
        <v>19</v>
      </c>
      <c r="B1905" s="127"/>
      <c r="C1905" s="127"/>
      <c r="D1905" s="128"/>
    </row>
    <row r="1906" spans="1:4" ht="42.75" customHeight="1" thickBot="1">
      <c r="A1906" s="123" t="s">
        <v>11</v>
      </c>
      <c r="B1906" s="124"/>
      <c r="C1906" s="125" t="s">
        <v>603</v>
      </c>
      <c r="D1906" s="124"/>
    </row>
    <row r="1907" spans="1:4" ht="42.75" customHeight="1" thickBot="1">
      <c r="A1907" s="1" t="s">
        <v>686</v>
      </c>
      <c r="B1907" s="26" t="s">
        <v>1</v>
      </c>
      <c r="C1907" s="90" t="s">
        <v>86</v>
      </c>
      <c r="D1907" s="91"/>
    </row>
    <row r="1908" spans="1:4" ht="42.75" customHeight="1" thickBot="1">
      <c r="A1908" s="26"/>
      <c r="B1908" s="26" t="s">
        <v>0</v>
      </c>
      <c r="C1908" s="5" t="s">
        <v>687</v>
      </c>
      <c r="D1908" s="4" t="s">
        <v>2</v>
      </c>
    </row>
    <row r="1909" spans="1:4" ht="42.75" customHeight="1" thickBot="1">
      <c r="A1909" s="92">
        <v>18840</v>
      </c>
      <c r="B1909" s="93"/>
      <c r="C1909" s="94" t="s">
        <v>3</v>
      </c>
      <c r="D1909" s="95"/>
    </row>
    <row r="1910" spans="1:4" ht="42.75" customHeight="1" thickBot="1">
      <c r="A1910" s="92">
        <v>19060</v>
      </c>
      <c r="B1910" s="93"/>
      <c r="C1910" s="96" t="s">
        <v>4</v>
      </c>
      <c r="D1910" s="97"/>
    </row>
    <row r="1911" spans="1:4" ht="42.75" customHeight="1" thickBot="1">
      <c r="A1911" s="98">
        <f>A1910-A1909</f>
        <v>220</v>
      </c>
      <c r="B1911" s="99"/>
      <c r="C1911" s="100" t="s">
        <v>5</v>
      </c>
      <c r="D1911" s="97"/>
    </row>
    <row r="1912" spans="1:4" ht="42.75" customHeight="1" thickBot="1">
      <c r="A1912" s="101">
        <v>40</v>
      </c>
      <c r="B1912" s="102"/>
      <c r="C1912" s="96" t="s">
        <v>6</v>
      </c>
      <c r="D1912" s="97"/>
    </row>
    <row r="1913" spans="1:4" ht="42.75" customHeight="1" thickBot="1">
      <c r="A1913" s="103"/>
      <c r="B1913" s="104"/>
      <c r="C1913" s="96" t="s">
        <v>21</v>
      </c>
      <c r="D1913" s="97"/>
    </row>
    <row r="1914" spans="1:4" ht="42.75" customHeight="1" thickBot="1">
      <c r="A1914" s="105">
        <f>A1912*A1911</f>
        <v>8800</v>
      </c>
      <c r="B1914" s="106"/>
      <c r="C1914" s="96" t="s">
        <v>7</v>
      </c>
      <c r="D1914" s="97"/>
    </row>
    <row r="1915" spans="1:4" ht="42.75" customHeight="1" thickBot="1">
      <c r="A1915" s="107" t="s">
        <v>17</v>
      </c>
      <c r="B1915" s="108"/>
      <c r="C1915" s="108"/>
      <c r="D1915" s="109"/>
    </row>
    <row r="1916" spans="1:4" ht="42.75" customHeight="1" thickBot="1">
      <c r="A1916" s="110" t="s">
        <v>20</v>
      </c>
      <c r="B1916" s="111"/>
      <c r="C1916" s="111"/>
      <c r="D1916" s="112"/>
    </row>
    <row r="1917" spans="1:4" ht="42.75" customHeight="1" thickBot="1">
      <c r="A1917" s="113" t="s">
        <v>18</v>
      </c>
      <c r="B1917" s="114"/>
      <c r="C1917" s="114"/>
      <c r="D1917" s="115"/>
    </row>
    <row r="1918" spans="1:4" ht="42.75" customHeight="1" thickBot="1">
      <c r="A1918" s="126" t="s">
        <v>19</v>
      </c>
      <c r="B1918" s="127"/>
      <c r="C1918" s="127"/>
      <c r="D1918" s="128"/>
    </row>
    <row r="1919" spans="1:4" ht="42.75" customHeight="1" thickBot="1">
      <c r="A1919" s="123" t="s">
        <v>11</v>
      </c>
      <c r="B1919" s="124"/>
      <c r="C1919" s="125" t="s">
        <v>603</v>
      </c>
      <c r="D1919" s="124"/>
    </row>
    <row r="1920" spans="1:4" ht="42.75" customHeight="1" thickBot="1">
      <c r="A1920" s="1" t="s">
        <v>686</v>
      </c>
      <c r="B1920" s="26" t="s">
        <v>1</v>
      </c>
      <c r="C1920" s="90" t="s">
        <v>155</v>
      </c>
      <c r="D1920" s="91"/>
    </row>
    <row r="1921" spans="1:4" ht="42.75" customHeight="1" thickBot="1">
      <c r="A1921" s="26"/>
      <c r="B1921" s="26" t="s">
        <v>0</v>
      </c>
      <c r="C1921" s="5" t="s">
        <v>687</v>
      </c>
      <c r="D1921" s="4" t="s">
        <v>2</v>
      </c>
    </row>
    <row r="1922" spans="1:4" ht="42.75" customHeight="1" thickBot="1">
      <c r="A1922" s="92">
        <v>3235</v>
      </c>
      <c r="B1922" s="93"/>
      <c r="C1922" s="94" t="s">
        <v>3</v>
      </c>
      <c r="D1922" s="95"/>
    </row>
    <row r="1923" spans="1:4" ht="42.75" customHeight="1" thickBot="1">
      <c r="A1923" s="92">
        <v>3235</v>
      </c>
      <c r="B1923" s="93"/>
      <c r="C1923" s="96" t="s">
        <v>4</v>
      </c>
      <c r="D1923" s="97"/>
    </row>
    <row r="1924" spans="1:4" ht="42.75" customHeight="1" thickBot="1">
      <c r="A1924" s="98">
        <f>A1923-A1922</f>
        <v>0</v>
      </c>
      <c r="B1924" s="99"/>
      <c r="C1924" s="100" t="s">
        <v>5</v>
      </c>
      <c r="D1924" s="97"/>
    </row>
    <row r="1925" spans="1:4" ht="42.75" customHeight="1" thickBot="1">
      <c r="A1925" s="101">
        <v>60</v>
      </c>
      <c r="B1925" s="102"/>
      <c r="C1925" s="96" t="s">
        <v>6</v>
      </c>
      <c r="D1925" s="97"/>
    </row>
    <row r="1926" spans="1:4" ht="42.75" customHeight="1" thickBot="1">
      <c r="A1926" s="103"/>
      <c r="B1926" s="104"/>
      <c r="C1926" s="96" t="s">
        <v>21</v>
      </c>
      <c r="D1926" s="97"/>
    </row>
    <row r="1927" spans="1:4" ht="42.75" customHeight="1" thickBot="1">
      <c r="A1927" s="105">
        <f>A1925*A1924</f>
        <v>0</v>
      </c>
      <c r="B1927" s="106"/>
      <c r="C1927" s="96" t="s">
        <v>7</v>
      </c>
      <c r="D1927" s="97"/>
    </row>
    <row r="1928" spans="1:4" ht="42.75" customHeight="1" thickBot="1">
      <c r="A1928" s="107" t="s">
        <v>17</v>
      </c>
      <c r="B1928" s="108"/>
      <c r="C1928" s="108"/>
      <c r="D1928" s="109"/>
    </row>
    <row r="1929" spans="1:4" ht="42.75" customHeight="1" thickBot="1">
      <c r="A1929" s="116" t="s">
        <v>20</v>
      </c>
      <c r="B1929" s="117"/>
      <c r="C1929" s="117"/>
      <c r="D1929" s="118"/>
    </row>
    <row r="1930" spans="1:4" ht="42.75" customHeight="1" thickBot="1">
      <c r="A1930" s="113" t="s">
        <v>18</v>
      </c>
      <c r="B1930" s="114"/>
      <c r="C1930" s="114"/>
      <c r="D1930" s="115"/>
    </row>
    <row r="1931" spans="1:4" ht="42.75" customHeight="1" thickBot="1">
      <c r="A1931" s="119"/>
      <c r="B1931" s="119"/>
      <c r="C1931" s="119"/>
      <c r="D1931" s="119"/>
    </row>
    <row r="1932" spans="1:4" ht="42.75" customHeight="1" thickBot="1">
      <c r="A1932" s="126" t="s">
        <v>19</v>
      </c>
      <c r="B1932" s="127"/>
      <c r="C1932" s="127"/>
      <c r="D1932" s="128"/>
    </row>
    <row r="1933" spans="1:4" ht="42.75" customHeight="1" thickBot="1">
      <c r="A1933" s="123" t="s">
        <v>11</v>
      </c>
      <c r="B1933" s="124"/>
      <c r="C1933" s="125" t="s">
        <v>603</v>
      </c>
      <c r="D1933" s="124"/>
    </row>
    <row r="1934" spans="1:4" ht="42.75" customHeight="1" thickBot="1">
      <c r="A1934" s="1" t="s">
        <v>686</v>
      </c>
      <c r="B1934" s="26" t="s">
        <v>1</v>
      </c>
      <c r="C1934" s="90" t="s">
        <v>155</v>
      </c>
      <c r="D1934" s="91"/>
    </row>
    <row r="1935" spans="1:4" ht="42.75" customHeight="1" thickBot="1">
      <c r="A1935" s="26"/>
      <c r="B1935" s="26" t="s">
        <v>0</v>
      </c>
      <c r="C1935" s="5" t="s">
        <v>687</v>
      </c>
      <c r="D1935" s="4" t="s">
        <v>2</v>
      </c>
    </row>
    <row r="1936" spans="1:4" ht="42.75" customHeight="1" thickBot="1">
      <c r="A1936" s="92">
        <v>3185</v>
      </c>
      <c r="B1936" s="93"/>
      <c r="C1936" s="94" t="s">
        <v>3</v>
      </c>
      <c r="D1936" s="95"/>
    </row>
    <row r="1937" spans="1:4" ht="42.75" customHeight="1" thickBot="1">
      <c r="A1937" s="92">
        <v>3235</v>
      </c>
      <c r="B1937" s="93"/>
      <c r="C1937" s="96" t="s">
        <v>4</v>
      </c>
      <c r="D1937" s="97"/>
    </row>
    <row r="1938" spans="1:4" ht="42.75" customHeight="1" thickBot="1">
      <c r="A1938" s="98">
        <f>A1937-A1936</f>
        <v>50</v>
      </c>
      <c r="B1938" s="99"/>
      <c r="C1938" s="100" t="s">
        <v>5</v>
      </c>
      <c r="D1938" s="97"/>
    </row>
    <row r="1939" spans="1:4" ht="42.75" customHeight="1" thickBot="1">
      <c r="A1939" s="101">
        <v>62</v>
      </c>
      <c r="B1939" s="102"/>
      <c r="C1939" s="96" t="s">
        <v>6</v>
      </c>
      <c r="D1939" s="97"/>
    </row>
    <row r="1940" spans="1:4" ht="42.75" customHeight="1" thickBot="1">
      <c r="A1940" s="103"/>
      <c r="B1940" s="104"/>
      <c r="C1940" s="96" t="s">
        <v>21</v>
      </c>
      <c r="D1940" s="97"/>
    </row>
    <row r="1941" spans="1:4" ht="42.75" customHeight="1" thickBot="1">
      <c r="A1941" s="105">
        <f>A1939*A1938</f>
        <v>3100</v>
      </c>
      <c r="B1941" s="106"/>
      <c r="C1941" s="96" t="s">
        <v>7</v>
      </c>
      <c r="D1941" s="97"/>
    </row>
    <row r="1942" spans="1:4" ht="42.75" customHeight="1" thickBot="1">
      <c r="A1942" s="107" t="s">
        <v>17</v>
      </c>
      <c r="B1942" s="108"/>
      <c r="C1942" s="108"/>
      <c r="D1942" s="109"/>
    </row>
    <row r="1943" spans="1:4" ht="42.75" customHeight="1" thickBot="1">
      <c r="A1943" s="110" t="s">
        <v>20</v>
      </c>
      <c r="B1943" s="111"/>
      <c r="C1943" s="111"/>
      <c r="D1943" s="112"/>
    </row>
    <row r="1944" spans="1:4" ht="42.75" customHeight="1" thickBot="1">
      <c r="A1944" s="113" t="s">
        <v>18</v>
      </c>
      <c r="B1944" s="114"/>
      <c r="C1944" s="114"/>
      <c r="D1944" s="115"/>
    </row>
    <row r="1945" spans="1:4" ht="42.75" customHeight="1" thickBot="1">
      <c r="A1945" s="126" t="s">
        <v>19</v>
      </c>
      <c r="B1945" s="127"/>
      <c r="C1945" s="127"/>
      <c r="D1945" s="128"/>
    </row>
    <row r="1946" spans="1:4" ht="42.75" customHeight="1" thickBot="1">
      <c r="A1946" s="123" t="s">
        <v>11</v>
      </c>
      <c r="B1946" s="124"/>
      <c r="C1946" s="125" t="s">
        <v>603</v>
      </c>
      <c r="D1946" s="124"/>
    </row>
    <row r="1947" spans="1:4" ht="42.75" customHeight="1" thickBot="1">
      <c r="A1947" s="1" t="s">
        <v>686</v>
      </c>
      <c r="B1947" s="26" t="s">
        <v>1</v>
      </c>
      <c r="C1947" s="90" t="s">
        <v>88</v>
      </c>
      <c r="D1947" s="91"/>
    </row>
    <row r="1948" spans="1:4" ht="42.75" customHeight="1" thickBot="1">
      <c r="A1948" s="26"/>
      <c r="B1948" s="26" t="s">
        <v>0</v>
      </c>
      <c r="C1948" s="5" t="s">
        <v>687</v>
      </c>
      <c r="D1948" s="4" t="s">
        <v>2</v>
      </c>
    </row>
    <row r="1949" spans="1:4" ht="42.75" customHeight="1" thickBot="1">
      <c r="A1949" s="92">
        <v>3620</v>
      </c>
      <c r="B1949" s="93"/>
      <c r="C1949" s="94" t="s">
        <v>3</v>
      </c>
      <c r="D1949" s="95"/>
    </row>
    <row r="1950" spans="1:4" ht="42.75" customHeight="1" thickBot="1">
      <c r="A1950" s="92">
        <v>3620</v>
      </c>
      <c r="B1950" s="93"/>
      <c r="C1950" s="96" t="s">
        <v>4</v>
      </c>
      <c r="D1950" s="97"/>
    </row>
    <row r="1951" spans="1:4" ht="42.75" customHeight="1" thickBot="1">
      <c r="A1951" s="98">
        <f>A1950-A1949</f>
        <v>0</v>
      </c>
      <c r="B1951" s="99"/>
      <c r="C1951" s="100" t="s">
        <v>5</v>
      </c>
      <c r="D1951" s="97"/>
    </row>
    <row r="1952" spans="1:4" ht="42.75" customHeight="1" thickBot="1">
      <c r="A1952" s="101">
        <v>62</v>
      </c>
      <c r="B1952" s="102"/>
      <c r="C1952" s="96" t="s">
        <v>6</v>
      </c>
      <c r="D1952" s="97"/>
    </row>
    <row r="1953" spans="1:4" ht="42.75" customHeight="1" thickBot="1">
      <c r="A1953" s="103"/>
      <c r="B1953" s="104"/>
      <c r="C1953" s="96" t="s">
        <v>21</v>
      </c>
      <c r="D1953" s="97"/>
    </row>
    <row r="1954" spans="1:4" ht="42.75" customHeight="1" thickBot="1">
      <c r="A1954" s="105">
        <f>A1952*A1951</f>
        <v>0</v>
      </c>
      <c r="B1954" s="106"/>
      <c r="C1954" s="96" t="s">
        <v>7</v>
      </c>
      <c r="D1954" s="97"/>
    </row>
    <row r="1955" spans="1:4" ht="42.75" customHeight="1" thickBot="1">
      <c r="A1955" s="107" t="s">
        <v>17</v>
      </c>
      <c r="B1955" s="108"/>
      <c r="C1955" s="108"/>
      <c r="D1955" s="109"/>
    </row>
    <row r="1956" spans="1:4" ht="42.75" customHeight="1" thickBot="1">
      <c r="A1956" s="116" t="s">
        <v>20</v>
      </c>
      <c r="B1956" s="117"/>
      <c r="C1956" s="117"/>
      <c r="D1956" s="118"/>
    </row>
    <row r="1957" spans="1:4" ht="42.75" customHeight="1" thickBot="1">
      <c r="A1957" s="113" t="s">
        <v>18</v>
      </c>
      <c r="B1957" s="114"/>
      <c r="C1957" s="114"/>
      <c r="D1957" s="115"/>
    </row>
    <row r="1958" spans="1:4" ht="42.75" customHeight="1" thickBot="1">
      <c r="A1958" s="119"/>
      <c r="B1958" s="119"/>
      <c r="C1958" s="119"/>
      <c r="D1958" s="119"/>
    </row>
    <row r="1959" spans="1:4" ht="42.75" customHeight="1" thickBot="1">
      <c r="A1959" s="126" t="s">
        <v>19</v>
      </c>
      <c r="B1959" s="127"/>
      <c r="C1959" s="127"/>
      <c r="D1959" s="128"/>
    </row>
    <row r="1960" spans="1:4" ht="42.75" customHeight="1" thickBot="1">
      <c r="A1960" s="123" t="s">
        <v>11</v>
      </c>
      <c r="B1960" s="124"/>
      <c r="C1960" s="125" t="s">
        <v>603</v>
      </c>
      <c r="D1960" s="124"/>
    </row>
    <row r="1961" spans="1:4" ht="42.75" customHeight="1" thickBot="1">
      <c r="A1961" s="1" t="s">
        <v>686</v>
      </c>
      <c r="B1961" s="26" t="s">
        <v>1</v>
      </c>
      <c r="C1961" s="90" t="s">
        <v>88</v>
      </c>
      <c r="D1961" s="91"/>
    </row>
    <row r="1962" spans="1:4" ht="42.75" customHeight="1" thickBot="1">
      <c r="A1962" s="26"/>
      <c r="B1962" s="26" t="s">
        <v>0</v>
      </c>
      <c r="C1962" s="5" t="s">
        <v>687</v>
      </c>
      <c r="D1962" s="4" t="s">
        <v>2</v>
      </c>
    </row>
    <row r="1963" spans="1:4" ht="42.75" customHeight="1" thickBot="1">
      <c r="A1963" s="92">
        <v>3595</v>
      </c>
      <c r="B1963" s="93"/>
      <c r="C1963" s="94" t="s">
        <v>3</v>
      </c>
      <c r="D1963" s="95"/>
    </row>
    <row r="1964" spans="1:4" ht="42.75" customHeight="1" thickBot="1">
      <c r="A1964" s="92">
        <v>3620</v>
      </c>
      <c r="B1964" s="93"/>
      <c r="C1964" s="96" t="s">
        <v>4</v>
      </c>
      <c r="D1964" s="97"/>
    </row>
    <row r="1965" spans="1:4" ht="42.75" customHeight="1" thickBot="1">
      <c r="A1965" s="98">
        <f>A1964-A1963</f>
        <v>25</v>
      </c>
      <c r="B1965" s="99"/>
      <c r="C1965" s="100" t="s">
        <v>5</v>
      </c>
      <c r="D1965" s="97"/>
    </row>
    <row r="1966" spans="1:4" ht="42.75" customHeight="1" thickBot="1">
      <c r="A1966" s="101">
        <v>62</v>
      </c>
      <c r="B1966" s="102"/>
      <c r="C1966" s="96" t="s">
        <v>6</v>
      </c>
      <c r="D1966" s="97"/>
    </row>
    <row r="1967" spans="1:4" ht="42.75" customHeight="1" thickBot="1">
      <c r="A1967" s="103"/>
      <c r="B1967" s="104"/>
      <c r="C1967" s="96" t="s">
        <v>21</v>
      </c>
      <c r="D1967" s="97"/>
    </row>
    <row r="1968" spans="1:4" ht="42.75" customHeight="1" thickBot="1">
      <c r="A1968" s="105">
        <f>A1966*A1965</f>
        <v>1550</v>
      </c>
      <c r="B1968" s="106"/>
      <c r="C1968" s="96" t="s">
        <v>7</v>
      </c>
      <c r="D1968" s="97"/>
    </row>
    <row r="1969" spans="1:4" ht="42.75" customHeight="1" thickBot="1">
      <c r="A1969" s="107" t="s">
        <v>17</v>
      </c>
      <c r="B1969" s="108"/>
      <c r="C1969" s="108"/>
      <c r="D1969" s="109"/>
    </row>
    <row r="1970" spans="1:4" ht="42.75" customHeight="1" thickBot="1">
      <c r="A1970" s="110" t="s">
        <v>20</v>
      </c>
      <c r="B1970" s="111"/>
      <c r="C1970" s="111"/>
      <c r="D1970" s="112"/>
    </row>
    <row r="1971" spans="1:4" ht="42.75" customHeight="1" thickBot="1">
      <c r="A1971" s="113" t="s">
        <v>18</v>
      </c>
      <c r="B1971" s="114"/>
      <c r="C1971" s="114"/>
      <c r="D1971" s="115"/>
    </row>
    <row r="1972" spans="1:4" ht="42.75" customHeight="1" thickBot="1">
      <c r="A1972" s="126" t="s">
        <v>19</v>
      </c>
      <c r="B1972" s="127"/>
      <c r="C1972" s="127"/>
      <c r="D1972" s="128"/>
    </row>
    <row r="1973" spans="1:4" ht="42.75" customHeight="1" thickBot="1">
      <c r="A1973" s="123" t="s">
        <v>11</v>
      </c>
      <c r="B1973" s="124"/>
      <c r="C1973" s="125" t="s">
        <v>603</v>
      </c>
      <c r="D1973" s="124"/>
    </row>
    <row r="1974" spans="1:4" ht="42.75" customHeight="1" thickBot="1">
      <c r="A1974" s="1" t="s">
        <v>686</v>
      </c>
      <c r="B1974" s="26" t="s">
        <v>1</v>
      </c>
      <c r="C1974" s="90" t="s">
        <v>89</v>
      </c>
      <c r="D1974" s="91"/>
    </row>
    <row r="1975" spans="1:4" ht="42.75" customHeight="1" thickBot="1">
      <c r="A1975" s="26"/>
      <c r="B1975" s="26" t="s">
        <v>0</v>
      </c>
      <c r="C1975" s="5" t="s">
        <v>687</v>
      </c>
      <c r="D1975" s="4" t="s">
        <v>2</v>
      </c>
    </row>
    <row r="1976" spans="1:4" ht="42.75" customHeight="1" thickBot="1">
      <c r="A1976" s="92">
        <v>585</v>
      </c>
      <c r="B1976" s="93"/>
      <c r="C1976" s="94" t="s">
        <v>3</v>
      </c>
      <c r="D1976" s="95"/>
    </row>
    <row r="1977" spans="1:4" ht="42.75" customHeight="1" thickBot="1">
      <c r="A1977" s="92">
        <v>585</v>
      </c>
      <c r="B1977" s="93"/>
      <c r="C1977" s="96" t="s">
        <v>4</v>
      </c>
      <c r="D1977" s="97"/>
    </row>
    <row r="1978" spans="1:4" ht="42.75" customHeight="1" thickBot="1">
      <c r="A1978" s="98">
        <f>A1977-A1976</f>
        <v>0</v>
      </c>
      <c r="B1978" s="99"/>
      <c r="C1978" s="100" t="s">
        <v>5</v>
      </c>
      <c r="D1978" s="97"/>
    </row>
    <row r="1979" spans="1:4" ht="42.75" customHeight="1" thickBot="1">
      <c r="A1979" s="101">
        <v>62</v>
      </c>
      <c r="B1979" s="102"/>
      <c r="C1979" s="96" t="s">
        <v>6</v>
      </c>
      <c r="D1979" s="97"/>
    </row>
    <row r="1980" spans="1:4" ht="42.75" customHeight="1" thickBot="1">
      <c r="A1980" s="103"/>
      <c r="B1980" s="104"/>
      <c r="C1980" s="96" t="s">
        <v>21</v>
      </c>
      <c r="D1980" s="97"/>
    </row>
    <row r="1981" spans="1:4" ht="42.75" customHeight="1" thickBot="1">
      <c r="A1981" s="105">
        <f>A1979*A1978</f>
        <v>0</v>
      </c>
      <c r="B1981" s="106"/>
      <c r="C1981" s="96" t="s">
        <v>7</v>
      </c>
      <c r="D1981" s="97"/>
    </row>
    <row r="1982" spans="1:4" ht="42.75" customHeight="1" thickBot="1">
      <c r="A1982" s="107" t="s">
        <v>17</v>
      </c>
      <c r="B1982" s="108"/>
      <c r="C1982" s="108"/>
      <c r="D1982" s="109"/>
    </row>
    <row r="1983" spans="1:4" ht="42.75" customHeight="1" thickBot="1">
      <c r="A1983" s="116" t="s">
        <v>20</v>
      </c>
      <c r="B1983" s="117"/>
      <c r="C1983" s="117"/>
      <c r="D1983" s="118"/>
    </row>
    <row r="1984" spans="1:4" ht="42.75" customHeight="1" thickBot="1">
      <c r="A1984" s="113" t="s">
        <v>18</v>
      </c>
      <c r="B1984" s="114"/>
      <c r="C1984" s="114"/>
      <c r="D1984" s="115"/>
    </row>
    <row r="1985" spans="1:4" ht="42.75" customHeight="1" thickBot="1">
      <c r="A1985" s="119"/>
      <c r="B1985" s="119"/>
      <c r="C1985" s="119"/>
      <c r="D1985" s="119"/>
    </row>
    <row r="1986" spans="1:4" ht="42.75" customHeight="1" thickBot="1">
      <c r="A1986" s="126" t="s">
        <v>19</v>
      </c>
      <c r="B1986" s="127"/>
      <c r="C1986" s="127"/>
      <c r="D1986" s="128"/>
    </row>
    <row r="1987" spans="1:4" ht="42.75" customHeight="1" thickBot="1">
      <c r="A1987" s="123" t="s">
        <v>11</v>
      </c>
      <c r="B1987" s="124"/>
      <c r="C1987" s="125" t="s">
        <v>603</v>
      </c>
      <c r="D1987" s="124"/>
    </row>
    <row r="1988" spans="1:4" ht="42.75" customHeight="1" thickBot="1">
      <c r="A1988" s="1" t="s">
        <v>686</v>
      </c>
      <c r="B1988" s="26" t="s">
        <v>1</v>
      </c>
      <c r="C1988" s="90" t="s">
        <v>89</v>
      </c>
      <c r="D1988" s="91"/>
    </row>
    <row r="1989" spans="1:4" ht="42.75" customHeight="1" thickBot="1">
      <c r="A1989" s="26"/>
      <c r="B1989" s="26" t="s">
        <v>0</v>
      </c>
      <c r="C1989" s="5" t="s">
        <v>687</v>
      </c>
      <c r="D1989" s="4" t="s">
        <v>2</v>
      </c>
    </row>
    <row r="1990" spans="1:4" ht="42.75" customHeight="1" thickBot="1">
      <c r="A1990" s="92">
        <v>565</v>
      </c>
      <c r="B1990" s="93"/>
      <c r="C1990" s="94" t="s">
        <v>3</v>
      </c>
      <c r="D1990" s="95"/>
    </row>
    <row r="1991" spans="1:4" ht="42.75" customHeight="1" thickBot="1">
      <c r="A1991" s="92">
        <v>585</v>
      </c>
      <c r="B1991" s="93"/>
      <c r="C1991" s="96" t="s">
        <v>4</v>
      </c>
      <c r="D1991" s="97"/>
    </row>
    <row r="1992" spans="1:4" ht="42.75" customHeight="1" thickBot="1">
      <c r="A1992" s="98">
        <f>A1991-A1990</f>
        <v>20</v>
      </c>
      <c r="B1992" s="99"/>
      <c r="C1992" s="100" t="s">
        <v>5</v>
      </c>
      <c r="D1992" s="97"/>
    </row>
    <row r="1993" spans="1:4" ht="42.75" customHeight="1" thickBot="1">
      <c r="A1993" s="101">
        <v>62</v>
      </c>
      <c r="B1993" s="102"/>
      <c r="C1993" s="96" t="s">
        <v>6</v>
      </c>
      <c r="D1993" s="97"/>
    </row>
    <row r="1994" spans="1:4" ht="42.75" customHeight="1" thickBot="1">
      <c r="A1994" s="103"/>
      <c r="B1994" s="104"/>
      <c r="C1994" s="96" t="s">
        <v>21</v>
      </c>
      <c r="D1994" s="97"/>
    </row>
    <row r="1995" spans="1:4" ht="42.75" customHeight="1" thickBot="1">
      <c r="A1995" s="105">
        <v>1250</v>
      </c>
      <c r="B1995" s="106"/>
      <c r="C1995" s="96" t="s">
        <v>7</v>
      </c>
      <c r="D1995" s="97"/>
    </row>
    <row r="1996" spans="1:4" ht="42.75" customHeight="1" thickBot="1">
      <c r="A1996" s="107" t="s">
        <v>17</v>
      </c>
      <c r="B1996" s="108"/>
      <c r="C1996" s="108"/>
      <c r="D1996" s="109"/>
    </row>
    <row r="1997" spans="1:4" ht="42.75" customHeight="1" thickBot="1">
      <c r="A1997" s="110" t="s">
        <v>20</v>
      </c>
      <c r="B1997" s="111"/>
      <c r="C1997" s="111"/>
      <c r="D1997" s="112"/>
    </row>
    <row r="1998" spans="1:4" ht="42.75" customHeight="1" thickBot="1">
      <c r="A1998" s="113" t="s">
        <v>18</v>
      </c>
      <c r="B1998" s="114"/>
      <c r="C1998" s="114"/>
      <c r="D1998" s="115"/>
    </row>
    <row r="1999" spans="1:4" ht="42.75" customHeight="1" thickBot="1">
      <c r="A1999" s="126" t="s">
        <v>19</v>
      </c>
      <c r="B1999" s="127"/>
      <c r="C1999" s="127"/>
      <c r="D1999" s="128"/>
    </row>
    <row r="2000" spans="1:4" ht="42.75" customHeight="1" thickBot="1">
      <c r="A2000" s="123" t="s">
        <v>11</v>
      </c>
      <c r="B2000" s="124"/>
      <c r="C2000" s="125" t="s">
        <v>603</v>
      </c>
      <c r="D2000" s="124"/>
    </row>
    <row r="2001" spans="1:4" ht="42.75" customHeight="1" thickBot="1">
      <c r="A2001" s="1" t="s">
        <v>686</v>
      </c>
      <c r="B2001" s="26" t="s">
        <v>1</v>
      </c>
      <c r="C2001" s="90" t="s">
        <v>90</v>
      </c>
      <c r="D2001" s="91"/>
    </row>
    <row r="2002" spans="1:4" ht="42.75" customHeight="1" thickBot="1">
      <c r="A2002" s="26"/>
      <c r="B2002" s="26" t="s">
        <v>0</v>
      </c>
      <c r="C2002" s="5" t="s">
        <v>687</v>
      </c>
      <c r="D2002" s="4" t="s">
        <v>2</v>
      </c>
    </row>
    <row r="2003" spans="1:4" ht="42.75" customHeight="1" thickBot="1">
      <c r="A2003" s="92">
        <v>5560</v>
      </c>
      <c r="B2003" s="93"/>
      <c r="C2003" s="94" t="s">
        <v>3</v>
      </c>
      <c r="D2003" s="95"/>
    </row>
    <row r="2004" spans="1:4" ht="42.75" customHeight="1" thickBot="1">
      <c r="A2004" s="92">
        <v>5560</v>
      </c>
      <c r="B2004" s="93"/>
      <c r="C2004" s="96" t="s">
        <v>4</v>
      </c>
      <c r="D2004" s="97"/>
    </row>
    <row r="2005" spans="1:4" ht="42.75" customHeight="1" thickBot="1">
      <c r="A2005" s="98">
        <f>A2004-A2003</f>
        <v>0</v>
      </c>
      <c r="B2005" s="99"/>
      <c r="C2005" s="100" t="s">
        <v>5</v>
      </c>
      <c r="D2005" s="97"/>
    </row>
    <row r="2006" spans="1:4" ht="42.75" customHeight="1" thickBot="1">
      <c r="A2006" s="101">
        <v>50</v>
      </c>
      <c r="B2006" s="102"/>
      <c r="C2006" s="96" t="s">
        <v>6</v>
      </c>
      <c r="D2006" s="97"/>
    </row>
    <row r="2007" spans="1:4" ht="42.75" customHeight="1" thickBot="1">
      <c r="A2007" s="103"/>
      <c r="B2007" s="104"/>
      <c r="C2007" s="96" t="s">
        <v>21</v>
      </c>
      <c r="D2007" s="97"/>
    </row>
    <row r="2008" spans="1:4" ht="42.75" customHeight="1" thickBot="1">
      <c r="A2008" s="105">
        <f>A2006*A2005</f>
        <v>0</v>
      </c>
      <c r="B2008" s="106"/>
      <c r="C2008" s="96" t="s">
        <v>7</v>
      </c>
      <c r="D2008" s="97"/>
    </row>
    <row r="2009" spans="1:4" ht="42.75" customHeight="1" thickBot="1">
      <c r="A2009" s="107" t="s">
        <v>17</v>
      </c>
      <c r="B2009" s="108"/>
      <c r="C2009" s="108"/>
      <c r="D2009" s="109"/>
    </row>
    <row r="2010" spans="1:4" ht="42.75" customHeight="1" thickBot="1">
      <c r="A2010" s="116" t="s">
        <v>20</v>
      </c>
      <c r="B2010" s="117"/>
      <c r="C2010" s="117"/>
      <c r="D2010" s="118"/>
    </row>
    <row r="2011" spans="1:4" ht="42.75" customHeight="1" thickBot="1">
      <c r="A2011" s="113" t="s">
        <v>18</v>
      </c>
      <c r="B2011" s="114"/>
      <c r="C2011" s="114"/>
      <c r="D2011" s="115"/>
    </row>
    <row r="2012" spans="1:4" ht="42.75" customHeight="1" thickBot="1">
      <c r="A2012" s="119"/>
      <c r="B2012" s="119"/>
      <c r="C2012" s="119"/>
      <c r="D2012" s="119"/>
    </row>
    <row r="2013" spans="1:4" ht="42.75" customHeight="1" thickBot="1">
      <c r="A2013" s="126" t="s">
        <v>19</v>
      </c>
      <c r="B2013" s="127"/>
      <c r="C2013" s="127"/>
      <c r="D2013" s="128"/>
    </row>
    <row r="2014" spans="1:4" ht="42.75" customHeight="1" thickBot="1">
      <c r="A2014" s="123" t="s">
        <v>11</v>
      </c>
      <c r="B2014" s="124"/>
      <c r="C2014" s="125" t="s">
        <v>603</v>
      </c>
      <c r="D2014" s="124"/>
    </row>
    <row r="2015" spans="1:4" ht="42.75" customHeight="1" thickBot="1">
      <c r="A2015" s="1" t="s">
        <v>686</v>
      </c>
      <c r="B2015" s="26" t="s">
        <v>1</v>
      </c>
      <c r="C2015" s="90" t="s">
        <v>90</v>
      </c>
      <c r="D2015" s="91"/>
    </row>
    <row r="2016" spans="1:4" ht="42.75" customHeight="1" thickBot="1">
      <c r="A2016" s="26"/>
      <c r="B2016" s="26" t="s">
        <v>0</v>
      </c>
      <c r="C2016" s="5" t="s">
        <v>687</v>
      </c>
      <c r="D2016" s="4" t="s">
        <v>2</v>
      </c>
    </row>
    <row r="2017" spans="1:4" ht="42.75" customHeight="1" thickBot="1">
      <c r="A2017" s="92">
        <v>5540</v>
      </c>
      <c r="B2017" s="93"/>
      <c r="C2017" s="94" t="s">
        <v>3</v>
      </c>
      <c r="D2017" s="95"/>
    </row>
    <row r="2018" spans="1:4" ht="42.75" customHeight="1" thickBot="1">
      <c r="A2018" s="92">
        <v>5560</v>
      </c>
      <c r="B2018" s="93"/>
      <c r="C2018" s="96" t="s">
        <v>4</v>
      </c>
      <c r="D2018" s="97"/>
    </row>
    <row r="2019" spans="1:4" ht="42.75" customHeight="1" thickBot="1">
      <c r="A2019" s="98">
        <f>A2018-A2017</f>
        <v>20</v>
      </c>
      <c r="B2019" s="99"/>
      <c r="C2019" s="100" t="s">
        <v>5</v>
      </c>
      <c r="D2019" s="97"/>
    </row>
    <row r="2020" spans="1:4" ht="42.75" customHeight="1" thickBot="1">
      <c r="A2020" s="101">
        <v>62</v>
      </c>
      <c r="B2020" s="102"/>
      <c r="C2020" s="96" t="s">
        <v>6</v>
      </c>
      <c r="D2020" s="97"/>
    </row>
    <row r="2021" spans="1:4" ht="42.75" customHeight="1" thickBot="1">
      <c r="A2021" s="103"/>
      <c r="B2021" s="104"/>
      <c r="C2021" s="96" t="s">
        <v>21</v>
      </c>
      <c r="D2021" s="97"/>
    </row>
    <row r="2022" spans="1:4" ht="42.75" customHeight="1" thickBot="1">
      <c r="A2022" s="105">
        <f>A2020*A2019</f>
        <v>1240</v>
      </c>
      <c r="B2022" s="106"/>
      <c r="C2022" s="96" t="s">
        <v>7</v>
      </c>
      <c r="D2022" s="97"/>
    </row>
    <row r="2023" spans="1:4" ht="42.75" customHeight="1" thickBot="1">
      <c r="A2023" s="107" t="s">
        <v>17</v>
      </c>
      <c r="B2023" s="108"/>
      <c r="C2023" s="108"/>
      <c r="D2023" s="109"/>
    </row>
    <row r="2024" spans="1:4" ht="42.75" customHeight="1" thickBot="1">
      <c r="A2024" s="110" t="s">
        <v>20</v>
      </c>
      <c r="B2024" s="111"/>
      <c r="C2024" s="111"/>
      <c r="D2024" s="112"/>
    </row>
    <row r="2025" spans="1:4" ht="42.75" customHeight="1" thickBot="1">
      <c r="A2025" s="113" t="s">
        <v>18</v>
      </c>
      <c r="B2025" s="114"/>
      <c r="C2025" s="114"/>
      <c r="D2025" s="115"/>
    </row>
    <row r="2026" spans="1:4" ht="42.75" customHeight="1" thickBot="1">
      <c r="A2026" s="126" t="s">
        <v>19</v>
      </c>
      <c r="B2026" s="127"/>
      <c r="C2026" s="127"/>
      <c r="D2026" s="128"/>
    </row>
    <row r="2027" spans="1:4" ht="42.75" customHeight="1" thickBot="1">
      <c r="A2027" s="123" t="s">
        <v>11</v>
      </c>
      <c r="B2027" s="124"/>
      <c r="C2027" s="125" t="s">
        <v>603</v>
      </c>
      <c r="D2027" s="124"/>
    </row>
    <row r="2028" spans="1:4" ht="42.75" customHeight="1" thickBot="1">
      <c r="A2028" s="1" t="s">
        <v>686</v>
      </c>
      <c r="B2028" s="26" t="s">
        <v>1</v>
      </c>
      <c r="C2028" s="90" t="s">
        <v>91</v>
      </c>
      <c r="D2028" s="91"/>
    </row>
    <row r="2029" spans="1:4" ht="42.75" customHeight="1" thickBot="1">
      <c r="A2029" s="26"/>
      <c r="B2029" s="26" t="s">
        <v>0</v>
      </c>
      <c r="C2029" s="5" t="s">
        <v>687</v>
      </c>
      <c r="D2029" s="4" t="s">
        <v>2</v>
      </c>
    </row>
    <row r="2030" spans="1:4" ht="42.75" customHeight="1" thickBot="1">
      <c r="A2030" s="92">
        <v>7450</v>
      </c>
      <c r="B2030" s="93"/>
      <c r="C2030" s="94" t="s">
        <v>3</v>
      </c>
      <c r="D2030" s="95"/>
    </row>
    <row r="2031" spans="1:4" ht="42.75" customHeight="1" thickBot="1">
      <c r="A2031" s="92">
        <v>7450</v>
      </c>
      <c r="B2031" s="93"/>
      <c r="C2031" s="96" t="s">
        <v>4</v>
      </c>
      <c r="D2031" s="97"/>
    </row>
    <row r="2032" spans="1:4" ht="42.75" customHeight="1" thickBot="1">
      <c r="A2032" s="98">
        <f>A2031-A2030</f>
        <v>0</v>
      </c>
      <c r="B2032" s="99"/>
      <c r="C2032" s="100" t="s">
        <v>5</v>
      </c>
      <c r="D2032" s="97"/>
    </row>
    <row r="2033" spans="1:4" ht="42.75" customHeight="1" thickBot="1">
      <c r="A2033" s="101">
        <v>62</v>
      </c>
      <c r="B2033" s="102"/>
      <c r="C2033" s="96" t="s">
        <v>6</v>
      </c>
      <c r="D2033" s="97"/>
    </row>
    <row r="2034" spans="1:4" ht="42.75" customHeight="1" thickBot="1">
      <c r="A2034" s="103"/>
      <c r="B2034" s="104"/>
      <c r="C2034" s="96" t="s">
        <v>21</v>
      </c>
      <c r="D2034" s="97"/>
    </row>
    <row r="2035" spans="1:4" ht="42.75" customHeight="1" thickBot="1">
      <c r="A2035" s="105">
        <f>A2033*A2032</f>
        <v>0</v>
      </c>
      <c r="B2035" s="106"/>
      <c r="C2035" s="96" t="s">
        <v>7</v>
      </c>
      <c r="D2035" s="97"/>
    </row>
    <row r="2036" spans="1:4" ht="42.75" customHeight="1" thickBot="1">
      <c r="A2036" s="107" t="s">
        <v>17</v>
      </c>
      <c r="B2036" s="108"/>
      <c r="C2036" s="108"/>
      <c r="D2036" s="109"/>
    </row>
    <row r="2037" spans="1:4" ht="42.75" customHeight="1" thickBot="1">
      <c r="A2037" s="116" t="s">
        <v>20</v>
      </c>
      <c r="B2037" s="117"/>
      <c r="C2037" s="117"/>
      <c r="D2037" s="118"/>
    </row>
    <row r="2038" spans="1:4" ht="42.75" customHeight="1" thickBot="1">
      <c r="A2038" s="113" t="s">
        <v>18</v>
      </c>
      <c r="B2038" s="114"/>
      <c r="C2038" s="114"/>
      <c r="D2038" s="115"/>
    </row>
    <row r="2039" spans="1:4" ht="42.75" customHeight="1" thickBot="1">
      <c r="A2039" s="119"/>
      <c r="B2039" s="119"/>
      <c r="C2039" s="119"/>
      <c r="D2039" s="119"/>
    </row>
    <row r="2040" spans="1:4" ht="42.75" customHeight="1" thickBot="1">
      <c r="A2040" s="126" t="s">
        <v>19</v>
      </c>
      <c r="B2040" s="127"/>
      <c r="C2040" s="127"/>
      <c r="D2040" s="128"/>
    </row>
    <row r="2041" spans="1:4" ht="42.75" customHeight="1" thickBot="1">
      <c r="A2041" s="123" t="s">
        <v>11</v>
      </c>
      <c r="B2041" s="124"/>
      <c r="C2041" s="125" t="s">
        <v>603</v>
      </c>
      <c r="D2041" s="124"/>
    </row>
    <row r="2042" spans="1:4" ht="42.75" customHeight="1" thickBot="1">
      <c r="A2042" s="1" t="s">
        <v>686</v>
      </c>
      <c r="B2042" s="26" t="s">
        <v>1</v>
      </c>
      <c r="C2042" s="90" t="s">
        <v>91</v>
      </c>
      <c r="D2042" s="91"/>
    </row>
    <row r="2043" spans="1:4" ht="42.75" customHeight="1" thickBot="1">
      <c r="A2043" s="26"/>
      <c r="B2043" s="26" t="s">
        <v>0</v>
      </c>
      <c r="C2043" s="5" t="s">
        <v>687</v>
      </c>
      <c r="D2043" s="4" t="s">
        <v>2</v>
      </c>
    </row>
    <row r="2044" spans="1:4" ht="42.75" customHeight="1" thickBot="1">
      <c r="A2044" s="92">
        <v>7400</v>
      </c>
      <c r="B2044" s="93"/>
      <c r="C2044" s="94" t="s">
        <v>3</v>
      </c>
      <c r="D2044" s="95"/>
    </row>
    <row r="2045" spans="1:4" ht="42.75" customHeight="1" thickBot="1">
      <c r="A2045" s="92">
        <v>7450</v>
      </c>
      <c r="B2045" s="93"/>
      <c r="C2045" s="96" t="s">
        <v>4</v>
      </c>
      <c r="D2045" s="97"/>
    </row>
    <row r="2046" spans="1:4" ht="42.75" customHeight="1" thickBot="1">
      <c r="A2046" s="98">
        <f>A2045-A2044</f>
        <v>50</v>
      </c>
      <c r="B2046" s="99"/>
      <c r="C2046" s="100" t="s">
        <v>5</v>
      </c>
      <c r="D2046" s="97"/>
    </row>
    <row r="2047" spans="1:4" ht="42.75" customHeight="1" thickBot="1">
      <c r="A2047" s="101">
        <v>62</v>
      </c>
      <c r="B2047" s="102"/>
      <c r="C2047" s="96" t="s">
        <v>6</v>
      </c>
      <c r="D2047" s="97"/>
    </row>
    <row r="2048" spans="1:4" ht="42.75" customHeight="1" thickBot="1">
      <c r="A2048" s="103"/>
      <c r="B2048" s="104"/>
      <c r="C2048" s="96" t="s">
        <v>21</v>
      </c>
      <c r="D2048" s="97"/>
    </row>
    <row r="2049" spans="1:4" ht="42.75" customHeight="1" thickBot="1">
      <c r="A2049" s="105">
        <f>A2047*A2046</f>
        <v>3100</v>
      </c>
      <c r="B2049" s="106"/>
      <c r="C2049" s="96" t="s">
        <v>7</v>
      </c>
      <c r="D2049" s="97"/>
    </row>
    <row r="2050" spans="1:4" ht="42.75" customHeight="1" thickBot="1">
      <c r="A2050" s="107" t="s">
        <v>17</v>
      </c>
      <c r="B2050" s="108"/>
      <c r="C2050" s="108"/>
      <c r="D2050" s="109"/>
    </row>
    <row r="2051" spans="1:4" ht="42.75" customHeight="1" thickBot="1">
      <c r="A2051" s="110" t="s">
        <v>20</v>
      </c>
      <c r="B2051" s="111"/>
      <c r="C2051" s="111"/>
      <c r="D2051" s="112"/>
    </row>
    <row r="2052" spans="1:4" ht="42.75" customHeight="1" thickBot="1">
      <c r="A2052" s="113" t="s">
        <v>18</v>
      </c>
      <c r="B2052" s="114"/>
      <c r="C2052" s="114"/>
      <c r="D2052" s="115"/>
    </row>
    <row r="2053" spans="1:4" ht="42.75" customHeight="1" thickBot="1">
      <c r="A2053" s="126" t="s">
        <v>19</v>
      </c>
      <c r="B2053" s="127"/>
      <c r="C2053" s="127"/>
      <c r="D2053" s="128"/>
    </row>
    <row r="2054" spans="1:4" ht="42.75" customHeight="1" thickBot="1">
      <c r="A2054" s="123" t="s">
        <v>11</v>
      </c>
      <c r="B2054" s="124"/>
      <c r="C2054" s="125" t="s">
        <v>603</v>
      </c>
      <c r="D2054" s="124"/>
    </row>
    <row r="2055" spans="1:4" ht="42.75" customHeight="1" thickBot="1">
      <c r="A2055" s="1" t="s">
        <v>686</v>
      </c>
      <c r="B2055" s="26" t="s">
        <v>1</v>
      </c>
      <c r="C2055" s="90" t="s">
        <v>624</v>
      </c>
      <c r="D2055" s="91"/>
    </row>
    <row r="2056" spans="1:4" ht="42.75" customHeight="1" thickBot="1">
      <c r="A2056" s="26"/>
      <c r="B2056" s="26" t="s">
        <v>0</v>
      </c>
      <c r="C2056" s="5" t="s">
        <v>687</v>
      </c>
      <c r="D2056" s="4" t="s">
        <v>2</v>
      </c>
    </row>
    <row r="2057" spans="1:4" ht="42.75" customHeight="1" thickBot="1">
      <c r="A2057" s="92">
        <v>4885</v>
      </c>
      <c r="B2057" s="93"/>
      <c r="C2057" s="94" t="s">
        <v>3</v>
      </c>
      <c r="D2057" s="95"/>
    </row>
    <row r="2058" spans="1:4" ht="42.75" customHeight="1" thickBot="1">
      <c r="A2058" s="92">
        <v>4885</v>
      </c>
      <c r="B2058" s="93"/>
      <c r="C2058" s="96" t="s">
        <v>4</v>
      </c>
      <c r="D2058" s="97"/>
    </row>
    <row r="2059" spans="1:4" ht="42.75" customHeight="1" thickBot="1">
      <c r="A2059" s="98">
        <f>A2058-A2057</f>
        <v>0</v>
      </c>
      <c r="B2059" s="99"/>
      <c r="C2059" s="100" t="s">
        <v>5</v>
      </c>
      <c r="D2059" s="97"/>
    </row>
    <row r="2060" spans="1:4" ht="42.75" customHeight="1" thickBot="1">
      <c r="A2060" s="101">
        <v>50</v>
      </c>
      <c r="B2060" s="102"/>
      <c r="C2060" s="96" t="s">
        <v>6</v>
      </c>
      <c r="D2060" s="97"/>
    </row>
    <row r="2061" spans="1:4" ht="42.75" customHeight="1" thickBot="1">
      <c r="A2061" s="103"/>
      <c r="B2061" s="104"/>
      <c r="C2061" s="96" t="s">
        <v>21</v>
      </c>
      <c r="D2061" s="97"/>
    </row>
    <row r="2062" spans="1:4" ht="42.75" customHeight="1" thickBot="1">
      <c r="A2062" s="105">
        <f>A2060*A2059</f>
        <v>0</v>
      </c>
      <c r="B2062" s="106"/>
      <c r="C2062" s="96" t="s">
        <v>7</v>
      </c>
      <c r="D2062" s="97"/>
    </row>
    <row r="2063" spans="1:4" ht="42.75" customHeight="1" thickBot="1">
      <c r="A2063" s="107" t="s">
        <v>17</v>
      </c>
      <c r="B2063" s="108"/>
      <c r="C2063" s="108"/>
      <c r="D2063" s="109"/>
    </row>
    <row r="2064" spans="1:4" ht="42.75" customHeight="1" thickBot="1">
      <c r="A2064" s="116" t="s">
        <v>20</v>
      </c>
      <c r="B2064" s="117"/>
      <c r="C2064" s="117"/>
      <c r="D2064" s="118"/>
    </row>
    <row r="2065" spans="1:4" ht="42.75" customHeight="1" thickBot="1">
      <c r="A2065" s="113" t="s">
        <v>18</v>
      </c>
      <c r="B2065" s="114"/>
      <c r="C2065" s="114"/>
      <c r="D2065" s="115"/>
    </row>
    <row r="2066" spans="1:4" ht="42.75" customHeight="1" thickBot="1">
      <c r="A2066" s="119"/>
      <c r="B2066" s="119"/>
      <c r="C2066" s="119"/>
      <c r="D2066" s="119"/>
    </row>
    <row r="2067" spans="1:4" ht="42.75" customHeight="1" thickBot="1">
      <c r="A2067" s="126" t="s">
        <v>19</v>
      </c>
      <c r="B2067" s="127"/>
      <c r="C2067" s="127"/>
      <c r="D2067" s="128"/>
    </row>
    <row r="2068" spans="1:4" ht="42.75" customHeight="1" thickBot="1">
      <c r="A2068" s="123" t="s">
        <v>11</v>
      </c>
      <c r="B2068" s="124"/>
      <c r="C2068" s="125" t="s">
        <v>603</v>
      </c>
      <c r="D2068" s="124"/>
    </row>
    <row r="2069" spans="1:4" ht="42.75" customHeight="1" thickBot="1">
      <c r="A2069" s="1" t="s">
        <v>686</v>
      </c>
      <c r="B2069" s="26" t="s">
        <v>1</v>
      </c>
      <c r="C2069" s="90" t="s">
        <v>624</v>
      </c>
      <c r="D2069" s="91"/>
    </row>
    <row r="2070" spans="1:4" ht="42.75" customHeight="1" thickBot="1">
      <c r="A2070" s="26"/>
      <c r="B2070" s="26" t="s">
        <v>0</v>
      </c>
      <c r="C2070" s="5" t="s">
        <v>687</v>
      </c>
      <c r="D2070" s="4" t="s">
        <v>2</v>
      </c>
    </row>
    <row r="2071" spans="1:4" ht="42.75" customHeight="1" thickBot="1">
      <c r="A2071" s="92">
        <v>4840</v>
      </c>
      <c r="B2071" s="93"/>
      <c r="C2071" s="94" t="s">
        <v>3</v>
      </c>
      <c r="D2071" s="95"/>
    </row>
    <row r="2072" spans="1:4" ht="42.75" customHeight="1" thickBot="1">
      <c r="A2072" s="92">
        <v>4885</v>
      </c>
      <c r="B2072" s="93"/>
      <c r="C2072" s="96" t="s">
        <v>4</v>
      </c>
      <c r="D2072" s="97"/>
    </row>
    <row r="2073" spans="1:4" ht="42.75" customHeight="1" thickBot="1">
      <c r="A2073" s="98">
        <f>A2072-A2071</f>
        <v>45</v>
      </c>
      <c r="B2073" s="99"/>
      <c r="C2073" s="100" t="s">
        <v>5</v>
      </c>
      <c r="D2073" s="97"/>
    </row>
    <row r="2074" spans="1:4" ht="42.75" customHeight="1" thickBot="1">
      <c r="A2074" s="101">
        <v>62</v>
      </c>
      <c r="B2074" s="102"/>
      <c r="C2074" s="96" t="s">
        <v>6</v>
      </c>
      <c r="D2074" s="97"/>
    </row>
    <row r="2075" spans="1:4" ht="42.75" customHeight="1" thickBot="1">
      <c r="A2075" s="103"/>
      <c r="B2075" s="104"/>
      <c r="C2075" s="96" t="s">
        <v>21</v>
      </c>
      <c r="D2075" s="97"/>
    </row>
    <row r="2076" spans="1:4" ht="42.75" customHeight="1" thickBot="1">
      <c r="A2076" s="105">
        <f>A2074*A2073</f>
        <v>2790</v>
      </c>
      <c r="B2076" s="106"/>
      <c r="C2076" s="96" t="s">
        <v>7</v>
      </c>
      <c r="D2076" s="97"/>
    </row>
    <row r="2077" spans="1:4" ht="42.75" customHeight="1" thickBot="1">
      <c r="A2077" s="107" t="s">
        <v>17</v>
      </c>
      <c r="B2077" s="108"/>
      <c r="C2077" s="108"/>
      <c r="D2077" s="109"/>
    </row>
    <row r="2078" spans="1:4" ht="42.75" customHeight="1" thickBot="1">
      <c r="A2078" s="110" t="s">
        <v>20</v>
      </c>
      <c r="B2078" s="111"/>
      <c r="C2078" s="111"/>
      <c r="D2078" s="112"/>
    </row>
    <row r="2079" spans="1:4" ht="42.75" customHeight="1" thickBot="1">
      <c r="A2079" s="113" t="s">
        <v>18</v>
      </c>
      <c r="B2079" s="114"/>
      <c r="C2079" s="114"/>
      <c r="D2079" s="115"/>
    </row>
    <row r="2080" spans="1:4" ht="42.75" customHeight="1" thickBot="1">
      <c r="A2080" s="126" t="s">
        <v>19</v>
      </c>
      <c r="B2080" s="127"/>
      <c r="C2080" s="127"/>
      <c r="D2080" s="128"/>
    </row>
    <row r="2081" spans="1:4" ht="42.75" customHeight="1" thickBot="1">
      <c r="A2081" s="123" t="s">
        <v>11</v>
      </c>
      <c r="B2081" s="124"/>
      <c r="C2081" s="125" t="s">
        <v>603</v>
      </c>
      <c r="D2081" s="124"/>
    </row>
    <row r="2082" spans="1:4" ht="42.75" customHeight="1" thickBot="1">
      <c r="A2082" s="1" t="s">
        <v>686</v>
      </c>
      <c r="B2082" s="26" t="s">
        <v>1</v>
      </c>
      <c r="C2082" s="90" t="s">
        <v>92</v>
      </c>
      <c r="D2082" s="91"/>
    </row>
    <row r="2083" spans="1:4" ht="42.75" customHeight="1" thickBot="1">
      <c r="A2083" s="26"/>
      <c r="B2083" s="26" t="s">
        <v>0</v>
      </c>
      <c r="C2083" s="5" t="s">
        <v>687</v>
      </c>
      <c r="D2083" s="4" t="s">
        <v>2</v>
      </c>
    </row>
    <row r="2084" spans="1:4" ht="42.75" customHeight="1" thickBot="1">
      <c r="A2084" s="92">
        <v>2196</v>
      </c>
      <c r="B2084" s="93"/>
      <c r="C2084" s="94" t="s">
        <v>3</v>
      </c>
      <c r="D2084" s="95"/>
    </row>
    <row r="2085" spans="1:4" ht="42.75" customHeight="1" thickBot="1">
      <c r="A2085" s="92">
        <v>2196</v>
      </c>
      <c r="B2085" s="93"/>
      <c r="C2085" s="96" t="s">
        <v>4</v>
      </c>
      <c r="D2085" s="97"/>
    </row>
    <row r="2086" spans="1:4" ht="42.75" customHeight="1" thickBot="1">
      <c r="A2086" s="98">
        <f>A2085-A2084</f>
        <v>0</v>
      </c>
      <c r="B2086" s="99"/>
      <c r="C2086" s="100" t="s">
        <v>5</v>
      </c>
      <c r="D2086" s="97"/>
    </row>
    <row r="2087" spans="1:4" ht="42.75" customHeight="1" thickBot="1">
      <c r="A2087" s="101">
        <v>62</v>
      </c>
      <c r="B2087" s="102"/>
      <c r="C2087" s="96" t="s">
        <v>6</v>
      </c>
      <c r="D2087" s="97"/>
    </row>
    <row r="2088" spans="1:4" ht="42.75" customHeight="1" thickBot="1">
      <c r="A2088" s="103"/>
      <c r="B2088" s="104"/>
      <c r="C2088" s="96" t="s">
        <v>21</v>
      </c>
      <c r="D2088" s="97"/>
    </row>
    <row r="2089" spans="1:4" ht="42.75" customHeight="1" thickBot="1">
      <c r="A2089" s="105">
        <f>A2087*A2086</f>
        <v>0</v>
      </c>
      <c r="B2089" s="106"/>
      <c r="C2089" s="96" t="s">
        <v>7</v>
      </c>
      <c r="D2089" s="97"/>
    </row>
    <row r="2090" spans="1:4" ht="42.75" customHeight="1" thickBot="1">
      <c r="A2090" s="107" t="s">
        <v>17</v>
      </c>
      <c r="B2090" s="108"/>
      <c r="C2090" s="108"/>
      <c r="D2090" s="109"/>
    </row>
    <row r="2091" spans="1:4" ht="42.75" customHeight="1" thickBot="1">
      <c r="A2091" s="116" t="s">
        <v>20</v>
      </c>
      <c r="B2091" s="117"/>
      <c r="C2091" s="117"/>
      <c r="D2091" s="118"/>
    </row>
    <row r="2092" spans="1:4" ht="42.75" customHeight="1" thickBot="1">
      <c r="A2092" s="113" t="s">
        <v>18</v>
      </c>
      <c r="B2092" s="114"/>
      <c r="C2092" s="114"/>
      <c r="D2092" s="115"/>
    </row>
    <row r="2093" spans="1:4" ht="42.75" customHeight="1" thickBot="1">
      <c r="A2093" s="119"/>
      <c r="B2093" s="119"/>
      <c r="C2093" s="119"/>
      <c r="D2093" s="119"/>
    </row>
    <row r="2094" spans="1:4" ht="42.75" customHeight="1" thickBot="1">
      <c r="A2094" s="126" t="s">
        <v>19</v>
      </c>
      <c r="B2094" s="127"/>
      <c r="C2094" s="127"/>
      <c r="D2094" s="128"/>
    </row>
    <row r="2095" spans="1:4" ht="42.75" customHeight="1" thickBot="1">
      <c r="A2095" s="123" t="s">
        <v>11</v>
      </c>
      <c r="B2095" s="124"/>
      <c r="C2095" s="125" t="s">
        <v>603</v>
      </c>
      <c r="D2095" s="124"/>
    </row>
    <row r="2096" spans="1:4" ht="42.75" customHeight="1" thickBot="1">
      <c r="A2096" s="1" t="s">
        <v>686</v>
      </c>
      <c r="B2096" s="26" t="s">
        <v>1</v>
      </c>
      <c r="C2096" s="90" t="s">
        <v>92</v>
      </c>
      <c r="D2096" s="91"/>
    </row>
    <row r="2097" spans="1:4" ht="42.75" customHeight="1" thickBot="1">
      <c r="A2097" s="26"/>
      <c r="B2097" s="26" t="s">
        <v>0</v>
      </c>
      <c r="C2097" s="5" t="s">
        <v>687</v>
      </c>
      <c r="D2097" s="4" t="s">
        <v>2</v>
      </c>
    </row>
    <row r="2098" spans="1:4" ht="42.75" customHeight="1" thickBot="1">
      <c r="A2098" s="92">
        <v>2195</v>
      </c>
      <c r="B2098" s="93"/>
      <c r="C2098" s="94" t="s">
        <v>3</v>
      </c>
      <c r="D2098" s="95"/>
    </row>
    <row r="2099" spans="1:4" ht="42.75" customHeight="1" thickBot="1">
      <c r="A2099" s="92">
        <v>2196</v>
      </c>
      <c r="B2099" s="93"/>
      <c r="C2099" s="96" t="s">
        <v>4</v>
      </c>
      <c r="D2099" s="97"/>
    </row>
    <row r="2100" spans="1:4" ht="42.75" customHeight="1" thickBot="1">
      <c r="A2100" s="98">
        <v>10</v>
      </c>
      <c r="B2100" s="99"/>
      <c r="C2100" s="100" t="s">
        <v>5</v>
      </c>
      <c r="D2100" s="97"/>
    </row>
    <row r="2101" spans="1:4" ht="42.75" customHeight="1" thickBot="1">
      <c r="A2101" s="101">
        <v>62</v>
      </c>
      <c r="B2101" s="102"/>
      <c r="C2101" s="96" t="s">
        <v>6</v>
      </c>
      <c r="D2101" s="97"/>
    </row>
    <row r="2102" spans="1:4" ht="42.75" customHeight="1" thickBot="1">
      <c r="A2102" s="103"/>
      <c r="B2102" s="104"/>
      <c r="C2102" s="96" t="s">
        <v>21</v>
      </c>
      <c r="D2102" s="97"/>
    </row>
    <row r="2103" spans="1:4" ht="42.75" customHeight="1" thickBot="1">
      <c r="A2103" s="105">
        <v>600</v>
      </c>
      <c r="B2103" s="106"/>
      <c r="C2103" s="96" t="s">
        <v>7</v>
      </c>
      <c r="D2103" s="97"/>
    </row>
    <row r="2104" spans="1:4" ht="42.75" customHeight="1" thickBot="1">
      <c r="A2104" s="107" t="s">
        <v>17</v>
      </c>
      <c r="B2104" s="108"/>
      <c r="C2104" s="108"/>
      <c r="D2104" s="109"/>
    </row>
    <row r="2105" spans="1:4" ht="42.75" customHeight="1" thickBot="1">
      <c r="A2105" s="110" t="s">
        <v>20</v>
      </c>
      <c r="B2105" s="111"/>
      <c r="C2105" s="111"/>
      <c r="D2105" s="112"/>
    </row>
    <row r="2106" spans="1:4" ht="42.75" customHeight="1" thickBot="1">
      <c r="A2106" s="113" t="s">
        <v>18</v>
      </c>
      <c r="B2106" s="114"/>
      <c r="C2106" s="114"/>
      <c r="D2106" s="115"/>
    </row>
    <row r="2107" spans="1:4" ht="42.75" customHeight="1" thickBot="1">
      <c r="A2107" s="126" t="s">
        <v>19</v>
      </c>
      <c r="B2107" s="127"/>
      <c r="C2107" s="127"/>
      <c r="D2107" s="128"/>
    </row>
    <row r="2108" spans="1:4" ht="42.75" customHeight="1" thickBot="1">
      <c r="A2108" s="123" t="s">
        <v>11</v>
      </c>
      <c r="B2108" s="124"/>
      <c r="C2108" s="125" t="s">
        <v>603</v>
      </c>
      <c r="D2108" s="124"/>
    </row>
    <row r="2109" spans="1:4" ht="42.75" customHeight="1" thickBot="1">
      <c r="A2109" s="1" t="s">
        <v>686</v>
      </c>
      <c r="B2109" s="26" t="s">
        <v>1</v>
      </c>
      <c r="C2109" s="90" t="s">
        <v>572</v>
      </c>
      <c r="D2109" s="91"/>
    </row>
    <row r="2110" spans="1:4" ht="42.75" customHeight="1" thickBot="1">
      <c r="A2110" s="26"/>
      <c r="B2110" s="26" t="s">
        <v>0</v>
      </c>
      <c r="C2110" s="5" t="s">
        <v>687</v>
      </c>
      <c r="D2110" s="4" t="s">
        <v>2</v>
      </c>
    </row>
    <row r="2111" spans="1:4" ht="42.75" customHeight="1" thickBot="1">
      <c r="A2111" s="92">
        <v>1675</v>
      </c>
      <c r="B2111" s="93"/>
      <c r="C2111" s="94" t="s">
        <v>3</v>
      </c>
      <c r="D2111" s="95"/>
    </row>
    <row r="2112" spans="1:4" ht="42.75" customHeight="1" thickBot="1">
      <c r="A2112" s="92">
        <v>1675</v>
      </c>
      <c r="B2112" s="93"/>
      <c r="C2112" s="96" t="s">
        <v>4</v>
      </c>
      <c r="D2112" s="97"/>
    </row>
    <row r="2113" spans="1:4" ht="42.75" customHeight="1" thickBot="1">
      <c r="A2113" s="98">
        <f>A2112-A2111</f>
        <v>0</v>
      </c>
      <c r="B2113" s="99"/>
      <c r="C2113" s="100" t="s">
        <v>5</v>
      </c>
      <c r="D2113" s="97"/>
    </row>
    <row r="2114" spans="1:4" ht="42.75" customHeight="1" thickBot="1">
      <c r="A2114" s="101">
        <v>62</v>
      </c>
      <c r="B2114" s="102"/>
      <c r="C2114" s="96" t="s">
        <v>6</v>
      </c>
      <c r="D2114" s="97"/>
    </row>
    <row r="2115" spans="1:4" ht="42.75" customHeight="1" thickBot="1">
      <c r="A2115" s="103"/>
      <c r="B2115" s="104"/>
      <c r="C2115" s="96" t="s">
        <v>21</v>
      </c>
      <c r="D2115" s="97"/>
    </row>
    <row r="2116" spans="1:4" ht="42.75" customHeight="1" thickBot="1">
      <c r="A2116" s="105">
        <f>A2114*A2113</f>
        <v>0</v>
      </c>
      <c r="B2116" s="106"/>
      <c r="C2116" s="96" t="s">
        <v>7</v>
      </c>
      <c r="D2116" s="97"/>
    </row>
    <row r="2117" spans="1:4" ht="42.75" customHeight="1" thickBot="1">
      <c r="A2117" s="107" t="s">
        <v>17</v>
      </c>
      <c r="B2117" s="108"/>
      <c r="C2117" s="108"/>
      <c r="D2117" s="109"/>
    </row>
    <row r="2118" spans="1:4" ht="42.75" customHeight="1" thickBot="1">
      <c r="A2118" s="116" t="s">
        <v>20</v>
      </c>
      <c r="B2118" s="117"/>
      <c r="C2118" s="117"/>
      <c r="D2118" s="118"/>
    </row>
    <row r="2119" spans="1:4" ht="42.75" customHeight="1" thickBot="1">
      <c r="A2119" s="113" t="s">
        <v>18</v>
      </c>
      <c r="B2119" s="114"/>
      <c r="C2119" s="114"/>
      <c r="D2119" s="115"/>
    </row>
    <row r="2120" spans="1:4" ht="42.75" customHeight="1" thickBot="1">
      <c r="A2120" s="119"/>
      <c r="B2120" s="119"/>
      <c r="C2120" s="119"/>
      <c r="D2120" s="119"/>
    </row>
    <row r="2121" spans="1:4" ht="42.75" customHeight="1" thickBot="1">
      <c r="A2121" s="126" t="s">
        <v>19</v>
      </c>
      <c r="B2121" s="127"/>
      <c r="C2121" s="127"/>
      <c r="D2121" s="128"/>
    </row>
    <row r="2122" spans="1:4" ht="42.75" customHeight="1" thickBot="1">
      <c r="A2122" s="123" t="s">
        <v>11</v>
      </c>
      <c r="B2122" s="124"/>
      <c r="C2122" s="125" t="s">
        <v>603</v>
      </c>
      <c r="D2122" s="124"/>
    </row>
    <row r="2123" spans="1:4" ht="42.75" customHeight="1" thickBot="1">
      <c r="A2123" s="1" t="s">
        <v>686</v>
      </c>
      <c r="B2123" s="26" t="s">
        <v>1</v>
      </c>
      <c r="C2123" s="90" t="s">
        <v>572</v>
      </c>
      <c r="D2123" s="91"/>
    </row>
    <row r="2124" spans="1:4" ht="42.75" customHeight="1" thickBot="1">
      <c r="A2124" s="26"/>
      <c r="B2124" s="26" t="s">
        <v>0</v>
      </c>
      <c r="C2124" s="5" t="s">
        <v>687</v>
      </c>
      <c r="D2124" s="4" t="s">
        <v>2</v>
      </c>
    </row>
    <row r="2125" spans="1:4" ht="42.75" customHeight="1" thickBot="1">
      <c r="A2125" s="92">
        <v>1655</v>
      </c>
      <c r="B2125" s="93"/>
      <c r="C2125" s="94" t="s">
        <v>3</v>
      </c>
      <c r="D2125" s="95"/>
    </row>
    <row r="2126" spans="1:4" ht="42.75" customHeight="1" thickBot="1">
      <c r="A2126" s="92">
        <v>1675</v>
      </c>
      <c r="B2126" s="93"/>
      <c r="C2126" s="96" t="s">
        <v>4</v>
      </c>
      <c r="D2126" s="97"/>
    </row>
    <row r="2127" spans="1:4" ht="42.75" customHeight="1" thickBot="1">
      <c r="A2127" s="98">
        <f>A2126-A2125</f>
        <v>20</v>
      </c>
      <c r="B2127" s="99"/>
      <c r="C2127" s="100" t="s">
        <v>5</v>
      </c>
      <c r="D2127" s="97"/>
    </row>
    <row r="2128" spans="1:4" ht="42.75" customHeight="1" thickBot="1">
      <c r="A2128" s="101">
        <v>62</v>
      </c>
      <c r="B2128" s="102"/>
      <c r="C2128" s="96" t="s">
        <v>6</v>
      </c>
      <c r="D2128" s="97"/>
    </row>
    <row r="2129" spans="1:4" ht="42.75" customHeight="1" thickBot="1">
      <c r="A2129" s="103"/>
      <c r="B2129" s="104"/>
      <c r="C2129" s="96" t="s">
        <v>21</v>
      </c>
      <c r="D2129" s="97"/>
    </row>
    <row r="2130" spans="1:4" ht="42.75" customHeight="1" thickBot="1">
      <c r="A2130" s="105">
        <v>1250</v>
      </c>
      <c r="B2130" s="106"/>
      <c r="C2130" s="96" t="s">
        <v>7</v>
      </c>
      <c r="D2130" s="97"/>
    </row>
    <row r="2131" spans="1:4" ht="42.75" customHeight="1" thickBot="1">
      <c r="A2131" s="107" t="s">
        <v>17</v>
      </c>
      <c r="B2131" s="108"/>
      <c r="C2131" s="108"/>
      <c r="D2131" s="109"/>
    </row>
    <row r="2132" spans="1:4" ht="42.75" customHeight="1" thickBot="1">
      <c r="A2132" s="110" t="s">
        <v>20</v>
      </c>
      <c r="B2132" s="111"/>
      <c r="C2132" s="111"/>
      <c r="D2132" s="112"/>
    </row>
    <row r="2133" spans="1:4" ht="42.75" customHeight="1" thickBot="1">
      <c r="A2133" s="113" t="s">
        <v>18</v>
      </c>
      <c r="B2133" s="114"/>
      <c r="C2133" s="114"/>
      <c r="D2133" s="115"/>
    </row>
    <row r="2134" spans="1:4" ht="42.75" customHeight="1" thickBot="1">
      <c r="A2134" s="126" t="s">
        <v>19</v>
      </c>
      <c r="B2134" s="127"/>
      <c r="C2134" s="127"/>
      <c r="D2134" s="128"/>
    </row>
    <row r="2135" spans="1:4" ht="42.75" customHeight="1" thickBot="1">
      <c r="A2135" s="123" t="s">
        <v>11</v>
      </c>
      <c r="B2135" s="124"/>
      <c r="C2135" s="125" t="s">
        <v>603</v>
      </c>
      <c r="D2135" s="124"/>
    </row>
    <row r="2136" spans="1:4" ht="42.75" customHeight="1" thickBot="1">
      <c r="A2136" s="1" t="s">
        <v>686</v>
      </c>
      <c r="B2136" s="26" t="s">
        <v>1</v>
      </c>
      <c r="C2136" s="90" t="s">
        <v>93</v>
      </c>
      <c r="D2136" s="91"/>
    </row>
    <row r="2137" spans="1:4" ht="42.75" customHeight="1" thickBot="1">
      <c r="A2137" s="26"/>
      <c r="B2137" s="26" t="s">
        <v>0</v>
      </c>
      <c r="C2137" s="5" t="s">
        <v>687</v>
      </c>
      <c r="D2137" s="4" t="s">
        <v>2</v>
      </c>
    </row>
    <row r="2138" spans="1:4" ht="42.75" customHeight="1" thickBot="1">
      <c r="A2138" s="92">
        <v>2970</v>
      </c>
      <c r="B2138" s="93"/>
      <c r="C2138" s="94" t="s">
        <v>3</v>
      </c>
      <c r="D2138" s="95"/>
    </row>
    <row r="2139" spans="1:4" ht="42.75" customHeight="1" thickBot="1">
      <c r="A2139" s="92">
        <v>2970</v>
      </c>
      <c r="B2139" s="93"/>
      <c r="C2139" s="96" t="s">
        <v>4</v>
      </c>
      <c r="D2139" s="97"/>
    </row>
    <row r="2140" spans="1:4" ht="42.75" customHeight="1" thickBot="1">
      <c r="A2140" s="98">
        <f>A2139-A2138</f>
        <v>0</v>
      </c>
      <c r="B2140" s="99"/>
      <c r="C2140" s="100" t="s">
        <v>5</v>
      </c>
      <c r="D2140" s="97"/>
    </row>
    <row r="2141" spans="1:4" ht="42.75" customHeight="1" thickBot="1">
      <c r="A2141" s="101">
        <v>62</v>
      </c>
      <c r="B2141" s="102"/>
      <c r="C2141" s="96" t="s">
        <v>6</v>
      </c>
      <c r="D2141" s="97"/>
    </row>
    <row r="2142" spans="1:4" ht="42.75" customHeight="1" thickBot="1">
      <c r="A2142" s="103"/>
      <c r="B2142" s="104"/>
      <c r="C2142" s="96" t="s">
        <v>21</v>
      </c>
      <c r="D2142" s="97"/>
    </row>
    <row r="2143" spans="1:4" ht="42.75" customHeight="1" thickBot="1">
      <c r="A2143" s="105">
        <f>A2141*A2140</f>
        <v>0</v>
      </c>
      <c r="B2143" s="106"/>
      <c r="C2143" s="96" t="s">
        <v>7</v>
      </c>
      <c r="D2143" s="97"/>
    </row>
    <row r="2144" spans="1:4" ht="42.75" customHeight="1" thickBot="1">
      <c r="A2144" s="107" t="s">
        <v>17</v>
      </c>
      <c r="B2144" s="108"/>
      <c r="C2144" s="108"/>
      <c r="D2144" s="109"/>
    </row>
    <row r="2145" spans="1:4" ht="42.75" customHeight="1" thickBot="1">
      <c r="A2145" s="116" t="s">
        <v>20</v>
      </c>
      <c r="B2145" s="117"/>
      <c r="C2145" s="117"/>
      <c r="D2145" s="118"/>
    </row>
    <row r="2146" spans="1:4" ht="42.75" customHeight="1" thickBot="1">
      <c r="A2146" s="113" t="s">
        <v>18</v>
      </c>
      <c r="B2146" s="114"/>
      <c r="C2146" s="114"/>
      <c r="D2146" s="115"/>
    </row>
    <row r="2147" spans="1:4" ht="42.75" customHeight="1" thickBot="1">
      <c r="A2147" s="119"/>
      <c r="B2147" s="119"/>
      <c r="C2147" s="119"/>
      <c r="D2147" s="119"/>
    </row>
    <row r="2148" spans="1:4" ht="42.75" customHeight="1" thickBot="1">
      <c r="A2148" s="126" t="s">
        <v>19</v>
      </c>
      <c r="B2148" s="127"/>
      <c r="C2148" s="127"/>
      <c r="D2148" s="128"/>
    </row>
    <row r="2149" spans="1:4" ht="42.75" customHeight="1" thickBot="1">
      <c r="A2149" s="123" t="s">
        <v>11</v>
      </c>
      <c r="B2149" s="124"/>
      <c r="C2149" s="125" t="s">
        <v>603</v>
      </c>
      <c r="D2149" s="124"/>
    </row>
    <row r="2150" spans="1:4" ht="42.75" customHeight="1" thickBot="1">
      <c r="A2150" s="1" t="s">
        <v>686</v>
      </c>
      <c r="B2150" s="26" t="s">
        <v>1</v>
      </c>
      <c r="C2150" s="90" t="s">
        <v>93</v>
      </c>
      <c r="D2150" s="91"/>
    </row>
    <row r="2151" spans="1:4" ht="42.75" customHeight="1" thickBot="1">
      <c r="A2151" s="26"/>
      <c r="B2151" s="26" t="s">
        <v>0</v>
      </c>
      <c r="C2151" s="5" t="s">
        <v>687</v>
      </c>
      <c r="D2151" s="4" t="s">
        <v>2</v>
      </c>
    </row>
    <row r="2152" spans="1:4" ht="42.75" customHeight="1" thickBot="1">
      <c r="A2152" s="92">
        <v>2960</v>
      </c>
      <c r="B2152" s="93"/>
      <c r="C2152" s="94" t="s">
        <v>3</v>
      </c>
      <c r="D2152" s="95"/>
    </row>
    <row r="2153" spans="1:4" ht="42.75" customHeight="1" thickBot="1">
      <c r="A2153" s="92">
        <v>2970</v>
      </c>
      <c r="B2153" s="93"/>
      <c r="C2153" s="96" t="s">
        <v>4</v>
      </c>
      <c r="D2153" s="97"/>
    </row>
    <row r="2154" spans="1:4" ht="42.75" customHeight="1" thickBot="1">
      <c r="A2154" s="98">
        <f>A2153-A2152</f>
        <v>10</v>
      </c>
      <c r="B2154" s="99"/>
      <c r="C2154" s="100" t="s">
        <v>5</v>
      </c>
      <c r="D2154" s="97"/>
    </row>
    <row r="2155" spans="1:4" ht="42.75" customHeight="1" thickBot="1">
      <c r="A2155" s="101">
        <v>62</v>
      </c>
      <c r="B2155" s="102"/>
      <c r="C2155" s="96" t="s">
        <v>6</v>
      </c>
      <c r="D2155" s="97"/>
    </row>
    <row r="2156" spans="1:4" ht="42.75" customHeight="1" thickBot="1">
      <c r="A2156" s="103"/>
      <c r="B2156" s="104"/>
      <c r="C2156" s="96" t="s">
        <v>21</v>
      </c>
      <c r="D2156" s="97"/>
    </row>
    <row r="2157" spans="1:4" ht="42.75" customHeight="1" thickBot="1">
      <c r="A2157" s="105">
        <v>600</v>
      </c>
      <c r="B2157" s="106"/>
      <c r="C2157" s="96" t="s">
        <v>7</v>
      </c>
      <c r="D2157" s="97"/>
    </row>
    <row r="2158" spans="1:4" ht="42.75" customHeight="1" thickBot="1">
      <c r="A2158" s="107" t="s">
        <v>17</v>
      </c>
      <c r="B2158" s="108"/>
      <c r="C2158" s="108"/>
      <c r="D2158" s="109"/>
    </row>
    <row r="2159" spans="1:4" ht="42.75" customHeight="1" thickBot="1">
      <c r="A2159" s="110" t="s">
        <v>20</v>
      </c>
      <c r="B2159" s="111"/>
      <c r="C2159" s="111"/>
      <c r="D2159" s="112"/>
    </row>
    <row r="2160" spans="1:4" ht="42.75" customHeight="1" thickBot="1">
      <c r="A2160" s="113" t="s">
        <v>18</v>
      </c>
      <c r="B2160" s="114"/>
      <c r="C2160" s="114"/>
      <c r="D2160" s="115"/>
    </row>
    <row r="2161" spans="1:4" ht="42.75" customHeight="1" thickBot="1">
      <c r="A2161" s="126" t="s">
        <v>19</v>
      </c>
      <c r="B2161" s="127"/>
      <c r="C2161" s="127"/>
      <c r="D2161" s="128"/>
    </row>
    <row r="2162" spans="1:4" ht="42.75" customHeight="1" thickBot="1">
      <c r="A2162" s="123" t="s">
        <v>11</v>
      </c>
      <c r="B2162" s="124"/>
      <c r="C2162" s="125" t="s">
        <v>603</v>
      </c>
      <c r="D2162" s="124"/>
    </row>
    <row r="2163" spans="1:4" ht="42.75" customHeight="1" thickBot="1">
      <c r="A2163" s="1" t="s">
        <v>686</v>
      </c>
      <c r="B2163" s="26" t="s">
        <v>1</v>
      </c>
      <c r="C2163" s="90" t="s">
        <v>651</v>
      </c>
      <c r="D2163" s="91"/>
    </row>
    <row r="2164" spans="1:4" ht="42.75" customHeight="1" thickBot="1">
      <c r="A2164" s="26"/>
      <c r="B2164" s="26" t="s">
        <v>0</v>
      </c>
      <c r="C2164" s="5" t="s">
        <v>687</v>
      </c>
      <c r="D2164" s="4" t="s">
        <v>2</v>
      </c>
    </row>
    <row r="2165" spans="1:4" ht="42.75" customHeight="1" thickBot="1">
      <c r="A2165" s="92">
        <v>370</v>
      </c>
      <c r="B2165" s="93"/>
      <c r="C2165" s="94" t="s">
        <v>3</v>
      </c>
      <c r="D2165" s="95"/>
    </row>
    <row r="2166" spans="1:4" ht="42.75" customHeight="1" thickBot="1">
      <c r="A2166" s="92">
        <v>370</v>
      </c>
      <c r="B2166" s="93"/>
      <c r="C2166" s="96" t="s">
        <v>4</v>
      </c>
      <c r="D2166" s="97"/>
    </row>
    <row r="2167" spans="1:4" ht="42.75" customHeight="1" thickBot="1">
      <c r="A2167" s="98">
        <f>A2166-A2165</f>
        <v>0</v>
      </c>
      <c r="B2167" s="99"/>
      <c r="C2167" s="100" t="s">
        <v>5</v>
      </c>
      <c r="D2167" s="97"/>
    </row>
    <row r="2168" spans="1:4" ht="42.75" customHeight="1" thickBot="1">
      <c r="A2168" s="101">
        <v>62</v>
      </c>
      <c r="B2168" s="102"/>
      <c r="C2168" s="96" t="s">
        <v>6</v>
      </c>
      <c r="D2168" s="97"/>
    </row>
    <row r="2169" spans="1:4" ht="42.75" customHeight="1" thickBot="1">
      <c r="A2169" s="103"/>
      <c r="B2169" s="104"/>
      <c r="C2169" s="96" t="s">
        <v>21</v>
      </c>
      <c r="D2169" s="97"/>
    </row>
    <row r="2170" spans="1:4" ht="42.75" customHeight="1" thickBot="1">
      <c r="A2170" s="105">
        <f>A2168*A2167</f>
        <v>0</v>
      </c>
      <c r="B2170" s="106"/>
      <c r="C2170" s="96" t="s">
        <v>7</v>
      </c>
      <c r="D2170" s="97"/>
    </row>
    <row r="2171" spans="1:4" ht="42.75" customHeight="1" thickBot="1">
      <c r="A2171" s="107" t="s">
        <v>17</v>
      </c>
      <c r="B2171" s="108"/>
      <c r="C2171" s="108"/>
      <c r="D2171" s="109"/>
    </row>
    <row r="2172" spans="1:4" ht="42.75" customHeight="1" thickBot="1">
      <c r="A2172" s="116" t="s">
        <v>20</v>
      </c>
      <c r="B2172" s="117"/>
      <c r="C2172" s="117"/>
      <c r="D2172" s="118"/>
    </row>
    <row r="2173" spans="1:4" ht="42.75" customHeight="1" thickBot="1">
      <c r="A2173" s="113" t="s">
        <v>18</v>
      </c>
      <c r="B2173" s="114"/>
      <c r="C2173" s="114"/>
      <c r="D2173" s="115"/>
    </row>
    <row r="2174" spans="1:4" ht="42.75" customHeight="1" thickBot="1">
      <c r="A2174" s="119"/>
      <c r="B2174" s="119"/>
      <c r="C2174" s="119"/>
      <c r="D2174" s="119"/>
    </row>
    <row r="2175" spans="1:4" ht="42.75" customHeight="1" thickBot="1">
      <c r="A2175" s="126" t="s">
        <v>19</v>
      </c>
      <c r="B2175" s="127"/>
      <c r="C2175" s="127"/>
      <c r="D2175" s="128"/>
    </row>
    <row r="2176" spans="1:4" ht="42.75" customHeight="1" thickBot="1">
      <c r="A2176" s="123" t="s">
        <v>11</v>
      </c>
      <c r="B2176" s="124"/>
      <c r="C2176" s="125" t="s">
        <v>603</v>
      </c>
      <c r="D2176" s="124"/>
    </row>
    <row r="2177" spans="1:4" ht="42.75" customHeight="1" thickBot="1">
      <c r="A2177" s="1" t="s">
        <v>686</v>
      </c>
      <c r="B2177" s="26" t="s">
        <v>1</v>
      </c>
      <c r="C2177" s="90" t="s">
        <v>651</v>
      </c>
      <c r="D2177" s="91"/>
    </row>
    <row r="2178" spans="1:4" ht="42.75" customHeight="1" thickBot="1">
      <c r="A2178" s="26"/>
      <c r="B2178" s="26" t="s">
        <v>0</v>
      </c>
      <c r="C2178" s="5" t="s">
        <v>687</v>
      </c>
      <c r="D2178" s="4" t="s">
        <v>2</v>
      </c>
    </row>
    <row r="2179" spans="1:4" ht="42.75" customHeight="1" thickBot="1">
      <c r="A2179" s="92">
        <v>355</v>
      </c>
      <c r="B2179" s="93"/>
      <c r="C2179" s="94" t="s">
        <v>3</v>
      </c>
      <c r="D2179" s="95"/>
    </row>
    <row r="2180" spans="1:4" ht="42.75" customHeight="1" thickBot="1">
      <c r="A2180" s="92">
        <v>370</v>
      </c>
      <c r="B2180" s="93"/>
      <c r="C2180" s="96" t="s">
        <v>4</v>
      </c>
      <c r="D2180" s="97"/>
    </row>
    <row r="2181" spans="1:4" ht="42.75" customHeight="1" thickBot="1">
      <c r="A2181" s="98">
        <f>A2180-A2179</f>
        <v>15</v>
      </c>
      <c r="B2181" s="99"/>
      <c r="C2181" s="100" t="s">
        <v>5</v>
      </c>
      <c r="D2181" s="97"/>
    </row>
    <row r="2182" spans="1:4" ht="42.75" customHeight="1" thickBot="1">
      <c r="A2182" s="101">
        <v>62</v>
      </c>
      <c r="B2182" s="102"/>
      <c r="C2182" s="96" t="s">
        <v>6</v>
      </c>
      <c r="D2182" s="97"/>
    </row>
    <row r="2183" spans="1:4" ht="42.75" customHeight="1" thickBot="1">
      <c r="A2183" s="103"/>
      <c r="B2183" s="104"/>
      <c r="C2183" s="96" t="s">
        <v>21</v>
      </c>
      <c r="D2183" s="97"/>
    </row>
    <row r="2184" spans="1:4" ht="42.75" customHeight="1" thickBot="1">
      <c r="A2184" s="105">
        <v>950</v>
      </c>
      <c r="B2184" s="106"/>
      <c r="C2184" s="96" t="s">
        <v>7</v>
      </c>
      <c r="D2184" s="97"/>
    </row>
    <row r="2185" spans="1:4" ht="42.75" customHeight="1" thickBot="1">
      <c r="A2185" s="107" t="s">
        <v>17</v>
      </c>
      <c r="B2185" s="108"/>
      <c r="C2185" s="108"/>
      <c r="D2185" s="109"/>
    </row>
    <row r="2186" spans="1:4" ht="42.75" customHeight="1" thickBot="1">
      <c r="A2186" s="110" t="s">
        <v>20</v>
      </c>
      <c r="B2186" s="111"/>
      <c r="C2186" s="111"/>
      <c r="D2186" s="112"/>
    </row>
    <row r="2187" spans="1:4" ht="42.75" customHeight="1" thickBot="1">
      <c r="A2187" s="113" t="s">
        <v>18</v>
      </c>
      <c r="B2187" s="114"/>
      <c r="C2187" s="114"/>
      <c r="D2187" s="115"/>
    </row>
    <row r="2188" spans="1:4" ht="42.75" customHeight="1" thickBot="1">
      <c r="A2188" s="126" t="s">
        <v>19</v>
      </c>
      <c r="B2188" s="127"/>
      <c r="C2188" s="127"/>
      <c r="D2188" s="128"/>
    </row>
    <row r="2189" spans="1:4" ht="42.75" customHeight="1" thickBot="1">
      <c r="A2189" s="123" t="s">
        <v>11</v>
      </c>
      <c r="B2189" s="124"/>
      <c r="C2189" s="125" t="s">
        <v>603</v>
      </c>
      <c r="D2189" s="124"/>
    </row>
    <row r="2190" spans="1:4" ht="42.75" customHeight="1" thickBot="1">
      <c r="A2190" s="1" t="s">
        <v>686</v>
      </c>
      <c r="B2190" s="26" t="s">
        <v>1</v>
      </c>
      <c r="C2190" s="90" t="s">
        <v>625</v>
      </c>
      <c r="D2190" s="91"/>
    </row>
    <row r="2191" spans="1:4" ht="42.75" customHeight="1" thickBot="1">
      <c r="A2191" s="26"/>
      <c r="B2191" s="26" t="s">
        <v>0</v>
      </c>
      <c r="C2191" s="5" t="s">
        <v>687</v>
      </c>
      <c r="D2191" s="4" t="s">
        <v>2</v>
      </c>
    </row>
    <row r="2192" spans="1:4" ht="42.75" customHeight="1" thickBot="1">
      <c r="A2192" s="92">
        <v>120</v>
      </c>
      <c r="B2192" s="93"/>
      <c r="C2192" s="94" t="s">
        <v>3</v>
      </c>
      <c r="D2192" s="95"/>
    </row>
    <row r="2193" spans="1:4" ht="42.75" customHeight="1" thickBot="1">
      <c r="A2193" s="92">
        <v>120</v>
      </c>
      <c r="B2193" s="93"/>
      <c r="C2193" s="96" t="s">
        <v>4</v>
      </c>
      <c r="D2193" s="97"/>
    </row>
    <row r="2194" spans="1:4" ht="42.75" customHeight="1" thickBot="1">
      <c r="A2194" s="98">
        <f>A2193-A2192</f>
        <v>0</v>
      </c>
      <c r="B2194" s="99"/>
      <c r="C2194" s="100" t="s">
        <v>5</v>
      </c>
      <c r="D2194" s="97"/>
    </row>
    <row r="2195" spans="1:4" ht="42.75" customHeight="1" thickBot="1">
      <c r="A2195" s="101">
        <v>62</v>
      </c>
      <c r="B2195" s="102"/>
      <c r="C2195" s="96" t="s">
        <v>6</v>
      </c>
      <c r="D2195" s="97"/>
    </row>
    <row r="2196" spans="1:4" ht="42.75" customHeight="1" thickBot="1">
      <c r="A2196" s="103"/>
      <c r="B2196" s="104"/>
      <c r="C2196" s="96" t="s">
        <v>21</v>
      </c>
      <c r="D2196" s="97"/>
    </row>
    <row r="2197" spans="1:4" ht="42.75" customHeight="1" thickBot="1">
      <c r="A2197" s="105">
        <f>A2195*A2194</f>
        <v>0</v>
      </c>
      <c r="B2197" s="106"/>
      <c r="C2197" s="96" t="s">
        <v>7</v>
      </c>
      <c r="D2197" s="97"/>
    </row>
    <row r="2198" spans="1:4" ht="42.75" customHeight="1" thickBot="1">
      <c r="A2198" s="107" t="s">
        <v>17</v>
      </c>
      <c r="B2198" s="108"/>
      <c r="C2198" s="108"/>
      <c r="D2198" s="109"/>
    </row>
    <row r="2199" spans="1:4" ht="42.75" customHeight="1" thickBot="1">
      <c r="A2199" s="116" t="s">
        <v>20</v>
      </c>
      <c r="B2199" s="117"/>
      <c r="C2199" s="117"/>
      <c r="D2199" s="118"/>
    </row>
    <row r="2200" spans="1:4" ht="42.75" customHeight="1" thickBot="1">
      <c r="A2200" s="113" t="s">
        <v>18</v>
      </c>
      <c r="B2200" s="114"/>
      <c r="C2200" s="114"/>
      <c r="D2200" s="115"/>
    </row>
    <row r="2201" spans="1:4" ht="42.75" customHeight="1" thickBot="1">
      <c r="A2201" s="119"/>
      <c r="B2201" s="119"/>
      <c r="C2201" s="119"/>
      <c r="D2201" s="119"/>
    </row>
    <row r="2202" spans="1:4" ht="42.75" customHeight="1" thickBot="1">
      <c r="A2202" s="126" t="s">
        <v>19</v>
      </c>
      <c r="B2202" s="127"/>
      <c r="C2202" s="127"/>
      <c r="D2202" s="128"/>
    </row>
    <row r="2203" spans="1:4" ht="42.75" customHeight="1" thickBot="1">
      <c r="A2203" s="123" t="s">
        <v>11</v>
      </c>
      <c r="B2203" s="124"/>
      <c r="C2203" s="125" t="s">
        <v>603</v>
      </c>
      <c r="D2203" s="124"/>
    </row>
    <row r="2204" spans="1:4" ht="42.75" customHeight="1" thickBot="1">
      <c r="A2204" s="1" t="s">
        <v>686</v>
      </c>
      <c r="B2204" s="26" t="s">
        <v>1</v>
      </c>
      <c r="C2204" s="90" t="s">
        <v>625</v>
      </c>
      <c r="D2204" s="91"/>
    </row>
    <row r="2205" spans="1:4" ht="42.75" customHeight="1" thickBot="1">
      <c r="A2205" s="26"/>
      <c r="B2205" s="26" t="s">
        <v>0</v>
      </c>
      <c r="C2205" s="5" t="s">
        <v>687</v>
      </c>
      <c r="D2205" s="4" t="s">
        <v>2</v>
      </c>
    </row>
    <row r="2206" spans="1:4" ht="42.75" customHeight="1" thickBot="1">
      <c r="A2206" s="92">
        <v>110</v>
      </c>
      <c r="B2206" s="93"/>
      <c r="C2206" s="94" t="s">
        <v>3</v>
      </c>
      <c r="D2206" s="95"/>
    </row>
    <row r="2207" spans="1:4" ht="42.75" customHeight="1" thickBot="1">
      <c r="A2207" s="92">
        <v>120</v>
      </c>
      <c r="B2207" s="93"/>
      <c r="C2207" s="96" t="s">
        <v>4</v>
      </c>
      <c r="D2207" s="97"/>
    </row>
    <row r="2208" spans="1:4" ht="42.75" customHeight="1" thickBot="1">
      <c r="A2208" s="98">
        <f>A2207-A2206</f>
        <v>10</v>
      </c>
      <c r="B2208" s="99"/>
      <c r="C2208" s="100" t="s">
        <v>5</v>
      </c>
      <c r="D2208" s="97"/>
    </row>
    <row r="2209" spans="1:4" ht="42.75" customHeight="1" thickBot="1">
      <c r="A2209" s="101">
        <v>62</v>
      </c>
      <c r="B2209" s="102"/>
      <c r="C2209" s="96" t="s">
        <v>6</v>
      </c>
      <c r="D2209" s="97"/>
    </row>
    <row r="2210" spans="1:4" ht="42.75" customHeight="1" thickBot="1">
      <c r="A2210" s="103"/>
      <c r="B2210" s="104"/>
      <c r="C2210" s="96" t="s">
        <v>21</v>
      </c>
      <c r="D2210" s="97"/>
    </row>
    <row r="2211" spans="1:4" ht="42.75" customHeight="1" thickBot="1">
      <c r="A2211" s="105">
        <v>600</v>
      </c>
      <c r="B2211" s="106"/>
      <c r="C2211" s="96" t="s">
        <v>7</v>
      </c>
      <c r="D2211" s="97"/>
    </row>
    <row r="2212" spans="1:4" ht="42.75" customHeight="1" thickBot="1">
      <c r="A2212" s="107" t="s">
        <v>17</v>
      </c>
      <c r="B2212" s="108"/>
      <c r="C2212" s="108"/>
      <c r="D2212" s="109"/>
    </row>
    <row r="2213" spans="1:4" ht="42.75" customHeight="1" thickBot="1">
      <c r="A2213" s="110" t="s">
        <v>20</v>
      </c>
      <c r="B2213" s="111"/>
      <c r="C2213" s="111"/>
      <c r="D2213" s="112"/>
    </row>
    <row r="2214" spans="1:4" ht="42.75" customHeight="1" thickBot="1">
      <c r="A2214" s="113" t="s">
        <v>18</v>
      </c>
      <c r="B2214" s="114"/>
      <c r="C2214" s="114"/>
      <c r="D2214" s="115"/>
    </row>
    <row r="2215" spans="1:4" ht="42.75" customHeight="1" thickBot="1">
      <c r="A2215" s="126" t="s">
        <v>19</v>
      </c>
      <c r="B2215" s="127"/>
      <c r="C2215" s="127"/>
      <c r="D2215" s="128"/>
    </row>
    <row r="2216" spans="1:4" ht="42.75" customHeight="1" thickBot="1">
      <c r="A2216" s="123" t="s">
        <v>11</v>
      </c>
      <c r="B2216" s="124"/>
      <c r="C2216" s="125" t="s">
        <v>603</v>
      </c>
      <c r="D2216" s="124"/>
    </row>
    <row r="2217" spans="1:4" ht="42.75" customHeight="1" thickBot="1">
      <c r="A2217" s="1" t="s">
        <v>686</v>
      </c>
      <c r="B2217" s="26" t="s">
        <v>1</v>
      </c>
      <c r="C2217" s="90" t="s">
        <v>94</v>
      </c>
      <c r="D2217" s="91"/>
    </row>
    <row r="2218" spans="1:4" ht="42.75" customHeight="1" thickBot="1">
      <c r="A2218" s="26"/>
      <c r="B2218" s="26" t="s">
        <v>0</v>
      </c>
      <c r="C2218" s="5" t="s">
        <v>687</v>
      </c>
      <c r="D2218" s="4" t="s">
        <v>2</v>
      </c>
    </row>
    <row r="2219" spans="1:4" ht="42.75" customHeight="1" thickBot="1">
      <c r="A2219" s="92">
        <v>1454</v>
      </c>
      <c r="B2219" s="93"/>
      <c r="C2219" s="94" t="s">
        <v>3</v>
      </c>
      <c r="D2219" s="95"/>
    </row>
    <row r="2220" spans="1:4" ht="42.75" customHeight="1" thickBot="1">
      <c r="A2220" s="92">
        <v>1454</v>
      </c>
      <c r="B2220" s="93"/>
      <c r="C2220" s="96" t="s">
        <v>4</v>
      </c>
      <c r="D2220" s="97"/>
    </row>
    <row r="2221" spans="1:4" ht="42.75" customHeight="1" thickBot="1">
      <c r="A2221" s="98">
        <f>A2220-A2219</f>
        <v>0</v>
      </c>
      <c r="B2221" s="99"/>
      <c r="C2221" s="100" t="s">
        <v>5</v>
      </c>
      <c r="D2221" s="97"/>
    </row>
    <row r="2222" spans="1:4" ht="42.75" customHeight="1" thickBot="1">
      <c r="A2222" s="101">
        <v>62</v>
      </c>
      <c r="B2222" s="102"/>
      <c r="C2222" s="96" t="s">
        <v>6</v>
      </c>
      <c r="D2222" s="97"/>
    </row>
    <row r="2223" spans="1:4" ht="42.75" customHeight="1" thickBot="1">
      <c r="A2223" s="103"/>
      <c r="B2223" s="104"/>
      <c r="C2223" s="96" t="s">
        <v>21</v>
      </c>
      <c r="D2223" s="97"/>
    </row>
    <row r="2224" spans="1:4" ht="42.75" customHeight="1" thickBot="1">
      <c r="A2224" s="105">
        <f>A2222*A2221</f>
        <v>0</v>
      </c>
      <c r="B2224" s="106"/>
      <c r="C2224" s="96" t="s">
        <v>7</v>
      </c>
      <c r="D2224" s="97"/>
    </row>
    <row r="2225" spans="1:4" ht="42.75" customHeight="1" thickBot="1">
      <c r="A2225" s="107" t="s">
        <v>17</v>
      </c>
      <c r="B2225" s="108"/>
      <c r="C2225" s="108"/>
      <c r="D2225" s="109"/>
    </row>
    <row r="2226" spans="1:4" ht="42.75" customHeight="1" thickBot="1">
      <c r="A2226" s="116" t="s">
        <v>20</v>
      </c>
      <c r="B2226" s="117"/>
      <c r="C2226" s="117"/>
      <c r="D2226" s="118"/>
    </row>
    <row r="2227" spans="1:4" ht="42.75" customHeight="1" thickBot="1">
      <c r="A2227" s="113" t="s">
        <v>18</v>
      </c>
      <c r="B2227" s="114"/>
      <c r="C2227" s="114"/>
      <c r="D2227" s="115"/>
    </row>
    <row r="2228" spans="1:4" ht="42.75" customHeight="1" thickBot="1">
      <c r="A2228" s="119"/>
      <c r="B2228" s="119"/>
      <c r="C2228" s="119"/>
      <c r="D2228" s="119"/>
    </row>
    <row r="2229" spans="1:4" ht="42.75" customHeight="1" thickBot="1">
      <c r="A2229" s="126" t="s">
        <v>19</v>
      </c>
      <c r="B2229" s="127"/>
      <c r="C2229" s="127"/>
      <c r="D2229" s="128"/>
    </row>
    <row r="2230" spans="1:4" ht="42.75" customHeight="1" thickBot="1">
      <c r="A2230" s="123" t="s">
        <v>11</v>
      </c>
      <c r="B2230" s="124"/>
      <c r="C2230" s="125" t="s">
        <v>603</v>
      </c>
      <c r="D2230" s="124"/>
    </row>
    <row r="2231" spans="1:4" ht="42.75" customHeight="1" thickBot="1">
      <c r="A2231" s="1" t="s">
        <v>686</v>
      </c>
      <c r="B2231" s="26" t="s">
        <v>1</v>
      </c>
      <c r="C2231" s="90" t="s">
        <v>94</v>
      </c>
      <c r="D2231" s="91"/>
    </row>
    <row r="2232" spans="1:4" ht="42.75" customHeight="1" thickBot="1">
      <c r="A2232" s="26"/>
      <c r="B2232" s="26" t="s">
        <v>0</v>
      </c>
      <c r="C2232" s="5" t="s">
        <v>687</v>
      </c>
      <c r="D2232" s="4" t="s">
        <v>2</v>
      </c>
    </row>
    <row r="2233" spans="1:4" ht="42.75" customHeight="1" thickBot="1">
      <c r="A2233" s="92">
        <v>1389</v>
      </c>
      <c r="B2233" s="93"/>
      <c r="C2233" s="94" t="s">
        <v>3</v>
      </c>
      <c r="D2233" s="95"/>
    </row>
    <row r="2234" spans="1:4" ht="42.75" customHeight="1" thickBot="1">
      <c r="A2234" s="92">
        <v>1454</v>
      </c>
      <c r="B2234" s="93"/>
      <c r="C2234" s="96" t="s">
        <v>4</v>
      </c>
      <c r="D2234" s="97"/>
    </row>
    <row r="2235" spans="1:4" ht="42.75" customHeight="1" thickBot="1">
      <c r="A2235" s="98">
        <f>A2234-A2233</f>
        <v>65</v>
      </c>
      <c r="B2235" s="99"/>
      <c r="C2235" s="100" t="s">
        <v>5</v>
      </c>
      <c r="D2235" s="97"/>
    </row>
    <row r="2236" spans="1:4" ht="42.75" customHeight="1" thickBot="1">
      <c r="A2236" s="101">
        <v>62</v>
      </c>
      <c r="B2236" s="102"/>
      <c r="C2236" s="96" t="s">
        <v>6</v>
      </c>
      <c r="D2236" s="97"/>
    </row>
    <row r="2237" spans="1:4" ht="42.75" customHeight="1" thickBot="1">
      <c r="A2237" s="103"/>
      <c r="B2237" s="104"/>
      <c r="C2237" s="96" t="s">
        <v>21</v>
      </c>
      <c r="D2237" s="97"/>
    </row>
    <row r="2238" spans="1:4" ht="42.75" customHeight="1" thickBot="1">
      <c r="A2238" s="105">
        <v>4000</v>
      </c>
      <c r="B2238" s="106"/>
      <c r="C2238" s="96" t="s">
        <v>7</v>
      </c>
      <c r="D2238" s="97"/>
    </row>
    <row r="2239" spans="1:4" ht="42.75" customHeight="1" thickBot="1">
      <c r="A2239" s="107" t="s">
        <v>17</v>
      </c>
      <c r="B2239" s="108"/>
      <c r="C2239" s="108"/>
      <c r="D2239" s="109"/>
    </row>
    <row r="2240" spans="1:4" ht="42.75" customHeight="1" thickBot="1">
      <c r="A2240" s="110" t="s">
        <v>20</v>
      </c>
      <c r="B2240" s="111"/>
      <c r="C2240" s="111"/>
      <c r="D2240" s="112"/>
    </row>
    <row r="2241" spans="1:4" ht="42.75" customHeight="1" thickBot="1">
      <c r="A2241" s="113" t="s">
        <v>18</v>
      </c>
      <c r="B2241" s="114"/>
      <c r="C2241" s="114"/>
      <c r="D2241" s="115"/>
    </row>
    <row r="2242" spans="1:4" ht="42.75" customHeight="1" thickBot="1">
      <c r="A2242" s="126" t="s">
        <v>19</v>
      </c>
      <c r="B2242" s="127"/>
      <c r="C2242" s="127"/>
      <c r="D2242" s="128"/>
    </row>
    <row r="2243" spans="1:4" ht="42.75" customHeight="1" thickBot="1">
      <c r="A2243" s="123" t="s">
        <v>11</v>
      </c>
      <c r="B2243" s="124"/>
      <c r="C2243" s="125" t="s">
        <v>603</v>
      </c>
      <c r="D2243" s="124"/>
    </row>
    <row r="2244" spans="1:4" ht="42.75" customHeight="1" thickBot="1">
      <c r="A2244" s="1" t="s">
        <v>686</v>
      </c>
      <c r="B2244" s="26" t="s">
        <v>1</v>
      </c>
      <c r="C2244" s="90" t="s">
        <v>95</v>
      </c>
      <c r="D2244" s="91"/>
    </row>
    <row r="2245" spans="1:4" ht="42.75" customHeight="1" thickBot="1">
      <c r="A2245" s="26"/>
      <c r="B2245" s="26" t="s">
        <v>0</v>
      </c>
      <c r="C2245" s="5" t="s">
        <v>687</v>
      </c>
      <c r="D2245" s="4" t="s">
        <v>2</v>
      </c>
    </row>
    <row r="2246" spans="1:4" ht="42.75" customHeight="1" thickBot="1">
      <c r="A2246" s="92">
        <v>690</v>
      </c>
      <c r="B2246" s="93"/>
      <c r="C2246" s="94" t="s">
        <v>3</v>
      </c>
      <c r="D2246" s="95"/>
    </row>
    <row r="2247" spans="1:4" ht="42.75" customHeight="1" thickBot="1">
      <c r="A2247" s="92">
        <v>690</v>
      </c>
      <c r="B2247" s="93"/>
      <c r="C2247" s="96" t="s">
        <v>4</v>
      </c>
      <c r="D2247" s="97"/>
    </row>
    <row r="2248" spans="1:4" ht="42.75" customHeight="1" thickBot="1">
      <c r="A2248" s="98">
        <f>A2247-A2246</f>
        <v>0</v>
      </c>
      <c r="B2248" s="99"/>
      <c r="C2248" s="100" t="s">
        <v>5</v>
      </c>
      <c r="D2248" s="97"/>
    </row>
    <row r="2249" spans="1:4" ht="42.75" customHeight="1" thickBot="1">
      <c r="A2249" s="101">
        <v>62</v>
      </c>
      <c r="B2249" s="102"/>
      <c r="C2249" s="96" t="s">
        <v>6</v>
      </c>
      <c r="D2249" s="97"/>
    </row>
    <row r="2250" spans="1:4" ht="42.75" customHeight="1" thickBot="1">
      <c r="A2250" s="103"/>
      <c r="B2250" s="104"/>
      <c r="C2250" s="96" t="s">
        <v>21</v>
      </c>
      <c r="D2250" s="97"/>
    </row>
    <row r="2251" spans="1:4" ht="42.75" customHeight="1" thickBot="1">
      <c r="A2251" s="105">
        <f>A2249*A2248</f>
        <v>0</v>
      </c>
      <c r="B2251" s="106"/>
      <c r="C2251" s="96" t="s">
        <v>7</v>
      </c>
      <c r="D2251" s="97"/>
    </row>
    <row r="2252" spans="1:4" ht="42.75" customHeight="1" thickBot="1">
      <c r="A2252" s="107" t="s">
        <v>17</v>
      </c>
      <c r="B2252" s="108"/>
      <c r="C2252" s="108"/>
      <c r="D2252" s="109"/>
    </row>
    <row r="2253" spans="1:4" ht="42.75" customHeight="1" thickBot="1">
      <c r="A2253" s="116" t="s">
        <v>20</v>
      </c>
      <c r="B2253" s="117"/>
      <c r="C2253" s="117"/>
      <c r="D2253" s="118"/>
    </row>
    <row r="2254" spans="1:4" ht="42.75" customHeight="1" thickBot="1">
      <c r="A2254" s="113" t="s">
        <v>18</v>
      </c>
      <c r="B2254" s="114"/>
      <c r="C2254" s="114"/>
      <c r="D2254" s="115"/>
    </row>
    <row r="2255" spans="1:4" ht="42.75" customHeight="1" thickBot="1">
      <c r="A2255" s="119"/>
      <c r="B2255" s="119"/>
      <c r="C2255" s="119"/>
      <c r="D2255" s="119"/>
    </row>
    <row r="2256" spans="1:4" ht="42.75" customHeight="1" thickBot="1">
      <c r="A2256" s="126" t="s">
        <v>19</v>
      </c>
      <c r="B2256" s="127"/>
      <c r="C2256" s="127"/>
      <c r="D2256" s="128"/>
    </row>
    <row r="2257" spans="1:4" ht="42.75" customHeight="1" thickBot="1">
      <c r="A2257" s="123" t="s">
        <v>11</v>
      </c>
      <c r="B2257" s="124"/>
      <c r="C2257" s="125" t="s">
        <v>603</v>
      </c>
      <c r="D2257" s="124"/>
    </row>
    <row r="2258" spans="1:4" ht="42.75" customHeight="1" thickBot="1">
      <c r="A2258" s="1" t="s">
        <v>686</v>
      </c>
      <c r="B2258" s="26" t="s">
        <v>1</v>
      </c>
      <c r="C2258" s="90" t="s">
        <v>95</v>
      </c>
      <c r="D2258" s="91"/>
    </row>
    <row r="2259" spans="1:4" ht="42.75" customHeight="1" thickBot="1">
      <c r="A2259" s="26"/>
      <c r="B2259" s="26" t="s">
        <v>0</v>
      </c>
      <c r="C2259" s="5" t="s">
        <v>687</v>
      </c>
      <c r="D2259" s="4" t="s">
        <v>2</v>
      </c>
    </row>
    <row r="2260" spans="1:4" ht="42.75" customHeight="1" thickBot="1">
      <c r="A2260" s="92">
        <v>672</v>
      </c>
      <c r="B2260" s="93"/>
      <c r="C2260" s="94" t="s">
        <v>3</v>
      </c>
      <c r="D2260" s="95"/>
    </row>
    <row r="2261" spans="1:4" ht="42.75" customHeight="1" thickBot="1">
      <c r="A2261" s="92">
        <v>690</v>
      </c>
      <c r="B2261" s="93"/>
      <c r="C2261" s="96" t="s">
        <v>4</v>
      </c>
      <c r="D2261" s="97"/>
    </row>
    <row r="2262" spans="1:4" ht="42.75" customHeight="1" thickBot="1">
      <c r="A2262" s="98">
        <f>A2261-A2260</f>
        <v>18</v>
      </c>
      <c r="B2262" s="99"/>
      <c r="C2262" s="100" t="s">
        <v>5</v>
      </c>
      <c r="D2262" s="97"/>
    </row>
    <row r="2263" spans="1:4" ht="42.75" customHeight="1" thickBot="1">
      <c r="A2263" s="101">
        <v>62</v>
      </c>
      <c r="B2263" s="102"/>
      <c r="C2263" s="96" t="s">
        <v>6</v>
      </c>
      <c r="D2263" s="97"/>
    </row>
    <row r="2264" spans="1:4" ht="42.75" customHeight="1" thickBot="1">
      <c r="A2264" s="103"/>
      <c r="B2264" s="104"/>
      <c r="C2264" s="96" t="s">
        <v>21</v>
      </c>
      <c r="D2264" s="97"/>
    </row>
    <row r="2265" spans="1:4" ht="42.75" customHeight="1" thickBot="1">
      <c r="A2265" s="105">
        <v>1100</v>
      </c>
      <c r="B2265" s="106"/>
      <c r="C2265" s="96" t="s">
        <v>7</v>
      </c>
      <c r="D2265" s="97"/>
    </row>
    <row r="2266" spans="1:4" ht="42.75" customHeight="1" thickBot="1">
      <c r="A2266" s="107" t="s">
        <v>17</v>
      </c>
      <c r="B2266" s="108"/>
      <c r="C2266" s="108"/>
      <c r="D2266" s="109"/>
    </row>
    <row r="2267" spans="1:4" ht="42.75" customHeight="1" thickBot="1">
      <c r="A2267" s="110" t="s">
        <v>20</v>
      </c>
      <c r="B2267" s="111"/>
      <c r="C2267" s="111"/>
      <c r="D2267" s="112"/>
    </row>
    <row r="2268" spans="1:4" ht="42.75" customHeight="1" thickBot="1">
      <c r="A2268" s="113" t="s">
        <v>18</v>
      </c>
      <c r="B2268" s="114"/>
      <c r="C2268" s="114"/>
      <c r="D2268" s="115"/>
    </row>
    <row r="2269" spans="1:4" ht="42.75" customHeight="1" thickBot="1">
      <c r="A2269" s="126" t="s">
        <v>19</v>
      </c>
      <c r="B2269" s="127"/>
      <c r="C2269" s="127"/>
      <c r="D2269" s="128"/>
    </row>
    <row r="2270" spans="1:4" ht="42.75" customHeight="1" thickBot="1">
      <c r="A2270" s="123" t="s">
        <v>11</v>
      </c>
      <c r="B2270" s="124"/>
      <c r="C2270" s="125" t="s">
        <v>603</v>
      </c>
      <c r="D2270" s="124"/>
    </row>
    <row r="2271" spans="1:4" ht="42.75" customHeight="1" thickBot="1">
      <c r="A2271" s="1" t="s">
        <v>686</v>
      </c>
      <c r="B2271" s="26" t="s">
        <v>1</v>
      </c>
      <c r="C2271" s="90" t="s">
        <v>96</v>
      </c>
      <c r="D2271" s="91"/>
    </row>
    <row r="2272" spans="1:4" ht="42.75" customHeight="1" thickBot="1">
      <c r="A2272" s="26"/>
      <c r="B2272" s="26" t="s">
        <v>0</v>
      </c>
      <c r="C2272" s="5" t="s">
        <v>687</v>
      </c>
      <c r="D2272" s="4" t="s">
        <v>2</v>
      </c>
    </row>
    <row r="2273" spans="1:4" ht="42.75" customHeight="1" thickBot="1">
      <c r="A2273" s="92">
        <v>272</v>
      </c>
      <c r="B2273" s="93"/>
      <c r="C2273" s="94" t="s">
        <v>3</v>
      </c>
      <c r="D2273" s="95"/>
    </row>
    <row r="2274" spans="1:4" ht="42.75" customHeight="1" thickBot="1">
      <c r="A2274" s="92">
        <v>272</v>
      </c>
      <c r="B2274" s="93"/>
      <c r="C2274" s="96" t="s">
        <v>4</v>
      </c>
      <c r="D2274" s="97"/>
    </row>
    <row r="2275" spans="1:4" ht="42.75" customHeight="1" thickBot="1">
      <c r="A2275" s="98">
        <f>A2274-A2273</f>
        <v>0</v>
      </c>
      <c r="B2275" s="99"/>
      <c r="C2275" s="100" t="s">
        <v>5</v>
      </c>
      <c r="D2275" s="97"/>
    </row>
    <row r="2276" spans="1:4" ht="42.75" customHeight="1" thickBot="1">
      <c r="A2276" s="101">
        <v>62</v>
      </c>
      <c r="B2276" s="102"/>
      <c r="C2276" s="96" t="s">
        <v>6</v>
      </c>
      <c r="D2276" s="97"/>
    </row>
    <row r="2277" spans="1:4" ht="42.75" customHeight="1" thickBot="1">
      <c r="A2277" s="103"/>
      <c r="B2277" s="104"/>
      <c r="C2277" s="96" t="s">
        <v>21</v>
      </c>
      <c r="D2277" s="97"/>
    </row>
    <row r="2278" spans="1:4" ht="42.75" customHeight="1" thickBot="1">
      <c r="A2278" s="105">
        <f>A2276*A2275</f>
        <v>0</v>
      </c>
      <c r="B2278" s="106"/>
      <c r="C2278" s="96" t="s">
        <v>7</v>
      </c>
      <c r="D2278" s="97"/>
    </row>
    <row r="2279" spans="1:4" ht="42.75" customHeight="1" thickBot="1">
      <c r="A2279" s="107" t="s">
        <v>17</v>
      </c>
      <c r="B2279" s="108"/>
      <c r="C2279" s="108"/>
      <c r="D2279" s="109"/>
    </row>
    <row r="2280" spans="1:4" ht="42.75" customHeight="1" thickBot="1">
      <c r="A2280" s="116" t="s">
        <v>20</v>
      </c>
      <c r="B2280" s="117"/>
      <c r="C2280" s="117"/>
      <c r="D2280" s="118"/>
    </row>
    <row r="2281" spans="1:4" ht="42.75" customHeight="1" thickBot="1">
      <c r="A2281" s="113" t="s">
        <v>18</v>
      </c>
      <c r="B2281" s="114"/>
      <c r="C2281" s="114"/>
      <c r="D2281" s="115"/>
    </row>
    <row r="2282" spans="1:4" ht="42.75" customHeight="1" thickBot="1">
      <c r="A2282" s="119"/>
      <c r="B2282" s="119"/>
      <c r="C2282" s="119"/>
      <c r="D2282" s="119"/>
    </row>
    <row r="2283" spans="1:4" ht="42.75" customHeight="1" thickBot="1">
      <c r="A2283" s="126" t="s">
        <v>19</v>
      </c>
      <c r="B2283" s="127"/>
      <c r="C2283" s="127"/>
      <c r="D2283" s="128"/>
    </row>
    <row r="2284" spans="1:4" ht="42.75" customHeight="1" thickBot="1">
      <c r="A2284" s="123" t="s">
        <v>11</v>
      </c>
      <c r="B2284" s="124"/>
      <c r="C2284" s="125" t="s">
        <v>603</v>
      </c>
      <c r="D2284" s="124"/>
    </row>
    <row r="2285" spans="1:4" ht="42.75" customHeight="1" thickBot="1">
      <c r="A2285" s="1" t="s">
        <v>686</v>
      </c>
      <c r="B2285" s="26" t="s">
        <v>1</v>
      </c>
      <c r="C2285" s="90" t="s">
        <v>96</v>
      </c>
      <c r="D2285" s="91"/>
    </row>
    <row r="2286" spans="1:4" ht="42.75" customHeight="1" thickBot="1">
      <c r="A2286" s="26"/>
      <c r="B2286" s="26" t="s">
        <v>0</v>
      </c>
      <c r="C2286" s="5" t="s">
        <v>687</v>
      </c>
      <c r="D2286" s="4" t="s">
        <v>2</v>
      </c>
    </row>
    <row r="2287" spans="1:4" ht="42.75" customHeight="1" thickBot="1">
      <c r="A2287" s="92">
        <v>257</v>
      </c>
      <c r="B2287" s="93"/>
      <c r="C2287" s="94" t="s">
        <v>3</v>
      </c>
      <c r="D2287" s="95"/>
    </row>
    <row r="2288" spans="1:4" ht="42.75" customHeight="1" thickBot="1">
      <c r="A2288" s="92">
        <v>272</v>
      </c>
      <c r="B2288" s="93"/>
      <c r="C2288" s="96" t="s">
        <v>4</v>
      </c>
      <c r="D2288" s="97"/>
    </row>
    <row r="2289" spans="1:4" ht="42.75" customHeight="1" thickBot="1">
      <c r="A2289" s="98">
        <f>A2288-A2287</f>
        <v>15</v>
      </c>
      <c r="B2289" s="99"/>
      <c r="C2289" s="100" t="s">
        <v>5</v>
      </c>
      <c r="D2289" s="97"/>
    </row>
    <row r="2290" spans="1:4" ht="42.75" customHeight="1" thickBot="1">
      <c r="A2290" s="101">
        <v>62</v>
      </c>
      <c r="B2290" s="102"/>
      <c r="C2290" s="96" t="s">
        <v>6</v>
      </c>
      <c r="D2290" s="97"/>
    </row>
    <row r="2291" spans="1:4" ht="42.75" customHeight="1" thickBot="1">
      <c r="A2291" s="103"/>
      <c r="B2291" s="104"/>
      <c r="C2291" s="96" t="s">
        <v>21</v>
      </c>
      <c r="D2291" s="97"/>
    </row>
    <row r="2292" spans="1:4" ht="42.75" customHeight="1" thickBot="1">
      <c r="A2292" s="105">
        <v>950</v>
      </c>
      <c r="B2292" s="106"/>
      <c r="C2292" s="96" t="s">
        <v>7</v>
      </c>
      <c r="D2292" s="97"/>
    </row>
    <row r="2293" spans="1:4" ht="42.75" customHeight="1" thickBot="1">
      <c r="A2293" s="107" t="s">
        <v>17</v>
      </c>
      <c r="B2293" s="108"/>
      <c r="C2293" s="108"/>
      <c r="D2293" s="109"/>
    </row>
    <row r="2294" spans="1:4" ht="42.75" customHeight="1" thickBot="1">
      <c r="A2294" s="110" t="s">
        <v>20</v>
      </c>
      <c r="B2294" s="111"/>
      <c r="C2294" s="111"/>
      <c r="D2294" s="112"/>
    </row>
    <row r="2295" spans="1:4" ht="42.75" customHeight="1" thickBot="1">
      <c r="A2295" s="113" t="s">
        <v>18</v>
      </c>
      <c r="B2295" s="114"/>
      <c r="C2295" s="114"/>
      <c r="D2295" s="115"/>
    </row>
    <row r="2296" spans="1:4" ht="42.75" customHeight="1" thickBot="1">
      <c r="A2296" s="126" t="s">
        <v>19</v>
      </c>
      <c r="B2296" s="127"/>
      <c r="C2296" s="127"/>
      <c r="D2296" s="128"/>
    </row>
    <row r="2297" spans="1:4" ht="42.75" customHeight="1" thickBot="1">
      <c r="A2297" s="123" t="s">
        <v>11</v>
      </c>
      <c r="B2297" s="124"/>
      <c r="C2297" s="125" t="s">
        <v>603</v>
      </c>
      <c r="D2297" s="124"/>
    </row>
    <row r="2298" spans="1:4" ht="42.75" customHeight="1" thickBot="1">
      <c r="A2298" s="1" t="s">
        <v>686</v>
      </c>
      <c r="B2298" s="26" t="s">
        <v>1</v>
      </c>
      <c r="C2298" s="90" t="s">
        <v>97</v>
      </c>
      <c r="D2298" s="91"/>
    </row>
    <row r="2299" spans="1:4" ht="42.75" customHeight="1" thickBot="1">
      <c r="A2299" s="26"/>
      <c r="B2299" s="26" t="s">
        <v>0</v>
      </c>
      <c r="C2299" s="5" t="s">
        <v>687</v>
      </c>
      <c r="D2299" s="4" t="s">
        <v>2</v>
      </c>
    </row>
    <row r="2300" spans="1:4" ht="42.75" customHeight="1" thickBot="1">
      <c r="A2300" s="92">
        <v>540</v>
      </c>
      <c r="B2300" s="93"/>
      <c r="C2300" s="94" t="s">
        <v>3</v>
      </c>
      <c r="D2300" s="95"/>
    </row>
    <row r="2301" spans="1:4" ht="42.75" customHeight="1" thickBot="1">
      <c r="A2301" s="92">
        <v>540</v>
      </c>
      <c r="B2301" s="93"/>
      <c r="C2301" s="96" t="s">
        <v>4</v>
      </c>
      <c r="D2301" s="97"/>
    </row>
    <row r="2302" spans="1:4" ht="42.75" customHeight="1" thickBot="1">
      <c r="A2302" s="98">
        <f>A2301-A2300</f>
        <v>0</v>
      </c>
      <c r="B2302" s="99"/>
      <c r="C2302" s="100" t="s">
        <v>5</v>
      </c>
      <c r="D2302" s="97"/>
    </row>
    <row r="2303" spans="1:4" ht="42.75" customHeight="1" thickBot="1">
      <c r="A2303" s="101">
        <v>62</v>
      </c>
      <c r="B2303" s="102"/>
      <c r="C2303" s="96" t="s">
        <v>6</v>
      </c>
      <c r="D2303" s="97"/>
    </row>
    <row r="2304" spans="1:4" ht="42.75" customHeight="1" thickBot="1">
      <c r="A2304" s="103"/>
      <c r="B2304" s="104"/>
      <c r="C2304" s="96" t="s">
        <v>21</v>
      </c>
      <c r="D2304" s="97"/>
    </row>
    <row r="2305" spans="1:4" ht="42.75" customHeight="1" thickBot="1">
      <c r="A2305" s="105">
        <f>A2303*A2302</f>
        <v>0</v>
      </c>
      <c r="B2305" s="106"/>
      <c r="C2305" s="96" t="s">
        <v>7</v>
      </c>
      <c r="D2305" s="97"/>
    </row>
    <row r="2306" spans="1:4" ht="42.75" customHeight="1" thickBot="1">
      <c r="A2306" s="107" t="s">
        <v>17</v>
      </c>
      <c r="B2306" s="108"/>
      <c r="C2306" s="108"/>
      <c r="D2306" s="109"/>
    </row>
    <row r="2307" spans="1:4" ht="42.75" customHeight="1" thickBot="1">
      <c r="A2307" s="116" t="s">
        <v>20</v>
      </c>
      <c r="B2307" s="117"/>
      <c r="C2307" s="117"/>
      <c r="D2307" s="118"/>
    </row>
    <row r="2308" spans="1:4" ht="42.75" customHeight="1" thickBot="1">
      <c r="A2308" s="113" t="s">
        <v>18</v>
      </c>
      <c r="B2308" s="114"/>
      <c r="C2308" s="114"/>
      <c r="D2308" s="115"/>
    </row>
    <row r="2309" spans="1:4" ht="42.75" customHeight="1" thickBot="1">
      <c r="A2309" s="119"/>
      <c r="B2309" s="119"/>
      <c r="C2309" s="119"/>
      <c r="D2309" s="119"/>
    </row>
    <row r="2310" spans="1:4" ht="42.75" customHeight="1" thickBot="1">
      <c r="A2310" s="126" t="s">
        <v>19</v>
      </c>
      <c r="B2310" s="127"/>
      <c r="C2310" s="127"/>
      <c r="D2310" s="128"/>
    </row>
    <row r="2311" spans="1:4" ht="42.75" customHeight="1" thickBot="1">
      <c r="A2311" s="123" t="s">
        <v>11</v>
      </c>
      <c r="B2311" s="124"/>
      <c r="C2311" s="125" t="s">
        <v>603</v>
      </c>
      <c r="D2311" s="124"/>
    </row>
    <row r="2312" spans="1:4" ht="42.75" customHeight="1" thickBot="1">
      <c r="A2312" s="1" t="s">
        <v>686</v>
      </c>
      <c r="B2312" s="26" t="s">
        <v>1</v>
      </c>
      <c r="C2312" s="90" t="s">
        <v>97</v>
      </c>
      <c r="D2312" s="91"/>
    </row>
    <row r="2313" spans="1:4" ht="42.75" customHeight="1" thickBot="1">
      <c r="A2313" s="26"/>
      <c r="B2313" s="26" t="s">
        <v>0</v>
      </c>
      <c r="C2313" s="5" t="s">
        <v>687</v>
      </c>
      <c r="D2313" s="4" t="s">
        <v>2</v>
      </c>
    </row>
    <row r="2314" spans="1:4" ht="42.75" customHeight="1" thickBot="1">
      <c r="A2314" s="92">
        <v>511</v>
      </c>
      <c r="B2314" s="93"/>
      <c r="C2314" s="94" t="s">
        <v>3</v>
      </c>
      <c r="D2314" s="95"/>
    </row>
    <row r="2315" spans="1:4" ht="42.75" customHeight="1" thickBot="1">
      <c r="A2315" s="92">
        <v>540</v>
      </c>
      <c r="B2315" s="93"/>
      <c r="C2315" s="96" t="s">
        <v>4</v>
      </c>
      <c r="D2315" s="97"/>
    </row>
    <row r="2316" spans="1:4" ht="42.75" customHeight="1" thickBot="1">
      <c r="A2316" s="98">
        <f>A2315-A2314</f>
        <v>29</v>
      </c>
      <c r="B2316" s="99"/>
      <c r="C2316" s="100" t="s">
        <v>5</v>
      </c>
      <c r="D2316" s="97"/>
    </row>
    <row r="2317" spans="1:4" ht="42.75" customHeight="1" thickBot="1">
      <c r="A2317" s="101">
        <v>62</v>
      </c>
      <c r="B2317" s="102"/>
      <c r="C2317" s="96" t="s">
        <v>6</v>
      </c>
      <c r="D2317" s="97"/>
    </row>
    <row r="2318" spans="1:4" ht="42.75" customHeight="1" thickBot="1">
      <c r="A2318" s="103"/>
      <c r="B2318" s="104"/>
      <c r="C2318" s="96" t="s">
        <v>21</v>
      </c>
      <c r="D2318" s="97"/>
    </row>
    <row r="2319" spans="1:4" ht="42.75" customHeight="1" thickBot="1">
      <c r="A2319" s="105">
        <v>1800</v>
      </c>
      <c r="B2319" s="106"/>
      <c r="C2319" s="96" t="s">
        <v>7</v>
      </c>
      <c r="D2319" s="97"/>
    </row>
    <row r="2320" spans="1:4" ht="42.75" customHeight="1" thickBot="1">
      <c r="A2320" s="107" t="s">
        <v>17</v>
      </c>
      <c r="B2320" s="108"/>
      <c r="C2320" s="108"/>
      <c r="D2320" s="109"/>
    </row>
    <row r="2321" spans="1:4" ht="42.75" customHeight="1" thickBot="1">
      <c r="A2321" s="110" t="s">
        <v>20</v>
      </c>
      <c r="B2321" s="111"/>
      <c r="C2321" s="111"/>
      <c r="D2321" s="112"/>
    </row>
    <row r="2322" spans="1:4" ht="42.75" customHeight="1" thickBot="1">
      <c r="A2322" s="113" t="s">
        <v>18</v>
      </c>
      <c r="B2322" s="114"/>
      <c r="C2322" s="114"/>
      <c r="D2322" s="115"/>
    </row>
    <row r="2323" spans="1:4" ht="42.75" customHeight="1" thickBot="1">
      <c r="A2323" s="126" t="s">
        <v>19</v>
      </c>
      <c r="B2323" s="127"/>
      <c r="C2323" s="127"/>
      <c r="D2323" s="128"/>
    </row>
    <row r="2324" spans="1:4" ht="42.75" customHeight="1" thickBot="1">
      <c r="A2324" s="123" t="s">
        <v>11</v>
      </c>
      <c r="B2324" s="124"/>
      <c r="C2324" s="125" t="s">
        <v>603</v>
      </c>
      <c r="D2324" s="124"/>
    </row>
    <row r="2325" spans="1:4" ht="42.75" customHeight="1" thickBot="1">
      <c r="A2325" s="1" t="s">
        <v>686</v>
      </c>
      <c r="B2325" s="26" t="s">
        <v>1</v>
      </c>
      <c r="C2325" s="90" t="s">
        <v>98</v>
      </c>
      <c r="D2325" s="91"/>
    </row>
    <row r="2326" spans="1:4" ht="42.75" customHeight="1" thickBot="1">
      <c r="A2326" s="26"/>
      <c r="B2326" s="26" t="s">
        <v>0</v>
      </c>
      <c r="C2326" s="5" t="s">
        <v>687</v>
      </c>
      <c r="D2326" s="4" t="s">
        <v>2</v>
      </c>
    </row>
    <row r="2327" spans="1:4" ht="42.75" customHeight="1" thickBot="1">
      <c r="A2327" s="92">
        <v>710</v>
      </c>
      <c r="B2327" s="93"/>
      <c r="C2327" s="94" t="s">
        <v>3</v>
      </c>
      <c r="D2327" s="95"/>
    </row>
    <row r="2328" spans="1:4" ht="42.75" customHeight="1" thickBot="1">
      <c r="A2328" s="92">
        <v>710</v>
      </c>
      <c r="B2328" s="93"/>
      <c r="C2328" s="96" t="s">
        <v>4</v>
      </c>
      <c r="D2328" s="97"/>
    </row>
    <row r="2329" spans="1:4" ht="42.75" customHeight="1" thickBot="1">
      <c r="A2329" s="98">
        <f>A2328-A2327</f>
        <v>0</v>
      </c>
      <c r="B2329" s="99"/>
      <c r="C2329" s="100" t="s">
        <v>5</v>
      </c>
      <c r="D2329" s="97"/>
    </row>
    <row r="2330" spans="1:4" ht="42.75" customHeight="1" thickBot="1">
      <c r="A2330" s="101">
        <v>62</v>
      </c>
      <c r="B2330" s="102"/>
      <c r="C2330" s="96" t="s">
        <v>6</v>
      </c>
      <c r="D2330" s="97"/>
    </row>
    <row r="2331" spans="1:4" ht="42.75" customHeight="1" thickBot="1">
      <c r="A2331" s="103"/>
      <c r="B2331" s="104"/>
      <c r="C2331" s="96" t="s">
        <v>21</v>
      </c>
      <c r="D2331" s="97"/>
    </row>
    <row r="2332" spans="1:4" ht="42.75" customHeight="1" thickBot="1">
      <c r="A2332" s="105">
        <f>A2330*A2329</f>
        <v>0</v>
      </c>
      <c r="B2332" s="106"/>
      <c r="C2332" s="96" t="s">
        <v>7</v>
      </c>
      <c r="D2332" s="97"/>
    </row>
    <row r="2333" spans="1:4" ht="42.75" customHeight="1" thickBot="1">
      <c r="A2333" s="107" t="s">
        <v>17</v>
      </c>
      <c r="B2333" s="108"/>
      <c r="C2333" s="108"/>
      <c r="D2333" s="109"/>
    </row>
    <row r="2334" spans="1:4" ht="42.75" customHeight="1" thickBot="1">
      <c r="A2334" s="116" t="s">
        <v>20</v>
      </c>
      <c r="B2334" s="117"/>
      <c r="C2334" s="117"/>
      <c r="D2334" s="118"/>
    </row>
    <row r="2335" spans="1:4" ht="42.75" customHeight="1" thickBot="1">
      <c r="A2335" s="113" t="s">
        <v>18</v>
      </c>
      <c r="B2335" s="114"/>
      <c r="C2335" s="114"/>
      <c r="D2335" s="115"/>
    </row>
    <row r="2336" spans="1:4" ht="42.75" customHeight="1" thickBot="1">
      <c r="A2336" s="119"/>
      <c r="B2336" s="119"/>
      <c r="C2336" s="119"/>
      <c r="D2336" s="119"/>
    </row>
    <row r="2337" spans="1:4" ht="42.75" customHeight="1" thickBot="1">
      <c r="A2337" s="126" t="s">
        <v>19</v>
      </c>
      <c r="B2337" s="127"/>
      <c r="C2337" s="127"/>
      <c r="D2337" s="128"/>
    </row>
    <row r="2338" spans="1:4" ht="42.75" customHeight="1" thickBot="1">
      <c r="A2338" s="123" t="s">
        <v>11</v>
      </c>
      <c r="B2338" s="124"/>
      <c r="C2338" s="125" t="s">
        <v>603</v>
      </c>
      <c r="D2338" s="124"/>
    </row>
    <row r="2339" spans="1:4" ht="42.75" customHeight="1" thickBot="1">
      <c r="A2339" s="1" t="s">
        <v>686</v>
      </c>
      <c r="B2339" s="26" t="s">
        <v>1</v>
      </c>
      <c r="C2339" s="90" t="s">
        <v>98</v>
      </c>
      <c r="D2339" s="91"/>
    </row>
    <row r="2340" spans="1:4" ht="42.75" customHeight="1" thickBot="1">
      <c r="A2340" s="26"/>
      <c r="B2340" s="26" t="s">
        <v>0</v>
      </c>
      <c r="C2340" s="5" t="s">
        <v>687</v>
      </c>
      <c r="D2340" s="4" t="s">
        <v>2</v>
      </c>
    </row>
    <row r="2341" spans="1:4" ht="42.75" customHeight="1" thickBot="1">
      <c r="A2341" s="92">
        <v>689</v>
      </c>
      <c r="B2341" s="93"/>
      <c r="C2341" s="94" t="s">
        <v>3</v>
      </c>
      <c r="D2341" s="95"/>
    </row>
    <row r="2342" spans="1:4" ht="42.75" customHeight="1" thickBot="1">
      <c r="A2342" s="92">
        <v>710</v>
      </c>
      <c r="B2342" s="93"/>
      <c r="C2342" s="96" t="s">
        <v>4</v>
      </c>
      <c r="D2342" s="97"/>
    </row>
    <row r="2343" spans="1:4" ht="42.75" customHeight="1" thickBot="1">
      <c r="A2343" s="98">
        <f>A2342-A2341</f>
        <v>21</v>
      </c>
      <c r="B2343" s="99"/>
      <c r="C2343" s="100" t="s">
        <v>5</v>
      </c>
      <c r="D2343" s="97"/>
    </row>
    <row r="2344" spans="1:4" ht="42.75" customHeight="1" thickBot="1">
      <c r="A2344" s="101">
        <v>62</v>
      </c>
      <c r="B2344" s="102"/>
      <c r="C2344" s="96" t="s">
        <v>6</v>
      </c>
      <c r="D2344" s="97"/>
    </row>
    <row r="2345" spans="1:4" ht="42.75" customHeight="1" thickBot="1">
      <c r="A2345" s="103"/>
      <c r="B2345" s="104"/>
      <c r="C2345" s="96" t="s">
        <v>21</v>
      </c>
      <c r="D2345" s="97"/>
    </row>
    <row r="2346" spans="1:4" ht="42.75" customHeight="1" thickBot="1">
      <c r="A2346" s="105">
        <f>A2344*A2343</f>
        <v>1302</v>
      </c>
      <c r="B2346" s="106"/>
      <c r="C2346" s="96" t="s">
        <v>7</v>
      </c>
      <c r="D2346" s="97"/>
    </row>
    <row r="2347" spans="1:4" ht="42.75" customHeight="1" thickBot="1">
      <c r="A2347" s="107" t="s">
        <v>17</v>
      </c>
      <c r="B2347" s="108"/>
      <c r="C2347" s="108"/>
      <c r="D2347" s="109"/>
    </row>
    <row r="2348" spans="1:4" ht="42.75" customHeight="1" thickBot="1">
      <c r="A2348" s="110" t="s">
        <v>20</v>
      </c>
      <c r="B2348" s="111"/>
      <c r="C2348" s="111"/>
      <c r="D2348" s="112"/>
    </row>
    <row r="2349" spans="1:4" ht="42.75" customHeight="1" thickBot="1">
      <c r="A2349" s="113" t="s">
        <v>18</v>
      </c>
      <c r="B2349" s="114"/>
      <c r="C2349" s="114"/>
      <c r="D2349" s="115"/>
    </row>
    <row r="2350" spans="1:4" ht="42.75" customHeight="1" thickBot="1">
      <c r="A2350" s="126" t="s">
        <v>19</v>
      </c>
      <c r="B2350" s="127"/>
      <c r="C2350" s="127"/>
      <c r="D2350" s="128"/>
    </row>
    <row r="2351" spans="1:4" ht="42.75" customHeight="1" thickBot="1">
      <c r="A2351" s="123" t="s">
        <v>11</v>
      </c>
      <c r="B2351" s="124"/>
      <c r="C2351" s="125" t="s">
        <v>603</v>
      </c>
      <c r="D2351" s="124"/>
    </row>
    <row r="2352" spans="1:4" ht="42.75" customHeight="1" thickBot="1">
      <c r="A2352" s="1" t="s">
        <v>686</v>
      </c>
      <c r="B2352" s="26" t="s">
        <v>1</v>
      </c>
      <c r="C2352" s="90" t="s">
        <v>99</v>
      </c>
      <c r="D2352" s="91"/>
    </row>
    <row r="2353" spans="1:4" ht="42.75" customHeight="1" thickBot="1">
      <c r="A2353" s="26"/>
      <c r="B2353" s="26" t="s">
        <v>0</v>
      </c>
      <c r="C2353" s="5" t="s">
        <v>687</v>
      </c>
      <c r="D2353" s="4" t="s">
        <v>2</v>
      </c>
    </row>
    <row r="2354" spans="1:4" ht="42.75" customHeight="1" thickBot="1">
      <c r="A2354" s="92">
        <v>311</v>
      </c>
      <c r="B2354" s="93"/>
      <c r="C2354" s="94" t="s">
        <v>3</v>
      </c>
      <c r="D2354" s="95"/>
    </row>
    <row r="2355" spans="1:4" ht="42.75" customHeight="1" thickBot="1">
      <c r="A2355" s="92">
        <v>311</v>
      </c>
      <c r="B2355" s="93"/>
      <c r="C2355" s="96" t="s">
        <v>4</v>
      </c>
      <c r="D2355" s="97"/>
    </row>
    <row r="2356" spans="1:4" ht="42.75" customHeight="1" thickBot="1">
      <c r="A2356" s="98">
        <f>A2355-A2354</f>
        <v>0</v>
      </c>
      <c r="B2356" s="99"/>
      <c r="C2356" s="100" t="s">
        <v>5</v>
      </c>
      <c r="D2356" s="97"/>
    </row>
    <row r="2357" spans="1:4" ht="42.75" customHeight="1" thickBot="1">
      <c r="A2357" s="101">
        <v>62</v>
      </c>
      <c r="B2357" s="102"/>
      <c r="C2357" s="96" t="s">
        <v>6</v>
      </c>
      <c r="D2357" s="97"/>
    </row>
    <row r="2358" spans="1:4" ht="42.75" customHeight="1" thickBot="1">
      <c r="A2358" s="103"/>
      <c r="B2358" s="104"/>
      <c r="C2358" s="96" t="s">
        <v>21</v>
      </c>
      <c r="D2358" s="97"/>
    </row>
    <row r="2359" spans="1:4" ht="42.75" customHeight="1" thickBot="1">
      <c r="A2359" s="105">
        <f>A2357*A2356</f>
        <v>0</v>
      </c>
      <c r="B2359" s="106"/>
      <c r="C2359" s="96" t="s">
        <v>7</v>
      </c>
      <c r="D2359" s="97"/>
    </row>
    <row r="2360" spans="1:4" ht="42.75" customHeight="1" thickBot="1">
      <c r="A2360" s="107" t="s">
        <v>17</v>
      </c>
      <c r="B2360" s="108"/>
      <c r="C2360" s="108"/>
      <c r="D2360" s="109"/>
    </row>
    <row r="2361" spans="1:4" ht="42.75" customHeight="1" thickBot="1">
      <c r="A2361" s="116" t="s">
        <v>20</v>
      </c>
      <c r="B2361" s="117"/>
      <c r="C2361" s="117"/>
      <c r="D2361" s="118"/>
    </row>
    <row r="2362" spans="1:4" ht="42.75" customHeight="1" thickBot="1">
      <c r="A2362" s="113" t="s">
        <v>18</v>
      </c>
      <c r="B2362" s="114"/>
      <c r="C2362" s="114"/>
      <c r="D2362" s="115"/>
    </row>
    <row r="2363" spans="1:4" ht="42.75" customHeight="1" thickBot="1">
      <c r="A2363" s="119"/>
      <c r="B2363" s="119"/>
      <c r="C2363" s="119"/>
      <c r="D2363" s="119"/>
    </row>
    <row r="2364" spans="1:4" ht="42.75" customHeight="1" thickBot="1">
      <c r="A2364" s="126" t="s">
        <v>19</v>
      </c>
      <c r="B2364" s="127"/>
      <c r="C2364" s="127"/>
      <c r="D2364" s="128"/>
    </row>
    <row r="2365" spans="1:4" ht="42.75" customHeight="1" thickBot="1">
      <c r="A2365" s="123" t="s">
        <v>11</v>
      </c>
      <c r="B2365" s="124"/>
      <c r="C2365" s="125" t="s">
        <v>603</v>
      </c>
      <c r="D2365" s="124"/>
    </row>
    <row r="2366" spans="1:4" ht="42.75" customHeight="1" thickBot="1">
      <c r="A2366" s="1" t="s">
        <v>686</v>
      </c>
      <c r="B2366" s="26" t="s">
        <v>1</v>
      </c>
      <c r="C2366" s="90" t="s">
        <v>99</v>
      </c>
      <c r="D2366" s="91"/>
    </row>
    <row r="2367" spans="1:4" ht="42.75" customHeight="1" thickBot="1">
      <c r="A2367" s="26"/>
      <c r="B2367" s="26" t="s">
        <v>0</v>
      </c>
      <c r="C2367" s="5" t="s">
        <v>687</v>
      </c>
      <c r="D2367" s="4" t="s">
        <v>2</v>
      </c>
    </row>
    <row r="2368" spans="1:4" ht="42.75" customHeight="1" thickBot="1">
      <c r="A2368" s="92">
        <v>298</v>
      </c>
      <c r="B2368" s="93"/>
      <c r="C2368" s="94" t="s">
        <v>3</v>
      </c>
      <c r="D2368" s="95"/>
    </row>
    <row r="2369" spans="1:4" ht="42.75" customHeight="1" thickBot="1">
      <c r="A2369" s="92">
        <v>311</v>
      </c>
      <c r="B2369" s="93"/>
      <c r="C2369" s="96" t="s">
        <v>4</v>
      </c>
      <c r="D2369" s="97"/>
    </row>
    <row r="2370" spans="1:4" ht="42.75" customHeight="1" thickBot="1">
      <c r="A2370" s="98">
        <f>A2369-A2368</f>
        <v>13</v>
      </c>
      <c r="B2370" s="99"/>
      <c r="C2370" s="100" t="s">
        <v>5</v>
      </c>
      <c r="D2370" s="97"/>
    </row>
    <row r="2371" spans="1:4" ht="42.75" customHeight="1" thickBot="1">
      <c r="A2371" s="101">
        <v>62</v>
      </c>
      <c r="B2371" s="102"/>
      <c r="C2371" s="96" t="s">
        <v>6</v>
      </c>
      <c r="D2371" s="97"/>
    </row>
    <row r="2372" spans="1:4" ht="42.75" customHeight="1" thickBot="1">
      <c r="A2372" s="103"/>
      <c r="B2372" s="104"/>
      <c r="C2372" s="96" t="s">
        <v>21</v>
      </c>
      <c r="D2372" s="97"/>
    </row>
    <row r="2373" spans="1:4" ht="42.75" customHeight="1" thickBot="1">
      <c r="A2373" s="105">
        <f>A2371*A2370</f>
        <v>806</v>
      </c>
      <c r="B2373" s="106"/>
      <c r="C2373" s="96" t="s">
        <v>7</v>
      </c>
      <c r="D2373" s="97"/>
    </row>
    <row r="2374" spans="1:4" ht="42.75" customHeight="1" thickBot="1">
      <c r="A2374" s="107" t="s">
        <v>17</v>
      </c>
      <c r="B2374" s="108"/>
      <c r="C2374" s="108"/>
      <c r="D2374" s="109"/>
    </row>
    <row r="2375" spans="1:4" ht="42.75" customHeight="1" thickBot="1">
      <c r="A2375" s="110" t="s">
        <v>20</v>
      </c>
      <c r="B2375" s="111"/>
      <c r="C2375" s="111"/>
      <c r="D2375" s="112"/>
    </row>
    <row r="2376" spans="1:4" ht="42.75" customHeight="1" thickBot="1">
      <c r="A2376" s="113" t="s">
        <v>18</v>
      </c>
      <c r="B2376" s="114"/>
      <c r="C2376" s="114"/>
      <c r="D2376" s="115"/>
    </row>
    <row r="2377" spans="1:4" ht="42.75" customHeight="1" thickBot="1">
      <c r="A2377" s="126" t="s">
        <v>19</v>
      </c>
      <c r="B2377" s="127"/>
      <c r="C2377" s="127"/>
      <c r="D2377" s="128"/>
    </row>
    <row r="2378" spans="1:4" ht="42.75" customHeight="1" thickBot="1">
      <c r="A2378" s="123" t="s">
        <v>11</v>
      </c>
      <c r="B2378" s="124"/>
      <c r="C2378" s="125" t="s">
        <v>603</v>
      </c>
      <c r="D2378" s="124"/>
    </row>
    <row r="2379" spans="1:4" ht="42.75" customHeight="1" thickBot="1">
      <c r="A2379" s="1" t="s">
        <v>686</v>
      </c>
      <c r="B2379" s="26" t="s">
        <v>1</v>
      </c>
      <c r="C2379" s="90" t="s">
        <v>100</v>
      </c>
      <c r="D2379" s="91"/>
    </row>
    <row r="2380" spans="1:4" ht="42.75" customHeight="1" thickBot="1">
      <c r="A2380" s="26"/>
      <c r="B2380" s="26" t="s">
        <v>0</v>
      </c>
      <c r="C2380" s="5" t="s">
        <v>687</v>
      </c>
      <c r="D2380" s="4" t="s">
        <v>2</v>
      </c>
    </row>
    <row r="2381" spans="1:4" ht="42.75" customHeight="1" thickBot="1">
      <c r="A2381" s="92">
        <v>402</v>
      </c>
      <c r="B2381" s="93"/>
      <c r="C2381" s="94" t="s">
        <v>3</v>
      </c>
      <c r="D2381" s="95"/>
    </row>
    <row r="2382" spans="1:4" ht="42.75" customHeight="1" thickBot="1">
      <c r="A2382" s="92">
        <v>402</v>
      </c>
      <c r="B2382" s="93"/>
      <c r="C2382" s="96" t="s">
        <v>4</v>
      </c>
      <c r="D2382" s="97"/>
    </row>
    <row r="2383" spans="1:4" ht="42.75" customHeight="1" thickBot="1">
      <c r="A2383" s="98">
        <f>A2382-A2381</f>
        <v>0</v>
      </c>
      <c r="B2383" s="99"/>
      <c r="C2383" s="100" t="s">
        <v>5</v>
      </c>
      <c r="D2383" s="97"/>
    </row>
    <row r="2384" spans="1:4" ht="42.75" customHeight="1" thickBot="1">
      <c r="A2384" s="101">
        <v>62</v>
      </c>
      <c r="B2384" s="102"/>
      <c r="C2384" s="96" t="s">
        <v>6</v>
      </c>
      <c r="D2384" s="97"/>
    </row>
    <row r="2385" spans="1:4" ht="42.75" customHeight="1" thickBot="1">
      <c r="A2385" s="103"/>
      <c r="B2385" s="104"/>
      <c r="C2385" s="96" t="s">
        <v>21</v>
      </c>
      <c r="D2385" s="97"/>
    </row>
    <row r="2386" spans="1:4" ht="42.75" customHeight="1" thickBot="1">
      <c r="A2386" s="105">
        <f>A2384*A2383</f>
        <v>0</v>
      </c>
      <c r="B2386" s="106"/>
      <c r="C2386" s="96" t="s">
        <v>7</v>
      </c>
      <c r="D2386" s="97"/>
    </row>
    <row r="2387" spans="1:4" ht="42.75" customHeight="1" thickBot="1">
      <c r="A2387" s="107" t="s">
        <v>17</v>
      </c>
      <c r="B2387" s="108"/>
      <c r="C2387" s="108"/>
      <c r="D2387" s="109"/>
    </row>
    <row r="2388" spans="1:4" ht="42.75" customHeight="1" thickBot="1">
      <c r="A2388" s="116" t="s">
        <v>20</v>
      </c>
      <c r="B2388" s="117"/>
      <c r="C2388" s="117"/>
      <c r="D2388" s="118"/>
    </row>
    <row r="2389" spans="1:4" ht="42.75" customHeight="1" thickBot="1">
      <c r="A2389" s="113" t="s">
        <v>18</v>
      </c>
      <c r="B2389" s="114"/>
      <c r="C2389" s="114"/>
      <c r="D2389" s="115"/>
    </row>
    <row r="2390" spans="1:4" ht="42.75" customHeight="1" thickBot="1">
      <c r="A2390" s="119"/>
      <c r="B2390" s="119"/>
      <c r="C2390" s="119"/>
      <c r="D2390" s="119"/>
    </row>
    <row r="2391" spans="1:4" ht="42.75" customHeight="1" thickBot="1">
      <c r="A2391" s="126" t="s">
        <v>19</v>
      </c>
      <c r="B2391" s="127"/>
      <c r="C2391" s="127"/>
      <c r="D2391" s="128"/>
    </row>
    <row r="2392" spans="1:4" ht="42.75" customHeight="1" thickBot="1">
      <c r="A2392" s="123" t="s">
        <v>11</v>
      </c>
      <c r="B2392" s="124"/>
      <c r="C2392" s="125" t="s">
        <v>603</v>
      </c>
      <c r="D2392" s="124"/>
    </row>
    <row r="2393" spans="1:4" ht="42.75" customHeight="1" thickBot="1">
      <c r="A2393" s="1" t="s">
        <v>686</v>
      </c>
      <c r="B2393" s="26" t="s">
        <v>1</v>
      </c>
      <c r="C2393" s="90" t="s">
        <v>100</v>
      </c>
      <c r="D2393" s="91"/>
    </row>
    <row r="2394" spans="1:4" ht="42.75" customHeight="1" thickBot="1">
      <c r="A2394" s="26"/>
      <c r="B2394" s="26" t="s">
        <v>0</v>
      </c>
      <c r="C2394" s="5" t="s">
        <v>687</v>
      </c>
      <c r="D2394" s="4" t="s">
        <v>2</v>
      </c>
    </row>
    <row r="2395" spans="1:4" ht="42.75" customHeight="1" thickBot="1">
      <c r="A2395" s="92">
        <v>373</v>
      </c>
      <c r="B2395" s="93"/>
      <c r="C2395" s="94" t="s">
        <v>3</v>
      </c>
      <c r="D2395" s="95"/>
    </row>
    <row r="2396" spans="1:4" ht="42.75" customHeight="1" thickBot="1">
      <c r="A2396" s="92">
        <v>402</v>
      </c>
      <c r="B2396" s="93"/>
      <c r="C2396" s="96" t="s">
        <v>4</v>
      </c>
      <c r="D2396" s="97"/>
    </row>
    <row r="2397" spans="1:4" ht="42.75" customHeight="1" thickBot="1">
      <c r="A2397" s="98">
        <f>A2396-A2395</f>
        <v>29</v>
      </c>
      <c r="B2397" s="99"/>
      <c r="C2397" s="100" t="s">
        <v>5</v>
      </c>
      <c r="D2397" s="97"/>
    </row>
    <row r="2398" spans="1:4" ht="42.75" customHeight="1" thickBot="1">
      <c r="A2398" s="101">
        <v>62</v>
      </c>
      <c r="B2398" s="102"/>
      <c r="C2398" s="96" t="s">
        <v>6</v>
      </c>
      <c r="D2398" s="97"/>
    </row>
    <row r="2399" spans="1:4" ht="42.75" customHeight="1" thickBot="1">
      <c r="A2399" s="103"/>
      <c r="B2399" s="104"/>
      <c r="C2399" s="96" t="s">
        <v>21</v>
      </c>
      <c r="D2399" s="97"/>
    </row>
    <row r="2400" spans="1:4" ht="42.75" customHeight="1" thickBot="1">
      <c r="A2400" s="105">
        <v>1800</v>
      </c>
      <c r="B2400" s="106"/>
      <c r="C2400" s="96" t="s">
        <v>7</v>
      </c>
      <c r="D2400" s="97"/>
    </row>
    <row r="2401" spans="1:4" ht="42.75" customHeight="1" thickBot="1">
      <c r="A2401" s="107" t="s">
        <v>17</v>
      </c>
      <c r="B2401" s="108"/>
      <c r="C2401" s="108"/>
      <c r="D2401" s="109"/>
    </row>
    <row r="2402" spans="1:4" ht="42.75" customHeight="1" thickBot="1">
      <c r="A2402" s="110" t="s">
        <v>20</v>
      </c>
      <c r="B2402" s="111"/>
      <c r="C2402" s="111"/>
      <c r="D2402" s="112"/>
    </row>
    <row r="2403" spans="1:4" ht="42.75" customHeight="1" thickBot="1">
      <c r="A2403" s="113" t="s">
        <v>18</v>
      </c>
      <c r="B2403" s="114"/>
      <c r="C2403" s="114"/>
      <c r="D2403" s="115"/>
    </row>
    <row r="2404" spans="1:4" ht="42.75" customHeight="1" thickBot="1">
      <c r="A2404" s="126" t="s">
        <v>19</v>
      </c>
      <c r="B2404" s="127"/>
      <c r="C2404" s="127"/>
      <c r="D2404" s="128"/>
    </row>
    <row r="2405" spans="1:4" ht="42.75" customHeight="1" thickBot="1">
      <c r="A2405" s="123" t="s">
        <v>11</v>
      </c>
      <c r="B2405" s="124"/>
      <c r="C2405" s="125" t="s">
        <v>603</v>
      </c>
      <c r="D2405" s="124"/>
    </row>
    <row r="2406" spans="1:4" ht="42.75" customHeight="1" thickBot="1">
      <c r="A2406" s="1" t="s">
        <v>686</v>
      </c>
      <c r="B2406" s="26" t="s">
        <v>1</v>
      </c>
      <c r="C2406" s="90" t="s">
        <v>101</v>
      </c>
      <c r="D2406" s="91"/>
    </row>
    <row r="2407" spans="1:4" ht="42.75" customHeight="1" thickBot="1">
      <c r="A2407" s="26"/>
      <c r="B2407" s="26" t="s">
        <v>0</v>
      </c>
      <c r="C2407" s="5" t="s">
        <v>687</v>
      </c>
      <c r="D2407" s="4" t="s">
        <v>2</v>
      </c>
    </row>
    <row r="2408" spans="1:4" ht="42.75" customHeight="1" thickBot="1">
      <c r="A2408" s="92">
        <v>351</v>
      </c>
      <c r="B2408" s="93"/>
      <c r="C2408" s="94" t="s">
        <v>3</v>
      </c>
      <c r="D2408" s="95"/>
    </row>
    <row r="2409" spans="1:4" ht="42.75" customHeight="1" thickBot="1">
      <c r="A2409" s="92">
        <v>351</v>
      </c>
      <c r="B2409" s="93"/>
      <c r="C2409" s="96" t="s">
        <v>4</v>
      </c>
      <c r="D2409" s="97"/>
    </row>
    <row r="2410" spans="1:4" ht="42.75" customHeight="1" thickBot="1">
      <c r="A2410" s="98">
        <f>A2409-A2408</f>
        <v>0</v>
      </c>
      <c r="B2410" s="99"/>
      <c r="C2410" s="100" t="s">
        <v>5</v>
      </c>
      <c r="D2410" s="97"/>
    </row>
    <row r="2411" spans="1:4" ht="42.75" customHeight="1" thickBot="1">
      <c r="A2411" s="101">
        <v>40</v>
      </c>
      <c r="B2411" s="102"/>
      <c r="C2411" s="96" t="s">
        <v>6</v>
      </c>
      <c r="D2411" s="97"/>
    </row>
    <row r="2412" spans="1:4" ht="42.75" customHeight="1" thickBot="1">
      <c r="A2412" s="103"/>
      <c r="B2412" s="104"/>
      <c r="C2412" s="96" t="s">
        <v>21</v>
      </c>
      <c r="D2412" s="97"/>
    </row>
    <row r="2413" spans="1:4" ht="42.75" customHeight="1" thickBot="1">
      <c r="A2413" s="105">
        <f>A2411*A2410</f>
        <v>0</v>
      </c>
      <c r="B2413" s="106"/>
      <c r="C2413" s="96" t="s">
        <v>7</v>
      </c>
      <c r="D2413" s="97"/>
    </row>
    <row r="2414" spans="1:4" ht="42.75" customHeight="1" thickBot="1">
      <c r="A2414" s="107" t="s">
        <v>17</v>
      </c>
      <c r="B2414" s="108"/>
      <c r="C2414" s="108"/>
      <c r="D2414" s="109"/>
    </row>
    <row r="2415" spans="1:4" ht="42.75" customHeight="1" thickBot="1">
      <c r="A2415" s="116" t="s">
        <v>20</v>
      </c>
      <c r="B2415" s="117"/>
      <c r="C2415" s="117"/>
      <c r="D2415" s="118"/>
    </row>
    <row r="2416" spans="1:4" ht="42.75" customHeight="1" thickBot="1">
      <c r="A2416" s="113" t="s">
        <v>18</v>
      </c>
      <c r="B2416" s="114"/>
      <c r="C2416" s="114"/>
      <c r="D2416" s="115"/>
    </row>
    <row r="2417" spans="1:4" ht="42.75" customHeight="1" thickBot="1">
      <c r="A2417" s="119"/>
      <c r="B2417" s="119"/>
      <c r="C2417" s="119"/>
      <c r="D2417" s="119"/>
    </row>
    <row r="2418" spans="1:4" ht="42.75" customHeight="1" thickBot="1">
      <c r="A2418" s="126" t="s">
        <v>19</v>
      </c>
      <c r="B2418" s="127"/>
      <c r="C2418" s="127"/>
      <c r="D2418" s="128"/>
    </row>
    <row r="2419" spans="1:4" ht="42.75" customHeight="1" thickBot="1">
      <c r="A2419" s="123" t="s">
        <v>11</v>
      </c>
      <c r="B2419" s="124"/>
      <c r="C2419" s="125" t="s">
        <v>603</v>
      </c>
      <c r="D2419" s="124"/>
    </row>
    <row r="2420" spans="1:4" ht="42.75" customHeight="1" thickBot="1">
      <c r="A2420" s="1" t="s">
        <v>686</v>
      </c>
      <c r="B2420" s="26" t="s">
        <v>1</v>
      </c>
      <c r="C2420" s="90" t="s">
        <v>101</v>
      </c>
      <c r="D2420" s="91"/>
    </row>
    <row r="2421" spans="1:4" ht="42.75" customHeight="1" thickBot="1">
      <c r="A2421" s="26"/>
      <c r="B2421" s="26" t="s">
        <v>0</v>
      </c>
      <c r="C2421" s="5" t="s">
        <v>687</v>
      </c>
      <c r="D2421" s="4" t="s">
        <v>2</v>
      </c>
    </row>
    <row r="2422" spans="1:4" ht="42.75" customHeight="1" thickBot="1">
      <c r="A2422" s="92">
        <v>327</v>
      </c>
      <c r="B2422" s="93"/>
      <c r="C2422" s="94" t="s">
        <v>3</v>
      </c>
      <c r="D2422" s="95"/>
    </row>
    <row r="2423" spans="1:4" ht="42.75" customHeight="1" thickBot="1">
      <c r="A2423" s="92">
        <v>351</v>
      </c>
      <c r="B2423" s="93"/>
      <c r="C2423" s="96" t="s">
        <v>4</v>
      </c>
      <c r="D2423" s="97"/>
    </row>
    <row r="2424" spans="1:4" ht="42.75" customHeight="1" thickBot="1">
      <c r="A2424" s="98">
        <f>A2423-A2422</f>
        <v>24</v>
      </c>
      <c r="B2424" s="99"/>
      <c r="C2424" s="100" t="s">
        <v>5</v>
      </c>
      <c r="D2424" s="97"/>
    </row>
    <row r="2425" spans="1:4" ht="42.75" customHeight="1" thickBot="1">
      <c r="A2425" s="101">
        <v>62</v>
      </c>
      <c r="B2425" s="102"/>
      <c r="C2425" s="96" t="s">
        <v>6</v>
      </c>
      <c r="D2425" s="97"/>
    </row>
    <row r="2426" spans="1:4" ht="42.75" customHeight="1" thickBot="1">
      <c r="A2426" s="103"/>
      <c r="B2426" s="104"/>
      <c r="C2426" s="96" t="s">
        <v>21</v>
      </c>
      <c r="D2426" s="97"/>
    </row>
    <row r="2427" spans="1:4" ht="42.75" customHeight="1" thickBot="1">
      <c r="A2427" s="105">
        <f>A2425*A2424</f>
        <v>1488</v>
      </c>
      <c r="B2427" s="106"/>
      <c r="C2427" s="96" t="s">
        <v>7</v>
      </c>
      <c r="D2427" s="97"/>
    </row>
    <row r="2428" spans="1:4" ht="42.75" customHeight="1" thickBot="1">
      <c r="A2428" s="107" t="s">
        <v>17</v>
      </c>
      <c r="B2428" s="108"/>
      <c r="C2428" s="108"/>
      <c r="D2428" s="109"/>
    </row>
    <row r="2429" spans="1:4" ht="42.75" customHeight="1" thickBot="1">
      <c r="A2429" s="110" t="s">
        <v>20</v>
      </c>
      <c r="B2429" s="111"/>
      <c r="C2429" s="111"/>
      <c r="D2429" s="112"/>
    </row>
    <row r="2430" spans="1:4" ht="42.75" customHeight="1" thickBot="1">
      <c r="A2430" s="113" t="s">
        <v>18</v>
      </c>
      <c r="B2430" s="114"/>
      <c r="C2430" s="114"/>
      <c r="D2430" s="115"/>
    </row>
    <row r="2431" spans="1:4" ht="42.75" customHeight="1" thickBot="1">
      <c r="A2431" s="126" t="s">
        <v>19</v>
      </c>
      <c r="B2431" s="127"/>
      <c r="C2431" s="127"/>
      <c r="D2431" s="128"/>
    </row>
    <row r="2432" spans="1:4" ht="42.75" customHeight="1" thickBot="1">
      <c r="A2432" s="123" t="s">
        <v>11</v>
      </c>
      <c r="B2432" s="124"/>
      <c r="C2432" s="125" t="s">
        <v>603</v>
      </c>
      <c r="D2432" s="124"/>
    </row>
    <row r="2433" spans="1:4" ht="42.75" customHeight="1" thickBot="1">
      <c r="A2433" s="1" t="s">
        <v>686</v>
      </c>
      <c r="B2433" s="26" t="s">
        <v>1</v>
      </c>
      <c r="C2433" s="90" t="s">
        <v>626</v>
      </c>
      <c r="D2433" s="91"/>
    </row>
    <row r="2434" spans="1:4" ht="42.75" customHeight="1" thickBot="1">
      <c r="A2434" s="26"/>
      <c r="B2434" s="26" t="s">
        <v>0</v>
      </c>
      <c r="C2434" s="5" t="s">
        <v>687</v>
      </c>
      <c r="D2434" s="4" t="s">
        <v>2</v>
      </c>
    </row>
    <row r="2435" spans="1:4" ht="42.75" customHeight="1" thickBot="1">
      <c r="A2435" s="92">
        <v>2580</v>
      </c>
      <c r="B2435" s="93"/>
      <c r="C2435" s="94" t="s">
        <v>3</v>
      </c>
      <c r="D2435" s="95"/>
    </row>
    <row r="2436" spans="1:4" ht="42.75" customHeight="1" thickBot="1">
      <c r="A2436" s="92">
        <v>2580</v>
      </c>
      <c r="B2436" s="93"/>
      <c r="C2436" s="96" t="s">
        <v>4</v>
      </c>
      <c r="D2436" s="97"/>
    </row>
    <row r="2437" spans="1:4" ht="42.75" customHeight="1" thickBot="1">
      <c r="A2437" s="98">
        <f>A2436-A2435</f>
        <v>0</v>
      </c>
      <c r="B2437" s="99"/>
      <c r="C2437" s="100" t="s">
        <v>5</v>
      </c>
      <c r="D2437" s="97"/>
    </row>
    <row r="2438" spans="1:4" ht="42.75" customHeight="1" thickBot="1">
      <c r="A2438" s="101">
        <v>62</v>
      </c>
      <c r="B2438" s="102"/>
      <c r="C2438" s="96" t="s">
        <v>6</v>
      </c>
      <c r="D2438" s="97"/>
    </row>
    <row r="2439" spans="1:4" ht="42.75" customHeight="1" thickBot="1">
      <c r="A2439" s="103"/>
      <c r="B2439" s="104"/>
      <c r="C2439" s="96" t="s">
        <v>21</v>
      </c>
      <c r="D2439" s="97"/>
    </row>
    <row r="2440" spans="1:4" ht="42.75" customHeight="1" thickBot="1">
      <c r="A2440" s="105">
        <f>A2438*A2437</f>
        <v>0</v>
      </c>
      <c r="B2440" s="106"/>
      <c r="C2440" s="96" t="s">
        <v>7</v>
      </c>
      <c r="D2440" s="97"/>
    </row>
    <row r="2441" spans="1:4" ht="42.75" customHeight="1" thickBot="1">
      <c r="A2441" s="107" t="s">
        <v>17</v>
      </c>
      <c r="B2441" s="108"/>
      <c r="C2441" s="108"/>
      <c r="D2441" s="109"/>
    </row>
    <row r="2442" spans="1:4" ht="42.75" customHeight="1" thickBot="1">
      <c r="A2442" s="116" t="s">
        <v>20</v>
      </c>
      <c r="B2442" s="117"/>
      <c r="C2442" s="117"/>
      <c r="D2442" s="118"/>
    </row>
    <row r="2443" spans="1:4" ht="42.75" customHeight="1" thickBot="1">
      <c r="A2443" s="113" t="s">
        <v>18</v>
      </c>
      <c r="B2443" s="114"/>
      <c r="C2443" s="114"/>
      <c r="D2443" s="115"/>
    </row>
    <row r="2444" spans="1:4" ht="42.75" customHeight="1" thickBot="1">
      <c r="A2444" s="119"/>
      <c r="B2444" s="119"/>
      <c r="C2444" s="119"/>
      <c r="D2444" s="119"/>
    </row>
    <row r="2445" spans="1:4" ht="42.75" customHeight="1" thickBot="1">
      <c r="A2445" s="126" t="s">
        <v>19</v>
      </c>
      <c r="B2445" s="127"/>
      <c r="C2445" s="127"/>
      <c r="D2445" s="128"/>
    </row>
    <row r="2446" spans="1:4" ht="42.75" customHeight="1" thickBot="1">
      <c r="A2446" s="123" t="s">
        <v>11</v>
      </c>
      <c r="B2446" s="124"/>
      <c r="C2446" s="125" t="s">
        <v>603</v>
      </c>
      <c r="D2446" s="124"/>
    </row>
    <row r="2447" spans="1:4" ht="42.75" customHeight="1" thickBot="1">
      <c r="A2447" s="1" t="s">
        <v>686</v>
      </c>
      <c r="B2447" s="26" t="s">
        <v>1</v>
      </c>
      <c r="C2447" s="90" t="s">
        <v>626</v>
      </c>
      <c r="D2447" s="91"/>
    </row>
    <row r="2448" spans="1:4" ht="42.75" customHeight="1" thickBot="1">
      <c r="A2448" s="26"/>
      <c r="B2448" s="26" t="s">
        <v>0</v>
      </c>
      <c r="C2448" s="5" t="s">
        <v>687</v>
      </c>
      <c r="D2448" s="4" t="s">
        <v>2</v>
      </c>
    </row>
    <row r="2449" spans="1:4" ht="42.75" customHeight="1" thickBot="1">
      <c r="A2449" s="92">
        <v>2570</v>
      </c>
      <c r="B2449" s="93"/>
      <c r="C2449" s="94" t="s">
        <v>3</v>
      </c>
      <c r="D2449" s="95"/>
    </row>
    <row r="2450" spans="1:4" ht="42.75" customHeight="1" thickBot="1">
      <c r="A2450" s="92">
        <v>2580</v>
      </c>
      <c r="B2450" s="93"/>
      <c r="C2450" s="96" t="s">
        <v>4</v>
      </c>
      <c r="D2450" s="97"/>
    </row>
    <row r="2451" spans="1:4" ht="42.75" customHeight="1" thickBot="1">
      <c r="A2451" s="98">
        <f>A2450-A2449</f>
        <v>10</v>
      </c>
      <c r="B2451" s="99"/>
      <c r="C2451" s="100" t="s">
        <v>5</v>
      </c>
      <c r="D2451" s="97"/>
    </row>
    <row r="2452" spans="1:4" ht="42.75" customHeight="1" thickBot="1">
      <c r="A2452" s="101">
        <v>62</v>
      </c>
      <c r="B2452" s="102"/>
      <c r="C2452" s="96" t="s">
        <v>6</v>
      </c>
      <c r="D2452" s="97"/>
    </row>
    <row r="2453" spans="1:4" ht="42.75" customHeight="1" thickBot="1">
      <c r="A2453" s="103"/>
      <c r="B2453" s="104"/>
      <c r="C2453" s="96" t="s">
        <v>21</v>
      </c>
      <c r="D2453" s="97"/>
    </row>
    <row r="2454" spans="1:4" ht="42.75" customHeight="1" thickBot="1">
      <c r="A2454" s="105">
        <v>600</v>
      </c>
      <c r="B2454" s="106"/>
      <c r="C2454" s="96" t="s">
        <v>7</v>
      </c>
      <c r="D2454" s="97"/>
    </row>
    <row r="2455" spans="1:4" ht="42.75" customHeight="1" thickBot="1">
      <c r="A2455" s="107" t="s">
        <v>17</v>
      </c>
      <c r="B2455" s="108"/>
      <c r="C2455" s="108"/>
      <c r="D2455" s="109"/>
    </row>
    <row r="2456" spans="1:4" ht="42.75" customHeight="1" thickBot="1">
      <c r="A2456" s="110" t="s">
        <v>20</v>
      </c>
      <c r="B2456" s="111"/>
      <c r="C2456" s="111"/>
      <c r="D2456" s="112"/>
    </row>
    <row r="2457" spans="1:4" ht="42.75" customHeight="1" thickBot="1">
      <c r="A2457" s="113" t="s">
        <v>18</v>
      </c>
      <c r="B2457" s="114"/>
      <c r="C2457" s="114"/>
      <c r="D2457" s="115"/>
    </row>
    <row r="2458" spans="1:4" ht="42.75" customHeight="1" thickBot="1">
      <c r="A2458" s="126" t="s">
        <v>19</v>
      </c>
      <c r="B2458" s="127"/>
      <c r="C2458" s="127"/>
      <c r="D2458" s="128"/>
    </row>
    <row r="2459" spans="1:4" ht="42.75" customHeight="1" thickBot="1">
      <c r="A2459" s="123" t="s">
        <v>11</v>
      </c>
      <c r="B2459" s="124"/>
      <c r="C2459" s="125" t="s">
        <v>603</v>
      </c>
      <c r="D2459" s="124"/>
    </row>
    <row r="2460" spans="1:4" ht="42.75" customHeight="1" thickBot="1">
      <c r="A2460" s="1" t="s">
        <v>686</v>
      </c>
      <c r="B2460" s="26" t="s">
        <v>1</v>
      </c>
      <c r="C2460" s="90" t="s">
        <v>102</v>
      </c>
      <c r="D2460" s="91"/>
    </row>
    <row r="2461" spans="1:4" ht="42.75" customHeight="1" thickBot="1">
      <c r="A2461" s="26"/>
      <c r="B2461" s="26" t="s">
        <v>0</v>
      </c>
      <c r="C2461" s="5" t="s">
        <v>687</v>
      </c>
      <c r="D2461" s="4" t="s">
        <v>2</v>
      </c>
    </row>
    <row r="2462" spans="1:4" ht="42.75" customHeight="1" thickBot="1">
      <c r="A2462" s="92">
        <v>467</v>
      </c>
      <c r="B2462" s="93"/>
      <c r="C2462" s="94" t="s">
        <v>3</v>
      </c>
      <c r="D2462" s="95"/>
    </row>
    <row r="2463" spans="1:4" ht="42.75" customHeight="1" thickBot="1">
      <c r="A2463" s="92">
        <v>467</v>
      </c>
      <c r="B2463" s="93"/>
      <c r="C2463" s="96" t="s">
        <v>4</v>
      </c>
      <c r="D2463" s="97"/>
    </row>
    <row r="2464" spans="1:4" ht="42.75" customHeight="1" thickBot="1">
      <c r="A2464" s="98">
        <f>A2463-A2462</f>
        <v>0</v>
      </c>
      <c r="B2464" s="99"/>
      <c r="C2464" s="100" t="s">
        <v>5</v>
      </c>
      <c r="D2464" s="97"/>
    </row>
    <row r="2465" spans="1:4" ht="42.75" customHeight="1" thickBot="1">
      <c r="A2465" s="101">
        <v>62</v>
      </c>
      <c r="B2465" s="102"/>
      <c r="C2465" s="96" t="s">
        <v>6</v>
      </c>
      <c r="D2465" s="97"/>
    </row>
    <row r="2466" spans="1:4" ht="42.75" customHeight="1" thickBot="1">
      <c r="A2466" s="103"/>
      <c r="B2466" s="104"/>
      <c r="C2466" s="96" t="s">
        <v>21</v>
      </c>
      <c r="D2466" s="97"/>
    </row>
    <row r="2467" spans="1:4" ht="42.75" customHeight="1" thickBot="1">
      <c r="A2467" s="105">
        <f>A2465*A2464</f>
        <v>0</v>
      </c>
      <c r="B2467" s="106"/>
      <c r="C2467" s="96" t="s">
        <v>7</v>
      </c>
      <c r="D2467" s="97"/>
    </row>
    <row r="2468" spans="1:4" ht="42.75" customHeight="1" thickBot="1">
      <c r="A2468" s="107" t="s">
        <v>17</v>
      </c>
      <c r="B2468" s="108"/>
      <c r="C2468" s="108"/>
      <c r="D2468" s="109"/>
    </row>
    <row r="2469" spans="1:4" ht="42.75" customHeight="1" thickBot="1">
      <c r="A2469" s="116" t="s">
        <v>20</v>
      </c>
      <c r="B2469" s="117"/>
      <c r="C2469" s="117"/>
      <c r="D2469" s="118"/>
    </row>
    <row r="2470" spans="1:4" ht="42.75" customHeight="1" thickBot="1">
      <c r="A2470" s="113" t="s">
        <v>18</v>
      </c>
      <c r="B2470" s="114"/>
      <c r="C2470" s="114"/>
      <c r="D2470" s="115"/>
    </row>
    <row r="2471" spans="1:4" ht="42.75" customHeight="1" thickBot="1">
      <c r="A2471" s="119"/>
      <c r="B2471" s="119"/>
      <c r="C2471" s="119"/>
      <c r="D2471" s="119"/>
    </row>
    <row r="2472" spans="1:4" ht="42.75" customHeight="1" thickBot="1">
      <c r="A2472" s="126" t="s">
        <v>19</v>
      </c>
      <c r="B2472" s="127"/>
      <c r="C2472" s="127"/>
      <c r="D2472" s="128"/>
    </row>
    <row r="2473" spans="1:4" ht="42.75" customHeight="1" thickBot="1">
      <c r="A2473" s="123" t="s">
        <v>11</v>
      </c>
      <c r="B2473" s="124"/>
      <c r="C2473" s="125" t="s">
        <v>603</v>
      </c>
      <c r="D2473" s="124"/>
    </row>
    <row r="2474" spans="1:4" ht="42.75" customHeight="1" thickBot="1">
      <c r="A2474" s="1" t="s">
        <v>686</v>
      </c>
      <c r="B2474" s="26" t="s">
        <v>1</v>
      </c>
      <c r="C2474" s="90" t="s">
        <v>102</v>
      </c>
      <c r="D2474" s="91"/>
    </row>
    <row r="2475" spans="1:4" ht="42.75" customHeight="1" thickBot="1">
      <c r="A2475" s="26"/>
      <c r="B2475" s="26" t="s">
        <v>0</v>
      </c>
      <c r="C2475" s="5" t="s">
        <v>687</v>
      </c>
      <c r="D2475" s="4" t="s">
        <v>2</v>
      </c>
    </row>
    <row r="2476" spans="1:4" ht="42.75" customHeight="1" thickBot="1">
      <c r="A2476" s="92">
        <v>442</v>
      </c>
      <c r="B2476" s="93"/>
      <c r="C2476" s="94" t="s">
        <v>3</v>
      </c>
      <c r="D2476" s="95"/>
    </row>
    <row r="2477" spans="1:4" ht="42.75" customHeight="1" thickBot="1">
      <c r="A2477" s="92">
        <v>467</v>
      </c>
      <c r="B2477" s="93"/>
      <c r="C2477" s="96" t="s">
        <v>4</v>
      </c>
      <c r="D2477" s="97"/>
    </row>
    <row r="2478" spans="1:4" ht="42.75" customHeight="1" thickBot="1">
      <c r="A2478" s="98">
        <f>A2477-A2476</f>
        <v>25</v>
      </c>
      <c r="B2478" s="99"/>
      <c r="C2478" s="100" t="s">
        <v>5</v>
      </c>
      <c r="D2478" s="97"/>
    </row>
    <row r="2479" spans="1:4" ht="42.75" customHeight="1" thickBot="1">
      <c r="A2479" s="101">
        <v>62</v>
      </c>
      <c r="B2479" s="102"/>
      <c r="C2479" s="96" t="s">
        <v>6</v>
      </c>
      <c r="D2479" s="97"/>
    </row>
    <row r="2480" spans="1:4" ht="42.75" customHeight="1" thickBot="1">
      <c r="A2480" s="103"/>
      <c r="B2480" s="104"/>
      <c r="C2480" s="96" t="s">
        <v>21</v>
      </c>
      <c r="D2480" s="97"/>
    </row>
    <row r="2481" spans="1:4" ht="42.75" customHeight="1" thickBot="1">
      <c r="A2481" s="105">
        <f>A2479*A2478</f>
        <v>1550</v>
      </c>
      <c r="B2481" s="106"/>
      <c r="C2481" s="96" t="s">
        <v>7</v>
      </c>
      <c r="D2481" s="97"/>
    </row>
    <row r="2482" spans="1:4" ht="42.75" customHeight="1" thickBot="1">
      <c r="A2482" s="107" t="s">
        <v>17</v>
      </c>
      <c r="B2482" s="108"/>
      <c r="C2482" s="108"/>
      <c r="D2482" s="109"/>
    </row>
    <row r="2483" spans="1:4" ht="42.75" customHeight="1" thickBot="1">
      <c r="A2483" s="110" t="s">
        <v>20</v>
      </c>
      <c r="B2483" s="111"/>
      <c r="C2483" s="111"/>
      <c r="D2483" s="112"/>
    </row>
    <row r="2484" spans="1:4" ht="42.75" customHeight="1" thickBot="1">
      <c r="A2484" s="113" t="s">
        <v>18</v>
      </c>
      <c r="B2484" s="114"/>
      <c r="C2484" s="114"/>
      <c r="D2484" s="115"/>
    </row>
    <row r="2485" spans="1:4" ht="42.75" customHeight="1" thickBot="1">
      <c r="A2485" s="126" t="s">
        <v>19</v>
      </c>
      <c r="B2485" s="127"/>
      <c r="C2485" s="127"/>
      <c r="D2485" s="128"/>
    </row>
    <row r="2486" spans="1:4" ht="42.75" customHeight="1" thickBot="1">
      <c r="A2486" s="123" t="s">
        <v>11</v>
      </c>
      <c r="B2486" s="124"/>
      <c r="C2486" s="125" t="s">
        <v>603</v>
      </c>
      <c r="D2486" s="124"/>
    </row>
    <row r="2487" spans="1:4" ht="42.75" customHeight="1" thickBot="1">
      <c r="A2487" s="1" t="s">
        <v>686</v>
      </c>
      <c r="B2487" s="26" t="s">
        <v>1</v>
      </c>
      <c r="C2487" s="90" t="s">
        <v>103</v>
      </c>
      <c r="D2487" s="91"/>
    </row>
    <row r="2488" spans="1:4" ht="42.75" customHeight="1" thickBot="1">
      <c r="A2488" s="26"/>
      <c r="B2488" s="26" t="s">
        <v>0</v>
      </c>
      <c r="C2488" s="5" t="s">
        <v>687</v>
      </c>
      <c r="D2488" s="4" t="s">
        <v>2</v>
      </c>
    </row>
    <row r="2489" spans="1:4" ht="42.75" customHeight="1" thickBot="1">
      <c r="A2489" s="92">
        <v>956</v>
      </c>
      <c r="B2489" s="93"/>
      <c r="C2489" s="94" t="s">
        <v>3</v>
      </c>
      <c r="D2489" s="95"/>
    </row>
    <row r="2490" spans="1:4" ht="42.75" customHeight="1" thickBot="1">
      <c r="A2490" s="92">
        <v>956</v>
      </c>
      <c r="B2490" s="93"/>
      <c r="C2490" s="96" t="s">
        <v>4</v>
      </c>
      <c r="D2490" s="97"/>
    </row>
    <row r="2491" spans="1:4" ht="42.75" customHeight="1" thickBot="1">
      <c r="A2491" s="98">
        <f>A2490-A2489</f>
        <v>0</v>
      </c>
      <c r="B2491" s="99"/>
      <c r="C2491" s="100" t="s">
        <v>5</v>
      </c>
      <c r="D2491" s="97"/>
    </row>
    <row r="2492" spans="1:4" ht="42.75" customHeight="1" thickBot="1">
      <c r="A2492" s="101">
        <v>62</v>
      </c>
      <c r="B2492" s="102"/>
      <c r="C2492" s="96" t="s">
        <v>6</v>
      </c>
      <c r="D2492" s="97"/>
    </row>
    <row r="2493" spans="1:4" ht="42.75" customHeight="1" thickBot="1">
      <c r="A2493" s="103"/>
      <c r="B2493" s="104"/>
      <c r="C2493" s="96" t="s">
        <v>21</v>
      </c>
      <c r="D2493" s="97"/>
    </row>
    <row r="2494" spans="1:4" ht="42.75" customHeight="1" thickBot="1">
      <c r="A2494" s="105">
        <f>A2492*A2491</f>
        <v>0</v>
      </c>
      <c r="B2494" s="106"/>
      <c r="C2494" s="96" t="s">
        <v>7</v>
      </c>
      <c r="D2494" s="97"/>
    </row>
    <row r="2495" spans="1:4" ht="42.75" customHeight="1" thickBot="1">
      <c r="A2495" s="107" t="s">
        <v>17</v>
      </c>
      <c r="B2495" s="108"/>
      <c r="C2495" s="108"/>
      <c r="D2495" s="109"/>
    </row>
    <row r="2496" spans="1:4" ht="42.75" customHeight="1" thickBot="1">
      <c r="A2496" s="116" t="s">
        <v>20</v>
      </c>
      <c r="B2496" s="117"/>
      <c r="C2496" s="117"/>
      <c r="D2496" s="118"/>
    </row>
    <row r="2497" spans="1:4" ht="42.75" customHeight="1" thickBot="1">
      <c r="A2497" s="113" t="s">
        <v>18</v>
      </c>
      <c r="B2497" s="114"/>
      <c r="C2497" s="114"/>
      <c r="D2497" s="115"/>
    </row>
    <row r="2498" spans="1:4" ht="42.75" customHeight="1" thickBot="1">
      <c r="A2498" s="119"/>
      <c r="B2498" s="119"/>
      <c r="C2498" s="119"/>
      <c r="D2498" s="119"/>
    </row>
    <row r="2499" spans="1:4" ht="42.75" customHeight="1" thickBot="1">
      <c r="A2499" s="126" t="s">
        <v>19</v>
      </c>
      <c r="B2499" s="127"/>
      <c r="C2499" s="127"/>
      <c r="D2499" s="128"/>
    </row>
    <row r="2500" spans="1:4" ht="42.75" customHeight="1" thickBot="1">
      <c r="A2500" s="123" t="s">
        <v>11</v>
      </c>
      <c r="B2500" s="124"/>
      <c r="C2500" s="125" t="s">
        <v>603</v>
      </c>
      <c r="D2500" s="124"/>
    </row>
    <row r="2501" spans="1:4" ht="42.75" customHeight="1" thickBot="1">
      <c r="A2501" s="1" t="s">
        <v>686</v>
      </c>
      <c r="B2501" s="26" t="s">
        <v>1</v>
      </c>
      <c r="C2501" s="90" t="s">
        <v>103</v>
      </c>
      <c r="D2501" s="91"/>
    </row>
    <row r="2502" spans="1:4" ht="42.75" customHeight="1" thickBot="1">
      <c r="A2502" s="26"/>
      <c r="B2502" s="26" t="s">
        <v>0</v>
      </c>
      <c r="C2502" s="5" t="s">
        <v>687</v>
      </c>
      <c r="D2502" s="4" t="s">
        <v>2</v>
      </c>
    </row>
    <row r="2503" spans="1:4" ht="42.75" customHeight="1" thickBot="1">
      <c r="A2503" s="92">
        <v>903</v>
      </c>
      <c r="B2503" s="93"/>
      <c r="C2503" s="94" t="s">
        <v>3</v>
      </c>
      <c r="D2503" s="95"/>
    </row>
    <row r="2504" spans="1:4" ht="42.75" customHeight="1" thickBot="1">
      <c r="A2504" s="92">
        <v>956</v>
      </c>
      <c r="B2504" s="93"/>
      <c r="C2504" s="96" t="s">
        <v>4</v>
      </c>
      <c r="D2504" s="97"/>
    </row>
    <row r="2505" spans="1:4" ht="42.75" customHeight="1" thickBot="1">
      <c r="A2505" s="98">
        <f>A2504-A2503</f>
        <v>53</v>
      </c>
      <c r="B2505" s="99"/>
      <c r="C2505" s="100" t="s">
        <v>5</v>
      </c>
      <c r="D2505" s="97"/>
    </row>
    <row r="2506" spans="1:4" ht="42.75" customHeight="1" thickBot="1">
      <c r="A2506" s="101">
        <v>62</v>
      </c>
      <c r="B2506" s="102"/>
      <c r="C2506" s="96" t="s">
        <v>6</v>
      </c>
      <c r="D2506" s="97"/>
    </row>
    <row r="2507" spans="1:4" ht="42.75" customHeight="1" thickBot="1">
      <c r="A2507" s="103"/>
      <c r="B2507" s="104"/>
      <c r="C2507" s="96" t="s">
        <v>21</v>
      </c>
      <c r="D2507" s="97"/>
    </row>
    <row r="2508" spans="1:4" ht="42.75" customHeight="1" thickBot="1">
      <c r="A2508" s="105">
        <v>3300</v>
      </c>
      <c r="B2508" s="106"/>
      <c r="C2508" s="96" t="s">
        <v>7</v>
      </c>
      <c r="D2508" s="97"/>
    </row>
    <row r="2509" spans="1:4" ht="42.75" customHeight="1" thickBot="1">
      <c r="A2509" s="107" t="s">
        <v>17</v>
      </c>
      <c r="B2509" s="108"/>
      <c r="C2509" s="108"/>
      <c r="D2509" s="109"/>
    </row>
    <row r="2510" spans="1:4" ht="42.75" customHeight="1" thickBot="1">
      <c r="A2510" s="110" t="s">
        <v>20</v>
      </c>
      <c r="B2510" s="111"/>
      <c r="C2510" s="111"/>
      <c r="D2510" s="112"/>
    </row>
    <row r="2511" spans="1:4" ht="42.75" customHeight="1" thickBot="1">
      <c r="A2511" s="113" t="s">
        <v>18</v>
      </c>
      <c r="B2511" s="114"/>
      <c r="C2511" s="114"/>
      <c r="D2511" s="115"/>
    </row>
    <row r="2512" spans="1:4" ht="42.75" customHeight="1" thickBot="1">
      <c r="A2512" s="126" t="s">
        <v>19</v>
      </c>
      <c r="B2512" s="127"/>
      <c r="C2512" s="127"/>
      <c r="D2512" s="128"/>
    </row>
    <row r="2513" spans="1:4" ht="42.75" customHeight="1" thickBot="1">
      <c r="A2513" s="123" t="s">
        <v>11</v>
      </c>
      <c r="B2513" s="124"/>
      <c r="C2513" s="125" t="s">
        <v>603</v>
      </c>
      <c r="D2513" s="124"/>
    </row>
    <row r="2514" spans="1:4" ht="42.75" customHeight="1" thickBot="1">
      <c r="A2514" s="1" t="s">
        <v>686</v>
      </c>
      <c r="B2514" s="26" t="s">
        <v>1</v>
      </c>
      <c r="C2514" s="90" t="s">
        <v>53</v>
      </c>
      <c r="D2514" s="91"/>
    </row>
    <row r="2515" spans="1:4" ht="42.75" customHeight="1" thickBot="1">
      <c r="A2515" s="26"/>
      <c r="B2515" s="26" t="s">
        <v>0</v>
      </c>
      <c r="C2515" s="5" t="s">
        <v>687</v>
      </c>
      <c r="D2515" s="4" t="s">
        <v>2</v>
      </c>
    </row>
    <row r="2516" spans="1:4" ht="42.75" customHeight="1" thickBot="1">
      <c r="A2516" s="92">
        <v>284</v>
      </c>
      <c r="B2516" s="93"/>
      <c r="C2516" s="94" t="s">
        <v>3</v>
      </c>
      <c r="D2516" s="95"/>
    </row>
    <row r="2517" spans="1:4" ht="42.75" customHeight="1" thickBot="1">
      <c r="A2517" s="92">
        <v>284</v>
      </c>
      <c r="B2517" s="93"/>
      <c r="C2517" s="96" t="s">
        <v>4</v>
      </c>
      <c r="D2517" s="97"/>
    </row>
    <row r="2518" spans="1:4" ht="42.75" customHeight="1" thickBot="1">
      <c r="A2518" s="98">
        <f>A2517-A2516</f>
        <v>0</v>
      </c>
      <c r="B2518" s="99"/>
      <c r="C2518" s="100" t="s">
        <v>5</v>
      </c>
      <c r="D2518" s="97"/>
    </row>
    <row r="2519" spans="1:4" ht="42.75" customHeight="1" thickBot="1">
      <c r="A2519" s="101">
        <v>62</v>
      </c>
      <c r="B2519" s="102"/>
      <c r="C2519" s="96" t="s">
        <v>6</v>
      </c>
      <c r="D2519" s="97"/>
    </row>
    <row r="2520" spans="1:4" ht="42.75" customHeight="1" thickBot="1">
      <c r="A2520" s="103"/>
      <c r="B2520" s="104"/>
      <c r="C2520" s="96" t="s">
        <v>21</v>
      </c>
      <c r="D2520" s="97"/>
    </row>
    <row r="2521" spans="1:4" ht="42.75" customHeight="1" thickBot="1">
      <c r="A2521" s="105">
        <f>A2519*A2518</f>
        <v>0</v>
      </c>
      <c r="B2521" s="106"/>
      <c r="C2521" s="96" t="s">
        <v>7</v>
      </c>
      <c r="D2521" s="97"/>
    </row>
    <row r="2522" spans="1:4" ht="42.75" customHeight="1" thickBot="1">
      <c r="A2522" s="107" t="s">
        <v>17</v>
      </c>
      <c r="B2522" s="108"/>
      <c r="C2522" s="108"/>
      <c r="D2522" s="109"/>
    </row>
    <row r="2523" spans="1:4" ht="42.75" customHeight="1" thickBot="1">
      <c r="A2523" s="116" t="s">
        <v>20</v>
      </c>
      <c r="B2523" s="117"/>
      <c r="C2523" s="117"/>
      <c r="D2523" s="118"/>
    </row>
    <row r="2524" spans="1:4" ht="42.75" customHeight="1" thickBot="1">
      <c r="A2524" s="113" t="s">
        <v>18</v>
      </c>
      <c r="B2524" s="114"/>
      <c r="C2524" s="114"/>
      <c r="D2524" s="115"/>
    </row>
    <row r="2525" spans="1:4" ht="42.75" customHeight="1" thickBot="1">
      <c r="A2525" s="119"/>
      <c r="B2525" s="119"/>
      <c r="C2525" s="119"/>
      <c r="D2525" s="119"/>
    </row>
    <row r="2526" spans="1:4" ht="42.75" customHeight="1" thickBot="1">
      <c r="A2526" s="126" t="s">
        <v>19</v>
      </c>
      <c r="B2526" s="127"/>
      <c r="C2526" s="127"/>
      <c r="D2526" s="128"/>
    </row>
    <row r="2527" spans="1:4" ht="42.75" customHeight="1" thickBot="1">
      <c r="A2527" s="123" t="s">
        <v>11</v>
      </c>
      <c r="B2527" s="124"/>
      <c r="C2527" s="125" t="s">
        <v>603</v>
      </c>
      <c r="D2527" s="124"/>
    </row>
    <row r="2528" spans="1:4" ht="42.75" customHeight="1" thickBot="1">
      <c r="A2528" s="1" t="s">
        <v>686</v>
      </c>
      <c r="B2528" s="26" t="s">
        <v>1</v>
      </c>
      <c r="C2528" s="90" t="s">
        <v>53</v>
      </c>
      <c r="D2528" s="91"/>
    </row>
    <row r="2529" spans="1:4" ht="42.75" customHeight="1" thickBot="1">
      <c r="A2529" s="26"/>
      <c r="B2529" s="26" t="s">
        <v>0</v>
      </c>
      <c r="C2529" s="5" t="s">
        <v>687</v>
      </c>
      <c r="D2529" s="4" t="s">
        <v>2</v>
      </c>
    </row>
    <row r="2530" spans="1:4" ht="42.75" customHeight="1" thickBot="1">
      <c r="A2530" s="92">
        <v>268</v>
      </c>
      <c r="B2530" s="93"/>
      <c r="C2530" s="94" t="s">
        <v>3</v>
      </c>
      <c r="D2530" s="95"/>
    </row>
    <row r="2531" spans="1:4" ht="42.75" customHeight="1" thickBot="1">
      <c r="A2531" s="92">
        <v>284</v>
      </c>
      <c r="B2531" s="93"/>
      <c r="C2531" s="96" t="s">
        <v>4</v>
      </c>
      <c r="D2531" s="97"/>
    </row>
    <row r="2532" spans="1:4" ht="42.75" customHeight="1" thickBot="1">
      <c r="A2532" s="98">
        <f>A2531-A2530</f>
        <v>16</v>
      </c>
      <c r="B2532" s="99"/>
      <c r="C2532" s="100" t="s">
        <v>5</v>
      </c>
      <c r="D2532" s="97"/>
    </row>
    <row r="2533" spans="1:4" ht="42.75" customHeight="1" thickBot="1">
      <c r="A2533" s="101">
        <v>62</v>
      </c>
      <c r="B2533" s="102"/>
      <c r="C2533" s="96" t="s">
        <v>6</v>
      </c>
      <c r="D2533" s="97"/>
    </row>
    <row r="2534" spans="1:4" ht="42.75" customHeight="1" thickBot="1">
      <c r="A2534" s="103"/>
      <c r="B2534" s="104"/>
      <c r="C2534" s="96" t="s">
        <v>21</v>
      </c>
      <c r="D2534" s="97"/>
    </row>
    <row r="2535" spans="1:4" ht="42.75" customHeight="1" thickBot="1">
      <c r="A2535" s="105">
        <v>1000</v>
      </c>
      <c r="B2535" s="106"/>
      <c r="C2535" s="96" t="s">
        <v>7</v>
      </c>
      <c r="D2535" s="97"/>
    </row>
    <row r="2536" spans="1:4" ht="42.75" customHeight="1" thickBot="1">
      <c r="A2536" s="107" t="s">
        <v>17</v>
      </c>
      <c r="B2536" s="108"/>
      <c r="C2536" s="108"/>
      <c r="D2536" s="109"/>
    </row>
    <row r="2537" spans="1:4" ht="42.75" customHeight="1" thickBot="1">
      <c r="A2537" s="110" t="s">
        <v>20</v>
      </c>
      <c r="B2537" s="111"/>
      <c r="C2537" s="111"/>
      <c r="D2537" s="112"/>
    </row>
    <row r="2538" spans="1:4" ht="42.75" customHeight="1" thickBot="1">
      <c r="A2538" s="113" t="s">
        <v>18</v>
      </c>
      <c r="B2538" s="114"/>
      <c r="C2538" s="114"/>
      <c r="D2538" s="115"/>
    </row>
    <row r="2539" spans="1:4" ht="42.75" customHeight="1" thickBot="1">
      <c r="A2539" s="126" t="s">
        <v>19</v>
      </c>
      <c r="B2539" s="127"/>
      <c r="C2539" s="127"/>
      <c r="D2539" s="128"/>
    </row>
    <row r="2540" spans="1:4" ht="42.75" customHeight="1" thickBot="1">
      <c r="A2540" s="123" t="s">
        <v>11</v>
      </c>
      <c r="B2540" s="124"/>
      <c r="C2540" s="125" t="s">
        <v>603</v>
      </c>
      <c r="D2540" s="124"/>
    </row>
    <row r="2541" spans="1:4" ht="42.75" customHeight="1" thickBot="1">
      <c r="A2541" s="1" t="s">
        <v>686</v>
      </c>
      <c r="B2541" s="26" t="s">
        <v>1</v>
      </c>
      <c r="C2541" s="90" t="s">
        <v>573</v>
      </c>
      <c r="D2541" s="91"/>
    </row>
    <row r="2542" spans="1:4" ht="42.75" customHeight="1" thickBot="1">
      <c r="A2542" s="26"/>
      <c r="B2542" s="26" t="s">
        <v>0</v>
      </c>
      <c r="C2542" s="5" t="s">
        <v>687</v>
      </c>
      <c r="D2542" s="4" t="s">
        <v>2</v>
      </c>
    </row>
    <row r="2543" spans="1:4" ht="42.75" customHeight="1" thickBot="1">
      <c r="A2543" s="92">
        <v>283</v>
      </c>
      <c r="B2543" s="93"/>
      <c r="C2543" s="94" t="s">
        <v>3</v>
      </c>
      <c r="D2543" s="95"/>
    </row>
    <row r="2544" spans="1:4" ht="42.75" customHeight="1" thickBot="1">
      <c r="A2544" s="92">
        <v>283</v>
      </c>
      <c r="B2544" s="93"/>
      <c r="C2544" s="96" t="s">
        <v>4</v>
      </c>
      <c r="D2544" s="97"/>
    </row>
    <row r="2545" spans="1:4" ht="42.75" customHeight="1" thickBot="1">
      <c r="A2545" s="98">
        <f>A2544-A2543</f>
        <v>0</v>
      </c>
      <c r="B2545" s="99"/>
      <c r="C2545" s="100" t="s">
        <v>5</v>
      </c>
      <c r="D2545" s="97"/>
    </row>
    <row r="2546" spans="1:4" ht="42.75" customHeight="1" thickBot="1">
      <c r="A2546" s="101">
        <v>62</v>
      </c>
      <c r="B2546" s="102"/>
      <c r="C2546" s="96" t="s">
        <v>6</v>
      </c>
      <c r="D2546" s="97"/>
    </row>
    <row r="2547" spans="1:4" ht="42.75" customHeight="1" thickBot="1">
      <c r="A2547" s="103"/>
      <c r="B2547" s="104"/>
      <c r="C2547" s="96" t="s">
        <v>21</v>
      </c>
      <c r="D2547" s="97"/>
    </row>
    <row r="2548" spans="1:4" ht="42.75" customHeight="1" thickBot="1">
      <c r="A2548" s="105">
        <f>A2546*A2545</f>
        <v>0</v>
      </c>
      <c r="B2548" s="106"/>
      <c r="C2548" s="96" t="s">
        <v>7</v>
      </c>
      <c r="D2548" s="97"/>
    </row>
    <row r="2549" spans="1:4" ht="42.75" customHeight="1" thickBot="1">
      <c r="A2549" s="107" t="s">
        <v>17</v>
      </c>
      <c r="B2549" s="108"/>
      <c r="C2549" s="108"/>
      <c r="D2549" s="109"/>
    </row>
    <row r="2550" spans="1:4" ht="42.75" customHeight="1" thickBot="1">
      <c r="A2550" s="116" t="s">
        <v>20</v>
      </c>
      <c r="B2550" s="117"/>
      <c r="C2550" s="117"/>
      <c r="D2550" s="118"/>
    </row>
    <row r="2551" spans="1:4" ht="42.75" customHeight="1" thickBot="1">
      <c r="A2551" s="113" t="s">
        <v>18</v>
      </c>
      <c r="B2551" s="114"/>
      <c r="C2551" s="114"/>
      <c r="D2551" s="115"/>
    </row>
    <row r="2552" spans="1:4" ht="42.75" customHeight="1" thickBot="1">
      <c r="A2552" s="119"/>
      <c r="B2552" s="119"/>
      <c r="C2552" s="119"/>
      <c r="D2552" s="119"/>
    </row>
    <row r="2553" spans="1:4" ht="42.75" customHeight="1" thickBot="1">
      <c r="A2553" s="126" t="s">
        <v>19</v>
      </c>
      <c r="B2553" s="127"/>
      <c r="C2553" s="127"/>
      <c r="D2553" s="128"/>
    </row>
    <row r="2554" spans="1:4" ht="42.75" customHeight="1" thickBot="1">
      <c r="A2554" s="123" t="s">
        <v>11</v>
      </c>
      <c r="B2554" s="124"/>
      <c r="C2554" s="125" t="s">
        <v>603</v>
      </c>
      <c r="D2554" s="124"/>
    </row>
    <row r="2555" spans="1:4" ht="42.75" customHeight="1" thickBot="1">
      <c r="A2555" s="1" t="s">
        <v>686</v>
      </c>
      <c r="B2555" s="26" t="s">
        <v>1</v>
      </c>
      <c r="C2555" s="90" t="s">
        <v>573</v>
      </c>
      <c r="D2555" s="91"/>
    </row>
    <row r="2556" spans="1:4" ht="42.75" customHeight="1" thickBot="1">
      <c r="A2556" s="26"/>
      <c r="B2556" s="26" t="s">
        <v>0</v>
      </c>
      <c r="C2556" s="5" t="s">
        <v>687</v>
      </c>
      <c r="D2556" s="4" t="s">
        <v>2</v>
      </c>
    </row>
    <row r="2557" spans="1:4" ht="42.75" customHeight="1" thickBot="1">
      <c r="A2557" s="92">
        <v>268</v>
      </c>
      <c r="B2557" s="93"/>
      <c r="C2557" s="94" t="s">
        <v>3</v>
      </c>
      <c r="D2557" s="95"/>
    </row>
    <row r="2558" spans="1:4" ht="42.75" customHeight="1" thickBot="1">
      <c r="A2558" s="92">
        <v>283</v>
      </c>
      <c r="B2558" s="93"/>
      <c r="C2558" s="96" t="s">
        <v>4</v>
      </c>
      <c r="D2558" s="97"/>
    </row>
    <row r="2559" spans="1:4" ht="42.75" customHeight="1" thickBot="1">
      <c r="A2559" s="98">
        <f>A2558-A2557</f>
        <v>15</v>
      </c>
      <c r="B2559" s="99"/>
      <c r="C2559" s="100" t="s">
        <v>5</v>
      </c>
      <c r="D2559" s="97"/>
    </row>
    <row r="2560" spans="1:4" ht="42.75" customHeight="1" thickBot="1">
      <c r="A2560" s="101">
        <v>62</v>
      </c>
      <c r="B2560" s="102"/>
      <c r="C2560" s="96" t="s">
        <v>6</v>
      </c>
      <c r="D2560" s="97"/>
    </row>
    <row r="2561" spans="1:4" ht="42.75" customHeight="1" thickBot="1">
      <c r="A2561" s="103"/>
      <c r="B2561" s="104"/>
      <c r="C2561" s="96" t="s">
        <v>21</v>
      </c>
      <c r="D2561" s="97"/>
    </row>
    <row r="2562" spans="1:4" ht="42.75" customHeight="1" thickBot="1">
      <c r="A2562" s="105">
        <v>950</v>
      </c>
      <c r="B2562" s="106"/>
      <c r="C2562" s="96" t="s">
        <v>7</v>
      </c>
      <c r="D2562" s="97"/>
    </row>
    <row r="2563" spans="1:4" ht="42.75" customHeight="1" thickBot="1">
      <c r="A2563" s="107" t="s">
        <v>17</v>
      </c>
      <c r="B2563" s="108"/>
      <c r="C2563" s="108"/>
      <c r="D2563" s="109"/>
    </row>
    <row r="2564" spans="1:4" ht="42.75" customHeight="1" thickBot="1">
      <c r="A2564" s="110" t="s">
        <v>20</v>
      </c>
      <c r="B2564" s="111"/>
      <c r="C2564" s="111"/>
      <c r="D2564" s="112"/>
    </row>
    <row r="2565" spans="1:4" ht="42.75" customHeight="1" thickBot="1">
      <c r="A2565" s="113" t="s">
        <v>18</v>
      </c>
      <c r="B2565" s="114"/>
      <c r="C2565" s="114"/>
      <c r="D2565" s="115"/>
    </row>
    <row r="2566" spans="1:4" ht="42.75" customHeight="1" thickBot="1">
      <c r="A2566" s="126" t="s">
        <v>19</v>
      </c>
      <c r="B2566" s="127"/>
      <c r="C2566" s="127"/>
      <c r="D2566" s="128"/>
    </row>
    <row r="2567" spans="1:4" ht="42.75" customHeight="1" thickBot="1">
      <c r="A2567" s="123" t="s">
        <v>11</v>
      </c>
      <c r="B2567" s="124"/>
      <c r="C2567" s="125" t="s">
        <v>603</v>
      </c>
      <c r="D2567" s="124"/>
    </row>
    <row r="2568" spans="1:4" ht="42.75" customHeight="1" thickBot="1">
      <c r="A2568" s="1" t="s">
        <v>686</v>
      </c>
      <c r="B2568" s="26" t="s">
        <v>1</v>
      </c>
      <c r="C2568" s="90" t="s">
        <v>104</v>
      </c>
      <c r="D2568" s="91"/>
    </row>
    <row r="2569" spans="1:4" ht="42.75" customHeight="1" thickBot="1">
      <c r="A2569" s="26"/>
      <c r="B2569" s="26" t="s">
        <v>0</v>
      </c>
      <c r="C2569" s="5" t="s">
        <v>687</v>
      </c>
      <c r="D2569" s="4" t="s">
        <v>2</v>
      </c>
    </row>
    <row r="2570" spans="1:4" ht="42.75" customHeight="1" thickBot="1">
      <c r="A2570" s="92">
        <v>301</v>
      </c>
      <c r="B2570" s="93"/>
      <c r="C2570" s="94" t="s">
        <v>3</v>
      </c>
      <c r="D2570" s="95"/>
    </row>
    <row r="2571" spans="1:4" ht="42.75" customHeight="1" thickBot="1">
      <c r="A2571" s="92">
        <v>301</v>
      </c>
      <c r="B2571" s="93"/>
      <c r="C2571" s="96" t="s">
        <v>4</v>
      </c>
      <c r="D2571" s="97"/>
    </row>
    <row r="2572" spans="1:4" ht="42.75" customHeight="1" thickBot="1">
      <c r="A2572" s="98">
        <f>A2571-A2570</f>
        <v>0</v>
      </c>
      <c r="B2572" s="99"/>
      <c r="C2572" s="100" t="s">
        <v>5</v>
      </c>
      <c r="D2572" s="97"/>
    </row>
    <row r="2573" spans="1:4" ht="42.75" customHeight="1" thickBot="1">
      <c r="A2573" s="101">
        <v>62</v>
      </c>
      <c r="B2573" s="102"/>
      <c r="C2573" s="96" t="s">
        <v>6</v>
      </c>
      <c r="D2573" s="97"/>
    </row>
    <row r="2574" spans="1:4" ht="42.75" customHeight="1" thickBot="1">
      <c r="A2574" s="103"/>
      <c r="B2574" s="104"/>
      <c r="C2574" s="96" t="s">
        <v>21</v>
      </c>
      <c r="D2574" s="97"/>
    </row>
    <row r="2575" spans="1:4" ht="42.75" customHeight="1" thickBot="1">
      <c r="A2575" s="105">
        <f>A2573*A2572</f>
        <v>0</v>
      </c>
      <c r="B2575" s="106"/>
      <c r="C2575" s="96" t="s">
        <v>7</v>
      </c>
      <c r="D2575" s="97"/>
    </row>
    <row r="2576" spans="1:4" ht="42.75" customHeight="1" thickBot="1">
      <c r="A2576" s="107" t="s">
        <v>17</v>
      </c>
      <c r="B2576" s="108"/>
      <c r="C2576" s="108"/>
      <c r="D2576" s="109"/>
    </row>
    <row r="2577" spans="1:4" ht="42.75" customHeight="1" thickBot="1">
      <c r="A2577" s="116" t="s">
        <v>20</v>
      </c>
      <c r="B2577" s="117"/>
      <c r="C2577" s="117"/>
      <c r="D2577" s="118"/>
    </row>
    <row r="2578" spans="1:4" ht="42.75" customHeight="1" thickBot="1">
      <c r="A2578" s="113" t="s">
        <v>18</v>
      </c>
      <c r="B2578" s="114"/>
      <c r="C2578" s="114"/>
      <c r="D2578" s="115"/>
    </row>
    <row r="2579" spans="1:4" ht="42.75" customHeight="1" thickBot="1">
      <c r="A2579" s="119"/>
      <c r="B2579" s="119"/>
      <c r="C2579" s="119"/>
      <c r="D2579" s="119"/>
    </row>
    <row r="2580" spans="1:4" ht="42.75" customHeight="1" thickBot="1">
      <c r="A2580" s="126" t="s">
        <v>19</v>
      </c>
      <c r="B2580" s="127"/>
      <c r="C2580" s="127"/>
      <c r="D2580" s="128"/>
    </row>
    <row r="2581" spans="1:4" ht="42.75" customHeight="1" thickBot="1">
      <c r="A2581" s="123" t="s">
        <v>11</v>
      </c>
      <c r="B2581" s="124"/>
      <c r="C2581" s="125" t="s">
        <v>603</v>
      </c>
      <c r="D2581" s="124"/>
    </row>
    <row r="2582" spans="1:4" ht="42.75" customHeight="1" thickBot="1">
      <c r="A2582" s="1" t="s">
        <v>686</v>
      </c>
      <c r="B2582" s="26" t="s">
        <v>1</v>
      </c>
      <c r="C2582" s="90" t="s">
        <v>104</v>
      </c>
      <c r="D2582" s="91"/>
    </row>
    <row r="2583" spans="1:4" ht="42.75" customHeight="1" thickBot="1">
      <c r="A2583" s="26"/>
      <c r="B2583" s="26" t="s">
        <v>0</v>
      </c>
      <c r="C2583" s="5" t="s">
        <v>687</v>
      </c>
      <c r="D2583" s="4" t="s">
        <v>2</v>
      </c>
    </row>
    <row r="2584" spans="1:4" ht="42.75" customHeight="1" thickBot="1">
      <c r="A2584" s="92">
        <v>289</v>
      </c>
      <c r="B2584" s="93"/>
      <c r="C2584" s="94" t="s">
        <v>3</v>
      </c>
      <c r="D2584" s="95"/>
    </row>
    <row r="2585" spans="1:4" ht="42.75" customHeight="1" thickBot="1">
      <c r="A2585" s="92">
        <v>301</v>
      </c>
      <c r="B2585" s="93"/>
      <c r="C2585" s="96" t="s">
        <v>4</v>
      </c>
      <c r="D2585" s="97"/>
    </row>
    <row r="2586" spans="1:4" ht="42.75" customHeight="1" thickBot="1">
      <c r="A2586" s="98">
        <f>A2585-A2584</f>
        <v>12</v>
      </c>
      <c r="B2586" s="99"/>
      <c r="C2586" s="100" t="s">
        <v>5</v>
      </c>
      <c r="D2586" s="97"/>
    </row>
    <row r="2587" spans="1:4" ht="42.75" customHeight="1" thickBot="1">
      <c r="A2587" s="101">
        <v>62</v>
      </c>
      <c r="B2587" s="102"/>
      <c r="C2587" s="96" t="s">
        <v>6</v>
      </c>
      <c r="D2587" s="97"/>
    </row>
    <row r="2588" spans="1:4" ht="42.75" customHeight="1" thickBot="1">
      <c r="A2588" s="103"/>
      <c r="B2588" s="104"/>
      <c r="C2588" s="96" t="s">
        <v>21</v>
      </c>
      <c r="D2588" s="97"/>
    </row>
    <row r="2589" spans="1:4" ht="42.75" customHeight="1" thickBot="1">
      <c r="A2589" s="105">
        <v>750</v>
      </c>
      <c r="B2589" s="106"/>
      <c r="C2589" s="96" t="s">
        <v>7</v>
      </c>
      <c r="D2589" s="97"/>
    </row>
    <row r="2590" spans="1:4" ht="42.75" customHeight="1" thickBot="1">
      <c r="A2590" s="107" t="s">
        <v>17</v>
      </c>
      <c r="B2590" s="108"/>
      <c r="C2590" s="108"/>
      <c r="D2590" s="109"/>
    </row>
    <row r="2591" spans="1:4" ht="42.75" customHeight="1" thickBot="1">
      <c r="A2591" s="110" t="s">
        <v>20</v>
      </c>
      <c r="B2591" s="111"/>
      <c r="C2591" s="111"/>
      <c r="D2591" s="112"/>
    </row>
    <row r="2592" spans="1:4" ht="42.75" customHeight="1" thickBot="1">
      <c r="A2592" s="113" t="s">
        <v>18</v>
      </c>
      <c r="B2592" s="114"/>
      <c r="C2592" s="114"/>
      <c r="D2592" s="115"/>
    </row>
    <row r="2593" spans="1:4" ht="42.75" customHeight="1" thickBot="1">
      <c r="A2593" s="126" t="s">
        <v>19</v>
      </c>
      <c r="B2593" s="127"/>
      <c r="C2593" s="127"/>
      <c r="D2593" s="128"/>
    </row>
    <row r="2594" spans="1:4" ht="42.75" customHeight="1" thickBot="1">
      <c r="A2594" s="123" t="s">
        <v>11</v>
      </c>
      <c r="B2594" s="124"/>
      <c r="C2594" s="125" t="s">
        <v>603</v>
      </c>
      <c r="D2594" s="124"/>
    </row>
    <row r="2595" spans="1:4" ht="42.75" customHeight="1" thickBot="1">
      <c r="A2595" s="1" t="s">
        <v>686</v>
      </c>
      <c r="B2595" s="26" t="s">
        <v>1</v>
      </c>
      <c r="C2595" s="90" t="s">
        <v>105</v>
      </c>
      <c r="D2595" s="91"/>
    </row>
    <row r="2596" spans="1:4" ht="42.75" customHeight="1" thickBot="1">
      <c r="A2596" s="26"/>
      <c r="B2596" s="26" t="s">
        <v>0</v>
      </c>
      <c r="C2596" s="5" t="s">
        <v>687</v>
      </c>
      <c r="D2596" s="4" t="s">
        <v>2</v>
      </c>
    </row>
    <row r="2597" spans="1:4" ht="42.75" customHeight="1" thickBot="1">
      <c r="A2597" s="92">
        <v>35180</v>
      </c>
      <c r="B2597" s="93"/>
      <c r="C2597" s="94" t="s">
        <v>3</v>
      </c>
      <c r="D2597" s="95"/>
    </row>
    <row r="2598" spans="1:4" ht="42.75" customHeight="1" thickBot="1">
      <c r="A2598" s="92">
        <v>35180</v>
      </c>
      <c r="B2598" s="93"/>
      <c r="C2598" s="96" t="s">
        <v>4</v>
      </c>
      <c r="D2598" s="97"/>
    </row>
    <row r="2599" spans="1:4" ht="42.75" customHeight="1" thickBot="1">
      <c r="A2599" s="98">
        <f>A2598-A2597</f>
        <v>0</v>
      </c>
      <c r="B2599" s="99"/>
      <c r="C2599" s="100" t="s">
        <v>5</v>
      </c>
      <c r="D2599" s="97"/>
    </row>
    <row r="2600" spans="1:4" ht="42.75" customHeight="1" thickBot="1">
      <c r="A2600" s="101">
        <v>25</v>
      </c>
      <c r="B2600" s="102"/>
      <c r="C2600" s="96" t="s">
        <v>6</v>
      </c>
      <c r="D2600" s="97"/>
    </row>
    <row r="2601" spans="1:4" ht="42.75" customHeight="1" thickBot="1">
      <c r="A2601" s="103"/>
      <c r="B2601" s="104"/>
      <c r="C2601" s="96" t="s">
        <v>21</v>
      </c>
      <c r="D2601" s="97"/>
    </row>
    <row r="2602" spans="1:4" ht="42.75" customHeight="1" thickBot="1">
      <c r="A2602" s="105">
        <f>A2600*A2599</f>
        <v>0</v>
      </c>
      <c r="B2602" s="106"/>
      <c r="C2602" s="96" t="s">
        <v>7</v>
      </c>
      <c r="D2602" s="97"/>
    </row>
    <row r="2603" spans="1:4" ht="42.75" customHeight="1" thickBot="1">
      <c r="A2603" s="107" t="s">
        <v>17</v>
      </c>
      <c r="B2603" s="108"/>
      <c r="C2603" s="108"/>
      <c r="D2603" s="109"/>
    </row>
    <row r="2604" spans="1:4" ht="42.75" customHeight="1" thickBot="1">
      <c r="A2604" s="116" t="s">
        <v>20</v>
      </c>
      <c r="B2604" s="117"/>
      <c r="C2604" s="117"/>
      <c r="D2604" s="118"/>
    </row>
    <row r="2605" spans="1:4" ht="42.75" customHeight="1" thickBot="1">
      <c r="A2605" s="113" t="s">
        <v>18</v>
      </c>
      <c r="B2605" s="114"/>
      <c r="C2605" s="114"/>
      <c r="D2605" s="115"/>
    </row>
    <row r="2606" spans="1:4" ht="42.75" customHeight="1" thickBot="1">
      <c r="A2606" s="119"/>
      <c r="B2606" s="119"/>
      <c r="C2606" s="119"/>
      <c r="D2606" s="119"/>
    </row>
    <row r="2607" spans="1:4" ht="42.75" customHeight="1" thickBot="1">
      <c r="A2607" s="132" t="s">
        <v>19</v>
      </c>
      <c r="B2607" s="133"/>
      <c r="C2607" s="133"/>
      <c r="D2607" s="134"/>
    </row>
    <row r="2608" spans="1:4" ht="42.75" customHeight="1" thickBot="1">
      <c r="A2608" s="123" t="s">
        <v>11</v>
      </c>
      <c r="B2608" s="124"/>
      <c r="C2608" s="123" t="s">
        <v>603</v>
      </c>
      <c r="D2608" s="124"/>
    </row>
    <row r="2609" spans="1:4" ht="42.75" customHeight="1" thickBot="1">
      <c r="A2609" s="1" t="s">
        <v>686</v>
      </c>
      <c r="B2609" s="26" t="s">
        <v>1</v>
      </c>
      <c r="C2609" s="90" t="s">
        <v>105</v>
      </c>
      <c r="D2609" s="91"/>
    </row>
    <row r="2610" spans="1:4" ht="42.75" customHeight="1" thickBot="1">
      <c r="A2610" s="26"/>
      <c r="B2610" s="26" t="s">
        <v>0</v>
      </c>
      <c r="C2610" s="5" t="s">
        <v>687</v>
      </c>
      <c r="D2610" s="4" t="s">
        <v>2</v>
      </c>
    </row>
    <row r="2611" spans="1:4" ht="42.75" customHeight="1" thickBot="1">
      <c r="A2611" s="92">
        <v>34425</v>
      </c>
      <c r="B2611" s="93"/>
      <c r="C2611" s="94" t="s">
        <v>3</v>
      </c>
      <c r="D2611" s="95"/>
    </row>
    <row r="2612" spans="1:4" ht="42.75" customHeight="1" thickBot="1">
      <c r="A2612" s="92">
        <v>35180</v>
      </c>
      <c r="B2612" s="93"/>
      <c r="C2612" s="96" t="s">
        <v>4</v>
      </c>
      <c r="D2612" s="97"/>
    </row>
    <row r="2613" spans="1:4" ht="42.75" customHeight="1" thickBot="1">
      <c r="A2613" s="98">
        <f>A2612-A2611</f>
        <v>755</v>
      </c>
      <c r="B2613" s="99"/>
      <c r="C2613" s="96" t="s">
        <v>5</v>
      </c>
      <c r="D2613" s="97"/>
    </row>
    <row r="2614" spans="1:4" ht="42.75" customHeight="1" thickBot="1">
      <c r="A2614" s="101">
        <v>62</v>
      </c>
      <c r="B2614" s="102"/>
      <c r="C2614" s="96" t="s">
        <v>6</v>
      </c>
      <c r="D2614" s="97"/>
    </row>
    <row r="2615" spans="1:4" ht="42.75" customHeight="1" thickBot="1">
      <c r="A2615" s="103"/>
      <c r="B2615" s="104"/>
      <c r="C2615" s="96" t="s">
        <v>21</v>
      </c>
      <c r="D2615" s="97"/>
    </row>
    <row r="2616" spans="1:4" ht="42.75" customHeight="1" thickBot="1">
      <c r="A2616" s="105">
        <f>A2614*A2613</f>
        <v>46810</v>
      </c>
      <c r="B2616" s="106"/>
      <c r="C2616" s="96" t="s">
        <v>7</v>
      </c>
      <c r="D2616" s="97"/>
    </row>
    <row r="2617" spans="1:4" ht="42.75" customHeight="1" thickBot="1">
      <c r="A2617" s="107" t="s">
        <v>17</v>
      </c>
      <c r="B2617" s="108"/>
      <c r="C2617" s="108"/>
      <c r="D2617" s="109"/>
    </row>
    <row r="2618" spans="1:4" ht="42.75" customHeight="1" thickBot="1">
      <c r="A2618" s="110" t="s">
        <v>20</v>
      </c>
      <c r="B2618" s="111"/>
      <c r="C2618" s="111"/>
      <c r="D2618" s="112"/>
    </row>
    <row r="2619" spans="1:4" ht="42.75" customHeight="1" thickBot="1">
      <c r="A2619" s="113" t="s">
        <v>18</v>
      </c>
      <c r="B2619" s="114"/>
      <c r="C2619" s="114"/>
      <c r="D2619" s="115"/>
    </row>
    <row r="2620" spans="1:4" ht="42.75" customHeight="1" thickBot="1">
      <c r="A2620" s="126" t="s">
        <v>19</v>
      </c>
      <c r="B2620" s="127"/>
      <c r="C2620" s="127"/>
      <c r="D2620" s="128"/>
    </row>
    <row r="2621" spans="1:4" ht="42.75" customHeight="1" thickBot="1">
      <c r="A2621" s="123" t="s">
        <v>11</v>
      </c>
      <c r="B2621" s="124"/>
      <c r="C2621" s="125" t="s">
        <v>603</v>
      </c>
      <c r="D2621" s="124"/>
    </row>
    <row r="2622" spans="1:4" ht="42.75" customHeight="1" thickBot="1">
      <c r="A2622" s="1" t="s">
        <v>686</v>
      </c>
      <c r="B2622" s="26" t="s">
        <v>1</v>
      </c>
      <c r="C2622" s="90" t="s">
        <v>574</v>
      </c>
      <c r="D2622" s="91"/>
    </row>
    <row r="2623" spans="1:4" ht="42.75" customHeight="1" thickBot="1">
      <c r="A2623" s="26"/>
      <c r="B2623" s="26" t="s">
        <v>0</v>
      </c>
      <c r="C2623" s="5" t="s">
        <v>687</v>
      </c>
      <c r="D2623" s="4" t="s">
        <v>2</v>
      </c>
    </row>
    <row r="2624" spans="1:4" ht="42.75" customHeight="1" thickBot="1">
      <c r="A2624" s="92">
        <v>475</v>
      </c>
      <c r="B2624" s="93"/>
      <c r="C2624" s="94" t="s">
        <v>3</v>
      </c>
      <c r="D2624" s="95"/>
    </row>
    <row r="2625" spans="1:4" ht="42.75" customHeight="1" thickBot="1">
      <c r="A2625" s="92">
        <v>475</v>
      </c>
      <c r="B2625" s="93"/>
      <c r="C2625" s="96" t="s">
        <v>4</v>
      </c>
      <c r="D2625" s="97"/>
    </row>
    <row r="2626" spans="1:4" ht="42.75" customHeight="1" thickBot="1">
      <c r="A2626" s="98">
        <f>A2625-A2624</f>
        <v>0</v>
      </c>
      <c r="B2626" s="99"/>
      <c r="C2626" s="100" t="s">
        <v>5</v>
      </c>
      <c r="D2626" s="97"/>
    </row>
    <row r="2627" spans="1:4" ht="42.75" customHeight="1" thickBot="1">
      <c r="A2627" s="101">
        <v>62</v>
      </c>
      <c r="B2627" s="102"/>
      <c r="C2627" s="96" t="s">
        <v>6</v>
      </c>
      <c r="D2627" s="97"/>
    </row>
    <row r="2628" spans="1:4" ht="42.75" customHeight="1" thickBot="1">
      <c r="A2628" s="103"/>
      <c r="B2628" s="104"/>
      <c r="C2628" s="96" t="s">
        <v>21</v>
      </c>
      <c r="D2628" s="97"/>
    </row>
    <row r="2629" spans="1:4" ht="42.75" customHeight="1" thickBot="1">
      <c r="A2629" s="105">
        <f>A2627*A2626</f>
        <v>0</v>
      </c>
      <c r="B2629" s="106"/>
      <c r="C2629" s="96" t="s">
        <v>7</v>
      </c>
      <c r="D2629" s="97"/>
    </row>
    <row r="2630" spans="1:4" ht="42.75" customHeight="1" thickBot="1">
      <c r="A2630" s="107" t="s">
        <v>17</v>
      </c>
      <c r="B2630" s="108"/>
      <c r="C2630" s="108"/>
      <c r="D2630" s="109"/>
    </row>
    <row r="2631" spans="1:4" ht="42.75" customHeight="1" thickBot="1">
      <c r="A2631" s="116" t="s">
        <v>20</v>
      </c>
      <c r="B2631" s="117"/>
      <c r="C2631" s="117"/>
      <c r="D2631" s="118"/>
    </row>
    <row r="2632" spans="1:4" ht="42.75" customHeight="1" thickBot="1">
      <c r="A2632" s="113" t="s">
        <v>18</v>
      </c>
      <c r="B2632" s="114"/>
      <c r="C2632" s="114"/>
      <c r="D2632" s="115"/>
    </row>
    <row r="2633" spans="1:4" ht="42.75" customHeight="1" thickBot="1">
      <c r="A2633" s="119"/>
      <c r="B2633" s="119"/>
      <c r="C2633" s="119"/>
      <c r="D2633" s="119"/>
    </row>
    <row r="2634" spans="1:4" ht="42.75" customHeight="1" thickBot="1">
      <c r="A2634" s="126" t="s">
        <v>19</v>
      </c>
      <c r="B2634" s="127"/>
      <c r="C2634" s="127"/>
      <c r="D2634" s="128"/>
    </row>
    <row r="2635" spans="1:4" ht="42.75" customHeight="1" thickBot="1">
      <c r="A2635" s="123" t="s">
        <v>11</v>
      </c>
      <c r="B2635" s="124"/>
      <c r="C2635" s="125" t="s">
        <v>603</v>
      </c>
      <c r="D2635" s="124"/>
    </row>
    <row r="2636" spans="1:4" ht="42.75" customHeight="1" thickBot="1">
      <c r="A2636" s="1" t="s">
        <v>686</v>
      </c>
      <c r="B2636" s="26" t="s">
        <v>1</v>
      </c>
      <c r="C2636" s="90" t="s">
        <v>574</v>
      </c>
      <c r="D2636" s="91"/>
    </row>
    <row r="2637" spans="1:4" ht="42.75" customHeight="1" thickBot="1">
      <c r="A2637" s="26"/>
      <c r="B2637" s="26" t="s">
        <v>0</v>
      </c>
      <c r="C2637" s="5" t="s">
        <v>687</v>
      </c>
      <c r="D2637" s="4" t="s">
        <v>2</v>
      </c>
    </row>
    <row r="2638" spans="1:4" ht="42.75" customHeight="1" thickBot="1">
      <c r="A2638" s="92">
        <v>460</v>
      </c>
      <c r="B2638" s="93"/>
      <c r="C2638" s="94" t="s">
        <v>3</v>
      </c>
      <c r="D2638" s="95"/>
    </row>
    <row r="2639" spans="1:4" ht="42.75" customHeight="1" thickBot="1">
      <c r="A2639" s="92">
        <v>475</v>
      </c>
      <c r="B2639" s="93"/>
      <c r="C2639" s="96" t="s">
        <v>4</v>
      </c>
      <c r="D2639" s="97"/>
    </row>
    <row r="2640" spans="1:4" ht="42.75" customHeight="1" thickBot="1">
      <c r="A2640" s="98">
        <f>A2639-A2638</f>
        <v>15</v>
      </c>
      <c r="B2640" s="99"/>
      <c r="C2640" s="100" t="s">
        <v>5</v>
      </c>
      <c r="D2640" s="97"/>
    </row>
    <row r="2641" spans="1:4" ht="42.75" customHeight="1" thickBot="1">
      <c r="A2641" s="101">
        <v>62</v>
      </c>
      <c r="B2641" s="102"/>
      <c r="C2641" s="96" t="s">
        <v>6</v>
      </c>
      <c r="D2641" s="97"/>
    </row>
    <row r="2642" spans="1:4" ht="42.75" customHeight="1" thickBot="1">
      <c r="A2642" s="103"/>
      <c r="B2642" s="104"/>
      <c r="C2642" s="96" t="s">
        <v>21</v>
      </c>
      <c r="D2642" s="97"/>
    </row>
    <row r="2643" spans="1:4" ht="42.75" customHeight="1" thickBot="1">
      <c r="A2643" s="105">
        <v>950</v>
      </c>
      <c r="B2643" s="106"/>
      <c r="C2643" s="96" t="s">
        <v>7</v>
      </c>
      <c r="D2643" s="97"/>
    </row>
    <row r="2644" spans="1:4" ht="42.75" customHeight="1" thickBot="1">
      <c r="A2644" s="107" t="s">
        <v>17</v>
      </c>
      <c r="B2644" s="108"/>
      <c r="C2644" s="108"/>
      <c r="D2644" s="109"/>
    </row>
    <row r="2645" spans="1:4" ht="42.75" customHeight="1" thickBot="1">
      <c r="A2645" s="110" t="s">
        <v>20</v>
      </c>
      <c r="B2645" s="111"/>
      <c r="C2645" s="111"/>
      <c r="D2645" s="112"/>
    </row>
    <row r="2646" spans="1:4" ht="42.75" customHeight="1" thickBot="1">
      <c r="A2646" s="113" t="s">
        <v>18</v>
      </c>
      <c r="B2646" s="114"/>
      <c r="C2646" s="114"/>
      <c r="D2646" s="115"/>
    </row>
    <row r="2647" spans="1:4" ht="42.75" customHeight="1" thickBot="1">
      <c r="A2647" s="126" t="s">
        <v>19</v>
      </c>
      <c r="B2647" s="127"/>
      <c r="C2647" s="127"/>
      <c r="D2647" s="128"/>
    </row>
    <row r="2648" spans="1:4" ht="42.75" customHeight="1" thickBot="1">
      <c r="A2648" s="123" t="s">
        <v>11</v>
      </c>
      <c r="B2648" s="124"/>
      <c r="C2648" s="125" t="s">
        <v>603</v>
      </c>
      <c r="D2648" s="124"/>
    </row>
    <row r="2649" spans="1:4" ht="42.75" customHeight="1" thickBot="1">
      <c r="A2649" s="1" t="s">
        <v>686</v>
      </c>
      <c r="B2649" s="26" t="s">
        <v>1</v>
      </c>
      <c r="C2649" s="90" t="s">
        <v>205</v>
      </c>
      <c r="D2649" s="91"/>
    </row>
    <row r="2650" spans="1:4" ht="42.75" customHeight="1" thickBot="1">
      <c r="A2650" s="26"/>
      <c r="B2650" s="26" t="s">
        <v>0</v>
      </c>
      <c r="C2650" s="5" t="s">
        <v>687</v>
      </c>
      <c r="D2650" s="4" t="s">
        <v>2</v>
      </c>
    </row>
    <row r="2651" spans="1:4" ht="42.75" customHeight="1" thickBot="1">
      <c r="A2651" s="92">
        <v>10</v>
      </c>
      <c r="B2651" s="93"/>
      <c r="C2651" s="94" t="s">
        <v>3</v>
      </c>
      <c r="D2651" s="95"/>
    </row>
    <row r="2652" spans="1:4" ht="42.75" customHeight="1" thickBot="1">
      <c r="A2652" s="92">
        <v>0</v>
      </c>
      <c r="B2652" s="93"/>
      <c r="C2652" s="96" t="s">
        <v>4</v>
      </c>
      <c r="D2652" s="97"/>
    </row>
    <row r="2653" spans="1:4" ht="42.75" customHeight="1" thickBot="1">
      <c r="A2653" s="98">
        <v>0</v>
      </c>
      <c r="B2653" s="99"/>
      <c r="C2653" s="100" t="s">
        <v>5</v>
      </c>
      <c r="D2653" s="97"/>
    </row>
    <row r="2654" spans="1:4" ht="42.75" customHeight="1" thickBot="1">
      <c r="A2654" s="101">
        <v>62</v>
      </c>
      <c r="B2654" s="102"/>
      <c r="C2654" s="96" t="s">
        <v>6</v>
      </c>
      <c r="D2654" s="97"/>
    </row>
    <row r="2655" spans="1:4" ht="42.75" customHeight="1" thickBot="1">
      <c r="A2655" s="103"/>
      <c r="B2655" s="104"/>
      <c r="C2655" s="96" t="s">
        <v>21</v>
      </c>
      <c r="D2655" s="97"/>
    </row>
    <row r="2656" spans="1:4" ht="42.75" customHeight="1" thickBot="1">
      <c r="A2656" s="105">
        <f>A2654*A2653</f>
        <v>0</v>
      </c>
      <c r="B2656" s="106"/>
      <c r="C2656" s="96" t="s">
        <v>7</v>
      </c>
      <c r="D2656" s="97"/>
    </row>
    <row r="2657" spans="1:4" ht="42.75" customHeight="1" thickBot="1">
      <c r="A2657" s="107" t="s">
        <v>17</v>
      </c>
      <c r="B2657" s="108"/>
      <c r="C2657" s="108"/>
      <c r="D2657" s="109"/>
    </row>
    <row r="2658" spans="1:4" ht="42.75" customHeight="1" thickBot="1">
      <c r="A2658" s="116" t="s">
        <v>20</v>
      </c>
      <c r="B2658" s="117"/>
      <c r="C2658" s="117"/>
      <c r="D2658" s="118"/>
    </row>
    <row r="2659" spans="1:4" ht="42.75" customHeight="1" thickBot="1">
      <c r="A2659" s="113" t="s">
        <v>18</v>
      </c>
      <c r="B2659" s="114"/>
      <c r="C2659" s="114"/>
      <c r="D2659" s="115"/>
    </row>
    <row r="2660" spans="1:4" ht="42.75" customHeight="1" thickBot="1">
      <c r="A2660" s="119"/>
      <c r="B2660" s="119"/>
      <c r="C2660" s="119"/>
      <c r="D2660" s="119"/>
    </row>
    <row r="2661" spans="1:4" ht="42.75" customHeight="1" thickBot="1">
      <c r="A2661" s="126" t="s">
        <v>19</v>
      </c>
      <c r="B2661" s="127"/>
      <c r="C2661" s="127"/>
      <c r="D2661" s="128"/>
    </row>
    <row r="2662" spans="1:4" ht="42.75" customHeight="1" thickBot="1">
      <c r="A2662" s="123" t="s">
        <v>11</v>
      </c>
      <c r="B2662" s="124"/>
      <c r="C2662" s="125" t="s">
        <v>603</v>
      </c>
      <c r="D2662" s="124"/>
    </row>
    <row r="2663" spans="1:4" ht="42.75" customHeight="1" thickBot="1">
      <c r="A2663" s="1" t="s">
        <v>686</v>
      </c>
      <c r="B2663" s="26" t="s">
        <v>1</v>
      </c>
      <c r="C2663" s="90" t="s">
        <v>205</v>
      </c>
      <c r="D2663" s="91"/>
    </row>
    <row r="2664" spans="1:4" ht="42.75" customHeight="1" thickBot="1">
      <c r="A2664" s="26"/>
      <c r="B2664" s="26" t="s">
        <v>0</v>
      </c>
      <c r="C2664" s="5" t="s">
        <v>687</v>
      </c>
      <c r="D2664" s="4" t="s">
        <v>2</v>
      </c>
    </row>
    <row r="2665" spans="1:4" ht="42.75" customHeight="1" thickBot="1">
      <c r="A2665" s="92">
        <v>10</v>
      </c>
      <c r="B2665" s="93"/>
      <c r="C2665" s="94" t="s">
        <v>3</v>
      </c>
      <c r="D2665" s="95"/>
    </row>
    <row r="2666" spans="1:4" ht="42.75" customHeight="1" thickBot="1">
      <c r="A2666" s="92">
        <v>0</v>
      </c>
      <c r="B2666" s="93"/>
      <c r="C2666" s="96" t="s">
        <v>4</v>
      </c>
      <c r="D2666" s="97"/>
    </row>
    <row r="2667" spans="1:4" ht="42.75" customHeight="1" thickBot="1">
      <c r="A2667" s="98">
        <v>0</v>
      </c>
      <c r="B2667" s="99"/>
      <c r="C2667" s="100" t="s">
        <v>5</v>
      </c>
      <c r="D2667" s="97"/>
    </row>
    <row r="2668" spans="1:4" ht="42.75" customHeight="1" thickBot="1">
      <c r="A2668" s="101">
        <v>62</v>
      </c>
      <c r="B2668" s="102"/>
      <c r="C2668" s="96" t="s">
        <v>6</v>
      </c>
      <c r="D2668" s="97"/>
    </row>
    <row r="2669" spans="1:4" ht="42.75" customHeight="1" thickBot="1">
      <c r="A2669" s="103"/>
      <c r="B2669" s="104"/>
      <c r="C2669" s="96" t="s">
        <v>21</v>
      </c>
      <c r="D2669" s="97"/>
    </row>
    <row r="2670" spans="1:4" ht="42.75" customHeight="1" thickBot="1">
      <c r="A2670" s="105">
        <f>A2668*A2667</f>
        <v>0</v>
      </c>
      <c r="B2670" s="106"/>
      <c r="C2670" s="96" t="s">
        <v>7</v>
      </c>
      <c r="D2670" s="97"/>
    </row>
    <row r="2671" spans="1:4" ht="42.75" customHeight="1" thickBot="1">
      <c r="A2671" s="107" t="s">
        <v>17</v>
      </c>
      <c r="B2671" s="108"/>
      <c r="C2671" s="108"/>
      <c r="D2671" s="109"/>
    </row>
    <row r="2672" spans="1:4" ht="42.75" customHeight="1" thickBot="1">
      <c r="A2672" s="110" t="s">
        <v>20</v>
      </c>
      <c r="B2672" s="111"/>
      <c r="C2672" s="111"/>
      <c r="D2672" s="112"/>
    </row>
    <row r="2673" spans="1:4" ht="42.75" customHeight="1" thickBot="1">
      <c r="A2673" s="113" t="s">
        <v>18</v>
      </c>
      <c r="B2673" s="114"/>
      <c r="C2673" s="114"/>
      <c r="D2673" s="115"/>
    </row>
    <row r="2674" spans="1:4" ht="42.75" customHeight="1" thickBot="1">
      <c r="A2674" s="126" t="s">
        <v>19</v>
      </c>
      <c r="B2674" s="127"/>
      <c r="C2674" s="127"/>
      <c r="D2674" s="128"/>
    </row>
    <row r="2675" spans="1:4" ht="42.75" customHeight="1" thickBot="1">
      <c r="A2675" s="123" t="s">
        <v>11</v>
      </c>
      <c r="B2675" s="124"/>
      <c r="C2675" s="125" t="s">
        <v>603</v>
      </c>
      <c r="D2675" s="124"/>
    </row>
    <row r="2676" spans="1:4" ht="42.75" customHeight="1" thickBot="1">
      <c r="A2676" s="1" t="s">
        <v>686</v>
      </c>
      <c r="B2676" s="26" t="s">
        <v>1</v>
      </c>
      <c r="C2676" s="90" t="s">
        <v>669</v>
      </c>
      <c r="D2676" s="91"/>
    </row>
    <row r="2677" spans="1:4" ht="42.75" customHeight="1" thickBot="1">
      <c r="A2677" s="26"/>
      <c r="B2677" s="26" t="s">
        <v>0</v>
      </c>
      <c r="C2677" s="5" t="s">
        <v>687</v>
      </c>
      <c r="D2677" s="4" t="s">
        <v>2</v>
      </c>
    </row>
    <row r="2678" spans="1:4" ht="42.75" customHeight="1" thickBot="1">
      <c r="A2678" s="92">
        <v>632</v>
      </c>
      <c r="B2678" s="93"/>
      <c r="C2678" s="94" t="s">
        <v>3</v>
      </c>
      <c r="D2678" s="95"/>
    </row>
    <row r="2679" spans="1:4" ht="42.75" customHeight="1" thickBot="1">
      <c r="A2679" s="92">
        <v>632</v>
      </c>
      <c r="B2679" s="93"/>
      <c r="C2679" s="96" t="s">
        <v>4</v>
      </c>
      <c r="D2679" s="97"/>
    </row>
    <row r="2680" spans="1:4" ht="42.75" customHeight="1" thickBot="1">
      <c r="A2680" s="98">
        <f>A2679-A2678</f>
        <v>0</v>
      </c>
      <c r="B2680" s="99"/>
      <c r="C2680" s="100" t="s">
        <v>5</v>
      </c>
      <c r="D2680" s="97"/>
    </row>
    <row r="2681" spans="1:4" ht="42.75" customHeight="1" thickBot="1">
      <c r="A2681" s="101">
        <v>62</v>
      </c>
      <c r="B2681" s="102"/>
      <c r="C2681" s="96" t="s">
        <v>6</v>
      </c>
      <c r="D2681" s="97"/>
    </row>
    <row r="2682" spans="1:4" ht="42.75" customHeight="1" thickBot="1">
      <c r="A2682" s="103"/>
      <c r="B2682" s="104"/>
      <c r="C2682" s="96" t="s">
        <v>21</v>
      </c>
      <c r="D2682" s="97"/>
    </row>
    <row r="2683" spans="1:4" ht="42.75" customHeight="1" thickBot="1">
      <c r="A2683" s="105">
        <f>A2681*A2680</f>
        <v>0</v>
      </c>
      <c r="B2683" s="106"/>
      <c r="C2683" s="96" t="s">
        <v>7</v>
      </c>
      <c r="D2683" s="97"/>
    </row>
    <row r="2684" spans="1:4" ht="42.75" customHeight="1" thickBot="1">
      <c r="A2684" s="107" t="s">
        <v>17</v>
      </c>
      <c r="B2684" s="108"/>
      <c r="C2684" s="108"/>
      <c r="D2684" s="109"/>
    </row>
    <row r="2685" spans="1:4" ht="42.75" customHeight="1" thickBot="1">
      <c r="A2685" s="116" t="s">
        <v>20</v>
      </c>
      <c r="B2685" s="117"/>
      <c r="C2685" s="117"/>
      <c r="D2685" s="118"/>
    </row>
    <row r="2686" spans="1:4" ht="42.75" customHeight="1" thickBot="1">
      <c r="A2686" s="113" t="s">
        <v>18</v>
      </c>
      <c r="B2686" s="114"/>
      <c r="C2686" s="114"/>
      <c r="D2686" s="115"/>
    </row>
    <row r="2687" spans="1:4" ht="42.75" customHeight="1" thickBot="1">
      <c r="A2687" s="119"/>
      <c r="B2687" s="119"/>
      <c r="C2687" s="119"/>
      <c r="D2687" s="119"/>
    </row>
    <row r="2688" spans="1:4" ht="42.75" customHeight="1" thickBot="1">
      <c r="A2688" s="126" t="s">
        <v>19</v>
      </c>
      <c r="B2688" s="127"/>
      <c r="C2688" s="127"/>
      <c r="D2688" s="128"/>
    </row>
    <row r="2689" spans="1:4" ht="42.75" customHeight="1" thickBot="1">
      <c r="A2689" s="123" t="s">
        <v>11</v>
      </c>
      <c r="B2689" s="124"/>
      <c r="C2689" s="125" t="s">
        <v>603</v>
      </c>
      <c r="D2689" s="124"/>
    </row>
    <row r="2690" spans="1:4" ht="42.75" customHeight="1" thickBot="1">
      <c r="A2690" s="1" t="s">
        <v>686</v>
      </c>
      <c r="B2690" s="26" t="s">
        <v>1</v>
      </c>
      <c r="C2690" s="90" t="s">
        <v>669</v>
      </c>
      <c r="D2690" s="91"/>
    </row>
    <row r="2691" spans="1:4" ht="42.75" customHeight="1" thickBot="1">
      <c r="A2691" s="26"/>
      <c r="B2691" s="26" t="s">
        <v>0</v>
      </c>
      <c r="C2691" s="5" t="s">
        <v>687</v>
      </c>
      <c r="D2691" s="4" t="s">
        <v>2</v>
      </c>
    </row>
    <row r="2692" spans="1:4" ht="42.75" customHeight="1" thickBot="1">
      <c r="A2692" s="92">
        <v>587</v>
      </c>
      <c r="B2692" s="93"/>
      <c r="C2692" s="94" t="s">
        <v>3</v>
      </c>
      <c r="D2692" s="95"/>
    </row>
    <row r="2693" spans="1:4" ht="42.75" customHeight="1" thickBot="1">
      <c r="A2693" s="92">
        <v>632</v>
      </c>
      <c r="B2693" s="93"/>
      <c r="C2693" s="96" t="s">
        <v>4</v>
      </c>
      <c r="D2693" s="97"/>
    </row>
    <row r="2694" spans="1:4" ht="42.75" customHeight="1" thickBot="1">
      <c r="A2694" s="98">
        <f>A2693-A2692</f>
        <v>45</v>
      </c>
      <c r="B2694" s="99"/>
      <c r="C2694" s="100" t="s">
        <v>5</v>
      </c>
      <c r="D2694" s="97"/>
    </row>
    <row r="2695" spans="1:4" ht="42.75" customHeight="1" thickBot="1">
      <c r="A2695" s="101">
        <v>62</v>
      </c>
      <c r="B2695" s="102"/>
      <c r="C2695" s="96" t="s">
        <v>6</v>
      </c>
      <c r="D2695" s="97"/>
    </row>
    <row r="2696" spans="1:4" ht="42.75" customHeight="1" thickBot="1">
      <c r="A2696" s="103"/>
      <c r="B2696" s="104"/>
      <c r="C2696" s="96" t="s">
        <v>21</v>
      </c>
      <c r="D2696" s="97"/>
    </row>
    <row r="2697" spans="1:4" ht="42.75" customHeight="1" thickBot="1">
      <c r="A2697" s="105">
        <v>2800</v>
      </c>
      <c r="B2697" s="106"/>
      <c r="C2697" s="96" t="s">
        <v>7</v>
      </c>
      <c r="D2697" s="97"/>
    </row>
    <row r="2698" spans="1:4" ht="42.75" customHeight="1" thickBot="1">
      <c r="A2698" s="107" t="s">
        <v>17</v>
      </c>
      <c r="B2698" s="108"/>
      <c r="C2698" s="108"/>
      <c r="D2698" s="109"/>
    </row>
    <row r="2699" spans="1:4" ht="42.75" customHeight="1" thickBot="1">
      <c r="A2699" s="110" t="s">
        <v>20</v>
      </c>
      <c r="B2699" s="111"/>
      <c r="C2699" s="111"/>
      <c r="D2699" s="112"/>
    </row>
    <row r="2700" spans="1:4" ht="42.75" customHeight="1" thickBot="1">
      <c r="A2700" s="113" t="s">
        <v>18</v>
      </c>
      <c r="B2700" s="114"/>
      <c r="C2700" s="114"/>
      <c r="D2700" s="115"/>
    </row>
    <row r="2701" spans="1:4" ht="42.75" customHeight="1" thickBot="1">
      <c r="A2701" s="126" t="s">
        <v>19</v>
      </c>
      <c r="B2701" s="127"/>
      <c r="C2701" s="127"/>
      <c r="D2701" s="128"/>
    </row>
    <row r="2702" spans="1:4" ht="42.75" customHeight="1" thickBot="1">
      <c r="A2702" s="123" t="s">
        <v>11</v>
      </c>
      <c r="B2702" s="124"/>
      <c r="C2702" s="125" t="s">
        <v>603</v>
      </c>
      <c r="D2702" s="124"/>
    </row>
    <row r="2703" spans="1:4" ht="42.75" customHeight="1" thickBot="1">
      <c r="A2703" s="1" t="s">
        <v>686</v>
      </c>
      <c r="B2703" s="26" t="s">
        <v>1</v>
      </c>
      <c r="C2703" s="90" t="s">
        <v>575</v>
      </c>
      <c r="D2703" s="91"/>
    </row>
    <row r="2704" spans="1:4" ht="42.75" customHeight="1" thickBot="1">
      <c r="A2704" s="26"/>
      <c r="B2704" s="26" t="s">
        <v>0</v>
      </c>
      <c r="C2704" s="5" t="s">
        <v>687</v>
      </c>
      <c r="D2704" s="4" t="s">
        <v>2</v>
      </c>
    </row>
    <row r="2705" spans="1:4" ht="42.75" customHeight="1" thickBot="1">
      <c r="A2705" s="92">
        <v>3295</v>
      </c>
      <c r="B2705" s="93"/>
      <c r="C2705" s="94" t="s">
        <v>3</v>
      </c>
      <c r="D2705" s="95"/>
    </row>
    <row r="2706" spans="1:4" ht="42.75" customHeight="1" thickBot="1">
      <c r="A2706" s="92">
        <v>3295</v>
      </c>
      <c r="B2706" s="93"/>
      <c r="C2706" s="96" t="s">
        <v>4</v>
      </c>
      <c r="D2706" s="97"/>
    </row>
    <row r="2707" spans="1:4" ht="42.75" customHeight="1" thickBot="1">
      <c r="A2707" s="98">
        <f>A2706-A2705</f>
        <v>0</v>
      </c>
      <c r="B2707" s="99"/>
      <c r="C2707" s="100" t="s">
        <v>5</v>
      </c>
      <c r="D2707" s="97"/>
    </row>
    <row r="2708" spans="1:4" ht="42.75" customHeight="1" thickBot="1">
      <c r="A2708" s="101">
        <v>62</v>
      </c>
      <c r="B2708" s="102"/>
      <c r="C2708" s="96" t="s">
        <v>6</v>
      </c>
      <c r="D2708" s="97"/>
    </row>
    <row r="2709" spans="1:4" ht="42.75" customHeight="1" thickBot="1">
      <c r="A2709" s="103"/>
      <c r="B2709" s="104"/>
      <c r="C2709" s="96" t="s">
        <v>21</v>
      </c>
      <c r="D2709" s="97"/>
    </row>
    <row r="2710" spans="1:4" ht="42.75" customHeight="1" thickBot="1">
      <c r="A2710" s="105">
        <f>A2708*A2707</f>
        <v>0</v>
      </c>
      <c r="B2710" s="106"/>
      <c r="C2710" s="96" t="s">
        <v>7</v>
      </c>
      <c r="D2710" s="97"/>
    </row>
    <row r="2711" spans="1:4" ht="42.75" customHeight="1" thickBot="1">
      <c r="A2711" s="107" t="s">
        <v>17</v>
      </c>
      <c r="B2711" s="108"/>
      <c r="C2711" s="108"/>
      <c r="D2711" s="109"/>
    </row>
    <row r="2712" spans="1:4" ht="42.75" customHeight="1" thickBot="1">
      <c r="A2712" s="116" t="s">
        <v>20</v>
      </c>
      <c r="B2712" s="117"/>
      <c r="C2712" s="117"/>
      <c r="D2712" s="118"/>
    </row>
    <row r="2713" spans="1:4" ht="42.75" customHeight="1" thickBot="1">
      <c r="A2713" s="113" t="s">
        <v>18</v>
      </c>
      <c r="B2713" s="114"/>
      <c r="C2713" s="114"/>
      <c r="D2713" s="115"/>
    </row>
    <row r="2714" spans="1:4" ht="42.75" customHeight="1" thickBot="1">
      <c r="A2714" s="119"/>
      <c r="B2714" s="119"/>
      <c r="C2714" s="119"/>
      <c r="D2714" s="119"/>
    </row>
    <row r="2715" spans="1:4" ht="42.75" customHeight="1" thickBot="1">
      <c r="A2715" s="126" t="s">
        <v>19</v>
      </c>
      <c r="B2715" s="127"/>
      <c r="C2715" s="127"/>
      <c r="D2715" s="128"/>
    </row>
    <row r="2716" spans="1:4" ht="42.75" customHeight="1" thickBot="1">
      <c r="A2716" s="123" t="s">
        <v>11</v>
      </c>
      <c r="B2716" s="124"/>
      <c r="C2716" s="125" t="s">
        <v>603</v>
      </c>
      <c r="D2716" s="124"/>
    </row>
    <row r="2717" spans="1:4" ht="42.75" customHeight="1" thickBot="1">
      <c r="A2717" s="1" t="s">
        <v>686</v>
      </c>
      <c r="B2717" s="26" t="s">
        <v>1</v>
      </c>
      <c r="C2717" s="90" t="s">
        <v>575</v>
      </c>
      <c r="D2717" s="91"/>
    </row>
    <row r="2718" spans="1:4" ht="42.75" customHeight="1" thickBot="1">
      <c r="A2718" s="26"/>
      <c r="B2718" s="26" t="s">
        <v>0</v>
      </c>
      <c r="C2718" s="5" t="s">
        <v>687</v>
      </c>
      <c r="D2718" s="4" t="s">
        <v>2</v>
      </c>
    </row>
    <row r="2719" spans="1:4" ht="42.75" customHeight="1" thickBot="1">
      <c r="A2719" s="92">
        <v>3280</v>
      </c>
      <c r="B2719" s="93"/>
      <c r="C2719" s="94" t="s">
        <v>3</v>
      </c>
      <c r="D2719" s="95"/>
    </row>
    <row r="2720" spans="1:4" ht="42.75" customHeight="1" thickBot="1">
      <c r="A2720" s="92">
        <v>3295</v>
      </c>
      <c r="B2720" s="93"/>
      <c r="C2720" s="96" t="s">
        <v>4</v>
      </c>
      <c r="D2720" s="97"/>
    </row>
    <row r="2721" spans="1:4" ht="42.75" customHeight="1" thickBot="1">
      <c r="A2721" s="98">
        <f>A2720-A2719</f>
        <v>15</v>
      </c>
      <c r="B2721" s="99"/>
      <c r="C2721" s="100" t="s">
        <v>5</v>
      </c>
      <c r="D2721" s="97"/>
    </row>
    <row r="2722" spans="1:4" ht="42.75" customHeight="1" thickBot="1">
      <c r="A2722" s="101">
        <v>62</v>
      </c>
      <c r="B2722" s="102"/>
      <c r="C2722" s="96" t="s">
        <v>6</v>
      </c>
      <c r="D2722" s="97"/>
    </row>
    <row r="2723" spans="1:4" ht="42.75" customHeight="1" thickBot="1">
      <c r="A2723" s="103"/>
      <c r="B2723" s="104"/>
      <c r="C2723" s="96" t="s">
        <v>21</v>
      </c>
      <c r="D2723" s="97"/>
    </row>
    <row r="2724" spans="1:4" ht="42.75" customHeight="1" thickBot="1">
      <c r="A2724" s="105">
        <v>950</v>
      </c>
      <c r="B2724" s="106"/>
      <c r="C2724" s="96" t="s">
        <v>7</v>
      </c>
      <c r="D2724" s="97"/>
    </row>
    <row r="2725" spans="1:4" ht="42.75" customHeight="1" thickBot="1">
      <c r="A2725" s="107" t="s">
        <v>17</v>
      </c>
      <c r="B2725" s="108"/>
      <c r="C2725" s="108"/>
      <c r="D2725" s="109"/>
    </row>
    <row r="2726" spans="1:4" ht="42.75" customHeight="1" thickBot="1">
      <c r="A2726" s="110" t="s">
        <v>20</v>
      </c>
      <c r="B2726" s="111"/>
      <c r="C2726" s="111"/>
      <c r="D2726" s="112"/>
    </row>
    <row r="2727" spans="1:4" ht="42.75" customHeight="1" thickBot="1">
      <c r="A2727" s="113" t="s">
        <v>18</v>
      </c>
      <c r="B2727" s="114"/>
      <c r="C2727" s="114"/>
      <c r="D2727" s="115"/>
    </row>
    <row r="2728" spans="1:4" ht="42.75" customHeight="1" thickBot="1">
      <c r="A2728" s="126" t="s">
        <v>19</v>
      </c>
      <c r="B2728" s="127"/>
      <c r="C2728" s="127"/>
      <c r="D2728" s="128"/>
    </row>
    <row r="2729" spans="1:4" ht="42.75" customHeight="1" thickBot="1">
      <c r="A2729" s="123" t="s">
        <v>11</v>
      </c>
      <c r="B2729" s="124"/>
      <c r="C2729" s="125" t="s">
        <v>603</v>
      </c>
      <c r="D2729" s="124"/>
    </row>
    <row r="2730" spans="1:4" ht="42.75" customHeight="1" thickBot="1">
      <c r="A2730" s="1" t="s">
        <v>686</v>
      </c>
      <c r="B2730" s="26" t="s">
        <v>1</v>
      </c>
      <c r="C2730" s="90" t="s">
        <v>106</v>
      </c>
      <c r="D2730" s="91"/>
    </row>
    <row r="2731" spans="1:4" ht="42.75" customHeight="1" thickBot="1">
      <c r="A2731" s="26"/>
      <c r="B2731" s="26" t="s">
        <v>0</v>
      </c>
      <c r="C2731" s="5" t="s">
        <v>687</v>
      </c>
      <c r="D2731" s="4" t="s">
        <v>2</v>
      </c>
    </row>
    <row r="2732" spans="1:4" ht="42.75" customHeight="1" thickBot="1">
      <c r="A2732" s="92">
        <v>2339</v>
      </c>
      <c r="B2732" s="93"/>
      <c r="C2732" s="94" t="s">
        <v>3</v>
      </c>
      <c r="D2732" s="95"/>
    </row>
    <row r="2733" spans="1:4" ht="42.75" customHeight="1" thickBot="1">
      <c r="A2733" s="92">
        <v>2339</v>
      </c>
      <c r="B2733" s="93"/>
      <c r="C2733" s="96" t="s">
        <v>4</v>
      </c>
      <c r="D2733" s="97"/>
    </row>
    <row r="2734" spans="1:4" ht="42.75" customHeight="1" thickBot="1">
      <c r="A2734" s="98">
        <f>A2733-A2732</f>
        <v>0</v>
      </c>
      <c r="B2734" s="99"/>
      <c r="C2734" s="100" t="s">
        <v>5</v>
      </c>
      <c r="D2734" s="97"/>
    </row>
    <row r="2735" spans="1:4" ht="42.75" customHeight="1" thickBot="1">
      <c r="A2735" s="101">
        <v>62</v>
      </c>
      <c r="B2735" s="102"/>
      <c r="C2735" s="96" t="s">
        <v>6</v>
      </c>
      <c r="D2735" s="97"/>
    </row>
    <row r="2736" spans="1:4" ht="42.75" customHeight="1" thickBot="1">
      <c r="A2736" s="103"/>
      <c r="B2736" s="104"/>
      <c r="C2736" s="96" t="s">
        <v>21</v>
      </c>
      <c r="D2736" s="97"/>
    </row>
    <row r="2737" spans="1:4" ht="42.75" customHeight="1" thickBot="1">
      <c r="A2737" s="105">
        <f>A2735*A2734</f>
        <v>0</v>
      </c>
      <c r="B2737" s="106"/>
      <c r="C2737" s="96" t="s">
        <v>7</v>
      </c>
      <c r="D2737" s="97"/>
    </row>
    <row r="2738" spans="1:4" ht="42.75" customHeight="1" thickBot="1">
      <c r="A2738" s="107" t="s">
        <v>17</v>
      </c>
      <c r="B2738" s="108"/>
      <c r="C2738" s="108"/>
      <c r="D2738" s="109"/>
    </row>
    <row r="2739" spans="1:4" ht="42.75" customHeight="1" thickBot="1">
      <c r="A2739" s="116" t="s">
        <v>20</v>
      </c>
      <c r="B2739" s="117"/>
      <c r="C2739" s="117"/>
      <c r="D2739" s="118"/>
    </row>
    <row r="2740" spans="1:4" ht="42.75" customHeight="1" thickBot="1">
      <c r="A2740" s="113" t="s">
        <v>18</v>
      </c>
      <c r="B2740" s="114"/>
      <c r="C2740" s="114"/>
      <c r="D2740" s="115"/>
    </row>
    <row r="2741" spans="1:4" ht="42.75" customHeight="1" thickBot="1">
      <c r="A2741" s="119"/>
      <c r="B2741" s="119"/>
      <c r="C2741" s="119"/>
      <c r="D2741" s="119"/>
    </row>
    <row r="2742" spans="1:4" ht="42.75" customHeight="1" thickBot="1">
      <c r="A2742" s="126" t="s">
        <v>19</v>
      </c>
      <c r="B2742" s="127"/>
      <c r="C2742" s="127"/>
      <c r="D2742" s="128"/>
    </row>
    <row r="2743" spans="1:4" ht="42.75" customHeight="1" thickBot="1">
      <c r="A2743" s="123" t="s">
        <v>11</v>
      </c>
      <c r="B2743" s="124"/>
      <c r="C2743" s="125" t="s">
        <v>603</v>
      </c>
      <c r="D2743" s="124"/>
    </row>
    <row r="2744" spans="1:4" ht="42.75" customHeight="1" thickBot="1">
      <c r="A2744" s="1" t="s">
        <v>686</v>
      </c>
      <c r="B2744" s="26" t="s">
        <v>1</v>
      </c>
      <c r="C2744" s="90" t="s">
        <v>106</v>
      </c>
      <c r="D2744" s="91"/>
    </row>
    <row r="2745" spans="1:4" ht="42.75" customHeight="1" thickBot="1">
      <c r="A2745" s="26"/>
      <c r="B2745" s="26" t="s">
        <v>0</v>
      </c>
      <c r="C2745" s="5" t="s">
        <v>687</v>
      </c>
      <c r="D2745" s="4" t="s">
        <v>2</v>
      </c>
    </row>
    <row r="2746" spans="1:4" ht="42.75" customHeight="1" thickBot="1">
      <c r="A2746" s="92">
        <v>2338</v>
      </c>
      <c r="B2746" s="93"/>
      <c r="C2746" s="94" t="s">
        <v>3</v>
      </c>
      <c r="D2746" s="95"/>
    </row>
    <row r="2747" spans="1:4" ht="42.75" customHeight="1" thickBot="1">
      <c r="A2747" s="92">
        <v>2339</v>
      </c>
      <c r="B2747" s="93"/>
      <c r="C2747" s="96" t="s">
        <v>4</v>
      </c>
      <c r="D2747" s="97"/>
    </row>
    <row r="2748" spans="1:4" ht="42.75" customHeight="1" thickBot="1">
      <c r="A2748" s="98">
        <v>10</v>
      </c>
      <c r="B2748" s="99"/>
      <c r="C2748" s="100" t="s">
        <v>5</v>
      </c>
      <c r="D2748" s="97"/>
    </row>
    <row r="2749" spans="1:4" ht="42.75" customHeight="1" thickBot="1">
      <c r="A2749" s="101">
        <v>62</v>
      </c>
      <c r="B2749" s="102"/>
      <c r="C2749" s="96" t="s">
        <v>6</v>
      </c>
      <c r="D2749" s="97"/>
    </row>
    <row r="2750" spans="1:4" ht="42.75" customHeight="1" thickBot="1">
      <c r="A2750" s="103"/>
      <c r="B2750" s="104"/>
      <c r="C2750" s="96" t="s">
        <v>21</v>
      </c>
      <c r="D2750" s="97"/>
    </row>
    <row r="2751" spans="1:4" ht="42.75" customHeight="1" thickBot="1">
      <c r="A2751" s="105">
        <v>600</v>
      </c>
      <c r="B2751" s="106"/>
      <c r="C2751" s="96" t="s">
        <v>7</v>
      </c>
      <c r="D2751" s="97"/>
    </row>
    <row r="2752" spans="1:4" ht="42.75" customHeight="1" thickBot="1">
      <c r="A2752" s="107" t="s">
        <v>17</v>
      </c>
      <c r="B2752" s="108"/>
      <c r="C2752" s="108"/>
      <c r="D2752" s="109"/>
    </row>
    <row r="2753" spans="1:4" ht="42.75" customHeight="1" thickBot="1">
      <c r="A2753" s="110" t="s">
        <v>20</v>
      </c>
      <c r="B2753" s="111"/>
      <c r="C2753" s="111"/>
      <c r="D2753" s="112"/>
    </row>
    <row r="2754" spans="1:4" ht="42.75" customHeight="1" thickBot="1">
      <c r="A2754" s="113" t="s">
        <v>18</v>
      </c>
      <c r="B2754" s="114"/>
      <c r="C2754" s="114"/>
      <c r="D2754" s="115"/>
    </row>
    <row r="2755" spans="1:4" ht="42.75" customHeight="1" thickBot="1">
      <c r="A2755" s="126" t="s">
        <v>19</v>
      </c>
      <c r="B2755" s="127"/>
      <c r="C2755" s="127"/>
      <c r="D2755" s="128"/>
    </row>
    <row r="2756" spans="1:4" ht="42.75" customHeight="1" thickBot="1">
      <c r="A2756" s="123" t="s">
        <v>11</v>
      </c>
      <c r="B2756" s="124"/>
      <c r="C2756" s="125" t="s">
        <v>603</v>
      </c>
      <c r="D2756" s="124"/>
    </row>
    <row r="2757" spans="1:4" ht="42.75" customHeight="1" thickBot="1">
      <c r="A2757" s="1" t="s">
        <v>686</v>
      </c>
      <c r="B2757" s="26" t="s">
        <v>1</v>
      </c>
      <c r="C2757" s="90" t="s">
        <v>576</v>
      </c>
      <c r="D2757" s="91"/>
    </row>
    <row r="2758" spans="1:4" ht="42.75" customHeight="1" thickBot="1">
      <c r="A2758" s="26"/>
      <c r="B2758" s="26" t="s">
        <v>0</v>
      </c>
      <c r="C2758" s="5" t="s">
        <v>687</v>
      </c>
      <c r="D2758" s="4" t="s">
        <v>2</v>
      </c>
    </row>
    <row r="2759" spans="1:4" ht="42.75" customHeight="1" thickBot="1">
      <c r="A2759" s="92">
        <v>5360</v>
      </c>
      <c r="B2759" s="93"/>
      <c r="C2759" s="94" t="s">
        <v>3</v>
      </c>
      <c r="D2759" s="95"/>
    </row>
    <row r="2760" spans="1:4" ht="42.75" customHeight="1" thickBot="1">
      <c r="A2760" s="92">
        <v>5360</v>
      </c>
      <c r="B2760" s="93"/>
      <c r="C2760" s="96" t="s">
        <v>4</v>
      </c>
      <c r="D2760" s="97"/>
    </row>
    <row r="2761" spans="1:4" ht="42.75" customHeight="1" thickBot="1">
      <c r="A2761" s="98">
        <f>A2760-A2759</f>
        <v>0</v>
      </c>
      <c r="B2761" s="99"/>
      <c r="C2761" s="100" t="s">
        <v>5</v>
      </c>
      <c r="D2761" s="97"/>
    </row>
    <row r="2762" spans="1:4" ht="42.75" customHeight="1" thickBot="1">
      <c r="A2762" s="101">
        <v>62</v>
      </c>
      <c r="B2762" s="102"/>
      <c r="C2762" s="96" t="s">
        <v>6</v>
      </c>
      <c r="D2762" s="97"/>
    </row>
    <row r="2763" spans="1:4" ht="42.75" customHeight="1" thickBot="1">
      <c r="A2763" s="103"/>
      <c r="B2763" s="104"/>
      <c r="C2763" s="96" t="s">
        <v>21</v>
      </c>
      <c r="D2763" s="97"/>
    </row>
    <row r="2764" spans="1:4" ht="42.75" customHeight="1" thickBot="1">
      <c r="A2764" s="105">
        <f>A2762*A2761</f>
        <v>0</v>
      </c>
      <c r="B2764" s="106"/>
      <c r="C2764" s="96" t="s">
        <v>7</v>
      </c>
      <c r="D2764" s="97"/>
    </row>
    <row r="2765" spans="1:4" ht="42.75" customHeight="1" thickBot="1">
      <c r="A2765" s="107" t="s">
        <v>17</v>
      </c>
      <c r="B2765" s="108"/>
      <c r="C2765" s="108"/>
      <c r="D2765" s="109"/>
    </row>
    <row r="2766" spans="1:4" ht="42.75" customHeight="1" thickBot="1">
      <c r="A2766" s="116" t="s">
        <v>20</v>
      </c>
      <c r="B2766" s="117"/>
      <c r="C2766" s="117"/>
      <c r="D2766" s="118"/>
    </row>
    <row r="2767" spans="1:4" ht="42.75" customHeight="1" thickBot="1">
      <c r="A2767" s="113" t="s">
        <v>18</v>
      </c>
      <c r="B2767" s="114"/>
      <c r="C2767" s="114"/>
      <c r="D2767" s="115"/>
    </row>
    <row r="2768" spans="1:4" ht="42.75" customHeight="1" thickBot="1">
      <c r="A2768" s="119"/>
      <c r="B2768" s="119"/>
      <c r="C2768" s="119"/>
      <c r="D2768" s="119"/>
    </row>
    <row r="2769" spans="1:4" ht="42.75" customHeight="1" thickBot="1">
      <c r="A2769" s="126" t="s">
        <v>19</v>
      </c>
      <c r="B2769" s="127"/>
      <c r="C2769" s="127"/>
      <c r="D2769" s="128"/>
    </row>
    <row r="2770" spans="1:4" ht="42.75" customHeight="1" thickBot="1">
      <c r="A2770" s="123" t="s">
        <v>11</v>
      </c>
      <c r="B2770" s="124"/>
      <c r="C2770" s="125" t="s">
        <v>603</v>
      </c>
      <c r="D2770" s="124"/>
    </row>
    <row r="2771" spans="1:4" ht="42.75" customHeight="1" thickBot="1">
      <c r="A2771" s="1" t="s">
        <v>686</v>
      </c>
      <c r="B2771" s="26" t="s">
        <v>1</v>
      </c>
      <c r="C2771" s="90" t="s">
        <v>576</v>
      </c>
      <c r="D2771" s="91"/>
    </row>
    <row r="2772" spans="1:4" ht="42.75" customHeight="1" thickBot="1">
      <c r="A2772" s="26"/>
      <c r="B2772" s="26" t="s">
        <v>0</v>
      </c>
      <c r="C2772" s="5" t="s">
        <v>687</v>
      </c>
      <c r="D2772" s="4" t="s">
        <v>2</v>
      </c>
    </row>
    <row r="2773" spans="1:4" ht="42.75" customHeight="1" thickBot="1">
      <c r="A2773" s="92">
        <v>5295</v>
      </c>
      <c r="B2773" s="93"/>
      <c r="C2773" s="94" t="s">
        <v>3</v>
      </c>
      <c r="D2773" s="95"/>
    </row>
    <row r="2774" spans="1:4" ht="42.75" customHeight="1" thickBot="1">
      <c r="A2774" s="92">
        <v>5360</v>
      </c>
      <c r="B2774" s="93"/>
      <c r="C2774" s="96" t="s">
        <v>4</v>
      </c>
      <c r="D2774" s="97"/>
    </row>
    <row r="2775" spans="1:4" ht="42.75" customHeight="1" thickBot="1">
      <c r="A2775" s="98">
        <f>A2774-A2773</f>
        <v>65</v>
      </c>
      <c r="B2775" s="99"/>
      <c r="C2775" s="100" t="s">
        <v>5</v>
      </c>
      <c r="D2775" s="97"/>
    </row>
    <row r="2776" spans="1:4" ht="42.75" customHeight="1" thickBot="1">
      <c r="A2776" s="101">
        <v>62</v>
      </c>
      <c r="B2776" s="102"/>
      <c r="C2776" s="96" t="s">
        <v>6</v>
      </c>
      <c r="D2776" s="97"/>
    </row>
    <row r="2777" spans="1:4" ht="42.75" customHeight="1" thickBot="1">
      <c r="A2777" s="103"/>
      <c r="B2777" s="104"/>
      <c r="C2777" s="96" t="s">
        <v>21</v>
      </c>
      <c r="D2777" s="97"/>
    </row>
    <row r="2778" spans="1:4" ht="42.75" customHeight="1" thickBot="1">
      <c r="A2778" s="105">
        <v>4000</v>
      </c>
      <c r="B2778" s="106"/>
      <c r="C2778" s="96" t="s">
        <v>7</v>
      </c>
      <c r="D2778" s="97"/>
    </row>
    <row r="2779" spans="1:4" ht="42.75" customHeight="1" thickBot="1">
      <c r="A2779" s="107" t="s">
        <v>17</v>
      </c>
      <c r="B2779" s="108"/>
      <c r="C2779" s="108"/>
      <c r="D2779" s="109"/>
    </row>
    <row r="2780" spans="1:4" ht="42.75" customHeight="1" thickBot="1">
      <c r="A2780" s="110" t="s">
        <v>20</v>
      </c>
      <c r="B2780" s="111"/>
      <c r="C2780" s="111"/>
      <c r="D2780" s="112"/>
    </row>
    <row r="2781" spans="1:4" ht="42.75" customHeight="1" thickBot="1">
      <c r="A2781" s="113" t="s">
        <v>18</v>
      </c>
      <c r="B2781" s="114"/>
      <c r="C2781" s="114"/>
      <c r="D2781" s="115"/>
    </row>
    <row r="2782" spans="1:4" ht="42.75" customHeight="1" thickBot="1">
      <c r="A2782" s="126" t="s">
        <v>19</v>
      </c>
      <c r="B2782" s="127"/>
      <c r="C2782" s="127"/>
      <c r="D2782" s="128"/>
    </row>
    <row r="2783" spans="1:4" ht="42.75" customHeight="1" thickBot="1">
      <c r="A2783" s="123" t="s">
        <v>11</v>
      </c>
      <c r="B2783" s="124"/>
      <c r="C2783" s="125" t="s">
        <v>603</v>
      </c>
      <c r="D2783" s="124"/>
    </row>
    <row r="2784" spans="1:4" ht="42.75" customHeight="1" thickBot="1">
      <c r="A2784" s="1" t="s">
        <v>686</v>
      </c>
      <c r="B2784" s="26" t="s">
        <v>1</v>
      </c>
      <c r="C2784" s="90" t="s">
        <v>107</v>
      </c>
      <c r="D2784" s="91"/>
    </row>
    <row r="2785" spans="1:4" ht="42.75" customHeight="1" thickBot="1">
      <c r="A2785" s="26"/>
      <c r="B2785" s="26" t="s">
        <v>0</v>
      </c>
      <c r="C2785" s="5" t="s">
        <v>687</v>
      </c>
      <c r="D2785" s="4" t="s">
        <v>2</v>
      </c>
    </row>
    <row r="2786" spans="1:4" ht="42.75" customHeight="1" thickBot="1">
      <c r="A2786" s="92">
        <v>1605</v>
      </c>
      <c r="B2786" s="93"/>
      <c r="C2786" s="94" t="s">
        <v>3</v>
      </c>
      <c r="D2786" s="95"/>
    </row>
    <row r="2787" spans="1:4" ht="42.75" customHeight="1" thickBot="1">
      <c r="A2787" s="92">
        <v>1605</v>
      </c>
      <c r="B2787" s="93"/>
      <c r="C2787" s="96" t="s">
        <v>4</v>
      </c>
      <c r="D2787" s="97"/>
    </row>
    <row r="2788" spans="1:4" ht="42.75" customHeight="1" thickBot="1">
      <c r="A2788" s="98">
        <f>A2787-A2786</f>
        <v>0</v>
      </c>
      <c r="B2788" s="99"/>
      <c r="C2788" s="100" t="s">
        <v>5</v>
      </c>
      <c r="D2788" s="97"/>
    </row>
    <row r="2789" spans="1:4" ht="42.75" customHeight="1" thickBot="1">
      <c r="A2789" s="101">
        <v>62</v>
      </c>
      <c r="B2789" s="102"/>
      <c r="C2789" s="96" t="s">
        <v>6</v>
      </c>
      <c r="D2789" s="97"/>
    </row>
    <row r="2790" spans="1:4" ht="42.75" customHeight="1" thickBot="1">
      <c r="A2790" s="103"/>
      <c r="B2790" s="104"/>
      <c r="C2790" s="96" t="s">
        <v>21</v>
      </c>
      <c r="D2790" s="97"/>
    </row>
    <row r="2791" spans="1:4" ht="42.75" customHeight="1" thickBot="1">
      <c r="A2791" s="105">
        <f>A2789*A2788</f>
        <v>0</v>
      </c>
      <c r="B2791" s="106"/>
      <c r="C2791" s="96" t="s">
        <v>7</v>
      </c>
      <c r="D2791" s="97"/>
    </row>
    <row r="2792" spans="1:4" ht="42.75" customHeight="1" thickBot="1">
      <c r="A2792" s="107" t="s">
        <v>17</v>
      </c>
      <c r="B2792" s="108"/>
      <c r="C2792" s="108"/>
      <c r="D2792" s="109"/>
    </row>
    <row r="2793" spans="1:4" ht="42.75" customHeight="1" thickBot="1">
      <c r="A2793" s="116" t="s">
        <v>20</v>
      </c>
      <c r="B2793" s="117"/>
      <c r="C2793" s="117"/>
      <c r="D2793" s="118"/>
    </row>
    <row r="2794" spans="1:4" ht="42.75" customHeight="1" thickBot="1">
      <c r="A2794" s="113" t="s">
        <v>18</v>
      </c>
      <c r="B2794" s="114"/>
      <c r="C2794" s="114"/>
      <c r="D2794" s="115"/>
    </row>
    <row r="2795" spans="1:4" ht="42.75" customHeight="1" thickBot="1">
      <c r="A2795" s="119"/>
      <c r="B2795" s="119"/>
      <c r="C2795" s="119"/>
      <c r="D2795" s="119"/>
    </row>
    <row r="2796" spans="1:4" ht="42.75" customHeight="1" thickBot="1">
      <c r="A2796" s="126" t="s">
        <v>19</v>
      </c>
      <c r="B2796" s="127"/>
      <c r="C2796" s="127"/>
      <c r="D2796" s="128"/>
    </row>
    <row r="2797" spans="1:4" ht="42.75" customHeight="1" thickBot="1">
      <c r="A2797" s="123" t="s">
        <v>11</v>
      </c>
      <c r="B2797" s="124"/>
      <c r="C2797" s="125" t="s">
        <v>603</v>
      </c>
      <c r="D2797" s="124"/>
    </row>
    <row r="2798" spans="1:4" ht="42.75" customHeight="1" thickBot="1">
      <c r="A2798" s="1" t="s">
        <v>686</v>
      </c>
      <c r="B2798" s="26" t="s">
        <v>1</v>
      </c>
      <c r="C2798" s="90" t="s">
        <v>107</v>
      </c>
      <c r="D2798" s="91"/>
    </row>
    <row r="2799" spans="1:4" ht="42.75" customHeight="1" thickBot="1">
      <c r="A2799" s="26"/>
      <c r="B2799" s="26" t="s">
        <v>0</v>
      </c>
      <c r="C2799" s="5" t="s">
        <v>687</v>
      </c>
      <c r="D2799" s="4" t="s">
        <v>2</v>
      </c>
    </row>
    <row r="2800" spans="1:4" ht="42.75" customHeight="1" thickBot="1">
      <c r="A2800" s="92">
        <v>1582</v>
      </c>
      <c r="B2800" s="93"/>
      <c r="C2800" s="94" t="s">
        <v>3</v>
      </c>
      <c r="D2800" s="95"/>
    </row>
    <row r="2801" spans="1:4" ht="42.75" customHeight="1" thickBot="1">
      <c r="A2801" s="92">
        <v>1605</v>
      </c>
      <c r="B2801" s="93"/>
      <c r="C2801" s="96" t="s">
        <v>4</v>
      </c>
      <c r="D2801" s="97"/>
    </row>
    <row r="2802" spans="1:4" ht="42.75" customHeight="1" thickBot="1">
      <c r="A2802" s="98">
        <f>A2801-A2800</f>
        <v>23</v>
      </c>
      <c r="B2802" s="99"/>
      <c r="C2802" s="100" t="s">
        <v>5</v>
      </c>
      <c r="D2802" s="97"/>
    </row>
    <row r="2803" spans="1:4" ht="42.75" customHeight="1" thickBot="1">
      <c r="A2803" s="101">
        <v>62</v>
      </c>
      <c r="B2803" s="102"/>
      <c r="C2803" s="96" t="s">
        <v>6</v>
      </c>
      <c r="D2803" s="97"/>
    </row>
    <row r="2804" spans="1:4" ht="42.75" customHeight="1" thickBot="1">
      <c r="A2804" s="103"/>
      <c r="B2804" s="104"/>
      <c r="C2804" s="96" t="s">
        <v>21</v>
      </c>
      <c r="D2804" s="97"/>
    </row>
    <row r="2805" spans="1:4" ht="42.75" customHeight="1" thickBot="1">
      <c r="A2805" s="105">
        <v>1400</v>
      </c>
      <c r="B2805" s="106"/>
      <c r="C2805" s="96" t="s">
        <v>7</v>
      </c>
      <c r="D2805" s="97"/>
    </row>
    <row r="2806" spans="1:4" ht="42.75" customHeight="1" thickBot="1">
      <c r="A2806" s="107" t="s">
        <v>17</v>
      </c>
      <c r="B2806" s="108"/>
      <c r="C2806" s="108"/>
      <c r="D2806" s="109"/>
    </row>
    <row r="2807" spans="1:4" ht="42.75" customHeight="1" thickBot="1">
      <c r="A2807" s="110" t="s">
        <v>20</v>
      </c>
      <c r="B2807" s="111"/>
      <c r="C2807" s="111"/>
      <c r="D2807" s="112"/>
    </row>
    <row r="2808" spans="1:4" ht="42.75" customHeight="1" thickBot="1">
      <c r="A2808" s="113" t="s">
        <v>18</v>
      </c>
      <c r="B2808" s="114"/>
      <c r="C2808" s="114"/>
      <c r="D2808" s="115"/>
    </row>
    <row r="2809" spans="1:4" ht="42.75" customHeight="1" thickBot="1">
      <c r="A2809" s="126" t="s">
        <v>19</v>
      </c>
      <c r="B2809" s="127"/>
      <c r="C2809" s="127"/>
      <c r="D2809" s="128"/>
    </row>
    <row r="2810" spans="1:4" ht="42.75" customHeight="1" thickBot="1">
      <c r="A2810" s="123" t="s">
        <v>11</v>
      </c>
      <c r="B2810" s="124"/>
      <c r="C2810" s="125" t="s">
        <v>603</v>
      </c>
      <c r="D2810" s="124"/>
    </row>
    <row r="2811" spans="1:4" ht="42.75" customHeight="1" thickBot="1">
      <c r="A2811" s="1" t="s">
        <v>686</v>
      </c>
      <c r="B2811" s="26" t="s">
        <v>1</v>
      </c>
      <c r="C2811" s="90" t="s">
        <v>16</v>
      </c>
      <c r="D2811" s="91"/>
    </row>
    <row r="2812" spans="1:4" ht="42.75" customHeight="1" thickBot="1">
      <c r="A2812" s="26"/>
      <c r="B2812" s="26" t="s">
        <v>0</v>
      </c>
      <c r="C2812" s="5" t="s">
        <v>687</v>
      </c>
      <c r="D2812" s="4" t="s">
        <v>2</v>
      </c>
    </row>
    <row r="2813" spans="1:4" ht="42.75" customHeight="1" thickBot="1">
      <c r="A2813" s="92">
        <v>163</v>
      </c>
      <c r="B2813" s="93"/>
      <c r="C2813" s="94" t="s">
        <v>3</v>
      </c>
      <c r="D2813" s="95"/>
    </row>
    <row r="2814" spans="1:4" ht="42.75" customHeight="1" thickBot="1">
      <c r="A2814" s="92">
        <v>163</v>
      </c>
      <c r="B2814" s="93"/>
      <c r="C2814" s="96" t="s">
        <v>4</v>
      </c>
      <c r="D2814" s="97"/>
    </row>
    <row r="2815" spans="1:4" ht="42.75" customHeight="1" thickBot="1">
      <c r="A2815" s="98">
        <f>A2814-A2813</f>
        <v>0</v>
      </c>
      <c r="B2815" s="99"/>
      <c r="C2815" s="100" t="s">
        <v>5</v>
      </c>
      <c r="D2815" s="97"/>
    </row>
    <row r="2816" spans="1:4" ht="42.75" customHeight="1" thickBot="1">
      <c r="A2816" s="101">
        <v>62</v>
      </c>
      <c r="B2816" s="102"/>
      <c r="C2816" s="96" t="s">
        <v>6</v>
      </c>
      <c r="D2816" s="97"/>
    </row>
    <row r="2817" spans="1:4" ht="42.75" customHeight="1" thickBot="1">
      <c r="A2817" s="103"/>
      <c r="B2817" s="104"/>
      <c r="C2817" s="96" t="s">
        <v>21</v>
      </c>
      <c r="D2817" s="97"/>
    </row>
    <row r="2818" spans="1:4" ht="42.75" customHeight="1" thickBot="1">
      <c r="A2818" s="105">
        <f>A2816*A2815</f>
        <v>0</v>
      </c>
      <c r="B2818" s="106"/>
      <c r="C2818" s="96" t="s">
        <v>7</v>
      </c>
      <c r="D2818" s="97"/>
    </row>
    <row r="2819" spans="1:4" ht="42.75" customHeight="1" thickBot="1">
      <c r="A2819" s="107" t="s">
        <v>17</v>
      </c>
      <c r="B2819" s="108"/>
      <c r="C2819" s="108"/>
      <c r="D2819" s="109"/>
    </row>
    <row r="2820" spans="1:4" ht="42.75" customHeight="1" thickBot="1">
      <c r="A2820" s="116" t="s">
        <v>20</v>
      </c>
      <c r="B2820" s="117"/>
      <c r="C2820" s="117"/>
      <c r="D2820" s="118"/>
    </row>
    <row r="2821" spans="1:4" ht="42.75" customHeight="1" thickBot="1">
      <c r="A2821" s="113" t="s">
        <v>18</v>
      </c>
      <c r="B2821" s="114"/>
      <c r="C2821" s="114"/>
      <c r="D2821" s="115"/>
    </row>
    <row r="2822" spans="1:4" ht="42.75" customHeight="1" thickBot="1">
      <c r="A2822" s="119"/>
      <c r="B2822" s="119"/>
      <c r="C2822" s="119"/>
      <c r="D2822" s="119"/>
    </row>
    <row r="2823" spans="1:4" ht="42.75" customHeight="1" thickBot="1">
      <c r="A2823" s="126" t="s">
        <v>19</v>
      </c>
      <c r="B2823" s="127"/>
      <c r="C2823" s="127"/>
      <c r="D2823" s="128"/>
    </row>
    <row r="2824" spans="1:4" ht="42.75" customHeight="1" thickBot="1">
      <c r="A2824" s="123" t="s">
        <v>11</v>
      </c>
      <c r="B2824" s="124"/>
      <c r="C2824" s="125" t="s">
        <v>603</v>
      </c>
      <c r="D2824" s="124"/>
    </row>
    <row r="2825" spans="1:4" ht="42.75" customHeight="1" thickBot="1">
      <c r="A2825" s="1" t="s">
        <v>686</v>
      </c>
      <c r="B2825" s="26" t="s">
        <v>1</v>
      </c>
      <c r="C2825" s="90" t="s">
        <v>16</v>
      </c>
      <c r="D2825" s="91"/>
    </row>
    <row r="2826" spans="1:4" ht="42.75" customHeight="1" thickBot="1">
      <c r="A2826" s="26"/>
      <c r="B2826" s="26" t="s">
        <v>0</v>
      </c>
      <c r="C2826" s="5" t="s">
        <v>687</v>
      </c>
      <c r="D2826" s="4" t="s">
        <v>2</v>
      </c>
    </row>
    <row r="2827" spans="1:4" ht="42.75" customHeight="1" thickBot="1">
      <c r="A2827" s="92">
        <v>57</v>
      </c>
      <c r="B2827" s="93"/>
      <c r="C2827" s="94" t="s">
        <v>3</v>
      </c>
      <c r="D2827" s="95"/>
    </row>
    <row r="2828" spans="1:4" ht="42.75" customHeight="1" thickBot="1">
      <c r="A2828" s="92">
        <v>163</v>
      </c>
      <c r="B2828" s="93"/>
      <c r="C2828" s="96" t="s">
        <v>4</v>
      </c>
      <c r="D2828" s="97"/>
    </row>
    <row r="2829" spans="1:4" ht="42.75" customHeight="1" thickBot="1">
      <c r="A2829" s="98">
        <f>A2828-A2827</f>
        <v>106</v>
      </c>
      <c r="B2829" s="99"/>
      <c r="C2829" s="100" t="s">
        <v>5</v>
      </c>
      <c r="D2829" s="97"/>
    </row>
    <row r="2830" spans="1:4" ht="42.75" customHeight="1" thickBot="1">
      <c r="A2830" s="101">
        <v>62</v>
      </c>
      <c r="B2830" s="102"/>
      <c r="C2830" s="96" t="s">
        <v>6</v>
      </c>
      <c r="D2830" s="97"/>
    </row>
    <row r="2831" spans="1:4" ht="42.75" customHeight="1" thickBot="1">
      <c r="A2831" s="103"/>
      <c r="B2831" s="104"/>
      <c r="C2831" s="96" t="s">
        <v>21</v>
      </c>
      <c r="D2831" s="97"/>
    </row>
    <row r="2832" spans="1:4" ht="42.75" customHeight="1" thickBot="1">
      <c r="A2832" s="105">
        <v>6600</v>
      </c>
      <c r="B2832" s="106"/>
      <c r="C2832" s="96" t="s">
        <v>7</v>
      </c>
      <c r="D2832" s="97"/>
    </row>
    <row r="2833" spans="1:4" ht="42.75" customHeight="1" thickBot="1">
      <c r="A2833" s="107" t="s">
        <v>17</v>
      </c>
      <c r="B2833" s="108"/>
      <c r="C2833" s="108"/>
      <c r="D2833" s="109"/>
    </row>
    <row r="2834" spans="1:4" ht="42.75" customHeight="1" thickBot="1">
      <c r="A2834" s="110" t="s">
        <v>20</v>
      </c>
      <c r="B2834" s="111"/>
      <c r="C2834" s="111"/>
      <c r="D2834" s="112"/>
    </row>
    <row r="2835" spans="1:4" ht="42.75" customHeight="1" thickBot="1">
      <c r="A2835" s="113" t="s">
        <v>18</v>
      </c>
      <c r="B2835" s="114"/>
      <c r="C2835" s="114"/>
      <c r="D2835" s="115"/>
    </row>
    <row r="2836" spans="1:4" ht="42.75" customHeight="1" thickBot="1">
      <c r="A2836" s="126" t="s">
        <v>19</v>
      </c>
      <c r="B2836" s="127"/>
      <c r="C2836" s="127"/>
      <c r="D2836" s="128"/>
    </row>
    <row r="2837" spans="1:4" ht="42.75" customHeight="1" thickBot="1">
      <c r="A2837" s="123" t="s">
        <v>11</v>
      </c>
      <c r="B2837" s="124"/>
      <c r="C2837" s="125" t="s">
        <v>603</v>
      </c>
      <c r="D2837" s="124"/>
    </row>
    <row r="2838" spans="1:4" ht="42.75" customHeight="1" thickBot="1">
      <c r="A2838" s="1" t="s">
        <v>686</v>
      </c>
      <c r="B2838" s="26" t="s">
        <v>1</v>
      </c>
      <c r="C2838" s="90" t="s">
        <v>108</v>
      </c>
      <c r="D2838" s="91"/>
    </row>
    <row r="2839" spans="1:4" ht="42.75" customHeight="1" thickBot="1">
      <c r="A2839" s="26"/>
      <c r="B2839" s="26" t="s">
        <v>0</v>
      </c>
      <c r="C2839" s="5" t="s">
        <v>687</v>
      </c>
      <c r="D2839" s="4" t="s">
        <v>2</v>
      </c>
    </row>
    <row r="2840" spans="1:4" ht="42.75" customHeight="1" thickBot="1">
      <c r="A2840" s="92">
        <v>2007</v>
      </c>
      <c r="B2840" s="93"/>
      <c r="C2840" s="94" t="s">
        <v>3</v>
      </c>
      <c r="D2840" s="95"/>
    </row>
    <row r="2841" spans="1:4" ht="42.75" customHeight="1" thickBot="1">
      <c r="A2841" s="92">
        <v>2007</v>
      </c>
      <c r="B2841" s="93"/>
      <c r="C2841" s="96" t="s">
        <v>4</v>
      </c>
      <c r="D2841" s="97"/>
    </row>
    <row r="2842" spans="1:4" ht="42.75" customHeight="1" thickBot="1">
      <c r="A2842" s="98">
        <f>A2841-A2840</f>
        <v>0</v>
      </c>
      <c r="B2842" s="99"/>
      <c r="C2842" s="100" t="s">
        <v>5</v>
      </c>
      <c r="D2842" s="97"/>
    </row>
    <row r="2843" spans="1:4" ht="42.75" customHeight="1" thickBot="1">
      <c r="A2843" s="101">
        <v>62</v>
      </c>
      <c r="B2843" s="102"/>
      <c r="C2843" s="96" t="s">
        <v>6</v>
      </c>
      <c r="D2843" s="97"/>
    </row>
    <row r="2844" spans="1:4" ht="42.75" customHeight="1" thickBot="1">
      <c r="A2844" s="103"/>
      <c r="B2844" s="104"/>
      <c r="C2844" s="96" t="s">
        <v>21</v>
      </c>
      <c r="D2844" s="97"/>
    </row>
    <row r="2845" spans="1:4" ht="42.75" customHeight="1" thickBot="1">
      <c r="A2845" s="105">
        <f>A2843*A2842</f>
        <v>0</v>
      </c>
      <c r="B2845" s="106"/>
      <c r="C2845" s="96" t="s">
        <v>7</v>
      </c>
      <c r="D2845" s="97"/>
    </row>
    <row r="2846" spans="1:4" ht="42.75" customHeight="1" thickBot="1">
      <c r="A2846" s="107" t="s">
        <v>17</v>
      </c>
      <c r="B2846" s="108"/>
      <c r="C2846" s="108"/>
      <c r="D2846" s="109"/>
    </row>
    <row r="2847" spans="1:4" ht="42.75" customHeight="1" thickBot="1">
      <c r="A2847" s="116" t="s">
        <v>20</v>
      </c>
      <c r="B2847" s="117"/>
      <c r="C2847" s="117"/>
      <c r="D2847" s="118"/>
    </row>
    <row r="2848" spans="1:4" ht="42.75" customHeight="1" thickBot="1">
      <c r="A2848" s="113" t="s">
        <v>18</v>
      </c>
      <c r="B2848" s="114"/>
      <c r="C2848" s="114"/>
      <c r="D2848" s="115"/>
    </row>
    <row r="2849" spans="1:4" ht="42.75" customHeight="1" thickBot="1">
      <c r="A2849" s="119"/>
      <c r="B2849" s="119"/>
      <c r="C2849" s="119"/>
      <c r="D2849" s="119"/>
    </row>
    <row r="2850" spans="1:4" ht="42.75" customHeight="1" thickBot="1">
      <c r="A2850" s="126" t="s">
        <v>19</v>
      </c>
      <c r="B2850" s="127"/>
      <c r="C2850" s="127"/>
      <c r="D2850" s="128"/>
    </row>
    <row r="2851" spans="1:4" ht="42.75" customHeight="1" thickBot="1">
      <c r="A2851" s="123" t="s">
        <v>11</v>
      </c>
      <c r="B2851" s="124"/>
      <c r="C2851" s="125" t="s">
        <v>603</v>
      </c>
      <c r="D2851" s="124"/>
    </row>
    <row r="2852" spans="1:4" ht="42.75" customHeight="1" thickBot="1">
      <c r="A2852" s="1" t="s">
        <v>686</v>
      </c>
      <c r="B2852" s="26" t="s">
        <v>1</v>
      </c>
      <c r="C2852" s="90" t="s">
        <v>108</v>
      </c>
      <c r="D2852" s="91"/>
    </row>
    <row r="2853" spans="1:4" ht="42.75" customHeight="1" thickBot="1">
      <c r="A2853" s="26"/>
      <c r="B2853" s="26" t="s">
        <v>0</v>
      </c>
      <c r="C2853" s="5" t="s">
        <v>687</v>
      </c>
      <c r="D2853" s="4" t="s">
        <v>2</v>
      </c>
    </row>
    <row r="2854" spans="1:4" ht="42.75" customHeight="1" thickBot="1">
      <c r="A2854" s="92">
        <v>1995</v>
      </c>
      <c r="B2854" s="93"/>
      <c r="C2854" s="94" t="s">
        <v>3</v>
      </c>
      <c r="D2854" s="95"/>
    </row>
    <row r="2855" spans="1:4" ht="42.75" customHeight="1" thickBot="1">
      <c r="A2855" s="92">
        <v>2007</v>
      </c>
      <c r="B2855" s="93"/>
      <c r="C2855" s="96" t="s">
        <v>4</v>
      </c>
      <c r="D2855" s="97"/>
    </row>
    <row r="2856" spans="1:4" ht="42.75" customHeight="1" thickBot="1">
      <c r="A2856" s="98">
        <f>A2855-A2854</f>
        <v>12</v>
      </c>
      <c r="B2856" s="99"/>
      <c r="C2856" s="100" t="s">
        <v>5</v>
      </c>
      <c r="D2856" s="97"/>
    </row>
    <row r="2857" spans="1:4" ht="42.75" customHeight="1" thickBot="1">
      <c r="A2857" s="101">
        <v>62</v>
      </c>
      <c r="B2857" s="102"/>
      <c r="C2857" s="96" t="s">
        <v>6</v>
      </c>
      <c r="D2857" s="97"/>
    </row>
    <row r="2858" spans="1:4" ht="42.75" customHeight="1" thickBot="1">
      <c r="A2858" s="103"/>
      <c r="B2858" s="104"/>
      <c r="C2858" s="96" t="s">
        <v>21</v>
      </c>
      <c r="D2858" s="97"/>
    </row>
    <row r="2859" spans="1:4" ht="42.75" customHeight="1" thickBot="1">
      <c r="A2859" s="105">
        <v>750</v>
      </c>
      <c r="B2859" s="106"/>
      <c r="C2859" s="96" t="s">
        <v>7</v>
      </c>
      <c r="D2859" s="97"/>
    </row>
    <row r="2860" spans="1:4" ht="42.75" customHeight="1" thickBot="1">
      <c r="A2860" s="107" t="s">
        <v>17</v>
      </c>
      <c r="B2860" s="108"/>
      <c r="C2860" s="108"/>
      <c r="D2860" s="109"/>
    </row>
    <row r="2861" spans="1:4" ht="42.75" customHeight="1" thickBot="1">
      <c r="A2861" s="110" t="s">
        <v>20</v>
      </c>
      <c r="B2861" s="111"/>
      <c r="C2861" s="111"/>
      <c r="D2861" s="112"/>
    </row>
    <row r="2862" spans="1:4" ht="42.75" customHeight="1" thickBot="1">
      <c r="A2862" s="113" t="s">
        <v>18</v>
      </c>
      <c r="B2862" s="114"/>
      <c r="C2862" s="114"/>
      <c r="D2862" s="115"/>
    </row>
    <row r="2863" spans="1:4" ht="42.75" customHeight="1" thickBot="1">
      <c r="A2863" s="126" t="s">
        <v>19</v>
      </c>
      <c r="B2863" s="127"/>
      <c r="C2863" s="127"/>
      <c r="D2863" s="128"/>
    </row>
    <row r="2864" spans="1:4" ht="42.75" customHeight="1" thickBot="1">
      <c r="A2864" s="123" t="s">
        <v>11</v>
      </c>
      <c r="B2864" s="124"/>
      <c r="C2864" s="125" t="s">
        <v>603</v>
      </c>
      <c r="D2864" s="124"/>
    </row>
    <row r="2865" spans="1:4" ht="42.75" customHeight="1" thickBot="1">
      <c r="A2865" s="1" t="s">
        <v>686</v>
      </c>
      <c r="B2865" s="26" t="s">
        <v>1</v>
      </c>
      <c r="C2865" s="90" t="s">
        <v>109</v>
      </c>
      <c r="D2865" s="91"/>
    </row>
    <row r="2866" spans="1:4" ht="42.75" customHeight="1" thickBot="1">
      <c r="A2866" s="26"/>
      <c r="B2866" s="26" t="s">
        <v>0</v>
      </c>
      <c r="C2866" s="5" t="s">
        <v>687</v>
      </c>
      <c r="D2866" s="4" t="s">
        <v>2</v>
      </c>
    </row>
    <row r="2867" spans="1:4" ht="42.75" customHeight="1" thickBot="1">
      <c r="A2867" s="92">
        <v>2560</v>
      </c>
      <c r="B2867" s="93"/>
      <c r="C2867" s="94" t="s">
        <v>3</v>
      </c>
      <c r="D2867" s="95"/>
    </row>
    <row r="2868" spans="1:4" ht="42.75" customHeight="1" thickBot="1">
      <c r="A2868" s="92">
        <v>2560</v>
      </c>
      <c r="B2868" s="93"/>
      <c r="C2868" s="96" t="s">
        <v>4</v>
      </c>
      <c r="D2868" s="97"/>
    </row>
    <row r="2869" spans="1:4" ht="42.75" customHeight="1" thickBot="1">
      <c r="A2869" s="98">
        <f>A2868-A2867</f>
        <v>0</v>
      </c>
      <c r="B2869" s="99"/>
      <c r="C2869" s="100" t="s">
        <v>5</v>
      </c>
      <c r="D2869" s="97"/>
    </row>
    <row r="2870" spans="1:4" ht="42.75" customHeight="1" thickBot="1">
      <c r="A2870" s="101">
        <v>62</v>
      </c>
      <c r="B2870" s="102"/>
      <c r="C2870" s="96" t="s">
        <v>6</v>
      </c>
      <c r="D2870" s="97"/>
    </row>
    <row r="2871" spans="1:4" ht="42.75" customHeight="1" thickBot="1">
      <c r="A2871" s="103"/>
      <c r="B2871" s="104"/>
      <c r="C2871" s="96" t="s">
        <v>21</v>
      </c>
      <c r="D2871" s="97"/>
    </row>
    <row r="2872" spans="1:4" ht="42.75" customHeight="1" thickBot="1">
      <c r="A2872" s="105">
        <f>A2870*A2869</f>
        <v>0</v>
      </c>
      <c r="B2872" s="106"/>
      <c r="C2872" s="96" t="s">
        <v>7</v>
      </c>
      <c r="D2872" s="97"/>
    </row>
    <row r="2873" spans="1:4" ht="42.75" customHeight="1" thickBot="1">
      <c r="A2873" s="107" t="s">
        <v>17</v>
      </c>
      <c r="B2873" s="108"/>
      <c r="C2873" s="108"/>
      <c r="D2873" s="109"/>
    </row>
    <row r="2874" spans="1:4" ht="42.75" customHeight="1" thickBot="1">
      <c r="A2874" s="116" t="s">
        <v>20</v>
      </c>
      <c r="B2874" s="117"/>
      <c r="C2874" s="117"/>
      <c r="D2874" s="118"/>
    </row>
    <row r="2875" spans="1:4" ht="42.75" customHeight="1" thickBot="1">
      <c r="A2875" s="113" t="s">
        <v>18</v>
      </c>
      <c r="B2875" s="114"/>
      <c r="C2875" s="114"/>
      <c r="D2875" s="115"/>
    </row>
    <row r="2876" spans="1:4" ht="42.75" customHeight="1" thickBot="1">
      <c r="A2876" s="119"/>
      <c r="B2876" s="119"/>
      <c r="C2876" s="119"/>
      <c r="D2876" s="119"/>
    </row>
    <row r="2877" spans="1:4" ht="42.75" customHeight="1" thickBot="1">
      <c r="A2877" s="126" t="s">
        <v>19</v>
      </c>
      <c r="B2877" s="127"/>
      <c r="C2877" s="127"/>
      <c r="D2877" s="128"/>
    </row>
    <row r="2878" spans="1:4" ht="42.75" customHeight="1" thickBot="1">
      <c r="A2878" s="123" t="s">
        <v>11</v>
      </c>
      <c r="B2878" s="124"/>
      <c r="C2878" s="125" t="s">
        <v>603</v>
      </c>
      <c r="D2878" s="124"/>
    </row>
    <row r="2879" spans="1:4" ht="42.75" customHeight="1" thickBot="1">
      <c r="A2879" s="1" t="s">
        <v>686</v>
      </c>
      <c r="B2879" s="26" t="s">
        <v>1</v>
      </c>
      <c r="C2879" s="90" t="s">
        <v>109</v>
      </c>
      <c r="D2879" s="91"/>
    </row>
    <row r="2880" spans="1:4" ht="42.75" customHeight="1" thickBot="1">
      <c r="A2880" s="26"/>
      <c r="B2880" s="26" t="s">
        <v>0</v>
      </c>
      <c r="C2880" s="5" t="s">
        <v>687</v>
      </c>
      <c r="D2880" s="4" t="s">
        <v>2</v>
      </c>
    </row>
    <row r="2881" spans="1:4" ht="42.75" customHeight="1" thickBot="1">
      <c r="A2881" s="92">
        <v>2525</v>
      </c>
      <c r="B2881" s="93"/>
      <c r="C2881" s="94" t="s">
        <v>3</v>
      </c>
      <c r="D2881" s="95"/>
    </row>
    <row r="2882" spans="1:4" ht="42.75" customHeight="1" thickBot="1">
      <c r="A2882" s="92">
        <v>2560</v>
      </c>
      <c r="B2882" s="93"/>
      <c r="C2882" s="96" t="s">
        <v>4</v>
      </c>
      <c r="D2882" s="97"/>
    </row>
    <row r="2883" spans="1:4" ht="42.75" customHeight="1" thickBot="1">
      <c r="A2883" s="98">
        <f>A2882-A2881</f>
        <v>35</v>
      </c>
      <c r="B2883" s="99"/>
      <c r="C2883" s="100" t="s">
        <v>5</v>
      </c>
      <c r="D2883" s="97"/>
    </row>
    <row r="2884" spans="1:4" ht="42.75" customHeight="1" thickBot="1">
      <c r="A2884" s="101">
        <v>62</v>
      </c>
      <c r="B2884" s="102"/>
      <c r="C2884" s="96" t="s">
        <v>6</v>
      </c>
      <c r="D2884" s="97"/>
    </row>
    <row r="2885" spans="1:4" ht="42.75" customHeight="1" thickBot="1">
      <c r="A2885" s="103"/>
      <c r="B2885" s="104"/>
      <c r="C2885" s="96" t="s">
        <v>21</v>
      </c>
      <c r="D2885" s="97"/>
    </row>
    <row r="2886" spans="1:4" ht="42.75" customHeight="1" thickBot="1">
      <c r="A2886" s="105">
        <v>2200</v>
      </c>
      <c r="B2886" s="106"/>
      <c r="C2886" s="96" t="s">
        <v>7</v>
      </c>
      <c r="D2886" s="97"/>
    </row>
    <row r="2887" spans="1:4" ht="42.75" customHeight="1" thickBot="1">
      <c r="A2887" s="107" t="s">
        <v>17</v>
      </c>
      <c r="B2887" s="108"/>
      <c r="C2887" s="108"/>
      <c r="D2887" s="109"/>
    </row>
    <row r="2888" spans="1:4" ht="42.75" customHeight="1" thickBot="1">
      <c r="A2888" s="110" t="s">
        <v>20</v>
      </c>
      <c r="B2888" s="111"/>
      <c r="C2888" s="111"/>
      <c r="D2888" s="112"/>
    </row>
    <row r="2889" spans="1:4" ht="42.75" customHeight="1" thickBot="1">
      <c r="A2889" s="113" t="s">
        <v>18</v>
      </c>
      <c r="B2889" s="114"/>
      <c r="C2889" s="114"/>
      <c r="D2889" s="115"/>
    </row>
    <row r="2890" spans="1:4" ht="42.75" customHeight="1" thickBot="1">
      <c r="A2890" s="126" t="s">
        <v>19</v>
      </c>
      <c r="B2890" s="127"/>
      <c r="C2890" s="127"/>
      <c r="D2890" s="128"/>
    </row>
    <row r="2891" spans="1:4" ht="42.75" customHeight="1" thickBot="1">
      <c r="A2891" s="123" t="s">
        <v>11</v>
      </c>
      <c r="B2891" s="124"/>
      <c r="C2891" s="125" t="s">
        <v>603</v>
      </c>
      <c r="D2891" s="124"/>
    </row>
    <row r="2892" spans="1:4" ht="42.75" customHeight="1" thickBot="1">
      <c r="A2892" s="1" t="s">
        <v>686</v>
      </c>
      <c r="B2892" s="26" t="s">
        <v>1</v>
      </c>
      <c r="C2892" s="90" t="s">
        <v>110</v>
      </c>
      <c r="D2892" s="91"/>
    </row>
    <row r="2893" spans="1:4" ht="42.75" customHeight="1" thickBot="1">
      <c r="A2893" s="26"/>
      <c r="B2893" s="26" t="s">
        <v>0</v>
      </c>
      <c r="C2893" s="5" t="s">
        <v>687</v>
      </c>
      <c r="D2893" s="4" t="s">
        <v>2</v>
      </c>
    </row>
    <row r="2894" spans="1:4" ht="42.75" customHeight="1" thickBot="1">
      <c r="A2894" s="92">
        <v>4195</v>
      </c>
      <c r="B2894" s="93"/>
      <c r="C2894" s="94" t="s">
        <v>3</v>
      </c>
      <c r="D2894" s="95"/>
    </row>
    <row r="2895" spans="1:4" ht="42.75" customHeight="1" thickBot="1">
      <c r="A2895" s="92">
        <v>4195</v>
      </c>
      <c r="B2895" s="93"/>
      <c r="C2895" s="96" t="s">
        <v>4</v>
      </c>
      <c r="D2895" s="97"/>
    </row>
    <row r="2896" spans="1:4" ht="42.75" customHeight="1" thickBot="1">
      <c r="A2896" s="98">
        <f>A2895-A2894</f>
        <v>0</v>
      </c>
      <c r="B2896" s="99"/>
      <c r="C2896" s="100" t="s">
        <v>5</v>
      </c>
      <c r="D2896" s="97"/>
    </row>
    <row r="2897" spans="1:4" ht="42.75" customHeight="1" thickBot="1">
      <c r="A2897" s="101">
        <v>62</v>
      </c>
      <c r="B2897" s="102"/>
      <c r="C2897" s="96" t="s">
        <v>6</v>
      </c>
      <c r="D2897" s="97"/>
    </row>
    <row r="2898" spans="1:4" ht="42.75" customHeight="1" thickBot="1">
      <c r="A2898" s="103"/>
      <c r="B2898" s="104"/>
      <c r="C2898" s="96" t="s">
        <v>21</v>
      </c>
      <c r="D2898" s="97"/>
    </row>
    <row r="2899" spans="1:4" ht="42.75" customHeight="1" thickBot="1">
      <c r="A2899" s="105">
        <f>A2897*A2896</f>
        <v>0</v>
      </c>
      <c r="B2899" s="106"/>
      <c r="C2899" s="96" t="s">
        <v>7</v>
      </c>
      <c r="D2899" s="97"/>
    </row>
    <row r="2900" spans="1:4" ht="42.75" customHeight="1" thickBot="1">
      <c r="A2900" s="107" t="s">
        <v>17</v>
      </c>
      <c r="B2900" s="108"/>
      <c r="C2900" s="108"/>
      <c r="D2900" s="109"/>
    </row>
    <row r="2901" spans="1:4" ht="42.75" customHeight="1" thickBot="1">
      <c r="A2901" s="116" t="s">
        <v>20</v>
      </c>
      <c r="B2901" s="117"/>
      <c r="C2901" s="117"/>
      <c r="D2901" s="118"/>
    </row>
    <row r="2902" spans="1:4" ht="42.75" customHeight="1" thickBot="1">
      <c r="A2902" s="113" t="s">
        <v>18</v>
      </c>
      <c r="B2902" s="114"/>
      <c r="C2902" s="114"/>
      <c r="D2902" s="115"/>
    </row>
    <row r="2903" spans="1:4" ht="42.75" customHeight="1" thickBot="1">
      <c r="A2903" s="119"/>
      <c r="B2903" s="119"/>
      <c r="C2903" s="119"/>
      <c r="D2903" s="119"/>
    </row>
    <row r="2904" spans="1:4" ht="42.75" customHeight="1" thickBot="1">
      <c r="A2904" s="126" t="s">
        <v>19</v>
      </c>
      <c r="B2904" s="127"/>
      <c r="C2904" s="127"/>
      <c r="D2904" s="128"/>
    </row>
    <row r="2905" spans="1:4" ht="42.75" customHeight="1" thickBot="1">
      <c r="A2905" s="123" t="s">
        <v>11</v>
      </c>
      <c r="B2905" s="124"/>
      <c r="C2905" s="125" t="s">
        <v>603</v>
      </c>
      <c r="D2905" s="124"/>
    </row>
    <row r="2906" spans="1:4" ht="42.75" customHeight="1" thickBot="1">
      <c r="A2906" s="1" t="s">
        <v>686</v>
      </c>
      <c r="B2906" s="26" t="s">
        <v>1</v>
      </c>
      <c r="C2906" s="90" t="s">
        <v>110</v>
      </c>
      <c r="D2906" s="91"/>
    </row>
    <row r="2907" spans="1:4" ht="42.75" customHeight="1" thickBot="1">
      <c r="A2907" s="26"/>
      <c r="B2907" s="26" t="s">
        <v>0</v>
      </c>
      <c r="C2907" s="5" t="s">
        <v>687</v>
      </c>
      <c r="D2907" s="4" t="s">
        <v>2</v>
      </c>
    </row>
    <row r="2908" spans="1:4" ht="42.75" customHeight="1" thickBot="1">
      <c r="A2908" s="92">
        <v>4085</v>
      </c>
      <c r="B2908" s="93"/>
      <c r="C2908" s="94" t="s">
        <v>3</v>
      </c>
      <c r="D2908" s="95"/>
    </row>
    <row r="2909" spans="1:4" ht="42.75" customHeight="1" thickBot="1">
      <c r="A2909" s="92">
        <v>4195</v>
      </c>
      <c r="B2909" s="93"/>
      <c r="C2909" s="96" t="s">
        <v>4</v>
      </c>
      <c r="D2909" s="97"/>
    </row>
    <row r="2910" spans="1:4" ht="42.75" customHeight="1" thickBot="1">
      <c r="A2910" s="98">
        <f>A2909-A2908</f>
        <v>110</v>
      </c>
      <c r="B2910" s="99"/>
      <c r="C2910" s="100" t="s">
        <v>5</v>
      </c>
      <c r="D2910" s="97"/>
    </row>
    <row r="2911" spans="1:4" ht="42.75" customHeight="1" thickBot="1">
      <c r="A2911" s="101">
        <v>62</v>
      </c>
      <c r="B2911" s="102"/>
      <c r="C2911" s="96" t="s">
        <v>6</v>
      </c>
      <c r="D2911" s="97"/>
    </row>
    <row r="2912" spans="1:4" ht="42.75" customHeight="1" thickBot="1">
      <c r="A2912" s="103"/>
      <c r="B2912" s="104"/>
      <c r="C2912" s="96" t="s">
        <v>21</v>
      </c>
      <c r="D2912" s="97"/>
    </row>
    <row r="2913" spans="1:4" ht="42.75" customHeight="1" thickBot="1">
      <c r="A2913" s="105">
        <v>6800</v>
      </c>
      <c r="B2913" s="106"/>
      <c r="C2913" s="96" t="s">
        <v>7</v>
      </c>
      <c r="D2913" s="97"/>
    </row>
    <row r="2914" spans="1:4" ht="42.75" customHeight="1" thickBot="1">
      <c r="A2914" s="107" t="s">
        <v>17</v>
      </c>
      <c r="B2914" s="108"/>
      <c r="C2914" s="108"/>
      <c r="D2914" s="109"/>
    </row>
    <row r="2915" spans="1:4" ht="42.75" customHeight="1" thickBot="1">
      <c r="A2915" s="110" t="s">
        <v>20</v>
      </c>
      <c r="B2915" s="111"/>
      <c r="C2915" s="111"/>
      <c r="D2915" s="112"/>
    </row>
    <row r="2916" spans="1:4" ht="42.75" customHeight="1" thickBot="1">
      <c r="A2916" s="113" t="s">
        <v>18</v>
      </c>
      <c r="B2916" s="114"/>
      <c r="C2916" s="114"/>
      <c r="D2916" s="115"/>
    </row>
    <row r="2917" spans="1:4" ht="42.75" customHeight="1" thickBot="1">
      <c r="A2917" s="126" t="s">
        <v>19</v>
      </c>
      <c r="B2917" s="127"/>
      <c r="C2917" s="127"/>
      <c r="D2917" s="128"/>
    </row>
    <row r="2918" spans="1:4" ht="42.75" customHeight="1" thickBot="1">
      <c r="A2918" s="123" t="s">
        <v>11</v>
      </c>
      <c r="B2918" s="124"/>
      <c r="C2918" s="125" t="s">
        <v>603</v>
      </c>
      <c r="D2918" s="124"/>
    </row>
    <row r="2919" spans="1:4" ht="42.75" customHeight="1" thickBot="1">
      <c r="A2919" s="1" t="s">
        <v>686</v>
      </c>
      <c r="B2919" s="26" t="s">
        <v>1</v>
      </c>
      <c r="C2919" s="90" t="s">
        <v>111</v>
      </c>
      <c r="D2919" s="91"/>
    </row>
    <row r="2920" spans="1:4" ht="42.75" customHeight="1" thickBot="1">
      <c r="A2920" s="26"/>
      <c r="B2920" s="26" t="s">
        <v>0</v>
      </c>
      <c r="C2920" s="5" t="s">
        <v>687</v>
      </c>
      <c r="D2920" s="4" t="s">
        <v>2</v>
      </c>
    </row>
    <row r="2921" spans="1:4" ht="42.75" customHeight="1" thickBot="1">
      <c r="A2921" s="92">
        <v>467</v>
      </c>
      <c r="B2921" s="93"/>
      <c r="C2921" s="94" t="s">
        <v>3</v>
      </c>
      <c r="D2921" s="95"/>
    </row>
    <row r="2922" spans="1:4" ht="42.75" customHeight="1" thickBot="1">
      <c r="A2922" s="92">
        <v>467</v>
      </c>
      <c r="B2922" s="93"/>
      <c r="C2922" s="96" t="s">
        <v>4</v>
      </c>
      <c r="D2922" s="97"/>
    </row>
    <row r="2923" spans="1:4" ht="42.75" customHeight="1" thickBot="1">
      <c r="A2923" s="98">
        <f>A2922-A2921</f>
        <v>0</v>
      </c>
      <c r="B2923" s="99"/>
      <c r="C2923" s="100" t="s">
        <v>5</v>
      </c>
      <c r="D2923" s="97"/>
    </row>
    <row r="2924" spans="1:4" ht="42.75" customHeight="1" thickBot="1">
      <c r="A2924" s="101">
        <v>62</v>
      </c>
      <c r="B2924" s="102"/>
      <c r="C2924" s="96" t="s">
        <v>6</v>
      </c>
      <c r="D2924" s="97"/>
    </row>
    <row r="2925" spans="1:4" ht="42.75" customHeight="1" thickBot="1">
      <c r="A2925" s="103"/>
      <c r="B2925" s="104"/>
      <c r="C2925" s="96" t="s">
        <v>21</v>
      </c>
      <c r="D2925" s="97"/>
    </row>
    <row r="2926" spans="1:4" ht="42.75" customHeight="1" thickBot="1">
      <c r="A2926" s="105">
        <f>A2924*A2923</f>
        <v>0</v>
      </c>
      <c r="B2926" s="106"/>
      <c r="C2926" s="96" t="s">
        <v>7</v>
      </c>
      <c r="D2926" s="97"/>
    </row>
    <row r="2927" spans="1:4" ht="42.75" customHeight="1" thickBot="1">
      <c r="A2927" s="107" t="s">
        <v>17</v>
      </c>
      <c r="B2927" s="108"/>
      <c r="C2927" s="108"/>
      <c r="D2927" s="109"/>
    </row>
    <row r="2928" spans="1:4" ht="42.75" customHeight="1" thickBot="1">
      <c r="A2928" s="116" t="s">
        <v>20</v>
      </c>
      <c r="B2928" s="117"/>
      <c r="C2928" s="117"/>
      <c r="D2928" s="118"/>
    </row>
    <row r="2929" spans="1:4" ht="42.75" customHeight="1" thickBot="1">
      <c r="A2929" s="113" t="s">
        <v>18</v>
      </c>
      <c r="B2929" s="114"/>
      <c r="C2929" s="114"/>
      <c r="D2929" s="115"/>
    </row>
    <row r="2930" spans="1:4" ht="42.75" customHeight="1" thickBot="1">
      <c r="A2930" s="119"/>
      <c r="B2930" s="119"/>
      <c r="C2930" s="119"/>
      <c r="D2930" s="119"/>
    </row>
    <row r="2931" spans="1:4" ht="42.75" customHeight="1" thickBot="1">
      <c r="A2931" s="126" t="s">
        <v>19</v>
      </c>
      <c r="B2931" s="127"/>
      <c r="C2931" s="127"/>
      <c r="D2931" s="128"/>
    </row>
    <row r="2932" spans="1:4" ht="42.75" customHeight="1" thickBot="1">
      <c r="A2932" s="123" t="s">
        <v>11</v>
      </c>
      <c r="B2932" s="124"/>
      <c r="C2932" s="125" t="s">
        <v>603</v>
      </c>
      <c r="D2932" s="124"/>
    </row>
    <row r="2933" spans="1:4" ht="42.75" customHeight="1" thickBot="1">
      <c r="A2933" s="1" t="s">
        <v>686</v>
      </c>
      <c r="B2933" s="26" t="s">
        <v>1</v>
      </c>
      <c r="C2933" s="90" t="s">
        <v>111</v>
      </c>
      <c r="D2933" s="91"/>
    </row>
    <row r="2934" spans="1:4" ht="42.75" customHeight="1" thickBot="1">
      <c r="A2934" s="26"/>
      <c r="B2934" s="26" t="s">
        <v>0</v>
      </c>
      <c r="C2934" s="5" t="s">
        <v>687</v>
      </c>
      <c r="D2934" s="4" t="s">
        <v>2</v>
      </c>
    </row>
    <row r="2935" spans="1:4" ht="42.75" customHeight="1" thickBot="1">
      <c r="A2935" s="92">
        <v>461</v>
      </c>
      <c r="B2935" s="93"/>
      <c r="C2935" s="94" t="s">
        <v>3</v>
      </c>
      <c r="D2935" s="95"/>
    </row>
    <row r="2936" spans="1:4" ht="42.75" customHeight="1" thickBot="1">
      <c r="A2936" s="92">
        <v>467</v>
      </c>
      <c r="B2936" s="93"/>
      <c r="C2936" s="96" t="s">
        <v>4</v>
      </c>
      <c r="D2936" s="97"/>
    </row>
    <row r="2937" spans="1:4" ht="42.75" customHeight="1" thickBot="1">
      <c r="A2937" s="98">
        <f>A2936-A2935</f>
        <v>6</v>
      </c>
      <c r="B2937" s="99"/>
      <c r="C2937" s="100" t="s">
        <v>5</v>
      </c>
      <c r="D2937" s="97"/>
    </row>
    <row r="2938" spans="1:4" ht="42.75" customHeight="1" thickBot="1">
      <c r="A2938" s="101">
        <v>62</v>
      </c>
      <c r="B2938" s="102"/>
      <c r="C2938" s="96" t="s">
        <v>6</v>
      </c>
      <c r="D2938" s="97"/>
    </row>
    <row r="2939" spans="1:4" ht="42.75" customHeight="1" thickBot="1">
      <c r="A2939" s="103"/>
      <c r="B2939" s="104"/>
      <c r="C2939" s="96" t="s">
        <v>21</v>
      </c>
      <c r="D2939" s="97"/>
    </row>
    <row r="2940" spans="1:4" ht="42.75" customHeight="1" thickBot="1">
      <c r="A2940" s="105">
        <v>400</v>
      </c>
      <c r="B2940" s="106"/>
      <c r="C2940" s="96" t="s">
        <v>7</v>
      </c>
      <c r="D2940" s="97"/>
    </row>
    <row r="2941" spans="1:4" ht="42.75" customHeight="1" thickBot="1">
      <c r="A2941" s="107" t="s">
        <v>17</v>
      </c>
      <c r="B2941" s="108"/>
      <c r="C2941" s="108"/>
      <c r="D2941" s="109"/>
    </row>
    <row r="2942" spans="1:4" ht="42.75" customHeight="1" thickBot="1">
      <c r="A2942" s="110" t="s">
        <v>20</v>
      </c>
      <c r="B2942" s="111"/>
      <c r="C2942" s="111"/>
      <c r="D2942" s="112"/>
    </row>
    <row r="2943" spans="1:4" ht="42.75" customHeight="1" thickBot="1">
      <c r="A2943" s="113" t="s">
        <v>18</v>
      </c>
      <c r="B2943" s="114"/>
      <c r="C2943" s="114"/>
      <c r="D2943" s="115"/>
    </row>
    <row r="2944" spans="1:4" ht="42.75" customHeight="1" thickBot="1">
      <c r="A2944" s="126" t="s">
        <v>19</v>
      </c>
      <c r="B2944" s="127"/>
      <c r="C2944" s="127"/>
      <c r="D2944" s="128"/>
    </row>
    <row r="2945" spans="1:4" ht="42.75" customHeight="1" thickBot="1">
      <c r="A2945" s="123" t="s">
        <v>11</v>
      </c>
      <c r="B2945" s="124"/>
      <c r="C2945" s="125" t="s">
        <v>603</v>
      </c>
      <c r="D2945" s="124"/>
    </row>
    <row r="2946" spans="1:4" ht="42.75" customHeight="1" thickBot="1">
      <c r="A2946" s="1" t="s">
        <v>686</v>
      </c>
      <c r="B2946" s="26" t="s">
        <v>1</v>
      </c>
      <c r="C2946" s="90" t="s">
        <v>112</v>
      </c>
      <c r="D2946" s="91"/>
    </row>
    <row r="2947" spans="1:4" ht="42.75" customHeight="1" thickBot="1">
      <c r="A2947" s="26"/>
      <c r="B2947" s="26" t="s">
        <v>0</v>
      </c>
      <c r="C2947" s="5" t="s">
        <v>687</v>
      </c>
      <c r="D2947" s="4" t="s">
        <v>2</v>
      </c>
    </row>
    <row r="2948" spans="1:4" ht="42.75" customHeight="1" thickBot="1">
      <c r="A2948" s="92">
        <v>1105</v>
      </c>
      <c r="B2948" s="93"/>
      <c r="C2948" s="94" t="s">
        <v>3</v>
      </c>
      <c r="D2948" s="95"/>
    </row>
    <row r="2949" spans="1:4" ht="42.75" customHeight="1" thickBot="1">
      <c r="A2949" s="92">
        <v>1105</v>
      </c>
      <c r="B2949" s="93"/>
      <c r="C2949" s="96" t="s">
        <v>4</v>
      </c>
      <c r="D2949" s="97"/>
    </row>
    <row r="2950" spans="1:4" ht="42.75" customHeight="1" thickBot="1">
      <c r="A2950" s="98">
        <f>A2949-A2948</f>
        <v>0</v>
      </c>
      <c r="B2950" s="99"/>
      <c r="C2950" s="100" t="s">
        <v>5</v>
      </c>
      <c r="D2950" s="97"/>
    </row>
    <row r="2951" spans="1:4" ht="42.75" customHeight="1" thickBot="1">
      <c r="A2951" s="101">
        <v>62</v>
      </c>
      <c r="B2951" s="102"/>
      <c r="C2951" s="96" t="s">
        <v>6</v>
      </c>
      <c r="D2951" s="97"/>
    </row>
    <row r="2952" spans="1:4" ht="42.75" customHeight="1" thickBot="1">
      <c r="A2952" s="103"/>
      <c r="B2952" s="104"/>
      <c r="C2952" s="96" t="s">
        <v>21</v>
      </c>
      <c r="D2952" s="97"/>
    </row>
    <row r="2953" spans="1:4" ht="42.75" customHeight="1" thickBot="1">
      <c r="A2953" s="105">
        <f>A2951*A2950</f>
        <v>0</v>
      </c>
      <c r="B2953" s="106"/>
      <c r="C2953" s="96" t="s">
        <v>7</v>
      </c>
      <c r="D2953" s="97"/>
    </row>
    <row r="2954" spans="1:4" ht="42.75" customHeight="1" thickBot="1">
      <c r="A2954" s="107" t="s">
        <v>17</v>
      </c>
      <c r="B2954" s="108"/>
      <c r="C2954" s="108"/>
      <c r="D2954" s="109"/>
    </row>
    <row r="2955" spans="1:4" ht="42.75" customHeight="1" thickBot="1">
      <c r="A2955" s="116" t="s">
        <v>20</v>
      </c>
      <c r="B2955" s="117"/>
      <c r="C2955" s="117"/>
      <c r="D2955" s="118"/>
    </row>
    <row r="2956" spans="1:4" ht="42.75" customHeight="1" thickBot="1">
      <c r="A2956" s="113" t="s">
        <v>18</v>
      </c>
      <c r="B2956" s="114"/>
      <c r="C2956" s="114"/>
      <c r="D2956" s="115"/>
    </row>
    <row r="2957" spans="1:4" ht="42.75" customHeight="1" thickBot="1">
      <c r="A2957" s="119"/>
      <c r="B2957" s="119"/>
      <c r="C2957" s="119"/>
      <c r="D2957" s="119"/>
    </row>
    <row r="2958" spans="1:4" ht="42.75" customHeight="1" thickBot="1">
      <c r="A2958" s="126" t="s">
        <v>19</v>
      </c>
      <c r="B2958" s="127"/>
      <c r="C2958" s="127"/>
      <c r="D2958" s="128"/>
    </row>
    <row r="2959" spans="1:4" ht="42.75" customHeight="1" thickBot="1">
      <c r="A2959" s="123" t="s">
        <v>11</v>
      </c>
      <c r="B2959" s="124"/>
      <c r="C2959" s="125" t="s">
        <v>603</v>
      </c>
      <c r="D2959" s="124"/>
    </row>
    <row r="2960" spans="1:4" ht="42.75" customHeight="1" thickBot="1">
      <c r="A2960" s="1" t="s">
        <v>686</v>
      </c>
      <c r="B2960" s="26" t="s">
        <v>1</v>
      </c>
      <c r="C2960" s="90" t="s">
        <v>112</v>
      </c>
      <c r="D2960" s="91"/>
    </row>
    <row r="2961" spans="1:4" ht="42.75" customHeight="1" thickBot="1">
      <c r="A2961" s="26"/>
      <c r="B2961" s="26" t="s">
        <v>0</v>
      </c>
      <c r="C2961" s="5" t="s">
        <v>687</v>
      </c>
      <c r="D2961" s="4" t="s">
        <v>2</v>
      </c>
    </row>
    <row r="2962" spans="1:4" ht="42.75" customHeight="1" thickBot="1">
      <c r="A2962" s="92">
        <v>1093</v>
      </c>
      <c r="B2962" s="93"/>
      <c r="C2962" s="94" t="s">
        <v>3</v>
      </c>
      <c r="D2962" s="95"/>
    </row>
    <row r="2963" spans="1:4" ht="42.75" customHeight="1" thickBot="1">
      <c r="A2963" s="92">
        <v>1105</v>
      </c>
      <c r="B2963" s="93"/>
      <c r="C2963" s="96" t="s">
        <v>4</v>
      </c>
      <c r="D2963" s="97"/>
    </row>
    <row r="2964" spans="1:4" ht="42.75" customHeight="1" thickBot="1">
      <c r="A2964" s="98">
        <f>A2963-A2962</f>
        <v>12</v>
      </c>
      <c r="B2964" s="99"/>
      <c r="C2964" s="100" t="s">
        <v>5</v>
      </c>
      <c r="D2964" s="97"/>
    </row>
    <row r="2965" spans="1:4" ht="42.75" customHeight="1" thickBot="1">
      <c r="A2965" s="101">
        <v>62</v>
      </c>
      <c r="B2965" s="102"/>
      <c r="C2965" s="96" t="s">
        <v>6</v>
      </c>
      <c r="D2965" s="97"/>
    </row>
    <row r="2966" spans="1:4" ht="42.75" customHeight="1" thickBot="1">
      <c r="A2966" s="103"/>
      <c r="B2966" s="104"/>
      <c r="C2966" s="96" t="s">
        <v>21</v>
      </c>
      <c r="D2966" s="97"/>
    </row>
    <row r="2967" spans="1:4" ht="42.75" customHeight="1" thickBot="1">
      <c r="A2967" s="105">
        <v>750</v>
      </c>
      <c r="B2967" s="106"/>
      <c r="C2967" s="96" t="s">
        <v>7</v>
      </c>
      <c r="D2967" s="97"/>
    </row>
    <row r="2968" spans="1:4" ht="42.75" customHeight="1" thickBot="1">
      <c r="A2968" s="107" t="s">
        <v>17</v>
      </c>
      <c r="B2968" s="108"/>
      <c r="C2968" s="108"/>
      <c r="D2968" s="109"/>
    </row>
    <row r="2969" spans="1:4" ht="42.75" customHeight="1" thickBot="1">
      <c r="A2969" s="110" t="s">
        <v>20</v>
      </c>
      <c r="B2969" s="111"/>
      <c r="C2969" s="111"/>
      <c r="D2969" s="112"/>
    </row>
    <row r="2970" spans="1:4" ht="42.75" customHeight="1" thickBot="1">
      <c r="A2970" s="113" t="s">
        <v>18</v>
      </c>
      <c r="B2970" s="114"/>
      <c r="C2970" s="114"/>
      <c r="D2970" s="115"/>
    </row>
    <row r="2971" spans="1:4" ht="42.75" customHeight="1" thickBot="1">
      <c r="A2971" s="126" t="s">
        <v>19</v>
      </c>
      <c r="B2971" s="127"/>
      <c r="C2971" s="127"/>
      <c r="D2971" s="128"/>
    </row>
    <row r="2972" spans="1:4" ht="42.75" customHeight="1" thickBot="1">
      <c r="A2972" s="123" t="s">
        <v>11</v>
      </c>
      <c r="B2972" s="124"/>
      <c r="C2972" s="125" t="s">
        <v>603</v>
      </c>
      <c r="D2972" s="124"/>
    </row>
    <row r="2973" spans="1:4" ht="42.75" customHeight="1" thickBot="1">
      <c r="A2973" s="1" t="s">
        <v>686</v>
      </c>
      <c r="B2973" s="26" t="s">
        <v>1</v>
      </c>
      <c r="C2973" s="90" t="s">
        <v>27</v>
      </c>
      <c r="D2973" s="91"/>
    </row>
    <row r="2974" spans="1:4" ht="42.75" customHeight="1" thickBot="1">
      <c r="A2974" s="26"/>
      <c r="B2974" s="26" t="s">
        <v>0</v>
      </c>
      <c r="C2974" s="5" t="s">
        <v>687</v>
      </c>
      <c r="D2974" s="4" t="s">
        <v>2</v>
      </c>
    </row>
    <row r="2975" spans="1:4" ht="42.75" customHeight="1" thickBot="1">
      <c r="A2975" s="92">
        <v>80</v>
      </c>
      <c r="B2975" s="93"/>
      <c r="C2975" s="94" t="s">
        <v>3</v>
      </c>
      <c r="D2975" s="95"/>
    </row>
    <row r="2976" spans="1:4" ht="42.75" customHeight="1" thickBot="1">
      <c r="A2976" s="92">
        <v>80</v>
      </c>
      <c r="B2976" s="93"/>
      <c r="C2976" s="96" t="s">
        <v>4</v>
      </c>
      <c r="D2976" s="97"/>
    </row>
    <row r="2977" spans="1:4" ht="42.75" customHeight="1" thickBot="1">
      <c r="A2977" s="98">
        <f>A2976-A2975</f>
        <v>0</v>
      </c>
      <c r="B2977" s="99"/>
      <c r="C2977" s="100" t="s">
        <v>5</v>
      </c>
      <c r="D2977" s="97"/>
    </row>
    <row r="2978" spans="1:4" ht="42.75" customHeight="1" thickBot="1">
      <c r="A2978" s="101">
        <v>62</v>
      </c>
      <c r="B2978" s="102"/>
      <c r="C2978" s="96" t="s">
        <v>6</v>
      </c>
      <c r="D2978" s="97"/>
    </row>
    <row r="2979" spans="1:4" ht="42.75" customHeight="1" thickBot="1">
      <c r="A2979" s="103"/>
      <c r="B2979" s="104"/>
      <c r="C2979" s="96" t="s">
        <v>21</v>
      </c>
      <c r="D2979" s="97"/>
    </row>
    <row r="2980" spans="1:4" ht="42.75" customHeight="1" thickBot="1">
      <c r="A2980" s="105">
        <f>A2978*A2977</f>
        <v>0</v>
      </c>
      <c r="B2980" s="106"/>
      <c r="C2980" s="96" t="s">
        <v>7</v>
      </c>
      <c r="D2980" s="97"/>
    </row>
    <row r="2981" spans="1:4" ht="42.75" customHeight="1" thickBot="1">
      <c r="A2981" s="107" t="s">
        <v>17</v>
      </c>
      <c r="B2981" s="108"/>
      <c r="C2981" s="108"/>
      <c r="D2981" s="109"/>
    </row>
    <row r="2982" spans="1:4" ht="42.75" customHeight="1" thickBot="1">
      <c r="A2982" s="116" t="s">
        <v>20</v>
      </c>
      <c r="B2982" s="117"/>
      <c r="C2982" s="117"/>
      <c r="D2982" s="118"/>
    </row>
    <row r="2983" spans="1:4" ht="42.75" customHeight="1" thickBot="1">
      <c r="A2983" s="113" t="s">
        <v>18</v>
      </c>
      <c r="B2983" s="114"/>
      <c r="C2983" s="114"/>
      <c r="D2983" s="115"/>
    </row>
    <row r="2984" spans="1:4" ht="42.75" customHeight="1" thickBot="1">
      <c r="A2984" s="119"/>
      <c r="B2984" s="119"/>
      <c r="C2984" s="119"/>
      <c r="D2984" s="119"/>
    </row>
    <row r="2985" spans="1:4" ht="42.75" customHeight="1" thickBot="1">
      <c r="A2985" s="126" t="s">
        <v>19</v>
      </c>
      <c r="B2985" s="127"/>
      <c r="C2985" s="127"/>
      <c r="D2985" s="128"/>
    </row>
    <row r="2986" spans="1:4" ht="42.75" customHeight="1" thickBot="1">
      <c r="A2986" s="123" t="s">
        <v>11</v>
      </c>
      <c r="B2986" s="124"/>
      <c r="C2986" s="125" t="s">
        <v>603</v>
      </c>
      <c r="D2986" s="124"/>
    </row>
    <row r="2987" spans="1:4" ht="42.75" customHeight="1" thickBot="1">
      <c r="A2987" s="1" t="s">
        <v>686</v>
      </c>
      <c r="B2987" s="26" t="s">
        <v>1</v>
      </c>
      <c r="C2987" s="90" t="s">
        <v>27</v>
      </c>
      <c r="D2987" s="91"/>
    </row>
    <row r="2988" spans="1:4" ht="42.75" customHeight="1" thickBot="1">
      <c r="A2988" s="26"/>
      <c r="B2988" s="26" t="s">
        <v>0</v>
      </c>
      <c r="C2988" s="5" t="s">
        <v>687</v>
      </c>
      <c r="D2988" s="4" t="s">
        <v>2</v>
      </c>
    </row>
    <row r="2989" spans="1:4" ht="42.75" customHeight="1" thickBot="1">
      <c r="A2989" s="92">
        <v>60</v>
      </c>
      <c r="B2989" s="93"/>
      <c r="C2989" s="94" t="s">
        <v>3</v>
      </c>
      <c r="D2989" s="95"/>
    </row>
    <row r="2990" spans="1:4" ht="42.75" customHeight="1" thickBot="1">
      <c r="A2990" s="92">
        <v>80</v>
      </c>
      <c r="B2990" s="93"/>
      <c r="C2990" s="96" t="s">
        <v>4</v>
      </c>
      <c r="D2990" s="97"/>
    </row>
    <row r="2991" spans="1:4" ht="42.75" customHeight="1" thickBot="1">
      <c r="A2991" s="98">
        <f>A2990-A2989</f>
        <v>20</v>
      </c>
      <c r="B2991" s="99"/>
      <c r="C2991" s="100" t="s">
        <v>5</v>
      </c>
      <c r="D2991" s="97"/>
    </row>
    <row r="2992" spans="1:4" ht="42.75" customHeight="1" thickBot="1">
      <c r="A2992" s="101">
        <v>62</v>
      </c>
      <c r="B2992" s="102"/>
      <c r="C2992" s="96" t="s">
        <v>6</v>
      </c>
      <c r="D2992" s="97"/>
    </row>
    <row r="2993" spans="1:4" ht="42.75" customHeight="1" thickBot="1">
      <c r="A2993" s="103"/>
      <c r="B2993" s="104"/>
      <c r="C2993" s="96" t="s">
        <v>21</v>
      </c>
      <c r="D2993" s="97"/>
    </row>
    <row r="2994" spans="1:4" ht="42.75" customHeight="1" thickBot="1">
      <c r="A2994" s="105">
        <v>1250</v>
      </c>
      <c r="B2994" s="106"/>
      <c r="C2994" s="96" t="s">
        <v>7</v>
      </c>
      <c r="D2994" s="97"/>
    </row>
    <row r="2995" spans="1:4" ht="42.75" customHeight="1" thickBot="1">
      <c r="A2995" s="107" t="s">
        <v>17</v>
      </c>
      <c r="B2995" s="108"/>
      <c r="C2995" s="108"/>
      <c r="D2995" s="109"/>
    </row>
    <row r="2996" spans="1:4" ht="42.75" customHeight="1" thickBot="1">
      <c r="A2996" s="110" t="s">
        <v>20</v>
      </c>
      <c r="B2996" s="111"/>
      <c r="C2996" s="111"/>
      <c r="D2996" s="112"/>
    </row>
    <row r="2997" spans="1:4" ht="42.75" customHeight="1" thickBot="1">
      <c r="A2997" s="113" t="s">
        <v>18</v>
      </c>
      <c r="B2997" s="114"/>
      <c r="C2997" s="114"/>
      <c r="D2997" s="115"/>
    </row>
    <row r="2998" spans="1:4" ht="42.75" customHeight="1" thickBot="1">
      <c r="A2998" s="126" t="s">
        <v>19</v>
      </c>
      <c r="B2998" s="127"/>
      <c r="C2998" s="127"/>
      <c r="D2998" s="128"/>
    </row>
    <row r="2999" spans="1:4" ht="42.75" customHeight="1" thickBot="1">
      <c r="A2999" s="123" t="s">
        <v>11</v>
      </c>
      <c r="B2999" s="124"/>
      <c r="C2999" s="125" t="s">
        <v>603</v>
      </c>
      <c r="D2999" s="124"/>
    </row>
    <row r="3000" spans="1:4" ht="42.75" customHeight="1" thickBot="1">
      <c r="A3000" s="1" t="s">
        <v>686</v>
      </c>
      <c r="B3000" s="26" t="s">
        <v>1</v>
      </c>
      <c r="C3000" s="90" t="s">
        <v>113</v>
      </c>
      <c r="D3000" s="91"/>
    </row>
    <row r="3001" spans="1:4" ht="42.75" customHeight="1" thickBot="1">
      <c r="A3001" s="26"/>
      <c r="B3001" s="26" t="s">
        <v>0</v>
      </c>
      <c r="C3001" s="5" t="s">
        <v>687</v>
      </c>
      <c r="D3001" s="4" t="s">
        <v>2</v>
      </c>
    </row>
    <row r="3002" spans="1:4" ht="42.75" customHeight="1" thickBot="1">
      <c r="A3002" s="92">
        <v>945</v>
      </c>
      <c r="B3002" s="93"/>
      <c r="C3002" s="94" t="s">
        <v>3</v>
      </c>
      <c r="D3002" s="95"/>
    </row>
    <row r="3003" spans="1:4" ht="42.75" customHeight="1" thickBot="1">
      <c r="A3003" s="92">
        <v>945</v>
      </c>
      <c r="B3003" s="93"/>
      <c r="C3003" s="96" t="s">
        <v>4</v>
      </c>
      <c r="D3003" s="97"/>
    </row>
    <row r="3004" spans="1:4" ht="42.75" customHeight="1" thickBot="1">
      <c r="A3004" s="98">
        <f>A3003-A3002</f>
        <v>0</v>
      </c>
      <c r="B3004" s="99"/>
      <c r="C3004" s="100" t="s">
        <v>5</v>
      </c>
      <c r="D3004" s="97"/>
    </row>
    <row r="3005" spans="1:4" ht="42.75" customHeight="1" thickBot="1">
      <c r="A3005" s="101">
        <v>62</v>
      </c>
      <c r="B3005" s="102"/>
      <c r="C3005" s="96" t="s">
        <v>6</v>
      </c>
      <c r="D3005" s="97"/>
    </row>
    <row r="3006" spans="1:4" ht="42.75" customHeight="1" thickBot="1">
      <c r="A3006" s="103"/>
      <c r="B3006" s="104"/>
      <c r="C3006" s="96" t="s">
        <v>21</v>
      </c>
      <c r="D3006" s="97"/>
    </row>
    <row r="3007" spans="1:4" ht="42.75" customHeight="1" thickBot="1">
      <c r="A3007" s="105">
        <f>A3005*A3004</f>
        <v>0</v>
      </c>
      <c r="B3007" s="106"/>
      <c r="C3007" s="96" t="s">
        <v>7</v>
      </c>
      <c r="D3007" s="97"/>
    </row>
    <row r="3008" spans="1:4" ht="42.75" customHeight="1" thickBot="1">
      <c r="A3008" s="107" t="s">
        <v>17</v>
      </c>
      <c r="B3008" s="108"/>
      <c r="C3008" s="108"/>
      <c r="D3008" s="109"/>
    </row>
    <row r="3009" spans="1:4" ht="42.75" customHeight="1" thickBot="1">
      <c r="A3009" s="116" t="s">
        <v>20</v>
      </c>
      <c r="B3009" s="117"/>
      <c r="C3009" s="117"/>
      <c r="D3009" s="118"/>
    </row>
    <row r="3010" spans="1:4" ht="42.75" customHeight="1" thickBot="1">
      <c r="A3010" s="113" t="s">
        <v>18</v>
      </c>
      <c r="B3010" s="114"/>
      <c r="C3010" s="114"/>
      <c r="D3010" s="115"/>
    </row>
    <row r="3011" spans="1:4" ht="42.75" customHeight="1" thickBot="1">
      <c r="A3011" s="119"/>
      <c r="B3011" s="119"/>
      <c r="C3011" s="119"/>
      <c r="D3011" s="119"/>
    </row>
    <row r="3012" spans="1:4" ht="42.75" customHeight="1" thickBot="1">
      <c r="A3012" s="126" t="s">
        <v>19</v>
      </c>
      <c r="B3012" s="127"/>
      <c r="C3012" s="127"/>
      <c r="D3012" s="128"/>
    </row>
    <row r="3013" spans="1:4" ht="42.75" customHeight="1" thickBot="1">
      <c r="A3013" s="123" t="s">
        <v>11</v>
      </c>
      <c r="B3013" s="124"/>
      <c r="C3013" s="125" t="s">
        <v>603</v>
      </c>
      <c r="D3013" s="124"/>
    </row>
    <row r="3014" spans="1:4" ht="42.75" customHeight="1" thickBot="1">
      <c r="A3014" s="1" t="s">
        <v>686</v>
      </c>
      <c r="B3014" s="26" t="s">
        <v>1</v>
      </c>
      <c r="C3014" s="90" t="s">
        <v>113</v>
      </c>
      <c r="D3014" s="91"/>
    </row>
    <row r="3015" spans="1:4" ht="42.75" customHeight="1" thickBot="1">
      <c r="A3015" s="26"/>
      <c r="B3015" s="26" t="s">
        <v>0</v>
      </c>
      <c r="C3015" s="5" t="s">
        <v>687</v>
      </c>
      <c r="D3015" s="4" t="s">
        <v>2</v>
      </c>
    </row>
    <row r="3016" spans="1:4" ht="42.75" customHeight="1" thickBot="1">
      <c r="A3016" s="92">
        <v>930</v>
      </c>
      <c r="B3016" s="93"/>
      <c r="C3016" s="94" t="s">
        <v>3</v>
      </c>
      <c r="D3016" s="95"/>
    </row>
    <row r="3017" spans="1:4" ht="42.75" customHeight="1" thickBot="1">
      <c r="A3017" s="92">
        <v>945</v>
      </c>
      <c r="B3017" s="93"/>
      <c r="C3017" s="96" t="s">
        <v>4</v>
      </c>
      <c r="D3017" s="97"/>
    </row>
    <row r="3018" spans="1:4" ht="42.75" customHeight="1" thickBot="1">
      <c r="A3018" s="98">
        <f>A3017-A3016</f>
        <v>15</v>
      </c>
      <c r="B3018" s="99"/>
      <c r="C3018" s="100" t="s">
        <v>5</v>
      </c>
      <c r="D3018" s="97"/>
    </row>
    <row r="3019" spans="1:4" ht="42.75" customHeight="1" thickBot="1">
      <c r="A3019" s="101">
        <v>62</v>
      </c>
      <c r="B3019" s="102"/>
      <c r="C3019" s="96" t="s">
        <v>6</v>
      </c>
      <c r="D3019" s="97"/>
    </row>
    <row r="3020" spans="1:4" ht="42.75" customHeight="1" thickBot="1">
      <c r="A3020" s="103"/>
      <c r="B3020" s="104"/>
      <c r="C3020" s="96" t="s">
        <v>21</v>
      </c>
      <c r="D3020" s="97"/>
    </row>
    <row r="3021" spans="1:4" ht="42.75" customHeight="1" thickBot="1">
      <c r="A3021" s="105">
        <v>950</v>
      </c>
      <c r="B3021" s="106"/>
      <c r="C3021" s="96" t="s">
        <v>7</v>
      </c>
      <c r="D3021" s="97"/>
    </row>
    <row r="3022" spans="1:4" ht="42.75" customHeight="1" thickBot="1">
      <c r="A3022" s="107" t="s">
        <v>17</v>
      </c>
      <c r="B3022" s="108"/>
      <c r="C3022" s="108"/>
      <c r="D3022" s="109"/>
    </row>
    <row r="3023" spans="1:4" ht="42.75" customHeight="1" thickBot="1">
      <c r="A3023" s="110" t="s">
        <v>20</v>
      </c>
      <c r="B3023" s="111"/>
      <c r="C3023" s="111"/>
      <c r="D3023" s="112"/>
    </row>
    <row r="3024" spans="1:4" ht="42.75" customHeight="1" thickBot="1">
      <c r="A3024" s="113" t="s">
        <v>18</v>
      </c>
      <c r="B3024" s="114"/>
      <c r="C3024" s="114"/>
      <c r="D3024" s="115"/>
    </row>
    <row r="3025" spans="1:4" ht="42.75" customHeight="1" thickBot="1">
      <c r="A3025" s="126" t="s">
        <v>19</v>
      </c>
      <c r="B3025" s="127"/>
      <c r="C3025" s="127"/>
      <c r="D3025" s="128"/>
    </row>
    <row r="3026" spans="1:4" ht="42.75" customHeight="1" thickBot="1">
      <c r="A3026" s="123" t="s">
        <v>11</v>
      </c>
      <c r="B3026" s="124"/>
      <c r="C3026" s="125" t="s">
        <v>603</v>
      </c>
      <c r="D3026" s="124"/>
    </row>
    <row r="3027" spans="1:4" ht="42.75" customHeight="1" thickBot="1">
      <c r="A3027" s="1" t="s">
        <v>686</v>
      </c>
      <c r="B3027" s="26" t="s">
        <v>1</v>
      </c>
      <c r="C3027" s="90" t="s">
        <v>684</v>
      </c>
      <c r="D3027" s="91"/>
    </row>
    <row r="3028" spans="1:4" ht="42.75" customHeight="1" thickBot="1">
      <c r="A3028" s="26"/>
      <c r="B3028" s="26" t="s">
        <v>0</v>
      </c>
      <c r="C3028" s="5" t="s">
        <v>687</v>
      </c>
      <c r="D3028" s="4" t="s">
        <v>2</v>
      </c>
    </row>
    <row r="3029" spans="1:4" ht="42.75" customHeight="1" thickBot="1">
      <c r="A3029" s="92">
        <v>2605</v>
      </c>
      <c r="B3029" s="93"/>
      <c r="C3029" s="94" t="s">
        <v>3</v>
      </c>
      <c r="D3029" s="95"/>
    </row>
    <row r="3030" spans="1:4" ht="42.75" customHeight="1" thickBot="1">
      <c r="A3030" s="92">
        <v>2605</v>
      </c>
      <c r="B3030" s="93"/>
      <c r="C3030" s="96" t="s">
        <v>4</v>
      </c>
      <c r="D3030" s="97"/>
    </row>
    <row r="3031" spans="1:4" ht="42.75" customHeight="1" thickBot="1">
      <c r="A3031" s="98">
        <f>A3030-A3029</f>
        <v>0</v>
      </c>
      <c r="B3031" s="99"/>
      <c r="C3031" s="100" t="s">
        <v>5</v>
      </c>
      <c r="D3031" s="97"/>
    </row>
    <row r="3032" spans="1:4" ht="42.75" customHeight="1" thickBot="1">
      <c r="A3032" s="101">
        <v>62</v>
      </c>
      <c r="B3032" s="102"/>
      <c r="C3032" s="96" t="s">
        <v>6</v>
      </c>
      <c r="D3032" s="97"/>
    </row>
    <row r="3033" spans="1:4" ht="42.75" customHeight="1" thickBot="1">
      <c r="A3033" s="103"/>
      <c r="B3033" s="104"/>
      <c r="C3033" s="96" t="s">
        <v>21</v>
      </c>
      <c r="D3033" s="97"/>
    </row>
    <row r="3034" spans="1:4" ht="42.75" customHeight="1" thickBot="1">
      <c r="A3034" s="105">
        <f>A3032*A3031</f>
        <v>0</v>
      </c>
      <c r="B3034" s="106"/>
      <c r="C3034" s="96" t="s">
        <v>7</v>
      </c>
      <c r="D3034" s="97"/>
    </row>
    <row r="3035" spans="1:4" ht="42.75" customHeight="1" thickBot="1">
      <c r="A3035" s="107" t="s">
        <v>17</v>
      </c>
      <c r="B3035" s="108"/>
      <c r="C3035" s="108"/>
      <c r="D3035" s="109"/>
    </row>
    <row r="3036" spans="1:4" ht="42.75" customHeight="1" thickBot="1">
      <c r="A3036" s="116" t="s">
        <v>20</v>
      </c>
      <c r="B3036" s="117"/>
      <c r="C3036" s="117"/>
      <c r="D3036" s="118"/>
    </row>
    <row r="3037" spans="1:4" ht="42.75" customHeight="1" thickBot="1">
      <c r="A3037" s="113" t="s">
        <v>18</v>
      </c>
      <c r="B3037" s="114"/>
      <c r="C3037" s="114"/>
      <c r="D3037" s="115"/>
    </row>
    <row r="3038" spans="1:4" ht="42.75" customHeight="1" thickBot="1">
      <c r="A3038" s="119"/>
      <c r="B3038" s="119"/>
      <c r="C3038" s="119"/>
      <c r="D3038" s="119"/>
    </row>
    <row r="3039" spans="1:4" ht="42.75" customHeight="1" thickBot="1">
      <c r="A3039" s="126" t="s">
        <v>19</v>
      </c>
      <c r="B3039" s="127"/>
      <c r="C3039" s="127"/>
      <c r="D3039" s="128"/>
    </row>
    <row r="3040" spans="1:4" ht="42.75" customHeight="1" thickBot="1">
      <c r="A3040" s="123" t="s">
        <v>11</v>
      </c>
      <c r="B3040" s="124"/>
      <c r="C3040" s="125" t="s">
        <v>603</v>
      </c>
      <c r="D3040" s="124"/>
    </row>
    <row r="3041" spans="1:4" ht="42.75" customHeight="1" thickBot="1">
      <c r="A3041" s="1" t="s">
        <v>686</v>
      </c>
      <c r="B3041" s="26" t="s">
        <v>1</v>
      </c>
      <c r="C3041" s="90" t="s">
        <v>684</v>
      </c>
      <c r="D3041" s="91"/>
    </row>
    <row r="3042" spans="1:4" ht="42.75" customHeight="1" thickBot="1">
      <c r="A3042" s="26"/>
      <c r="B3042" s="26" t="s">
        <v>0</v>
      </c>
      <c r="C3042" s="5" t="s">
        <v>687</v>
      </c>
      <c r="D3042" s="4" t="s">
        <v>2</v>
      </c>
    </row>
    <row r="3043" spans="1:4" ht="42.75" customHeight="1" thickBot="1">
      <c r="A3043" s="92">
        <v>2602</v>
      </c>
      <c r="B3043" s="93"/>
      <c r="C3043" s="94" t="s">
        <v>3</v>
      </c>
      <c r="D3043" s="95"/>
    </row>
    <row r="3044" spans="1:4" ht="42.75" customHeight="1" thickBot="1">
      <c r="A3044" s="92">
        <v>2605</v>
      </c>
      <c r="B3044" s="93"/>
      <c r="C3044" s="96" t="s">
        <v>4</v>
      </c>
      <c r="D3044" s="97"/>
    </row>
    <row r="3045" spans="1:4" ht="42.75" customHeight="1" thickBot="1">
      <c r="A3045" s="98">
        <v>10</v>
      </c>
      <c r="B3045" s="99"/>
      <c r="C3045" s="100" t="s">
        <v>5</v>
      </c>
      <c r="D3045" s="97"/>
    </row>
    <row r="3046" spans="1:4" ht="42.75" customHeight="1" thickBot="1">
      <c r="A3046" s="101">
        <v>62</v>
      </c>
      <c r="B3046" s="102"/>
      <c r="C3046" s="96" t="s">
        <v>6</v>
      </c>
      <c r="D3046" s="97"/>
    </row>
    <row r="3047" spans="1:4" ht="42.75" customHeight="1" thickBot="1">
      <c r="A3047" s="103"/>
      <c r="B3047" s="104"/>
      <c r="C3047" s="96" t="s">
        <v>21</v>
      </c>
      <c r="D3047" s="97"/>
    </row>
    <row r="3048" spans="1:4" ht="42.75" customHeight="1" thickBot="1">
      <c r="A3048" s="105">
        <v>600</v>
      </c>
      <c r="B3048" s="106"/>
      <c r="C3048" s="96" t="s">
        <v>7</v>
      </c>
      <c r="D3048" s="97"/>
    </row>
    <row r="3049" spans="1:4" ht="42.75" customHeight="1" thickBot="1">
      <c r="A3049" s="107" t="s">
        <v>17</v>
      </c>
      <c r="B3049" s="108"/>
      <c r="C3049" s="108"/>
      <c r="D3049" s="109"/>
    </row>
    <row r="3050" spans="1:4" ht="42.75" customHeight="1" thickBot="1">
      <c r="A3050" s="110" t="s">
        <v>20</v>
      </c>
      <c r="B3050" s="111"/>
      <c r="C3050" s="111"/>
      <c r="D3050" s="112"/>
    </row>
    <row r="3051" spans="1:4" ht="42.75" customHeight="1" thickBot="1">
      <c r="A3051" s="113" t="s">
        <v>18</v>
      </c>
      <c r="B3051" s="114"/>
      <c r="C3051" s="114"/>
      <c r="D3051" s="115"/>
    </row>
    <row r="3052" spans="1:4" ht="42.75" customHeight="1" thickBot="1">
      <c r="A3052" s="126" t="s">
        <v>19</v>
      </c>
      <c r="B3052" s="127"/>
      <c r="C3052" s="127"/>
      <c r="D3052" s="128"/>
    </row>
    <row r="3053" spans="1:4" ht="42.75" customHeight="1" thickBot="1">
      <c r="A3053" s="123" t="s">
        <v>11</v>
      </c>
      <c r="B3053" s="124"/>
      <c r="C3053" s="125" t="s">
        <v>603</v>
      </c>
      <c r="D3053" s="124"/>
    </row>
    <row r="3054" spans="1:4" ht="42.75" customHeight="1" thickBot="1">
      <c r="A3054" s="1" t="s">
        <v>686</v>
      </c>
      <c r="B3054" s="26" t="s">
        <v>1</v>
      </c>
      <c r="C3054" s="90" t="s">
        <v>115</v>
      </c>
      <c r="D3054" s="91"/>
    </row>
    <row r="3055" spans="1:4" ht="42.75" customHeight="1" thickBot="1">
      <c r="A3055" s="26"/>
      <c r="B3055" s="26" t="s">
        <v>0</v>
      </c>
      <c r="C3055" s="5" t="s">
        <v>687</v>
      </c>
      <c r="D3055" s="4" t="s">
        <v>2</v>
      </c>
    </row>
    <row r="3056" spans="1:4" ht="42.75" customHeight="1" thickBot="1">
      <c r="A3056" s="92">
        <v>700</v>
      </c>
      <c r="B3056" s="93"/>
      <c r="C3056" s="94" t="s">
        <v>3</v>
      </c>
      <c r="D3056" s="95"/>
    </row>
    <row r="3057" spans="1:4" ht="42.75" customHeight="1" thickBot="1">
      <c r="A3057" s="92">
        <v>700</v>
      </c>
      <c r="B3057" s="93"/>
      <c r="C3057" s="96" t="s">
        <v>4</v>
      </c>
      <c r="D3057" s="97"/>
    </row>
    <row r="3058" spans="1:4" ht="42.75" customHeight="1" thickBot="1">
      <c r="A3058" s="98">
        <f>A3057-A3056</f>
        <v>0</v>
      </c>
      <c r="B3058" s="99"/>
      <c r="C3058" s="100" t="s">
        <v>5</v>
      </c>
      <c r="D3058" s="97"/>
    </row>
    <row r="3059" spans="1:4" ht="42.75" customHeight="1" thickBot="1">
      <c r="A3059" s="101">
        <v>62</v>
      </c>
      <c r="B3059" s="102"/>
      <c r="C3059" s="96" t="s">
        <v>6</v>
      </c>
      <c r="D3059" s="97"/>
    </row>
    <row r="3060" spans="1:4" ht="42.75" customHeight="1" thickBot="1">
      <c r="A3060" s="103"/>
      <c r="B3060" s="104"/>
      <c r="C3060" s="96" t="s">
        <v>21</v>
      </c>
      <c r="D3060" s="97"/>
    </row>
    <row r="3061" spans="1:4" ht="42.75" customHeight="1" thickBot="1">
      <c r="A3061" s="105">
        <f>A3059*A3058</f>
        <v>0</v>
      </c>
      <c r="B3061" s="106"/>
      <c r="C3061" s="96" t="s">
        <v>7</v>
      </c>
      <c r="D3061" s="97"/>
    </row>
    <row r="3062" spans="1:4" ht="42.75" customHeight="1" thickBot="1">
      <c r="A3062" s="107" t="s">
        <v>17</v>
      </c>
      <c r="B3062" s="108"/>
      <c r="C3062" s="108"/>
      <c r="D3062" s="109"/>
    </row>
    <row r="3063" spans="1:4" ht="42.75" customHeight="1" thickBot="1">
      <c r="A3063" s="116" t="s">
        <v>20</v>
      </c>
      <c r="B3063" s="117"/>
      <c r="C3063" s="117"/>
      <c r="D3063" s="118"/>
    </row>
    <row r="3064" spans="1:4" ht="42.75" customHeight="1" thickBot="1">
      <c r="A3064" s="113" t="s">
        <v>18</v>
      </c>
      <c r="B3064" s="114"/>
      <c r="C3064" s="114"/>
      <c r="D3064" s="115"/>
    </row>
    <row r="3065" spans="1:4" ht="42.75" customHeight="1" thickBot="1">
      <c r="A3065" s="119"/>
      <c r="B3065" s="119"/>
      <c r="C3065" s="119"/>
      <c r="D3065" s="119"/>
    </row>
    <row r="3066" spans="1:4" ht="42.75" customHeight="1" thickBot="1">
      <c r="A3066" s="126" t="s">
        <v>19</v>
      </c>
      <c r="B3066" s="127"/>
      <c r="C3066" s="127"/>
      <c r="D3066" s="128"/>
    </row>
    <row r="3067" spans="1:4" ht="42.75" customHeight="1" thickBot="1">
      <c r="A3067" s="123" t="s">
        <v>11</v>
      </c>
      <c r="B3067" s="124"/>
      <c r="C3067" s="125" t="s">
        <v>603</v>
      </c>
      <c r="D3067" s="124"/>
    </row>
    <row r="3068" spans="1:4" ht="42.75" customHeight="1" thickBot="1">
      <c r="A3068" s="1" t="s">
        <v>686</v>
      </c>
      <c r="B3068" s="26" t="s">
        <v>1</v>
      </c>
      <c r="C3068" s="90" t="s">
        <v>115</v>
      </c>
      <c r="D3068" s="91"/>
    </row>
    <row r="3069" spans="1:4" ht="42.75" customHeight="1" thickBot="1">
      <c r="A3069" s="26"/>
      <c r="B3069" s="26" t="s">
        <v>0</v>
      </c>
      <c r="C3069" s="5" t="s">
        <v>687</v>
      </c>
      <c r="D3069" s="4" t="s">
        <v>2</v>
      </c>
    </row>
    <row r="3070" spans="1:4" ht="42.75" customHeight="1" thickBot="1">
      <c r="A3070" s="92">
        <v>680</v>
      </c>
      <c r="B3070" s="93"/>
      <c r="C3070" s="94" t="s">
        <v>3</v>
      </c>
      <c r="D3070" s="95"/>
    </row>
    <row r="3071" spans="1:4" ht="42.75" customHeight="1" thickBot="1">
      <c r="A3071" s="92">
        <v>700</v>
      </c>
      <c r="B3071" s="93"/>
      <c r="C3071" s="96" t="s">
        <v>4</v>
      </c>
      <c r="D3071" s="97"/>
    </row>
    <row r="3072" spans="1:4" ht="42.75" customHeight="1" thickBot="1">
      <c r="A3072" s="98">
        <f>A3071-A3070</f>
        <v>20</v>
      </c>
      <c r="B3072" s="99"/>
      <c r="C3072" s="100" t="s">
        <v>5</v>
      </c>
      <c r="D3072" s="97"/>
    </row>
    <row r="3073" spans="1:4" ht="42.75" customHeight="1" thickBot="1">
      <c r="A3073" s="101">
        <v>62</v>
      </c>
      <c r="B3073" s="102"/>
      <c r="C3073" s="96" t="s">
        <v>6</v>
      </c>
      <c r="D3073" s="97"/>
    </row>
    <row r="3074" spans="1:4" ht="42.75" customHeight="1" thickBot="1">
      <c r="A3074" s="103"/>
      <c r="B3074" s="104"/>
      <c r="C3074" s="96" t="s">
        <v>21</v>
      </c>
      <c r="D3074" s="97"/>
    </row>
    <row r="3075" spans="1:4" ht="42.75" customHeight="1" thickBot="1">
      <c r="A3075" s="105">
        <v>1250</v>
      </c>
      <c r="B3075" s="106"/>
      <c r="C3075" s="96" t="s">
        <v>7</v>
      </c>
      <c r="D3075" s="97"/>
    </row>
    <row r="3076" spans="1:4" ht="42.75" customHeight="1" thickBot="1">
      <c r="A3076" s="107" t="s">
        <v>17</v>
      </c>
      <c r="B3076" s="108"/>
      <c r="C3076" s="108"/>
      <c r="D3076" s="109"/>
    </row>
    <row r="3077" spans="1:4" ht="42.75" customHeight="1" thickBot="1">
      <c r="A3077" s="110" t="s">
        <v>20</v>
      </c>
      <c r="B3077" s="111"/>
      <c r="C3077" s="111"/>
      <c r="D3077" s="112"/>
    </row>
    <row r="3078" spans="1:4" ht="42.75" customHeight="1" thickBot="1">
      <c r="A3078" s="113" t="s">
        <v>18</v>
      </c>
      <c r="B3078" s="114"/>
      <c r="C3078" s="114"/>
      <c r="D3078" s="115"/>
    </row>
    <row r="3079" spans="1:4" ht="42.75" customHeight="1" thickBot="1">
      <c r="A3079" s="126" t="s">
        <v>19</v>
      </c>
      <c r="B3079" s="127"/>
      <c r="C3079" s="127"/>
      <c r="D3079" s="128"/>
    </row>
    <row r="3080" spans="1:4" ht="42.75" customHeight="1" thickBot="1">
      <c r="A3080" s="123" t="s">
        <v>11</v>
      </c>
      <c r="B3080" s="124"/>
      <c r="C3080" s="125" t="s">
        <v>603</v>
      </c>
      <c r="D3080" s="124"/>
    </row>
    <row r="3081" spans="1:4" ht="42.75" customHeight="1" thickBot="1">
      <c r="A3081" s="1" t="s">
        <v>686</v>
      </c>
      <c r="B3081" s="26" t="s">
        <v>1</v>
      </c>
      <c r="C3081" s="90" t="s">
        <v>116</v>
      </c>
      <c r="D3081" s="91"/>
    </row>
    <row r="3082" spans="1:4" ht="42.75" customHeight="1" thickBot="1">
      <c r="A3082" s="26"/>
      <c r="B3082" s="26" t="s">
        <v>0</v>
      </c>
      <c r="C3082" s="5" t="s">
        <v>687</v>
      </c>
      <c r="D3082" s="4" t="s">
        <v>2</v>
      </c>
    </row>
    <row r="3083" spans="1:4" ht="42.75" customHeight="1" thickBot="1">
      <c r="A3083" s="92">
        <v>1178</v>
      </c>
      <c r="B3083" s="93"/>
      <c r="C3083" s="94" t="s">
        <v>3</v>
      </c>
      <c r="D3083" s="95"/>
    </row>
    <row r="3084" spans="1:4" ht="42.75" customHeight="1" thickBot="1">
      <c r="A3084" s="92">
        <v>1178</v>
      </c>
      <c r="B3084" s="93"/>
      <c r="C3084" s="96" t="s">
        <v>4</v>
      </c>
      <c r="D3084" s="97"/>
    </row>
    <row r="3085" spans="1:4" ht="42.75" customHeight="1" thickBot="1">
      <c r="A3085" s="98">
        <f>A3084-A3083</f>
        <v>0</v>
      </c>
      <c r="B3085" s="99"/>
      <c r="C3085" s="100" t="s">
        <v>5</v>
      </c>
      <c r="D3085" s="97"/>
    </row>
    <row r="3086" spans="1:4" ht="42.75" customHeight="1" thickBot="1">
      <c r="A3086" s="101">
        <v>62</v>
      </c>
      <c r="B3086" s="102"/>
      <c r="C3086" s="96" t="s">
        <v>6</v>
      </c>
      <c r="D3086" s="97"/>
    </row>
    <row r="3087" spans="1:4" ht="42.75" customHeight="1" thickBot="1">
      <c r="A3087" s="103"/>
      <c r="B3087" s="104"/>
      <c r="C3087" s="96" t="s">
        <v>21</v>
      </c>
      <c r="D3087" s="97"/>
    </row>
    <row r="3088" spans="1:4" ht="42.75" customHeight="1" thickBot="1">
      <c r="A3088" s="105">
        <f>A3086*A3085</f>
        <v>0</v>
      </c>
      <c r="B3088" s="106"/>
      <c r="C3088" s="96" t="s">
        <v>7</v>
      </c>
      <c r="D3088" s="97"/>
    </row>
    <row r="3089" spans="1:4" ht="42.75" customHeight="1" thickBot="1">
      <c r="A3089" s="107" t="s">
        <v>17</v>
      </c>
      <c r="B3089" s="108"/>
      <c r="C3089" s="108"/>
      <c r="D3089" s="109"/>
    </row>
    <row r="3090" spans="1:4" ht="42.75" customHeight="1" thickBot="1">
      <c r="A3090" s="116" t="s">
        <v>20</v>
      </c>
      <c r="B3090" s="117"/>
      <c r="C3090" s="117"/>
      <c r="D3090" s="118"/>
    </row>
    <row r="3091" spans="1:4" ht="42.75" customHeight="1" thickBot="1">
      <c r="A3091" s="113" t="s">
        <v>18</v>
      </c>
      <c r="B3091" s="114"/>
      <c r="C3091" s="114"/>
      <c r="D3091" s="115"/>
    </row>
    <row r="3092" spans="1:4" ht="42.75" customHeight="1" thickBot="1">
      <c r="A3092" s="119"/>
      <c r="B3092" s="119"/>
      <c r="C3092" s="119"/>
      <c r="D3092" s="119"/>
    </row>
    <row r="3093" spans="1:4" ht="42.75" customHeight="1" thickBot="1">
      <c r="A3093" s="126" t="s">
        <v>19</v>
      </c>
      <c r="B3093" s="127"/>
      <c r="C3093" s="127"/>
      <c r="D3093" s="128"/>
    </row>
    <row r="3094" spans="1:4" ht="42.75" customHeight="1" thickBot="1">
      <c r="A3094" s="123" t="s">
        <v>11</v>
      </c>
      <c r="B3094" s="124"/>
      <c r="C3094" s="125" t="s">
        <v>603</v>
      </c>
      <c r="D3094" s="124"/>
    </row>
    <row r="3095" spans="1:4" ht="42.75" customHeight="1" thickBot="1">
      <c r="A3095" s="1" t="s">
        <v>686</v>
      </c>
      <c r="B3095" s="26" t="s">
        <v>1</v>
      </c>
      <c r="C3095" s="90" t="s">
        <v>116</v>
      </c>
      <c r="D3095" s="91"/>
    </row>
    <row r="3096" spans="1:4" ht="42.75" customHeight="1" thickBot="1">
      <c r="A3096" s="26"/>
      <c r="B3096" s="26" t="s">
        <v>0</v>
      </c>
      <c r="C3096" s="5" t="s">
        <v>687</v>
      </c>
      <c r="D3096" s="4" t="s">
        <v>2</v>
      </c>
    </row>
    <row r="3097" spans="1:4" ht="42.75" customHeight="1" thickBot="1">
      <c r="A3097" s="92">
        <v>1170</v>
      </c>
      <c r="B3097" s="93"/>
      <c r="C3097" s="94" t="s">
        <v>3</v>
      </c>
      <c r="D3097" s="95"/>
    </row>
    <row r="3098" spans="1:4" ht="42.75" customHeight="1" thickBot="1">
      <c r="A3098" s="92">
        <v>1178</v>
      </c>
      <c r="B3098" s="93"/>
      <c r="C3098" s="96" t="s">
        <v>4</v>
      </c>
      <c r="D3098" s="97"/>
    </row>
    <row r="3099" spans="1:4" ht="42.75" customHeight="1" thickBot="1">
      <c r="A3099" s="98">
        <v>10</v>
      </c>
      <c r="B3099" s="99"/>
      <c r="C3099" s="100" t="s">
        <v>5</v>
      </c>
      <c r="D3099" s="97"/>
    </row>
    <row r="3100" spans="1:4" ht="42.75" customHeight="1" thickBot="1">
      <c r="A3100" s="101">
        <v>62</v>
      </c>
      <c r="B3100" s="102"/>
      <c r="C3100" s="96" t="s">
        <v>6</v>
      </c>
      <c r="D3100" s="97"/>
    </row>
    <row r="3101" spans="1:4" ht="42.75" customHeight="1" thickBot="1">
      <c r="A3101" s="103"/>
      <c r="B3101" s="104"/>
      <c r="C3101" s="96" t="s">
        <v>21</v>
      </c>
      <c r="D3101" s="97"/>
    </row>
    <row r="3102" spans="1:4" ht="42.75" customHeight="1" thickBot="1">
      <c r="A3102" s="105">
        <v>600</v>
      </c>
      <c r="B3102" s="106"/>
      <c r="C3102" s="96" t="s">
        <v>7</v>
      </c>
      <c r="D3102" s="97"/>
    </row>
    <row r="3103" spans="1:4" ht="42.75" customHeight="1" thickBot="1">
      <c r="A3103" s="107" t="s">
        <v>17</v>
      </c>
      <c r="B3103" s="108"/>
      <c r="C3103" s="108"/>
      <c r="D3103" s="109"/>
    </row>
    <row r="3104" spans="1:4" ht="42.75" customHeight="1" thickBot="1">
      <c r="A3104" s="110" t="s">
        <v>20</v>
      </c>
      <c r="B3104" s="111"/>
      <c r="C3104" s="111"/>
      <c r="D3104" s="112"/>
    </row>
    <row r="3105" spans="1:4" ht="42.75" customHeight="1" thickBot="1">
      <c r="A3105" s="113" t="s">
        <v>18</v>
      </c>
      <c r="B3105" s="114"/>
      <c r="C3105" s="114"/>
      <c r="D3105" s="115"/>
    </row>
    <row r="3106" spans="1:4" ht="42.75" customHeight="1" thickBot="1">
      <c r="A3106" s="126" t="s">
        <v>19</v>
      </c>
      <c r="B3106" s="127"/>
      <c r="C3106" s="127"/>
      <c r="D3106" s="128"/>
    </row>
    <row r="3107" spans="1:4" ht="42.75" customHeight="1" thickBot="1">
      <c r="A3107" s="123" t="s">
        <v>11</v>
      </c>
      <c r="B3107" s="124"/>
      <c r="C3107" s="125" t="s">
        <v>603</v>
      </c>
      <c r="D3107" s="124"/>
    </row>
    <row r="3108" spans="1:4" ht="42.75" customHeight="1" thickBot="1">
      <c r="A3108" s="1" t="s">
        <v>686</v>
      </c>
      <c r="B3108" s="26" t="s">
        <v>1</v>
      </c>
      <c r="C3108" s="90" t="s">
        <v>117</v>
      </c>
      <c r="D3108" s="91"/>
    </row>
    <row r="3109" spans="1:4" ht="42.75" customHeight="1" thickBot="1">
      <c r="A3109" s="26"/>
      <c r="B3109" s="26" t="s">
        <v>0</v>
      </c>
      <c r="C3109" s="5" t="s">
        <v>687</v>
      </c>
      <c r="D3109" s="4" t="s">
        <v>2</v>
      </c>
    </row>
    <row r="3110" spans="1:4" ht="42.75" customHeight="1" thickBot="1">
      <c r="A3110" s="92">
        <v>169</v>
      </c>
      <c r="B3110" s="93"/>
      <c r="C3110" s="94" t="s">
        <v>3</v>
      </c>
      <c r="D3110" s="95"/>
    </row>
    <row r="3111" spans="1:4" ht="42.75" customHeight="1" thickBot="1">
      <c r="A3111" s="92">
        <v>169</v>
      </c>
      <c r="B3111" s="93"/>
      <c r="C3111" s="96" t="s">
        <v>4</v>
      </c>
      <c r="D3111" s="97"/>
    </row>
    <row r="3112" spans="1:4" ht="42.75" customHeight="1" thickBot="1">
      <c r="A3112" s="98">
        <f>A3111-A3110</f>
        <v>0</v>
      </c>
      <c r="B3112" s="99"/>
      <c r="C3112" s="100" t="s">
        <v>5</v>
      </c>
      <c r="D3112" s="97"/>
    </row>
    <row r="3113" spans="1:4" ht="42.75" customHeight="1" thickBot="1">
      <c r="A3113" s="101">
        <v>62</v>
      </c>
      <c r="B3113" s="102"/>
      <c r="C3113" s="96" t="s">
        <v>6</v>
      </c>
      <c r="D3113" s="97"/>
    </row>
    <row r="3114" spans="1:4" ht="42.75" customHeight="1" thickBot="1">
      <c r="A3114" s="103"/>
      <c r="B3114" s="104"/>
      <c r="C3114" s="96" t="s">
        <v>21</v>
      </c>
      <c r="D3114" s="97"/>
    </row>
    <row r="3115" spans="1:4" ht="42.75" customHeight="1" thickBot="1">
      <c r="A3115" s="105">
        <f>A3113*A3112</f>
        <v>0</v>
      </c>
      <c r="B3115" s="106"/>
      <c r="C3115" s="96" t="s">
        <v>7</v>
      </c>
      <c r="D3115" s="97"/>
    </row>
    <row r="3116" spans="1:4" ht="42.75" customHeight="1" thickBot="1">
      <c r="A3116" s="107" t="s">
        <v>17</v>
      </c>
      <c r="B3116" s="108"/>
      <c r="C3116" s="108"/>
      <c r="D3116" s="109"/>
    </row>
    <row r="3117" spans="1:4" ht="42.75" customHeight="1" thickBot="1">
      <c r="A3117" s="116" t="s">
        <v>20</v>
      </c>
      <c r="B3117" s="117"/>
      <c r="C3117" s="117"/>
      <c r="D3117" s="118"/>
    </row>
    <row r="3118" spans="1:4" ht="42.75" customHeight="1" thickBot="1">
      <c r="A3118" s="113" t="s">
        <v>18</v>
      </c>
      <c r="B3118" s="114"/>
      <c r="C3118" s="114"/>
      <c r="D3118" s="115"/>
    </row>
    <row r="3119" spans="1:4" ht="42.75" customHeight="1" thickBot="1">
      <c r="A3119" s="119"/>
      <c r="B3119" s="119"/>
      <c r="C3119" s="119"/>
      <c r="D3119" s="119"/>
    </row>
    <row r="3120" spans="1:4" ht="42.75" customHeight="1" thickBot="1">
      <c r="A3120" s="126" t="s">
        <v>19</v>
      </c>
      <c r="B3120" s="127"/>
      <c r="C3120" s="127"/>
      <c r="D3120" s="128"/>
    </row>
    <row r="3121" spans="1:4" ht="42.75" customHeight="1" thickBot="1">
      <c r="A3121" s="123" t="s">
        <v>11</v>
      </c>
      <c r="B3121" s="124"/>
      <c r="C3121" s="125" t="s">
        <v>603</v>
      </c>
      <c r="D3121" s="124"/>
    </row>
    <row r="3122" spans="1:4" ht="42.75" customHeight="1" thickBot="1">
      <c r="A3122" s="1" t="s">
        <v>686</v>
      </c>
      <c r="B3122" s="26" t="s">
        <v>1</v>
      </c>
      <c r="C3122" s="90" t="s">
        <v>117</v>
      </c>
      <c r="D3122" s="91"/>
    </row>
    <row r="3123" spans="1:4" ht="42.75" customHeight="1" thickBot="1">
      <c r="A3123" s="26"/>
      <c r="B3123" s="26" t="s">
        <v>0</v>
      </c>
      <c r="C3123" s="5" t="s">
        <v>687</v>
      </c>
      <c r="D3123" s="4" t="s">
        <v>2</v>
      </c>
    </row>
    <row r="3124" spans="1:4" ht="42.75" customHeight="1" thickBot="1">
      <c r="A3124" s="92">
        <v>154</v>
      </c>
      <c r="B3124" s="93"/>
      <c r="C3124" s="94" t="s">
        <v>3</v>
      </c>
      <c r="D3124" s="95"/>
    </row>
    <row r="3125" spans="1:4" ht="42.75" customHeight="1" thickBot="1">
      <c r="A3125" s="92">
        <v>169</v>
      </c>
      <c r="B3125" s="93"/>
      <c r="C3125" s="96" t="s">
        <v>4</v>
      </c>
      <c r="D3125" s="97"/>
    </row>
    <row r="3126" spans="1:4" ht="42.75" customHeight="1" thickBot="1">
      <c r="A3126" s="98">
        <f>A3125-A3124</f>
        <v>15</v>
      </c>
      <c r="B3126" s="99"/>
      <c r="C3126" s="100" t="s">
        <v>5</v>
      </c>
      <c r="D3126" s="97"/>
    </row>
    <row r="3127" spans="1:4" ht="42.75" customHeight="1" thickBot="1">
      <c r="A3127" s="101">
        <v>62</v>
      </c>
      <c r="B3127" s="102"/>
      <c r="C3127" s="96" t="s">
        <v>6</v>
      </c>
      <c r="D3127" s="97"/>
    </row>
    <row r="3128" spans="1:4" ht="42.75" customHeight="1" thickBot="1">
      <c r="A3128" s="103"/>
      <c r="B3128" s="104"/>
      <c r="C3128" s="96" t="s">
        <v>21</v>
      </c>
      <c r="D3128" s="97"/>
    </row>
    <row r="3129" spans="1:4" ht="42.75" customHeight="1" thickBot="1">
      <c r="A3129" s="105">
        <v>950</v>
      </c>
      <c r="B3129" s="106"/>
      <c r="C3129" s="96" t="s">
        <v>7</v>
      </c>
      <c r="D3129" s="97"/>
    </row>
    <row r="3130" spans="1:4" ht="42.75" customHeight="1" thickBot="1">
      <c r="A3130" s="107" t="s">
        <v>17</v>
      </c>
      <c r="B3130" s="108"/>
      <c r="C3130" s="108"/>
      <c r="D3130" s="109"/>
    </row>
    <row r="3131" spans="1:4" ht="42.75" customHeight="1" thickBot="1">
      <c r="A3131" s="110" t="s">
        <v>20</v>
      </c>
      <c r="B3131" s="111"/>
      <c r="C3131" s="111"/>
      <c r="D3131" s="112"/>
    </row>
    <row r="3132" spans="1:4" ht="42.75" customHeight="1" thickBot="1">
      <c r="A3132" s="113" t="s">
        <v>18</v>
      </c>
      <c r="B3132" s="114"/>
      <c r="C3132" s="114"/>
      <c r="D3132" s="115"/>
    </row>
    <row r="3133" spans="1:4" ht="42.75" customHeight="1" thickBot="1">
      <c r="A3133" s="126" t="s">
        <v>19</v>
      </c>
      <c r="B3133" s="127"/>
      <c r="C3133" s="127"/>
      <c r="D3133" s="128"/>
    </row>
    <row r="3134" spans="1:4" ht="42.75" customHeight="1" thickBot="1">
      <c r="A3134" s="123" t="s">
        <v>11</v>
      </c>
      <c r="B3134" s="124"/>
      <c r="C3134" s="125" t="s">
        <v>603</v>
      </c>
      <c r="D3134" s="124"/>
    </row>
    <row r="3135" spans="1:4" ht="42.75" customHeight="1" thickBot="1">
      <c r="A3135" s="1" t="s">
        <v>686</v>
      </c>
      <c r="B3135" s="26" t="s">
        <v>1</v>
      </c>
      <c r="C3135" s="90" t="s">
        <v>118</v>
      </c>
      <c r="D3135" s="91"/>
    </row>
    <row r="3136" spans="1:4" ht="42.75" customHeight="1" thickBot="1">
      <c r="A3136" s="26"/>
      <c r="B3136" s="26" t="s">
        <v>0</v>
      </c>
      <c r="C3136" s="5" t="s">
        <v>687</v>
      </c>
      <c r="D3136" s="4" t="s">
        <v>2</v>
      </c>
    </row>
    <row r="3137" spans="1:4" ht="42.75" customHeight="1" thickBot="1">
      <c r="A3137" s="92">
        <v>2080</v>
      </c>
      <c r="B3137" s="93"/>
      <c r="C3137" s="94" t="s">
        <v>3</v>
      </c>
      <c r="D3137" s="95"/>
    </row>
    <row r="3138" spans="1:4" ht="42.75" customHeight="1" thickBot="1">
      <c r="A3138" s="92">
        <v>2080</v>
      </c>
      <c r="B3138" s="93"/>
      <c r="C3138" s="96" t="s">
        <v>4</v>
      </c>
      <c r="D3138" s="97"/>
    </row>
    <row r="3139" spans="1:4" ht="42.75" customHeight="1" thickBot="1">
      <c r="A3139" s="98">
        <f>A3138-A3137</f>
        <v>0</v>
      </c>
      <c r="B3139" s="99"/>
      <c r="C3139" s="100" t="s">
        <v>5</v>
      </c>
      <c r="D3139" s="97"/>
    </row>
    <row r="3140" spans="1:4" ht="42.75" customHeight="1" thickBot="1">
      <c r="A3140" s="101">
        <v>62</v>
      </c>
      <c r="B3140" s="102"/>
      <c r="C3140" s="96" t="s">
        <v>6</v>
      </c>
      <c r="D3140" s="97"/>
    </row>
    <row r="3141" spans="1:4" ht="42.75" customHeight="1" thickBot="1">
      <c r="A3141" s="103"/>
      <c r="B3141" s="104"/>
      <c r="C3141" s="96" t="s">
        <v>21</v>
      </c>
      <c r="D3141" s="97"/>
    </row>
    <row r="3142" spans="1:4" ht="42.75" customHeight="1" thickBot="1">
      <c r="A3142" s="105">
        <f>A3140*A3139</f>
        <v>0</v>
      </c>
      <c r="B3142" s="106"/>
      <c r="C3142" s="96" t="s">
        <v>7</v>
      </c>
      <c r="D3142" s="97"/>
    </row>
    <row r="3143" spans="1:4" ht="42.75" customHeight="1" thickBot="1">
      <c r="A3143" s="107" t="s">
        <v>17</v>
      </c>
      <c r="B3143" s="108"/>
      <c r="C3143" s="108"/>
      <c r="D3143" s="109"/>
    </row>
    <row r="3144" spans="1:4" ht="42.75" customHeight="1" thickBot="1">
      <c r="A3144" s="116" t="s">
        <v>20</v>
      </c>
      <c r="B3144" s="117"/>
      <c r="C3144" s="117"/>
      <c r="D3144" s="118"/>
    </row>
    <row r="3145" spans="1:4" ht="42.75" customHeight="1" thickBot="1">
      <c r="A3145" s="113" t="s">
        <v>18</v>
      </c>
      <c r="B3145" s="114"/>
      <c r="C3145" s="114"/>
      <c r="D3145" s="115"/>
    </row>
    <row r="3146" spans="1:4" ht="42.75" customHeight="1" thickBot="1">
      <c r="A3146" s="119"/>
      <c r="B3146" s="119"/>
      <c r="C3146" s="119"/>
      <c r="D3146" s="119"/>
    </row>
    <row r="3147" spans="1:4" ht="42.75" customHeight="1" thickBot="1">
      <c r="A3147" s="126" t="s">
        <v>19</v>
      </c>
      <c r="B3147" s="127"/>
      <c r="C3147" s="127"/>
      <c r="D3147" s="128"/>
    </row>
    <row r="3148" spans="1:4" ht="42.75" customHeight="1" thickBot="1">
      <c r="A3148" s="123" t="s">
        <v>11</v>
      </c>
      <c r="B3148" s="124"/>
      <c r="C3148" s="125" t="s">
        <v>603</v>
      </c>
      <c r="D3148" s="124"/>
    </row>
    <row r="3149" spans="1:4" ht="42.75" customHeight="1" thickBot="1">
      <c r="A3149" s="1" t="s">
        <v>686</v>
      </c>
      <c r="B3149" s="26" t="s">
        <v>1</v>
      </c>
      <c r="C3149" s="90" t="s">
        <v>118</v>
      </c>
      <c r="D3149" s="91"/>
    </row>
    <row r="3150" spans="1:4" ht="42.75" customHeight="1" thickBot="1">
      <c r="A3150" s="26"/>
      <c r="B3150" s="26" t="s">
        <v>0</v>
      </c>
      <c r="C3150" s="5" t="s">
        <v>687</v>
      </c>
      <c r="D3150" s="4" t="s">
        <v>2</v>
      </c>
    </row>
    <row r="3151" spans="1:4" ht="42.75" customHeight="1" thickBot="1">
      <c r="A3151" s="92">
        <v>2075</v>
      </c>
      <c r="B3151" s="93"/>
      <c r="C3151" s="94" t="s">
        <v>3</v>
      </c>
      <c r="D3151" s="95"/>
    </row>
    <row r="3152" spans="1:4" ht="42.75" customHeight="1" thickBot="1">
      <c r="A3152" s="92">
        <v>2080</v>
      </c>
      <c r="B3152" s="93"/>
      <c r="C3152" s="96" t="s">
        <v>4</v>
      </c>
      <c r="D3152" s="97"/>
    </row>
    <row r="3153" spans="1:4" ht="42.75" customHeight="1" thickBot="1">
      <c r="A3153" s="98">
        <v>10</v>
      </c>
      <c r="B3153" s="99"/>
      <c r="C3153" s="100" t="s">
        <v>5</v>
      </c>
      <c r="D3153" s="97"/>
    </row>
    <row r="3154" spans="1:4" ht="42.75" customHeight="1" thickBot="1">
      <c r="A3154" s="101">
        <v>62</v>
      </c>
      <c r="B3154" s="102"/>
      <c r="C3154" s="96" t="s">
        <v>6</v>
      </c>
      <c r="D3154" s="97"/>
    </row>
    <row r="3155" spans="1:4" ht="42.75" customHeight="1" thickBot="1">
      <c r="A3155" s="103"/>
      <c r="B3155" s="104"/>
      <c r="C3155" s="96" t="s">
        <v>21</v>
      </c>
      <c r="D3155" s="97"/>
    </row>
    <row r="3156" spans="1:4" ht="42.75" customHeight="1" thickBot="1">
      <c r="A3156" s="105">
        <v>600</v>
      </c>
      <c r="B3156" s="106"/>
      <c r="C3156" s="96" t="s">
        <v>7</v>
      </c>
      <c r="D3156" s="97"/>
    </row>
    <row r="3157" spans="1:4" ht="42.75" customHeight="1" thickBot="1">
      <c r="A3157" s="107" t="s">
        <v>17</v>
      </c>
      <c r="B3157" s="108"/>
      <c r="C3157" s="108"/>
      <c r="D3157" s="109"/>
    </row>
    <row r="3158" spans="1:4" ht="42.75" customHeight="1" thickBot="1">
      <c r="A3158" s="110" t="s">
        <v>20</v>
      </c>
      <c r="B3158" s="111"/>
      <c r="C3158" s="111"/>
      <c r="D3158" s="112"/>
    </row>
    <row r="3159" spans="1:4" ht="42.75" customHeight="1" thickBot="1">
      <c r="A3159" s="113" t="s">
        <v>18</v>
      </c>
      <c r="B3159" s="114"/>
      <c r="C3159" s="114"/>
      <c r="D3159" s="115"/>
    </row>
    <row r="3160" spans="1:4" ht="42.75" customHeight="1" thickBot="1">
      <c r="A3160" s="126" t="s">
        <v>19</v>
      </c>
      <c r="B3160" s="127"/>
      <c r="C3160" s="127"/>
      <c r="D3160" s="128"/>
    </row>
    <row r="3161" spans="1:4" ht="42.75" customHeight="1" thickBot="1">
      <c r="A3161" s="123" t="s">
        <v>11</v>
      </c>
      <c r="B3161" s="124"/>
      <c r="C3161" s="125" t="s">
        <v>603</v>
      </c>
      <c r="D3161" s="124"/>
    </row>
    <row r="3162" spans="1:4" ht="42.75" customHeight="1" thickBot="1">
      <c r="A3162" s="1" t="s">
        <v>686</v>
      </c>
      <c r="B3162" s="26" t="s">
        <v>1</v>
      </c>
      <c r="C3162" s="90" t="s">
        <v>119</v>
      </c>
      <c r="D3162" s="91"/>
    </row>
    <row r="3163" spans="1:4" ht="42.75" customHeight="1" thickBot="1">
      <c r="A3163" s="26"/>
      <c r="B3163" s="26" t="s">
        <v>0</v>
      </c>
      <c r="C3163" s="5" t="s">
        <v>687</v>
      </c>
      <c r="D3163" s="4" t="s">
        <v>2</v>
      </c>
    </row>
    <row r="3164" spans="1:4" ht="42.75" customHeight="1" thickBot="1">
      <c r="A3164" s="92">
        <v>5175</v>
      </c>
      <c r="B3164" s="93"/>
      <c r="C3164" s="94" t="s">
        <v>3</v>
      </c>
      <c r="D3164" s="95"/>
    </row>
    <row r="3165" spans="1:4" ht="42.75" customHeight="1" thickBot="1">
      <c r="A3165" s="92">
        <v>5175</v>
      </c>
      <c r="B3165" s="93"/>
      <c r="C3165" s="96" t="s">
        <v>4</v>
      </c>
      <c r="D3165" s="97"/>
    </row>
    <row r="3166" spans="1:4" ht="42.75" customHeight="1" thickBot="1">
      <c r="A3166" s="98">
        <f>A3165-A3164</f>
        <v>0</v>
      </c>
      <c r="B3166" s="99"/>
      <c r="C3166" s="100" t="s">
        <v>5</v>
      </c>
      <c r="D3166" s="97"/>
    </row>
    <row r="3167" spans="1:4" ht="42.75" customHeight="1" thickBot="1">
      <c r="A3167" s="101">
        <v>62</v>
      </c>
      <c r="B3167" s="102"/>
      <c r="C3167" s="96" t="s">
        <v>6</v>
      </c>
      <c r="D3167" s="97"/>
    </row>
    <row r="3168" spans="1:4" ht="42.75" customHeight="1" thickBot="1">
      <c r="A3168" s="103"/>
      <c r="B3168" s="104"/>
      <c r="C3168" s="96" t="s">
        <v>21</v>
      </c>
      <c r="D3168" s="97"/>
    </row>
    <row r="3169" spans="1:4" ht="42.75" customHeight="1" thickBot="1">
      <c r="A3169" s="105">
        <f>A3167*A3166</f>
        <v>0</v>
      </c>
      <c r="B3169" s="106"/>
      <c r="C3169" s="96" t="s">
        <v>7</v>
      </c>
      <c r="D3169" s="97"/>
    </row>
    <row r="3170" spans="1:4" ht="42.75" customHeight="1" thickBot="1">
      <c r="A3170" s="107" t="s">
        <v>17</v>
      </c>
      <c r="B3170" s="108"/>
      <c r="C3170" s="108"/>
      <c r="D3170" s="109"/>
    </row>
    <row r="3171" spans="1:4" ht="42.75" customHeight="1" thickBot="1">
      <c r="A3171" s="116" t="s">
        <v>20</v>
      </c>
      <c r="B3171" s="117"/>
      <c r="C3171" s="117"/>
      <c r="D3171" s="118"/>
    </row>
    <row r="3172" spans="1:4" ht="42.75" customHeight="1" thickBot="1">
      <c r="A3172" s="113" t="s">
        <v>18</v>
      </c>
      <c r="B3172" s="114"/>
      <c r="C3172" s="114"/>
      <c r="D3172" s="115"/>
    </row>
    <row r="3173" spans="1:4" ht="42.75" customHeight="1" thickBot="1">
      <c r="A3173" s="119"/>
      <c r="B3173" s="119"/>
      <c r="C3173" s="119"/>
      <c r="D3173" s="119"/>
    </row>
    <row r="3174" spans="1:4" ht="42.75" customHeight="1" thickBot="1">
      <c r="A3174" s="126" t="s">
        <v>19</v>
      </c>
      <c r="B3174" s="127"/>
      <c r="C3174" s="127"/>
      <c r="D3174" s="128"/>
    </row>
    <row r="3175" spans="1:4" ht="42.75" customHeight="1" thickBot="1">
      <c r="A3175" s="123" t="s">
        <v>11</v>
      </c>
      <c r="B3175" s="124"/>
      <c r="C3175" s="125" t="s">
        <v>603</v>
      </c>
      <c r="D3175" s="124"/>
    </row>
    <row r="3176" spans="1:4" ht="42.75" customHeight="1" thickBot="1">
      <c r="A3176" s="1" t="s">
        <v>686</v>
      </c>
      <c r="B3176" s="26" t="s">
        <v>1</v>
      </c>
      <c r="C3176" s="90" t="s">
        <v>119</v>
      </c>
      <c r="D3176" s="91"/>
    </row>
    <row r="3177" spans="1:4" ht="42.75" customHeight="1" thickBot="1">
      <c r="A3177" s="26"/>
      <c r="B3177" s="26" t="s">
        <v>0</v>
      </c>
      <c r="C3177" s="5" t="s">
        <v>687</v>
      </c>
      <c r="D3177" s="4" t="s">
        <v>2</v>
      </c>
    </row>
    <row r="3178" spans="1:4" ht="42.75" customHeight="1" thickBot="1">
      <c r="A3178" s="92">
        <v>5155</v>
      </c>
      <c r="B3178" s="93"/>
      <c r="C3178" s="94" t="s">
        <v>3</v>
      </c>
      <c r="D3178" s="95"/>
    </row>
    <row r="3179" spans="1:4" ht="42.75" customHeight="1" thickBot="1">
      <c r="A3179" s="92">
        <v>5175</v>
      </c>
      <c r="B3179" s="93"/>
      <c r="C3179" s="96" t="s">
        <v>4</v>
      </c>
      <c r="D3179" s="97"/>
    </row>
    <row r="3180" spans="1:4" ht="42.75" customHeight="1" thickBot="1">
      <c r="A3180" s="98">
        <f>A3179-A3178</f>
        <v>20</v>
      </c>
      <c r="B3180" s="99"/>
      <c r="C3180" s="100" t="s">
        <v>5</v>
      </c>
      <c r="D3180" s="97"/>
    </row>
    <row r="3181" spans="1:4" ht="42.75" customHeight="1" thickBot="1">
      <c r="A3181" s="101">
        <v>62</v>
      </c>
      <c r="B3181" s="102"/>
      <c r="C3181" s="96" t="s">
        <v>6</v>
      </c>
      <c r="D3181" s="97"/>
    </row>
    <row r="3182" spans="1:4" ht="42.75" customHeight="1" thickBot="1">
      <c r="A3182" s="103"/>
      <c r="B3182" s="104"/>
      <c r="C3182" s="96" t="s">
        <v>21</v>
      </c>
      <c r="D3182" s="97"/>
    </row>
    <row r="3183" spans="1:4" ht="42.75" customHeight="1" thickBot="1">
      <c r="A3183" s="105">
        <v>1250</v>
      </c>
      <c r="B3183" s="106"/>
      <c r="C3183" s="96" t="s">
        <v>7</v>
      </c>
      <c r="D3183" s="97"/>
    </row>
    <row r="3184" spans="1:4" ht="42.75" customHeight="1" thickBot="1">
      <c r="A3184" s="107" t="s">
        <v>17</v>
      </c>
      <c r="B3184" s="108"/>
      <c r="C3184" s="108"/>
      <c r="D3184" s="109"/>
    </row>
    <row r="3185" spans="1:4" ht="42.75" customHeight="1" thickBot="1">
      <c r="A3185" s="110" t="s">
        <v>20</v>
      </c>
      <c r="B3185" s="111"/>
      <c r="C3185" s="111"/>
      <c r="D3185" s="112"/>
    </row>
    <row r="3186" spans="1:4" ht="42.75" customHeight="1" thickBot="1">
      <c r="A3186" s="113" t="s">
        <v>18</v>
      </c>
      <c r="B3186" s="114"/>
      <c r="C3186" s="114"/>
      <c r="D3186" s="115"/>
    </row>
    <row r="3187" spans="1:4" ht="42.75" customHeight="1" thickBot="1">
      <c r="A3187" s="126" t="s">
        <v>19</v>
      </c>
      <c r="B3187" s="127"/>
      <c r="C3187" s="127"/>
      <c r="D3187" s="128"/>
    </row>
    <row r="3188" spans="1:4" ht="42.75" customHeight="1" thickBot="1">
      <c r="A3188" s="123" t="s">
        <v>11</v>
      </c>
      <c r="B3188" s="124"/>
      <c r="C3188" s="125" t="s">
        <v>603</v>
      </c>
      <c r="D3188" s="124"/>
    </row>
    <row r="3189" spans="1:4" ht="42.75" customHeight="1" thickBot="1">
      <c r="A3189" s="1" t="s">
        <v>686</v>
      </c>
      <c r="B3189" s="26" t="s">
        <v>1</v>
      </c>
      <c r="C3189" s="90" t="s">
        <v>120</v>
      </c>
      <c r="D3189" s="91"/>
    </row>
    <row r="3190" spans="1:4" ht="42.75" customHeight="1" thickBot="1">
      <c r="A3190" s="26"/>
      <c r="B3190" s="26" t="s">
        <v>0</v>
      </c>
      <c r="C3190" s="5" t="s">
        <v>687</v>
      </c>
      <c r="D3190" s="4" t="s">
        <v>2</v>
      </c>
    </row>
    <row r="3191" spans="1:4" ht="42.75" customHeight="1" thickBot="1">
      <c r="A3191" s="92">
        <v>5835</v>
      </c>
      <c r="B3191" s="93"/>
      <c r="C3191" s="94" t="s">
        <v>3</v>
      </c>
      <c r="D3191" s="95"/>
    </row>
    <row r="3192" spans="1:4" ht="42.75" customHeight="1" thickBot="1">
      <c r="A3192" s="92">
        <v>5835</v>
      </c>
      <c r="B3192" s="93"/>
      <c r="C3192" s="96" t="s">
        <v>4</v>
      </c>
      <c r="D3192" s="97"/>
    </row>
    <row r="3193" spans="1:4" ht="42.75" customHeight="1" thickBot="1">
      <c r="A3193" s="98">
        <f>A3192-A3191</f>
        <v>0</v>
      </c>
      <c r="B3193" s="99"/>
      <c r="C3193" s="100" t="s">
        <v>5</v>
      </c>
      <c r="D3193" s="97"/>
    </row>
    <row r="3194" spans="1:4" ht="42.75" customHeight="1" thickBot="1">
      <c r="A3194" s="101">
        <v>62</v>
      </c>
      <c r="B3194" s="102"/>
      <c r="C3194" s="96" t="s">
        <v>6</v>
      </c>
      <c r="D3194" s="97"/>
    </row>
    <row r="3195" spans="1:4" ht="42.75" customHeight="1" thickBot="1">
      <c r="A3195" s="103"/>
      <c r="B3195" s="104"/>
      <c r="C3195" s="96" t="s">
        <v>21</v>
      </c>
      <c r="D3195" s="97"/>
    </row>
    <row r="3196" spans="1:4" ht="42.75" customHeight="1" thickBot="1">
      <c r="A3196" s="105">
        <f>A3194*A3193</f>
        <v>0</v>
      </c>
      <c r="B3196" s="106"/>
      <c r="C3196" s="96" t="s">
        <v>7</v>
      </c>
      <c r="D3196" s="97"/>
    </row>
    <row r="3197" spans="1:4" ht="42.75" customHeight="1" thickBot="1">
      <c r="A3197" s="107" t="s">
        <v>17</v>
      </c>
      <c r="B3197" s="108"/>
      <c r="C3197" s="108"/>
      <c r="D3197" s="109"/>
    </row>
    <row r="3198" spans="1:4" ht="42.75" customHeight="1" thickBot="1">
      <c r="A3198" s="116" t="s">
        <v>20</v>
      </c>
      <c r="B3198" s="117"/>
      <c r="C3198" s="117"/>
      <c r="D3198" s="118"/>
    </row>
    <row r="3199" spans="1:4" ht="42.75" customHeight="1" thickBot="1">
      <c r="A3199" s="113" t="s">
        <v>18</v>
      </c>
      <c r="B3199" s="114"/>
      <c r="C3199" s="114"/>
      <c r="D3199" s="115"/>
    </row>
    <row r="3200" spans="1:4" ht="42.75" customHeight="1" thickBot="1">
      <c r="A3200" s="119"/>
      <c r="B3200" s="119"/>
      <c r="C3200" s="119"/>
      <c r="D3200" s="119"/>
    </row>
    <row r="3201" spans="1:4" ht="42.75" customHeight="1" thickBot="1">
      <c r="A3201" s="126" t="s">
        <v>19</v>
      </c>
      <c r="B3201" s="127"/>
      <c r="C3201" s="127"/>
      <c r="D3201" s="128"/>
    </row>
    <row r="3202" spans="1:4" ht="42.75" customHeight="1" thickBot="1">
      <c r="A3202" s="123" t="s">
        <v>11</v>
      </c>
      <c r="B3202" s="124"/>
      <c r="C3202" s="125" t="s">
        <v>603</v>
      </c>
      <c r="D3202" s="124"/>
    </row>
    <row r="3203" spans="1:4" ht="42.75" customHeight="1" thickBot="1">
      <c r="A3203" s="1" t="s">
        <v>686</v>
      </c>
      <c r="B3203" s="26" t="s">
        <v>1</v>
      </c>
      <c r="C3203" s="90" t="s">
        <v>120</v>
      </c>
      <c r="D3203" s="91"/>
    </row>
    <row r="3204" spans="1:4" ht="42.75" customHeight="1" thickBot="1">
      <c r="A3204" s="26"/>
      <c r="B3204" s="26" t="s">
        <v>0</v>
      </c>
      <c r="C3204" s="5" t="s">
        <v>687</v>
      </c>
      <c r="D3204" s="4" t="s">
        <v>2</v>
      </c>
    </row>
    <row r="3205" spans="1:4" ht="42.75" customHeight="1" thickBot="1">
      <c r="A3205" s="92">
        <v>5785</v>
      </c>
      <c r="B3205" s="93"/>
      <c r="C3205" s="94" t="s">
        <v>3</v>
      </c>
      <c r="D3205" s="95"/>
    </row>
    <row r="3206" spans="1:4" ht="42.75" customHeight="1" thickBot="1">
      <c r="A3206" s="92">
        <v>5835</v>
      </c>
      <c r="B3206" s="93"/>
      <c r="C3206" s="96" t="s">
        <v>4</v>
      </c>
      <c r="D3206" s="97"/>
    </row>
    <row r="3207" spans="1:4" ht="42.75" customHeight="1" thickBot="1">
      <c r="A3207" s="98">
        <f>A3206-A3205</f>
        <v>50</v>
      </c>
      <c r="B3207" s="99"/>
      <c r="C3207" s="100" t="s">
        <v>5</v>
      </c>
      <c r="D3207" s="97"/>
    </row>
    <row r="3208" spans="1:4" ht="42.75" customHeight="1" thickBot="1">
      <c r="A3208" s="101">
        <v>62</v>
      </c>
      <c r="B3208" s="102"/>
      <c r="C3208" s="96" t="s">
        <v>6</v>
      </c>
      <c r="D3208" s="97"/>
    </row>
    <row r="3209" spans="1:4" ht="42.75" customHeight="1" thickBot="1">
      <c r="A3209" s="103"/>
      <c r="B3209" s="104"/>
      <c r="C3209" s="96" t="s">
        <v>21</v>
      </c>
      <c r="D3209" s="97"/>
    </row>
    <row r="3210" spans="1:4" ht="42.75" customHeight="1" thickBot="1">
      <c r="A3210" s="105">
        <f>A3208*A3207</f>
        <v>3100</v>
      </c>
      <c r="B3210" s="106"/>
      <c r="C3210" s="96" t="s">
        <v>7</v>
      </c>
      <c r="D3210" s="97"/>
    </row>
    <row r="3211" spans="1:4" ht="42.75" customHeight="1" thickBot="1">
      <c r="A3211" s="107" t="s">
        <v>17</v>
      </c>
      <c r="B3211" s="108"/>
      <c r="C3211" s="108"/>
      <c r="D3211" s="109"/>
    </row>
    <row r="3212" spans="1:4" ht="42.75" customHeight="1" thickBot="1">
      <c r="A3212" s="110" t="s">
        <v>20</v>
      </c>
      <c r="B3212" s="111"/>
      <c r="C3212" s="111"/>
      <c r="D3212" s="112"/>
    </row>
    <row r="3213" spans="1:4" ht="42.75" customHeight="1" thickBot="1">
      <c r="A3213" s="113" t="s">
        <v>18</v>
      </c>
      <c r="B3213" s="114"/>
      <c r="C3213" s="114"/>
      <c r="D3213" s="115"/>
    </row>
    <row r="3214" spans="1:4" ht="42.75" customHeight="1" thickBot="1">
      <c r="A3214" s="126" t="s">
        <v>19</v>
      </c>
      <c r="B3214" s="127"/>
      <c r="C3214" s="127"/>
      <c r="D3214" s="128"/>
    </row>
    <row r="3215" spans="1:4" ht="42.75" customHeight="1" thickBot="1">
      <c r="A3215" s="123" t="s">
        <v>11</v>
      </c>
      <c r="B3215" s="124"/>
      <c r="C3215" s="125" t="s">
        <v>603</v>
      </c>
      <c r="D3215" s="124"/>
    </row>
    <row r="3216" spans="1:4" ht="42.75" customHeight="1" thickBot="1">
      <c r="A3216" s="1" t="s">
        <v>686</v>
      </c>
      <c r="B3216" s="26" t="s">
        <v>1</v>
      </c>
      <c r="C3216" s="90" t="s">
        <v>44</v>
      </c>
      <c r="D3216" s="91"/>
    </row>
    <row r="3217" spans="1:4" ht="42.75" customHeight="1" thickBot="1">
      <c r="A3217" s="26"/>
      <c r="B3217" s="26" t="s">
        <v>0</v>
      </c>
      <c r="C3217" s="5" t="s">
        <v>687</v>
      </c>
      <c r="D3217" s="4" t="s">
        <v>2</v>
      </c>
    </row>
    <row r="3218" spans="1:4" ht="42.75" customHeight="1" thickBot="1">
      <c r="A3218" s="92">
        <v>860</v>
      </c>
      <c r="B3218" s="93"/>
      <c r="C3218" s="94" t="s">
        <v>3</v>
      </c>
      <c r="D3218" s="95"/>
    </row>
    <row r="3219" spans="1:4" ht="42.75" customHeight="1" thickBot="1">
      <c r="A3219" s="92">
        <v>860</v>
      </c>
      <c r="B3219" s="93"/>
      <c r="C3219" s="96" t="s">
        <v>4</v>
      </c>
      <c r="D3219" s="97"/>
    </row>
    <row r="3220" spans="1:4" ht="42.75" customHeight="1" thickBot="1">
      <c r="A3220" s="98">
        <f>A3219-A3218</f>
        <v>0</v>
      </c>
      <c r="B3220" s="99"/>
      <c r="C3220" s="100" t="s">
        <v>5</v>
      </c>
      <c r="D3220" s="97"/>
    </row>
    <row r="3221" spans="1:4" ht="42.75" customHeight="1" thickBot="1">
      <c r="A3221" s="101">
        <v>62</v>
      </c>
      <c r="B3221" s="102"/>
      <c r="C3221" s="96" t="s">
        <v>6</v>
      </c>
      <c r="D3221" s="97"/>
    </row>
    <row r="3222" spans="1:4" ht="42.75" customHeight="1" thickBot="1">
      <c r="A3222" s="103"/>
      <c r="B3222" s="104"/>
      <c r="C3222" s="96" t="s">
        <v>21</v>
      </c>
      <c r="D3222" s="97"/>
    </row>
    <row r="3223" spans="1:4" ht="42.75" customHeight="1" thickBot="1">
      <c r="A3223" s="105">
        <f>A3221*A3220</f>
        <v>0</v>
      </c>
      <c r="B3223" s="106"/>
      <c r="C3223" s="96" t="s">
        <v>7</v>
      </c>
      <c r="D3223" s="97"/>
    </row>
    <row r="3224" spans="1:4" ht="42.75" customHeight="1" thickBot="1">
      <c r="A3224" s="107" t="s">
        <v>17</v>
      </c>
      <c r="B3224" s="108"/>
      <c r="C3224" s="108"/>
      <c r="D3224" s="109"/>
    </row>
    <row r="3225" spans="1:4" ht="42.75" customHeight="1" thickBot="1">
      <c r="A3225" s="116" t="s">
        <v>20</v>
      </c>
      <c r="B3225" s="117"/>
      <c r="C3225" s="117"/>
      <c r="D3225" s="118"/>
    </row>
    <row r="3226" spans="1:4" ht="42.75" customHeight="1" thickBot="1">
      <c r="A3226" s="113" t="s">
        <v>18</v>
      </c>
      <c r="B3226" s="114"/>
      <c r="C3226" s="114"/>
      <c r="D3226" s="115"/>
    </row>
    <row r="3227" spans="1:4" ht="42.75" customHeight="1" thickBot="1">
      <c r="A3227" s="119"/>
      <c r="B3227" s="119"/>
      <c r="C3227" s="119"/>
      <c r="D3227" s="119"/>
    </row>
    <row r="3228" spans="1:4" ht="42.75" customHeight="1" thickBot="1">
      <c r="A3228" s="126" t="s">
        <v>19</v>
      </c>
      <c r="B3228" s="127"/>
      <c r="C3228" s="127"/>
      <c r="D3228" s="128"/>
    </row>
    <row r="3229" spans="1:4" ht="42.75" customHeight="1" thickBot="1">
      <c r="A3229" s="123" t="s">
        <v>11</v>
      </c>
      <c r="B3229" s="124"/>
      <c r="C3229" s="125" t="s">
        <v>603</v>
      </c>
      <c r="D3229" s="124"/>
    </row>
    <row r="3230" spans="1:4" ht="42.75" customHeight="1" thickBot="1">
      <c r="A3230" s="1" t="s">
        <v>686</v>
      </c>
      <c r="B3230" s="26" t="s">
        <v>1</v>
      </c>
      <c r="C3230" s="90" t="s">
        <v>44</v>
      </c>
      <c r="D3230" s="91"/>
    </row>
    <row r="3231" spans="1:4" ht="42.75" customHeight="1" thickBot="1">
      <c r="A3231" s="26"/>
      <c r="B3231" s="26" t="s">
        <v>0</v>
      </c>
      <c r="C3231" s="5" t="s">
        <v>687</v>
      </c>
      <c r="D3231" s="4" t="s">
        <v>2</v>
      </c>
    </row>
    <row r="3232" spans="1:4" ht="42.75" customHeight="1" thickBot="1">
      <c r="A3232" s="92">
        <v>830</v>
      </c>
      <c r="B3232" s="93"/>
      <c r="C3232" s="94" t="s">
        <v>3</v>
      </c>
      <c r="D3232" s="95"/>
    </row>
    <row r="3233" spans="1:4" ht="42.75" customHeight="1" thickBot="1">
      <c r="A3233" s="92">
        <v>860</v>
      </c>
      <c r="B3233" s="93"/>
      <c r="C3233" s="96" t="s">
        <v>4</v>
      </c>
      <c r="D3233" s="97"/>
    </row>
    <row r="3234" spans="1:4" ht="42.75" customHeight="1" thickBot="1">
      <c r="A3234" s="98">
        <f>A3233-A3232</f>
        <v>30</v>
      </c>
      <c r="B3234" s="99"/>
      <c r="C3234" s="100" t="s">
        <v>5</v>
      </c>
      <c r="D3234" s="97"/>
    </row>
    <row r="3235" spans="1:4" ht="42.75" customHeight="1" thickBot="1">
      <c r="A3235" s="101">
        <v>62</v>
      </c>
      <c r="B3235" s="102"/>
      <c r="C3235" s="96" t="s">
        <v>6</v>
      </c>
      <c r="D3235" s="97"/>
    </row>
    <row r="3236" spans="1:4" ht="42.75" customHeight="1" thickBot="1">
      <c r="A3236" s="103"/>
      <c r="B3236" s="104"/>
      <c r="C3236" s="96" t="s">
        <v>21</v>
      </c>
      <c r="D3236" s="97"/>
    </row>
    <row r="3237" spans="1:4" ht="42.75" customHeight="1" thickBot="1">
      <c r="A3237" s="105">
        <f>A3235*A3234</f>
        <v>1860</v>
      </c>
      <c r="B3237" s="106"/>
      <c r="C3237" s="96" t="s">
        <v>7</v>
      </c>
      <c r="D3237" s="97"/>
    </row>
    <row r="3238" spans="1:4" ht="42.75" customHeight="1" thickBot="1">
      <c r="A3238" s="107" t="s">
        <v>17</v>
      </c>
      <c r="B3238" s="108"/>
      <c r="C3238" s="108"/>
      <c r="D3238" s="109"/>
    </row>
    <row r="3239" spans="1:4" ht="42.75" customHeight="1" thickBot="1">
      <c r="A3239" s="110" t="s">
        <v>20</v>
      </c>
      <c r="B3239" s="111"/>
      <c r="C3239" s="111"/>
      <c r="D3239" s="112"/>
    </row>
    <row r="3240" spans="1:4" ht="42.75" customHeight="1" thickBot="1">
      <c r="A3240" s="113" t="s">
        <v>18</v>
      </c>
      <c r="B3240" s="114"/>
      <c r="C3240" s="114"/>
      <c r="D3240" s="115"/>
    </row>
    <row r="3241" spans="1:4" ht="42.75" customHeight="1" thickBot="1">
      <c r="A3241" s="126" t="s">
        <v>19</v>
      </c>
      <c r="B3241" s="127"/>
      <c r="C3241" s="127"/>
      <c r="D3241" s="128"/>
    </row>
    <row r="3242" spans="1:4" ht="42.75" customHeight="1" thickBot="1">
      <c r="A3242" s="123" t="s">
        <v>11</v>
      </c>
      <c r="B3242" s="124"/>
      <c r="C3242" s="125" t="s">
        <v>603</v>
      </c>
      <c r="D3242" s="124"/>
    </row>
    <row r="3243" spans="1:4" ht="42.75" customHeight="1" thickBot="1">
      <c r="A3243" s="1" t="s">
        <v>686</v>
      </c>
      <c r="B3243" s="26" t="s">
        <v>1</v>
      </c>
      <c r="C3243" s="90" t="s">
        <v>192</v>
      </c>
      <c r="D3243" s="91"/>
    </row>
    <row r="3244" spans="1:4" ht="42.75" customHeight="1" thickBot="1">
      <c r="A3244" s="26"/>
      <c r="B3244" s="26" t="s">
        <v>0</v>
      </c>
      <c r="C3244" s="5" t="s">
        <v>687</v>
      </c>
      <c r="D3244" s="4" t="s">
        <v>2</v>
      </c>
    </row>
    <row r="3245" spans="1:4" ht="42.75" customHeight="1" thickBot="1">
      <c r="A3245" s="92">
        <v>2355</v>
      </c>
      <c r="B3245" s="93"/>
      <c r="C3245" s="94" t="s">
        <v>3</v>
      </c>
      <c r="D3245" s="95"/>
    </row>
    <row r="3246" spans="1:4" ht="42.75" customHeight="1" thickBot="1">
      <c r="A3246" s="92">
        <v>2355</v>
      </c>
      <c r="B3246" s="93"/>
      <c r="C3246" s="96" t="s">
        <v>4</v>
      </c>
      <c r="D3246" s="97"/>
    </row>
    <row r="3247" spans="1:4" ht="42.75" customHeight="1" thickBot="1">
      <c r="A3247" s="98">
        <f>A3246-A3245</f>
        <v>0</v>
      </c>
      <c r="B3247" s="99"/>
      <c r="C3247" s="100" t="s">
        <v>5</v>
      </c>
      <c r="D3247" s="97"/>
    </row>
    <row r="3248" spans="1:4" ht="42.75" customHeight="1" thickBot="1">
      <c r="A3248" s="101">
        <v>62</v>
      </c>
      <c r="B3248" s="102"/>
      <c r="C3248" s="96" t="s">
        <v>6</v>
      </c>
      <c r="D3248" s="97"/>
    </row>
    <row r="3249" spans="1:4" ht="42.75" customHeight="1" thickBot="1">
      <c r="A3249" s="103"/>
      <c r="B3249" s="104"/>
      <c r="C3249" s="96" t="s">
        <v>21</v>
      </c>
      <c r="D3249" s="97"/>
    </row>
    <row r="3250" spans="1:4" ht="42.75" customHeight="1" thickBot="1">
      <c r="A3250" s="105">
        <f>A3248*A3247</f>
        <v>0</v>
      </c>
      <c r="B3250" s="106"/>
      <c r="C3250" s="96" t="s">
        <v>7</v>
      </c>
      <c r="D3250" s="97"/>
    </row>
    <row r="3251" spans="1:4" ht="42.75" customHeight="1" thickBot="1">
      <c r="A3251" s="107" t="s">
        <v>17</v>
      </c>
      <c r="B3251" s="108"/>
      <c r="C3251" s="108"/>
      <c r="D3251" s="109"/>
    </row>
    <row r="3252" spans="1:4" ht="42.75" customHeight="1" thickBot="1">
      <c r="A3252" s="116" t="s">
        <v>20</v>
      </c>
      <c r="B3252" s="117"/>
      <c r="C3252" s="117"/>
      <c r="D3252" s="118"/>
    </row>
    <row r="3253" spans="1:4" ht="42.75" customHeight="1" thickBot="1">
      <c r="A3253" s="113" t="s">
        <v>18</v>
      </c>
      <c r="B3253" s="114"/>
      <c r="C3253" s="114"/>
      <c r="D3253" s="115"/>
    </row>
    <row r="3254" spans="1:4" ht="42.75" customHeight="1" thickBot="1">
      <c r="A3254" s="119"/>
      <c r="B3254" s="119"/>
      <c r="C3254" s="119"/>
      <c r="D3254" s="119"/>
    </row>
    <row r="3255" spans="1:4" ht="42.75" customHeight="1" thickBot="1">
      <c r="A3255" s="126" t="s">
        <v>19</v>
      </c>
      <c r="B3255" s="127"/>
      <c r="C3255" s="127"/>
      <c r="D3255" s="128"/>
    </row>
    <row r="3256" spans="1:4" ht="42.75" customHeight="1" thickBot="1">
      <c r="A3256" s="123" t="s">
        <v>11</v>
      </c>
      <c r="B3256" s="124"/>
      <c r="C3256" s="125" t="s">
        <v>603</v>
      </c>
      <c r="D3256" s="124"/>
    </row>
    <row r="3257" spans="1:4" ht="42.75" customHeight="1" thickBot="1">
      <c r="A3257" s="1" t="s">
        <v>686</v>
      </c>
      <c r="B3257" s="26" t="s">
        <v>1</v>
      </c>
      <c r="C3257" s="90" t="s">
        <v>192</v>
      </c>
      <c r="D3257" s="91"/>
    </row>
    <row r="3258" spans="1:4" ht="42.75" customHeight="1" thickBot="1">
      <c r="A3258" s="26"/>
      <c r="B3258" s="26" t="s">
        <v>0</v>
      </c>
      <c r="C3258" s="5" t="s">
        <v>687</v>
      </c>
      <c r="D3258" s="4" t="s">
        <v>2</v>
      </c>
    </row>
    <row r="3259" spans="1:4" ht="42.75" customHeight="1" thickBot="1">
      <c r="A3259" s="92">
        <v>2350</v>
      </c>
      <c r="B3259" s="93"/>
      <c r="C3259" s="94" t="s">
        <v>3</v>
      </c>
      <c r="D3259" s="95"/>
    </row>
    <row r="3260" spans="1:4" ht="42.75" customHeight="1" thickBot="1">
      <c r="A3260" s="92">
        <v>2355</v>
      </c>
      <c r="B3260" s="93"/>
      <c r="C3260" s="96" t="s">
        <v>4</v>
      </c>
      <c r="D3260" s="97"/>
    </row>
    <row r="3261" spans="1:4" ht="42.75" customHeight="1" thickBot="1">
      <c r="A3261" s="98">
        <v>10</v>
      </c>
      <c r="B3261" s="99"/>
      <c r="C3261" s="100" t="s">
        <v>5</v>
      </c>
      <c r="D3261" s="97"/>
    </row>
    <row r="3262" spans="1:4" ht="42.75" customHeight="1" thickBot="1">
      <c r="A3262" s="101">
        <v>62</v>
      </c>
      <c r="B3262" s="102"/>
      <c r="C3262" s="96" t="s">
        <v>6</v>
      </c>
      <c r="D3262" s="97"/>
    </row>
    <row r="3263" spans="1:4" ht="42.75" customHeight="1" thickBot="1">
      <c r="A3263" s="103"/>
      <c r="B3263" s="104"/>
      <c r="C3263" s="96" t="s">
        <v>21</v>
      </c>
      <c r="D3263" s="97"/>
    </row>
    <row r="3264" spans="1:4" ht="42.75" customHeight="1" thickBot="1">
      <c r="A3264" s="105">
        <v>600</v>
      </c>
      <c r="B3264" s="106"/>
      <c r="C3264" s="96" t="s">
        <v>7</v>
      </c>
      <c r="D3264" s="97"/>
    </row>
    <row r="3265" spans="1:4" ht="42.75" customHeight="1" thickBot="1">
      <c r="A3265" s="107" t="s">
        <v>17</v>
      </c>
      <c r="B3265" s="108"/>
      <c r="C3265" s="108"/>
      <c r="D3265" s="109"/>
    </row>
    <row r="3266" spans="1:4" ht="42.75" customHeight="1" thickBot="1">
      <c r="A3266" s="110" t="s">
        <v>20</v>
      </c>
      <c r="B3266" s="111"/>
      <c r="C3266" s="111"/>
      <c r="D3266" s="112"/>
    </row>
    <row r="3267" spans="1:4" ht="42.75" customHeight="1" thickBot="1">
      <c r="A3267" s="113" t="s">
        <v>18</v>
      </c>
      <c r="B3267" s="114"/>
      <c r="C3267" s="114"/>
      <c r="D3267" s="115"/>
    </row>
    <row r="3268" spans="1:4" ht="42.75" customHeight="1" thickBot="1">
      <c r="A3268" s="126" t="s">
        <v>19</v>
      </c>
      <c r="B3268" s="127"/>
      <c r="C3268" s="127"/>
      <c r="D3268" s="128"/>
    </row>
    <row r="3269" spans="1:4" ht="42.75" customHeight="1" thickBot="1">
      <c r="A3269" s="123" t="s">
        <v>11</v>
      </c>
      <c r="B3269" s="124"/>
      <c r="C3269" s="125" t="s">
        <v>603</v>
      </c>
      <c r="D3269" s="124"/>
    </row>
    <row r="3270" spans="1:4" ht="42.75" customHeight="1" thickBot="1">
      <c r="A3270" s="1" t="s">
        <v>686</v>
      </c>
      <c r="B3270" s="26" t="s">
        <v>1</v>
      </c>
      <c r="C3270" s="90" t="s">
        <v>121</v>
      </c>
      <c r="D3270" s="91"/>
    </row>
    <row r="3271" spans="1:4" ht="42.75" customHeight="1" thickBot="1">
      <c r="A3271" s="26"/>
      <c r="B3271" s="26" t="s">
        <v>0</v>
      </c>
      <c r="C3271" s="5" t="s">
        <v>687</v>
      </c>
      <c r="D3271" s="4" t="s">
        <v>2</v>
      </c>
    </row>
    <row r="3272" spans="1:4" ht="42.75" customHeight="1" thickBot="1">
      <c r="A3272" s="92">
        <v>1153</v>
      </c>
      <c r="B3272" s="93"/>
      <c r="C3272" s="94" t="s">
        <v>3</v>
      </c>
      <c r="D3272" s="95"/>
    </row>
    <row r="3273" spans="1:4" ht="42.75" customHeight="1" thickBot="1">
      <c r="A3273" s="92">
        <v>1153</v>
      </c>
      <c r="B3273" s="93"/>
      <c r="C3273" s="96" t="s">
        <v>4</v>
      </c>
      <c r="D3273" s="97"/>
    </row>
    <row r="3274" spans="1:4" ht="42.75" customHeight="1" thickBot="1">
      <c r="A3274" s="98">
        <f>A3273-A3272</f>
        <v>0</v>
      </c>
      <c r="B3274" s="99"/>
      <c r="C3274" s="100" t="s">
        <v>5</v>
      </c>
      <c r="D3274" s="97"/>
    </row>
    <row r="3275" spans="1:4" ht="42.75" customHeight="1" thickBot="1">
      <c r="A3275" s="101">
        <v>62</v>
      </c>
      <c r="B3275" s="102"/>
      <c r="C3275" s="96" t="s">
        <v>6</v>
      </c>
      <c r="D3275" s="97"/>
    </row>
    <row r="3276" spans="1:4" ht="42.75" customHeight="1" thickBot="1">
      <c r="A3276" s="103"/>
      <c r="B3276" s="104"/>
      <c r="C3276" s="96" t="s">
        <v>21</v>
      </c>
      <c r="D3276" s="97"/>
    </row>
    <row r="3277" spans="1:4" ht="42.75" customHeight="1" thickBot="1">
      <c r="A3277" s="105">
        <f>A3275*A3274</f>
        <v>0</v>
      </c>
      <c r="B3277" s="106"/>
      <c r="C3277" s="96" t="s">
        <v>7</v>
      </c>
      <c r="D3277" s="97"/>
    </row>
    <row r="3278" spans="1:4" ht="42.75" customHeight="1" thickBot="1">
      <c r="A3278" s="107" t="s">
        <v>17</v>
      </c>
      <c r="B3278" s="108"/>
      <c r="C3278" s="108"/>
      <c r="D3278" s="109"/>
    </row>
    <row r="3279" spans="1:4" ht="42.75" customHeight="1" thickBot="1">
      <c r="A3279" s="116" t="s">
        <v>20</v>
      </c>
      <c r="B3279" s="117"/>
      <c r="C3279" s="117"/>
      <c r="D3279" s="118"/>
    </row>
    <row r="3280" spans="1:4" ht="42.75" customHeight="1" thickBot="1">
      <c r="A3280" s="113" t="s">
        <v>18</v>
      </c>
      <c r="B3280" s="114"/>
      <c r="C3280" s="114"/>
      <c r="D3280" s="115"/>
    </row>
    <row r="3281" spans="1:4" ht="42.75" customHeight="1" thickBot="1">
      <c r="A3281" s="119"/>
      <c r="B3281" s="119"/>
      <c r="C3281" s="119"/>
      <c r="D3281" s="119"/>
    </row>
    <row r="3282" spans="1:4" ht="42.75" customHeight="1" thickBot="1">
      <c r="A3282" s="126" t="s">
        <v>19</v>
      </c>
      <c r="B3282" s="127"/>
      <c r="C3282" s="127"/>
      <c r="D3282" s="128"/>
    </row>
    <row r="3283" spans="1:4" ht="42.75" customHeight="1" thickBot="1">
      <c r="A3283" s="123" t="s">
        <v>11</v>
      </c>
      <c r="B3283" s="124"/>
      <c r="C3283" s="125" t="s">
        <v>603</v>
      </c>
      <c r="D3283" s="124"/>
    </row>
    <row r="3284" spans="1:4" ht="42.75" customHeight="1" thickBot="1">
      <c r="A3284" s="1" t="s">
        <v>686</v>
      </c>
      <c r="B3284" s="26" t="s">
        <v>1</v>
      </c>
      <c r="C3284" s="90" t="s">
        <v>121</v>
      </c>
      <c r="D3284" s="91"/>
    </row>
    <row r="3285" spans="1:4" ht="42.75" customHeight="1" thickBot="1">
      <c r="A3285" s="26"/>
      <c r="B3285" s="26" t="s">
        <v>0</v>
      </c>
      <c r="C3285" s="5" t="s">
        <v>687</v>
      </c>
      <c r="D3285" s="4" t="s">
        <v>2</v>
      </c>
    </row>
    <row r="3286" spans="1:4" ht="42.75" customHeight="1" thickBot="1">
      <c r="A3286" s="92">
        <v>1130</v>
      </c>
      <c r="B3286" s="93"/>
      <c r="C3286" s="94" t="s">
        <v>3</v>
      </c>
      <c r="D3286" s="95"/>
    </row>
    <row r="3287" spans="1:4" ht="42.75" customHeight="1" thickBot="1">
      <c r="A3287" s="92">
        <v>1153</v>
      </c>
      <c r="B3287" s="93"/>
      <c r="C3287" s="96" t="s">
        <v>4</v>
      </c>
      <c r="D3287" s="97"/>
    </row>
    <row r="3288" spans="1:4" ht="42.75" customHeight="1" thickBot="1">
      <c r="A3288" s="98">
        <f>A3287-A3286</f>
        <v>23</v>
      </c>
      <c r="B3288" s="99"/>
      <c r="C3288" s="100" t="s">
        <v>5</v>
      </c>
      <c r="D3288" s="97"/>
    </row>
    <row r="3289" spans="1:4" ht="42.75" customHeight="1" thickBot="1">
      <c r="A3289" s="101">
        <v>62</v>
      </c>
      <c r="B3289" s="102"/>
      <c r="C3289" s="96" t="s">
        <v>6</v>
      </c>
      <c r="D3289" s="97"/>
    </row>
    <row r="3290" spans="1:4" ht="42.75" customHeight="1" thickBot="1">
      <c r="A3290" s="103"/>
      <c r="B3290" s="104"/>
      <c r="C3290" s="96" t="s">
        <v>21</v>
      </c>
      <c r="D3290" s="97"/>
    </row>
    <row r="3291" spans="1:4" ht="42.75" customHeight="1" thickBot="1">
      <c r="A3291" s="105">
        <v>1400</v>
      </c>
      <c r="B3291" s="106"/>
      <c r="C3291" s="96" t="s">
        <v>7</v>
      </c>
      <c r="D3291" s="97"/>
    </row>
    <row r="3292" spans="1:4" ht="42.75" customHeight="1" thickBot="1">
      <c r="A3292" s="107" t="s">
        <v>17</v>
      </c>
      <c r="B3292" s="108"/>
      <c r="C3292" s="108"/>
      <c r="D3292" s="109"/>
    </row>
    <row r="3293" spans="1:4" ht="42.75" customHeight="1" thickBot="1">
      <c r="A3293" s="110" t="s">
        <v>20</v>
      </c>
      <c r="B3293" s="111"/>
      <c r="C3293" s="111"/>
      <c r="D3293" s="112"/>
    </row>
    <row r="3294" spans="1:4" ht="42.75" customHeight="1" thickBot="1">
      <c r="A3294" s="113" t="s">
        <v>18</v>
      </c>
      <c r="B3294" s="114"/>
      <c r="C3294" s="114"/>
      <c r="D3294" s="115"/>
    </row>
    <row r="3295" spans="1:4" ht="42.75" customHeight="1" thickBot="1">
      <c r="A3295" s="126" t="s">
        <v>19</v>
      </c>
      <c r="B3295" s="127"/>
      <c r="C3295" s="127"/>
      <c r="D3295" s="128"/>
    </row>
    <row r="3296" spans="1:4" ht="42.75" customHeight="1" thickBot="1">
      <c r="A3296" s="123" t="s">
        <v>11</v>
      </c>
      <c r="B3296" s="124"/>
      <c r="C3296" s="125" t="s">
        <v>603</v>
      </c>
      <c r="D3296" s="124"/>
    </row>
    <row r="3297" spans="1:4" ht="42.75" customHeight="1" thickBot="1">
      <c r="A3297" s="1" t="s">
        <v>686</v>
      </c>
      <c r="B3297" s="26" t="s">
        <v>1</v>
      </c>
      <c r="C3297" s="90" t="s">
        <v>577</v>
      </c>
      <c r="D3297" s="91"/>
    </row>
    <row r="3298" spans="1:4" ht="42.75" customHeight="1" thickBot="1">
      <c r="A3298" s="26"/>
      <c r="B3298" s="26" t="s">
        <v>0</v>
      </c>
      <c r="C3298" s="5" t="s">
        <v>687</v>
      </c>
      <c r="D3298" s="4" t="s">
        <v>2</v>
      </c>
    </row>
    <row r="3299" spans="1:4" ht="42.75" customHeight="1" thickBot="1">
      <c r="A3299" s="92">
        <v>6505</v>
      </c>
      <c r="B3299" s="93"/>
      <c r="C3299" s="94" t="s">
        <v>3</v>
      </c>
      <c r="D3299" s="95"/>
    </row>
    <row r="3300" spans="1:4" ht="42.75" customHeight="1" thickBot="1">
      <c r="A3300" s="92">
        <v>6505</v>
      </c>
      <c r="B3300" s="93"/>
      <c r="C3300" s="96" t="s">
        <v>4</v>
      </c>
      <c r="D3300" s="97"/>
    </row>
    <row r="3301" spans="1:4" ht="42.75" customHeight="1" thickBot="1">
      <c r="A3301" s="98">
        <f>A3300-A3299</f>
        <v>0</v>
      </c>
      <c r="B3301" s="99"/>
      <c r="C3301" s="100" t="s">
        <v>5</v>
      </c>
      <c r="D3301" s="97"/>
    </row>
    <row r="3302" spans="1:4" ht="42.75" customHeight="1" thickBot="1">
      <c r="A3302" s="101">
        <v>62</v>
      </c>
      <c r="B3302" s="102"/>
      <c r="C3302" s="96" t="s">
        <v>6</v>
      </c>
      <c r="D3302" s="97"/>
    </row>
    <row r="3303" spans="1:4" ht="42.75" customHeight="1" thickBot="1">
      <c r="A3303" s="103"/>
      <c r="B3303" s="104"/>
      <c r="C3303" s="96" t="s">
        <v>21</v>
      </c>
      <c r="D3303" s="97"/>
    </row>
    <row r="3304" spans="1:4" ht="42.75" customHeight="1" thickBot="1">
      <c r="A3304" s="105">
        <f>A3302*A3301</f>
        <v>0</v>
      </c>
      <c r="B3304" s="106"/>
      <c r="C3304" s="96" t="s">
        <v>7</v>
      </c>
      <c r="D3304" s="97"/>
    </row>
    <row r="3305" spans="1:4" ht="42.75" customHeight="1" thickBot="1">
      <c r="A3305" s="107" t="s">
        <v>17</v>
      </c>
      <c r="B3305" s="108"/>
      <c r="C3305" s="108"/>
      <c r="D3305" s="109"/>
    </row>
    <row r="3306" spans="1:4" ht="42.75" customHeight="1" thickBot="1">
      <c r="A3306" s="116" t="s">
        <v>20</v>
      </c>
      <c r="B3306" s="117"/>
      <c r="C3306" s="117"/>
      <c r="D3306" s="118"/>
    </row>
    <row r="3307" spans="1:4" ht="42.75" customHeight="1" thickBot="1">
      <c r="A3307" s="113" t="s">
        <v>18</v>
      </c>
      <c r="B3307" s="114"/>
      <c r="C3307" s="114"/>
      <c r="D3307" s="115"/>
    </row>
    <row r="3308" spans="1:4" ht="42.75" customHeight="1" thickBot="1">
      <c r="A3308" s="119"/>
      <c r="B3308" s="119"/>
      <c r="C3308" s="119"/>
      <c r="D3308" s="119"/>
    </row>
    <row r="3309" spans="1:4" ht="42.75" customHeight="1" thickBot="1">
      <c r="A3309" s="126" t="s">
        <v>19</v>
      </c>
      <c r="B3309" s="127"/>
      <c r="C3309" s="127"/>
      <c r="D3309" s="128"/>
    </row>
    <row r="3310" spans="1:4" ht="42.75" customHeight="1" thickBot="1">
      <c r="A3310" s="123" t="s">
        <v>11</v>
      </c>
      <c r="B3310" s="124"/>
      <c r="C3310" s="125" t="s">
        <v>603</v>
      </c>
      <c r="D3310" s="124"/>
    </row>
    <row r="3311" spans="1:4" ht="42.75" customHeight="1" thickBot="1">
      <c r="A3311" s="1" t="s">
        <v>686</v>
      </c>
      <c r="B3311" s="26" t="s">
        <v>1</v>
      </c>
      <c r="C3311" s="90" t="s">
        <v>577</v>
      </c>
      <c r="D3311" s="91"/>
    </row>
    <row r="3312" spans="1:4" ht="42.75" customHeight="1" thickBot="1">
      <c r="A3312" s="26"/>
      <c r="B3312" s="26" t="s">
        <v>0</v>
      </c>
      <c r="C3312" s="5" t="s">
        <v>687</v>
      </c>
      <c r="D3312" s="4" t="s">
        <v>2</v>
      </c>
    </row>
    <row r="3313" spans="1:4" ht="42.75" customHeight="1" thickBot="1">
      <c r="A3313" s="92">
        <v>6485</v>
      </c>
      <c r="B3313" s="93"/>
      <c r="C3313" s="94" t="s">
        <v>3</v>
      </c>
      <c r="D3313" s="95"/>
    </row>
    <row r="3314" spans="1:4" ht="42.75" customHeight="1" thickBot="1">
      <c r="A3314" s="92">
        <v>6505</v>
      </c>
      <c r="B3314" s="93"/>
      <c r="C3314" s="96" t="s">
        <v>4</v>
      </c>
      <c r="D3314" s="97"/>
    </row>
    <row r="3315" spans="1:4" ht="42.75" customHeight="1" thickBot="1">
      <c r="A3315" s="98">
        <f>A3314-A3313</f>
        <v>20</v>
      </c>
      <c r="B3315" s="99"/>
      <c r="C3315" s="100" t="s">
        <v>5</v>
      </c>
      <c r="D3315" s="97"/>
    </row>
    <row r="3316" spans="1:4" ht="42.75" customHeight="1" thickBot="1">
      <c r="A3316" s="101">
        <v>62</v>
      </c>
      <c r="B3316" s="102"/>
      <c r="C3316" s="96" t="s">
        <v>6</v>
      </c>
      <c r="D3316" s="97"/>
    </row>
    <row r="3317" spans="1:4" ht="42.75" customHeight="1" thickBot="1">
      <c r="A3317" s="103"/>
      <c r="B3317" s="104"/>
      <c r="C3317" s="96" t="s">
        <v>21</v>
      </c>
      <c r="D3317" s="97"/>
    </row>
    <row r="3318" spans="1:4" ht="42.75" customHeight="1" thickBot="1">
      <c r="A3318" s="105">
        <v>1250</v>
      </c>
      <c r="B3318" s="106"/>
      <c r="C3318" s="96" t="s">
        <v>7</v>
      </c>
      <c r="D3318" s="97"/>
    </row>
    <row r="3319" spans="1:4" ht="42.75" customHeight="1" thickBot="1">
      <c r="A3319" s="107" t="s">
        <v>17</v>
      </c>
      <c r="B3319" s="108"/>
      <c r="C3319" s="108"/>
      <c r="D3319" s="109"/>
    </row>
    <row r="3320" spans="1:4" ht="42.75" customHeight="1" thickBot="1">
      <c r="A3320" s="110" t="s">
        <v>20</v>
      </c>
      <c r="B3320" s="111"/>
      <c r="C3320" s="111"/>
      <c r="D3320" s="112"/>
    </row>
    <row r="3321" spans="1:4" ht="42.75" customHeight="1" thickBot="1">
      <c r="A3321" s="113" t="s">
        <v>18</v>
      </c>
      <c r="B3321" s="114"/>
      <c r="C3321" s="114"/>
      <c r="D3321" s="115"/>
    </row>
    <row r="3322" spans="1:4" ht="42.75" customHeight="1" thickBot="1">
      <c r="A3322" s="126" t="s">
        <v>19</v>
      </c>
      <c r="B3322" s="127"/>
      <c r="C3322" s="127"/>
      <c r="D3322" s="128"/>
    </row>
    <row r="3323" spans="1:4" ht="42.75" customHeight="1" thickBot="1">
      <c r="A3323" s="123" t="s">
        <v>11</v>
      </c>
      <c r="B3323" s="124"/>
      <c r="C3323" s="125" t="s">
        <v>603</v>
      </c>
      <c r="D3323" s="124"/>
    </row>
    <row r="3324" spans="1:4" ht="42.75" customHeight="1" thickBot="1">
      <c r="A3324" s="1" t="s">
        <v>686</v>
      </c>
      <c r="B3324" s="26" t="s">
        <v>1</v>
      </c>
      <c r="C3324" s="90" t="s">
        <v>578</v>
      </c>
      <c r="D3324" s="91"/>
    </row>
    <row r="3325" spans="1:4" ht="42.75" customHeight="1" thickBot="1">
      <c r="A3325" s="26"/>
      <c r="B3325" s="26" t="s">
        <v>0</v>
      </c>
      <c r="C3325" s="5" t="s">
        <v>687</v>
      </c>
      <c r="D3325" s="4" t="s">
        <v>2</v>
      </c>
    </row>
    <row r="3326" spans="1:4" ht="42.75" customHeight="1" thickBot="1">
      <c r="A3326" s="92">
        <v>2275</v>
      </c>
      <c r="B3326" s="93"/>
      <c r="C3326" s="94" t="s">
        <v>3</v>
      </c>
      <c r="D3326" s="95"/>
    </row>
    <row r="3327" spans="1:4" ht="42.75" customHeight="1" thickBot="1">
      <c r="A3327" s="92">
        <v>2275</v>
      </c>
      <c r="B3327" s="93"/>
      <c r="C3327" s="96" t="s">
        <v>4</v>
      </c>
      <c r="D3327" s="97"/>
    </row>
    <row r="3328" spans="1:4" ht="42.75" customHeight="1" thickBot="1">
      <c r="A3328" s="98">
        <f>A3327-A3326</f>
        <v>0</v>
      </c>
      <c r="B3328" s="99"/>
      <c r="C3328" s="100" t="s">
        <v>5</v>
      </c>
      <c r="D3328" s="97"/>
    </row>
    <row r="3329" spans="1:4" ht="42.75" customHeight="1" thickBot="1">
      <c r="A3329" s="101">
        <v>62</v>
      </c>
      <c r="B3329" s="102"/>
      <c r="C3329" s="96" t="s">
        <v>6</v>
      </c>
      <c r="D3329" s="97"/>
    </row>
    <row r="3330" spans="1:4" ht="42.75" customHeight="1" thickBot="1">
      <c r="A3330" s="103"/>
      <c r="B3330" s="104"/>
      <c r="C3330" s="96" t="s">
        <v>21</v>
      </c>
      <c r="D3330" s="97"/>
    </row>
    <row r="3331" spans="1:4" ht="42.75" customHeight="1" thickBot="1">
      <c r="A3331" s="105">
        <f>A3329*A3328</f>
        <v>0</v>
      </c>
      <c r="B3331" s="106"/>
      <c r="C3331" s="96" t="s">
        <v>7</v>
      </c>
      <c r="D3331" s="97"/>
    </row>
    <row r="3332" spans="1:4" ht="42.75" customHeight="1" thickBot="1">
      <c r="A3332" s="107" t="s">
        <v>17</v>
      </c>
      <c r="B3332" s="108"/>
      <c r="C3332" s="108"/>
      <c r="D3332" s="109"/>
    </row>
    <row r="3333" spans="1:4" ht="42.75" customHeight="1" thickBot="1">
      <c r="A3333" s="116" t="s">
        <v>20</v>
      </c>
      <c r="B3333" s="117"/>
      <c r="C3333" s="117"/>
      <c r="D3333" s="118"/>
    </row>
    <row r="3334" spans="1:4" ht="42.75" customHeight="1" thickBot="1">
      <c r="A3334" s="113" t="s">
        <v>18</v>
      </c>
      <c r="B3334" s="114"/>
      <c r="C3334" s="114"/>
      <c r="D3334" s="115"/>
    </row>
    <row r="3335" spans="1:4" ht="42.75" customHeight="1" thickBot="1">
      <c r="A3335" s="119"/>
      <c r="B3335" s="119"/>
      <c r="C3335" s="119"/>
      <c r="D3335" s="119"/>
    </row>
    <row r="3336" spans="1:4" ht="42.75" customHeight="1" thickBot="1">
      <c r="A3336" s="126" t="s">
        <v>19</v>
      </c>
      <c r="B3336" s="127"/>
      <c r="C3336" s="127"/>
      <c r="D3336" s="128"/>
    </row>
    <row r="3337" spans="1:4" ht="42.75" customHeight="1" thickBot="1">
      <c r="A3337" s="123" t="s">
        <v>11</v>
      </c>
      <c r="B3337" s="124"/>
      <c r="C3337" s="125" t="s">
        <v>603</v>
      </c>
      <c r="D3337" s="124"/>
    </row>
    <row r="3338" spans="1:4" ht="42.75" customHeight="1" thickBot="1">
      <c r="A3338" s="1" t="s">
        <v>686</v>
      </c>
      <c r="B3338" s="26" t="s">
        <v>1</v>
      </c>
      <c r="C3338" s="90" t="s">
        <v>578</v>
      </c>
      <c r="D3338" s="91"/>
    </row>
    <row r="3339" spans="1:4" ht="42.75" customHeight="1" thickBot="1">
      <c r="A3339" s="26"/>
      <c r="B3339" s="26" t="s">
        <v>0</v>
      </c>
      <c r="C3339" s="5" t="s">
        <v>687</v>
      </c>
      <c r="D3339" s="4" t="s">
        <v>2</v>
      </c>
    </row>
    <row r="3340" spans="1:4" ht="42.75" customHeight="1" thickBot="1">
      <c r="A3340" s="92">
        <v>2240</v>
      </c>
      <c r="B3340" s="93"/>
      <c r="C3340" s="94" t="s">
        <v>3</v>
      </c>
      <c r="D3340" s="95"/>
    </row>
    <row r="3341" spans="1:4" ht="42.75" customHeight="1" thickBot="1">
      <c r="A3341" s="92">
        <v>2275</v>
      </c>
      <c r="B3341" s="93"/>
      <c r="C3341" s="96" t="s">
        <v>4</v>
      </c>
      <c r="D3341" s="97"/>
    </row>
    <row r="3342" spans="1:4" ht="42.75" customHeight="1" thickBot="1">
      <c r="A3342" s="98">
        <f>A3341-A3340</f>
        <v>35</v>
      </c>
      <c r="B3342" s="99"/>
      <c r="C3342" s="100" t="s">
        <v>5</v>
      </c>
      <c r="D3342" s="97"/>
    </row>
    <row r="3343" spans="1:4" ht="42.75" customHeight="1" thickBot="1">
      <c r="A3343" s="101">
        <v>62</v>
      </c>
      <c r="B3343" s="102"/>
      <c r="C3343" s="96" t="s">
        <v>6</v>
      </c>
      <c r="D3343" s="97"/>
    </row>
    <row r="3344" spans="1:4" ht="42.75" customHeight="1" thickBot="1">
      <c r="A3344" s="103"/>
      <c r="B3344" s="104"/>
      <c r="C3344" s="96" t="s">
        <v>21</v>
      </c>
      <c r="D3344" s="97"/>
    </row>
    <row r="3345" spans="1:4" ht="42.75" customHeight="1" thickBot="1">
      <c r="A3345" s="105">
        <v>2200</v>
      </c>
      <c r="B3345" s="106"/>
      <c r="C3345" s="96" t="s">
        <v>7</v>
      </c>
      <c r="D3345" s="97"/>
    </row>
    <row r="3346" spans="1:4" ht="42.75" customHeight="1" thickBot="1">
      <c r="A3346" s="107" t="s">
        <v>17</v>
      </c>
      <c r="B3346" s="108"/>
      <c r="C3346" s="108"/>
      <c r="D3346" s="109"/>
    </row>
    <row r="3347" spans="1:4" ht="42.75" customHeight="1" thickBot="1">
      <c r="A3347" s="110" t="s">
        <v>20</v>
      </c>
      <c r="B3347" s="111"/>
      <c r="C3347" s="111"/>
      <c r="D3347" s="112"/>
    </row>
    <row r="3348" spans="1:4" ht="42.75" customHeight="1" thickBot="1">
      <c r="A3348" s="113" t="s">
        <v>18</v>
      </c>
      <c r="B3348" s="114"/>
      <c r="C3348" s="114"/>
      <c r="D3348" s="115"/>
    </row>
    <row r="3349" spans="1:4" ht="42.75" customHeight="1" thickBot="1">
      <c r="A3349" s="126" t="s">
        <v>19</v>
      </c>
      <c r="B3349" s="127"/>
      <c r="C3349" s="127"/>
      <c r="D3349" s="128"/>
    </row>
    <row r="3350" spans="1:4" ht="42.75" customHeight="1" thickBot="1">
      <c r="A3350" s="123" t="s">
        <v>11</v>
      </c>
      <c r="B3350" s="124"/>
      <c r="C3350" s="125" t="s">
        <v>603</v>
      </c>
      <c r="D3350" s="124"/>
    </row>
    <row r="3351" spans="1:4" ht="42.75" customHeight="1" thickBot="1">
      <c r="A3351" s="1" t="s">
        <v>686</v>
      </c>
      <c r="B3351" s="26" t="s">
        <v>1</v>
      </c>
      <c r="C3351" s="90" t="s">
        <v>122</v>
      </c>
      <c r="D3351" s="91"/>
    </row>
    <row r="3352" spans="1:4" ht="42.75" customHeight="1" thickBot="1">
      <c r="A3352" s="26"/>
      <c r="B3352" s="26" t="s">
        <v>0</v>
      </c>
      <c r="C3352" s="5" t="s">
        <v>687</v>
      </c>
      <c r="D3352" s="4" t="s">
        <v>2</v>
      </c>
    </row>
    <row r="3353" spans="1:4" ht="42.75" customHeight="1" thickBot="1">
      <c r="A3353" s="92">
        <v>1455</v>
      </c>
      <c r="B3353" s="93"/>
      <c r="C3353" s="94" t="s">
        <v>3</v>
      </c>
      <c r="D3353" s="95"/>
    </row>
    <row r="3354" spans="1:4" ht="42.75" customHeight="1" thickBot="1">
      <c r="A3354" s="92">
        <v>1455</v>
      </c>
      <c r="B3354" s="93"/>
      <c r="C3354" s="96" t="s">
        <v>4</v>
      </c>
      <c r="D3354" s="97"/>
    </row>
    <row r="3355" spans="1:4" ht="42.75" customHeight="1" thickBot="1">
      <c r="A3355" s="98">
        <f>A3354-A3353</f>
        <v>0</v>
      </c>
      <c r="B3355" s="99"/>
      <c r="C3355" s="100" t="s">
        <v>5</v>
      </c>
      <c r="D3355" s="97"/>
    </row>
    <row r="3356" spans="1:4" ht="42.75" customHeight="1" thickBot="1">
      <c r="A3356" s="101">
        <v>62</v>
      </c>
      <c r="B3356" s="102"/>
      <c r="C3356" s="96" t="s">
        <v>6</v>
      </c>
      <c r="D3356" s="97"/>
    </row>
    <row r="3357" spans="1:4" ht="42.75" customHeight="1" thickBot="1">
      <c r="A3357" s="103"/>
      <c r="B3357" s="104"/>
      <c r="C3357" s="96" t="s">
        <v>21</v>
      </c>
      <c r="D3357" s="97"/>
    </row>
    <row r="3358" spans="1:4" ht="42.75" customHeight="1" thickBot="1">
      <c r="A3358" s="105">
        <f>A3356*A3355</f>
        <v>0</v>
      </c>
      <c r="B3358" s="106"/>
      <c r="C3358" s="96" t="s">
        <v>7</v>
      </c>
      <c r="D3358" s="97"/>
    </row>
    <row r="3359" spans="1:4" ht="42.75" customHeight="1" thickBot="1">
      <c r="A3359" s="107" t="s">
        <v>17</v>
      </c>
      <c r="B3359" s="108"/>
      <c r="C3359" s="108"/>
      <c r="D3359" s="109"/>
    </row>
    <row r="3360" spans="1:4" ht="42.75" customHeight="1" thickBot="1">
      <c r="A3360" s="116" t="s">
        <v>20</v>
      </c>
      <c r="B3360" s="117"/>
      <c r="C3360" s="117"/>
      <c r="D3360" s="118"/>
    </row>
    <row r="3361" spans="1:4" ht="42.75" customHeight="1" thickBot="1">
      <c r="A3361" s="113" t="s">
        <v>18</v>
      </c>
      <c r="B3361" s="114"/>
      <c r="C3361" s="114"/>
      <c r="D3361" s="115"/>
    </row>
    <row r="3362" spans="1:4" ht="42.75" customHeight="1" thickBot="1">
      <c r="A3362" s="119"/>
      <c r="B3362" s="119"/>
      <c r="C3362" s="119"/>
      <c r="D3362" s="119"/>
    </row>
    <row r="3363" spans="1:4" ht="42.75" customHeight="1" thickBot="1">
      <c r="A3363" s="126" t="s">
        <v>19</v>
      </c>
      <c r="B3363" s="127"/>
      <c r="C3363" s="127"/>
      <c r="D3363" s="128"/>
    </row>
    <row r="3364" spans="1:4" ht="42.75" customHeight="1" thickBot="1">
      <c r="A3364" s="123" t="s">
        <v>11</v>
      </c>
      <c r="B3364" s="124"/>
      <c r="C3364" s="125" t="s">
        <v>603</v>
      </c>
      <c r="D3364" s="124"/>
    </row>
    <row r="3365" spans="1:4" ht="42.75" customHeight="1" thickBot="1">
      <c r="A3365" s="1" t="s">
        <v>686</v>
      </c>
      <c r="B3365" s="26" t="s">
        <v>1</v>
      </c>
      <c r="C3365" s="90" t="s">
        <v>122</v>
      </c>
      <c r="D3365" s="91"/>
    </row>
    <row r="3366" spans="1:4" ht="42.75" customHeight="1" thickBot="1">
      <c r="A3366" s="26"/>
      <c r="B3366" s="26" t="s">
        <v>0</v>
      </c>
      <c r="C3366" s="5" t="s">
        <v>687</v>
      </c>
      <c r="D3366" s="4" t="s">
        <v>2</v>
      </c>
    </row>
    <row r="3367" spans="1:4" ht="42.75" customHeight="1" thickBot="1">
      <c r="A3367" s="92">
        <v>1435</v>
      </c>
      <c r="B3367" s="93"/>
      <c r="C3367" s="94" t="s">
        <v>3</v>
      </c>
      <c r="D3367" s="95"/>
    </row>
    <row r="3368" spans="1:4" ht="42.75" customHeight="1" thickBot="1">
      <c r="A3368" s="92">
        <v>1455</v>
      </c>
      <c r="B3368" s="93"/>
      <c r="C3368" s="96" t="s">
        <v>4</v>
      </c>
      <c r="D3368" s="97"/>
    </row>
    <row r="3369" spans="1:4" ht="42.75" customHeight="1" thickBot="1">
      <c r="A3369" s="98">
        <f>A3368-A3367</f>
        <v>20</v>
      </c>
      <c r="B3369" s="99"/>
      <c r="C3369" s="100" t="s">
        <v>5</v>
      </c>
      <c r="D3369" s="97"/>
    </row>
    <row r="3370" spans="1:4" ht="42.75" customHeight="1" thickBot="1">
      <c r="A3370" s="101">
        <v>62</v>
      </c>
      <c r="B3370" s="102"/>
      <c r="C3370" s="96" t="s">
        <v>6</v>
      </c>
      <c r="D3370" s="97"/>
    </row>
    <row r="3371" spans="1:4" ht="42.75" customHeight="1" thickBot="1">
      <c r="A3371" s="103"/>
      <c r="B3371" s="104"/>
      <c r="C3371" s="96" t="s">
        <v>21</v>
      </c>
      <c r="D3371" s="97"/>
    </row>
    <row r="3372" spans="1:4" ht="42.75" customHeight="1" thickBot="1">
      <c r="A3372" s="105">
        <v>1250</v>
      </c>
      <c r="B3372" s="106"/>
      <c r="C3372" s="96" t="s">
        <v>7</v>
      </c>
      <c r="D3372" s="97"/>
    </row>
    <row r="3373" spans="1:4" ht="42.75" customHeight="1" thickBot="1">
      <c r="A3373" s="107" t="s">
        <v>17</v>
      </c>
      <c r="B3373" s="108"/>
      <c r="C3373" s="108"/>
      <c r="D3373" s="109"/>
    </row>
    <row r="3374" spans="1:4" ht="42.75" customHeight="1" thickBot="1">
      <c r="A3374" s="110" t="s">
        <v>20</v>
      </c>
      <c r="B3374" s="111"/>
      <c r="C3374" s="111"/>
      <c r="D3374" s="112"/>
    </row>
    <row r="3375" spans="1:4" ht="42.75" customHeight="1" thickBot="1">
      <c r="A3375" s="113" t="s">
        <v>18</v>
      </c>
      <c r="B3375" s="114"/>
      <c r="C3375" s="114"/>
      <c r="D3375" s="115"/>
    </row>
    <row r="3376" spans="1:4" ht="42.75" customHeight="1" thickBot="1">
      <c r="A3376" s="126" t="s">
        <v>19</v>
      </c>
      <c r="B3376" s="127"/>
      <c r="C3376" s="127"/>
      <c r="D3376" s="128"/>
    </row>
    <row r="3377" spans="1:4" ht="42.75" customHeight="1" thickBot="1">
      <c r="A3377" s="123" t="s">
        <v>11</v>
      </c>
      <c r="B3377" s="124"/>
      <c r="C3377" s="125" t="s">
        <v>603</v>
      </c>
      <c r="D3377" s="124"/>
    </row>
    <row r="3378" spans="1:4" ht="42.75" customHeight="1" thickBot="1">
      <c r="A3378" s="1" t="s">
        <v>686</v>
      </c>
      <c r="B3378" s="26" t="s">
        <v>1</v>
      </c>
      <c r="C3378" s="90" t="s">
        <v>123</v>
      </c>
      <c r="D3378" s="91"/>
    </row>
    <row r="3379" spans="1:4" ht="42.75" customHeight="1" thickBot="1">
      <c r="A3379" s="26"/>
      <c r="B3379" s="26" t="s">
        <v>0</v>
      </c>
      <c r="C3379" s="5" t="s">
        <v>687</v>
      </c>
      <c r="D3379" s="4" t="s">
        <v>2</v>
      </c>
    </row>
    <row r="3380" spans="1:4" ht="42.75" customHeight="1" thickBot="1">
      <c r="A3380" s="92">
        <v>1965</v>
      </c>
      <c r="B3380" s="93"/>
      <c r="C3380" s="94" t="s">
        <v>3</v>
      </c>
      <c r="D3380" s="95"/>
    </row>
    <row r="3381" spans="1:4" ht="42.75" customHeight="1" thickBot="1">
      <c r="A3381" s="92">
        <v>1965</v>
      </c>
      <c r="B3381" s="93"/>
      <c r="C3381" s="96" t="s">
        <v>4</v>
      </c>
      <c r="D3381" s="97"/>
    </row>
    <row r="3382" spans="1:4" ht="42.75" customHeight="1" thickBot="1">
      <c r="A3382" s="98">
        <f>A3381-A3380</f>
        <v>0</v>
      </c>
      <c r="B3382" s="99"/>
      <c r="C3382" s="100" t="s">
        <v>5</v>
      </c>
      <c r="D3382" s="97"/>
    </row>
    <row r="3383" spans="1:4" ht="42.75" customHeight="1" thickBot="1">
      <c r="A3383" s="101">
        <v>62</v>
      </c>
      <c r="B3383" s="102"/>
      <c r="C3383" s="96" t="s">
        <v>6</v>
      </c>
      <c r="D3383" s="97"/>
    </row>
    <row r="3384" spans="1:4" ht="42.75" customHeight="1" thickBot="1">
      <c r="A3384" s="103"/>
      <c r="B3384" s="104"/>
      <c r="C3384" s="96" t="s">
        <v>21</v>
      </c>
      <c r="D3384" s="97"/>
    </row>
    <row r="3385" spans="1:4" ht="42.75" customHeight="1" thickBot="1">
      <c r="A3385" s="105">
        <f>A3383*A3382</f>
        <v>0</v>
      </c>
      <c r="B3385" s="106"/>
      <c r="C3385" s="96" t="s">
        <v>7</v>
      </c>
      <c r="D3385" s="97"/>
    </row>
    <row r="3386" spans="1:4" ht="42.75" customHeight="1" thickBot="1">
      <c r="A3386" s="107" t="s">
        <v>17</v>
      </c>
      <c r="B3386" s="108"/>
      <c r="C3386" s="108"/>
      <c r="D3386" s="109"/>
    </row>
    <row r="3387" spans="1:4" ht="42.75" customHeight="1" thickBot="1">
      <c r="A3387" s="116" t="s">
        <v>20</v>
      </c>
      <c r="B3387" s="117"/>
      <c r="C3387" s="117"/>
      <c r="D3387" s="118"/>
    </row>
    <row r="3388" spans="1:4" ht="42.75" customHeight="1" thickBot="1">
      <c r="A3388" s="113" t="s">
        <v>18</v>
      </c>
      <c r="B3388" s="114"/>
      <c r="C3388" s="114"/>
      <c r="D3388" s="115"/>
    </row>
    <row r="3389" spans="1:4" ht="42.75" customHeight="1" thickBot="1">
      <c r="A3389" s="119"/>
      <c r="B3389" s="119"/>
      <c r="C3389" s="119"/>
      <c r="D3389" s="119"/>
    </row>
    <row r="3390" spans="1:4" ht="42.75" customHeight="1" thickBot="1">
      <c r="A3390" s="126" t="s">
        <v>19</v>
      </c>
      <c r="B3390" s="127"/>
      <c r="C3390" s="127"/>
      <c r="D3390" s="128"/>
    </row>
    <row r="3391" spans="1:4" ht="42.75" customHeight="1" thickBot="1">
      <c r="A3391" s="123" t="s">
        <v>11</v>
      </c>
      <c r="B3391" s="124"/>
      <c r="C3391" s="125" t="s">
        <v>603</v>
      </c>
      <c r="D3391" s="124"/>
    </row>
    <row r="3392" spans="1:4" ht="42.75" customHeight="1" thickBot="1">
      <c r="A3392" s="1" t="s">
        <v>686</v>
      </c>
      <c r="B3392" s="26" t="s">
        <v>1</v>
      </c>
      <c r="C3392" s="90" t="s">
        <v>123</v>
      </c>
      <c r="D3392" s="91"/>
    </row>
    <row r="3393" spans="1:4" ht="42.75" customHeight="1" thickBot="1">
      <c r="A3393" s="26"/>
      <c r="B3393" s="26" t="s">
        <v>0</v>
      </c>
      <c r="C3393" s="5" t="s">
        <v>687</v>
      </c>
      <c r="D3393" s="4" t="s">
        <v>2</v>
      </c>
    </row>
    <row r="3394" spans="1:4" ht="42.75" customHeight="1" thickBot="1">
      <c r="A3394" s="92">
        <v>1942</v>
      </c>
      <c r="B3394" s="93"/>
      <c r="C3394" s="94" t="s">
        <v>3</v>
      </c>
      <c r="D3394" s="95"/>
    </row>
    <row r="3395" spans="1:4" ht="42.75" customHeight="1" thickBot="1">
      <c r="A3395" s="92">
        <v>1965</v>
      </c>
      <c r="B3395" s="93"/>
      <c r="C3395" s="96" t="s">
        <v>4</v>
      </c>
      <c r="D3395" s="97"/>
    </row>
    <row r="3396" spans="1:4" ht="42.75" customHeight="1" thickBot="1">
      <c r="A3396" s="98">
        <f>A3395-A3394</f>
        <v>23</v>
      </c>
      <c r="B3396" s="99"/>
      <c r="C3396" s="100" t="s">
        <v>5</v>
      </c>
      <c r="D3396" s="97"/>
    </row>
    <row r="3397" spans="1:4" ht="42.75" customHeight="1" thickBot="1">
      <c r="A3397" s="101">
        <v>62</v>
      </c>
      <c r="B3397" s="102"/>
      <c r="C3397" s="96" t="s">
        <v>6</v>
      </c>
      <c r="D3397" s="97"/>
    </row>
    <row r="3398" spans="1:4" ht="42.75" customHeight="1" thickBot="1">
      <c r="A3398" s="103"/>
      <c r="B3398" s="104"/>
      <c r="C3398" s="96" t="s">
        <v>21</v>
      </c>
      <c r="D3398" s="97"/>
    </row>
    <row r="3399" spans="1:4" ht="42.75" customHeight="1" thickBot="1">
      <c r="A3399" s="105">
        <v>1400</v>
      </c>
      <c r="B3399" s="106"/>
      <c r="C3399" s="96" t="s">
        <v>7</v>
      </c>
      <c r="D3399" s="97"/>
    </row>
    <row r="3400" spans="1:4" ht="42.75" customHeight="1" thickBot="1">
      <c r="A3400" s="107" t="s">
        <v>17</v>
      </c>
      <c r="B3400" s="108"/>
      <c r="C3400" s="108"/>
      <c r="D3400" s="109"/>
    </row>
    <row r="3401" spans="1:4" ht="42.75" customHeight="1" thickBot="1">
      <c r="A3401" s="110" t="s">
        <v>20</v>
      </c>
      <c r="B3401" s="111"/>
      <c r="C3401" s="111"/>
      <c r="D3401" s="112"/>
    </row>
    <row r="3402" spans="1:4" ht="42.75" customHeight="1" thickBot="1">
      <c r="A3402" s="113" t="s">
        <v>18</v>
      </c>
      <c r="B3402" s="114"/>
      <c r="C3402" s="114"/>
      <c r="D3402" s="115"/>
    </row>
    <row r="3403" spans="1:4" ht="42.75" customHeight="1" thickBot="1">
      <c r="A3403" s="126" t="s">
        <v>19</v>
      </c>
      <c r="B3403" s="127"/>
      <c r="C3403" s="127"/>
      <c r="D3403" s="128"/>
    </row>
    <row r="3404" spans="1:4" ht="42.75" customHeight="1" thickBot="1">
      <c r="A3404" s="123" t="s">
        <v>11</v>
      </c>
      <c r="B3404" s="124"/>
      <c r="C3404" s="125" t="s">
        <v>603</v>
      </c>
      <c r="D3404" s="124"/>
    </row>
    <row r="3405" spans="1:4" ht="42.75" customHeight="1" thickBot="1">
      <c r="A3405" s="1" t="s">
        <v>686</v>
      </c>
      <c r="B3405" s="26" t="s">
        <v>1</v>
      </c>
      <c r="C3405" s="90" t="s">
        <v>124</v>
      </c>
      <c r="D3405" s="91"/>
    </row>
    <row r="3406" spans="1:4" ht="42.75" customHeight="1" thickBot="1">
      <c r="A3406" s="26"/>
      <c r="B3406" s="26" t="s">
        <v>0</v>
      </c>
      <c r="C3406" s="5" t="s">
        <v>687</v>
      </c>
      <c r="D3406" s="4" t="s">
        <v>2</v>
      </c>
    </row>
    <row r="3407" spans="1:4" ht="42.75" customHeight="1" thickBot="1">
      <c r="A3407" s="92">
        <v>1480</v>
      </c>
      <c r="B3407" s="93"/>
      <c r="C3407" s="94" t="s">
        <v>3</v>
      </c>
      <c r="D3407" s="95"/>
    </row>
    <row r="3408" spans="1:4" ht="42.75" customHeight="1" thickBot="1">
      <c r="A3408" s="92">
        <v>1480</v>
      </c>
      <c r="B3408" s="93"/>
      <c r="C3408" s="96" t="s">
        <v>4</v>
      </c>
      <c r="D3408" s="97"/>
    </row>
    <row r="3409" spans="1:4" ht="42.75" customHeight="1" thickBot="1">
      <c r="A3409" s="98">
        <f>A3408-A3407</f>
        <v>0</v>
      </c>
      <c r="B3409" s="99"/>
      <c r="C3409" s="100" t="s">
        <v>5</v>
      </c>
      <c r="D3409" s="97"/>
    </row>
    <row r="3410" spans="1:4" ht="42.75" customHeight="1" thickBot="1">
      <c r="A3410" s="101">
        <v>62</v>
      </c>
      <c r="B3410" s="102"/>
      <c r="C3410" s="96" t="s">
        <v>6</v>
      </c>
      <c r="D3410" s="97"/>
    </row>
    <row r="3411" spans="1:4" ht="42.75" customHeight="1" thickBot="1">
      <c r="A3411" s="103"/>
      <c r="B3411" s="104"/>
      <c r="C3411" s="96" t="s">
        <v>21</v>
      </c>
      <c r="D3411" s="97"/>
    </row>
    <row r="3412" spans="1:4" ht="42.75" customHeight="1" thickBot="1">
      <c r="A3412" s="105">
        <f>A3410*A3409</f>
        <v>0</v>
      </c>
      <c r="B3412" s="106"/>
      <c r="C3412" s="96" t="s">
        <v>7</v>
      </c>
      <c r="D3412" s="97"/>
    </row>
    <row r="3413" spans="1:4" ht="42.75" customHeight="1" thickBot="1">
      <c r="A3413" s="107" t="s">
        <v>17</v>
      </c>
      <c r="B3413" s="108"/>
      <c r="C3413" s="108"/>
      <c r="D3413" s="109"/>
    </row>
    <row r="3414" spans="1:4" ht="42.75" customHeight="1" thickBot="1">
      <c r="A3414" s="116" t="s">
        <v>20</v>
      </c>
      <c r="B3414" s="117"/>
      <c r="C3414" s="117"/>
      <c r="D3414" s="118"/>
    </row>
    <row r="3415" spans="1:4" ht="42.75" customHeight="1" thickBot="1">
      <c r="A3415" s="113" t="s">
        <v>18</v>
      </c>
      <c r="B3415" s="114"/>
      <c r="C3415" s="114"/>
      <c r="D3415" s="115"/>
    </row>
    <row r="3416" spans="1:4" ht="42.75" customHeight="1" thickBot="1">
      <c r="A3416" s="119"/>
      <c r="B3416" s="119"/>
      <c r="C3416" s="119"/>
      <c r="D3416" s="119"/>
    </row>
    <row r="3417" spans="1:4" ht="42.75" customHeight="1" thickBot="1">
      <c r="A3417" s="126" t="s">
        <v>19</v>
      </c>
      <c r="B3417" s="127"/>
      <c r="C3417" s="127"/>
      <c r="D3417" s="128"/>
    </row>
    <row r="3418" spans="1:4" ht="42.75" customHeight="1" thickBot="1">
      <c r="A3418" s="123" t="s">
        <v>11</v>
      </c>
      <c r="B3418" s="124"/>
      <c r="C3418" s="125" t="s">
        <v>603</v>
      </c>
      <c r="D3418" s="124"/>
    </row>
    <row r="3419" spans="1:4" ht="42.75" customHeight="1" thickBot="1">
      <c r="A3419" s="1" t="s">
        <v>686</v>
      </c>
      <c r="B3419" s="26" t="s">
        <v>1</v>
      </c>
      <c r="C3419" s="90" t="s">
        <v>124</v>
      </c>
      <c r="D3419" s="91"/>
    </row>
    <row r="3420" spans="1:4" ht="42.75" customHeight="1" thickBot="1">
      <c r="A3420" s="26"/>
      <c r="B3420" s="26" t="s">
        <v>0</v>
      </c>
      <c r="C3420" s="5" t="s">
        <v>687</v>
      </c>
      <c r="D3420" s="4" t="s">
        <v>2</v>
      </c>
    </row>
    <row r="3421" spans="1:4" ht="42.75" customHeight="1" thickBot="1">
      <c r="A3421" s="92">
        <v>1475</v>
      </c>
      <c r="B3421" s="93"/>
      <c r="C3421" s="94" t="s">
        <v>3</v>
      </c>
      <c r="D3421" s="95"/>
    </row>
    <row r="3422" spans="1:4" ht="42.75" customHeight="1" thickBot="1">
      <c r="A3422" s="92">
        <v>1480</v>
      </c>
      <c r="B3422" s="93"/>
      <c r="C3422" s="96" t="s">
        <v>4</v>
      </c>
      <c r="D3422" s="97"/>
    </row>
    <row r="3423" spans="1:4" ht="42.75" customHeight="1" thickBot="1">
      <c r="A3423" s="98">
        <f>A3422-A3421</f>
        <v>5</v>
      </c>
      <c r="B3423" s="99"/>
      <c r="C3423" s="100" t="s">
        <v>5</v>
      </c>
      <c r="D3423" s="97"/>
    </row>
    <row r="3424" spans="1:4" ht="42.75" customHeight="1" thickBot="1">
      <c r="A3424" s="101">
        <v>62</v>
      </c>
      <c r="B3424" s="102"/>
      <c r="C3424" s="96" t="s">
        <v>6</v>
      </c>
      <c r="D3424" s="97"/>
    </row>
    <row r="3425" spans="1:4" ht="42.75" customHeight="1" thickBot="1">
      <c r="A3425" s="103"/>
      <c r="B3425" s="104"/>
      <c r="C3425" s="96" t="s">
        <v>21</v>
      </c>
      <c r="D3425" s="97"/>
    </row>
    <row r="3426" spans="1:4" ht="42.75" customHeight="1" thickBot="1">
      <c r="A3426" s="105">
        <f>A3424*A3423</f>
        <v>310</v>
      </c>
      <c r="B3426" s="106"/>
      <c r="C3426" s="96" t="s">
        <v>7</v>
      </c>
      <c r="D3426" s="97"/>
    </row>
    <row r="3427" spans="1:4" ht="42.75" customHeight="1" thickBot="1">
      <c r="A3427" s="107" t="s">
        <v>17</v>
      </c>
      <c r="B3427" s="108"/>
      <c r="C3427" s="108"/>
      <c r="D3427" s="109"/>
    </row>
    <row r="3428" spans="1:4" ht="42.75" customHeight="1" thickBot="1">
      <c r="A3428" s="110" t="s">
        <v>20</v>
      </c>
      <c r="B3428" s="111"/>
      <c r="C3428" s="111"/>
      <c r="D3428" s="112"/>
    </row>
    <row r="3429" spans="1:4" ht="42.75" customHeight="1" thickBot="1">
      <c r="A3429" s="113" t="s">
        <v>18</v>
      </c>
      <c r="B3429" s="114"/>
      <c r="C3429" s="114"/>
      <c r="D3429" s="115"/>
    </row>
    <row r="3430" spans="1:4" ht="42.75" customHeight="1" thickBot="1">
      <c r="A3430" s="126" t="s">
        <v>19</v>
      </c>
      <c r="B3430" s="127"/>
      <c r="C3430" s="127"/>
      <c r="D3430" s="128"/>
    </row>
    <row r="3431" spans="1:4" ht="42.75" customHeight="1" thickBot="1">
      <c r="A3431" s="123" t="s">
        <v>11</v>
      </c>
      <c r="B3431" s="124"/>
      <c r="C3431" s="125" t="s">
        <v>603</v>
      </c>
      <c r="D3431" s="124"/>
    </row>
    <row r="3432" spans="1:4" ht="42.75" customHeight="1" thickBot="1">
      <c r="A3432" s="1" t="s">
        <v>686</v>
      </c>
      <c r="B3432" s="26" t="s">
        <v>1</v>
      </c>
      <c r="C3432" s="90" t="s">
        <v>125</v>
      </c>
      <c r="D3432" s="91"/>
    </row>
    <row r="3433" spans="1:4" ht="42.75" customHeight="1" thickBot="1">
      <c r="A3433" s="26"/>
      <c r="B3433" s="26" t="s">
        <v>0</v>
      </c>
      <c r="C3433" s="5" t="s">
        <v>687</v>
      </c>
      <c r="D3433" s="4" t="s">
        <v>2</v>
      </c>
    </row>
    <row r="3434" spans="1:4" ht="42.75" customHeight="1" thickBot="1">
      <c r="A3434" s="92">
        <v>1245</v>
      </c>
      <c r="B3434" s="93"/>
      <c r="C3434" s="94" t="s">
        <v>3</v>
      </c>
      <c r="D3434" s="95"/>
    </row>
    <row r="3435" spans="1:4" ht="42.75" customHeight="1" thickBot="1">
      <c r="A3435" s="92">
        <v>1245</v>
      </c>
      <c r="B3435" s="93"/>
      <c r="C3435" s="96" t="s">
        <v>4</v>
      </c>
      <c r="D3435" s="97"/>
    </row>
    <row r="3436" spans="1:4" ht="42.75" customHeight="1" thickBot="1">
      <c r="A3436" s="98">
        <f>A3435-A3434</f>
        <v>0</v>
      </c>
      <c r="B3436" s="99"/>
      <c r="C3436" s="100" t="s">
        <v>5</v>
      </c>
      <c r="D3436" s="97"/>
    </row>
    <row r="3437" spans="1:4" ht="42.75" customHeight="1" thickBot="1">
      <c r="A3437" s="101">
        <v>62</v>
      </c>
      <c r="B3437" s="102"/>
      <c r="C3437" s="96" t="s">
        <v>6</v>
      </c>
      <c r="D3437" s="97"/>
    </row>
    <row r="3438" spans="1:4" ht="42.75" customHeight="1" thickBot="1">
      <c r="A3438" s="103"/>
      <c r="B3438" s="104"/>
      <c r="C3438" s="96" t="s">
        <v>21</v>
      </c>
      <c r="D3438" s="97"/>
    </row>
    <row r="3439" spans="1:4" ht="42.75" customHeight="1" thickBot="1">
      <c r="A3439" s="105">
        <f>A3437*A3436</f>
        <v>0</v>
      </c>
      <c r="B3439" s="106"/>
      <c r="C3439" s="96" t="s">
        <v>7</v>
      </c>
      <c r="D3439" s="97"/>
    </row>
    <row r="3440" spans="1:4" ht="42.75" customHeight="1" thickBot="1">
      <c r="A3440" s="107" t="s">
        <v>17</v>
      </c>
      <c r="B3440" s="108"/>
      <c r="C3440" s="108"/>
      <c r="D3440" s="109"/>
    </row>
    <row r="3441" spans="1:4" ht="42.75" customHeight="1" thickBot="1">
      <c r="A3441" s="116" t="s">
        <v>20</v>
      </c>
      <c r="B3441" s="117"/>
      <c r="C3441" s="117"/>
      <c r="D3441" s="118"/>
    </row>
    <row r="3442" spans="1:4" ht="42.75" customHeight="1" thickBot="1">
      <c r="A3442" s="113" t="s">
        <v>18</v>
      </c>
      <c r="B3442" s="114"/>
      <c r="C3442" s="114"/>
      <c r="D3442" s="115"/>
    </row>
    <row r="3443" spans="1:4" ht="42.75" customHeight="1" thickBot="1">
      <c r="A3443" s="119"/>
      <c r="B3443" s="119"/>
      <c r="C3443" s="119"/>
      <c r="D3443" s="119"/>
    </row>
    <row r="3444" spans="1:4" ht="42.75" customHeight="1" thickBot="1">
      <c r="A3444" s="126" t="s">
        <v>19</v>
      </c>
      <c r="B3444" s="127"/>
      <c r="C3444" s="127"/>
      <c r="D3444" s="128"/>
    </row>
    <row r="3445" spans="1:4" ht="42.75" customHeight="1" thickBot="1">
      <c r="A3445" s="123" t="s">
        <v>11</v>
      </c>
      <c r="B3445" s="124"/>
      <c r="C3445" s="125" t="s">
        <v>603</v>
      </c>
      <c r="D3445" s="124"/>
    </row>
    <row r="3446" spans="1:4" ht="42.75" customHeight="1" thickBot="1">
      <c r="A3446" s="1" t="s">
        <v>686</v>
      </c>
      <c r="B3446" s="26" t="s">
        <v>1</v>
      </c>
      <c r="C3446" s="90" t="s">
        <v>125</v>
      </c>
      <c r="D3446" s="91"/>
    </row>
    <row r="3447" spans="1:4" ht="42.75" customHeight="1" thickBot="1">
      <c r="A3447" s="26"/>
      <c r="B3447" s="26" t="s">
        <v>0</v>
      </c>
      <c r="C3447" s="5" t="s">
        <v>687</v>
      </c>
      <c r="D3447" s="4" t="s">
        <v>2</v>
      </c>
    </row>
    <row r="3448" spans="1:4" ht="42.75" customHeight="1" thickBot="1">
      <c r="A3448" s="92">
        <v>1235</v>
      </c>
      <c r="B3448" s="93"/>
      <c r="C3448" s="94" t="s">
        <v>3</v>
      </c>
      <c r="D3448" s="95"/>
    </row>
    <row r="3449" spans="1:4" ht="42.75" customHeight="1" thickBot="1">
      <c r="A3449" s="92">
        <v>1245</v>
      </c>
      <c r="B3449" s="93"/>
      <c r="C3449" s="96" t="s">
        <v>4</v>
      </c>
      <c r="D3449" s="97"/>
    </row>
    <row r="3450" spans="1:4" ht="42.75" customHeight="1" thickBot="1">
      <c r="A3450" s="98">
        <f>A3449-A3448</f>
        <v>10</v>
      </c>
      <c r="B3450" s="99"/>
      <c r="C3450" s="100" t="s">
        <v>5</v>
      </c>
      <c r="D3450" s="97"/>
    </row>
    <row r="3451" spans="1:4" ht="42.75" customHeight="1" thickBot="1">
      <c r="A3451" s="101">
        <v>62</v>
      </c>
      <c r="B3451" s="102"/>
      <c r="C3451" s="96" t="s">
        <v>6</v>
      </c>
      <c r="D3451" s="97"/>
    </row>
    <row r="3452" spans="1:4" ht="42.75" customHeight="1" thickBot="1">
      <c r="A3452" s="103"/>
      <c r="B3452" s="104"/>
      <c r="C3452" s="96" t="s">
        <v>21</v>
      </c>
      <c r="D3452" s="97"/>
    </row>
    <row r="3453" spans="1:4" ht="42.75" customHeight="1" thickBot="1">
      <c r="A3453" s="105">
        <v>600</v>
      </c>
      <c r="B3453" s="106"/>
      <c r="C3453" s="96" t="s">
        <v>7</v>
      </c>
      <c r="D3453" s="97"/>
    </row>
    <row r="3454" spans="1:4" ht="42.75" customHeight="1" thickBot="1">
      <c r="A3454" s="107" t="s">
        <v>17</v>
      </c>
      <c r="B3454" s="108"/>
      <c r="C3454" s="108"/>
      <c r="D3454" s="109"/>
    </row>
    <row r="3455" spans="1:4" ht="42.75" customHeight="1" thickBot="1">
      <c r="A3455" s="110" t="s">
        <v>20</v>
      </c>
      <c r="B3455" s="111"/>
      <c r="C3455" s="111"/>
      <c r="D3455" s="112"/>
    </row>
    <row r="3456" spans="1:4" ht="42.75" customHeight="1" thickBot="1">
      <c r="A3456" s="113" t="s">
        <v>18</v>
      </c>
      <c r="B3456" s="114"/>
      <c r="C3456" s="114"/>
      <c r="D3456" s="115"/>
    </row>
    <row r="3457" spans="1:4" ht="42.75" customHeight="1" thickBot="1">
      <c r="A3457" s="126" t="s">
        <v>19</v>
      </c>
      <c r="B3457" s="127"/>
      <c r="C3457" s="127"/>
      <c r="D3457" s="128"/>
    </row>
    <row r="3458" spans="1:4" ht="42.75" customHeight="1" thickBot="1">
      <c r="A3458" s="123" t="s">
        <v>11</v>
      </c>
      <c r="B3458" s="124"/>
      <c r="C3458" s="125" t="s">
        <v>603</v>
      </c>
      <c r="D3458" s="124"/>
    </row>
    <row r="3459" spans="1:4" ht="42.75" customHeight="1" thickBot="1">
      <c r="A3459" s="1" t="s">
        <v>686</v>
      </c>
      <c r="B3459" s="26" t="s">
        <v>1</v>
      </c>
      <c r="C3459" s="90" t="s">
        <v>126</v>
      </c>
      <c r="D3459" s="91"/>
    </row>
    <row r="3460" spans="1:4" ht="42.75" customHeight="1" thickBot="1">
      <c r="A3460" s="26"/>
      <c r="B3460" s="26" t="s">
        <v>0</v>
      </c>
      <c r="C3460" s="5" t="s">
        <v>687</v>
      </c>
      <c r="D3460" s="4" t="s">
        <v>2</v>
      </c>
    </row>
    <row r="3461" spans="1:4" ht="42.75" customHeight="1" thickBot="1">
      <c r="A3461" s="92">
        <v>1320</v>
      </c>
      <c r="B3461" s="93"/>
      <c r="C3461" s="94" t="s">
        <v>3</v>
      </c>
      <c r="D3461" s="95"/>
    </row>
    <row r="3462" spans="1:4" ht="42.75" customHeight="1" thickBot="1">
      <c r="A3462" s="92">
        <v>1320</v>
      </c>
      <c r="B3462" s="93"/>
      <c r="C3462" s="96" t="s">
        <v>4</v>
      </c>
      <c r="D3462" s="97"/>
    </row>
    <row r="3463" spans="1:4" ht="42.75" customHeight="1" thickBot="1">
      <c r="A3463" s="98">
        <f>A3462-A3461</f>
        <v>0</v>
      </c>
      <c r="B3463" s="99"/>
      <c r="C3463" s="100" t="s">
        <v>5</v>
      </c>
      <c r="D3463" s="97"/>
    </row>
    <row r="3464" spans="1:4" ht="42.75" customHeight="1" thickBot="1">
      <c r="A3464" s="101">
        <v>62</v>
      </c>
      <c r="B3464" s="102"/>
      <c r="C3464" s="96" t="s">
        <v>6</v>
      </c>
      <c r="D3464" s="97"/>
    </row>
    <row r="3465" spans="1:4" ht="42.75" customHeight="1" thickBot="1">
      <c r="A3465" s="103"/>
      <c r="B3465" s="104"/>
      <c r="C3465" s="96" t="s">
        <v>21</v>
      </c>
      <c r="D3465" s="97"/>
    </row>
    <row r="3466" spans="1:4" ht="42.75" customHeight="1" thickBot="1">
      <c r="A3466" s="105">
        <f>A3464*A3463</f>
        <v>0</v>
      </c>
      <c r="B3466" s="106"/>
      <c r="C3466" s="96" t="s">
        <v>7</v>
      </c>
      <c r="D3466" s="97"/>
    </row>
    <row r="3467" spans="1:4" ht="42.75" customHeight="1" thickBot="1">
      <c r="A3467" s="107" t="s">
        <v>17</v>
      </c>
      <c r="B3467" s="108"/>
      <c r="C3467" s="108"/>
      <c r="D3467" s="109"/>
    </row>
    <row r="3468" spans="1:4" ht="42.75" customHeight="1" thickBot="1">
      <c r="A3468" s="116" t="s">
        <v>20</v>
      </c>
      <c r="B3468" s="117"/>
      <c r="C3468" s="117"/>
      <c r="D3468" s="118"/>
    </row>
    <row r="3469" spans="1:4" ht="42.75" customHeight="1" thickBot="1">
      <c r="A3469" s="113" t="s">
        <v>18</v>
      </c>
      <c r="B3469" s="114"/>
      <c r="C3469" s="114"/>
      <c r="D3469" s="115"/>
    </row>
    <row r="3470" spans="1:4" ht="42.75" customHeight="1" thickBot="1">
      <c r="A3470" s="119"/>
      <c r="B3470" s="119"/>
      <c r="C3470" s="119"/>
      <c r="D3470" s="119"/>
    </row>
    <row r="3471" spans="1:4" ht="42.75" customHeight="1" thickBot="1">
      <c r="A3471" s="126" t="s">
        <v>19</v>
      </c>
      <c r="B3471" s="127"/>
      <c r="C3471" s="127"/>
      <c r="D3471" s="128"/>
    </row>
    <row r="3472" spans="1:4" ht="42.75" customHeight="1" thickBot="1">
      <c r="A3472" s="123" t="s">
        <v>11</v>
      </c>
      <c r="B3472" s="124"/>
      <c r="C3472" s="125" t="s">
        <v>603</v>
      </c>
      <c r="D3472" s="124"/>
    </row>
    <row r="3473" spans="1:4" ht="42.75" customHeight="1" thickBot="1">
      <c r="A3473" s="1" t="s">
        <v>686</v>
      </c>
      <c r="B3473" s="26" t="s">
        <v>1</v>
      </c>
      <c r="C3473" s="90" t="s">
        <v>126</v>
      </c>
      <c r="D3473" s="91"/>
    </row>
    <row r="3474" spans="1:4" ht="42.75" customHeight="1" thickBot="1">
      <c r="A3474" s="26"/>
      <c r="B3474" s="26" t="s">
        <v>0</v>
      </c>
      <c r="C3474" s="5" t="s">
        <v>687</v>
      </c>
      <c r="D3474" s="4" t="s">
        <v>2</v>
      </c>
    </row>
    <row r="3475" spans="1:4" ht="42.75" customHeight="1" thickBot="1">
      <c r="A3475" s="92">
        <v>1305</v>
      </c>
      <c r="B3475" s="93"/>
      <c r="C3475" s="94" t="s">
        <v>3</v>
      </c>
      <c r="D3475" s="95"/>
    </row>
    <row r="3476" spans="1:4" ht="42.75" customHeight="1" thickBot="1">
      <c r="A3476" s="92">
        <v>1320</v>
      </c>
      <c r="B3476" s="93"/>
      <c r="C3476" s="96" t="s">
        <v>4</v>
      </c>
      <c r="D3476" s="97"/>
    </row>
    <row r="3477" spans="1:4" ht="42.75" customHeight="1" thickBot="1">
      <c r="A3477" s="98">
        <f>A3476-A3475</f>
        <v>15</v>
      </c>
      <c r="B3477" s="99"/>
      <c r="C3477" s="100" t="s">
        <v>5</v>
      </c>
      <c r="D3477" s="97"/>
    </row>
    <row r="3478" spans="1:4" ht="42.75" customHeight="1" thickBot="1">
      <c r="A3478" s="101">
        <v>62</v>
      </c>
      <c r="B3478" s="102"/>
      <c r="C3478" s="96" t="s">
        <v>6</v>
      </c>
      <c r="D3478" s="97"/>
    </row>
    <row r="3479" spans="1:4" ht="42.75" customHeight="1" thickBot="1">
      <c r="A3479" s="103"/>
      <c r="B3479" s="104"/>
      <c r="C3479" s="96" t="s">
        <v>21</v>
      </c>
      <c r="D3479" s="97"/>
    </row>
    <row r="3480" spans="1:4" ht="42.75" customHeight="1" thickBot="1">
      <c r="A3480" s="105">
        <v>950</v>
      </c>
      <c r="B3480" s="106"/>
      <c r="C3480" s="96" t="s">
        <v>7</v>
      </c>
      <c r="D3480" s="97"/>
    </row>
    <row r="3481" spans="1:4" ht="42.75" customHeight="1" thickBot="1">
      <c r="A3481" s="107" t="s">
        <v>17</v>
      </c>
      <c r="B3481" s="108"/>
      <c r="C3481" s="108"/>
      <c r="D3481" s="109"/>
    </row>
    <row r="3482" spans="1:4" ht="42.75" customHeight="1" thickBot="1">
      <c r="A3482" s="110" t="s">
        <v>20</v>
      </c>
      <c r="B3482" s="111"/>
      <c r="C3482" s="111"/>
      <c r="D3482" s="112"/>
    </row>
    <row r="3483" spans="1:4" ht="42.75" customHeight="1" thickBot="1">
      <c r="A3483" s="113" t="s">
        <v>18</v>
      </c>
      <c r="B3483" s="114"/>
      <c r="C3483" s="114"/>
      <c r="D3483" s="115"/>
    </row>
    <row r="3484" spans="1:4" ht="42.75" customHeight="1" thickBot="1">
      <c r="A3484" s="126" t="s">
        <v>19</v>
      </c>
      <c r="B3484" s="127"/>
      <c r="C3484" s="127"/>
      <c r="D3484" s="128"/>
    </row>
    <row r="3485" spans="1:4" ht="42.75" customHeight="1" thickBot="1">
      <c r="A3485" s="123" t="s">
        <v>11</v>
      </c>
      <c r="B3485" s="124"/>
      <c r="C3485" s="125" t="s">
        <v>603</v>
      </c>
      <c r="D3485" s="124"/>
    </row>
    <row r="3486" spans="1:4" ht="42.75" customHeight="1" thickBot="1">
      <c r="A3486" s="1" t="s">
        <v>686</v>
      </c>
      <c r="B3486" s="26" t="s">
        <v>1</v>
      </c>
      <c r="C3486" s="90" t="s">
        <v>579</v>
      </c>
      <c r="D3486" s="91"/>
    </row>
    <row r="3487" spans="1:4" ht="42.75" customHeight="1" thickBot="1">
      <c r="A3487" s="26"/>
      <c r="B3487" s="26" t="s">
        <v>0</v>
      </c>
      <c r="C3487" s="5" t="s">
        <v>687</v>
      </c>
      <c r="D3487" s="4" t="s">
        <v>2</v>
      </c>
    </row>
    <row r="3488" spans="1:4" ht="42.75" customHeight="1" thickBot="1">
      <c r="A3488" s="92">
        <v>12570</v>
      </c>
      <c r="B3488" s="93"/>
      <c r="C3488" s="94" t="s">
        <v>3</v>
      </c>
      <c r="D3488" s="95"/>
    </row>
    <row r="3489" spans="1:4" ht="42.75" customHeight="1" thickBot="1">
      <c r="A3489" s="92">
        <v>12570</v>
      </c>
      <c r="B3489" s="93"/>
      <c r="C3489" s="96" t="s">
        <v>4</v>
      </c>
      <c r="D3489" s="97"/>
    </row>
    <row r="3490" spans="1:4" ht="42.75" customHeight="1" thickBot="1">
      <c r="A3490" s="98">
        <f>A3489-A3488</f>
        <v>0</v>
      </c>
      <c r="B3490" s="99"/>
      <c r="C3490" s="100" t="s">
        <v>5</v>
      </c>
      <c r="D3490" s="97"/>
    </row>
    <row r="3491" spans="1:4" ht="42.75" customHeight="1" thickBot="1">
      <c r="A3491" s="101">
        <v>50</v>
      </c>
      <c r="B3491" s="102"/>
      <c r="C3491" s="96" t="s">
        <v>6</v>
      </c>
      <c r="D3491" s="97"/>
    </row>
    <row r="3492" spans="1:4" ht="42.75" customHeight="1" thickBot="1">
      <c r="A3492" s="103"/>
      <c r="B3492" s="104"/>
      <c r="C3492" s="96" t="s">
        <v>21</v>
      </c>
      <c r="D3492" s="97"/>
    </row>
    <row r="3493" spans="1:4" ht="42.75" customHeight="1" thickBot="1">
      <c r="A3493" s="105">
        <f>A3491*A3490</f>
        <v>0</v>
      </c>
      <c r="B3493" s="106"/>
      <c r="C3493" s="96" t="s">
        <v>7</v>
      </c>
      <c r="D3493" s="97"/>
    </row>
    <row r="3494" spans="1:4" ht="42.75" customHeight="1" thickBot="1">
      <c r="A3494" s="107" t="s">
        <v>17</v>
      </c>
      <c r="B3494" s="108"/>
      <c r="C3494" s="108"/>
      <c r="D3494" s="109"/>
    </row>
    <row r="3495" spans="1:4" ht="42.75" customHeight="1" thickBot="1">
      <c r="A3495" s="116" t="s">
        <v>20</v>
      </c>
      <c r="B3495" s="117"/>
      <c r="C3495" s="117"/>
      <c r="D3495" s="118"/>
    </row>
    <row r="3496" spans="1:4" ht="42.75" customHeight="1" thickBot="1">
      <c r="A3496" s="113" t="s">
        <v>18</v>
      </c>
      <c r="B3496" s="114"/>
      <c r="C3496" s="114"/>
      <c r="D3496" s="115"/>
    </row>
    <row r="3497" spans="1:4" ht="42.75" customHeight="1" thickBot="1">
      <c r="A3497" s="119"/>
      <c r="B3497" s="119"/>
      <c r="C3497" s="119"/>
      <c r="D3497" s="119"/>
    </row>
    <row r="3498" spans="1:4" ht="42.75" customHeight="1" thickBot="1">
      <c r="A3498" s="126" t="s">
        <v>19</v>
      </c>
      <c r="B3498" s="127"/>
      <c r="C3498" s="127"/>
      <c r="D3498" s="128"/>
    </row>
    <row r="3499" spans="1:4" ht="42.75" customHeight="1" thickBot="1">
      <c r="A3499" s="123" t="s">
        <v>11</v>
      </c>
      <c r="B3499" s="124"/>
      <c r="C3499" s="125" t="s">
        <v>603</v>
      </c>
      <c r="D3499" s="124"/>
    </row>
    <row r="3500" spans="1:4" ht="42.75" customHeight="1" thickBot="1">
      <c r="A3500" s="1" t="s">
        <v>686</v>
      </c>
      <c r="B3500" s="26" t="s">
        <v>1</v>
      </c>
      <c r="C3500" s="90" t="s">
        <v>579</v>
      </c>
      <c r="D3500" s="91"/>
    </row>
    <row r="3501" spans="1:4" ht="42.75" customHeight="1" thickBot="1">
      <c r="A3501" s="26"/>
      <c r="B3501" s="26" t="s">
        <v>0</v>
      </c>
      <c r="C3501" s="5" t="s">
        <v>687</v>
      </c>
      <c r="D3501" s="4" t="s">
        <v>2</v>
      </c>
    </row>
    <row r="3502" spans="1:4" ht="42.75" customHeight="1" thickBot="1">
      <c r="A3502" s="92">
        <v>12500</v>
      </c>
      <c r="B3502" s="93"/>
      <c r="C3502" s="94" t="s">
        <v>3</v>
      </c>
      <c r="D3502" s="95"/>
    </row>
    <row r="3503" spans="1:4" ht="42.75" customHeight="1" thickBot="1">
      <c r="A3503" s="92">
        <v>12570</v>
      </c>
      <c r="B3503" s="93"/>
      <c r="C3503" s="96" t="s">
        <v>4</v>
      </c>
      <c r="D3503" s="97"/>
    </row>
    <row r="3504" spans="1:4" ht="42.75" customHeight="1" thickBot="1">
      <c r="A3504" s="98">
        <f>A3503-A3502</f>
        <v>70</v>
      </c>
      <c r="B3504" s="99"/>
      <c r="C3504" s="100" t="s">
        <v>5</v>
      </c>
      <c r="D3504" s="97"/>
    </row>
    <row r="3505" spans="1:4" ht="42.75" customHeight="1" thickBot="1">
      <c r="A3505" s="101">
        <v>62</v>
      </c>
      <c r="B3505" s="102"/>
      <c r="C3505" s="96" t="s">
        <v>6</v>
      </c>
      <c r="D3505" s="97"/>
    </row>
    <row r="3506" spans="1:4" ht="42.75" customHeight="1" thickBot="1">
      <c r="A3506" s="103"/>
      <c r="B3506" s="104"/>
      <c r="C3506" s="96" t="s">
        <v>21</v>
      </c>
      <c r="D3506" s="97"/>
    </row>
    <row r="3507" spans="1:4" ht="42.75" customHeight="1" thickBot="1">
      <c r="A3507" s="105">
        <f>A3505*A3504</f>
        <v>4340</v>
      </c>
      <c r="B3507" s="106"/>
      <c r="C3507" s="96" t="s">
        <v>7</v>
      </c>
      <c r="D3507" s="97"/>
    </row>
    <row r="3508" spans="1:4" ht="42.75" customHeight="1" thickBot="1">
      <c r="A3508" s="107" t="s">
        <v>17</v>
      </c>
      <c r="B3508" s="108"/>
      <c r="C3508" s="108"/>
      <c r="D3508" s="109"/>
    </row>
    <row r="3509" spans="1:4" ht="42.75" customHeight="1" thickBot="1">
      <c r="A3509" s="110" t="s">
        <v>20</v>
      </c>
      <c r="B3509" s="111"/>
      <c r="C3509" s="111"/>
      <c r="D3509" s="112"/>
    </row>
    <row r="3510" spans="1:4" ht="42.75" customHeight="1" thickBot="1">
      <c r="A3510" s="113" t="s">
        <v>18</v>
      </c>
      <c r="B3510" s="114"/>
      <c r="C3510" s="114"/>
      <c r="D3510" s="115"/>
    </row>
    <row r="3511" spans="1:4" ht="42.75" customHeight="1" thickBot="1">
      <c r="A3511" s="126" t="s">
        <v>19</v>
      </c>
      <c r="B3511" s="127"/>
      <c r="C3511" s="127"/>
      <c r="D3511" s="128"/>
    </row>
    <row r="3512" spans="1:4" ht="42.75" customHeight="1" thickBot="1">
      <c r="A3512" s="123" t="s">
        <v>11</v>
      </c>
      <c r="B3512" s="124"/>
      <c r="C3512" s="125" t="s">
        <v>603</v>
      </c>
      <c r="D3512" s="124"/>
    </row>
    <row r="3513" spans="1:4" ht="42.75" customHeight="1" thickBot="1">
      <c r="A3513" s="1" t="s">
        <v>686</v>
      </c>
      <c r="B3513" s="26" t="s">
        <v>1</v>
      </c>
      <c r="C3513" s="90" t="s">
        <v>127</v>
      </c>
      <c r="D3513" s="91"/>
    </row>
    <row r="3514" spans="1:4" ht="42.75" customHeight="1" thickBot="1">
      <c r="A3514" s="26"/>
      <c r="B3514" s="26" t="s">
        <v>0</v>
      </c>
      <c r="C3514" s="5" t="s">
        <v>687</v>
      </c>
      <c r="D3514" s="4" t="s">
        <v>2</v>
      </c>
    </row>
    <row r="3515" spans="1:4" ht="42.75" customHeight="1" thickBot="1">
      <c r="A3515" s="92">
        <v>2870</v>
      </c>
      <c r="B3515" s="93"/>
      <c r="C3515" s="94" t="s">
        <v>3</v>
      </c>
      <c r="D3515" s="95"/>
    </row>
    <row r="3516" spans="1:4" ht="42.75" customHeight="1" thickBot="1">
      <c r="A3516" s="92">
        <v>2870</v>
      </c>
      <c r="B3516" s="93"/>
      <c r="C3516" s="96" t="s">
        <v>4</v>
      </c>
      <c r="D3516" s="97"/>
    </row>
    <row r="3517" spans="1:4" ht="42.75" customHeight="1" thickBot="1">
      <c r="A3517" s="98">
        <f>A3516-A3515</f>
        <v>0</v>
      </c>
      <c r="B3517" s="99"/>
      <c r="C3517" s="100" t="s">
        <v>5</v>
      </c>
      <c r="D3517" s="97"/>
    </row>
    <row r="3518" spans="1:4" ht="42.75" customHeight="1" thickBot="1">
      <c r="A3518" s="101">
        <v>62</v>
      </c>
      <c r="B3518" s="102"/>
      <c r="C3518" s="96" t="s">
        <v>6</v>
      </c>
      <c r="D3518" s="97"/>
    </row>
    <row r="3519" spans="1:4" ht="42.75" customHeight="1" thickBot="1">
      <c r="A3519" s="103"/>
      <c r="B3519" s="104"/>
      <c r="C3519" s="96" t="s">
        <v>21</v>
      </c>
      <c r="D3519" s="97"/>
    </row>
    <row r="3520" spans="1:4" ht="42.75" customHeight="1" thickBot="1">
      <c r="A3520" s="105">
        <f>A3518*A3517</f>
        <v>0</v>
      </c>
      <c r="B3520" s="106"/>
      <c r="C3520" s="96" t="s">
        <v>7</v>
      </c>
      <c r="D3520" s="97"/>
    </row>
    <row r="3521" spans="1:4" ht="42.75" customHeight="1" thickBot="1">
      <c r="A3521" s="107" t="s">
        <v>17</v>
      </c>
      <c r="B3521" s="108"/>
      <c r="C3521" s="108"/>
      <c r="D3521" s="109"/>
    </row>
    <row r="3522" spans="1:4" ht="42.75" customHeight="1" thickBot="1">
      <c r="A3522" s="116" t="s">
        <v>20</v>
      </c>
      <c r="B3522" s="117"/>
      <c r="C3522" s="117"/>
      <c r="D3522" s="118"/>
    </row>
    <row r="3523" spans="1:4" ht="42.75" customHeight="1" thickBot="1">
      <c r="A3523" s="113" t="s">
        <v>18</v>
      </c>
      <c r="B3523" s="114"/>
      <c r="C3523" s="114"/>
      <c r="D3523" s="115"/>
    </row>
    <row r="3524" spans="1:4" ht="42.75" customHeight="1" thickBot="1">
      <c r="A3524" s="119"/>
      <c r="B3524" s="119"/>
      <c r="C3524" s="119"/>
      <c r="D3524" s="119"/>
    </row>
    <row r="3525" spans="1:4" ht="42.75" customHeight="1" thickBot="1">
      <c r="A3525" s="126" t="s">
        <v>19</v>
      </c>
      <c r="B3525" s="127"/>
      <c r="C3525" s="127"/>
      <c r="D3525" s="128"/>
    </row>
    <row r="3526" spans="1:4" ht="42.75" customHeight="1" thickBot="1">
      <c r="A3526" s="123" t="s">
        <v>11</v>
      </c>
      <c r="B3526" s="124"/>
      <c r="C3526" s="125" t="s">
        <v>603</v>
      </c>
      <c r="D3526" s="124"/>
    </row>
    <row r="3527" spans="1:4" ht="42.75" customHeight="1" thickBot="1">
      <c r="A3527" s="1" t="s">
        <v>686</v>
      </c>
      <c r="B3527" s="26" t="s">
        <v>1</v>
      </c>
      <c r="C3527" s="90" t="s">
        <v>127</v>
      </c>
      <c r="D3527" s="91"/>
    </row>
    <row r="3528" spans="1:4" ht="42.75" customHeight="1" thickBot="1">
      <c r="A3528" s="26"/>
      <c r="B3528" s="26" t="s">
        <v>0</v>
      </c>
      <c r="C3528" s="5" t="s">
        <v>687</v>
      </c>
      <c r="D3528" s="4" t="s">
        <v>2</v>
      </c>
    </row>
    <row r="3529" spans="1:4" ht="42.75" customHeight="1" thickBot="1">
      <c r="A3529" s="92">
        <v>2847</v>
      </c>
      <c r="B3529" s="93"/>
      <c r="C3529" s="94" t="s">
        <v>3</v>
      </c>
      <c r="D3529" s="95"/>
    </row>
    <row r="3530" spans="1:4" ht="42.75" customHeight="1" thickBot="1">
      <c r="A3530" s="92">
        <v>2870</v>
      </c>
      <c r="B3530" s="93"/>
      <c r="C3530" s="96" t="s">
        <v>4</v>
      </c>
      <c r="D3530" s="97"/>
    </row>
    <row r="3531" spans="1:4" ht="42.75" customHeight="1" thickBot="1">
      <c r="A3531" s="98">
        <f>A3530-A3529</f>
        <v>23</v>
      </c>
      <c r="B3531" s="99"/>
      <c r="C3531" s="100" t="s">
        <v>5</v>
      </c>
      <c r="D3531" s="97"/>
    </row>
    <row r="3532" spans="1:4" ht="42.75" customHeight="1" thickBot="1">
      <c r="A3532" s="101">
        <v>62</v>
      </c>
      <c r="B3532" s="102"/>
      <c r="C3532" s="96" t="s">
        <v>6</v>
      </c>
      <c r="D3532" s="97"/>
    </row>
    <row r="3533" spans="1:4" ht="42.75" customHeight="1" thickBot="1">
      <c r="A3533" s="103"/>
      <c r="B3533" s="104"/>
      <c r="C3533" s="96" t="s">
        <v>21</v>
      </c>
      <c r="D3533" s="97"/>
    </row>
    <row r="3534" spans="1:4" ht="42.75" customHeight="1" thickBot="1">
      <c r="A3534" s="105">
        <v>1400</v>
      </c>
      <c r="B3534" s="106"/>
      <c r="C3534" s="96" t="s">
        <v>7</v>
      </c>
      <c r="D3534" s="97"/>
    </row>
    <row r="3535" spans="1:4" ht="42.75" customHeight="1" thickBot="1">
      <c r="A3535" s="107" t="s">
        <v>17</v>
      </c>
      <c r="B3535" s="108"/>
      <c r="C3535" s="108"/>
      <c r="D3535" s="109"/>
    </row>
    <row r="3536" spans="1:4" ht="42.75" customHeight="1" thickBot="1">
      <c r="A3536" s="110" t="s">
        <v>20</v>
      </c>
      <c r="B3536" s="111"/>
      <c r="C3536" s="111"/>
      <c r="D3536" s="112"/>
    </row>
    <row r="3537" spans="1:4" ht="42.75" customHeight="1" thickBot="1">
      <c r="A3537" s="113" t="s">
        <v>18</v>
      </c>
      <c r="B3537" s="114"/>
      <c r="C3537" s="114"/>
      <c r="D3537" s="115"/>
    </row>
    <row r="3538" spans="1:4" ht="42.75" customHeight="1" thickBot="1">
      <c r="A3538" s="126" t="s">
        <v>19</v>
      </c>
      <c r="B3538" s="127"/>
      <c r="C3538" s="127"/>
      <c r="D3538" s="128"/>
    </row>
    <row r="3539" spans="1:4" ht="42.75" customHeight="1" thickBot="1">
      <c r="A3539" s="123" t="s">
        <v>11</v>
      </c>
      <c r="B3539" s="124"/>
      <c r="C3539" s="125" t="s">
        <v>603</v>
      </c>
      <c r="D3539" s="124"/>
    </row>
    <row r="3540" spans="1:4" ht="42.75" customHeight="1" thickBot="1">
      <c r="A3540" s="1" t="s">
        <v>686</v>
      </c>
      <c r="B3540" s="26" t="s">
        <v>1</v>
      </c>
      <c r="C3540" s="90" t="s">
        <v>128</v>
      </c>
      <c r="D3540" s="91"/>
    </row>
    <row r="3541" spans="1:4" ht="42.75" customHeight="1" thickBot="1">
      <c r="A3541" s="26"/>
      <c r="B3541" s="26" t="s">
        <v>0</v>
      </c>
      <c r="C3541" s="5" t="s">
        <v>687</v>
      </c>
      <c r="D3541" s="4" t="s">
        <v>2</v>
      </c>
    </row>
    <row r="3542" spans="1:4" ht="42.75" customHeight="1" thickBot="1">
      <c r="A3542" s="92">
        <v>1698</v>
      </c>
      <c r="B3542" s="93"/>
      <c r="C3542" s="94" t="s">
        <v>3</v>
      </c>
      <c r="D3542" s="95"/>
    </row>
    <row r="3543" spans="1:4" ht="42.75" customHeight="1" thickBot="1">
      <c r="A3543" s="92">
        <v>1698</v>
      </c>
      <c r="B3543" s="93"/>
      <c r="C3543" s="96" t="s">
        <v>4</v>
      </c>
      <c r="D3543" s="97"/>
    </row>
    <row r="3544" spans="1:4" ht="42.75" customHeight="1" thickBot="1">
      <c r="A3544" s="98">
        <f>A3543-A3542</f>
        <v>0</v>
      </c>
      <c r="B3544" s="99"/>
      <c r="C3544" s="100" t="s">
        <v>5</v>
      </c>
      <c r="D3544" s="97"/>
    </row>
    <row r="3545" spans="1:4" ht="42.75" customHeight="1" thickBot="1">
      <c r="A3545" s="101">
        <v>62</v>
      </c>
      <c r="B3545" s="102"/>
      <c r="C3545" s="96" t="s">
        <v>6</v>
      </c>
      <c r="D3545" s="97"/>
    </row>
    <row r="3546" spans="1:4" ht="42.75" customHeight="1" thickBot="1">
      <c r="A3546" s="103"/>
      <c r="B3546" s="104"/>
      <c r="C3546" s="96" t="s">
        <v>21</v>
      </c>
      <c r="D3546" s="97"/>
    </row>
    <row r="3547" spans="1:4" ht="42.75" customHeight="1" thickBot="1">
      <c r="A3547" s="105">
        <f>A3545*A3544</f>
        <v>0</v>
      </c>
      <c r="B3547" s="106"/>
      <c r="C3547" s="96" t="s">
        <v>7</v>
      </c>
      <c r="D3547" s="97"/>
    </row>
    <row r="3548" spans="1:4" ht="42.75" customHeight="1" thickBot="1">
      <c r="A3548" s="107" t="s">
        <v>17</v>
      </c>
      <c r="B3548" s="108"/>
      <c r="C3548" s="108"/>
      <c r="D3548" s="109"/>
    </row>
    <row r="3549" spans="1:4" ht="42.75" customHeight="1" thickBot="1">
      <c r="A3549" s="116" t="s">
        <v>20</v>
      </c>
      <c r="B3549" s="117"/>
      <c r="C3549" s="117"/>
      <c r="D3549" s="118"/>
    </row>
    <row r="3550" spans="1:4" ht="42.75" customHeight="1" thickBot="1">
      <c r="A3550" s="113" t="s">
        <v>18</v>
      </c>
      <c r="B3550" s="114"/>
      <c r="C3550" s="114"/>
      <c r="D3550" s="115"/>
    </row>
    <row r="3551" spans="1:4" ht="42.75" customHeight="1" thickBot="1">
      <c r="A3551" s="119"/>
      <c r="B3551" s="119"/>
      <c r="C3551" s="119"/>
      <c r="D3551" s="119"/>
    </row>
    <row r="3552" spans="1:4" ht="42.75" customHeight="1" thickBot="1">
      <c r="A3552" s="126" t="s">
        <v>19</v>
      </c>
      <c r="B3552" s="127"/>
      <c r="C3552" s="127"/>
      <c r="D3552" s="128"/>
    </row>
    <row r="3553" spans="1:4" ht="42.75" customHeight="1" thickBot="1">
      <c r="A3553" s="123" t="s">
        <v>11</v>
      </c>
      <c r="B3553" s="124"/>
      <c r="C3553" s="125" t="s">
        <v>603</v>
      </c>
      <c r="D3553" s="124"/>
    </row>
    <row r="3554" spans="1:4" ht="42.75" customHeight="1" thickBot="1">
      <c r="A3554" s="1" t="s">
        <v>686</v>
      </c>
      <c r="B3554" s="26" t="s">
        <v>1</v>
      </c>
      <c r="C3554" s="90" t="s">
        <v>128</v>
      </c>
      <c r="D3554" s="91"/>
    </row>
    <row r="3555" spans="1:4" ht="42.75" customHeight="1" thickBot="1">
      <c r="A3555" s="26"/>
      <c r="B3555" s="26" t="s">
        <v>0</v>
      </c>
      <c r="C3555" s="5" t="s">
        <v>687</v>
      </c>
      <c r="D3555" s="4" t="s">
        <v>2</v>
      </c>
    </row>
    <row r="3556" spans="1:4" ht="42.75" customHeight="1" thickBot="1">
      <c r="A3556" s="92">
        <v>1690</v>
      </c>
      <c r="B3556" s="93"/>
      <c r="C3556" s="94" t="s">
        <v>3</v>
      </c>
      <c r="D3556" s="95"/>
    </row>
    <row r="3557" spans="1:4" ht="42.75" customHeight="1" thickBot="1">
      <c r="A3557" s="92">
        <v>1698</v>
      </c>
      <c r="B3557" s="93"/>
      <c r="C3557" s="96" t="s">
        <v>4</v>
      </c>
      <c r="D3557" s="97"/>
    </row>
    <row r="3558" spans="1:4" ht="42.75" customHeight="1" thickBot="1">
      <c r="A3558" s="98">
        <v>10</v>
      </c>
      <c r="B3558" s="99"/>
      <c r="C3558" s="100" t="s">
        <v>5</v>
      </c>
      <c r="D3558" s="97"/>
    </row>
    <row r="3559" spans="1:4" ht="42.75" customHeight="1" thickBot="1">
      <c r="A3559" s="101">
        <v>62</v>
      </c>
      <c r="B3559" s="102"/>
      <c r="C3559" s="96" t="s">
        <v>6</v>
      </c>
      <c r="D3559" s="97"/>
    </row>
    <row r="3560" spans="1:4" ht="42.75" customHeight="1" thickBot="1">
      <c r="A3560" s="103"/>
      <c r="B3560" s="104"/>
      <c r="C3560" s="96" t="s">
        <v>21</v>
      </c>
      <c r="D3560" s="97"/>
    </row>
    <row r="3561" spans="1:4" ht="42.75" customHeight="1" thickBot="1">
      <c r="A3561" s="105">
        <v>600</v>
      </c>
      <c r="B3561" s="106"/>
      <c r="C3561" s="96" t="s">
        <v>7</v>
      </c>
      <c r="D3561" s="97"/>
    </row>
    <row r="3562" spans="1:4" ht="42.75" customHeight="1" thickBot="1">
      <c r="A3562" s="107" t="s">
        <v>17</v>
      </c>
      <c r="B3562" s="108"/>
      <c r="C3562" s="108"/>
      <c r="D3562" s="109"/>
    </row>
    <row r="3563" spans="1:4" ht="42.75" customHeight="1" thickBot="1">
      <c r="A3563" s="110" t="s">
        <v>20</v>
      </c>
      <c r="B3563" s="111"/>
      <c r="C3563" s="111"/>
      <c r="D3563" s="112"/>
    </row>
    <row r="3564" spans="1:4" ht="42.75" customHeight="1" thickBot="1">
      <c r="A3564" s="113" t="s">
        <v>18</v>
      </c>
      <c r="B3564" s="114"/>
      <c r="C3564" s="114"/>
      <c r="D3564" s="115"/>
    </row>
    <row r="3565" spans="1:4" ht="42.75" customHeight="1" thickBot="1">
      <c r="A3565" s="126" t="s">
        <v>19</v>
      </c>
      <c r="B3565" s="127"/>
      <c r="C3565" s="127"/>
      <c r="D3565" s="128"/>
    </row>
    <row r="3566" spans="1:4" ht="42.75" customHeight="1" thickBot="1">
      <c r="A3566" s="123" t="s">
        <v>11</v>
      </c>
      <c r="B3566" s="124"/>
      <c r="C3566" s="125" t="s">
        <v>603</v>
      </c>
      <c r="D3566" s="124"/>
    </row>
    <row r="3567" spans="1:4" ht="42.75" customHeight="1" thickBot="1">
      <c r="A3567" s="1" t="s">
        <v>686</v>
      </c>
      <c r="B3567" s="26" t="s">
        <v>1</v>
      </c>
      <c r="C3567" s="90" t="s">
        <v>79</v>
      </c>
      <c r="D3567" s="91"/>
    </row>
    <row r="3568" spans="1:4" ht="42.75" customHeight="1" thickBot="1">
      <c r="A3568" s="26"/>
      <c r="B3568" s="26" t="s">
        <v>0</v>
      </c>
      <c r="C3568" s="5" t="s">
        <v>687</v>
      </c>
      <c r="D3568" s="4" t="s">
        <v>2</v>
      </c>
    </row>
    <row r="3569" spans="1:4" ht="42.75" customHeight="1" thickBot="1">
      <c r="A3569" s="92">
        <v>91</v>
      </c>
      <c r="B3569" s="93"/>
      <c r="C3569" s="94" t="s">
        <v>3</v>
      </c>
      <c r="D3569" s="95"/>
    </row>
    <row r="3570" spans="1:4" ht="42.75" customHeight="1" thickBot="1">
      <c r="A3570" s="92">
        <v>91</v>
      </c>
      <c r="B3570" s="93"/>
      <c r="C3570" s="96" t="s">
        <v>4</v>
      </c>
      <c r="D3570" s="97"/>
    </row>
    <row r="3571" spans="1:4" ht="42.75" customHeight="1" thickBot="1">
      <c r="A3571" s="98">
        <f>A3570-A3569</f>
        <v>0</v>
      </c>
      <c r="B3571" s="99"/>
      <c r="C3571" s="100" t="s">
        <v>5</v>
      </c>
      <c r="D3571" s="97"/>
    </row>
    <row r="3572" spans="1:4" ht="42.75" customHeight="1" thickBot="1">
      <c r="A3572" s="101">
        <v>62</v>
      </c>
      <c r="B3572" s="102"/>
      <c r="C3572" s="96" t="s">
        <v>6</v>
      </c>
      <c r="D3572" s="97"/>
    </row>
    <row r="3573" spans="1:4" ht="42.75" customHeight="1" thickBot="1">
      <c r="A3573" s="103"/>
      <c r="B3573" s="104"/>
      <c r="C3573" s="96" t="s">
        <v>21</v>
      </c>
      <c r="D3573" s="97"/>
    </row>
    <row r="3574" spans="1:4" ht="42.75" customHeight="1" thickBot="1">
      <c r="A3574" s="105">
        <f>A3572*A3571</f>
        <v>0</v>
      </c>
      <c r="B3574" s="106"/>
      <c r="C3574" s="96" t="s">
        <v>7</v>
      </c>
      <c r="D3574" s="97"/>
    </row>
    <row r="3575" spans="1:4" ht="42.75" customHeight="1" thickBot="1">
      <c r="A3575" s="107" t="s">
        <v>17</v>
      </c>
      <c r="B3575" s="108"/>
      <c r="C3575" s="108"/>
      <c r="D3575" s="109"/>
    </row>
    <row r="3576" spans="1:4" ht="42.75" customHeight="1" thickBot="1">
      <c r="A3576" s="116" t="s">
        <v>20</v>
      </c>
      <c r="B3576" s="117"/>
      <c r="C3576" s="117"/>
      <c r="D3576" s="118"/>
    </row>
    <row r="3577" spans="1:4" ht="42.75" customHeight="1" thickBot="1">
      <c r="A3577" s="113" t="s">
        <v>18</v>
      </c>
      <c r="B3577" s="114"/>
      <c r="C3577" s="114"/>
      <c r="D3577" s="115"/>
    </row>
    <row r="3578" spans="1:4" ht="42.75" customHeight="1" thickBot="1">
      <c r="A3578" s="119"/>
      <c r="B3578" s="119"/>
      <c r="C3578" s="119"/>
      <c r="D3578" s="119"/>
    </row>
    <row r="3579" spans="1:4" ht="42.75" customHeight="1" thickBot="1">
      <c r="A3579" s="126" t="s">
        <v>19</v>
      </c>
      <c r="B3579" s="127"/>
      <c r="C3579" s="127"/>
      <c r="D3579" s="128"/>
    </row>
    <row r="3580" spans="1:4" ht="42.75" customHeight="1" thickBot="1">
      <c r="A3580" s="123" t="s">
        <v>11</v>
      </c>
      <c r="B3580" s="124"/>
      <c r="C3580" s="125" t="s">
        <v>603</v>
      </c>
      <c r="D3580" s="124"/>
    </row>
    <row r="3581" spans="1:4" ht="42.75" customHeight="1" thickBot="1">
      <c r="A3581" s="1" t="s">
        <v>686</v>
      </c>
      <c r="B3581" s="26" t="s">
        <v>1</v>
      </c>
      <c r="C3581" s="90" t="s">
        <v>79</v>
      </c>
      <c r="D3581" s="91"/>
    </row>
    <row r="3582" spans="1:4" ht="42.75" customHeight="1" thickBot="1">
      <c r="A3582" s="26"/>
      <c r="B3582" s="26" t="s">
        <v>0</v>
      </c>
      <c r="C3582" s="5" t="s">
        <v>687</v>
      </c>
      <c r="D3582" s="4" t="s">
        <v>2</v>
      </c>
    </row>
    <row r="3583" spans="1:4" ht="42.75" customHeight="1" thickBot="1">
      <c r="A3583" s="92">
        <v>90</v>
      </c>
      <c r="B3583" s="93"/>
      <c r="C3583" s="94" t="s">
        <v>3</v>
      </c>
      <c r="D3583" s="95"/>
    </row>
    <row r="3584" spans="1:4" ht="42.75" customHeight="1" thickBot="1">
      <c r="A3584" s="92">
        <v>91</v>
      </c>
      <c r="B3584" s="93"/>
      <c r="C3584" s="96" t="s">
        <v>4</v>
      </c>
      <c r="D3584" s="97"/>
    </row>
    <row r="3585" spans="1:4" ht="42.75" customHeight="1" thickBot="1">
      <c r="A3585" s="98">
        <v>10</v>
      </c>
      <c r="B3585" s="99"/>
      <c r="C3585" s="100" t="s">
        <v>5</v>
      </c>
      <c r="D3585" s="97"/>
    </row>
    <row r="3586" spans="1:4" ht="42.75" customHeight="1" thickBot="1">
      <c r="A3586" s="101">
        <v>62</v>
      </c>
      <c r="B3586" s="102"/>
      <c r="C3586" s="96" t="s">
        <v>6</v>
      </c>
      <c r="D3586" s="97"/>
    </row>
    <row r="3587" spans="1:4" ht="42.75" customHeight="1" thickBot="1">
      <c r="A3587" s="103"/>
      <c r="B3587" s="104"/>
      <c r="C3587" s="96" t="s">
        <v>21</v>
      </c>
      <c r="D3587" s="97"/>
    </row>
    <row r="3588" spans="1:4" ht="42.75" customHeight="1" thickBot="1">
      <c r="A3588" s="105">
        <v>600</v>
      </c>
      <c r="B3588" s="106"/>
      <c r="C3588" s="96" t="s">
        <v>7</v>
      </c>
      <c r="D3588" s="97"/>
    </row>
    <row r="3589" spans="1:4" ht="42.75" customHeight="1" thickBot="1">
      <c r="A3589" s="107" t="s">
        <v>17</v>
      </c>
      <c r="B3589" s="108"/>
      <c r="C3589" s="108"/>
      <c r="D3589" s="109"/>
    </row>
    <row r="3590" spans="1:4" ht="42.75" customHeight="1" thickBot="1">
      <c r="A3590" s="110" t="s">
        <v>20</v>
      </c>
      <c r="B3590" s="111"/>
      <c r="C3590" s="111"/>
      <c r="D3590" s="112"/>
    </row>
    <row r="3591" spans="1:4" ht="42.75" customHeight="1" thickBot="1">
      <c r="A3591" s="113" t="s">
        <v>18</v>
      </c>
      <c r="B3591" s="114"/>
      <c r="C3591" s="114"/>
      <c r="D3591" s="115"/>
    </row>
    <row r="3592" spans="1:4" ht="42.75" customHeight="1" thickBot="1">
      <c r="A3592" s="126" t="s">
        <v>19</v>
      </c>
      <c r="B3592" s="127"/>
      <c r="C3592" s="127"/>
      <c r="D3592" s="128"/>
    </row>
    <row r="3593" spans="1:4" ht="42.75" customHeight="1" thickBot="1">
      <c r="A3593" s="123" t="s">
        <v>11</v>
      </c>
      <c r="B3593" s="124"/>
      <c r="C3593" s="125" t="s">
        <v>603</v>
      </c>
      <c r="D3593" s="124"/>
    </row>
    <row r="3594" spans="1:4" ht="42.75" customHeight="1" thickBot="1">
      <c r="A3594" s="1" t="s">
        <v>686</v>
      </c>
      <c r="B3594" s="26" t="s">
        <v>1</v>
      </c>
      <c r="C3594" s="90" t="s">
        <v>129</v>
      </c>
      <c r="D3594" s="91"/>
    </row>
    <row r="3595" spans="1:4" ht="42.75" customHeight="1" thickBot="1">
      <c r="A3595" s="26"/>
      <c r="B3595" s="26" t="s">
        <v>0</v>
      </c>
      <c r="C3595" s="5" t="s">
        <v>687</v>
      </c>
      <c r="D3595" s="4" t="s">
        <v>2</v>
      </c>
    </row>
    <row r="3596" spans="1:4" ht="42.75" customHeight="1" thickBot="1">
      <c r="A3596" s="92">
        <v>745</v>
      </c>
      <c r="B3596" s="93"/>
      <c r="C3596" s="94" t="s">
        <v>3</v>
      </c>
      <c r="D3596" s="95"/>
    </row>
    <row r="3597" spans="1:4" ht="42.75" customHeight="1" thickBot="1">
      <c r="A3597" s="92">
        <v>745</v>
      </c>
      <c r="B3597" s="93"/>
      <c r="C3597" s="96" t="s">
        <v>4</v>
      </c>
      <c r="D3597" s="97"/>
    </row>
    <row r="3598" spans="1:4" ht="42.75" customHeight="1" thickBot="1">
      <c r="A3598" s="98">
        <f>A3597-A3596</f>
        <v>0</v>
      </c>
      <c r="B3598" s="99"/>
      <c r="C3598" s="100" t="s">
        <v>5</v>
      </c>
      <c r="D3598" s="97"/>
    </row>
    <row r="3599" spans="1:4" ht="42.75" customHeight="1" thickBot="1">
      <c r="A3599" s="101">
        <v>62</v>
      </c>
      <c r="B3599" s="102"/>
      <c r="C3599" s="96" t="s">
        <v>6</v>
      </c>
      <c r="D3599" s="97"/>
    </row>
    <row r="3600" spans="1:4" ht="42.75" customHeight="1" thickBot="1">
      <c r="A3600" s="103"/>
      <c r="B3600" s="104"/>
      <c r="C3600" s="96" t="s">
        <v>21</v>
      </c>
      <c r="D3600" s="97"/>
    </row>
    <row r="3601" spans="1:4" ht="42.75" customHeight="1" thickBot="1">
      <c r="A3601" s="105">
        <f>A3599*A3598</f>
        <v>0</v>
      </c>
      <c r="B3601" s="106"/>
      <c r="C3601" s="96" t="s">
        <v>7</v>
      </c>
      <c r="D3601" s="97"/>
    </row>
    <row r="3602" spans="1:4" ht="42.75" customHeight="1" thickBot="1">
      <c r="A3602" s="107" t="s">
        <v>17</v>
      </c>
      <c r="B3602" s="108"/>
      <c r="C3602" s="108"/>
      <c r="D3602" s="109"/>
    </row>
    <row r="3603" spans="1:4" ht="42.75" customHeight="1" thickBot="1">
      <c r="A3603" s="116" t="s">
        <v>20</v>
      </c>
      <c r="B3603" s="117"/>
      <c r="C3603" s="117"/>
      <c r="D3603" s="118"/>
    </row>
    <row r="3604" spans="1:4" ht="42.75" customHeight="1" thickBot="1">
      <c r="A3604" s="113" t="s">
        <v>18</v>
      </c>
      <c r="B3604" s="114"/>
      <c r="C3604" s="114"/>
      <c r="D3604" s="115"/>
    </row>
    <row r="3605" spans="1:4" ht="42.75" customHeight="1" thickBot="1">
      <c r="A3605" s="119"/>
      <c r="B3605" s="119"/>
      <c r="C3605" s="119"/>
      <c r="D3605" s="119"/>
    </row>
    <row r="3606" spans="1:4" ht="42.75" customHeight="1" thickBot="1">
      <c r="A3606" s="126" t="s">
        <v>19</v>
      </c>
      <c r="B3606" s="127"/>
      <c r="C3606" s="127"/>
      <c r="D3606" s="128"/>
    </row>
    <row r="3607" spans="1:4" ht="42.75" customHeight="1" thickBot="1">
      <c r="A3607" s="123" t="s">
        <v>11</v>
      </c>
      <c r="B3607" s="124"/>
      <c r="C3607" s="125" t="s">
        <v>603</v>
      </c>
      <c r="D3607" s="124"/>
    </row>
    <row r="3608" spans="1:4" ht="42.75" customHeight="1" thickBot="1">
      <c r="A3608" s="1" t="s">
        <v>686</v>
      </c>
      <c r="B3608" s="26" t="s">
        <v>1</v>
      </c>
      <c r="C3608" s="90" t="s">
        <v>129</v>
      </c>
      <c r="D3608" s="91"/>
    </row>
    <row r="3609" spans="1:4" ht="42.75" customHeight="1" thickBot="1">
      <c r="A3609" s="26"/>
      <c r="B3609" s="26" t="s">
        <v>0</v>
      </c>
      <c r="C3609" s="5" t="s">
        <v>687</v>
      </c>
      <c r="D3609" s="4" t="s">
        <v>2</v>
      </c>
    </row>
    <row r="3610" spans="1:4" ht="42.75" customHeight="1" thickBot="1">
      <c r="A3610" s="92">
        <v>715</v>
      </c>
      <c r="B3610" s="93"/>
      <c r="C3610" s="94" t="s">
        <v>3</v>
      </c>
      <c r="D3610" s="95"/>
    </row>
    <row r="3611" spans="1:4" ht="42.75" customHeight="1" thickBot="1">
      <c r="A3611" s="92">
        <v>745</v>
      </c>
      <c r="B3611" s="93"/>
      <c r="C3611" s="96" t="s">
        <v>4</v>
      </c>
      <c r="D3611" s="97"/>
    </row>
    <row r="3612" spans="1:4" ht="42.75" customHeight="1" thickBot="1">
      <c r="A3612" s="98">
        <f>A3611-A3610</f>
        <v>30</v>
      </c>
      <c r="B3612" s="99"/>
      <c r="C3612" s="100" t="s">
        <v>5</v>
      </c>
      <c r="D3612" s="97"/>
    </row>
    <row r="3613" spans="1:4" ht="42.75" customHeight="1" thickBot="1">
      <c r="A3613" s="101">
        <v>62</v>
      </c>
      <c r="B3613" s="102"/>
      <c r="C3613" s="96" t="s">
        <v>6</v>
      </c>
      <c r="D3613" s="97"/>
    </row>
    <row r="3614" spans="1:4" ht="42.75" customHeight="1" thickBot="1">
      <c r="A3614" s="103"/>
      <c r="B3614" s="104"/>
      <c r="C3614" s="96" t="s">
        <v>21</v>
      </c>
      <c r="D3614" s="97"/>
    </row>
    <row r="3615" spans="1:4" ht="42.75" customHeight="1" thickBot="1">
      <c r="A3615" s="105">
        <v>1850</v>
      </c>
      <c r="B3615" s="106"/>
      <c r="C3615" s="96" t="s">
        <v>7</v>
      </c>
      <c r="D3615" s="97"/>
    </row>
    <row r="3616" spans="1:4" ht="42.75" customHeight="1" thickBot="1">
      <c r="A3616" s="107" t="s">
        <v>17</v>
      </c>
      <c r="B3616" s="108"/>
      <c r="C3616" s="108"/>
      <c r="D3616" s="109"/>
    </row>
    <row r="3617" spans="1:4" ht="42.75" customHeight="1" thickBot="1">
      <c r="A3617" s="110" t="s">
        <v>20</v>
      </c>
      <c r="B3617" s="111"/>
      <c r="C3617" s="111"/>
      <c r="D3617" s="112"/>
    </row>
    <row r="3618" spans="1:4" ht="42.75" customHeight="1" thickBot="1">
      <c r="A3618" s="113" t="s">
        <v>18</v>
      </c>
      <c r="B3618" s="114"/>
      <c r="C3618" s="114"/>
      <c r="D3618" s="115"/>
    </row>
    <row r="3619" spans="1:4" ht="42.75" customHeight="1" thickBot="1">
      <c r="A3619" s="126" t="s">
        <v>19</v>
      </c>
      <c r="B3619" s="127"/>
      <c r="C3619" s="127"/>
      <c r="D3619" s="128"/>
    </row>
    <row r="3620" spans="1:4" ht="42.75" customHeight="1" thickBot="1">
      <c r="A3620" s="123" t="s">
        <v>11</v>
      </c>
      <c r="B3620" s="124"/>
      <c r="C3620" s="125" t="s">
        <v>603</v>
      </c>
      <c r="D3620" s="124"/>
    </row>
    <row r="3621" spans="1:4" ht="42.75" customHeight="1" thickBot="1">
      <c r="A3621" s="1" t="s">
        <v>686</v>
      </c>
      <c r="B3621" s="26" t="s">
        <v>1</v>
      </c>
      <c r="C3621" s="90" t="s">
        <v>83</v>
      </c>
      <c r="D3621" s="91"/>
    </row>
    <row r="3622" spans="1:4" ht="42.75" customHeight="1" thickBot="1">
      <c r="A3622" s="26"/>
      <c r="B3622" s="26" t="s">
        <v>0</v>
      </c>
      <c r="C3622" s="5" t="s">
        <v>687</v>
      </c>
      <c r="D3622" s="4" t="s">
        <v>2</v>
      </c>
    </row>
    <row r="3623" spans="1:4" ht="42.75" customHeight="1" thickBot="1">
      <c r="A3623" s="92">
        <v>1133</v>
      </c>
      <c r="B3623" s="93"/>
      <c r="C3623" s="94" t="s">
        <v>3</v>
      </c>
      <c r="D3623" s="95"/>
    </row>
    <row r="3624" spans="1:4" ht="42.75" customHeight="1" thickBot="1">
      <c r="A3624" s="92">
        <v>1133</v>
      </c>
      <c r="B3624" s="93"/>
      <c r="C3624" s="96" t="s">
        <v>4</v>
      </c>
      <c r="D3624" s="97"/>
    </row>
    <row r="3625" spans="1:4" ht="42.75" customHeight="1" thickBot="1">
      <c r="A3625" s="98">
        <f>A3624-A3623</f>
        <v>0</v>
      </c>
      <c r="B3625" s="99"/>
      <c r="C3625" s="100" t="s">
        <v>5</v>
      </c>
      <c r="D3625" s="97"/>
    </row>
    <row r="3626" spans="1:4" ht="42.75" customHeight="1" thickBot="1">
      <c r="A3626" s="101">
        <v>55</v>
      </c>
      <c r="B3626" s="102"/>
      <c r="C3626" s="96" t="s">
        <v>6</v>
      </c>
      <c r="D3626" s="97"/>
    </row>
    <row r="3627" spans="1:4" ht="42.75" customHeight="1" thickBot="1">
      <c r="A3627" s="103"/>
      <c r="B3627" s="104"/>
      <c r="C3627" s="96" t="s">
        <v>21</v>
      </c>
      <c r="D3627" s="97"/>
    </row>
    <row r="3628" spans="1:4" ht="42.75" customHeight="1" thickBot="1">
      <c r="A3628" s="105">
        <f>A3626*A3625</f>
        <v>0</v>
      </c>
      <c r="B3628" s="106"/>
      <c r="C3628" s="96" t="s">
        <v>7</v>
      </c>
      <c r="D3628" s="97"/>
    </row>
    <row r="3629" spans="1:4" ht="42.75" customHeight="1" thickBot="1">
      <c r="A3629" s="107" t="s">
        <v>17</v>
      </c>
      <c r="B3629" s="108"/>
      <c r="C3629" s="108"/>
      <c r="D3629" s="109"/>
    </row>
    <row r="3630" spans="1:4" ht="42.75" customHeight="1" thickBot="1">
      <c r="A3630" s="116" t="s">
        <v>20</v>
      </c>
      <c r="B3630" s="117"/>
      <c r="C3630" s="117"/>
      <c r="D3630" s="118"/>
    </row>
    <row r="3631" spans="1:4" ht="42.75" customHeight="1" thickBot="1">
      <c r="A3631" s="113" t="s">
        <v>18</v>
      </c>
      <c r="B3631" s="114"/>
      <c r="C3631" s="114"/>
      <c r="D3631" s="115"/>
    </row>
    <row r="3632" spans="1:4" ht="42.75" customHeight="1" thickBot="1">
      <c r="A3632" s="119"/>
      <c r="B3632" s="119"/>
      <c r="C3632" s="119"/>
      <c r="D3632" s="119"/>
    </row>
    <row r="3633" spans="1:4" ht="42.75" customHeight="1" thickBot="1">
      <c r="A3633" s="126" t="s">
        <v>19</v>
      </c>
      <c r="B3633" s="127"/>
      <c r="C3633" s="127"/>
      <c r="D3633" s="128"/>
    </row>
    <row r="3634" spans="1:4" ht="42.75" customHeight="1" thickBot="1">
      <c r="A3634" s="123" t="s">
        <v>11</v>
      </c>
      <c r="B3634" s="124"/>
      <c r="C3634" s="125" t="s">
        <v>603</v>
      </c>
      <c r="D3634" s="124"/>
    </row>
    <row r="3635" spans="1:4" ht="42.75" customHeight="1" thickBot="1">
      <c r="A3635" s="1" t="s">
        <v>686</v>
      </c>
      <c r="B3635" s="26" t="s">
        <v>1</v>
      </c>
      <c r="C3635" s="90" t="s">
        <v>83</v>
      </c>
      <c r="D3635" s="91"/>
    </row>
    <row r="3636" spans="1:4" ht="42.75" customHeight="1" thickBot="1">
      <c r="A3636" s="26"/>
      <c r="B3636" s="26" t="s">
        <v>0</v>
      </c>
      <c r="C3636" s="5" t="s">
        <v>687</v>
      </c>
      <c r="D3636" s="4" t="s">
        <v>2</v>
      </c>
    </row>
    <row r="3637" spans="1:4" ht="42.75" customHeight="1" thickBot="1">
      <c r="A3637" s="92">
        <v>1110</v>
      </c>
      <c r="B3637" s="93"/>
      <c r="C3637" s="94" t="s">
        <v>3</v>
      </c>
      <c r="D3637" s="95"/>
    </row>
    <row r="3638" spans="1:4" ht="42.75" customHeight="1" thickBot="1">
      <c r="A3638" s="92">
        <v>1133</v>
      </c>
      <c r="B3638" s="93"/>
      <c r="C3638" s="96" t="s">
        <v>4</v>
      </c>
      <c r="D3638" s="97"/>
    </row>
    <row r="3639" spans="1:4" ht="42.75" customHeight="1" thickBot="1">
      <c r="A3639" s="98">
        <f>A3638-A3637</f>
        <v>23</v>
      </c>
      <c r="B3639" s="99"/>
      <c r="C3639" s="100" t="s">
        <v>5</v>
      </c>
      <c r="D3639" s="97"/>
    </row>
    <row r="3640" spans="1:4" ht="42.75" customHeight="1" thickBot="1">
      <c r="A3640" s="101">
        <v>62</v>
      </c>
      <c r="B3640" s="102"/>
      <c r="C3640" s="96" t="s">
        <v>6</v>
      </c>
      <c r="D3640" s="97"/>
    </row>
    <row r="3641" spans="1:4" ht="42.75" customHeight="1" thickBot="1">
      <c r="A3641" s="103"/>
      <c r="B3641" s="104"/>
      <c r="C3641" s="96" t="s">
        <v>21</v>
      </c>
      <c r="D3641" s="97"/>
    </row>
    <row r="3642" spans="1:4" ht="42.75" customHeight="1" thickBot="1">
      <c r="A3642" s="105">
        <f>A3640*A3639</f>
        <v>1426</v>
      </c>
      <c r="B3642" s="106"/>
      <c r="C3642" s="96" t="s">
        <v>7</v>
      </c>
      <c r="D3642" s="97"/>
    </row>
    <row r="3643" spans="1:4" ht="42.75" customHeight="1" thickBot="1">
      <c r="A3643" s="107" t="s">
        <v>17</v>
      </c>
      <c r="B3643" s="108"/>
      <c r="C3643" s="108"/>
      <c r="D3643" s="109"/>
    </row>
    <row r="3644" spans="1:4" ht="42.75" customHeight="1" thickBot="1">
      <c r="A3644" s="110" t="s">
        <v>20</v>
      </c>
      <c r="B3644" s="111"/>
      <c r="C3644" s="111"/>
      <c r="D3644" s="112"/>
    </row>
    <row r="3645" spans="1:4" ht="42.75" customHeight="1" thickBot="1">
      <c r="A3645" s="113" t="s">
        <v>18</v>
      </c>
      <c r="B3645" s="114"/>
      <c r="C3645" s="114"/>
      <c r="D3645" s="115"/>
    </row>
    <row r="3646" spans="1:4" ht="42.75" customHeight="1" thickBot="1">
      <c r="A3646" s="126" t="s">
        <v>19</v>
      </c>
      <c r="B3646" s="127"/>
      <c r="C3646" s="127"/>
      <c r="D3646" s="128"/>
    </row>
    <row r="3647" spans="1:4" ht="42.75" customHeight="1" thickBot="1">
      <c r="A3647" s="123" t="s">
        <v>11</v>
      </c>
      <c r="B3647" s="124"/>
      <c r="C3647" s="125" t="s">
        <v>603</v>
      </c>
      <c r="D3647" s="124"/>
    </row>
    <row r="3648" spans="1:4" ht="42.75" customHeight="1" thickBot="1">
      <c r="A3648" s="1" t="s">
        <v>686</v>
      </c>
      <c r="B3648" s="26" t="s">
        <v>1</v>
      </c>
      <c r="C3648" s="90" t="s">
        <v>130</v>
      </c>
      <c r="D3648" s="91"/>
    </row>
    <row r="3649" spans="1:4" ht="42.75" customHeight="1" thickBot="1">
      <c r="A3649" s="26"/>
      <c r="B3649" s="26" t="s">
        <v>0</v>
      </c>
      <c r="C3649" s="5" t="s">
        <v>687</v>
      </c>
      <c r="D3649" s="4" t="s">
        <v>2</v>
      </c>
    </row>
    <row r="3650" spans="1:4" ht="42.75" customHeight="1" thickBot="1">
      <c r="A3650" s="92">
        <v>263</v>
      </c>
      <c r="B3650" s="93"/>
      <c r="C3650" s="94" t="s">
        <v>3</v>
      </c>
      <c r="D3650" s="95"/>
    </row>
    <row r="3651" spans="1:4" ht="42.75" customHeight="1" thickBot="1">
      <c r="A3651" s="92">
        <v>263</v>
      </c>
      <c r="B3651" s="93"/>
      <c r="C3651" s="96" t="s">
        <v>4</v>
      </c>
      <c r="D3651" s="97"/>
    </row>
    <row r="3652" spans="1:4" ht="42.75" customHeight="1" thickBot="1">
      <c r="A3652" s="98">
        <f>A3651-A3650</f>
        <v>0</v>
      </c>
      <c r="B3652" s="99"/>
      <c r="C3652" s="100" t="s">
        <v>5</v>
      </c>
      <c r="D3652" s="97"/>
    </row>
    <row r="3653" spans="1:4" ht="42.75" customHeight="1" thickBot="1">
      <c r="A3653" s="101">
        <v>62</v>
      </c>
      <c r="B3653" s="102"/>
      <c r="C3653" s="96" t="s">
        <v>6</v>
      </c>
      <c r="D3653" s="97"/>
    </row>
    <row r="3654" spans="1:4" ht="42.75" customHeight="1" thickBot="1">
      <c r="A3654" s="103"/>
      <c r="B3654" s="104"/>
      <c r="C3654" s="96" t="s">
        <v>21</v>
      </c>
      <c r="D3654" s="97"/>
    </row>
    <row r="3655" spans="1:4" ht="42.75" customHeight="1" thickBot="1">
      <c r="A3655" s="105">
        <f>A3653*A3652</f>
        <v>0</v>
      </c>
      <c r="B3655" s="106"/>
      <c r="C3655" s="96" t="s">
        <v>7</v>
      </c>
      <c r="D3655" s="97"/>
    </row>
    <row r="3656" spans="1:4" ht="42.75" customHeight="1" thickBot="1">
      <c r="A3656" s="107" t="s">
        <v>17</v>
      </c>
      <c r="B3656" s="108"/>
      <c r="C3656" s="108"/>
      <c r="D3656" s="109"/>
    </row>
    <row r="3657" spans="1:4" ht="42.75" customHeight="1" thickBot="1">
      <c r="A3657" s="116" t="s">
        <v>20</v>
      </c>
      <c r="B3657" s="117"/>
      <c r="C3657" s="117"/>
      <c r="D3657" s="118"/>
    </row>
    <row r="3658" spans="1:4" ht="42.75" customHeight="1" thickBot="1">
      <c r="A3658" s="113" t="s">
        <v>18</v>
      </c>
      <c r="B3658" s="114"/>
      <c r="C3658" s="114"/>
      <c r="D3658" s="115"/>
    </row>
    <row r="3659" spans="1:4" ht="42.75" customHeight="1" thickBot="1">
      <c r="A3659" s="119"/>
      <c r="B3659" s="119"/>
      <c r="C3659" s="119"/>
      <c r="D3659" s="119"/>
    </row>
    <row r="3660" spans="1:4" ht="42.75" customHeight="1" thickBot="1">
      <c r="A3660" s="126" t="s">
        <v>19</v>
      </c>
      <c r="B3660" s="127"/>
      <c r="C3660" s="127"/>
      <c r="D3660" s="128"/>
    </row>
    <row r="3661" spans="1:4" ht="42.75" customHeight="1" thickBot="1">
      <c r="A3661" s="123" t="s">
        <v>11</v>
      </c>
      <c r="B3661" s="124"/>
      <c r="C3661" s="125" t="s">
        <v>603</v>
      </c>
      <c r="D3661" s="124"/>
    </row>
    <row r="3662" spans="1:4" ht="42.75" customHeight="1" thickBot="1">
      <c r="A3662" s="1" t="s">
        <v>686</v>
      </c>
      <c r="B3662" s="26" t="s">
        <v>1</v>
      </c>
      <c r="C3662" s="90" t="s">
        <v>130</v>
      </c>
      <c r="D3662" s="91"/>
    </row>
    <row r="3663" spans="1:4" ht="42.75" customHeight="1" thickBot="1">
      <c r="A3663" s="26"/>
      <c r="B3663" s="26" t="s">
        <v>0</v>
      </c>
      <c r="C3663" s="5" t="s">
        <v>687</v>
      </c>
      <c r="D3663" s="4" t="s">
        <v>2</v>
      </c>
    </row>
    <row r="3664" spans="1:4" ht="42.75" customHeight="1" thickBot="1">
      <c r="A3664" s="92">
        <v>256</v>
      </c>
      <c r="B3664" s="93"/>
      <c r="C3664" s="94" t="s">
        <v>3</v>
      </c>
      <c r="D3664" s="95"/>
    </row>
    <row r="3665" spans="1:4" ht="42.75" customHeight="1" thickBot="1">
      <c r="A3665" s="92">
        <v>263</v>
      </c>
      <c r="B3665" s="93"/>
      <c r="C3665" s="96" t="s">
        <v>4</v>
      </c>
      <c r="D3665" s="97"/>
    </row>
    <row r="3666" spans="1:4" ht="42.75" customHeight="1" thickBot="1">
      <c r="A3666" s="98">
        <v>10</v>
      </c>
      <c r="B3666" s="99"/>
      <c r="C3666" s="100" t="s">
        <v>5</v>
      </c>
      <c r="D3666" s="97"/>
    </row>
    <row r="3667" spans="1:4" ht="42.75" customHeight="1" thickBot="1">
      <c r="A3667" s="101">
        <v>62</v>
      </c>
      <c r="B3667" s="102"/>
      <c r="C3667" s="96" t="s">
        <v>6</v>
      </c>
      <c r="D3667" s="97"/>
    </row>
    <row r="3668" spans="1:4" ht="42.75" customHeight="1" thickBot="1">
      <c r="A3668" s="103"/>
      <c r="B3668" s="104"/>
      <c r="C3668" s="96" t="s">
        <v>21</v>
      </c>
      <c r="D3668" s="97"/>
    </row>
    <row r="3669" spans="1:4" ht="42.75" customHeight="1" thickBot="1">
      <c r="A3669" s="105">
        <v>600</v>
      </c>
      <c r="B3669" s="106"/>
      <c r="C3669" s="96" t="s">
        <v>7</v>
      </c>
      <c r="D3669" s="97"/>
    </row>
    <row r="3670" spans="1:4" ht="42.75" customHeight="1" thickBot="1">
      <c r="A3670" s="107" t="s">
        <v>17</v>
      </c>
      <c r="B3670" s="108"/>
      <c r="C3670" s="108"/>
      <c r="D3670" s="109"/>
    </row>
    <row r="3671" spans="1:4" ht="42.75" customHeight="1" thickBot="1">
      <c r="A3671" s="110" t="s">
        <v>20</v>
      </c>
      <c r="B3671" s="111"/>
      <c r="C3671" s="111"/>
      <c r="D3671" s="112"/>
    </row>
    <row r="3672" spans="1:4" ht="42.75" customHeight="1" thickBot="1">
      <c r="A3672" s="113" t="s">
        <v>18</v>
      </c>
      <c r="B3672" s="114"/>
      <c r="C3672" s="114"/>
      <c r="D3672" s="115"/>
    </row>
    <row r="3673" spans="1:4" ht="42.75" customHeight="1" thickBot="1">
      <c r="A3673" s="126" t="s">
        <v>19</v>
      </c>
      <c r="B3673" s="127"/>
      <c r="C3673" s="127"/>
      <c r="D3673" s="128"/>
    </row>
    <row r="3674" spans="1:4" ht="42.75" customHeight="1" thickBot="1">
      <c r="A3674" s="123" t="s">
        <v>11</v>
      </c>
      <c r="B3674" s="124"/>
      <c r="C3674" s="125" t="s">
        <v>603</v>
      </c>
      <c r="D3674" s="124"/>
    </row>
    <row r="3675" spans="1:4" ht="42.75" customHeight="1" thickBot="1">
      <c r="A3675" s="1" t="s">
        <v>686</v>
      </c>
      <c r="B3675" s="26" t="s">
        <v>1</v>
      </c>
      <c r="C3675" s="90" t="s">
        <v>131</v>
      </c>
      <c r="D3675" s="91"/>
    </row>
    <row r="3676" spans="1:4" ht="42.75" customHeight="1" thickBot="1">
      <c r="A3676" s="26"/>
      <c r="B3676" s="26" t="s">
        <v>0</v>
      </c>
      <c r="C3676" s="5" t="s">
        <v>687</v>
      </c>
      <c r="D3676" s="4" t="s">
        <v>2</v>
      </c>
    </row>
    <row r="3677" spans="1:4" ht="42.75" customHeight="1" thickBot="1">
      <c r="A3677" s="92">
        <v>55670</v>
      </c>
      <c r="B3677" s="93"/>
      <c r="C3677" s="94" t="s">
        <v>3</v>
      </c>
      <c r="D3677" s="95"/>
    </row>
    <row r="3678" spans="1:4" ht="42.75" customHeight="1" thickBot="1">
      <c r="A3678" s="92">
        <v>55670</v>
      </c>
      <c r="B3678" s="93"/>
      <c r="C3678" s="96" t="s">
        <v>4</v>
      </c>
      <c r="D3678" s="97"/>
    </row>
    <row r="3679" spans="1:4" ht="42.75" customHeight="1" thickBot="1">
      <c r="A3679" s="98">
        <f>A3678-A3677</f>
        <v>0</v>
      </c>
      <c r="B3679" s="99"/>
      <c r="C3679" s="100" t="s">
        <v>5</v>
      </c>
      <c r="D3679" s="97"/>
    </row>
    <row r="3680" spans="1:4" ht="42.75" customHeight="1" thickBot="1">
      <c r="A3680" s="101">
        <v>62</v>
      </c>
      <c r="B3680" s="102"/>
      <c r="C3680" s="96" t="s">
        <v>6</v>
      </c>
      <c r="D3680" s="97"/>
    </row>
    <row r="3681" spans="1:4" ht="42.75" customHeight="1" thickBot="1">
      <c r="A3681" s="103"/>
      <c r="B3681" s="104"/>
      <c r="C3681" s="96" t="s">
        <v>21</v>
      </c>
      <c r="D3681" s="97"/>
    </row>
    <row r="3682" spans="1:4" ht="42.75" customHeight="1" thickBot="1">
      <c r="A3682" s="105">
        <f>A3680*A3679</f>
        <v>0</v>
      </c>
      <c r="B3682" s="106"/>
      <c r="C3682" s="96" t="s">
        <v>7</v>
      </c>
      <c r="D3682" s="97"/>
    </row>
    <row r="3683" spans="1:4" ht="42.75" customHeight="1" thickBot="1">
      <c r="A3683" s="107" t="s">
        <v>17</v>
      </c>
      <c r="B3683" s="108"/>
      <c r="C3683" s="108"/>
      <c r="D3683" s="109"/>
    </row>
    <row r="3684" spans="1:4" ht="42.75" customHeight="1" thickBot="1">
      <c r="A3684" s="116" t="s">
        <v>20</v>
      </c>
      <c r="B3684" s="117"/>
      <c r="C3684" s="117"/>
      <c r="D3684" s="118"/>
    </row>
    <row r="3685" spans="1:4" ht="42.75" customHeight="1" thickBot="1">
      <c r="A3685" s="113" t="s">
        <v>18</v>
      </c>
      <c r="B3685" s="114"/>
      <c r="C3685" s="114"/>
      <c r="D3685" s="115"/>
    </row>
    <row r="3686" spans="1:4" ht="42.75" customHeight="1" thickBot="1">
      <c r="A3686" s="119"/>
      <c r="B3686" s="119"/>
      <c r="C3686" s="119"/>
      <c r="D3686" s="119"/>
    </row>
    <row r="3687" spans="1:4" ht="42.75" customHeight="1" thickBot="1">
      <c r="A3687" s="126" t="s">
        <v>19</v>
      </c>
      <c r="B3687" s="127"/>
      <c r="C3687" s="127"/>
      <c r="D3687" s="128"/>
    </row>
    <row r="3688" spans="1:4" ht="42.75" customHeight="1" thickBot="1">
      <c r="A3688" s="123" t="s">
        <v>11</v>
      </c>
      <c r="B3688" s="124"/>
      <c r="C3688" s="125" t="s">
        <v>603</v>
      </c>
      <c r="D3688" s="124"/>
    </row>
    <row r="3689" spans="1:4" ht="42.75" customHeight="1" thickBot="1">
      <c r="A3689" s="1" t="s">
        <v>686</v>
      </c>
      <c r="B3689" s="26" t="s">
        <v>1</v>
      </c>
      <c r="C3689" s="90" t="s">
        <v>131</v>
      </c>
      <c r="D3689" s="91"/>
    </row>
    <row r="3690" spans="1:4" ht="42.75" customHeight="1" thickBot="1">
      <c r="A3690" s="26"/>
      <c r="B3690" s="26" t="s">
        <v>0</v>
      </c>
      <c r="C3690" s="5" t="s">
        <v>687</v>
      </c>
      <c r="D3690" s="4" t="s">
        <v>2</v>
      </c>
    </row>
    <row r="3691" spans="1:4" ht="42.75" customHeight="1" thickBot="1">
      <c r="A3691" s="92">
        <v>55520</v>
      </c>
      <c r="B3691" s="93"/>
      <c r="C3691" s="94" t="s">
        <v>3</v>
      </c>
      <c r="D3691" s="95"/>
    </row>
    <row r="3692" spans="1:4" ht="42.75" customHeight="1" thickBot="1">
      <c r="A3692" s="92">
        <v>55670</v>
      </c>
      <c r="B3692" s="93"/>
      <c r="C3692" s="96" t="s">
        <v>4</v>
      </c>
      <c r="D3692" s="97"/>
    </row>
    <row r="3693" spans="1:4" ht="42.75" customHeight="1" thickBot="1">
      <c r="A3693" s="98">
        <f>A3692-A3691</f>
        <v>150</v>
      </c>
      <c r="B3693" s="99"/>
      <c r="C3693" s="100" t="s">
        <v>5</v>
      </c>
      <c r="D3693" s="97"/>
    </row>
    <row r="3694" spans="1:4" ht="42.75" customHeight="1" thickBot="1">
      <c r="A3694" s="101">
        <v>62</v>
      </c>
      <c r="B3694" s="102"/>
      <c r="C3694" s="96" t="s">
        <v>6</v>
      </c>
      <c r="D3694" s="97"/>
    </row>
    <row r="3695" spans="1:4" ht="42.75" customHeight="1" thickBot="1">
      <c r="A3695" s="103"/>
      <c r="B3695" s="104"/>
      <c r="C3695" s="96" t="s">
        <v>21</v>
      </c>
      <c r="D3695" s="97"/>
    </row>
    <row r="3696" spans="1:4" ht="42.75" customHeight="1" thickBot="1">
      <c r="A3696" s="105">
        <f>A3694*A3693</f>
        <v>9300</v>
      </c>
      <c r="B3696" s="106"/>
      <c r="C3696" s="96" t="s">
        <v>7</v>
      </c>
      <c r="D3696" s="97"/>
    </row>
    <row r="3697" spans="1:4" ht="42.75" customHeight="1" thickBot="1">
      <c r="A3697" s="107" t="s">
        <v>17</v>
      </c>
      <c r="B3697" s="108"/>
      <c r="C3697" s="108"/>
      <c r="D3697" s="109"/>
    </row>
    <row r="3698" spans="1:4" ht="42.75" customHeight="1" thickBot="1">
      <c r="A3698" s="110" t="s">
        <v>20</v>
      </c>
      <c r="B3698" s="111"/>
      <c r="C3698" s="111"/>
      <c r="D3698" s="112"/>
    </row>
    <row r="3699" spans="1:4" ht="42.75" customHeight="1" thickBot="1">
      <c r="A3699" s="113" t="s">
        <v>18</v>
      </c>
      <c r="B3699" s="114"/>
      <c r="C3699" s="114"/>
      <c r="D3699" s="115"/>
    </row>
    <row r="3700" spans="1:4" ht="42.75" customHeight="1" thickBot="1">
      <c r="A3700" s="132" t="s">
        <v>19</v>
      </c>
      <c r="B3700" s="133"/>
      <c r="C3700" s="133"/>
      <c r="D3700" s="134"/>
    </row>
    <row r="3701" spans="1:4" ht="42.75" customHeight="1" thickBot="1">
      <c r="A3701" s="123" t="s">
        <v>11</v>
      </c>
      <c r="B3701" s="124"/>
      <c r="C3701" s="123" t="s">
        <v>603</v>
      </c>
      <c r="D3701" s="124"/>
    </row>
    <row r="3702" spans="1:4" ht="42.75" customHeight="1" thickBot="1">
      <c r="A3702" s="1" t="s">
        <v>686</v>
      </c>
      <c r="B3702" s="26" t="s">
        <v>1</v>
      </c>
      <c r="C3702" s="90" t="s">
        <v>132</v>
      </c>
      <c r="D3702" s="91"/>
    </row>
    <row r="3703" spans="1:4" ht="42.75" customHeight="1" thickBot="1">
      <c r="A3703" s="26"/>
      <c r="B3703" s="26" t="s">
        <v>0</v>
      </c>
      <c r="C3703" s="5" t="s">
        <v>687</v>
      </c>
      <c r="D3703" s="4" t="s">
        <v>2</v>
      </c>
    </row>
    <row r="3704" spans="1:4" ht="42.75" customHeight="1" thickBot="1">
      <c r="A3704" s="92">
        <v>69410</v>
      </c>
      <c r="B3704" s="93"/>
      <c r="C3704" s="94" t="s">
        <v>3</v>
      </c>
      <c r="D3704" s="95"/>
    </row>
    <row r="3705" spans="1:4" ht="42.75" customHeight="1" thickBot="1">
      <c r="A3705" s="92">
        <v>69410</v>
      </c>
      <c r="B3705" s="93"/>
      <c r="C3705" s="96" t="s">
        <v>4</v>
      </c>
      <c r="D3705" s="97"/>
    </row>
    <row r="3706" spans="1:4" ht="42.75" customHeight="1" thickBot="1">
      <c r="A3706" s="98">
        <f>A3705-A3704</f>
        <v>0</v>
      </c>
      <c r="B3706" s="99"/>
      <c r="C3706" s="96" t="s">
        <v>5</v>
      </c>
      <c r="D3706" s="97"/>
    </row>
    <row r="3707" spans="1:4" ht="42.75" customHeight="1" thickBot="1">
      <c r="A3707" s="101">
        <v>62</v>
      </c>
      <c r="B3707" s="102"/>
      <c r="C3707" s="96" t="s">
        <v>6</v>
      </c>
      <c r="D3707" s="97"/>
    </row>
    <row r="3708" spans="1:4" ht="42.75" customHeight="1" thickBot="1">
      <c r="A3708" s="103"/>
      <c r="B3708" s="104"/>
      <c r="C3708" s="96" t="s">
        <v>21</v>
      </c>
      <c r="D3708" s="97"/>
    </row>
    <row r="3709" spans="1:4" ht="42.75" customHeight="1" thickBot="1">
      <c r="A3709" s="105">
        <f>A3707*A3706</f>
        <v>0</v>
      </c>
      <c r="B3709" s="106"/>
      <c r="C3709" s="96" t="s">
        <v>7</v>
      </c>
      <c r="D3709" s="97"/>
    </row>
    <row r="3710" spans="1:4" ht="42.75" customHeight="1" thickBot="1">
      <c r="A3710" s="107" t="s">
        <v>17</v>
      </c>
      <c r="B3710" s="108"/>
      <c r="C3710" s="108"/>
      <c r="D3710" s="109"/>
    </row>
    <row r="3711" spans="1:4" ht="42.75" customHeight="1" thickBot="1">
      <c r="A3711" s="116" t="s">
        <v>20</v>
      </c>
      <c r="B3711" s="117"/>
      <c r="C3711" s="117"/>
      <c r="D3711" s="118"/>
    </row>
    <row r="3712" spans="1:4" ht="42.75" customHeight="1" thickBot="1">
      <c r="A3712" s="113" t="s">
        <v>18</v>
      </c>
      <c r="B3712" s="114"/>
      <c r="C3712" s="114"/>
      <c r="D3712" s="115"/>
    </row>
    <row r="3713" spans="1:4" ht="42.75" customHeight="1" thickBot="1">
      <c r="A3713" s="119"/>
      <c r="B3713" s="119"/>
      <c r="C3713" s="119"/>
      <c r="D3713" s="119"/>
    </row>
    <row r="3714" spans="1:4" ht="42.75" customHeight="1" thickBot="1">
      <c r="A3714" s="132" t="s">
        <v>19</v>
      </c>
      <c r="B3714" s="133"/>
      <c r="C3714" s="133"/>
      <c r="D3714" s="134"/>
    </row>
    <row r="3715" spans="1:4" ht="42.75" customHeight="1" thickBot="1">
      <c r="A3715" s="123" t="s">
        <v>11</v>
      </c>
      <c r="B3715" s="124"/>
      <c r="C3715" s="123" t="s">
        <v>603</v>
      </c>
      <c r="D3715" s="124"/>
    </row>
    <row r="3716" spans="1:4" ht="42.75" customHeight="1" thickBot="1">
      <c r="A3716" s="1" t="s">
        <v>686</v>
      </c>
      <c r="B3716" s="26" t="s">
        <v>1</v>
      </c>
      <c r="C3716" s="90" t="s">
        <v>132</v>
      </c>
      <c r="D3716" s="91"/>
    </row>
    <row r="3717" spans="1:4" ht="42.75" customHeight="1" thickBot="1">
      <c r="A3717" s="26"/>
      <c r="B3717" s="26" t="s">
        <v>0</v>
      </c>
      <c r="C3717" s="5" t="s">
        <v>687</v>
      </c>
      <c r="D3717" s="4" t="s">
        <v>2</v>
      </c>
    </row>
    <row r="3718" spans="1:4" ht="42.75" customHeight="1" thickBot="1">
      <c r="A3718" s="92">
        <v>69180</v>
      </c>
      <c r="B3718" s="93"/>
      <c r="C3718" s="94" t="s">
        <v>3</v>
      </c>
      <c r="D3718" s="95"/>
    </row>
    <row r="3719" spans="1:4" ht="42.75" customHeight="1" thickBot="1">
      <c r="A3719" s="92">
        <v>69410</v>
      </c>
      <c r="B3719" s="93"/>
      <c r="C3719" s="96" t="s">
        <v>4</v>
      </c>
      <c r="D3719" s="97"/>
    </row>
    <row r="3720" spans="1:4" ht="42.75" customHeight="1" thickBot="1">
      <c r="A3720" s="98">
        <f>A3719-A3718</f>
        <v>230</v>
      </c>
      <c r="B3720" s="99"/>
      <c r="C3720" s="96" t="s">
        <v>5</v>
      </c>
      <c r="D3720" s="97"/>
    </row>
    <row r="3721" spans="1:4" ht="42.75" customHeight="1" thickBot="1">
      <c r="A3721" s="101">
        <v>62</v>
      </c>
      <c r="B3721" s="102"/>
      <c r="C3721" s="96" t="s">
        <v>6</v>
      </c>
      <c r="D3721" s="97"/>
    </row>
    <row r="3722" spans="1:4" ht="42.75" customHeight="1" thickBot="1">
      <c r="A3722" s="103"/>
      <c r="B3722" s="104"/>
      <c r="C3722" s="96" t="s">
        <v>21</v>
      </c>
      <c r="D3722" s="97"/>
    </row>
    <row r="3723" spans="1:4" ht="42.75" customHeight="1" thickBot="1">
      <c r="A3723" s="105">
        <f>A3721*A3720</f>
        <v>14260</v>
      </c>
      <c r="B3723" s="106"/>
      <c r="C3723" s="96" t="s">
        <v>7</v>
      </c>
      <c r="D3723" s="97"/>
    </row>
    <row r="3724" spans="1:4" ht="42.75" customHeight="1" thickBot="1">
      <c r="A3724" s="107" t="s">
        <v>17</v>
      </c>
      <c r="B3724" s="108"/>
      <c r="C3724" s="108"/>
      <c r="D3724" s="109"/>
    </row>
    <row r="3725" spans="1:4" ht="42.75" customHeight="1" thickBot="1">
      <c r="A3725" s="110" t="s">
        <v>20</v>
      </c>
      <c r="B3725" s="111"/>
      <c r="C3725" s="111"/>
      <c r="D3725" s="112"/>
    </row>
    <row r="3726" spans="1:4" ht="42.75" customHeight="1" thickBot="1">
      <c r="A3726" s="113" t="s">
        <v>18</v>
      </c>
      <c r="B3726" s="114"/>
      <c r="C3726" s="114"/>
      <c r="D3726" s="115"/>
    </row>
    <row r="3727" spans="1:4" ht="42.75" customHeight="1" thickBot="1">
      <c r="A3727" s="126" t="s">
        <v>19</v>
      </c>
      <c r="B3727" s="127"/>
      <c r="C3727" s="127"/>
      <c r="D3727" s="128"/>
    </row>
    <row r="3728" spans="1:4" ht="42.75" customHeight="1" thickBot="1">
      <c r="A3728" s="123" t="s">
        <v>11</v>
      </c>
      <c r="B3728" s="124"/>
      <c r="C3728" s="125" t="s">
        <v>603</v>
      </c>
      <c r="D3728" s="124"/>
    </row>
    <row r="3729" spans="1:4" ht="42.75" customHeight="1" thickBot="1">
      <c r="A3729" s="1" t="s">
        <v>686</v>
      </c>
      <c r="B3729" s="26" t="s">
        <v>1</v>
      </c>
      <c r="C3729" s="90" t="s">
        <v>133</v>
      </c>
      <c r="D3729" s="91"/>
    </row>
    <row r="3730" spans="1:4" ht="42.75" customHeight="1" thickBot="1">
      <c r="A3730" s="26"/>
      <c r="B3730" s="26" t="s">
        <v>0</v>
      </c>
      <c r="C3730" s="5" t="s">
        <v>687</v>
      </c>
      <c r="D3730" s="4" t="s">
        <v>2</v>
      </c>
    </row>
    <row r="3731" spans="1:4" ht="42.75" customHeight="1" thickBot="1">
      <c r="A3731" s="92">
        <v>32375</v>
      </c>
      <c r="B3731" s="93"/>
      <c r="C3731" s="94" t="s">
        <v>3</v>
      </c>
      <c r="D3731" s="95"/>
    </row>
    <row r="3732" spans="1:4" ht="42.75" customHeight="1" thickBot="1">
      <c r="A3732" s="92">
        <v>32375</v>
      </c>
      <c r="B3732" s="93"/>
      <c r="C3732" s="96" t="s">
        <v>4</v>
      </c>
      <c r="D3732" s="97"/>
    </row>
    <row r="3733" spans="1:4" ht="42.75" customHeight="1" thickBot="1">
      <c r="A3733" s="98">
        <f>A3732-A3731</f>
        <v>0</v>
      </c>
      <c r="B3733" s="99"/>
      <c r="C3733" s="100" t="s">
        <v>5</v>
      </c>
      <c r="D3733" s="97"/>
    </row>
    <row r="3734" spans="1:4" ht="42.75" customHeight="1" thickBot="1">
      <c r="A3734" s="101">
        <v>55</v>
      </c>
      <c r="B3734" s="102"/>
      <c r="C3734" s="96" t="s">
        <v>6</v>
      </c>
      <c r="D3734" s="97"/>
    </row>
    <row r="3735" spans="1:4" ht="42.75" customHeight="1" thickBot="1">
      <c r="A3735" s="103"/>
      <c r="B3735" s="104"/>
      <c r="C3735" s="96" t="s">
        <v>21</v>
      </c>
      <c r="D3735" s="97"/>
    </row>
    <row r="3736" spans="1:4" ht="42.75" customHeight="1" thickBot="1">
      <c r="A3736" s="105">
        <f>A3734*A3733</f>
        <v>0</v>
      </c>
      <c r="B3736" s="106"/>
      <c r="C3736" s="96" t="s">
        <v>7</v>
      </c>
      <c r="D3736" s="97"/>
    </row>
    <row r="3737" spans="1:4" ht="42.75" customHeight="1" thickBot="1">
      <c r="A3737" s="107" t="s">
        <v>17</v>
      </c>
      <c r="B3737" s="108"/>
      <c r="C3737" s="108"/>
      <c r="D3737" s="109"/>
    </row>
    <row r="3738" spans="1:4" ht="42.75" customHeight="1" thickBot="1">
      <c r="A3738" s="116" t="s">
        <v>20</v>
      </c>
      <c r="B3738" s="117"/>
      <c r="C3738" s="117"/>
      <c r="D3738" s="118"/>
    </row>
    <row r="3739" spans="1:4" ht="42.75" customHeight="1" thickBot="1">
      <c r="A3739" s="113" t="s">
        <v>18</v>
      </c>
      <c r="B3739" s="114"/>
      <c r="C3739" s="114"/>
      <c r="D3739" s="115"/>
    </row>
    <row r="3740" spans="1:4" ht="42.75" customHeight="1" thickBot="1">
      <c r="A3740" s="119"/>
      <c r="B3740" s="119"/>
      <c r="C3740" s="119"/>
      <c r="D3740" s="119"/>
    </row>
    <row r="3741" spans="1:4" ht="42.75" customHeight="1" thickBot="1">
      <c r="A3741" s="126" t="s">
        <v>19</v>
      </c>
      <c r="B3741" s="127"/>
      <c r="C3741" s="127"/>
      <c r="D3741" s="128"/>
    </row>
    <row r="3742" spans="1:4" ht="42.75" customHeight="1" thickBot="1">
      <c r="A3742" s="123" t="s">
        <v>11</v>
      </c>
      <c r="B3742" s="124"/>
      <c r="C3742" s="125" t="s">
        <v>603</v>
      </c>
      <c r="D3742" s="124"/>
    </row>
    <row r="3743" spans="1:4" ht="42.75" customHeight="1" thickBot="1">
      <c r="A3743" s="1" t="s">
        <v>686</v>
      </c>
      <c r="B3743" s="26" t="s">
        <v>1</v>
      </c>
      <c r="C3743" s="90" t="s">
        <v>133</v>
      </c>
      <c r="D3743" s="91"/>
    </row>
    <row r="3744" spans="1:4" ht="42.75" customHeight="1" thickBot="1">
      <c r="A3744" s="26"/>
      <c r="B3744" s="26" t="s">
        <v>0</v>
      </c>
      <c r="C3744" s="5" t="s">
        <v>687</v>
      </c>
      <c r="D3744" s="4" t="s">
        <v>2</v>
      </c>
    </row>
    <row r="3745" spans="1:4" ht="42.75" customHeight="1" thickBot="1">
      <c r="A3745" s="92">
        <v>32320</v>
      </c>
      <c r="B3745" s="93"/>
      <c r="C3745" s="94" t="s">
        <v>3</v>
      </c>
      <c r="D3745" s="95"/>
    </row>
    <row r="3746" spans="1:4" ht="42.75" customHeight="1" thickBot="1">
      <c r="A3746" s="92">
        <v>32375</v>
      </c>
      <c r="B3746" s="93"/>
      <c r="C3746" s="96" t="s">
        <v>4</v>
      </c>
      <c r="D3746" s="97"/>
    </row>
    <row r="3747" spans="1:4" ht="42.75" customHeight="1" thickBot="1">
      <c r="A3747" s="98">
        <f>A3746-A3745</f>
        <v>55</v>
      </c>
      <c r="B3747" s="99"/>
      <c r="C3747" s="100" t="s">
        <v>5</v>
      </c>
      <c r="D3747" s="97"/>
    </row>
    <row r="3748" spans="1:4" ht="42.75" customHeight="1" thickBot="1">
      <c r="A3748" s="101">
        <v>62</v>
      </c>
      <c r="B3748" s="102"/>
      <c r="C3748" s="96" t="s">
        <v>6</v>
      </c>
      <c r="D3748" s="97"/>
    </row>
    <row r="3749" spans="1:4" ht="42.75" customHeight="1" thickBot="1">
      <c r="A3749" s="103"/>
      <c r="B3749" s="104"/>
      <c r="C3749" s="96" t="s">
        <v>21</v>
      </c>
      <c r="D3749" s="97"/>
    </row>
    <row r="3750" spans="1:4" ht="42.75" customHeight="1" thickBot="1">
      <c r="A3750" s="105">
        <f>A3748*A3747</f>
        <v>3410</v>
      </c>
      <c r="B3750" s="106"/>
      <c r="C3750" s="96" t="s">
        <v>7</v>
      </c>
      <c r="D3750" s="97"/>
    </row>
    <row r="3751" spans="1:4" ht="42.75" customHeight="1" thickBot="1">
      <c r="A3751" s="107" t="s">
        <v>17</v>
      </c>
      <c r="B3751" s="108"/>
      <c r="C3751" s="108"/>
      <c r="D3751" s="109"/>
    </row>
    <row r="3752" spans="1:4" ht="42.75" customHeight="1" thickBot="1">
      <c r="A3752" s="110" t="s">
        <v>20</v>
      </c>
      <c r="B3752" s="111"/>
      <c r="C3752" s="111"/>
      <c r="D3752" s="112"/>
    </row>
    <row r="3753" spans="1:4" ht="42.75" customHeight="1" thickBot="1">
      <c r="A3753" s="113" t="s">
        <v>18</v>
      </c>
      <c r="B3753" s="114"/>
      <c r="C3753" s="114"/>
      <c r="D3753" s="115"/>
    </row>
    <row r="3754" spans="1:4" ht="42.75" customHeight="1" thickBot="1">
      <c r="A3754" s="126" t="s">
        <v>19</v>
      </c>
      <c r="B3754" s="127"/>
      <c r="C3754" s="127"/>
      <c r="D3754" s="128"/>
    </row>
    <row r="3755" spans="1:4" ht="42.75" customHeight="1" thickBot="1">
      <c r="A3755" s="123" t="s">
        <v>11</v>
      </c>
      <c r="B3755" s="124"/>
      <c r="C3755" s="125" t="s">
        <v>603</v>
      </c>
      <c r="D3755" s="124"/>
    </row>
    <row r="3756" spans="1:4" ht="42.75" customHeight="1" thickBot="1">
      <c r="A3756" s="1" t="s">
        <v>686</v>
      </c>
      <c r="B3756" s="26" t="s">
        <v>1</v>
      </c>
      <c r="C3756" s="90" t="s">
        <v>134</v>
      </c>
      <c r="D3756" s="91"/>
    </row>
    <row r="3757" spans="1:4" ht="42.75" customHeight="1" thickBot="1">
      <c r="A3757" s="26"/>
      <c r="B3757" s="26" t="s">
        <v>0</v>
      </c>
      <c r="C3757" s="5" t="s">
        <v>687</v>
      </c>
      <c r="D3757" s="4" t="s">
        <v>2</v>
      </c>
    </row>
    <row r="3758" spans="1:4" ht="42.75" customHeight="1" thickBot="1">
      <c r="A3758" s="92">
        <v>37120</v>
      </c>
      <c r="B3758" s="93"/>
      <c r="C3758" s="94" t="s">
        <v>3</v>
      </c>
      <c r="D3758" s="95"/>
    </row>
    <row r="3759" spans="1:4" ht="42.75" customHeight="1" thickBot="1">
      <c r="A3759" s="92">
        <v>37120</v>
      </c>
      <c r="B3759" s="93"/>
      <c r="C3759" s="96" t="s">
        <v>4</v>
      </c>
      <c r="D3759" s="97"/>
    </row>
    <row r="3760" spans="1:4" ht="42.75" customHeight="1" thickBot="1">
      <c r="A3760" s="98">
        <f>A3759-A3758</f>
        <v>0</v>
      </c>
      <c r="B3760" s="99"/>
      <c r="C3760" s="100" t="s">
        <v>5</v>
      </c>
      <c r="D3760" s="97"/>
    </row>
    <row r="3761" spans="1:4" ht="42.75" customHeight="1" thickBot="1">
      <c r="A3761" s="101">
        <v>40</v>
      </c>
      <c r="B3761" s="102"/>
      <c r="C3761" s="96" t="s">
        <v>6</v>
      </c>
      <c r="D3761" s="97"/>
    </row>
    <row r="3762" spans="1:4" ht="42.75" customHeight="1" thickBot="1">
      <c r="A3762" s="103"/>
      <c r="B3762" s="104"/>
      <c r="C3762" s="96" t="s">
        <v>21</v>
      </c>
      <c r="D3762" s="97"/>
    </row>
    <row r="3763" spans="1:4" ht="42.75" customHeight="1" thickBot="1">
      <c r="A3763" s="105">
        <f>A3761*A3760</f>
        <v>0</v>
      </c>
      <c r="B3763" s="106"/>
      <c r="C3763" s="96" t="s">
        <v>7</v>
      </c>
      <c r="D3763" s="97"/>
    </row>
    <row r="3764" spans="1:4" ht="42.75" customHeight="1" thickBot="1">
      <c r="A3764" s="107" t="s">
        <v>17</v>
      </c>
      <c r="B3764" s="108"/>
      <c r="C3764" s="108"/>
      <c r="D3764" s="109"/>
    </row>
    <row r="3765" spans="1:4" ht="42.75" customHeight="1" thickBot="1">
      <c r="A3765" s="116" t="s">
        <v>20</v>
      </c>
      <c r="B3765" s="117"/>
      <c r="C3765" s="117"/>
      <c r="D3765" s="118"/>
    </row>
    <row r="3766" spans="1:4" ht="42.75" customHeight="1" thickBot="1">
      <c r="A3766" s="113" t="s">
        <v>18</v>
      </c>
      <c r="B3766" s="114"/>
      <c r="C3766" s="114"/>
      <c r="D3766" s="115"/>
    </row>
    <row r="3767" spans="1:4" ht="42.75" customHeight="1" thickBot="1">
      <c r="A3767" s="119"/>
      <c r="B3767" s="119"/>
      <c r="C3767" s="119"/>
      <c r="D3767" s="119"/>
    </row>
    <row r="3768" spans="1:4" ht="42.75" customHeight="1" thickBot="1">
      <c r="A3768" s="126" t="s">
        <v>19</v>
      </c>
      <c r="B3768" s="127"/>
      <c r="C3768" s="127"/>
      <c r="D3768" s="128"/>
    </row>
    <row r="3769" spans="1:4" ht="42.75" customHeight="1" thickBot="1">
      <c r="A3769" s="123" t="s">
        <v>11</v>
      </c>
      <c r="B3769" s="124"/>
      <c r="C3769" s="125" t="s">
        <v>603</v>
      </c>
      <c r="D3769" s="124"/>
    </row>
    <row r="3770" spans="1:4" ht="42.75" customHeight="1" thickBot="1">
      <c r="A3770" s="1" t="s">
        <v>686</v>
      </c>
      <c r="B3770" s="26" t="s">
        <v>1</v>
      </c>
      <c r="C3770" s="90" t="s">
        <v>134</v>
      </c>
      <c r="D3770" s="91"/>
    </row>
    <row r="3771" spans="1:4" ht="42.75" customHeight="1" thickBot="1">
      <c r="A3771" s="26"/>
      <c r="B3771" s="26" t="s">
        <v>0</v>
      </c>
      <c r="C3771" s="5" t="s">
        <v>687</v>
      </c>
      <c r="D3771" s="4" t="s">
        <v>2</v>
      </c>
    </row>
    <row r="3772" spans="1:4" ht="42.75" customHeight="1" thickBot="1">
      <c r="A3772" s="92">
        <v>37020</v>
      </c>
      <c r="B3772" s="93"/>
      <c r="C3772" s="94" t="s">
        <v>3</v>
      </c>
      <c r="D3772" s="95"/>
    </row>
    <row r="3773" spans="1:4" ht="42.75" customHeight="1" thickBot="1">
      <c r="A3773" s="92">
        <v>37120</v>
      </c>
      <c r="B3773" s="93"/>
      <c r="C3773" s="96" t="s">
        <v>4</v>
      </c>
      <c r="D3773" s="97"/>
    </row>
    <row r="3774" spans="1:4" ht="42.75" customHeight="1" thickBot="1">
      <c r="A3774" s="98">
        <f>A3773-A3772</f>
        <v>100</v>
      </c>
      <c r="B3774" s="99"/>
      <c r="C3774" s="100" t="s">
        <v>5</v>
      </c>
      <c r="D3774" s="97"/>
    </row>
    <row r="3775" spans="1:4" ht="42.75" customHeight="1" thickBot="1">
      <c r="A3775" s="101">
        <v>62</v>
      </c>
      <c r="B3775" s="102"/>
      <c r="C3775" s="96" t="s">
        <v>6</v>
      </c>
      <c r="D3775" s="97"/>
    </row>
    <row r="3776" spans="1:4" ht="42.75" customHeight="1" thickBot="1">
      <c r="A3776" s="103"/>
      <c r="B3776" s="104"/>
      <c r="C3776" s="96" t="s">
        <v>21</v>
      </c>
      <c r="D3776" s="97"/>
    </row>
    <row r="3777" spans="1:4" ht="42.75" customHeight="1" thickBot="1">
      <c r="A3777" s="105">
        <f>A3775*A3774</f>
        <v>6200</v>
      </c>
      <c r="B3777" s="106"/>
      <c r="C3777" s="96" t="s">
        <v>7</v>
      </c>
      <c r="D3777" s="97"/>
    </row>
    <row r="3778" spans="1:4" ht="42.75" customHeight="1" thickBot="1">
      <c r="A3778" s="107" t="s">
        <v>17</v>
      </c>
      <c r="B3778" s="108"/>
      <c r="C3778" s="108"/>
      <c r="D3778" s="109"/>
    </row>
    <row r="3779" spans="1:4" ht="42.75" customHeight="1" thickBot="1">
      <c r="A3779" s="110" t="s">
        <v>20</v>
      </c>
      <c r="B3779" s="111"/>
      <c r="C3779" s="111"/>
      <c r="D3779" s="112"/>
    </row>
    <row r="3780" spans="1:4" ht="42.75" customHeight="1" thickBot="1">
      <c r="A3780" s="113" t="s">
        <v>18</v>
      </c>
      <c r="B3780" s="114"/>
      <c r="C3780" s="114"/>
      <c r="D3780" s="115"/>
    </row>
    <row r="3781" spans="1:4" ht="42.75" customHeight="1" thickBot="1">
      <c r="A3781" s="126" t="s">
        <v>19</v>
      </c>
      <c r="B3781" s="127"/>
      <c r="C3781" s="127"/>
      <c r="D3781" s="128"/>
    </row>
    <row r="3782" spans="1:4" ht="42.75" customHeight="1" thickBot="1">
      <c r="A3782" s="123" t="s">
        <v>11</v>
      </c>
      <c r="B3782" s="124"/>
      <c r="C3782" s="125" t="s">
        <v>603</v>
      </c>
      <c r="D3782" s="124"/>
    </row>
    <row r="3783" spans="1:4" ht="42.75" customHeight="1" thickBot="1">
      <c r="A3783" s="1" t="s">
        <v>686</v>
      </c>
      <c r="B3783" s="26" t="s">
        <v>1</v>
      </c>
      <c r="C3783" s="90" t="s">
        <v>135</v>
      </c>
      <c r="D3783" s="91"/>
    </row>
    <row r="3784" spans="1:4" ht="42.75" customHeight="1" thickBot="1">
      <c r="A3784" s="26"/>
      <c r="B3784" s="26" t="s">
        <v>0</v>
      </c>
      <c r="C3784" s="5" t="s">
        <v>687</v>
      </c>
      <c r="D3784" s="4" t="s">
        <v>2</v>
      </c>
    </row>
    <row r="3785" spans="1:4" ht="42.75" customHeight="1" thickBot="1">
      <c r="A3785" s="92">
        <v>30400</v>
      </c>
      <c r="B3785" s="93"/>
      <c r="C3785" s="94" t="s">
        <v>3</v>
      </c>
      <c r="D3785" s="95"/>
    </row>
    <row r="3786" spans="1:4" ht="42.75" customHeight="1" thickBot="1">
      <c r="A3786" s="92">
        <v>30400</v>
      </c>
      <c r="B3786" s="93"/>
      <c r="C3786" s="96" t="s">
        <v>4</v>
      </c>
      <c r="D3786" s="97"/>
    </row>
    <row r="3787" spans="1:4" ht="42.75" customHeight="1" thickBot="1">
      <c r="A3787" s="98">
        <f>A3786-A3785</f>
        <v>0</v>
      </c>
      <c r="B3787" s="99"/>
      <c r="C3787" s="100" t="s">
        <v>5</v>
      </c>
      <c r="D3787" s="97"/>
    </row>
    <row r="3788" spans="1:4" ht="42.75" customHeight="1" thickBot="1">
      <c r="A3788" s="101">
        <v>40</v>
      </c>
      <c r="B3788" s="102"/>
      <c r="C3788" s="96" t="s">
        <v>6</v>
      </c>
      <c r="D3788" s="97"/>
    </row>
    <row r="3789" spans="1:4" ht="42.75" customHeight="1" thickBot="1">
      <c r="A3789" s="103"/>
      <c r="B3789" s="104"/>
      <c r="C3789" s="96" t="s">
        <v>21</v>
      </c>
      <c r="D3789" s="97"/>
    </row>
    <row r="3790" spans="1:4" ht="42.75" customHeight="1" thickBot="1">
      <c r="A3790" s="105">
        <f>A3788*A3787</f>
        <v>0</v>
      </c>
      <c r="B3790" s="106"/>
      <c r="C3790" s="96" t="s">
        <v>7</v>
      </c>
      <c r="D3790" s="97"/>
    </row>
    <row r="3791" spans="1:4" ht="42.75" customHeight="1" thickBot="1">
      <c r="A3791" s="107" t="s">
        <v>17</v>
      </c>
      <c r="B3791" s="108"/>
      <c r="C3791" s="108"/>
      <c r="D3791" s="109"/>
    </row>
    <row r="3792" spans="1:4" ht="42.75" customHeight="1" thickBot="1">
      <c r="A3792" s="116" t="s">
        <v>20</v>
      </c>
      <c r="B3792" s="117"/>
      <c r="C3792" s="117"/>
      <c r="D3792" s="118"/>
    </row>
    <row r="3793" spans="1:4" ht="42.75" customHeight="1" thickBot="1">
      <c r="A3793" s="113" t="s">
        <v>18</v>
      </c>
      <c r="B3793" s="114"/>
      <c r="C3793" s="114"/>
      <c r="D3793" s="115"/>
    </row>
    <row r="3794" spans="1:4" ht="42.75" customHeight="1" thickBot="1">
      <c r="A3794" s="119"/>
      <c r="B3794" s="119"/>
      <c r="C3794" s="119"/>
      <c r="D3794" s="119"/>
    </row>
    <row r="3795" spans="1:4" ht="42.75" customHeight="1" thickBot="1">
      <c r="A3795" s="126" t="s">
        <v>19</v>
      </c>
      <c r="B3795" s="127"/>
      <c r="C3795" s="127"/>
      <c r="D3795" s="128"/>
    </row>
    <row r="3796" spans="1:4" ht="42.75" customHeight="1" thickBot="1">
      <c r="A3796" s="123" t="s">
        <v>11</v>
      </c>
      <c r="B3796" s="124"/>
      <c r="C3796" s="125" t="s">
        <v>603</v>
      </c>
      <c r="D3796" s="124"/>
    </row>
    <row r="3797" spans="1:4" ht="42.75" customHeight="1" thickBot="1">
      <c r="A3797" s="1" t="s">
        <v>686</v>
      </c>
      <c r="B3797" s="26" t="s">
        <v>1</v>
      </c>
      <c r="C3797" s="90" t="s">
        <v>135</v>
      </c>
      <c r="D3797" s="91"/>
    </row>
    <row r="3798" spans="1:4" ht="42.75" customHeight="1" thickBot="1">
      <c r="A3798" s="26"/>
      <c r="B3798" s="26" t="s">
        <v>0</v>
      </c>
      <c r="C3798" s="5" t="s">
        <v>687</v>
      </c>
      <c r="D3798" s="4" t="s">
        <v>2</v>
      </c>
    </row>
    <row r="3799" spans="1:4" ht="42.75" customHeight="1" thickBot="1">
      <c r="A3799" s="92">
        <v>30300</v>
      </c>
      <c r="B3799" s="93"/>
      <c r="C3799" s="94" t="s">
        <v>3</v>
      </c>
      <c r="D3799" s="95"/>
    </row>
    <row r="3800" spans="1:4" ht="42.75" customHeight="1" thickBot="1">
      <c r="A3800" s="92">
        <v>30400</v>
      </c>
      <c r="B3800" s="93"/>
      <c r="C3800" s="96" t="s">
        <v>4</v>
      </c>
      <c r="D3800" s="97"/>
    </row>
    <row r="3801" spans="1:4" ht="42.75" customHeight="1" thickBot="1">
      <c r="A3801" s="98">
        <f>A3800-A3799</f>
        <v>100</v>
      </c>
      <c r="B3801" s="99"/>
      <c r="C3801" s="100" t="s">
        <v>5</v>
      </c>
      <c r="D3801" s="97"/>
    </row>
    <row r="3802" spans="1:4" ht="42.75" customHeight="1" thickBot="1">
      <c r="A3802" s="101">
        <v>62</v>
      </c>
      <c r="B3802" s="102"/>
      <c r="C3802" s="96" t="s">
        <v>6</v>
      </c>
      <c r="D3802" s="97"/>
    </row>
    <row r="3803" spans="1:4" ht="42.75" customHeight="1" thickBot="1">
      <c r="A3803" s="103"/>
      <c r="B3803" s="104"/>
      <c r="C3803" s="96" t="s">
        <v>21</v>
      </c>
      <c r="D3803" s="97"/>
    </row>
    <row r="3804" spans="1:4" ht="42.75" customHeight="1" thickBot="1">
      <c r="A3804" s="105">
        <f>A3802*A3801</f>
        <v>6200</v>
      </c>
      <c r="B3804" s="106"/>
      <c r="C3804" s="96" t="s">
        <v>7</v>
      </c>
      <c r="D3804" s="97"/>
    </row>
    <row r="3805" spans="1:4" ht="42.75" customHeight="1" thickBot="1">
      <c r="A3805" s="107" t="s">
        <v>17</v>
      </c>
      <c r="B3805" s="108"/>
      <c r="C3805" s="108"/>
      <c r="D3805" s="109"/>
    </row>
    <row r="3806" spans="1:4" ht="42.75" customHeight="1" thickBot="1">
      <c r="A3806" s="110" t="s">
        <v>20</v>
      </c>
      <c r="B3806" s="111"/>
      <c r="C3806" s="111"/>
      <c r="D3806" s="112"/>
    </row>
    <row r="3807" spans="1:4" ht="42.75" customHeight="1" thickBot="1">
      <c r="A3807" s="113" t="s">
        <v>18</v>
      </c>
      <c r="B3807" s="114"/>
      <c r="C3807" s="114"/>
      <c r="D3807" s="115"/>
    </row>
    <row r="3808" spans="1:4" ht="42.75" customHeight="1" thickBot="1">
      <c r="A3808" s="120" t="s">
        <v>19</v>
      </c>
      <c r="B3808" s="121"/>
      <c r="C3808" s="121"/>
      <c r="D3808" s="122"/>
    </row>
    <row r="3809" spans="1:4" ht="42.75" customHeight="1" thickBot="1">
      <c r="A3809" s="123" t="s">
        <v>11</v>
      </c>
      <c r="B3809" s="124"/>
      <c r="C3809" s="125" t="s">
        <v>603</v>
      </c>
      <c r="D3809" s="124"/>
    </row>
    <row r="3810" spans="1:4" ht="42.75" customHeight="1" thickBot="1">
      <c r="A3810" s="1" t="s">
        <v>686</v>
      </c>
      <c r="B3810" s="26" t="s">
        <v>1</v>
      </c>
      <c r="C3810" s="90" t="s">
        <v>136</v>
      </c>
      <c r="D3810" s="91"/>
    </row>
    <row r="3811" spans="1:4" ht="42.75" customHeight="1" thickBot="1">
      <c r="A3811" s="26"/>
      <c r="B3811" s="26" t="s">
        <v>0</v>
      </c>
      <c r="C3811" s="5" t="s">
        <v>687</v>
      </c>
      <c r="D3811" s="4" t="s">
        <v>2</v>
      </c>
    </row>
    <row r="3812" spans="1:4" ht="42.75" customHeight="1" thickBot="1">
      <c r="A3812" s="92">
        <v>430</v>
      </c>
      <c r="B3812" s="93"/>
      <c r="C3812" s="94" t="s">
        <v>3</v>
      </c>
      <c r="D3812" s="95"/>
    </row>
    <row r="3813" spans="1:4" ht="42.75" customHeight="1" thickBot="1">
      <c r="A3813" s="92">
        <v>430</v>
      </c>
      <c r="B3813" s="93"/>
      <c r="C3813" s="96" t="s">
        <v>4</v>
      </c>
      <c r="D3813" s="97"/>
    </row>
    <row r="3814" spans="1:4" ht="42.75" customHeight="1" thickBot="1">
      <c r="A3814" s="98">
        <f>A3813-A3812</f>
        <v>0</v>
      </c>
      <c r="B3814" s="99"/>
      <c r="C3814" s="100" t="s">
        <v>5</v>
      </c>
      <c r="D3814" s="97"/>
    </row>
    <row r="3815" spans="1:4" ht="42.75" customHeight="1" thickBot="1">
      <c r="A3815" s="101">
        <v>62</v>
      </c>
      <c r="B3815" s="102"/>
      <c r="C3815" s="96" t="s">
        <v>6</v>
      </c>
      <c r="D3815" s="97"/>
    </row>
    <row r="3816" spans="1:4" ht="42.75" customHeight="1" thickBot="1">
      <c r="A3816" s="103"/>
      <c r="B3816" s="104"/>
      <c r="C3816" s="96" t="s">
        <v>21</v>
      </c>
      <c r="D3816" s="97"/>
    </row>
    <row r="3817" spans="1:4" ht="42.75" customHeight="1" thickBot="1">
      <c r="A3817" s="105">
        <f>A3815*A3814</f>
        <v>0</v>
      </c>
      <c r="B3817" s="106"/>
      <c r="C3817" s="96" t="s">
        <v>7</v>
      </c>
      <c r="D3817" s="97"/>
    </row>
    <row r="3818" spans="1:4" ht="42.75" customHeight="1" thickBot="1">
      <c r="A3818" s="107" t="s">
        <v>17</v>
      </c>
      <c r="B3818" s="108"/>
      <c r="C3818" s="108"/>
      <c r="D3818" s="109"/>
    </row>
    <row r="3819" spans="1:4" ht="42.75" customHeight="1" thickBot="1">
      <c r="A3819" s="116" t="s">
        <v>20</v>
      </c>
      <c r="B3819" s="117"/>
      <c r="C3819" s="117"/>
      <c r="D3819" s="118"/>
    </row>
    <row r="3820" spans="1:4" ht="42.75" customHeight="1" thickBot="1">
      <c r="A3820" s="113" t="s">
        <v>18</v>
      </c>
      <c r="B3820" s="114"/>
      <c r="C3820" s="114"/>
      <c r="D3820" s="115"/>
    </row>
    <row r="3821" spans="1:4" ht="42.75" customHeight="1" thickBot="1">
      <c r="A3821" s="119"/>
      <c r="B3821" s="119"/>
      <c r="C3821" s="119"/>
      <c r="D3821" s="119"/>
    </row>
    <row r="3822" spans="1:4" ht="42.75" customHeight="1" thickBot="1">
      <c r="A3822" s="120" t="s">
        <v>19</v>
      </c>
      <c r="B3822" s="121"/>
      <c r="C3822" s="121"/>
      <c r="D3822" s="122"/>
    </row>
    <row r="3823" spans="1:4" ht="42.75" customHeight="1" thickBot="1">
      <c r="A3823" s="123" t="s">
        <v>11</v>
      </c>
      <c r="B3823" s="124"/>
      <c r="C3823" s="125" t="s">
        <v>603</v>
      </c>
      <c r="D3823" s="124"/>
    </row>
    <row r="3824" spans="1:4" ht="42.75" customHeight="1" thickBot="1">
      <c r="A3824" s="1" t="s">
        <v>686</v>
      </c>
      <c r="B3824" s="26" t="s">
        <v>1</v>
      </c>
      <c r="C3824" s="90" t="s">
        <v>136</v>
      </c>
      <c r="D3824" s="91"/>
    </row>
    <row r="3825" spans="1:4" ht="42.75" customHeight="1" thickBot="1">
      <c r="A3825" s="26"/>
      <c r="B3825" s="26" t="s">
        <v>0</v>
      </c>
      <c r="C3825" s="5" t="s">
        <v>687</v>
      </c>
      <c r="D3825" s="4" t="s">
        <v>2</v>
      </c>
    </row>
    <row r="3826" spans="1:4" ht="42.75" customHeight="1" thickBot="1">
      <c r="A3826" s="92">
        <v>400</v>
      </c>
      <c r="B3826" s="93"/>
      <c r="C3826" s="94" t="s">
        <v>3</v>
      </c>
      <c r="D3826" s="95"/>
    </row>
    <row r="3827" spans="1:4" ht="42.75" customHeight="1" thickBot="1">
      <c r="A3827" s="92">
        <v>430</v>
      </c>
      <c r="B3827" s="93"/>
      <c r="C3827" s="96" t="s">
        <v>4</v>
      </c>
      <c r="D3827" s="97"/>
    </row>
    <row r="3828" spans="1:4" ht="42.75" customHeight="1" thickBot="1">
      <c r="A3828" s="98">
        <f>A3827-A3826</f>
        <v>30</v>
      </c>
      <c r="B3828" s="99"/>
      <c r="C3828" s="100" t="s">
        <v>5</v>
      </c>
      <c r="D3828" s="97"/>
    </row>
    <row r="3829" spans="1:4" ht="42.75" customHeight="1" thickBot="1">
      <c r="A3829" s="101">
        <v>62</v>
      </c>
      <c r="B3829" s="102"/>
      <c r="C3829" s="96" t="s">
        <v>6</v>
      </c>
      <c r="D3829" s="97"/>
    </row>
    <row r="3830" spans="1:4" ht="42.75" customHeight="1" thickBot="1">
      <c r="A3830" s="103"/>
      <c r="B3830" s="104"/>
      <c r="C3830" s="96" t="s">
        <v>21</v>
      </c>
      <c r="D3830" s="97"/>
    </row>
    <row r="3831" spans="1:4" ht="42.75" customHeight="1" thickBot="1">
      <c r="A3831" s="105">
        <v>1850</v>
      </c>
      <c r="B3831" s="106"/>
      <c r="C3831" s="96" t="s">
        <v>7</v>
      </c>
      <c r="D3831" s="97"/>
    </row>
    <row r="3832" spans="1:4" ht="42.75" customHeight="1" thickBot="1">
      <c r="A3832" s="107" t="s">
        <v>17</v>
      </c>
      <c r="B3832" s="108"/>
      <c r="C3832" s="108"/>
      <c r="D3832" s="109"/>
    </row>
    <row r="3833" spans="1:4" ht="42.75" customHeight="1" thickBot="1">
      <c r="A3833" s="110" t="s">
        <v>20</v>
      </c>
      <c r="B3833" s="111"/>
      <c r="C3833" s="111"/>
      <c r="D3833" s="112"/>
    </row>
    <row r="3834" spans="1:4" ht="42.75" customHeight="1" thickBot="1">
      <c r="A3834" s="113" t="s">
        <v>18</v>
      </c>
      <c r="B3834" s="114"/>
      <c r="C3834" s="114"/>
      <c r="D3834" s="115"/>
    </row>
    <row r="3835" spans="1:4" ht="42.75" customHeight="1" thickBot="1">
      <c r="A3835" s="120" t="s">
        <v>19</v>
      </c>
      <c r="B3835" s="121"/>
      <c r="C3835" s="121"/>
      <c r="D3835" s="122"/>
    </row>
    <row r="3836" spans="1:4" ht="42.75" customHeight="1" thickBot="1">
      <c r="A3836" s="123" t="s">
        <v>11</v>
      </c>
      <c r="B3836" s="124"/>
      <c r="C3836" s="125" t="s">
        <v>603</v>
      </c>
      <c r="D3836" s="124"/>
    </row>
    <row r="3837" spans="1:4" ht="42.75" customHeight="1" thickBot="1">
      <c r="A3837" s="1" t="s">
        <v>686</v>
      </c>
      <c r="B3837" s="26" t="s">
        <v>1</v>
      </c>
      <c r="C3837" s="90" t="s">
        <v>137</v>
      </c>
      <c r="D3837" s="91"/>
    </row>
    <row r="3838" spans="1:4" ht="42.75" customHeight="1" thickBot="1">
      <c r="A3838" s="26"/>
      <c r="B3838" s="26" t="s">
        <v>0</v>
      </c>
      <c r="C3838" s="5" t="s">
        <v>687</v>
      </c>
      <c r="D3838" s="4" t="s">
        <v>2</v>
      </c>
    </row>
    <row r="3839" spans="1:4" ht="42.75" customHeight="1" thickBot="1">
      <c r="A3839" s="92">
        <v>379</v>
      </c>
      <c r="B3839" s="93"/>
      <c r="C3839" s="94" t="s">
        <v>3</v>
      </c>
      <c r="D3839" s="95"/>
    </row>
    <row r="3840" spans="1:4" ht="42.75" customHeight="1" thickBot="1">
      <c r="A3840" s="92">
        <v>379</v>
      </c>
      <c r="B3840" s="93"/>
      <c r="C3840" s="96" t="s">
        <v>4</v>
      </c>
      <c r="D3840" s="97"/>
    </row>
    <row r="3841" spans="1:4" ht="42.75" customHeight="1" thickBot="1">
      <c r="A3841" s="98">
        <f>A3840-A3839</f>
        <v>0</v>
      </c>
      <c r="B3841" s="99"/>
      <c r="C3841" s="100" t="s">
        <v>5</v>
      </c>
      <c r="D3841" s="97"/>
    </row>
    <row r="3842" spans="1:4" ht="42.75" customHeight="1" thickBot="1">
      <c r="A3842" s="101">
        <v>62</v>
      </c>
      <c r="B3842" s="102"/>
      <c r="C3842" s="96" t="s">
        <v>6</v>
      </c>
      <c r="D3842" s="97"/>
    </row>
    <row r="3843" spans="1:4" ht="42.75" customHeight="1" thickBot="1">
      <c r="A3843" s="103"/>
      <c r="B3843" s="104"/>
      <c r="C3843" s="96" t="s">
        <v>21</v>
      </c>
      <c r="D3843" s="97"/>
    </row>
    <row r="3844" spans="1:4" ht="42.75" customHeight="1" thickBot="1">
      <c r="A3844" s="105">
        <f>A3842*A3841</f>
        <v>0</v>
      </c>
      <c r="B3844" s="106"/>
      <c r="C3844" s="96" t="s">
        <v>7</v>
      </c>
      <c r="D3844" s="97"/>
    </row>
    <row r="3845" spans="1:4" ht="42.75" customHeight="1" thickBot="1">
      <c r="A3845" s="107" t="s">
        <v>17</v>
      </c>
      <c r="B3845" s="108"/>
      <c r="C3845" s="108"/>
      <c r="D3845" s="109"/>
    </row>
    <row r="3846" spans="1:4" ht="42.75" customHeight="1" thickBot="1">
      <c r="A3846" s="116" t="s">
        <v>20</v>
      </c>
      <c r="B3846" s="117"/>
      <c r="C3846" s="117"/>
      <c r="D3846" s="118"/>
    </row>
    <row r="3847" spans="1:4" ht="42.75" customHeight="1" thickBot="1">
      <c r="A3847" s="113" t="s">
        <v>18</v>
      </c>
      <c r="B3847" s="114"/>
      <c r="C3847" s="114"/>
      <c r="D3847" s="115"/>
    </row>
    <row r="3848" spans="1:4" ht="42.75" customHeight="1" thickBot="1">
      <c r="A3848" s="119"/>
      <c r="B3848" s="119"/>
      <c r="C3848" s="119"/>
      <c r="D3848" s="119"/>
    </row>
    <row r="3849" spans="1:4" ht="42.75" customHeight="1" thickBot="1">
      <c r="A3849" s="120" t="s">
        <v>19</v>
      </c>
      <c r="B3849" s="121"/>
      <c r="C3849" s="121"/>
      <c r="D3849" s="122"/>
    </row>
    <row r="3850" spans="1:4" ht="42.75" customHeight="1" thickBot="1">
      <c r="A3850" s="123" t="s">
        <v>11</v>
      </c>
      <c r="B3850" s="124"/>
      <c r="C3850" s="125" t="s">
        <v>603</v>
      </c>
      <c r="D3850" s="124"/>
    </row>
    <row r="3851" spans="1:4" ht="42.75" customHeight="1" thickBot="1">
      <c r="A3851" s="1" t="s">
        <v>686</v>
      </c>
      <c r="B3851" s="26" t="s">
        <v>1</v>
      </c>
      <c r="C3851" s="90" t="s">
        <v>137</v>
      </c>
      <c r="D3851" s="91"/>
    </row>
    <row r="3852" spans="1:4" ht="42.75" customHeight="1" thickBot="1">
      <c r="A3852" s="26"/>
      <c r="B3852" s="26" t="s">
        <v>0</v>
      </c>
      <c r="C3852" s="5" t="s">
        <v>687</v>
      </c>
      <c r="D3852" s="4" t="s">
        <v>2</v>
      </c>
    </row>
    <row r="3853" spans="1:4" ht="42.75" customHeight="1" thickBot="1">
      <c r="A3853" s="92">
        <v>375</v>
      </c>
      <c r="B3853" s="93"/>
      <c r="C3853" s="94" t="s">
        <v>3</v>
      </c>
      <c r="D3853" s="95"/>
    </row>
    <row r="3854" spans="1:4" ht="42.75" customHeight="1" thickBot="1">
      <c r="A3854" s="92">
        <v>379</v>
      </c>
      <c r="B3854" s="93"/>
      <c r="C3854" s="96" t="s">
        <v>4</v>
      </c>
      <c r="D3854" s="97"/>
    </row>
    <row r="3855" spans="1:4" ht="42.75" customHeight="1" thickBot="1">
      <c r="A3855" s="98">
        <v>8</v>
      </c>
      <c r="B3855" s="99"/>
      <c r="C3855" s="100" t="s">
        <v>5</v>
      </c>
      <c r="D3855" s="97"/>
    </row>
    <row r="3856" spans="1:4" ht="42.75" customHeight="1" thickBot="1">
      <c r="A3856" s="101">
        <v>62</v>
      </c>
      <c r="B3856" s="102"/>
      <c r="C3856" s="96" t="s">
        <v>6</v>
      </c>
      <c r="D3856" s="97"/>
    </row>
    <row r="3857" spans="1:4" ht="42.75" customHeight="1" thickBot="1">
      <c r="A3857" s="103"/>
      <c r="B3857" s="104"/>
      <c r="C3857" s="96" t="s">
        <v>21</v>
      </c>
      <c r="D3857" s="97"/>
    </row>
    <row r="3858" spans="1:4" ht="42.75" customHeight="1" thickBot="1">
      <c r="A3858" s="105">
        <v>500</v>
      </c>
      <c r="B3858" s="106"/>
      <c r="C3858" s="96" t="s">
        <v>7</v>
      </c>
      <c r="D3858" s="97"/>
    </row>
    <row r="3859" spans="1:4" ht="42.75" customHeight="1" thickBot="1">
      <c r="A3859" s="107" t="s">
        <v>17</v>
      </c>
      <c r="B3859" s="108"/>
      <c r="C3859" s="108"/>
      <c r="D3859" s="109"/>
    </row>
    <row r="3860" spans="1:4" ht="42.75" customHeight="1" thickBot="1">
      <c r="A3860" s="110" t="s">
        <v>20</v>
      </c>
      <c r="B3860" s="111"/>
      <c r="C3860" s="111"/>
      <c r="D3860" s="112"/>
    </row>
    <row r="3861" spans="1:4" ht="42.75" customHeight="1" thickBot="1">
      <c r="A3861" s="113" t="s">
        <v>18</v>
      </c>
      <c r="B3861" s="114"/>
      <c r="C3861" s="114"/>
      <c r="D3861" s="115"/>
    </row>
    <row r="3862" spans="1:4" ht="42.75" customHeight="1" thickBot="1">
      <c r="A3862" s="120" t="s">
        <v>19</v>
      </c>
      <c r="B3862" s="121"/>
      <c r="C3862" s="121"/>
      <c r="D3862" s="122"/>
    </row>
    <row r="3863" spans="1:4" ht="42.75" customHeight="1" thickBot="1">
      <c r="A3863" s="123" t="s">
        <v>11</v>
      </c>
      <c r="B3863" s="124"/>
      <c r="C3863" s="125" t="s">
        <v>603</v>
      </c>
      <c r="D3863" s="124"/>
    </row>
    <row r="3864" spans="1:4" ht="42.75" customHeight="1" thickBot="1">
      <c r="A3864" s="1" t="s">
        <v>686</v>
      </c>
      <c r="B3864" s="26" t="s">
        <v>1</v>
      </c>
      <c r="C3864" s="90" t="s">
        <v>138</v>
      </c>
      <c r="D3864" s="91"/>
    </row>
    <row r="3865" spans="1:4" ht="42.75" customHeight="1" thickBot="1">
      <c r="A3865" s="26"/>
      <c r="B3865" s="26" t="s">
        <v>0</v>
      </c>
      <c r="C3865" s="5" t="s">
        <v>687</v>
      </c>
      <c r="D3865" s="4" t="s">
        <v>2</v>
      </c>
    </row>
    <row r="3866" spans="1:4" ht="42.75" customHeight="1" thickBot="1">
      <c r="A3866" s="92">
        <v>4530</v>
      </c>
      <c r="B3866" s="93"/>
      <c r="C3866" s="94" t="s">
        <v>3</v>
      </c>
      <c r="D3866" s="95"/>
    </row>
    <row r="3867" spans="1:4" ht="42.75" customHeight="1" thickBot="1">
      <c r="A3867" s="92">
        <v>4530</v>
      </c>
      <c r="B3867" s="93"/>
      <c r="C3867" s="96" t="s">
        <v>4</v>
      </c>
      <c r="D3867" s="97"/>
    </row>
    <row r="3868" spans="1:4" ht="42.75" customHeight="1" thickBot="1">
      <c r="A3868" s="98">
        <f>A3867-A3866</f>
        <v>0</v>
      </c>
      <c r="B3868" s="99"/>
      <c r="C3868" s="100" t="s">
        <v>5</v>
      </c>
      <c r="D3868" s="97"/>
    </row>
    <row r="3869" spans="1:4" ht="42.75" customHeight="1" thickBot="1">
      <c r="A3869" s="101">
        <v>62</v>
      </c>
      <c r="B3869" s="102"/>
      <c r="C3869" s="96" t="s">
        <v>6</v>
      </c>
      <c r="D3869" s="97"/>
    </row>
    <row r="3870" spans="1:4" ht="42.75" customHeight="1" thickBot="1">
      <c r="A3870" s="103"/>
      <c r="B3870" s="104"/>
      <c r="C3870" s="96" t="s">
        <v>21</v>
      </c>
      <c r="D3870" s="97"/>
    </row>
    <row r="3871" spans="1:4" ht="42.75" customHeight="1" thickBot="1">
      <c r="A3871" s="105">
        <f>A3869*A3868</f>
        <v>0</v>
      </c>
      <c r="B3871" s="106"/>
      <c r="C3871" s="96" t="s">
        <v>7</v>
      </c>
      <c r="D3871" s="97"/>
    </row>
    <row r="3872" spans="1:4" ht="42.75" customHeight="1" thickBot="1">
      <c r="A3872" s="107" t="s">
        <v>17</v>
      </c>
      <c r="B3872" s="108"/>
      <c r="C3872" s="108"/>
      <c r="D3872" s="109"/>
    </row>
    <row r="3873" spans="1:4" ht="42.75" customHeight="1" thickBot="1">
      <c r="A3873" s="116" t="s">
        <v>20</v>
      </c>
      <c r="B3873" s="117"/>
      <c r="C3873" s="117"/>
      <c r="D3873" s="118"/>
    </row>
    <row r="3874" spans="1:4" ht="42.75" customHeight="1" thickBot="1">
      <c r="A3874" s="113" t="s">
        <v>18</v>
      </c>
      <c r="B3874" s="114"/>
      <c r="C3874" s="114"/>
      <c r="D3874" s="115"/>
    </row>
    <row r="3875" spans="1:4" ht="42.75" customHeight="1" thickBot="1">
      <c r="A3875" s="119"/>
      <c r="B3875" s="119"/>
      <c r="C3875" s="119"/>
      <c r="D3875" s="119"/>
    </row>
    <row r="3876" spans="1:4" ht="42.75" customHeight="1" thickBot="1">
      <c r="A3876" s="120" t="s">
        <v>19</v>
      </c>
      <c r="B3876" s="121"/>
      <c r="C3876" s="121"/>
      <c r="D3876" s="122"/>
    </row>
    <row r="3877" spans="1:4" ht="42.75" customHeight="1" thickBot="1">
      <c r="A3877" s="123" t="s">
        <v>11</v>
      </c>
      <c r="B3877" s="124"/>
      <c r="C3877" s="125" t="s">
        <v>603</v>
      </c>
      <c r="D3877" s="124"/>
    </row>
    <row r="3878" spans="1:4" ht="42.75" customHeight="1" thickBot="1">
      <c r="A3878" s="1" t="s">
        <v>686</v>
      </c>
      <c r="B3878" s="26" t="s">
        <v>1</v>
      </c>
      <c r="C3878" s="90" t="s">
        <v>138</v>
      </c>
      <c r="D3878" s="91"/>
    </row>
    <row r="3879" spans="1:4" ht="42.75" customHeight="1" thickBot="1">
      <c r="A3879" s="26"/>
      <c r="B3879" s="26" t="s">
        <v>0</v>
      </c>
      <c r="C3879" s="5" t="s">
        <v>687</v>
      </c>
      <c r="D3879" s="4" t="s">
        <v>2</v>
      </c>
    </row>
    <row r="3880" spans="1:4" ht="42.75" customHeight="1" thickBot="1">
      <c r="A3880" s="92">
        <v>4405</v>
      </c>
      <c r="B3880" s="93"/>
      <c r="C3880" s="94" t="s">
        <v>3</v>
      </c>
      <c r="D3880" s="95"/>
    </row>
    <row r="3881" spans="1:4" ht="42.75" customHeight="1" thickBot="1">
      <c r="A3881" s="92">
        <v>4530</v>
      </c>
      <c r="B3881" s="93"/>
      <c r="C3881" s="96" t="s">
        <v>4</v>
      </c>
      <c r="D3881" s="97"/>
    </row>
    <row r="3882" spans="1:4" ht="42.75" customHeight="1" thickBot="1">
      <c r="A3882" s="98">
        <f>A3881-A3880</f>
        <v>125</v>
      </c>
      <c r="B3882" s="99"/>
      <c r="C3882" s="100" t="s">
        <v>5</v>
      </c>
      <c r="D3882" s="97"/>
    </row>
    <row r="3883" spans="1:4" ht="42.75" customHeight="1" thickBot="1">
      <c r="A3883" s="101">
        <v>62</v>
      </c>
      <c r="B3883" s="102"/>
      <c r="C3883" s="96" t="s">
        <v>6</v>
      </c>
      <c r="D3883" s="97"/>
    </row>
    <row r="3884" spans="1:4" ht="42.75" customHeight="1" thickBot="1">
      <c r="A3884" s="103"/>
      <c r="B3884" s="104"/>
      <c r="C3884" s="96" t="s">
        <v>21</v>
      </c>
      <c r="D3884" s="97"/>
    </row>
    <row r="3885" spans="1:4" ht="42.75" customHeight="1" thickBot="1">
      <c r="A3885" s="105">
        <f>A3883*A3882</f>
        <v>7750</v>
      </c>
      <c r="B3885" s="106"/>
      <c r="C3885" s="96" t="s">
        <v>7</v>
      </c>
      <c r="D3885" s="97"/>
    </row>
    <row r="3886" spans="1:4" ht="42.75" customHeight="1" thickBot="1">
      <c r="A3886" s="107" t="s">
        <v>17</v>
      </c>
      <c r="B3886" s="108"/>
      <c r="C3886" s="108"/>
      <c r="D3886" s="109"/>
    </row>
    <row r="3887" spans="1:4" ht="42.75" customHeight="1" thickBot="1">
      <c r="A3887" s="110" t="s">
        <v>20</v>
      </c>
      <c r="B3887" s="111"/>
      <c r="C3887" s="111"/>
      <c r="D3887" s="112"/>
    </row>
    <row r="3888" spans="1:4" ht="42.75" customHeight="1" thickBot="1">
      <c r="A3888" s="113" t="s">
        <v>18</v>
      </c>
      <c r="B3888" s="114"/>
      <c r="C3888" s="114"/>
      <c r="D3888" s="115"/>
    </row>
    <row r="3889" spans="1:4" ht="42.75" customHeight="1" thickBot="1">
      <c r="A3889" s="120" t="s">
        <v>19</v>
      </c>
      <c r="B3889" s="121"/>
      <c r="C3889" s="121"/>
      <c r="D3889" s="122"/>
    </row>
    <row r="3890" spans="1:4" ht="42.75" customHeight="1" thickBot="1">
      <c r="A3890" s="123" t="s">
        <v>11</v>
      </c>
      <c r="B3890" s="124"/>
      <c r="C3890" s="125" t="s">
        <v>603</v>
      </c>
      <c r="D3890" s="124"/>
    </row>
    <row r="3891" spans="1:4" ht="42.75" customHeight="1" thickBot="1">
      <c r="A3891" s="1" t="s">
        <v>686</v>
      </c>
      <c r="B3891" s="26" t="s">
        <v>1</v>
      </c>
      <c r="C3891" s="90" t="s">
        <v>139</v>
      </c>
      <c r="D3891" s="91"/>
    </row>
    <row r="3892" spans="1:4" ht="42.75" customHeight="1" thickBot="1">
      <c r="A3892" s="26"/>
      <c r="B3892" s="26" t="s">
        <v>0</v>
      </c>
      <c r="C3892" s="5" t="s">
        <v>687</v>
      </c>
      <c r="D3892" s="4" t="s">
        <v>2</v>
      </c>
    </row>
    <row r="3893" spans="1:4" ht="42.75" customHeight="1" thickBot="1">
      <c r="A3893" s="92">
        <v>2835</v>
      </c>
      <c r="B3893" s="93"/>
      <c r="C3893" s="94" t="s">
        <v>3</v>
      </c>
      <c r="D3893" s="95"/>
    </row>
    <row r="3894" spans="1:4" ht="42.75" customHeight="1" thickBot="1">
      <c r="A3894" s="92">
        <v>2835</v>
      </c>
      <c r="B3894" s="93"/>
      <c r="C3894" s="96" t="s">
        <v>4</v>
      </c>
      <c r="D3894" s="97"/>
    </row>
    <row r="3895" spans="1:4" ht="42.75" customHeight="1" thickBot="1">
      <c r="A3895" s="98">
        <f>A3894-A3893</f>
        <v>0</v>
      </c>
      <c r="B3895" s="99"/>
      <c r="C3895" s="100" t="s">
        <v>5</v>
      </c>
      <c r="D3895" s="97"/>
    </row>
    <row r="3896" spans="1:4" ht="42.75" customHeight="1" thickBot="1">
      <c r="A3896" s="101">
        <v>62</v>
      </c>
      <c r="B3896" s="102"/>
      <c r="C3896" s="96" t="s">
        <v>6</v>
      </c>
      <c r="D3896" s="97"/>
    </row>
    <row r="3897" spans="1:4" ht="42.75" customHeight="1" thickBot="1">
      <c r="A3897" s="103"/>
      <c r="B3897" s="104"/>
      <c r="C3897" s="96" t="s">
        <v>21</v>
      </c>
      <c r="D3897" s="97"/>
    </row>
    <row r="3898" spans="1:4" ht="42.75" customHeight="1" thickBot="1">
      <c r="A3898" s="105">
        <f>A3896*A3895</f>
        <v>0</v>
      </c>
      <c r="B3898" s="106"/>
      <c r="C3898" s="96" t="s">
        <v>7</v>
      </c>
      <c r="D3898" s="97"/>
    </row>
    <row r="3899" spans="1:4" ht="42.75" customHeight="1" thickBot="1">
      <c r="A3899" s="107" t="s">
        <v>17</v>
      </c>
      <c r="B3899" s="108"/>
      <c r="C3899" s="108"/>
      <c r="D3899" s="109"/>
    </row>
    <row r="3900" spans="1:4" ht="42.75" customHeight="1" thickBot="1">
      <c r="A3900" s="116" t="s">
        <v>20</v>
      </c>
      <c r="B3900" s="117"/>
      <c r="C3900" s="117"/>
      <c r="D3900" s="118"/>
    </row>
    <row r="3901" spans="1:4" ht="42.75" customHeight="1" thickBot="1">
      <c r="A3901" s="113" t="s">
        <v>18</v>
      </c>
      <c r="B3901" s="114"/>
      <c r="C3901" s="114"/>
      <c r="D3901" s="115"/>
    </row>
    <row r="3902" spans="1:4" ht="42.75" customHeight="1" thickBot="1">
      <c r="A3902" s="119"/>
      <c r="B3902" s="119"/>
      <c r="C3902" s="119"/>
      <c r="D3902" s="119"/>
    </row>
    <row r="3903" spans="1:4" ht="42.75" customHeight="1" thickBot="1">
      <c r="A3903" s="120" t="s">
        <v>19</v>
      </c>
      <c r="B3903" s="121"/>
      <c r="C3903" s="121"/>
      <c r="D3903" s="122"/>
    </row>
    <row r="3904" spans="1:4" ht="42.75" customHeight="1" thickBot="1">
      <c r="A3904" s="123" t="s">
        <v>11</v>
      </c>
      <c r="B3904" s="124"/>
      <c r="C3904" s="125" t="s">
        <v>603</v>
      </c>
      <c r="D3904" s="124"/>
    </row>
    <row r="3905" spans="1:4" ht="42.75" customHeight="1" thickBot="1">
      <c r="A3905" s="1" t="s">
        <v>686</v>
      </c>
      <c r="B3905" s="26" t="s">
        <v>1</v>
      </c>
      <c r="C3905" s="90" t="s">
        <v>139</v>
      </c>
      <c r="D3905" s="91"/>
    </row>
    <row r="3906" spans="1:4" ht="42.75" customHeight="1" thickBot="1">
      <c r="A3906" s="26"/>
      <c r="B3906" s="26" t="s">
        <v>0</v>
      </c>
      <c r="C3906" s="5" t="s">
        <v>687</v>
      </c>
      <c r="D3906" s="4" t="s">
        <v>2</v>
      </c>
    </row>
    <row r="3907" spans="1:4" ht="42.75" customHeight="1" thickBot="1">
      <c r="A3907" s="92">
        <v>2810</v>
      </c>
      <c r="B3907" s="93"/>
      <c r="C3907" s="94" t="s">
        <v>3</v>
      </c>
      <c r="D3907" s="95"/>
    </row>
    <row r="3908" spans="1:4" ht="42.75" customHeight="1" thickBot="1">
      <c r="A3908" s="92">
        <v>2835</v>
      </c>
      <c r="B3908" s="93"/>
      <c r="C3908" s="96" t="s">
        <v>4</v>
      </c>
      <c r="D3908" s="97"/>
    </row>
    <row r="3909" spans="1:4" ht="42.75" customHeight="1" thickBot="1">
      <c r="A3909" s="98">
        <f>A3908-A3907</f>
        <v>25</v>
      </c>
      <c r="B3909" s="99"/>
      <c r="C3909" s="100" t="s">
        <v>5</v>
      </c>
      <c r="D3909" s="97"/>
    </row>
    <row r="3910" spans="1:4" ht="42.75" customHeight="1" thickBot="1">
      <c r="A3910" s="101">
        <v>62</v>
      </c>
      <c r="B3910" s="102"/>
      <c r="C3910" s="96" t="s">
        <v>6</v>
      </c>
      <c r="D3910" s="97"/>
    </row>
    <row r="3911" spans="1:4" ht="42.75" customHeight="1" thickBot="1">
      <c r="A3911" s="103"/>
      <c r="B3911" s="104"/>
      <c r="C3911" s="96" t="s">
        <v>21</v>
      </c>
      <c r="D3911" s="97"/>
    </row>
    <row r="3912" spans="1:4" ht="42.75" customHeight="1" thickBot="1">
      <c r="A3912" s="105">
        <f>A3910*A3909</f>
        <v>1550</v>
      </c>
      <c r="B3912" s="106"/>
      <c r="C3912" s="96" t="s">
        <v>7</v>
      </c>
      <c r="D3912" s="97"/>
    </row>
    <row r="3913" spans="1:4" ht="42.75" customHeight="1" thickBot="1">
      <c r="A3913" s="107" t="s">
        <v>17</v>
      </c>
      <c r="B3913" s="108"/>
      <c r="C3913" s="108"/>
      <c r="D3913" s="109"/>
    </row>
    <row r="3914" spans="1:4" ht="42.75" customHeight="1" thickBot="1">
      <c r="A3914" s="110" t="s">
        <v>20</v>
      </c>
      <c r="B3914" s="111"/>
      <c r="C3914" s="111"/>
      <c r="D3914" s="112"/>
    </row>
    <row r="3915" spans="1:4" ht="42.75" customHeight="1" thickBot="1">
      <c r="A3915" s="113" t="s">
        <v>18</v>
      </c>
      <c r="B3915" s="114"/>
      <c r="C3915" s="114"/>
      <c r="D3915" s="115"/>
    </row>
    <row r="3916" spans="1:4" ht="42.75" customHeight="1" thickBot="1">
      <c r="A3916" s="120" t="s">
        <v>19</v>
      </c>
      <c r="B3916" s="121"/>
      <c r="C3916" s="121"/>
      <c r="D3916" s="122"/>
    </row>
    <row r="3917" spans="1:4" ht="42.75" customHeight="1" thickBot="1">
      <c r="A3917" s="123" t="s">
        <v>11</v>
      </c>
      <c r="B3917" s="124"/>
      <c r="C3917" s="125" t="s">
        <v>603</v>
      </c>
      <c r="D3917" s="124"/>
    </row>
    <row r="3918" spans="1:4" ht="42.75" customHeight="1" thickBot="1">
      <c r="A3918" s="1" t="s">
        <v>686</v>
      </c>
      <c r="B3918" s="26" t="s">
        <v>1</v>
      </c>
      <c r="C3918" s="90" t="s">
        <v>140</v>
      </c>
      <c r="D3918" s="91"/>
    </row>
    <row r="3919" spans="1:4" ht="42.75" customHeight="1" thickBot="1">
      <c r="A3919" s="26"/>
      <c r="B3919" s="26" t="s">
        <v>0</v>
      </c>
      <c r="C3919" s="5" t="s">
        <v>687</v>
      </c>
      <c r="D3919" s="4" t="s">
        <v>2</v>
      </c>
    </row>
    <row r="3920" spans="1:4" ht="42.75" customHeight="1" thickBot="1">
      <c r="A3920" s="92">
        <v>3015</v>
      </c>
      <c r="B3920" s="93"/>
      <c r="C3920" s="94" t="s">
        <v>3</v>
      </c>
      <c r="D3920" s="95"/>
    </row>
    <row r="3921" spans="1:4" ht="42.75" customHeight="1" thickBot="1">
      <c r="A3921" s="92">
        <v>3015</v>
      </c>
      <c r="B3921" s="93"/>
      <c r="C3921" s="96" t="s">
        <v>4</v>
      </c>
      <c r="D3921" s="97"/>
    </row>
    <row r="3922" spans="1:4" ht="42.75" customHeight="1" thickBot="1">
      <c r="A3922" s="98">
        <f>A3921-A3920</f>
        <v>0</v>
      </c>
      <c r="B3922" s="99"/>
      <c r="C3922" s="100" t="s">
        <v>5</v>
      </c>
      <c r="D3922" s="97"/>
    </row>
    <row r="3923" spans="1:4" ht="42.75" customHeight="1" thickBot="1">
      <c r="A3923" s="101">
        <v>62</v>
      </c>
      <c r="B3923" s="102"/>
      <c r="C3923" s="96" t="s">
        <v>6</v>
      </c>
      <c r="D3923" s="97"/>
    </row>
    <row r="3924" spans="1:4" ht="42.75" customHeight="1" thickBot="1">
      <c r="A3924" s="103"/>
      <c r="B3924" s="104"/>
      <c r="C3924" s="96" t="s">
        <v>21</v>
      </c>
      <c r="D3924" s="97"/>
    </row>
    <row r="3925" spans="1:4" ht="42.75" customHeight="1" thickBot="1">
      <c r="A3925" s="105">
        <f>A3923*A3922</f>
        <v>0</v>
      </c>
      <c r="B3925" s="106"/>
      <c r="C3925" s="96" t="s">
        <v>7</v>
      </c>
      <c r="D3925" s="97"/>
    </row>
    <row r="3926" spans="1:4" ht="42.75" customHeight="1" thickBot="1">
      <c r="A3926" s="107" t="s">
        <v>17</v>
      </c>
      <c r="B3926" s="108"/>
      <c r="C3926" s="108"/>
      <c r="D3926" s="109"/>
    </row>
    <row r="3927" spans="1:4" ht="42.75" customHeight="1" thickBot="1">
      <c r="A3927" s="116" t="s">
        <v>20</v>
      </c>
      <c r="B3927" s="117"/>
      <c r="C3927" s="117"/>
      <c r="D3927" s="118"/>
    </row>
    <row r="3928" spans="1:4" ht="42.75" customHeight="1" thickBot="1">
      <c r="A3928" s="113" t="s">
        <v>18</v>
      </c>
      <c r="B3928" s="114"/>
      <c r="C3928" s="114"/>
      <c r="D3928" s="115"/>
    </row>
    <row r="3929" spans="1:4" ht="42.75" customHeight="1" thickBot="1">
      <c r="A3929" s="119"/>
      <c r="B3929" s="119"/>
      <c r="C3929" s="119"/>
      <c r="D3929" s="119"/>
    </row>
    <row r="3930" spans="1:4" ht="42.75" customHeight="1" thickBot="1">
      <c r="A3930" s="120" t="s">
        <v>19</v>
      </c>
      <c r="B3930" s="121"/>
      <c r="C3930" s="121"/>
      <c r="D3930" s="122"/>
    </row>
    <row r="3931" spans="1:4" ht="42.75" customHeight="1" thickBot="1">
      <c r="A3931" s="123" t="s">
        <v>11</v>
      </c>
      <c r="B3931" s="124"/>
      <c r="C3931" s="125" t="s">
        <v>603</v>
      </c>
      <c r="D3931" s="124"/>
    </row>
    <row r="3932" spans="1:4" ht="42.75" customHeight="1" thickBot="1">
      <c r="A3932" s="1" t="s">
        <v>686</v>
      </c>
      <c r="B3932" s="26" t="s">
        <v>1</v>
      </c>
      <c r="C3932" s="90" t="s">
        <v>140</v>
      </c>
      <c r="D3932" s="91"/>
    </row>
    <row r="3933" spans="1:4" ht="42.75" customHeight="1" thickBot="1">
      <c r="A3933" s="26"/>
      <c r="B3933" s="26" t="s">
        <v>0</v>
      </c>
      <c r="C3933" s="5" t="s">
        <v>687</v>
      </c>
      <c r="D3933" s="4" t="s">
        <v>2</v>
      </c>
    </row>
    <row r="3934" spans="1:4" ht="42.75" customHeight="1" thickBot="1">
      <c r="A3934" s="92">
        <v>2980</v>
      </c>
      <c r="B3934" s="93"/>
      <c r="C3934" s="94" t="s">
        <v>3</v>
      </c>
      <c r="D3934" s="95"/>
    </row>
    <row r="3935" spans="1:4" ht="42.75" customHeight="1" thickBot="1">
      <c r="A3935" s="92">
        <v>3015</v>
      </c>
      <c r="B3935" s="93"/>
      <c r="C3935" s="96" t="s">
        <v>4</v>
      </c>
      <c r="D3935" s="97"/>
    </row>
    <row r="3936" spans="1:4" ht="42.75" customHeight="1" thickBot="1">
      <c r="A3936" s="98">
        <f>A3935-A3934</f>
        <v>35</v>
      </c>
      <c r="B3936" s="99"/>
      <c r="C3936" s="100" t="s">
        <v>5</v>
      </c>
      <c r="D3936" s="97"/>
    </row>
    <row r="3937" spans="1:4" ht="42.75" customHeight="1" thickBot="1">
      <c r="A3937" s="101">
        <v>62</v>
      </c>
      <c r="B3937" s="102"/>
      <c r="C3937" s="96" t="s">
        <v>6</v>
      </c>
      <c r="D3937" s="97"/>
    </row>
    <row r="3938" spans="1:4" ht="42.75" customHeight="1" thickBot="1">
      <c r="A3938" s="103"/>
      <c r="B3938" s="104"/>
      <c r="C3938" s="96" t="s">
        <v>21</v>
      </c>
      <c r="D3938" s="97"/>
    </row>
    <row r="3939" spans="1:4" ht="42.75" customHeight="1" thickBot="1">
      <c r="A3939" s="105">
        <v>2200</v>
      </c>
      <c r="B3939" s="106"/>
      <c r="C3939" s="96" t="s">
        <v>7</v>
      </c>
      <c r="D3939" s="97"/>
    </row>
    <row r="3940" spans="1:4" ht="42.75" customHeight="1" thickBot="1">
      <c r="A3940" s="107" t="s">
        <v>17</v>
      </c>
      <c r="B3940" s="108"/>
      <c r="C3940" s="108"/>
      <c r="D3940" s="109"/>
    </row>
    <row r="3941" spans="1:4" ht="42.75" customHeight="1" thickBot="1">
      <c r="A3941" s="110" t="s">
        <v>20</v>
      </c>
      <c r="B3941" s="111"/>
      <c r="C3941" s="111"/>
      <c r="D3941" s="112"/>
    </row>
    <row r="3942" spans="1:4" ht="42.75" customHeight="1" thickBot="1">
      <c r="A3942" s="113" t="s">
        <v>18</v>
      </c>
      <c r="B3942" s="114"/>
      <c r="C3942" s="114"/>
      <c r="D3942" s="115"/>
    </row>
    <row r="3943" spans="1:4" ht="42.75" customHeight="1" thickBot="1">
      <c r="A3943" s="120" t="s">
        <v>19</v>
      </c>
      <c r="B3943" s="121"/>
      <c r="C3943" s="121"/>
      <c r="D3943" s="122"/>
    </row>
    <row r="3944" spans="1:4" ht="42.75" customHeight="1" thickBot="1">
      <c r="A3944" s="123" t="s">
        <v>11</v>
      </c>
      <c r="B3944" s="124"/>
      <c r="C3944" s="125" t="s">
        <v>603</v>
      </c>
      <c r="D3944" s="124"/>
    </row>
    <row r="3945" spans="1:4" ht="42.75" customHeight="1" thickBot="1">
      <c r="A3945" s="1" t="s">
        <v>686</v>
      </c>
      <c r="B3945" s="26" t="s">
        <v>1</v>
      </c>
      <c r="C3945" s="90" t="s">
        <v>141</v>
      </c>
      <c r="D3945" s="91"/>
    </row>
    <row r="3946" spans="1:4" ht="42.75" customHeight="1" thickBot="1">
      <c r="A3946" s="26"/>
      <c r="B3946" s="26" t="s">
        <v>0</v>
      </c>
      <c r="C3946" s="5" t="s">
        <v>687</v>
      </c>
      <c r="D3946" s="4" t="s">
        <v>2</v>
      </c>
    </row>
    <row r="3947" spans="1:4" ht="42.75" customHeight="1" thickBot="1">
      <c r="A3947" s="92">
        <v>1200</v>
      </c>
      <c r="B3947" s="93"/>
      <c r="C3947" s="94" t="s">
        <v>3</v>
      </c>
      <c r="D3947" s="95"/>
    </row>
    <row r="3948" spans="1:4" ht="42.75" customHeight="1" thickBot="1">
      <c r="A3948" s="92">
        <v>1200</v>
      </c>
      <c r="B3948" s="93"/>
      <c r="C3948" s="96" t="s">
        <v>4</v>
      </c>
      <c r="D3948" s="97"/>
    </row>
    <row r="3949" spans="1:4" ht="42.75" customHeight="1" thickBot="1">
      <c r="A3949" s="98">
        <f>A3948-A3947</f>
        <v>0</v>
      </c>
      <c r="B3949" s="99"/>
      <c r="C3949" s="100" t="s">
        <v>5</v>
      </c>
      <c r="D3949" s="97"/>
    </row>
    <row r="3950" spans="1:4" ht="42.75" customHeight="1" thickBot="1">
      <c r="A3950" s="101">
        <v>62</v>
      </c>
      <c r="B3950" s="102"/>
      <c r="C3950" s="96" t="s">
        <v>6</v>
      </c>
      <c r="D3950" s="97"/>
    </row>
    <row r="3951" spans="1:4" ht="42.75" customHeight="1" thickBot="1">
      <c r="A3951" s="103"/>
      <c r="B3951" s="104"/>
      <c r="C3951" s="96" t="s">
        <v>21</v>
      </c>
      <c r="D3951" s="97"/>
    </row>
    <row r="3952" spans="1:4" ht="42.75" customHeight="1" thickBot="1">
      <c r="A3952" s="105">
        <f>A3950*A3949</f>
        <v>0</v>
      </c>
      <c r="B3952" s="106"/>
      <c r="C3952" s="96" t="s">
        <v>7</v>
      </c>
      <c r="D3952" s="97"/>
    </row>
    <row r="3953" spans="1:4" ht="42.75" customHeight="1" thickBot="1">
      <c r="A3953" s="107" t="s">
        <v>17</v>
      </c>
      <c r="B3953" s="108"/>
      <c r="C3953" s="108"/>
      <c r="D3953" s="109"/>
    </row>
    <row r="3954" spans="1:4" ht="42.75" customHeight="1" thickBot="1">
      <c r="A3954" s="116" t="s">
        <v>20</v>
      </c>
      <c r="B3954" s="117"/>
      <c r="C3954" s="117"/>
      <c r="D3954" s="118"/>
    </row>
    <row r="3955" spans="1:4" ht="42.75" customHeight="1" thickBot="1">
      <c r="A3955" s="113" t="s">
        <v>18</v>
      </c>
      <c r="B3955" s="114"/>
      <c r="C3955" s="114"/>
      <c r="D3955" s="115"/>
    </row>
    <row r="3956" spans="1:4" ht="42.75" customHeight="1" thickBot="1">
      <c r="A3956" s="119"/>
      <c r="B3956" s="119"/>
      <c r="C3956" s="119"/>
      <c r="D3956" s="119"/>
    </row>
    <row r="3957" spans="1:4" ht="42.75" customHeight="1" thickBot="1">
      <c r="A3957" s="120" t="s">
        <v>19</v>
      </c>
      <c r="B3957" s="121"/>
      <c r="C3957" s="121"/>
      <c r="D3957" s="122"/>
    </row>
    <row r="3958" spans="1:4" ht="42.75" customHeight="1" thickBot="1">
      <c r="A3958" s="123" t="s">
        <v>11</v>
      </c>
      <c r="B3958" s="124"/>
      <c r="C3958" s="125" t="s">
        <v>603</v>
      </c>
      <c r="D3958" s="124"/>
    </row>
    <row r="3959" spans="1:4" ht="42.75" customHeight="1" thickBot="1">
      <c r="A3959" s="1" t="s">
        <v>686</v>
      </c>
      <c r="B3959" s="26" t="s">
        <v>1</v>
      </c>
      <c r="C3959" s="90" t="s">
        <v>141</v>
      </c>
      <c r="D3959" s="91"/>
    </row>
    <row r="3960" spans="1:4" ht="42.75" customHeight="1" thickBot="1">
      <c r="A3960" s="26"/>
      <c r="B3960" s="26" t="s">
        <v>0</v>
      </c>
      <c r="C3960" s="5" t="s">
        <v>687</v>
      </c>
      <c r="D3960" s="4" t="s">
        <v>2</v>
      </c>
    </row>
    <row r="3961" spans="1:4" ht="42.75" customHeight="1" thickBot="1">
      <c r="A3961" s="92">
        <v>1160</v>
      </c>
      <c r="B3961" s="93"/>
      <c r="C3961" s="94" t="s">
        <v>3</v>
      </c>
      <c r="D3961" s="95"/>
    </row>
    <row r="3962" spans="1:4" ht="42.75" customHeight="1" thickBot="1">
      <c r="A3962" s="92">
        <v>1200</v>
      </c>
      <c r="B3962" s="93"/>
      <c r="C3962" s="96" t="s">
        <v>4</v>
      </c>
      <c r="D3962" s="97"/>
    </row>
    <row r="3963" spans="1:4" ht="42.75" customHeight="1" thickBot="1">
      <c r="A3963" s="98">
        <f>A3962-A3961</f>
        <v>40</v>
      </c>
      <c r="B3963" s="99"/>
      <c r="C3963" s="100" t="s">
        <v>5</v>
      </c>
      <c r="D3963" s="97"/>
    </row>
    <row r="3964" spans="1:4" ht="42.75" customHeight="1" thickBot="1">
      <c r="A3964" s="101">
        <v>62</v>
      </c>
      <c r="B3964" s="102"/>
      <c r="C3964" s="96" t="s">
        <v>6</v>
      </c>
      <c r="D3964" s="97"/>
    </row>
    <row r="3965" spans="1:4" ht="42.75" customHeight="1" thickBot="1">
      <c r="A3965" s="103"/>
      <c r="B3965" s="104"/>
      <c r="C3965" s="96" t="s">
        <v>21</v>
      </c>
      <c r="D3965" s="97"/>
    </row>
    <row r="3966" spans="1:4" ht="42.75" customHeight="1" thickBot="1">
      <c r="A3966" s="105">
        <v>2500</v>
      </c>
      <c r="B3966" s="106"/>
      <c r="C3966" s="96" t="s">
        <v>7</v>
      </c>
      <c r="D3966" s="97"/>
    </row>
    <row r="3967" spans="1:4" ht="42.75" customHeight="1" thickBot="1">
      <c r="A3967" s="107" t="s">
        <v>17</v>
      </c>
      <c r="B3967" s="108"/>
      <c r="C3967" s="108"/>
      <c r="D3967" s="109"/>
    </row>
    <row r="3968" spans="1:4" ht="42.75" customHeight="1" thickBot="1">
      <c r="A3968" s="110" t="s">
        <v>20</v>
      </c>
      <c r="B3968" s="111"/>
      <c r="C3968" s="111"/>
      <c r="D3968" s="112"/>
    </row>
    <row r="3969" spans="1:4" ht="42.75" customHeight="1" thickBot="1">
      <c r="A3969" s="113" t="s">
        <v>18</v>
      </c>
      <c r="B3969" s="114"/>
      <c r="C3969" s="114"/>
      <c r="D3969" s="115"/>
    </row>
    <row r="3970" spans="1:4" ht="42.75" customHeight="1" thickBot="1">
      <c r="A3970" s="120" t="s">
        <v>19</v>
      </c>
      <c r="B3970" s="121"/>
      <c r="C3970" s="121"/>
      <c r="D3970" s="122"/>
    </row>
    <row r="3971" spans="1:4" ht="42.75" customHeight="1" thickBot="1">
      <c r="A3971" s="123" t="s">
        <v>11</v>
      </c>
      <c r="B3971" s="124"/>
      <c r="C3971" s="125" t="s">
        <v>603</v>
      </c>
      <c r="D3971" s="124"/>
    </row>
    <row r="3972" spans="1:4" ht="42.75" customHeight="1" thickBot="1">
      <c r="A3972" s="1" t="s">
        <v>686</v>
      </c>
      <c r="B3972" s="26" t="s">
        <v>1</v>
      </c>
      <c r="C3972" s="90" t="s">
        <v>142</v>
      </c>
      <c r="D3972" s="91"/>
    </row>
    <row r="3973" spans="1:4" ht="42.75" customHeight="1" thickBot="1">
      <c r="A3973" s="26"/>
      <c r="B3973" s="26" t="s">
        <v>0</v>
      </c>
      <c r="C3973" s="5" t="s">
        <v>687</v>
      </c>
      <c r="D3973" s="4" t="s">
        <v>2</v>
      </c>
    </row>
    <row r="3974" spans="1:4" ht="42.75" customHeight="1" thickBot="1">
      <c r="A3974" s="92">
        <v>767</v>
      </c>
      <c r="B3974" s="93"/>
      <c r="C3974" s="94" t="s">
        <v>3</v>
      </c>
      <c r="D3974" s="95"/>
    </row>
    <row r="3975" spans="1:4" ht="42.75" customHeight="1" thickBot="1">
      <c r="A3975" s="92">
        <v>767</v>
      </c>
      <c r="B3975" s="93"/>
      <c r="C3975" s="96" t="s">
        <v>4</v>
      </c>
      <c r="D3975" s="97"/>
    </row>
    <row r="3976" spans="1:4" ht="42.75" customHeight="1" thickBot="1">
      <c r="A3976" s="98">
        <f>A3975-A3974</f>
        <v>0</v>
      </c>
      <c r="B3976" s="99"/>
      <c r="C3976" s="100" t="s">
        <v>5</v>
      </c>
      <c r="D3976" s="97"/>
    </row>
    <row r="3977" spans="1:4" ht="42.75" customHeight="1" thickBot="1">
      <c r="A3977" s="101">
        <v>62</v>
      </c>
      <c r="B3977" s="102"/>
      <c r="C3977" s="96" t="s">
        <v>6</v>
      </c>
      <c r="D3977" s="97"/>
    </row>
    <row r="3978" spans="1:4" ht="42.75" customHeight="1" thickBot="1">
      <c r="A3978" s="103"/>
      <c r="B3978" s="104"/>
      <c r="C3978" s="96" t="s">
        <v>21</v>
      </c>
      <c r="D3978" s="97"/>
    </row>
    <row r="3979" spans="1:4" ht="42.75" customHeight="1" thickBot="1">
      <c r="A3979" s="105">
        <f>A3977*A3976</f>
        <v>0</v>
      </c>
      <c r="B3979" s="106"/>
      <c r="C3979" s="96" t="s">
        <v>7</v>
      </c>
      <c r="D3979" s="97"/>
    </row>
    <row r="3980" spans="1:4" ht="42.75" customHeight="1" thickBot="1">
      <c r="A3980" s="107" t="s">
        <v>17</v>
      </c>
      <c r="B3980" s="108"/>
      <c r="C3980" s="108"/>
      <c r="D3980" s="109"/>
    </row>
    <row r="3981" spans="1:4" ht="42.75" customHeight="1" thickBot="1">
      <c r="A3981" s="116" t="s">
        <v>20</v>
      </c>
      <c r="B3981" s="117"/>
      <c r="C3981" s="117"/>
      <c r="D3981" s="118"/>
    </row>
    <row r="3982" spans="1:4" ht="42.75" customHeight="1" thickBot="1">
      <c r="A3982" s="113" t="s">
        <v>18</v>
      </c>
      <c r="B3982" s="114"/>
      <c r="C3982" s="114"/>
      <c r="D3982" s="115"/>
    </row>
    <row r="3983" spans="1:4" ht="42.75" customHeight="1" thickBot="1">
      <c r="A3983" s="119"/>
      <c r="B3983" s="119"/>
      <c r="C3983" s="119"/>
      <c r="D3983" s="119"/>
    </row>
    <row r="3984" spans="1:4" ht="42.75" customHeight="1" thickBot="1">
      <c r="A3984" s="120" t="s">
        <v>19</v>
      </c>
      <c r="B3984" s="121"/>
      <c r="C3984" s="121"/>
      <c r="D3984" s="122"/>
    </row>
    <row r="3985" spans="1:4" ht="42.75" customHeight="1" thickBot="1">
      <c r="A3985" s="123" t="s">
        <v>11</v>
      </c>
      <c r="B3985" s="124"/>
      <c r="C3985" s="125" t="s">
        <v>603</v>
      </c>
      <c r="D3985" s="124"/>
    </row>
    <row r="3986" spans="1:4" ht="42.75" customHeight="1" thickBot="1">
      <c r="A3986" s="1" t="s">
        <v>686</v>
      </c>
      <c r="B3986" s="26" t="s">
        <v>1</v>
      </c>
      <c r="C3986" s="90" t="s">
        <v>142</v>
      </c>
      <c r="D3986" s="91"/>
    </row>
    <row r="3987" spans="1:4" ht="42.75" customHeight="1" thickBot="1">
      <c r="A3987" s="26"/>
      <c r="B3987" s="26" t="s">
        <v>0</v>
      </c>
      <c r="C3987" s="5" t="s">
        <v>687</v>
      </c>
      <c r="D3987" s="4" t="s">
        <v>2</v>
      </c>
    </row>
    <row r="3988" spans="1:4" ht="42.75" customHeight="1" thickBot="1">
      <c r="A3988" s="92">
        <v>758</v>
      </c>
      <c r="B3988" s="93"/>
      <c r="C3988" s="94" t="s">
        <v>3</v>
      </c>
      <c r="D3988" s="95"/>
    </row>
    <row r="3989" spans="1:4" ht="42.75" customHeight="1" thickBot="1">
      <c r="A3989" s="92">
        <v>767</v>
      </c>
      <c r="B3989" s="93"/>
      <c r="C3989" s="96" t="s">
        <v>4</v>
      </c>
      <c r="D3989" s="97"/>
    </row>
    <row r="3990" spans="1:4" ht="42.75" customHeight="1" thickBot="1">
      <c r="A3990" s="98">
        <v>10</v>
      </c>
      <c r="B3990" s="99"/>
      <c r="C3990" s="100" t="s">
        <v>5</v>
      </c>
      <c r="D3990" s="97"/>
    </row>
    <row r="3991" spans="1:4" ht="42.75" customHeight="1" thickBot="1">
      <c r="A3991" s="101">
        <v>62</v>
      </c>
      <c r="B3991" s="102"/>
      <c r="C3991" s="96" t="s">
        <v>6</v>
      </c>
      <c r="D3991" s="97"/>
    </row>
    <row r="3992" spans="1:4" ht="42.75" customHeight="1" thickBot="1">
      <c r="A3992" s="103"/>
      <c r="B3992" s="104"/>
      <c r="C3992" s="96" t="s">
        <v>21</v>
      </c>
      <c r="D3992" s="97"/>
    </row>
    <row r="3993" spans="1:4" ht="42.75" customHeight="1" thickBot="1">
      <c r="A3993" s="105">
        <v>600</v>
      </c>
      <c r="B3993" s="106"/>
      <c r="C3993" s="96" t="s">
        <v>7</v>
      </c>
      <c r="D3993" s="97"/>
    </row>
    <row r="3994" spans="1:4" ht="42.75" customHeight="1" thickBot="1">
      <c r="A3994" s="107" t="s">
        <v>17</v>
      </c>
      <c r="B3994" s="108"/>
      <c r="C3994" s="108"/>
      <c r="D3994" s="109"/>
    </row>
    <row r="3995" spans="1:4" ht="42.75" customHeight="1" thickBot="1">
      <c r="A3995" s="110" t="s">
        <v>20</v>
      </c>
      <c r="B3995" s="111"/>
      <c r="C3995" s="111"/>
      <c r="D3995" s="112"/>
    </row>
    <row r="3996" spans="1:4" ht="42.75" customHeight="1" thickBot="1">
      <c r="A3996" s="113" t="s">
        <v>18</v>
      </c>
      <c r="B3996" s="114"/>
      <c r="C3996" s="114"/>
      <c r="D3996" s="115"/>
    </row>
    <row r="3997" spans="1:4" ht="42.75" customHeight="1" thickBot="1">
      <c r="A3997" s="120" t="s">
        <v>19</v>
      </c>
      <c r="B3997" s="121"/>
      <c r="C3997" s="121"/>
      <c r="D3997" s="122"/>
    </row>
    <row r="3998" spans="1:4" ht="42.75" customHeight="1" thickBot="1">
      <c r="A3998" s="123" t="s">
        <v>11</v>
      </c>
      <c r="B3998" s="124"/>
      <c r="C3998" s="125" t="s">
        <v>603</v>
      </c>
      <c r="D3998" s="124"/>
    </row>
    <row r="3999" spans="1:4" ht="42.75" customHeight="1" thickBot="1">
      <c r="A3999" s="1" t="s">
        <v>686</v>
      </c>
      <c r="B3999" s="26" t="s">
        <v>1</v>
      </c>
      <c r="C3999" s="90" t="s">
        <v>143</v>
      </c>
      <c r="D3999" s="91"/>
    </row>
    <row r="4000" spans="1:4" ht="42.75" customHeight="1" thickBot="1">
      <c r="A4000" s="26"/>
      <c r="B4000" s="26" t="s">
        <v>0</v>
      </c>
      <c r="C4000" s="5" t="s">
        <v>687</v>
      </c>
      <c r="D4000" s="4" t="s">
        <v>2</v>
      </c>
    </row>
    <row r="4001" spans="1:4" ht="42.75" customHeight="1" thickBot="1">
      <c r="A4001" s="92">
        <v>880</v>
      </c>
      <c r="B4001" s="93"/>
      <c r="C4001" s="94" t="s">
        <v>3</v>
      </c>
      <c r="D4001" s="95"/>
    </row>
    <row r="4002" spans="1:4" ht="42.75" customHeight="1" thickBot="1">
      <c r="A4002" s="92">
        <v>880</v>
      </c>
      <c r="B4002" s="93"/>
      <c r="C4002" s="96" t="s">
        <v>4</v>
      </c>
      <c r="D4002" s="97"/>
    </row>
    <row r="4003" spans="1:4" ht="42.75" customHeight="1" thickBot="1">
      <c r="A4003" s="98">
        <f>A4002-A4001</f>
        <v>0</v>
      </c>
      <c r="B4003" s="99"/>
      <c r="C4003" s="100" t="s">
        <v>5</v>
      </c>
      <c r="D4003" s="97"/>
    </row>
    <row r="4004" spans="1:4" ht="42.75" customHeight="1" thickBot="1">
      <c r="A4004" s="101">
        <v>62</v>
      </c>
      <c r="B4004" s="102"/>
      <c r="C4004" s="96" t="s">
        <v>6</v>
      </c>
      <c r="D4004" s="97"/>
    </row>
    <row r="4005" spans="1:4" ht="42.75" customHeight="1" thickBot="1">
      <c r="A4005" s="103"/>
      <c r="B4005" s="104"/>
      <c r="C4005" s="96" t="s">
        <v>21</v>
      </c>
      <c r="D4005" s="97"/>
    </row>
    <row r="4006" spans="1:4" ht="42.75" customHeight="1" thickBot="1">
      <c r="A4006" s="105">
        <f>A4004*A4003</f>
        <v>0</v>
      </c>
      <c r="B4006" s="106"/>
      <c r="C4006" s="96" t="s">
        <v>7</v>
      </c>
      <c r="D4006" s="97"/>
    </row>
    <row r="4007" spans="1:4" ht="42.75" customHeight="1" thickBot="1">
      <c r="A4007" s="107" t="s">
        <v>17</v>
      </c>
      <c r="B4007" s="108"/>
      <c r="C4007" s="108"/>
      <c r="D4007" s="109"/>
    </row>
    <row r="4008" spans="1:4" ht="42.75" customHeight="1" thickBot="1">
      <c r="A4008" s="116" t="s">
        <v>20</v>
      </c>
      <c r="B4008" s="117"/>
      <c r="C4008" s="117"/>
      <c r="D4008" s="118"/>
    </row>
    <row r="4009" spans="1:4" ht="42.75" customHeight="1" thickBot="1">
      <c r="A4009" s="113" t="s">
        <v>18</v>
      </c>
      <c r="B4009" s="114"/>
      <c r="C4009" s="114"/>
      <c r="D4009" s="115"/>
    </row>
    <row r="4010" spans="1:4" ht="42.75" customHeight="1" thickBot="1">
      <c r="A4010" s="119"/>
      <c r="B4010" s="119"/>
      <c r="C4010" s="119"/>
      <c r="D4010" s="119"/>
    </row>
    <row r="4011" spans="1:4" ht="42.75" customHeight="1" thickBot="1">
      <c r="A4011" s="120" t="s">
        <v>19</v>
      </c>
      <c r="B4011" s="121"/>
      <c r="C4011" s="121"/>
      <c r="D4011" s="122"/>
    </row>
    <row r="4012" spans="1:4" ht="42.75" customHeight="1" thickBot="1">
      <c r="A4012" s="123" t="s">
        <v>11</v>
      </c>
      <c r="B4012" s="124"/>
      <c r="C4012" s="125" t="s">
        <v>603</v>
      </c>
      <c r="D4012" s="124"/>
    </row>
    <row r="4013" spans="1:4" ht="42.75" customHeight="1" thickBot="1">
      <c r="A4013" s="1" t="s">
        <v>686</v>
      </c>
      <c r="B4013" s="26" t="s">
        <v>1</v>
      </c>
      <c r="C4013" s="90" t="s">
        <v>143</v>
      </c>
      <c r="D4013" s="91"/>
    </row>
    <row r="4014" spans="1:4" ht="42.75" customHeight="1" thickBot="1">
      <c r="A4014" s="26"/>
      <c r="B4014" s="26" t="s">
        <v>0</v>
      </c>
      <c r="C4014" s="5" t="s">
        <v>687</v>
      </c>
      <c r="D4014" s="4" t="s">
        <v>2</v>
      </c>
    </row>
    <row r="4015" spans="1:4" ht="42.75" customHeight="1" thickBot="1">
      <c r="A4015" s="92">
        <v>872</v>
      </c>
      <c r="B4015" s="93"/>
      <c r="C4015" s="94" t="s">
        <v>3</v>
      </c>
      <c r="D4015" s="95"/>
    </row>
    <row r="4016" spans="1:4" ht="42.75" customHeight="1" thickBot="1">
      <c r="A4016" s="92">
        <v>880</v>
      </c>
      <c r="B4016" s="93"/>
      <c r="C4016" s="96" t="s">
        <v>4</v>
      </c>
      <c r="D4016" s="97"/>
    </row>
    <row r="4017" spans="1:4" ht="42.75" customHeight="1" thickBot="1">
      <c r="A4017" s="98">
        <v>10</v>
      </c>
      <c r="B4017" s="99"/>
      <c r="C4017" s="100" t="s">
        <v>5</v>
      </c>
      <c r="D4017" s="97"/>
    </row>
    <row r="4018" spans="1:4" ht="42.75" customHeight="1" thickBot="1">
      <c r="A4018" s="101">
        <v>62</v>
      </c>
      <c r="B4018" s="102"/>
      <c r="C4018" s="96" t="s">
        <v>6</v>
      </c>
      <c r="D4018" s="97"/>
    </row>
    <row r="4019" spans="1:4" ht="42.75" customHeight="1" thickBot="1">
      <c r="A4019" s="103"/>
      <c r="B4019" s="104"/>
      <c r="C4019" s="96" t="s">
        <v>21</v>
      </c>
      <c r="D4019" s="97"/>
    </row>
    <row r="4020" spans="1:4" ht="42.75" customHeight="1" thickBot="1">
      <c r="A4020" s="105">
        <v>600</v>
      </c>
      <c r="B4020" s="106"/>
      <c r="C4020" s="96" t="s">
        <v>7</v>
      </c>
      <c r="D4020" s="97"/>
    </row>
    <row r="4021" spans="1:4" ht="42.75" customHeight="1" thickBot="1">
      <c r="A4021" s="107" t="s">
        <v>17</v>
      </c>
      <c r="B4021" s="108"/>
      <c r="C4021" s="108"/>
      <c r="D4021" s="109"/>
    </row>
    <row r="4022" spans="1:4" ht="42.75" customHeight="1" thickBot="1">
      <c r="A4022" s="110" t="s">
        <v>20</v>
      </c>
      <c r="B4022" s="111"/>
      <c r="C4022" s="111"/>
      <c r="D4022" s="112"/>
    </row>
    <row r="4023" spans="1:4" ht="42.75" customHeight="1" thickBot="1">
      <c r="A4023" s="113" t="s">
        <v>18</v>
      </c>
      <c r="B4023" s="114"/>
      <c r="C4023" s="114"/>
      <c r="D4023" s="115"/>
    </row>
    <row r="4024" spans="1:4" ht="42.75" customHeight="1" thickBot="1">
      <c r="A4024" s="120" t="s">
        <v>19</v>
      </c>
      <c r="B4024" s="121"/>
      <c r="C4024" s="121"/>
      <c r="D4024" s="122"/>
    </row>
    <row r="4025" spans="1:4" ht="42.75" customHeight="1" thickBot="1">
      <c r="A4025" s="123" t="s">
        <v>11</v>
      </c>
      <c r="B4025" s="124"/>
      <c r="C4025" s="125" t="s">
        <v>603</v>
      </c>
      <c r="D4025" s="124"/>
    </row>
    <row r="4026" spans="1:4" ht="42.75" customHeight="1" thickBot="1">
      <c r="A4026" s="1" t="s">
        <v>686</v>
      </c>
      <c r="B4026" s="26" t="s">
        <v>1</v>
      </c>
      <c r="C4026" s="90" t="s">
        <v>144</v>
      </c>
      <c r="D4026" s="91"/>
    </row>
    <row r="4027" spans="1:4" ht="42.75" customHeight="1" thickBot="1">
      <c r="A4027" s="26"/>
      <c r="B4027" s="26" t="s">
        <v>0</v>
      </c>
      <c r="C4027" s="5" t="s">
        <v>687</v>
      </c>
      <c r="D4027" s="4" t="s">
        <v>2</v>
      </c>
    </row>
    <row r="4028" spans="1:4" ht="42.75" customHeight="1" thickBot="1">
      <c r="A4028" s="92">
        <v>4580</v>
      </c>
      <c r="B4028" s="93"/>
      <c r="C4028" s="94" t="s">
        <v>3</v>
      </c>
      <c r="D4028" s="95"/>
    </row>
    <row r="4029" spans="1:4" ht="42.75" customHeight="1" thickBot="1">
      <c r="A4029" s="92">
        <v>4580</v>
      </c>
      <c r="B4029" s="93"/>
      <c r="C4029" s="96" t="s">
        <v>4</v>
      </c>
      <c r="D4029" s="97"/>
    </row>
    <row r="4030" spans="1:4" ht="42.75" customHeight="1" thickBot="1">
      <c r="A4030" s="98">
        <f>A4029-A4028</f>
        <v>0</v>
      </c>
      <c r="B4030" s="99"/>
      <c r="C4030" s="100" t="s">
        <v>5</v>
      </c>
      <c r="D4030" s="97"/>
    </row>
    <row r="4031" spans="1:4" ht="42.75" customHeight="1" thickBot="1">
      <c r="A4031" s="101">
        <v>40</v>
      </c>
      <c r="B4031" s="102"/>
      <c r="C4031" s="96" t="s">
        <v>6</v>
      </c>
      <c r="D4031" s="97"/>
    </row>
    <row r="4032" spans="1:4" ht="42.75" customHeight="1" thickBot="1">
      <c r="A4032" s="103"/>
      <c r="B4032" s="104"/>
      <c r="C4032" s="96" t="s">
        <v>21</v>
      </c>
      <c r="D4032" s="97"/>
    </row>
    <row r="4033" spans="1:4" ht="42.75" customHeight="1" thickBot="1">
      <c r="A4033" s="105">
        <f>A4031*A4030</f>
        <v>0</v>
      </c>
      <c r="B4033" s="106"/>
      <c r="C4033" s="96" t="s">
        <v>7</v>
      </c>
      <c r="D4033" s="97"/>
    </row>
    <row r="4034" spans="1:4" ht="42.75" customHeight="1" thickBot="1">
      <c r="A4034" s="107" t="s">
        <v>17</v>
      </c>
      <c r="B4034" s="108"/>
      <c r="C4034" s="108"/>
      <c r="D4034" s="109"/>
    </row>
    <row r="4035" spans="1:4" ht="42.75" customHeight="1" thickBot="1">
      <c r="A4035" s="116" t="s">
        <v>20</v>
      </c>
      <c r="B4035" s="117"/>
      <c r="C4035" s="117"/>
      <c r="D4035" s="118"/>
    </row>
    <row r="4036" spans="1:4" ht="42.75" customHeight="1" thickBot="1">
      <c r="A4036" s="113" t="s">
        <v>18</v>
      </c>
      <c r="B4036" s="114"/>
      <c r="C4036" s="114"/>
      <c r="D4036" s="115"/>
    </row>
    <row r="4037" spans="1:4" ht="42.75" customHeight="1" thickBot="1">
      <c r="A4037" s="119"/>
      <c r="B4037" s="119"/>
      <c r="C4037" s="119"/>
      <c r="D4037" s="119"/>
    </row>
    <row r="4038" spans="1:4" ht="42.75" customHeight="1" thickBot="1">
      <c r="A4038" s="120" t="s">
        <v>19</v>
      </c>
      <c r="B4038" s="121"/>
      <c r="C4038" s="121"/>
      <c r="D4038" s="122"/>
    </row>
    <row r="4039" spans="1:4" ht="42.75" customHeight="1" thickBot="1">
      <c r="A4039" s="123" t="s">
        <v>11</v>
      </c>
      <c r="B4039" s="124"/>
      <c r="C4039" s="125" t="s">
        <v>603</v>
      </c>
      <c r="D4039" s="124"/>
    </row>
    <row r="4040" spans="1:4" ht="42.75" customHeight="1" thickBot="1">
      <c r="A4040" s="1" t="s">
        <v>686</v>
      </c>
      <c r="B4040" s="26" t="s">
        <v>1</v>
      </c>
      <c r="C4040" s="90" t="s">
        <v>144</v>
      </c>
      <c r="D4040" s="91"/>
    </row>
    <row r="4041" spans="1:4" ht="42.75" customHeight="1" thickBot="1">
      <c r="A4041" s="26"/>
      <c r="B4041" s="26" t="s">
        <v>0</v>
      </c>
      <c r="C4041" s="5" t="s">
        <v>687</v>
      </c>
      <c r="D4041" s="4" t="s">
        <v>2</v>
      </c>
    </row>
    <row r="4042" spans="1:4" ht="42.75" customHeight="1" thickBot="1">
      <c r="A4042" s="92">
        <v>4550</v>
      </c>
      <c r="B4042" s="93"/>
      <c r="C4042" s="94" t="s">
        <v>3</v>
      </c>
      <c r="D4042" s="95"/>
    </row>
    <row r="4043" spans="1:4" ht="42.75" customHeight="1" thickBot="1">
      <c r="A4043" s="92">
        <v>4580</v>
      </c>
      <c r="B4043" s="93"/>
      <c r="C4043" s="96" t="s">
        <v>4</v>
      </c>
      <c r="D4043" s="97"/>
    </row>
    <row r="4044" spans="1:4" ht="42.75" customHeight="1" thickBot="1">
      <c r="A4044" s="98">
        <f>A4043-A4042</f>
        <v>30</v>
      </c>
      <c r="B4044" s="99"/>
      <c r="C4044" s="100" t="s">
        <v>5</v>
      </c>
      <c r="D4044" s="97"/>
    </row>
    <row r="4045" spans="1:4" ht="42.75" customHeight="1" thickBot="1">
      <c r="A4045" s="101">
        <v>62</v>
      </c>
      <c r="B4045" s="102"/>
      <c r="C4045" s="96" t="s">
        <v>6</v>
      </c>
      <c r="D4045" s="97"/>
    </row>
    <row r="4046" spans="1:4" ht="42.75" customHeight="1" thickBot="1">
      <c r="A4046" s="103"/>
      <c r="B4046" s="104"/>
      <c r="C4046" s="96" t="s">
        <v>21</v>
      </c>
      <c r="D4046" s="97"/>
    </row>
    <row r="4047" spans="1:4" ht="42.75" customHeight="1" thickBot="1">
      <c r="A4047" s="105">
        <f>A4045*A4044</f>
        <v>1860</v>
      </c>
      <c r="B4047" s="106"/>
      <c r="C4047" s="96" t="s">
        <v>7</v>
      </c>
      <c r="D4047" s="97"/>
    </row>
    <row r="4048" spans="1:4" ht="42.75" customHeight="1" thickBot="1">
      <c r="A4048" s="107" t="s">
        <v>17</v>
      </c>
      <c r="B4048" s="108"/>
      <c r="C4048" s="108"/>
      <c r="D4048" s="109"/>
    </row>
    <row r="4049" spans="1:4" ht="42.75" customHeight="1" thickBot="1">
      <c r="A4049" s="110" t="s">
        <v>20</v>
      </c>
      <c r="B4049" s="111"/>
      <c r="C4049" s="111"/>
      <c r="D4049" s="112"/>
    </row>
    <row r="4050" spans="1:4" ht="42.75" customHeight="1" thickBot="1">
      <c r="A4050" s="113" t="s">
        <v>18</v>
      </c>
      <c r="B4050" s="114"/>
      <c r="C4050" s="114"/>
      <c r="D4050" s="115"/>
    </row>
    <row r="4051" spans="1:4" ht="42.75" customHeight="1" thickBot="1">
      <c r="A4051" s="120" t="s">
        <v>19</v>
      </c>
      <c r="B4051" s="121"/>
      <c r="C4051" s="121"/>
      <c r="D4051" s="122"/>
    </row>
    <row r="4052" spans="1:4" ht="42.75" customHeight="1" thickBot="1">
      <c r="A4052" s="123" t="s">
        <v>11</v>
      </c>
      <c r="B4052" s="124"/>
      <c r="C4052" s="125" t="s">
        <v>603</v>
      </c>
      <c r="D4052" s="124"/>
    </row>
    <row r="4053" spans="1:4" ht="42.75" customHeight="1" thickBot="1">
      <c r="A4053" s="1" t="s">
        <v>686</v>
      </c>
      <c r="B4053" s="26" t="s">
        <v>1</v>
      </c>
      <c r="C4053" s="90" t="s">
        <v>145</v>
      </c>
      <c r="D4053" s="91"/>
    </row>
    <row r="4054" spans="1:4" ht="42.75" customHeight="1" thickBot="1">
      <c r="A4054" s="26"/>
      <c r="B4054" s="26" t="s">
        <v>0</v>
      </c>
      <c r="C4054" s="5" t="s">
        <v>687</v>
      </c>
      <c r="D4054" s="4" t="s">
        <v>2</v>
      </c>
    </row>
    <row r="4055" spans="1:4" ht="42.75" customHeight="1" thickBot="1">
      <c r="A4055" s="92">
        <v>2448</v>
      </c>
      <c r="B4055" s="93"/>
      <c r="C4055" s="94" t="s">
        <v>3</v>
      </c>
      <c r="D4055" s="95"/>
    </row>
    <row r="4056" spans="1:4" ht="42.75" customHeight="1" thickBot="1">
      <c r="A4056" s="92">
        <v>2448</v>
      </c>
      <c r="B4056" s="93"/>
      <c r="C4056" s="96" t="s">
        <v>4</v>
      </c>
      <c r="D4056" s="97"/>
    </row>
    <row r="4057" spans="1:4" ht="42.75" customHeight="1" thickBot="1">
      <c r="A4057" s="98">
        <f>A4056-A4055</f>
        <v>0</v>
      </c>
      <c r="B4057" s="99"/>
      <c r="C4057" s="100" t="s">
        <v>5</v>
      </c>
      <c r="D4057" s="97"/>
    </row>
    <row r="4058" spans="1:4" ht="42.75" customHeight="1" thickBot="1">
      <c r="A4058" s="101">
        <v>62</v>
      </c>
      <c r="B4058" s="102"/>
      <c r="C4058" s="96" t="s">
        <v>6</v>
      </c>
      <c r="D4058" s="97"/>
    </row>
    <row r="4059" spans="1:4" ht="42.75" customHeight="1" thickBot="1">
      <c r="A4059" s="103"/>
      <c r="B4059" s="104"/>
      <c r="C4059" s="96" t="s">
        <v>21</v>
      </c>
      <c r="D4059" s="97"/>
    </row>
    <row r="4060" spans="1:4" ht="42.75" customHeight="1" thickBot="1">
      <c r="A4060" s="105">
        <f>A4058*A4057</f>
        <v>0</v>
      </c>
      <c r="B4060" s="106"/>
      <c r="C4060" s="96" t="s">
        <v>7</v>
      </c>
      <c r="D4060" s="97"/>
    </row>
    <row r="4061" spans="1:4" ht="42.75" customHeight="1" thickBot="1">
      <c r="A4061" s="107" t="s">
        <v>17</v>
      </c>
      <c r="B4061" s="108"/>
      <c r="C4061" s="108"/>
      <c r="D4061" s="109"/>
    </row>
    <row r="4062" spans="1:4" ht="42.75" customHeight="1" thickBot="1">
      <c r="A4062" s="116" t="s">
        <v>20</v>
      </c>
      <c r="B4062" s="117"/>
      <c r="C4062" s="117"/>
      <c r="D4062" s="118"/>
    </row>
    <row r="4063" spans="1:4" ht="42.75" customHeight="1" thickBot="1">
      <c r="A4063" s="113" t="s">
        <v>18</v>
      </c>
      <c r="B4063" s="114"/>
      <c r="C4063" s="114"/>
      <c r="D4063" s="115"/>
    </row>
    <row r="4064" spans="1:4" ht="42.75" customHeight="1" thickBot="1">
      <c r="A4064" s="119"/>
      <c r="B4064" s="119"/>
      <c r="C4064" s="119"/>
      <c r="D4064" s="119"/>
    </row>
    <row r="4065" spans="1:4" ht="42.75" customHeight="1" thickBot="1">
      <c r="A4065" s="120" t="s">
        <v>19</v>
      </c>
      <c r="B4065" s="121"/>
      <c r="C4065" s="121"/>
      <c r="D4065" s="122"/>
    </row>
    <row r="4066" spans="1:4" ht="42.75" customHeight="1" thickBot="1">
      <c r="A4066" s="123" t="s">
        <v>11</v>
      </c>
      <c r="B4066" s="124"/>
      <c r="C4066" s="125" t="s">
        <v>603</v>
      </c>
      <c r="D4066" s="124"/>
    </row>
    <row r="4067" spans="1:4" ht="42.75" customHeight="1" thickBot="1">
      <c r="A4067" s="1" t="s">
        <v>686</v>
      </c>
      <c r="B4067" s="26" t="s">
        <v>1</v>
      </c>
      <c r="C4067" s="90" t="s">
        <v>145</v>
      </c>
      <c r="D4067" s="91"/>
    </row>
    <row r="4068" spans="1:4" ht="42.75" customHeight="1" thickBot="1">
      <c r="A4068" s="26"/>
      <c r="B4068" s="26" t="s">
        <v>0</v>
      </c>
      <c r="C4068" s="5" t="s">
        <v>687</v>
      </c>
      <c r="D4068" s="4" t="s">
        <v>2</v>
      </c>
    </row>
    <row r="4069" spans="1:4" ht="42.75" customHeight="1" thickBot="1">
      <c r="A4069" s="92">
        <v>2443</v>
      </c>
      <c r="B4069" s="93"/>
      <c r="C4069" s="94" t="s">
        <v>3</v>
      </c>
      <c r="D4069" s="95"/>
    </row>
    <row r="4070" spans="1:4" ht="42.75" customHeight="1" thickBot="1">
      <c r="A4070" s="92">
        <v>2448</v>
      </c>
      <c r="B4070" s="93"/>
      <c r="C4070" s="96" t="s">
        <v>4</v>
      </c>
      <c r="D4070" s="97"/>
    </row>
    <row r="4071" spans="1:4" ht="42.75" customHeight="1" thickBot="1">
      <c r="A4071" s="98">
        <v>6</v>
      </c>
      <c r="B4071" s="99"/>
      <c r="C4071" s="100" t="s">
        <v>5</v>
      </c>
      <c r="D4071" s="97"/>
    </row>
    <row r="4072" spans="1:4" ht="42.75" customHeight="1" thickBot="1">
      <c r="A4072" s="101">
        <v>62</v>
      </c>
      <c r="B4072" s="102"/>
      <c r="C4072" s="96" t="s">
        <v>6</v>
      </c>
      <c r="D4072" s="97"/>
    </row>
    <row r="4073" spans="1:4" ht="42.75" customHeight="1" thickBot="1">
      <c r="A4073" s="103"/>
      <c r="B4073" s="104"/>
      <c r="C4073" s="96" t="s">
        <v>21</v>
      </c>
      <c r="D4073" s="97"/>
    </row>
    <row r="4074" spans="1:4" ht="42.75" customHeight="1" thickBot="1">
      <c r="A4074" s="105">
        <v>400</v>
      </c>
      <c r="B4074" s="106"/>
      <c r="C4074" s="96" t="s">
        <v>7</v>
      </c>
      <c r="D4074" s="97"/>
    </row>
    <row r="4075" spans="1:4" ht="42.75" customHeight="1" thickBot="1">
      <c r="A4075" s="107" t="s">
        <v>17</v>
      </c>
      <c r="B4075" s="108"/>
      <c r="C4075" s="108"/>
      <c r="D4075" s="109"/>
    </row>
    <row r="4076" spans="1:4" ht="42.75" customHeight="1" thickBot="1">
      <c r="A4076" s="110" t="s">
        <v>20</v>
      </c>
      <c r="B4076" s="111"/>
      <c r="C4076" s="111"/>
      <c r="D4076" s="112"/>
    </row>
    <row r="4077" spans="1:4" ht="42.75" customHeight="1" thickBot="1">
      <c r="A4077" s="113" t="s">
        <v>18</v>
      </c>
      <c r="B4077" s="114"/>
      <c r="C4077" s="114"/>
      <c r="D4077" s="115"/>
    </row>
    <row r="4078" spans="1:4" ht="42.75" customHeight="1" thickBot="1">
      <c r="A4078" s="120" t="s">
        <v>19</v>
      </c>
      <c r="B4078" s="121"/>
      <c r="C4078" s="121"/>
      <c r="D4078" s="122"/>
    </row>
    <row r="4079" spans="1:4" ht="42.75" customHeight="1" thickBot="1">
      <c r="A4079" s="123" t="s">
        <v>11</v>
      </c>
      <c r="B4079" s="124"/>
      <c r="C4079" s="125" t="s">
        <v>603</v>
      </c>
      <c r="D4079" s="124"/>
    </row>
    <row r="4080" spans="1:4" ht="42.75" customHeight="1" thickBot="1">
      <c r="A4080" s="1" t="s">
        <v>686</v>
      </c>
      <c r="B4080" s="26" t="s">
        <v>1</v>
      </c>
      <c r="C4080" s="90" t="s">
        <v>146</v>
      </c>
      <c r="D4080" s="91"/>
    </row>
    <row r="4081" spans="1:4" ht="42.75" customHeight="1" thickBot="1">
      <c r="A4081" s="26"/>
      <c r="B4081" s="26" t="s">
        <v>0</v>
      </c>
      <c r="C4081" s="5" t="s">
        <v>687</v>
      </c>
      <c r="D4081" s="4" t="s">
        <v>2</v>
      </c>
    </row>
    <row r="4082" spans="1:4" ht="42.75" customHeight="1" thickBot="1">
      <c r="A4082" s="92">
        <v>1700</v>
      </c>
      <c r="B4082" s="93"/>
      <c r="C4082" s="94" t="s">
        <v>3</v>
      </c>
      <c r="D4082" s="95"/>
    </row>
    <row r="4083" spans="1:4" ht="42.75" customHeight="1" thickBot="1">
      <c r="A4083" s="92">
        <v>1700</v>
      </c>
      <c r="B4083" s="93"/>
      <c r="C4083" s="96" t="s">
        <v>4</v>
      </c>
      <c r="D4083" s="97"/>
    </row>
    <row r="4084" spans="1:4" ht="42.75" customHeight="1" thickBot="1">
      <c r="A4084" s="98">
        <f>A4083-A4082</f>
        <v>0</v>
      </c>
      <c r="B4084" s="99"/>
      <c r="C4084" s="100" t="s">
        <v>5</v>
      </c>
      <c r="D4084" s="97"/>
    </row>
    <row r="4085" spans="1:4" ht="42.75" customHeight="1" thickBot="1">
      <c r="A4085" s="101">
        <v>62</v>
      </c>
      <c r="B4085" s="102"/>
      <c r="C4085" s="96" t="s">
        <v>6</v>
      </c>
      <c r="D4085" s="97"/>
    </row>
    <row r="4086" spans="1:4" ht="42.75" customHeight="1" thickBot="1">
      <c r="A4086" s="103"/>
      <c r="B4086" s="104"/>
      <c r="C4086" s="96" t="s">
        <v>21</v>
      </c>
      <c r="D4086" s="97"/>
    </row>
    <row r="4087" spans="1:4" ht="42.75" customHeight="1" thickBot="1">
      <c r="A4087" s="105">
        <f>A4085*A4084</f>
        <v>0</v>
      </c>
      <c r="B4087" s="106"/>
      <c r="C4087" s="96" t="s">
        <v>7</v>
      </c>
      <c r="D4087" s="97"/>
    </row>
    <row r="4088" spans="1:4" ht="42.75" customHeight="1" thickBot="1">
      <c r="A4088" s="107" t="s">
        <v>17</v>
      </c>
      <c r="B4088" s="108"/>
      <c r="C4088" s="108"/>
      <c r="D4088" s="109"/>
    </row>
    <row r="4089" spans="1:4" ht="42.75" customHeight="1" thickBot="1">
      <c r="A4089" s="116" t="s">
        <v>20</v>
      </c>
      <c r="B4089" s="117"/>
      <c r="C4089" s="117"/>
      <c r="D4089" s="118"/>
    </row>
    <row r="4090" spans="1:4" ht="42.75" customHeight="1" thickBot="1">
      <c r="A4090" s="113" t="s">
        <v>18</v>
      </c>
      <c r="B4090" s="114"/>
      <c r="C4090" s="114"/>
      <c r="D4090" s="115"/>
    </row>
    <row r="4091" spans="1:4" ht="42.75" customHeight="1" thickBot="1">
      <c r="A4091" s="119"/>
      <c r="B4091" s="119"/>
      <c r="C4091" s="119"/>
      <c r="D4091" s="119"/>
    </row>
    <row r="4092" spans="1:4" ht="42.75" customHeight="1" thickBot="1">
      <c r="A4092" s="120" t="s">
        <v>19</v>
      </c>
      <c r="B4092" s="121"/>
      <c r="C4092" s="121"/>
      <c r="D4092" s="122"/>
    </row>
    <row r="4093" spans="1:4" ht="42.75" customHeight="1" thickBot="1">
      <c r="A4093" s="123" t="s">
        <v>11</v>
      </c>
      <c r="B4093" s="124"/>
      <c r="C4093" s="125" t="s">
        <v>603</v>
      </c>
      <c r="D4093" s="124"/>
    </row>
    <row r="4094" spans="1:4" ht="42.75" customHeight="1" thickBot="1">
      <c r="A4094" s="1" t="s">
        <v>686</v>
      </c>
      <c r="B4094" s="26" t="s">
        <v>1</v>
      </c>
      <c r="C4094" s="90" t="s">
        <v>146</v>
      </c>
      <c r="D4094" s="91"/>
    </row>
    <row r="4095" spans="1:4" ht="42.75" customHeight="1" thickBot="1">
      <c r="A4095" s="26"/>
      <c r="B4095" s="26" t="s">
        <v>0</v>
      </c>
      <c r="C4095" s="5" t="s">
        <v>687</v>
      </c>
      <c r="D4095" s="4" t="s">
        <v>2</v>
      </c>
    </row>
    <row r="4096" spans="1:4" ht="42.75" customHeight="1" thickBot="1">
      <c r="A4096" s="92">
        <v>1676</v>
      </c>
      <c r="B4096" s="93"/>
      <c r="C4096" s="94" t="s">
        <v>3</v>
      </c>
      <c r="D4096" s="95"/>
    </row>
    <row r="4097" spans="1:4" ht="42.75" customHeight="1" thickBot="1">
      <c r="A4097" s="92">
        <v>1700</v>
      </c>
      <c r="B4097" s="93"/>
      <c r="C4097" s="96" t="s">
        <v>4</v>
      </c>
      <c r="D4097" s="97"/>
    </row>
    <row r="4098" spans="1:4" ht="42.75" customHeight="1" thickBot="1">
      <c r="A4098" s="98">
        <f>A4097-A4096</f>
        <v>24</v>
      </c>
      <c r="B4098" s="99"/>
      <c r="C4098" s="100" t="s">
        <v>5</v>
      </c>
      <c r="D4098" s="97"/>
    </row>
    <row r="4099" spans="1:4" ht="42.75" customHeight="1" thickBot="1">
      <c r="A4099" s="101">
        <v>62</v>
      </c>
      <c r="B4099" s="102"/>
      <c r="C4099" s="96" t="s">
        <v>6</v>
      </c>
      <c r="D4099" s="97"/>
    </row>
    <row r="4100" spans="1:4" ht="42.75" customHeight="1" thickBot="1">
      <c r="A4100" s="103"/>
      <c r="B4100" s="104"/>
      <c r="C4100" s="96" t="s">
        <v>21</v>
      </c>
      <c r="D4100" s="97"/>
    </row>
    <row r="4101" spans="1:4" ht="42.75" customHeight="1" thickBot="1">
      <c r="A4101" s="105">
        <v>1500</v>
      </c>
      <c r="B4101" s="106"/>
      <c r="C4101" s="96" t="s">
        <v>7</v>
      </c>
      <c r="D4101" s="97"/>
    </row>
    <row r="4102" spans="1:4" ht="42.75" customHeight="1" thickBot="1">
      <c r="A4102" s="107" t="s">
        <v>17</v>
      </c>
      <c r="B4102" s="108"/>
      <c r="C4102" s="108"/>
      <c r="D4102" s="109"/>
    </row>
    <row r="4103" spans="1:4" ht="42.75" customHeight="1" thickBot="1">
      <c r="A4103" s="110" t="s">
        <v>20</v>
      </c>
      <c r="B4103" s="111"/>
      <c r="C4103" s="111"/>
      <c r="D4103" s="112"/>
    </row>
    <row r="4104" spans="1:4" ht="42.75" customHeight="1" thickBot="1">
      <c r="A4104" s="113" t="s">
        <v>18</v>
      </c>
      <c r="B4104" s="114"/>
      <c r="C4104" s="114"/>
      <c r="D4104" s="115"/>
    </row>
    <row r="4105" spans="1:4" ht="42.75" customHeight="1" thickBot="1">
      <c r="A4105" s="120" t="s">
        <v>19</v>
      </c>
      <c r="B4105" s="121"/>
      <c r="C4105" s="121"/>
      <c r="D4105" s="122"/>
    </row>
    <row r="4106" spans="1:4" ht="42.75" customHeight="1" thickBot="1">
      <c r="A4106" s="123" t="s">
        <v>11</v>
      </c>
      <c r="B4106" s="124"/>
      <c r="C4106" s="125" t="s">
        <v>603</v>
      </c>
      <c r="D4106" s="124"/>
    </row>
    <row r="4107" spans="1:4" ht="42.75" customHeight="1" thickBot="1">
      <c r="A4107" s="1" t="s">
        <v>686</v>
      </c>
      <c r="B4107" s="26" t="s">
        <v>1</v>
      </c>
      <c r="C4107" s="90" t="s">
        <v>147</v>
      </c>
      <c r="D4107" s="91"/>
    </row>
    <row r="4108" spans="1:4" ht="42.75" customHeight="1" thickBot="1">
      <c r="A4108" s="26"/>
      <c r="B4108" s="26" t="s">
        <v>0</v>
      </c>
      <c r="C4108" s="5" t="s">
        <v>687</v>
      </c>
      <c r="D4108" s="4" t="s">
        <v>2</v>
      </c>
    </row>
    <row r="4109" spans="1:4" ht="42.75" customHeight="1" thickBot="1">
      <c r="A4109" s="92">
        <v>1711</v>
      </c>
      <c r="B4109" s="93"/>
      <c r="C4109" s="94" t="s">
        <v>3</v>
      </c>
      <c r="D4109" s="95"/>
    </row>
    <row r="4110" spans="1:4" ht="42.75" customHeight="1" thickBot="1">
      <c r="A4110" s="92">
        <v>1711</v>
      </c>
      <c r="B4110" s="93"/>
      <c r="C4110" s="96" t="s">
        <v>4</v>
      </c>
      <c r="D4110" s="97"/>
    </row>
    <row r="4111" spans="1:4" ht="42.75" customHeight="1" thickBot="1">
      <c r="A4111" s="98">
        <f>A4110-A4109</f>
        <v>0</v>
      </c>
      <c r="B4111" s="99"/>
      <c r="C4111" s="100" t="s">
        <v>5</v>
      </c>
      <c r="D4111" s="97"/>
    </row>
    <row r="4112" spans="1:4" ht="42.75" customHeight="1" thickBot="1">
      <c r="A4112" s="101">
        <v>62</v>
      </c>
      <c r="B4112" s="102"/>
      <c r="C4112" s="96" t="s">
        <v>6</v>
      </c>
      <c r="D4112" s="97"/>
    </row>
    <row r="4113" spans="1:4" ht="42.75" customHeight="1" thickBot="1">
      <c r="A4113" s="103"/>
      <c r="B4113" s="104"/>
      <c r="C4113" s="96" t="s">
        <v>21</v>
      </c>
      <c r="D4113" s="97"/>
    </row>
    <row r="4114" spans="1:4" ht="42.75" customHeight="1" thickBot="1">
      <c r="A4114" s="105">
        <f>A4112*A4111</f>
        <v>0</v>
      </c>
      <c r="B4114" s="106"/>
      <c r="C4114" s="96" t="s">
        <v>7</v>
      </c>
      <c r="D4114" s="97"/>
    </row>
    <row r="4115" spans="1:4" ht="42.75" customHeight="1" thickBot="1">
      <c r="A4115" s="107" t="s">
        <v>17</v>
      </c>
      <c r="B4115" s="108"/>
      <c r="C4115" s="108"/>
      <c r="D4115" s="109"/>
    </row>
    <row r="4116" spans="1:4" ht="42.75" customHeight="1" thickBot="1">
      <c r="A4116" s="116" t="s">
        <v>20</v>
      </c>
      <c r="B4116" s="117"/>
      <c r="C4116" s="117"/>
      <c r="D4116" s="118"/>
    </row>
    <row r="4117" spans="1:4" ht="42.75" customHeight="1" thickBot="1">
      <c r="A4117" s="113" t="s">
        <v>18</v>
      </c>
      <c r="B4117" s="114"/>
      <c r="C4117" s="114"/>
      <c r="D4117" s="115"/>
    </row>
    <row r="4118" spans="1:4" ht="42.75" customHeight="1" thickBot="1">
      <c r="A4118" s="119"/>
      <c r="B4118" s="119"/>
      <c r="C4118" s="119"/>
      <c r="D4118" s="119"/>
    </row>
    <row r="4119" spans="1:4" ht="42.75" customHeight="1" thickBot="1">
      <c r="A4119" s="120" t="s">
        <v>19</v>
      </c>
      <c r="B4119" s="121"/>
      <c r="C4119" s="121"/>
      <c r="D4119" s="122"/>
    </row>
    <row r="4120" spans="1:4" ht="42.75" customHeight="1" thickBot="1">
      <c r="A4120" s="123" t="s">
        <v>11</v>
      </c>
      <c r="B4120" s="124"/>
      <c r="C4120" s="125" t="s">
        <v>603</v>
      </c>
      <c r="D4120" s="124"/>
    </row>
    <row r="4121" spans="1:4" ht="42.75" customHeight="1" thickBot="1">
      <c r="A4121" s="1" t="s">
        <v>686</v>
      </c>
      <c r="B4121" s="26" t="s">
        <v>1</v>
      </c>
      <c r="C4121" s="90" t="s">
        <v>147</v>
      </c>
      <c r="D4121" s="91"/>
    </row>
    <row r="4122" spans="1:4" ht="42.75" customHeight="1" thickBot="1">
      <c r="A4122" s="26"/>
      <c r="B4122" s="26" t="s">
        <v>0</v>
      </c>
      <c r="C4122" s="5" t="s">
        <v>687</v>
      </c>
      <c r="D4122" s="4" t="s">
        <v>2</v>
      </c>
    </row>
    <row r="4123" spans="1:4" ht="42.75" customHeight="1" thickBot="1">
      <c r="A4123" s="92">
        <v>1705</v>
      </c>
      <c r="B4123" s="93"/>
      <c r="C4123" s="94" t="s">
        <v>3</v>
      </c>
      <c r="D4123" s="95"/>
    </row>
    <row r="4124" spans="1:4" ht="42.75" customHeight="1" thickBot="1">
      <c r="A4124" s="92">
        <v>1711</v>
      </c>
      <c r="B4124" s="93"/>
      <c r="C4124" s="96" t="s">
        <v>4</v>
      </c>
      <c r="D4124" s="97"/>
    </row>
    <row r="4125" spans="1:4" ht="42.75" customHeight="1" thickBot="1">
      <c r="A4125" s="98">
        <v>10</v>
      </c>
      <c r="B4125" s="99"/>
      <c r="C4125" s="100" t="s">
        <v>5</v>
      </c>
      <c r="D4125" s="97"/>
    </row>
    <row r="4126" spans="1:4" ht="42.75" customHeight="1" thickBot="1">
      <c r="A4126" s="101">
        <v>62</v>
      </c>
      <c r="B4126" s="102"/>
      <c r="C4126" s="96" t="s">
        <v>6</v>
      </c>
      <c r="D4126" s="97"/>
    </row>
    <row r="4127" spans="1:4" ht="42.75" customHeight="1" thickBot="1">
      <c r="A4127" s="103"/>
      <c r="B4127" s="104"/>
      <c r="C4127" s="96" t="s">
        <v>21</v>
      </c>
      <c r="D4127" s="97"/>
    </row>
    <row r="4128" spans="1:4" ht="42.75" customHeight="1" thickBot="1">
      <c r="A4128" s="105">
        <v>600</v>
      </c>
      <c r="B4128" s="106"/>
      <c r="C4128" s="96" t="s">
        <v>7</v>
      </c>
      <c r="D4128" s="97"/>
    </row>
    <row r="4129" spans="1:4" ht="42.75" customHeight="1" thickBot="1">
      <c r="A4129" s="107" t="s">
        <v>17</v>
      </c>
      <c r="B4129" s="108"/>
      <c r="C4129" s="108"/>
      <c r="D4129" s="109"/>
    </row>
    <row r="4130" spans="1:4" ht="42.75" customHeight="1" thickBot="1">
      <c r="A4130" s="110" t="s">
        <v>20</v>
      </c>
      <c r="B4130" s="111"/>
      <c r="C4130" s="111"/>
      <c r="D4130" s="112"/>
    </row>
    <row r="4131" spans="1:4" ht="42.75" customHeight="1" thickBot="1">
      <c r="A4131" s="113" t="s">
        <v>18</v>
      </c>
      <c r="B4131" s="114"/>
      <c r="C4131" s="114"/>
      <c r="D4131" s="115"/>
    </row>
    <row r="4132" spans="1:4" ht="42.75" customHeight="1" thickBot="1">
      <c r="A4132" s="120" t="s">
        <v>19</v>
      </c>
      <c r="B4132" s="121"/>
      <c r="C4132" s="121"/>
      <c r="D4132" s="122"/>
    </row>
    <row r="4133" spans="1:4" ht="42.75" customHeight="1" thickBot="1">
      <c r="A4133" s="123" t="s">
        <v>11</v>
      </c>
      <c r="B4133" s="124"/>
      <c r="C4133" s="125" t="s">
        <v>603</v>
      </c>
      <c r="D4133" s="124"/>
    </row>
    <row r="4134" spans="1:4" ht="42.75" customHeight="1" thickBot="1">
      <c r="A4134" s="1" t="s">
        <v>686</v>
      </c>
      <c r="B4134" s="26" t="s">
        <v>1</v>
      </c>
      <c r="C4134" s="90" t="s">
        <v>580</v>
      </c>
      <c r="D4134" s="91"/>
    </row>
    <row r="4135" spans="1:4" ht="42.75" customHeight="1" thickBot="1">
      <c r="A4135" s="26"/>
      <c r="B4135" s="26" t="s">
        <v>0</v>
      </c>
      <c r="C4135" s="5" t="s">
        <v>687</v>
      </c>
      <c r="D4135" s="4" t="s">
        <v>2</v>
      </c>
    </row>
    <row r="4136" spans="1:4" ht="42.75" customHeight="1" thickBot="1">
      <c r="A4136" s="92">
        <v>1200</v>
      </c>
      <c r="B4136" s="93"/>
      <c r="C4136" s="94" t="s">
        <v>3</v>
      </c>
      <c r="D4136" s="95"/>
    </row>
    <row r="4137" spans="1:4" ht="42.75" customHeight="1" thickBot="1">
      <c r="A4137" s="92">
        <v>1200</v>
      </c>
      <c r="B4137" s="93"/>
      <c r="C4137" s="96" t="s">
        <v>4</v>
      </c>
      <c r="D4137" s="97"/>
    </row>
    <row r="4138" spans="1:4" ht="42.75" customHeight="1" thickBot="1">
      <c r="A4138" s="98">
        <f>A4137-A4136</f>
        <v>0</v>
      </c>
      <c r="B4138" s="99"/>
      <c r="C4138" s="100" t="s">
        <v>5</v>
      </c>
      <c r="D4138" s="97"/>
    </row>
    <row r="4139" spans="1:4" ht="42.75" customHeight="1" thickBot="1">
      <c r="A4139" s="101">
        <v>62</v>
      </c>
      <c r="B4139" s="102"/>
      <c r="C4139" s="96" t="s">
        <v>6</v>
      </c>
      <c r="D4139" s="97"/>
    </row>
    <row r="4140" spans="1:4" ht="42.75" customHeight="1" thickBot="1">
      <c r="A4140" s="103"/>
      <c r="B4140" s="104"/>
      <c r="C4140" s="96" t="s">
        <v>21</v>
      </c>
      <c r="D4140" s="97"/>
    </row>
    <row r="4141" spans="1:4" ht="42.75" customHeight="1" thickBot="1">
      <c r="A4141" s="105">
        <f>A4139*A4138</f>
        <v>0</v>
      </c>
      <c r="B4141" s="106"/>
      <c r="C4141" s="96" t="s">
        <v>7</v>
      </c>
      <c r="D4141" s="97"/>
    </row>
    <row r="4142" spans="1:4" ht="42.75" customHeight="1" thickBot="1">
      <c r="A4142" s="107" t="s">
        <v>17</v>
      </c>
      <c r="B4142" s="108"/>
      <c r="C4142" s="108"/>
      <c r="D4142" s="109"/>
    </row>
    <row r="4143" spans="1:4" ht="42.75" customHeight="1" thickBot="1">
      <c r="A4143" s="116" t="s">
        <v>20</v>
      </c>
      <c r="B4143" s="117"/>
      <c r="C4143" s="117"/>
      <c r="D4143" s="118"/>
    </row>
    <row r="4144" spans="1:4" ht="42.75" customHeight="1" thickBot="1">
      <c r="A4144" s="113" t="s">
        <v>18</v>
      </c>
      <c r="B4144" s="114"/>
      <c r="C4144" s="114"/>
      <c r="D4144" s="115"/>
    </row>
    <row r="4145" spans="1:4" ht="42.75" customHeight="1" thickBot="1">
      <c r="A4145" s="119"/>
      <c r="B4145" s="119"/>
      <c r="C4145" s="119"/>
      <c r="D4145" s="119"/>
    </row>
    <row r="4146" spans="1:4" ht="42.75" customHeight="1" thickBot="1">
      <c r="A4146" s="120" t="s">
        <v>19</v>
      </c>
      <c r="B4146" s="121"/>
      <c r="C4146" s="121"/>
      <c r="D4146" s="122"/>
    </row>
    <row r="4147" spans="1:4" ht="42.75" customHeight="1" thickBot="1">
      <c r="A4147" s="123" t="s">
        <v>11</v>
      </c>
      <c r="B4147" s="124"/>
      <c r="C4147" s="125" t="s">
        <v>603</v>
      </c>
      <c r="D4147" s="124"/>
    </row>
    <row r="4148" spans="1:4" ht="42.75" customHeight="1" thickBot="1">
      <c r="A4148" s="1" t="s">
        <v>686</v>
      </c>
      <c r="B4148" s="26" t="s">
        <v>1</v>
      </c>
      <c r="C4148" s="90" t="s">
        <v>580</v>
      </c>
      <c r="D4148" s="91"/>
    </row>
    <row r="4149" spans="1:4" ht="42.75" customHeight="1" thickBot="1">
      <c r="A4149" s="26"/>
      <c r="B4149" s="26" t="s">
        <v>0</v>
      </c>
      <c r="C4149" s="5" t="s">
        <v>687</v>
      </c>
      <c r="D4149" s="4" t="s">
        <v>2</v>
      </c>
    </row>
    <row r="4150" spans="1:4" ht="42.75" customHeight="1" thickBot="1">
      <c r="A4150" s="92">
        <v>1190</v>
      </c>
      <c r="B4150" s="93"/>
      <c r="C4150" s="94" t="s">
        <v>3</v>
      </c>
      <c r="D4150" s="95"/>
    </row>
    <row r="4151" spans="1:4" ht="42.75" customHeight="1" thickBot="1">
      <c r="A4151" s="92">
        <v>1200</v>
      </c>
      <c r="B4151" s="93"/>
      <c r="C4151" s="96" t="s">
        <v>4</v>
      </c>
      <c r="D4151" s="97"/>
    </row>
    <row r="4152" spans="1:4" ht="42.75" customHeight="1" thickBot="1">
      <c r="A4152" s="98">
        <f>A4151-A4150</f>
        <v>10</v>
      </c>
      <c r="B4152" s="99"/>
      <c r="C4152" s="100" t="s">
        <v>5</v>
      </c>
      <c r="D4152" s="97"/>
    </row>
    <row r="4153" spans="1:4" ht="42.75" customHeight="1" thickBot="1">
      <c r="A4153" s="101">
        <v>62</v>
      </c>
      <c r="B4153" s="102"/>
      <c r="C4153" s="96" t="s">
        <v>6</v>
      </c>
      <c r="D4153" s="97"/>
    </row>
    <row r="4154" spans="1:4" ht="42.75" customHeight="1" thickBot="1">
      <c r="A4154" s="103"/>
      <c r="B4154" s="104"/>
      <c r="C4154" s="96" t="s">
        <v>21</v>
      </c>
      <c r="D4154" s="97"/>
    </row>
    <row r="4155" spans="1:4" ht="42.75" customHeight="1" thickBot="1">
      <c r="A4155" s="105">
        <v>600</v>
      </c>
      <c r="B4155" s="106"/>
      <c r="C4155" s="96" t="s">
        <v>7</v>
      </c>
      <c r="D4155" s="97"/>
    </row>
    <row r="4156" spans="1:4" ht="42.75" customHeight="1" thickBot="1">
      <c r="A4156" s="107" t="s">
        <v>17</v>
      </c>
      <c r="B4156" s="108"/>
      <c r="C4156" s="108"/>
      <c r="D4156" s="109"/>
    </row>
    <row r="4157" spans="1:4" ht="42.75" customHeight="1" thickBot="1">
      <c r="A4157" s="110" t="s">
        <v>20</v>
      </c>
      <c r="B4157" s="111"/>
      <c r="C4157" s="111"/>
      <c r="D4157" s="112"/>
    </row>
    <row r="4158" spans="1:4" ht="42.75" customHeight="1" thickBot="1">
      <c r="A4158" s="113" t="s">
        <v>18</v>
      </c>
      <c r="B4158" s="114"/>
      <c r="C4158" s="114"/>
      <c r="D4158" s="115"/>
    </row>
    <row r="4159" spans="1:4" ht="42.75" customHeight="1" thickBot="1">
      <c r="A4159" s="120" t="s">
        <v>19</v>
      </c>
      <c r="B4159" s="121"/>
      <c r="C4159" s="121"/>
      <c r="D4159" s="122"/>
    </row>
    <row r="4160" spans="1:4" ht="42.75" customHeight="1" thickBot="1">
      <c r="A4160" s="123" t="s">
        <v>11</v>
      </c>
      <c r="B4160" s="124"/>
      <c r="C4160" s="125" t="s">
        <v>603</v>
      </c>
      <c r="D4160" s="124"/>
    </row>
    <row r="4161" spans="1:4" ht="42.75" customHeight="1" thickBot="1">
      <c r="A4161" s="1" t="s">
        <v>686</v>
      </c>
      <c r="B4161" s="26" t="s">
        <v>1</v>
      </c>
      <c r="C4161" s="90" t="s">
        <v>148</v>
      </c>
      <c r="D4161" s="91"/>
    </row>
    <row r="4162" spans="1:4" ht="42.75" customHeight="1" thickBot="1">
      <c r="A4162" s="26"/>
      <c r="B4162" s="26" t="s">
        <v>0</v>
      </c>
      <c r="C4162" s="5" t="s">
        <v>687</v>
      </c>
      <c r="D4162" s="4" t="s">
        <v>2</v>
      </c>
    </row>
    <row r="4163" spans="1:4" ht="42.75" customHeight="1" thickBot="1">
      <c r="A4163" s="92">
        <v>4660</v>
      </c>
      <c r="B4163" s="93"/>
      <c r="C4163" s="94" t="s">
        <v>3</v>
      </c>
      <c r="D4163" s="95"/>
    </row>
    <row r="4164" spans="1:4" ht="42.75" customHeight="1" thickBot="1">
      <c r="A4164" s="92">
        <v>4660</v>
      </c>
      <c r="B4164" s="93"/>
      <c r="C4164" s="96" t="s">
        <v>4</v>
      </c>
      <c r="D4164" s="97"/>
    </row>
    <row r="4165" spans="1:4" ht="42.75" customHeight="1" thickBot="1">
      <c r="A4165" s="98">
        <f>A4164-A4163</f>
        <v>0</v>
      </c>
      <c r="B4165" s="99"/>
      <c r="C4165" s="100" t="s">
        <v>5</v>
      </c>
      <c r="D4165" s="97"/>
    </row>
    <row r="4166" spans="1:4" ht="42.75" customHeight="1" thickBot="1">
      <c r="A4166" s="101">
        <v>62</v>
      </c>
      <c r="B4166" s="102"/>
      <c r="C4166" s="96" t="s">
        <v>6</v>
      </c>
      <c r="D4166" s="97"/>
    </row>
    <row r="4167" spans="1:4" ht="42.75" customHeight="1" thickBot="1">
      <c r="A4167" s="103"/>
      <c r="B4167" s="104"/>
      <c r="C4167" s="96" t="s">
        <v>21</v>
      </c>
      <c r="D4167" s="97"/>
    </row>
    <row r="4168" spans="1:4" ht="42.75" customHeight="1" thickBot="1">
      <c r="A4168" s="105">
        <f>A4166*A4165</f>
        <v>0</v>
      </c>
      <c r="B4168" s="106"/>
      <c r="C4168" s="96" t="s">
        <v>7</v>
      </c>
      <c r="D4168" s="97"/>
    </row>
    <row r="4169" spans="1:4" ht="42.75" customHeight="1" thickBot="1">
      <c r="A4169" s="107" t="s">
        <v>17</v>
      </c>
      <c r="B4169" s="108"/>
      <c r="C4169" s="108"/>
      <c r="D4169" s="109"/>
    </row>
    <row r="4170" spans="1:4" ht="42.75" customHeight="1" thickBot="1">
      <c r="A4170" s="116" t="s">
        <v>20</v>
      </c>
      <c r="B4170" s="117"/>
      <c r="C4170" s="117"/>
      <c r="D4170" s="118"/>
    </row>
    <row r="4171" spans="1:4" ht="42.75" customHeight="1" thickBot="1">
      <c r="A4171" s="113" t="s">
        <v>18</v>
      </c>
      <c r="B4171" s="114"/>
      <c r="C4171" s="114"/>
      <c r="D4171" s="115"/>
    </row>
    <row r="4172" spans="1:4" ht="42.75" customHeight="1" thickBot="1">
      <c r="A4172" s="119"/>
      <c r="B4172" s="119"/>
      <c r="C4172" s="119"/>
      <c r="D4172" s="119"/>
    </row>
    <row r="4173" spans="1:4" ht="42.75" customHeight="1" thickBot="1">
      <c r="A4173" s="120" t="s">
        <v>19</v>
      </c>
      <c r="B4173" s="121"/>
      <c r="C4173" s="121"/>
      <c r="D4173" s="122"/>
    </row>
    <row r="4174" spans="1:4" ht="42.75" customHeight="1" thickBot="1">
      <c r="A4174" s="123" t="s">
        <v>11</v>
      </c>
      <c r="B4174" s="124"/>
      <c r="C4174" s="125" t="s">
        <v>603</v>
      </c>
      <c r="D4174" s="124"/>
    </row>
    <row r="4175" spans="1:4" ht="42.75" customHeight="1" thickBot="1">
      <c r="A4175" s="1" t="s">
        <v>686</v>
      </c>
      <c r="B4175" s="26" t="s">
        <v>1</v>
      </c>
      <c r="C4175" s="90" t="s">
        <v>148</v>
      </c>
      <c r="D4175" s="91"/>
    </row>
    <row r="4176" spans="1:4" ht="42.75" customHeight="1" thickBot="1">
      <c r="A4176" s="26"/>
      <c r="B4176" s="26" t="s">
        <v>0</v>
      </c>
      <c r="C4176" s="5" t="s">
        <v>687</v>
      </c>
      <c r="D4176" s="4" t="s">
        <v>2</v>
      </c>
    </row>
    <row r="4177" spans="1:4" ht="42.75" customHeight="1" thickBot="1">
      <c r="A4177" s="92">
        <v>4640</v>
      </c>
      <c r="B4177" s="93"/>
      <c r="C4177" s="94" t="s">
        <v>3</v>
      </c>
      <c r="D4177" s="95"/>
    </row>
    <row r="4178" spans="1:4" ht="42.75" customHeight="1" thickBot="1">
      <c r="A4178" s="92">
        <v>4660</v>
      </c>
      <c r="B4178" s="93"/>
      <c r="C4178" s="96" t="s">
        <v>4</v>
      </c>
      <c r="D4178" s="97"/>
    </row>
    <row r="4179" spans="1:4" ht="42.75" customHeight="1" thickBot="1">
      <c r="A4179" s="98">
        <f>A4178-A4177</f>
        <v>20</v>
      </c>
      <c r="B4179" s="99"/>
      <c r="C4179" s="100" t="s">
        <v>5</v>
      </c>
      <c r="D4179" s="97"/>
    </row>
    <row r="4180" spans="1:4" ht="42.75" customHeight="1" thickBot="1">
      <c r="A4180" s="101">
        <v>62</v>
      </c>
      <c r="B4180" s="102"/>
      <c r="C4180" s="96" t="s">
        <v>6</v>
      </c>
      <c r="D4180" s="97"/>
    </row>
    <row r="4181" spans="1:4" ht="42.75" customHeight="1" thickBot="1">
      <c r="A4181" s="103"/>
      <c r="B4181" s="104"/>
      <c r="C4181" s="96" t="s">
        <v>21</v>
      </c>
      <c r="D4181" s="97"/>
    </row>
    <row r="4182" spans="1:4" ht="42.75" customHeight="1" thickBot="1">
      <c r="A4182" s="105">
        <v>1250</v>
      </c>
      <c r="B4182" s="106"/>
      <c r="C4182" s="96" t="s">
        <v>7</v>
      </c>
      <c r="D4182" s="97"/>
    </row>
    <row r="4183" spans="1:4" ht="42.75" customHeight="1" thickBot="1">
      <c r="A4183" s="107" t="s">
        <v>17</v>
      </c>
      <c r="B4183" s="108"/>
      <c r="C4183" s="108"/>
      <c r="D4183" s="109"/>
    </row>
    <row r="4184" spans="1:4" ht="42.75" customHeight="1" thickBot="1">
      <c r="A4184" s="110" t="s">
        <v>20</v>
      </c>
      <c r="B4184" s="111"/>
      <c r="C4184" s="111"/>
      <c r="D4184" s="112"/>
    </row>
    <row r="4185" spans="1:4" ht="42.75" customHeight="1" thickBot="1">
      <c r="A4185" s="113" t="s">
        <v>18</v>
      </c>
      <c r="B4185" s="114"/>
      <c r="C4185" s="114"/>
      <c r="D4185" s="115"/>
    </row>
    <row r="4186" spans="1:4" ht="42.75" customHeight="1" thickBot="1">
      <c r="A4186" s="120" t="s">
        <v>19</v>
      </c>
      <c r="B4186" s="121"/>
      <c r="C4186" s="121"/>
      <c r="D4186" s="122"/>
    </row>
    <row r="4187" spans="1:4" ht="42.75" customHeight="1" thickBot="1">
      <c r="A4187" s="123" t="s">
        <v>11</v>
      </c>
      <c r="B4187" s="124"/>
      <c r="C4187" s="125" t="s">
        <v>603</v>
      </c>
      <c r="D4187" s="124"/>
    </row>
    <row r="4188" spans="1:4" ht="42.75" customHeight="1" thickBot="1">
      <c r="A4188" s="1" t="s">
        <v>686</v>
      </c>
      <c r="B4188" s="26" t="s">
        <v>1</v>
      </c>
      <c r="C4188" s="90" t="s">
        <v>149</v>
      </c>
      <c r="D4188" s="91"/>
    </row>
    <row r="4189" spans="1:4" ht="42.75" customHeight="1" thickBot="1">
      <c r="A4189" s="26"/>
      <c r="B4189" s="26" t="s">
        <v>0</v>
      </c>
      <c r="C4189" s="5" t="s">
        <v>687</v>
      </c>
      <c r="D4189" s="4" t="s">
        <v>2</v>
      </c>
    </row>
    <row r="4190" spans="1:4" ht="42.75" customHeight="1" thickBot="1">
      <c r="A4190" s="92">
        <v>1960</v>
      </c>
      <c r="B4190" s="93"/>
      <c r="C4190" s="94" t="s">
        <v>3</v>
      </c>
      <c r="D4190" s="95"/>
    </row>
    <row r="4191" spans="1:4" ht="42.75" customHeight="1" thickBot="1">
      <c r="A4191" s="92">
        <v>1960</v>
      </c>
      <c r="B4191" s="93"/>
      <c r="C4191" s="96" t="s">
        <v>4</v>
      </c>
      <c r="D4191" s="97"/>
    </row>
    <row r="4192" spans="1:4" ht="42.75" customHeight="1" thickBot="1">
      <c r="A4192" s="98">
        <f>A4191-A4190</f>
        <v>0</v>
      </c>
      <c r="B4192" s="99"/>
      <c r="C4192" s="100" t="s">
        <v>5</v>
      </c>
      <c r="D4192" s="97"/>
    </row>
    <row r="4193" spans="1:4" ht="42.75" customHeight="1" thickBot="1">
      <c r="A4193" s="101">
        <v>62</v>
      </c>
      <c r="B4193" s="102"/>
      <c r="C4193" s="96" t="s">
        <v>6</v>
      </c>
      <c r="D4193" s="97"/>
    </row>
    <row r="4194" spans="1:4" ht="42.75" customHeight="1" thickBot="1">
      <c r="A4194" s="103"/>
      <c r="B4194" s="104"/>
      <c r="C4194" s="96" t="s">
        <v>21</v>
      </c>
      <c r="D4194" s="97"/>
    </row>
    <row r="4195" spans="1:4" ht="42.75" customHeight="1" thickBot="1">
      <c r="A4195" s="105">
        <f>A4193*A4192</f>
        <v>0</v>
      </c>
      <c r="B4195" s="106"/>
      <c r="C4195" s="96" t="s">
        <v>7</v>
      </c>
      <c r="D4195" s="97"/>
    </row>
    <row r="4196" spans="1:4" ht="42.75" customHeight="1" thickBot="1">
      <c r="A4196" s="107" t="s">
        <v>17</v>
      </c>
      <c r="B4196" s="108"/>
      <c r="C4196" s="108"/>
      <c r="D4196" s="109"/>
    </row>
    <row r="4197" spans="1:4" ht="42.75" customHeight="1" thickBot="1">
      <c r="A4197" s="116" t="s">
        <v>20</v>
      </c>
      <c r="B4197" s="117"/>
      <c r="C4197" s="117"/>
      <c r="D4197" s="118"/>
    </row>
    <row r="4198" spans="1:4" ht="42.75" customHeight="1" thickBot="1">
      <c r="A4198" s="113" t="s">
        <v>18</v>
      </c>
      <c r="B4198" s="114"/>
      <c r="C4198" s="114"/>
      <c r="D4198" s="115"/>
    </row>
    <row r="4199" spans="1:4" ht="42.75" customHeight="1" thickBot="1">
      <c r="A4199" s="119"/>
      <c r="B4199" s="119"/>
      <c r="C4199" s="119"/>
      <c r="D4199" s="119"/>
    </row>
    <row r="4200" spans="1:4" ht="42.75" customHeight="1" thickBot="1">
      <c r="A4200" s="120" t="s">
        <v>19</v>
      </c>
      <c r="B4200" s="121"/>
      <c r="C4200" s="121"/>
      <c r="D4200" s="122"/>
    </row>
    <row r="4201" spans="1:4" ht="42.75" customHeight="1" thickBot="1">
      <c r="A4201" s="123" t="s">
        <v>11</v>
      </c>
      <c r="B4201" s="124"/>
      <c r="C4201" s="125" t="s">
        <v>603</v>
      </c>
      <c r="D4201" s="124"/>
    </row>
    <row r="4202" spans="1:4" ht="42.75" customHeight="1" thickBot="1">
      <c r="A4202" s="1" t="s">
        <v>686</v>
      </c>
      <c r="B4202" s="26" t="s">
        <v>1</v>
      </c>
      <c r="C4202" s="90" t="s">
        <v>149</v>
      </c>
      <c r="D4202" s="91"/>
    </row>
    <row r="4203" spans="1:4" ht="42.75" customHeight="1" thickBot="1">
      <c r="A4203" s="26"/>
      <c r="B4203" s="26" t="s">
        <v>0</v>
      </c>
      <c r="C4203" s="5" t="s">
        <v>687</v>
      </c>
      <c r="D4203" s="4" t="s">
        <v>2</v>
      </c>
    </row>
    <row r="4204" spans="1:4" ht="42.75" customHeight="1" thickBot="1">
      <c r="A4204" s="92">
        <v>1920</v>
      </c>
      <c r="B4204" s="93"/>
      <c r="C4204" s="94" t="s">
        <v>3</v>
      </c>
      <c r="D4204" s="95"/>
    </row>
    <row r="4205" spans="1:4" ht="42.75" customHeight="1" thickBot="1">
      <c r="A4205" s="92">
        <v>1960</v>
      </c>
      <c r="B4205" s="93"/>
      <c r="C4205" s="96" t="s">
        <v>4</v>
      </c>
      <c r="D4205" s="97"/>
    </row>
    <row r="4206" spans="1:4" ht="42.75" customHeight="1" thickBot="1">
      <c r="A4206" s="98">
        <f>A4205-A4204</f>
        <v>40</v>
      </c>
      <c r="B4206" s="99"/>
      <c r="C4206" s="100" t="s">
        <v>5</v>
      </c>
      <c r="D4206" s="97"/>
    </row>
    <row r="4207" spans="1:4" ht="42.75" customHeight="1" thickBot="1">
      <c r="A4207" s="101">
        <v>62</v>
      </c>
      <c r="B4207" s="102"/>
      <c r="C4207" s="96" t="s">
        <v>6</v>
      </c>
      <c r="D4207" s="97"/>
    </row>
    <row r="4208" spans="1:4" ht="42.75" customHeight="1" thickBot="1">
      <c r="A4208" s="103"/>
      <c r="B4208" s="104"/>
      <c r="C4208" s="96" t="s">
        <v>21</v>
      </c>
      <c r="D4208" s="97"/>
    </row>
    <row r="4209" spans="1:4" ht="42.75" customHeight="1" thickBot="1">
      <c r="A4209" s="105">
        <v>2500</v>
      </c>
      <c r="B4209" s="106"/>
      <c r="C4209" s="96" t="s">
        <v>7</v>
      </c>
      <c r="D4209" s="97"/>
    </row>
    <row r="4210" spans="1:4" ht="42.75" customHeight="1" thickBot="1">
      <c r="A4210" s="107" t="s">
        <v>17</v>
      </c>
      <c r="B4210" s="108"/>
      <c r="C4210" s="108"/>
      <c r="D4210" s="109"/>
    </row>
    <row r="4211" spans="1:4" ht="42.75" customHeight="1" thickBot="1">
      <c r="A4211" s="110" t="s">
        <v>20</v>
      </c>
      <c r="B4211" s="111"/>
      <c r="C4211" s="111"/>
      <c r="D4211" s="112"/>
    </row>
    <row r="4212" spans="1:4" ht="42.75" customHeight="1" thickBot="1">
      <c r="A4212" s="113" t="s">
        <v>18</v>
      </c>
      <c r="B4212" s="114"/>
      <c r="C4212" s="114"/>
      <c r="D4212" s="115"/>
    </row>
    <row r="4213" spans="1:4" ht="42.75" customHeight="1" thickBot="1">
      <c r="A4213" s="120" t="s">
        <v>19</v>
      </c>
      <c r="B4213" s="121"/>
      <c r="C4213" s="121"/>
      <c r="D4213" s="122"/>
    </row>
    <row r="4214" spans="1:4" ht="42.75" customHeight="1" thickBot="1">
      <c r="A4214" s="123" t="s">
        <v>11</v>
      </c>
      <c r="B4214" s="124"/>
      <c r="C4214" s="125" t="s">
        <v>603</v>
      </c>
      <c r="D4214" s="124"/>
    </row>
    <row r="4215" spans="1:4" ht="42.75" customHeight="1" thickBot="1">
      <c r="A4215" s="1" t="s">
        <v>686</v>
      </c>
      <c r="B4215" s="26" t="s">
        <v>1</v>
      </c>
      <c r="C4215" s="90" t="s">
        <v>150</v>
      </c>
      <c r="D4215" s="91"/>
    </row>
    <row r="4216" spans="1:4" ht="42.75" customHeight="1" thickBot="1">
      <c r="A4216" s="26"/>
      <c r="B4216" s="26" t="s">
        <v>0</v>
      </c>
      <c r="C4216" s="5" t="s">
        <v>687</v>
      </c>
      <c r="D4216" s="4" t="s">
        <v>2</v>
      </c>
    </row>
    <row r="4217" spans="1:4" ht="42.75" customHeight="1" thickBot="1">
      <c r="A4217" s="92">
        <v>616</v>
      </c>
      <c r="B4217" s="93"/>
      <c r="C4217" s="94" t="s">
        <v>3</v>
      </c>
      <c r="D4217" s="95"/>
    </row>
    <row r="4218" spans="1:4" ht="42.75" customHeight="1" thickBot="1">
      <c r="A4218" s="92">
        <v>616</v>
      </c>
      <c r="B4218" s="93"/>
      <c r="C4218" s="96" t="s">
        <v>4</v>
      </c>
      <c r="D4218" s="97"/>
    </row>
    <row r="4219" spans="1:4" ht="42.75" customHeight="1" thickBot="1">
      <c r="A4219" s="98">
        <f>A4218-A4217</f>
        <v>0</v>
      </c>
      <c r="B4219" s="99"/>
      <c r="C4219" s="100" t="s">
        <v>5</v>
      </c>
      <c r="D4219" s="97"/>
    </row>
    <row r="4220" spans="1:4" ht="42.75" customHeight="1" thickBot="1">
      <c r="A4220" s="101">
        <v>62</v>
      </c>
      <c r="B4220" s="102"/>
      <c r="C4220" s="96" t="s">
        <v>6</v>
      </c>
      <c r="D4220" s="97"/>
    </row>
    <row r="4221" spans="1:4" ht="42.75" customHeight="1" thickBot="1">
      <c r="A4221" s="103"/>
      <c r="B4221" s="104"/>
      <c r="C4221" s="96" t="s">
        <v>21</v>
      </c>
      <c r="D4221" s="97"/>
    </row>
    <row r="4222" spans="1:4" ht="42.75" customHeight="1" thickBot="1">
      <c r="A4222" s="105">
        <f>A4220*A4219</f>
        <v>0</v>
      </c>
      <c r="B4222" s="106"/>
      <c r="C4222" s="96" t="s">
        <v>7</v>
      </c>
      <c r="D4222" s="97"/>
    </row>
    <row r="4223" spans="1:4" ht="42.75" customHeight="1" thickBot="1">
      <c r="A4223" s="107" t="s">
        <v>17</v>
      </c>
      <c r="B4223" s="108"/>
      <c r="C4223" s="108"/>
      <c r="D4223" s="109"/>
    </row>
    <row r="4224" spans="1:4" ht="42.75" customHeight="1" thickBot="1">
      <c r="A4224" s="116" t="s">
        <v>20</v>
      </c>
      <c r="B4224" s="117"/>
      <c r="C4224" s="117"/>
      <c r="D4224" s="118"/>
    </row>
    <row r="4225" spans="1:4" ht="42.75" customHeight="1" thickBot="1">
      <c r="A4225" s="113" t="s">
        <v>18</v>
      </c>
      <c r="B4225" s="114"/>
      <c r="C4225" s="114"/>
      <c r="D4225" s="115"/>
    </row>
    <row r="4226" spans="1:4" ht="42.75" customHeight="1" thickBot="1">
      <c r="A4226" s="119"/>
      <c r="B4226" s="119"/>
      <c r="C4226" s="119"/>
      <c r="D4226" s="119"/>
    </row>
    <row r="4227" spans="1:4" ht="42.75" customHeight="1" thickBot="1">
      <c r="A4227" s="120" t="s">
        <v>19</v>
      </c>
      <c r="B4227" s="121"/>
      <c r="C4227" s="121"/>
      <c r="D4227" s="122"/>
    </row>
    <row r="4228" spans="1:4" ht="42.75" customHeight="1" thickBot="1">
      <c r="A4228" s="123" t="s">
        <v>11</v>
      </c>
      <c r="B4228" s="124"/>
      <c r="C4228" s="125" t="s">
        <v>603</v>
      </c>
      <c r="D4228" s="124"/>
    </row>
    <row r="4229" spans="1:4" ht="42.75" customHeight="1" thickBot="1">
      <c r="A4229" s="1" t="s">
        <v>686</v>
      </c>
      <c r="B4229" s="26" t="s">
        <v>1</v>
      </c>
      <c r="C4229" s="90" t="s">
        <v>150</v>
      </c>
      <c r="D4229" s="91"/>
    </row>
    <row r="4230" spans="1:4" ht="42.75" customHeight="1" thickBot="1">
      <c r="A4230" s="26"/>
      <c r="B4230" s="26" t="s">
        <v>0</v>
      </c>
      <c r="C4230" s="5" t="s">
        <v>687</v>
      </c>
      <c r="D4230" s="4" t="s">
        <v>2</v>
      </c>
    </row>
    <row r="4231" spans="1:4" ht="42.75" customHeight="1" thickBot="1">
      <c r="A4231" s="92">
        <v>606</v>
      </c>
      <c r="B4231" s="93"/>
      <c r="C4231" s="94" t="s">
        <v>3</v>
      </c>
      <c r="D4231" s="95"/>
    </row>
    <row r="4232" spans="1:4" ht="42.75" customHeight="1" thickBot="1">
      <c r="A4232" s="92">
        <v>616</v>
      </c>
      <c r="B4232" s="93"/>
      <c r="C4232" s="96" t="s">
        <v>4</v>
      </c>
      <c r="D4232" s="97"/>
    </row>
    <row r="4233" spans="1:4" ht="42.75" customHeight="1" thickBot="1">
      <c r="A4233" s="98">
        <f>A4232-A4231</f>
        <v>10</v>
      </c>
      <c r="B4233" s="99"/>
      <c r="C4233" s="100" t="s">
        <v>5</v>
      </c>
      <c r="D4233" s="97"/>
    </row>
    <row r="4234" spans="1:4" ht="42.75" customHeight="1" thickBot="1">
      <c r="A4234" s="101">
        <v>62</v>
      </c>
      <c r="B4234" s="102"/>
      <c r="C4234" s="96" t="s">
        <v>6</v>
      </c>
      <c r="D4234" s="97"/>
    </row>
    <row r="4235" spans="1:4" ht="42.75" customHeight="1" thickBot="1">
      <c r="A4235" s="103"/>
      <c r="B4235" s="104"/>
      <c r="C4235" s="96" t="s">
        <v>21</v>
      </c>
      <c r="D4235" s="97"/>
    </row>
    <row r="4236" spans="1:4" ht="42.75" customHeight="1" thickBot="1">
      <c r="A4236" s="105">
        <v>600</v>
      </c>
      <c r="B4236" s="106"/>
      <c r="C4236" s="96" t="s">
        <v>7</v>
      </c>
      <c r="D4236" s="97"/>
    </row>
    <row r="4237" spans="1:4" ht="42.75" customHeight="1" thickBot="1">
      <c r="A4237" s="107" t="s">
        <v>17</v>
      </c>
      <c r="B4237" s="108"/>
      <c r="C4237" s="108"/>
      <c r="D4237" s="109"/>
    </row>
    <row r="4238" spans="1:4" ht="42.75" customHeight="1" thickBot="1">
      <c r="A4238" s="110" t="s">
        <v>20</v>
      </c>
      <c r="B4238" s="111"/>
      <c r="C4238" s="111"/>
      <c r="D4238" s="112"/>
    </row>
    <row r="4239" spans="1:4" ht="42.75" customHeight="1" thickBot="1">
      <c r="A4239" s="113" t="s">
        <v>18</v>
      </c>
      <c r="B4239" s="114"/>
      <c r="C4239" s="114"/>
      <c r="D4239" s="115"/>
    </row>
    <row r="4240" spans="1:4" ht="42.75" customHeight="1" thickBot="1">
      <c r="A4240" s="120" t="s">
        <v>19</v>
      </c>
      <c r="B4240" s="121"/>
      <c r="C4240" s="121"/>
      <c r="D4240" s="122"/>
    </row>
    <row r="4241" spans="1:4" ht="42.75" customHeight="1" thickBot="1">
      <c r="A4241" s="123" t="s">
        <v>11</v>
      </c>
      <c r="B4241" s="124"/>
      <c r="C4241" s="125" t="s">
        <v>603</v>
      </c>
      <c r="D4241" s="124"/>
    </row>
    <row r="4242" spans="1:4" ht="42.75" customHeight="1" thickBot="1">
      <c r="A4242" s="1" t="s">
        <v>686</v>
      </c>
      <c r="B4242" s="26" t="s">
        <v>1</v>
      </c>
      <c r="C4242" s="90" t="s">
        <v>652</v>
      </c>
      <c r="D4242" s="91"/>
    </row>
    <row r="4243" spans="1:4" ht="42.75" customHeight="1" thickBot="1">
      <c r="A4243" s="26"/>
      <c r="B4243" s="26" t="s">
        <v>0</v>
      </c>
      <c r="C4243" s="5" t="s">
        <v>687</v>
      </c>
      <c r="D4243" s="4" t="s">
        <v>2</v>
      </c>
    </row>
    <row r="4244" spans="1:4" ht="42.75" customHeight="1" thickBot="1">
      <c r="A4244" s="92">
        <v>353</v>
      </c>
      <c r="B4244" s="93"/>
      <c r="C4244" s="94" t="s">
        <v>3</v>
      </c>
      <c r="D4244" s="95"/>
    </row>
    <row r="4245" spans="1:4" ht="42.75" customHeight="1" thickBot="1">
      <c r="A4245" s="92">
        <v>353</v>
      </c>
      <c r="B4245" s="93"/>
      <c r="C4245" s="96" t="s">
        <v>4</v>
      </c>
      <c r="D4245" s="97"/>
    </row>
    <row r="4246" spans="1:4" ht="42.75" customHeight="1" thickBot="1">
      <c r="A4246" s="98">
        <f>A4245-A4244</f>
        <v>0</v>
      </c>
      <c r="B4246" s="99"/>
      <c r="C4246" s="100" t="s">
        <v>5</v>
      </c>
      <c r="D4246" s="97"/>
    </row>
    <row r="4247" spans="1:4" ht="42.75" customHeight="1" thickBot="1">
      <c r="A4247" s="101">
        <v>62</v>
      </c>
      <c r="B4247" s="102"/>
      <c r="C4247" s="96" t="s">
        <v>6</v>
      </c>
      <c r="D4247" s="97"/>
    </row>
    <row r="4248" spans="1:4" ht="42.75" customHeight="1" thickBot="1">
      <c r="A4248" s="103"/>
      <c r="B4248" s="104"/>
      <c r="C4248" s="96" t="s">
        <v>21</v>
      </c>
      <c r="D4248" s="97"/>
    </row>
    <row r="4249" spans="1:4" ht="42.75" customHeight="1" thickBot="1">
      <c r="A4249" s="105">
        <f>A4247*A4246</f>
        <v>0</v>
      </c>
      <c r="B4249" s="106"/>
      <c r="C4249" s="96" t="s">
        <v>7</v>
      </c>
      <c r="D4249" s="97"/>
    </row>
    <row r="4250" spans="1:4" ht="42.75" customHeight="1" thickBot="1">
      <c r="A4250" s="107" t="s">
        <v>17</v>
      </c>
      <c r="B4250" s="108"/>
      <c r="C4250" s="108"/>
      <c r="D4250" s="109"/>
    </row>
    <row r="4251" spans="1:4" ht="42.75" customHeight="1" thickBot="1">
      <c r="A4251" s="116" t="s">
        <v>20</v>
      </c>
      <c r="B4251" s="117"/>
      <c r="C4251" s="117"/>
      <c r="D4251" s="118"/>
    </row>
    <row r="4252" spans="1:4" ht="42.75" customHeight="1" thickBot="1">
      <c r="A4252" s="113" t="s">
        <v>18</v>
      </c>
      <c r="B4252" s="114"/>
      <c r="C4252" s="114"/>
      <c r="D4252" s="115"/>
    </row>
    <row r="4253" spans="1:4" ht="42.75" customHeight="1" thickBot="1">
      <c r="A4253" s="119"/>
      <c r="B4253" s="119"/>
      <c r="C4253" s="119"/>
      <c r="D4253" s="119"/>
    </row>
    <row r="4254" spans="1:4" ht="42.75" customHeight="1" thickBot="1">
      <c r="A4254" s="120" t="s">
        <v>19</v>
      </c>
      <c r="B4254" s="121"/>
      <c r="C4254" s="121"/>
      <c r="D4254" s="122"/>
    </row>
    <row r="4255" spans="1:4" ht="42.75" customHeight="1" thickBot="1">
      <c r="A4255" s="123" t="s">
        <v>11</v>
      </c>
      <c r="B4255" s="124"/>
      <c r="C4255" s="125" t="s">
        <v>603</v>
      </c>
      <c r="D4255" s="124"/>
    </row>
    <row r="4256" spans="1:4" ht="42.75" customHeight="1" thickBot="1">
      <c r="A4256" s="1" t="s">
        <v>686</v>
      </c>
      <c r="B4256" s="26" t="s">
        <v>1</v>
      </c>
      <c r="C4256" s="90" t="s">
        <v>652</v>
      </c>
      <c r="D4256" s="91"/>
    </row>
    <row r="4257" spans="1:4" ht="42.75" customHeight="1" thickBot="1">
      <c r="A4257" s="26"/>
      <c r="B4257" s="26" t="s">
        <v>0</v>
      </c>
      <c r="C4257" s="5" t="s">
        <v>687</v>
      </c>
      <c r="D4257" s="4" t="s">
        <v>2</v>
      </c>
    </row>
    <row r="4258" spans="1:4" ht="42.75" customHeight="1" thickBot="1">
      <c r="A4258" s="92">
        <v>350</v>
      </c>
      <c r="B4258" s="93"/>
      <c r="C4258" s="94" t="s">
        <v>3</v>
      </c>
      <c r="D4258" s="95"/>
    </row>
    <row r="4259" spans="1:4" ht="42.75" customHeight="1" thickBot="1">
      <c r="A4259" s="92">
        <v>353</v>
      </c>
      <c r="B4259" s="93"/>
      <c r="C4259" s="96" t="s">
        <v>4</v>
      </c>
      <c r="D4259" s="97"/>
    </row>
    <row r="4260" spans="1:4" ht="42.75" customHeight="1" thickBot="1">
      <c r="A4260" s="98">
        <v>10</v>
      </c>
      <c r="B4260" s="99"/>
      <c r="C4260" s="100" t="s">
        <v>5</v>
      </c>
      <c r="D4260" s="97"/>
    </row>
    <row r="4261" spans="1:4" ht="42.75" customHeight="1" thickBot="1">
      <c r="A4261" s="101">
        <v>62</v>
      </c>
      <c r="B4261" s="102"/>
      <c r="C4261" s="96" t="s">
        <v>6</v>
      </c>
      <c r="D4261" s="97"/>
    </row>
    <row r="4262" spans="1:4" ht="42.75" customHeight="1" thickBot="1">
      <c r="A4262" s="103"/>
      <c r="B4262" s="104"/>
      <c r="C4262" s="96" t="s">
        <v>21</v>
      </c>
      <c r="D4262" s="97"/>
    </row>
    <row r="4263" spans="1:4" ht="42.75" customHeight="1" thickBot="1">
      <c r="A4263" s="105">
        <v>600</v>
      </c>
      <c r="B4263" s="106"/>
      <c r="C4263" s="96" t="s">
        <v>7</v>
      </c>
      <c r="D4263" s="97"/>
    </row>
    <row r="4264" spans="1:4" ht="42.75" customHeight="1" thickBot="1">
      <c r="A4264" s="107" t="s">
        <v>17</v>
      </c>
      <c r="B4264" s="108"/>
      <c r="C4264" s="108"/>
      <c r="D4264" s="109"/>
    </row>
    <row r="4265" spans="1:4" ht="42.75" customHeight="1" thickBot="1">
      <c r="A4265" s="110" t="s">
        <v>20</v>
      </c>
      <c r="B4265" s="111"/>
      <c r="C4265" s="111"/>
      <c r="D4265" s="112"/>
    </row>
    <row r="4266" spans="1:4" ht="42.75" customHeight="1" thickBot="1">
      <c r="A4266" s="113" t="s">
        <v>18</v>
      </c>
      <c r="B4266" s="114"/>
      <c r="C4266" s="114"/>
      <c r="D4266" s="115"/>
    </row>
    <row r="4267" spans="1:4" ht="42.75" customHeight="1" thickBot="1">
      <c r="A4267" s="120" t="s">
        <v>19</v>
      </c>
      <c r="B4267" s="121"/>
      <c r="C4267" s="121"/>
      <c r="D4267" s="122"/>
    </row>
    <row r="4268" spans="1:4" ht="42.75" customHeight="1" thickBot="1">
      <c r="A4268" s="123" t="s">
        <v>11</v>
      </c>
      <c r="B4268" s="124"/>
      <c r="C4268" s="125" t="s">
        <v>603</v>
      </c>
      <c r="D4268" s="124"/>
    </row>
    <row r="4269" spans="1:4" ht="42.75" customHeight="1" thickBot="1">
      <c r="A4269" s="1" t="s">
        <v>686</v>
      </c>
      <c r="B4269" s="26" t="s">
        <v>1</v>
      </c>
      <c r="C4269" s="90" t="s">
        <v>151</v>
      </c>
      <c r="D4269" s="91"/>
    </row>
    <row r="4270" spans="1:4" ht="42.75" customHeight="1" thickBot="1">
      <c r="A4270" s="26"/>
      <c r="B4270" s="26" t="s">
        <v>0</v>
      </c>
      <c r="C4270" s="5" t="s">
        <v>687</v>
      </c>
      <c r="D4270" s="4" t="s">
        <v>2</v>
      </c>
    </row>
    <row r="4271" spans="1:4" ht="42.75" customHeight="1" thickBot="1">
      <c r="A4271" s="92">
        <v>295</v>
      </c>
      <c r="B4271" s="93"/>
      <c r="C4271" s="94" t="s">
        <v>3</v>
      </c>
      <c r="D4271" s="95"/>
    </row>
    <row r="4272" spans="1:4" ht="42.75" customHeight="1" thickBot="1">
      <c r="A4272" s="92">
        <v>295</v>
      </c>
      <c r="B4272" s="93"/>
      <c r="C4272" s="96" t="s">
        <v>4</v>
      </c>
      <c r="D4272" s="97"/>
    </row>
    <row r="4273" spans="1:4" ht="42.75" customHeight="1" thickBot="1">
      <c r="A4273" s="98">
        <f>A4272-A4271</f>
        <v>0</v>
      </c>
      <c r="B4273" s="99"/>
      <c r="C4273" s="100" t="s">
        <v>5</v>
      </c>
      <c r="D4273" s="97"/>
    </row>
    <row r="4274" spans="1:4" ht="42.75" customHeight="1" thickBot="1">
      <c r="A4274" s="101">
        <v>62</v>
      </c>
      <c r="B4274" s="102"/>
      <c r="C4274" s="96" t="s">
        <v>6</v>
      </c>
      <c r="D4274" s="97"/>
    </row>
    <row r="4275" spans="1:4" ht="42.75" customHeight="1" thickBot="1">
      <c r="A4275" s="103"/>
      <c r="B4275" s="104"/>
      <c r="C4275" s="96" t="s">
        <v>21</v>
      </c>
      <c r="D4275" s="97"/>
    </row>
    <row r="4276" spans="1:4" ht="42.75" customHeight="1" thickBot="1">
      <c r="A4276" s="105">
        <f>A4274*A4273</f>
        <v>0</v>
      </c>
      <c r="B4276" s="106"/>
      <c r="C4276" s="96" t="s">
        <v>7</v>
      </c>
      <c r="D4276" s="97"/>
    </row>
    <row r="4277" spans="1:4" ht="42.75" customHeight="1" thickBot="1">
      <c r="A4277" s="107" t="s">
        <v>17</v>
      </c>
      <c r="B4277" s="108"/>
      <c r="C4277" s="108"/>
      <c r="D4277" s="109"/>
    </row>
    <row r="4278" spans="1:4" ht="42.75" customHeight="1" thickBot="1">
      <c r="A4278" s="116" t="s">
        <v>20</v>
      </c>
      <c r="B4278" s="117"/>
      <c r="C4278" s="117"/>
      <c r="D4278" s="118"/>
    </row>
    <row r="4279" spans="1:4" ht="42.75" customHeight="1" thickBot="1">
      <c r="A4279" s="113" t="s">
        <v>18</v>
      </c>
      <c r="B4279" s="114"/>
      <c r="C4279" s="114"/>
      <c r="D4279" s="115"/>
    </row>
    <row r="4280" spans="1:4" ht="42.75" customHeight="1" thickBot="1">
      <c r="A4280" s="119"/>
      <c r="B4280" s="119"/>
      <c r="C4280" s="119"/>
      <c r="D4280" s="119"/>
    </row>
    <row r="4281" spans="1:4" ht="42.75" customHeight="1" thickBot="1">
      <c r="A4281" s="120" t="s">
        <v>19</v>
      </c>
      <c r="B4281" s="121"/>
      <c r="C4281" s="121"/>
      <c r="D4281" s="122"/>
    </row>
    <row r="4282" spans="1:4" ht="42.75" customHeight="1" thickBot="1">
      <c r="A4282" s="123" t="s">
        <v>11</v>
      </c>
      <c r="B4282" s="124"/>
      <c r="C4282" s="125" t="s">
        <v>603</v>
      </c>
      <c r="D4282" s="124"/>
    </row>
    <row r="4283" spans="1:4" ht="42.75" customHeight="1" thickBot="1">
      <c r="A4283" s="1" t="s">
        <v>686</v>
      </c>
      <c r="B4283" s="26" t="s">
        <v>1</v>
      </c>
      <c r="C4283" s="90" t="s">
        <v>151</v>
      </c>
      <c r="D4283" s="91"/>
    </row>
    <row r="4284" spans="1:4" ht="42.75" customHeight="1" thickBot="1">
      <c r="A4284" s="26"/>
      <c r="B4284" s="26" t="s">
        <v>0</v>
      </c>
      <c r="C4284" s="5" t="s">
        <v>687</v>
      </c>
      <c r="D4284" s="4" t="s">
        <v>2</v>
      </c>
    </row>
    <row r="4285" spans="1:4" ht="42.75" customHeight="1" thickBot="1">
      <c r="A4285" s="92">
        <v>265</v>
      </c>
      <c r="B4285" s="93"/>
      <c r="C4285" s="94" t="s">
        <v>3</v>
      </c>
      <c r="D4285" s="95"/>
    </row>
    <row r="4286" spans="1:4" ht="42.75" customHeight="1" thickBot="1">
      <c r="A4286" s="92">
        <v>295</v>
      </c>
      <c r="B4286" s="93"/>
      <c r="C4286" s="96" t="s">
        <v>4</v>
      </c>
      <c r="D4286" s="97"/>
    </row>
    <row r="4287" spans="1:4" ht="42.75" customHeight="1" thickBot="1">
      <c r="A4287" s="98">
        <f>A4286-A4285</f>
        <v>30</v>
      </c>
      <c r="B4287" s="99"/>
      <c r="C4287" s="100" t="s">
        <v>5</v>
      </c>
      <c r="D4287" s="97"/>
    </row>
    <row r="4288" spans="1:4" ht="42.75" customHeight="1" thickBot="1">
      <c r="A4288" s="101">
        <v>62</v>
      </c>
      <c r="B4288" s="102"/>
      <c r="C4288" s="96" t="s">
        <v>6</v>
      </c>
      <c r="D4288" s="97"/>
    </row>
    <row r="4289" spans="1:4" ht="42.75" customHeight="1" thickBot="1">
      <c r="A4289" s="103"/>
      <c r="B4289" s="104"/>
      <c r="C4289" s="96" t="s">
        <v>21</v>
      </c>
      <c r="D4289" s="97"/>
    </row>
    <row r="4290" spans="1:4" ht="42.75" customHeight="1" thickBot="1">
      <c r="A4290" s="105">
        <v>1850</v>
      </c>
      <c r="B4290" s="106"/>
      <c r="C4290" s="96" t="s">
        <v>7</v>
      </c>
      <c r="D4290" s="97"/>
    </row>
    <row r="4291" spans="1:4" ht="42.75" customHeight="1" thickBot="1">
      <c r="A4291" s="107" t="s">
        <v>17</v>
      </c>
      <c r="B4291" s="108"/>
      <c r="C4291" s="108"/>
      <c r="D4291" s="109"/>
    </row>
    <row r="4292" spans="1:4" ht="42.75" customHeight="1" thickBot="1">
      <c r="A4292" s="110" t="s">
        <v>20</v>
      </c>
      <c r="B4292" s="111"/>
      <c r="C4292" s="111"/>
      <c r="D4292" s="112"/>
    </row>
    <row r="4293" spans="1:4" ht="42.75" customHeight="1" thickBot="1">
      <c r="A4293" s="113" t="s">
        <v>18</v>
      </c>
      <c r="B4293" s="114"/>
      <c r="C4293" s="114"/>
      <c r="D4293" s="115"/>
    </row>
    <row r="4294" spans="1:4" ht="42.75" customHeight="1" thickBot="1">
      <c r="A4294" s="120" t="s">
        <v>19</v>
      </c>
      <c r="B4294" s="121"/>
      <c r="C4294" s="121"/>
      <c r="D4294" s="122"/>
    </row>
    <row r="4295" spans="1:4" ht="42.75" customHeight="1" thickBot="1">
      <c r="A4295" s="123" t="s">
        <v>11</v>
      </c>
      <c r="B4295" s="124"/>
      <c r="C4295" s="125" t="s">
        <v>603</v>
      </c>
      <c r="D4295" s="124"/>
    </row>
    <row r="4296" spans="1:4" ht="42.75" customHeight="1" thickBot="1">
      <c r="A4296" s="1" t="s">
        <v>686</v>
      </c>
      <c r="B4296" s="26" t="s">
        <v>1</v>
      </c>
      <c r="C4296" s="90" t="s">
        <v>152</v>
      </c>
      <c r="D4296" s="91"/>
    </row>
    <row r="4297" spans="1:4" ht="42.75" customHeight="1" thickBot="1">
      <c r="A4297" s="26"/>
      <c r="B4297" s="26" t="s">
        <v>0</v>
      </c>
      <c r="C4297" s="5" t="s">
        <v>687</v>
      </c>
      <c r="D4297" s="4" t="s">
        <v>2</v>
      </c>
    </row>
    <row r="4298" spans="1:4" ht="42.75" customHeight="1" thickBot="1">
      <c r="A4298" s="92">
        <v>1745</v>
      </c>
      <c r="B4298" s="93"/>
      <c r="C4298" s="94" t="s">
        <v>3</v>
      </c>
      <c r="D4298" s="95"/>
    </row>
    <row r="4299" spans="1:4" ht="42.75" customHeight="1" thickBot="1">
      <c r="A4299" s="92">
        <v>1745</v>
      </c>
      <c r="B4299" s="93"/>
      <c r="C4299" s="96" t="s">
        <v>4</v>
      </c>
      <c r="D4299" s="97"/>
    </row>
    <row r="4300" spans="1:4" ht="42.75" customHeight="1" thickBot="1">
      <c r="A4300" s="98">
        <f>A4299-A4298</f>
        <v>0</v>
      </c>
      <c r="B4300" s="99"/>
      <c r="C4300" s="100" t="s">
        <v>5</v>
      </c>
      <c r="D4300" s="97"/>
    </row>
    <row r="4301" spans="1:4" ht="42.75" customHeight="1" thickBot="1">
      <c r="A4301" s="101">
        <v>50</v>
      </c>
      <c r="B4301" s="102"/>
      <c r="C4301" s="96" t="s">
        <v>6</v>
      </c>
      <c r="D4301" s="97"/>
    </row>
    <row r="4302" spans="1:4" ht="42.75" customHeight="1" thickBot="1">
      <c r="A4302" s="103"/>
      <c r="B4302" s="104"/>
      <c r="C4302" s="96" t="s">
        <v>21</v>
      </c>
      <c r="D4302" s="97"/>
    </row>
    <row r="4303" spans="1:4" ht="42.75" customHeight="1" thickBot="1">
      <c r="A4303" s="105">
        <f>A4301*A4300</f>
        <v>0</v>
      </c>
      <c r="B4303" s="106"/>
      <c r="C4303" s="96" t="s">
        <v>7</v>
      </c>
      <c r="D4303" s="97"/>
    </row>
    <row r="4304" spans="1:4" ht="42.75" customHeight="1" thickBot="1">
      <c r="A4304" s="107" t="s">
        <v>17</v>
      </c>
      <c r="B4304" s="108"/>
      <c r="C4304" s="108"/>
      <c r="D4304" s="109"/>
    </row>
    <row r="4305" spans="1:4" ht="42.75" customHeight="1" thickBot="1">
      <c r="A4305" s="116" t="s">
        <v>20</v>
      </c>
      <c r="B4305" s="117"/>
      <c r="C4305" s="117"/>
      <c r="D4305" s="118"/>
    </row>
    <row r="4306" spans="1:4" ht="42.75" customHeight="1" thickBot="1">
      <c r="A4306" s="113" t="s">
        <v>18</v>
      </c>
      <c r="B4306" s="114"/>
      <c r="C4306" s="114"/>
      <c r="D4306" s="115"/>
    </row>
    <row r="4307" spans="1:4" ht="42.75" customHeight="1" thickBot="1">
      <c r="A4307" s="119"/>
      <c r="B4307" s="119"/>
      <c r="C4307" s="119"/>
      <c r="D4307" s="119"/>
    </row>
    <row r="4308" spans="1:4" ht="42.75" customHeight="1" thickBot="1">
      <c r="A4308" s="120" t="s">
        <v>19</v>
      </c>
      <c r="B4308" s="121"/>
      <c r="C4308" s="121"/>
      <c r="D4308" s="122"/>
    </row>
    <row r="4309" spans="1:4" ht="42.75" customHeight="1" thickBot="1">
      <c r="A4309" s="123" t="s">
        <v>11</v>
      </c>
      <c r="B4309" s="124"/>
      <c r="C4309" s="125" t="s">
        <v>603</v>
      </c>
      <c r="D4309" s="124"/>
    </row>
    <row r="4310" spans="1:4" ht="42.75" customHeight="1" thickBot="1">
      <c r="A4310" s="1" t="s">
        <v>686</v>
      </c>
      <c r="B4310" s="26" t="s">
        <v>1</v>
      </c>
      <c r="C4310" s="90" t="s">
        <v>152</v>
      </c>
      <c r="D4310" s="91"/>
    </row>
    <row r="4311" spans="1:4" ht="42.75" customHeight="1" thickBot="1">
      <c r="A4311" s="26"/>
      <c r="B4311" s="26" t="s">
        <v>0</v>
      </c>
      <c r="C4311" s="5" t="s">
        <v>687</v>
      </c>
      <c r="D4311" s="4" t="s">
        <v>2</v>
      </c>
    </row>
    <row r="4312" spans="1:4" ht="42.75" customHeight="1" thickBot="1">
      <c r="A4312" s="92">
        <v>1690</v>
      </c>
      <c r="B4312" s="93"/>
      <c r="C4312" s="94" t="s">
        <v>3</v>
      </c>
      <c r="D4312" s="95"/>
    </row>
    <row r="4313" spans="1:4" ht="42.75" customHeight="1" thickBot="1">
      <c r="A4313" s="92">
        <v>1745</v>
      </c>
      <c r="B4313" s="93"/>
      <c r="C4313" s="96" t="s">
        <v>4</v>
      </c>
      <c r="D4313" s="97"/>
    </row>
    <row r="4314" spans="1:4" ht="42.75" customHeight="1" thickBot="1">
      <c r="A4314" s="98">
        <f>A4313-A4312</f>
        <v>55</v>
      </c>
      <c r="B4314" s="99"/>
      <c r="C4314" s="100" t="s">
        <v>5</v>
      </c>
      <c r="D4314" s="97"/>
    </row>
    <row r="4315" spans="1:4" ht="42.75" customHeight="1" thickBot="1">
      <c r="A4315" s="101">
        <v>62</v>
      </c>
      <c r="B4315" s="102"/>
      <c r="C4315" s="96" t="s">
        <v>6</v>
      </c>
      <c r="D4315" s="97"/>
    </row>
    <row r="4316" spans="1:4" ht="42.75" customHeight="1" thickBot="1">
      <c r="A4316" s="103"/>
      <c r="B4316" s="104"/>
      <c r="C4316" s="96" t="s">
        <v>21</v>
      </c>
      <c r="D4316" s="97"/>
    </row>
    <row r="4317" spans="1:4" ht="42.75" customHeight="1" thickBot="1">
      <c r="A4317" s="105">
        <f>A4315*A4314</f>
        <v>3410</v>
      </c>
      <c r="B4317" s="106"/>
      <c r="C4317" s="96" t="s">
        <v>7</v>
      </c>
      <c r="D4317" s="97"/>
    </row>
    <row r="4318" spans="1:4" ht="42.75" customHeight="1" thickBot="1">
      <c r="A4318" s="107" t="s">
        <v>17</v>
      </c>
      <c r="B4318" s="108"/>
      <c r="C4318" s="108"/>
      <c r="D4318" s="109"/>
    </row>
    <row r="4319" spans="1:4" ht="42.75" customHeight="1" thickBot="1">
      <c r="A4319" s="110" t="s">
        <v>20</v>
      </c>
      <c r="B4319" s="111"/>
      <c r="C4319" s="111"/>
      <c r="D4319" s="112"/>
    </row>
    <row r="4320" spans="1:4" ht="42.75" customHeight="1" thickBot="1">
      <c r="A4320" s="113" t="s">
        <v>18</v>
      </c>
      <c r="B4320" s="114"/>
      <c r="C4320" s="114"/>
      <c r="D4320" s="115"/>
    </row>
    <row r="4321" spans="1:4" ht="42.75" customHeight="1" thickBot="1">
      <c r="A4321" s="120" t="s">
        <v>19</v>
      </c>
      <c r="B4321" s="121"/>
      <c r="C4321" s="121"/>
      <c r="D4321" s="122"/>
    </row>
    <row r="4322" spans="1:4" ht="42.75" customHeight="1" thickBot="1">
      <c r="A4322" s="123" t="s">
        <v>11</v>
      </c>
      <c r="B4322" s="124"/>
      <c r="C4322" s="125" t="s">
        <v>603</v>
      </c>
      <c r="D4322" s="124"/>
    </row>
    <row r="4323" spans="1:4" ht="42.75" customHeight="1" thickBot="1">
      <c r="A4323" s="1" t="s">
        <v>686</v>
      </c>
      <c r="B4323" s="26" t="s">
        <v>1</v>
      </c>
      <c r="C4323" s="90" t="s">
        <v>153</v>
      </c>
      <c r="D4323" s="91"/>
    </row>
    <row r="4324" spans="1:4" ht="42.75" customHeight="1" thickBot="1">
      <c r="A4324" s="26"/>
      <c r="B4324" s="26" t="s">
        <v>0</v>
      </c>
      <c r="C4324" s="5" t="s">
        <v>687</v>
      </c>
      <c r="D4324" s="4" t="s">
        <v>2</v>
      </c>
    </row>
    <row r="4325" spans="1:4" ht="42.75" customHeight="1" thickBot="1">
      <c r="A4325" s="92">
        <v>2860</v>
      </c>
      <c r="B4325" s="93"/>
      <c r="C4325" s="94" t="s">
        <v>3</v>
      </c>
      <c r="D4325" s="95"/>
    </row>
    <row r="4326" spans="1:4" ht="42.75" customHeight="1" thickBot="1">
      <c r="A4326" s="92">
        <v>2860</v>
      </c>
      <c r="B4326" s="93"/>
      <c r="C4326" s="96" t="s">
        <v>4</v>
      </c>
      <c r="D4326" s="97"/>
    </row>
    <row r="4327" spans="1:4" ht="42.75" customHeight="1" thickBot="1">
      <c r="A4327" s="98">
        <f>A4326-A4325</f>
        <v>0</v>
      </c>
      <c r="B4327" s="99"/>
      <c r="C4327" s="100" t="s">
        <v>5</v>
      </c>
      <c r="D4327" s="97"/>
    </row>
    <row r="4328" spans="1:4" ht="42.75" customHeight="1" thickBot="1">
      <c r="A4328" s="101">
        <v>62</v>
      </c>
      <c r="B4328" s="102"/>
      <c r="C4328" s="96" t="s">
        <v>6</v>
      </c>
      <c r="D4328" s="97"/>
    </row>
    <row r="4329" spans="1:4" ht="42.75" customHeight="1" thickBot="1">
      <c r="A4329" s="103"/>
      <c r="B4329" s="104"/>
      <c r="C4329" s="96" t="s">
        <v>21</v>
      </c>
      <c r="D4329" s="97"/>
    </row>
    <row r="4330" spans="1:4" ht="42.75" customHeight="1" thickBot="1">
      <c r="A4330" s="105">
        <f>A4328*A4327</f>
        <v>0</v>
      </c>
      <c r="B4330" s="106"/>
      <c r="C4330" s="96" t="s">
        <v>7</v>
      </c>
      <c r="D4330" s="97"/>
    </row>
    <row r="4331" spans="1:4" ht="42.75" customHeight="1" thickBot="1">
      <c r="A4331" s="107" t="s">
        <v>17</v>
      </c>
      <c r="B4331" s="108"/>
      <c r="C4331" s="108"/>
      <c r="D4331" s="109"/>
    </row>
    <row r="4332" spans="1:4" ht="42.75" customHeight="1" thickBot="1">
      <c r="A4332" s="116" t="s">
        <v>20</v>
      </c>
      <c r="B4332" s="117"/>
      <c r="C4332" s="117"/>
      <c r="D4332" s="118"/>
    </row>
    <row r="4333" spans="1:4" ht="42.75" customHeight="1" thickBot="1">
      <c r="A4333" s="113" t="s">
        <v>18</v>
      </c>
      <c r="B4333" s="114"/>
      <c r="C4333" s="114"/>
      <c r="D4333" s="115"/>
    </row>
    <row r="4334" spans="1:4" ht="42.75" customHeight="1" thickBot="1">
      <c r="A4334" s="119"/>
      <c r="B4334" s="119"/>
      <c r="C4334" s="119"/>
      <c r="D4334" s="119"/>
    </row>
    <row r="4335" spans="1:4" ht="42.75" customHeight="1" thickBot="1">
      <c r="A4335" s="120" t="s">
        <v>19</v>
      </c>
      <c r="B4335" s="121"/>
      <c r="C4335" s="121"/>
      <c r="D4335" s="122"/>
    </row>
    <row r="4336" spans="1:4" ht="42.75" customHeight="1" thickBot="1">
      <c r="A4336" s="123" t="s">
        <v>11</v>
      </c>
      <c r="B4336" s="124"/>
      <c r="C4336" s="125" t="s">
        <v>603</v>
      </c>
      <c r="D4336" s="124"/>
    </row>
    <row r="4337" spans="1:4" ht="42.75" customHeight="1" thickBot="1">
      <c r="A4337" s="1" t="s">
        <v>686</v>
      </c>
      <c r="B4337" s="26" t="s">
        <v>1</v>
      </c>
      <c r="C4337" s="90" t="s">
        <v>153</v>
      </c>
      <c r="D4337" s="91"/>
    </row>
    <row r="4338" spans="1:4" ht="42.75" customHeight="1" thickBot="1">
      <c r="A4338" s="26"/>
      <c r="B4338" s="26" t="s">
        <v>0</v>
      </c>
      <c r="C4338" s="5" t="s">
        <v>687</v>
      </c>
      <c r="D4338" s="4" t="s">
        <v>2</v>
      </c>
    </row>
    <row r="4339" spans="1:4" ht="42.75" customHeight="1" thickBot="1">
      <c r="A4339" s="92">
        <v>2845</v>
      </c>
      <c r="B4339" s="93"/>
      <c r="C4339" s="94" t="s">
        <v>3</v>
      </c>
      <c r="D4339" s="95"/>
    </row>
    <row r="4340" spans="1:4" ht="42.75" customHeight="1" thickBot="1">
      <c r="A4340" s="92">
        <v>2860</v>
      </c>
      <c r="B4340" s="93"/>
      <c r="C4340" s="96" t="s">
        <v>4</v>
      </c>
      <c r="D4340" s="97"/>
    </row>
    <row r="4341" spans="1:4" ht="42.75" customHeight="1" thickBot="1">
      <c r="A4341" s="98">
        <f>A4340-A4339</f>
        <v>15</v>
      </c>
      <c r="B4341" s="99"/>
      <c r="C4341" s="100" t="s">
        <v>5</v>
      </c>
      <c r="D4341" s="97"/>
    </row>
    <row r="4342" spans="1:4" ht="42.75" customHeight="1" thickBot="1">
      <c r="A4342" s="101">
        <v>62</v>
      </c>
      <c r="B4342" s="102"/>
      <c r="C4342" s="96" t="s">
        <v>6</v>
      </c>
      <c r="D4342" s="97"/>
    </row>
    <row r="4343" spans="1:4" ht="42.75" customHeight="1" thickBot="1">
      <c r="A4343" s="103"/>
      <c r="B4343" s="104"/>
      <c r="C4343" s="96" t="s">
        <v>21</v>
      </c>
      <c r="D4343" s="97"/>
    </row>
    <row r="4344" spans="1:4" ht="42.75" customHeight="1" thickBot="1">
      <c r="A4344" s="105">
        <v>950</v>
      </c>
      <c r="B4344" s="106"/>
      <c r="C4344" s="96" t="s">
        <v>7</v>
      </c>
      <c r="D4344" s="97"/>
    </row>
    <row r="4345" spans="1:4" ht="42.75" customHeight="1" thickBot="1">
      <c r="A4345" s="107" t="s">
        <v>17</v>
      </c>
      <c r="B4345" s="108"/>
      <c r="C4345" s="108"/>
      <c r="D4345" s="109"/>
    </row>
    <row r="4346" spans="1:4" ht="42.75" customHeight="1" thickBot="1">
      <c r="A4346" s="110" t="s">
        <v>20</v>
      </c>
      <c r="B4346" s="111"/>
      <c r="C4346" s="111"/>
      <c r="D4346" s="112"/>
    </row>
    <row r="4347" spans="1:4" ht="42.75" customHeight="1" thickBot="1">
      <c r="A4347" s="113" t="s">
        <v>18</v>
      </c>
      <c r="B4347" s="114"/>
      <c r="C4347" s="114"/>
      <c r="D4347" s="115"/>
    </row>
    <row r="4348" spans="1:4" ht="42.75" customHeight="1" thickBot="1">
      <c r="A4348" s="120" t="s">
        <v>19</v>
      </c>
      <c r="B4348" s="121"/>
      <c r="C4348" s="121"/>
      <c r="D4348" s="122"/>
    </row>
    <row r="4349" spans="1:4" ht="42.75" customHeight="1" thickBot="1">
      <c r="A4349" s="123" t="s">
        <v>11</v>
      </c>
      <c r="B4349" s="124"/>
      <c r="C4349" s="125" t="s">
        <v>603</v>
      </c>
      <c r="D4349" s="124"/>
    </row>
    <row r="4350" spans="1:4" ht="42.75" customHeight="1" thickBot="1">
      <c r="A4350" s="1" t="s">
        <v>686</v>
      </c>
      <c r="B4350" s="26" t="s">
        <v>1</v>
      </c>
      <c r="C4350" s="90" t="s">
        <v>581</v>
      </c>
      <c r="D4350" s="91"/>
    </row>
    <row r="4351" spans="1:4" ht="42.75" customHeight="1" thickBot="1">
      <c r="A4351" s="26"/>
      <c r="B4351" s="26" t="s">
        <v>0</v>
      </c>
      <c r="C4351" s="5" t="s">
        <v>687</v>
      </c>
      <c r="D4351" s="4" t="s">
        <v>2</v>
      </c>
    </row>
    <row r="4352" spans="1:4" ht="42.75" customHeight="1" thickBot="1">
      <c r="A4352" s="92">
        <v>1170</v>
      </c>
      <c r="B4352" s="93"/>
      <c r="C4352" s="94" t="s">
        <v>3</v>
      </c>
      <c r="D4352" s="95"/>
    </row>
    <row r="4353" spans="1:4" ht="42.75" customHeight="1" thickBot="1">
      <c r="A4353" s="92">
        <v>1170</v>
      </c>
      <c r="B4353" s="93"/>
      <c r="C4353" s="96" t="s">
        <v>4</v>
      </c>
      <c r="D4353" s="97"/>
    </row>
    <row r="4354" spans="1:4" ht="42.75" customHeight="1" thickBot="1">
      <c r="A4354" s="98">
        <f>A4353-A4352</f>
        <v>0</v>
      </c>
      <c r="B4354" s="99"/>
      <c r="C4354" s="100" t="s">
        <v>5</v>
      </c>
      <c r="D4354" s="97"/>
    </row>
    <row r="4355" spans="1:4" ht="42.75" customHeight="1" thickBot="1">
      <c r="A4355" s="101">
        <v>62</v>
      </c>
      <c r="B4355" s="102"/>
      <c r="C4355" s="96" t="s">
        <v>6</v>
      </c>
      <c r="D4355" s="97"/>
    </row>
    <row r="4356" spans="1:4" ht="42.75" customHeight="1" thickBot="1">
      <c r="A4356" s="103"/>
      <c r="B4356" s="104"/>
      <c r="C4356" s="96" t="s">
        <v>21</v>
      </c>
      <c r="D4356" s="97"/>
    </row>
    <row r="4357" spans="1:4" ht="42.75" customHeight="1" thickBot="1">
      <c r="A4357" s="105">
        <f>A4355*A4354</f>
        <v>0</v>
      </c>
      <c r="B4357" s="106"/>
      <c r="C4357" s="96" t="s">
        <v>7</v>
      </c>
      <c r="D4357" s="97"/>
    </row>
    <row r="4358" spans="1:4" ht="42.75" customHeight="1" thickBot="1">
      <c r="A4358" s="107" t="s">
        <v>17</v>
      </c>
      <c r="B4358" s="108"/>
      <c r="C4358" s="108"/>
      <c r="D4358" s="109"/>
    </row>
    <row r="4359" spans="1:4" ht="42.75" customHeight="1" thickBot="1">
      <c r="A4359" s="116" t="s">
        <v>20</v>
      </c>
      <c r="B4359" s="117"/>
      <c r="C4359" s="117"/>
      <c r="D4359" s="118"/>
    </row>
    <row r="4360" spans="1:4" ht="42.75" customHeight="1" thickBot="1">
      <c r="A4360" s="113" t="s">
        <v>18</v>
      </c>
      <c r="B4360" s="114"/>
      <c r="C4360" s="114"/>
      <c r="D4360" s="115"/>
    </row>
    <row r="4361" spans="1:4" ht="42.75" customHeight="1" thickBot="1">
      <c r="A4361" s="119"/>
      <c r="B4361" s="119"/>
      <c r="C4361" s="119"/>
      <c r="D4361" s="119"/>
    </row>
    <row r="4362" spans="1:4" ht="42.75" customHeight="1" thickBot="1">
      <c r="A4362" s="120" t="s">
        <v>19</v>
      </c>
      <c r="B4362" s="121"/>
      <c r="C4362" s="121"/>
      <c r="D4362" s="122"/>
    </row>
    <row r="4363" spans="1:4" ht="42.75" customHeight="1" thickBot="1">
      <c r="A4363" s="123" t="s">
        <v>11</v>
      </c>
      <c r="B4363" s="124"/>
      <c r="C4363" s="125" t="s">
        <v>603</v>
      </c>
      <c r="D4363" s="124"/>
    </row>
    <row r="4364" spans="1:4" ht="42.75" customHeight="1" thickBot="1">
      <c r="A4364" s="1" t="s">
        <v>686</v>
      </c>
      <c r="B4364" s="26" t="s">
        <v>1</v>
      </c>
      <c r="C4364" s="90" t="s">
        <v>581</v>
      </c>
      <c r="D4364" s="91"/>
    </row>
    <row r="4365" spans="1:4" ht="42.75" customHeight="1" thickBot="1">
      <c r="A4365" s="26"/>
      <c r="B4365" s="26" t="s">
        <v>0</v>
      </c>
      <c r="C4365" s="5" t="s">
        <v>687</v>
      </c>
      <c r="D4365" s="4" t="s">
        <v>2</v>
      </c>
    </row>
    <row r="4366" spans="1:4" ht="42.75" customHeight="1" thickBot="1">
      <c r="A4366" s="92">
        <v>1160</v>
      </c>
      <c r="B4366" s="93"/>
      <c r="C4366" s="94" t="s">
        <v>3</v>
      </c>
      <c r="D4366" s="95"/>
    </row>
    <row r="4367" spans="1:4" ht="42.75" customHeight="1" thickBot="1">
      <c r="A4367" s="92">
        <v>1170</v>
      </c>
      <c r="B4367" s="93"/>
      <c r="C4367" s="96" t="s">
        <v>4</v>
      </c>
      <c r="D4367" s="97"/>
    </row>
    <row r="4368" spans="1:4" ht="42.75" customHeight="1" thickBot="1">
      <c r="A4368" s="98">
        <f>A4367-A4366</f>
        <v>10</v>
      </c>
      <c r="B4368" s="99"/>
      <c r="C4368" s="100" t="s">
        <v>5</v>
      </c>
      <c r="D4368" s="97"/>
    </row>
    <row r="4369" spans="1:4" ht="42.75" customHeight="1" thickBot="1">
      <c r="A4369" s="101">
        <v>62</v>
      </c>
      <c r="B4369" s="102"/>
      <c r="C4369" s="96" t="s">
        <v>6</v>
      </c>
      <c r="D4369" s="97"/>
    </row>
    <row r="4370" spans="1:4" ht="42.75" customHeight="1" thickBot="1">
      <c r="A4370" s="103"/>
      <c r="B4370" s="104"/>
      <c r="C4370" s="96" t="s">
        <v>21</v>
      </c>
      <c r="D4370" s="97"/>
    </row>
    <row r="4371" spans="1:4" ht="42.75" customHeight="1" thickBot="1">
      <c r="A4371" s="105">
        <v>600</v>
      </c>
      <c r="B4371" s="106"/>
      <c r="C4371" s="96" t="s">
        <v>7</v>
      </c>
      <c r="D4371" s="97"/>
    </row>
    <row r="4372" spans="1:4" ht="42.75" customHeight="1" thickBot="1">
      <c r="A4372" s="107" t="s">
        <v>17</v>
      </c>
      <c r="B4372" s="108"/>
      <c r="C4372" s="108"/>
      <c r="D4372" s="109"/>
    </row>
    <row r="4373" spans="1:4" ht="42.75" customHeight="1" thickBot="1">
      <c r="A4373" s="110" t="s">
        <v>20</v>
      </c>
      <c r="B4373" s="111"/>
      <c r="C4373" s="111"/>
      <c r="D4373" s="112"/>
    </row>
    <row r="4374" spans="1:4" ht="42.75" customHeight="1" thickBot="1">
      <c r="A4374" s="113" t="s">
        <v>18</v>
      </c>
      <c r="B4374" s="114"/>
      <c r="C4374" s="114"/>
      <c r="D4374" s="115"/>
    </row>
    <row r="4375" spans="1:4" ht="42.75" customHeight="1" thickBot="1">
      <c r="A4375" s="120" t="s">
        <v>19</v>
      </c>
      <c r="B4375" s="121"/>
      <c r="C4375" s="121"/>
      <c r="D4375" s="122"/>
    </row>
    <row r="4376" spans="1:4" ht="42.75" customHeight="1" thickBot="1">
      <c r="A4376" s="123" t="s">
        <v>11</v>
      </c>
      <c r="B4376" s="124"/>
      <c r="C4376" s="125" t="s">
        <v>603</v>
      </c>
      <c r="D4376" s="124"/>
    </row>
    <row r="4377" spans="1:4" ht="42.75" customHeight="1" thickBot="1">
      <c r="A4377" s="1" t="s">
        <v>686</v>
      </c>
      <c r="B4377" s="26" t="s">
        <v>1</v>
      </c>
      <c r="C4377" s="90" t="s">
        <v>154</v>
      </c>
      <c r="D4377" s="91"/>
    </row>
    <row r="4378" spans="1:4" ht="42.75" customHeight="1" thickBot="1">
      <c r="A4378" s="26"/>
      <c r="B4378" s="26" t="s">
        <v>0</v>
      </c>
      <c r="C4378" s="5" t="s">
        <v>687</v>
      </c>
      <c r="D4378" s="4" t="s">
        <v>2</v>
      </c>
    </row>
    <row r="4379" spans="1:4" ht="42.75" customHeight="1" thickBot="1">
      <c r="A4379" s="92">
        <v>1095</v>
      </c>
      <c r="B4379" s="93"/>
      <c r="C4379" s="94" t="s">
        <v>3</v>
      </c>
      <c r="D4379" s="95"/>
    </row>
    <row r="4380" spans="1:4" ht="42.75" customHeight="1" thickBot="1">
      <c r="A4380" s="92">
        <v>1095</v>
      </c>
      <c r="B4380" s="93"/>
      <c r="C4380" s="96" t="s">
        <v>4</v>
      </c>
      <c r="D4380" s="97"/>
    </row>
    <row r="4381" spans="1:4" ht="42.75" customHeight="1" thickBot="1">
      <c r="A4381" s="98">
        <f>A4380-A4379</f>
        <v>0</v>
      </c>
      <c r="B4381" s="99"/>
      <c r="C4381" s="100" t="s">
        <v>5</v>
      </c>
      <c r="D4381" s="97"/>
    </row>
    <row r="4382" spans="1:4" ht="42.75" customHeight="1" thickBot="1">
      <c r="A4382" s="101">
        <v>62</v>
      </c>
      <c r="B4382" s="102"/>
      <c r="C4382" s="96" t="s">
        <v>6</v>
      </c>
      <c r="D4382" s="97"/>
    </row>
    <row r="4383" spans="1:4" ht="42.75" customHeight="1" thickBot="1">
      <c r="A4383" s="103"/>
      <c r="B4383" s="104"/>
      <c r="C4383" s="96" t="s">
        <v>21</v>
      </c>
      <c r="D4383" s="97"/>
    </row>
    <row r="4384" spans="1:4" ht="42.75" customHeight="1" thickBot="1">
      <c r="A4384" s="105">
        <f>A4382*A4381</f>
        <v>0</v>
      </c>
      <c r="B4384" s="106"/>
      <c r="C4384" s="96" t="s">
        <v>7</v>
      </c>
      <c r="D4384" s="97"/>
    </row>
    <row r="4385" spans="1:4" ht="42.75" customHeight="1" thickBot="1">
      <c r="A4385" s="107" t="s">
        <v>17</v>
      </c>
      <c r="B4385" s="108"/>
      <c r="C4385" s="108"/>
      <c r="D4385" s="109"/>
    </row>
    <row r="4386" spans="1:4" ht="42.75" customHeight="1" thickBot="1">
      <c r="A4386" s="116" t="s">
        <v>20</v>
      </c>
      <c r="B4386" s="117"/>
      <c r="C4386" s="117"/>
      <c r="D4386" s="118"/>
    </row>
    <row r="4387" spans="1:4" ht="42.75" customHeight="1" thickBot="1">
      <c r="A4387" s="113" t="s">
        <v>18</v>
      </c>
      <c r="B4387" s="114"/>
      <c r="C4387" s="114"/>
      <c r="D4387" s="115"/>
    </row>
    <row r="4388" spans="1:4" ht="42.75" customHeight="1" thickBot="1">
      <c r="A4388" s="119"/>
      <c r="B4388" s="119"/>
      <c r="C4388" s="119"/>
      <c r="D4388" s="119"/>
    </row>
    <row r="4389" spans="1:4" ht="42.75" customHeight="1" thickBot="1">
      <c r="A4389" s="120" t="s">
        <v>19</v>
      </c>
      <c r="B4389" s="121"/>
      <c r="C4389" s="121"/>
      <c r="D4389" s="122"/>
    </row>
    <row r="4390" spans="1:4" ht="42.75" customHeight="1" thickBot="1">
      <c r="A4390" s="123" t="s">
        <v>11</v>
      </c>
      <c r="B4390" s="124"/>
      <c r="C4390" s="125" t="s">
        <v>603</v>
      </c>
      <c r="D4390" s="124"/>
    </row>
    <row r="4391" spans="1:4" ht="42.75" customHeight="1" thickBot="1">
      <c r="A4391" s="1" t="s">
        <v>686</v>
      </c>
      <c r="B4391" s="26" t="s">
        <v>1</v>
      </c>
      <c r="C4391" s="90" t="s">
        <v>154</v>
      </c>
      <c r="D4391" s="91"/>
    </row>
    <row r="4392" spans="1:4" ht="42.75" customHeight="1" thickBot="1">
      <c r="A4392" s="26"/>
      <c r="B4392" s="26" t="s">
        <v>0</v>
      </c>
      <c r="C4392" s="5" t="s">
        <v>687</v>
      </c>
      <c r="D4392" s="4" t="s">
        <v>2</v>
      </c>
    </row>
    <row r="4393" spans="1:4" ht="42.75" customHeight="1" thickBot="1">
      <c r="A4393" s="92">
        <v>1045</v>
      </c>
      <c r="B4393" s="93"/>
      <c r="C4393" s="94" t="s">
        <v>3</v>
      </c>
      <c r="D4393" s="95"/>
    </row>
    <row r="4394" spans="1:4" ht="42.75" customHeight="1" thickBot="1">
      <c r="A4394" s="92">
        <v>1095</v>
      </c>
      <c r="B4394" s="93"/>
      <c r="C4394" s="96" t="s">
        <v>4</v>
      </c>
      <c r="D4394" s="97"/>
    </row>
    <row r="4395" spans="1:4" ht="42.75" customHeight="1" thickBot="1">
      <c r="A4395" s="98">
        <f>A4394-A4393</f>
        <v>50</v>
      </c>
      <c r="B4395" s="99"/>
      <c r="C4395" s="100" t="s">
        <v>5</v>
      </c>
      <c r="D4395" s="97"/>
    </row>
    <row r="4396" spans="1:4" ht="42.75" customHeight="1" thickBot="1">
      <c r="A4396" s="101">
        <v>62</v>
      </c>
      <c r="B4396" s="102"/>
      <c r="C4396" s="96" t="s">
        <v>6</v>
      </c>
      <c r="D4396" s="97"/>
    </row>
    <row r="4397" spans="1:4" ht="42.75" customHeight="1" thickBot="1">
      <c r="A4397" s="103"/>
      <c r="B4397" s="104"/>
      <c r="C4397" s="96" t="s">
        <v>21</v>
      </c>
      <c r="D4397" s="97"/>
    </row>
    <row r="4398" spans="1:4" ht="42.75" customHeight="1" thickBot="1">
      <c r="A4398" s="105">
        <f>A4396*A4395</f>
        <v>3100</v>
      </c>
      <c r="B4398" s="106"/>
      <c r="C4398" s="96" t="s">
        <v>7</v>
      </c>
      <c r="D4398" s="97"/>
    </row>
    <row r="4399" spans="1:4" ht="42.75" customHeight="1" thickBot="1">
      <c r="A4399" s="107" t="s">
        <v>17</v>
      </c>
      <c r="B4399" s="108"/>
      <c r="C4399" s="108"/>
      <c r="D4399" s="109"/>
    </row>
    <row r="4400" spans="1:4" ht="42.75" customHeight="1" thickBot="1">
      <c r="A4400" s="110" t="s">
        <v>20</v>
      </c>
      <c r="B4400" s="111"/>
      <c r="C4400" s="111"/>
      <c r="D4400" s="112"/>
    </row>
    <row r="4401" spans="1:4" ht="42.75" customHeight="1" thickBot="1">
      <c r="A4401" s="113" t="s">
        <v>18</v>
      </c>
      <c r="B4401" s="114"/>
      <c r="C4401" s="114"/>
      <c r="D4401" s="115"/>
    </row>
    <row r="4402" spans="1:4" ht="42.75" customHeight="1" thickBot="1">
      <c r="A4402" s="120" t="s">
        <v>19</v>
      </c>
      <c r="B4402" s="121"/>
      <c r="C4402" s="121"/>
      <c r="D4402" s="122"/>
    </row>
    <row r="4403" spans="1:4" ht="42.75" customHeight="1" thickBot="1">
      <c r="A4403" s="123" t="s">
        <v>11</v>
      </c>
      <c r="B4403" s="124"/>
      <c r="C4403" s="125" t="s">
        <v>603</v>
      </c>
      <c r="D4403" s="124"/>
    </row>
    <row r="4404" spans="1:4" ht="42.75" customHeight="1" thickBot="1">
      <c r="A4404" s="1" t="s">
        <v>686</v>
      </c>
      <c r="B4404" s="26" t="s">
        <v>1</v>
      </c>
      <c r="C4404" s="90" t="s">
        <v>155</v>
      </c>
      <c r="D4404" s="91"/>
    </row>
    <row r="4405" spans="1:4" ht="42.75" customHeight="1" thickBot="1">
      <c r="A4405" s="26"/>
      <c r="B4405" s="26" t="s">
        <v>0</v>
      </c>
      <c r="C4405" s="5" t="s">
        <v>687</v>
      </c>
      <c r="D4405" s="4" t="s">
        <v>2</v>
      </c>
    </row>
    <row r="4406" spans="1:4" ht="42.75" customHeight="1" thickBot="1">
      <c r="A4406" s="92">
        <v>1136</v>
      </c>
      <c r="B4406" s="93"/>
      <c r="C4406" s="94" t="s">
        <v>3</v>
      </c>
      <c r="D4406" s="95"/>
    </row>
    <row r="4407" spans="1:4" ht="42.75" customHeight="1" thickBot="1">
      <c r="A4407" s="92">
        <v>1136</v>
      </c>
      <c r="B4407" s="93"/>
      <c r="C4407" s="96" t="s">
        <v>4</v>
      </c>
      <c r="D4407" s="97"/>
    </row>
    <row r="4408" spans="1:4" ht="42.75" customHeight="1" thickBot="1">
      <c r="A4408" s="98">
        <f>A4407-A4406</f>
        <v>0</v>
      </c>
      <c r="B4408" s="99"/>
      <c r="C4408" s="100" t="s">
        <v>5</v>
      </c>
      <c r="D4408" s="97"/>
    </row>
    <row r="4409" spans="1:4" ht="42.75" customHeight="1" thickBot="1">
      <c r="A4409" s="101">
        <v>62</v>
      </c>
      <c r="B4409" s="102"/>
      <c r="C4409" s="96" t="s">
        <v>6</v>
      </c>
      <c r="D4409" s="97"/>
    </row>
    <row r="4410" spans="1:4" ht="42.75" customHeight="1" thickBot="1">
      <c r="A4410" s="103"/>
      <c r="B4410" s="104"/>
      <c r="C4410" s="96" t="s">
        <v>21</v>
      </c>
      <c r="D4410" s="97"/>
    </row>
    <row r="4411" spans="1:4" ht="42.75" customHeight="1" thickBot="1">
      <c r="A4411" s="105">
        <f>A4409*A4408</f>
        <v>0</v>
      </c>
      <c r="B4411" s="106"/>
      <c r="C4411" s="96" t="s">
        <v>7</v>
      </c>
      <c r="D4411" s="97"/>
    </row>
    <row r="4412" spans="1:4" ht="42.75" customHeight="1" thickBot="1">
      <c r="A4412" s="107" t="s">
        <v>17</v>
      </c>
      <c r="B4412" s="108"/>
      <c r="C4412" s="108"/>
      <c r="D4412" s="109"/>
    </row>
    <row r="4413" spans="1:4" ht="42.75" customHeight="1" thickBot="1">
      <c r="A4413" s="116" t="s">
        <v>20</v>
      </c>
      <c r="B4413" s="117"/>
      <c r="C4413" s="117"/>
      <c r="D4413" s="118"/>
    </row>
    <row r="4414" spans="1:4" ht="42.75" customHeight="1" thickBot="1">
      <c r="A4414" s="113" t="s">
        <v>18</v>
      </c>
      <c r="B4414" s="114"/>
      <c r="C4414" s="114"/>
      <c r="D4414" s="115"/>
    </row>
    <row r="4415" spans="1:4" ht="42.75" customHeight="1" thickBot="1">
      <c r="A4415" s="119"/>
      <c r="B4415" s="119"/>
      <c r="C4415" s="119"/>
      <c r="D4415" s="119"/>
    </row>
    <row r="4416" spans="1:4" ht="42.75" customHeight="1" thickBot="1">
      <c r="A4416" s="120" t="s">
        <v>19</v>
      </c>
      <c r="B4416" s="121"/>
      <c r="C4416" s="121"/>
      <c r="D4416" s="122"/>
    </row>
    <row r="4417" spans="1:4" ht="42.75" customHeight="1" thickBot="1">
      <c r="A4417" s="123" t="s">
        <v>11</v>
      </c>
      <c r="B4417" s="124"/>
      <c r="C4417" s="125" t="s">
        <v>603</v>
      </c>
      <c r="D4417" s="124"/>
    </row>
    <row r="4418" spans="1:4" ht="42.75" customHeight="1" thickBot="1">
      <c r="A4418" s="1" t="s">
        <v>686</v>
      </c>
      <c r="B4418" s="26" t="s">
        <v>1</v>
      </c>
      <c r="C4418" s="90" t="s">
        <v>155</v>
      </c>
      <c r="D4418" s="91"/>
    </row>
    <row r="4419" spans="1:4" ht="42.75" customHeight="1" thickBot="1">
      <c r="A4419" s="26"/>
      <c r="B4419" s="26" t="s">
        <v>0</v>
      </c>
      <c r="C4419" s="5" t="s">
        <v>687</v>
      </c>
      <c r="D4419" s="4" t="s">
        <v>2</v>
      </c>
    </row>
    <row r="4420" spans="1:4" ht="42.75" customHeight="1" thickBot="1">
      <c r="A4420" s="92">
        <v>1120</v>
      </c>
      <c r="B4420" s="93"/>
      <c r="C4420" s="94" t="s">
        <v>3</v>
      </c>
      <c r="D4420" s="95"/>
    </row>
    <row r="4421" spans="1:4" ht="42.75" customHeight="1" thickBot="1">
      <c r="A4421" s="92">
        <v>1136</v>
      </c>
      <c r="B4421" s="93"/>
      <c r="C4421" s="96" t="s">
        <v>4</v>
      </c>
      <c r="D4421" s="97"/>
    </row>
    <row r="4422" spans="1:4" ht="42.75" customHeight="1" thickBot="1">
      <c r="A4422" s="98">
        <f>A4421-A4420</f>
        <v>16</v>
      </c>
      <c r="B4422" s="99"/>
      <c r="C4422" s="100" t="s">
        <v>5</v>
      </c>
      <c r="D4422" s="97"/>
    </row>
    <row r="4423" spans="1:4" ht="42.75" customHeight="1" thickBot="1">
      <c r="A4423" s="101">
        <v>62</v>
      </c>
      <c r="B4423" s="102"/>
      <c r="C4423" s="96" t="s">
        <v>6</v>
      </c>
      <c r="D4423" s="97"/>
    </row>
    <row r="4424" spans="1:4" ht="42.75" customHeight="1" thickBot="1">
      <c r="A4424" s="103"/>
      <c r="B4424" s="104"/>
      <c r="C4424" s="96" t="s">
        <v>21</v>
      </c>
      <c r="D4424" s="97"/>
    </row>
    <row r="4425" spans="1:4" ht="42.75" customHeight="1" thickBot="1">
      <c r="A4425" s="105">
        <v>1000</v>
      </c>
      <c r="B4425" s="106"/>
      <c r="C4425" s="96" t="s">
        <v>7</v>
      </c>
      <c r="D4425" s="97"/>
    </row>
    <row r="4426" spans="1:4" ht="42.75" customHeight="1" thickBot="1">
      <c r="A4426" s="107" t="s">
        <v>17</v>
      </c>
      <c r="B4426" s="108"/>
      <c r="C4426" s="108"/>
      <c r="D4426" s="109"/>
    </row>
    <row r="4427" spans="1:4" ht="42.75" customHeight="1" thickBot="1">
      <c r="A4427" s="110" t="s">
        <v>20</v>
      </c>
      <c r="B4427" s="111"/>
      <c r="C4427" s="111"/>
      <c r="D4427" s="112"/>
    </row>
    <row r="4428" spans="1:4" ht="42.75" customHeight="1" thickBot="1">
      <c r="A4428" s="113" t="s">
        <v>18</v>
      </c>
      <c r="B4428" s="114"/>
      <c r="C4428" s="114"/>
      <c r="D4428" s="115"/>
    </row>
    <row r="4429" spans="1:4" ht="42.75" customHeight="1" thickBot="1">
      <c r="A4429" s="120" t="s">
        <v>19</v>
      </c>
      <c r="B4429" s="121"/>
      <c r="C4429" s="121"/>
      <c r="D4429" s="122"/>
    </row>
    <row r="4430" spans="1:4" ht="42.75" customHeight="1" thickBot="1">
      <c r="A4430" s="123" t="s">
        <v>11</v>
      </c>
      <c r="B4430" s="124"/>
      <c r="C4430" s="125" t="s">
        <v>603</v>
      </c>
      <c r="D4430" s="124"/>
    </row>
    <row r="4431" spans="1:4" ht="42.75" customHeight="1" thickBot="1">
      <c r="A4431" s="1" t="s">
        <v>686</v>
      </c>
      <c r="B4431" s="26" t="s">
        <v>1</v>
      </c>
      <c r="C4431" s="90" t="s">
        <v>156</v>
      </c>
      <c r="D4431" s="91"/>
    </row>
    <row r="4432" spans="1:4" ht="42.75" customHeight="1" thickBot="1">
      <c r="A4432" s="26"/>
      <c r="B4432" s="26" t="s">
        <v>0</v>
      </c>
      <c r="C4432" s="5" t="s">
        <v>687</v>
      </c>
      <c r="D4432" s="4" t="s">
        <v>2</v>
      </c>
    </row>
    <row r="4433" spans="1:4" ht="42.75" customHeight="1" thickBot="1">
      <c r="A4433" s="92">
        <v>1660</v>
      </c>
      <c r="B4433" s="93"/>
      <c r="C4433" s="94" t="s">
        <v>3</v>
      </c>
      <c r="D4433" s="95"/>
    </row>
    <row r="4434" spans="1:4" ht="42.75" customHeight="1" thickBot="1">
      <c r="A4434" s="92">
        <v>1660</v>
      </c>
      <c r="B4434" s="93"/>
      <c r="C4434" s="96" t="s">
        <v>4</v>
      </c>
      <c r="D4434" s="97"/>
    </row>
    <row r="4435" spans="1:4" ht="42.75" customHeight="1" thickBot="1">
      <c r="A4435" s="98">
        <f>A4434-A4433</f>
        <v>0</v>
      </c>
      <c r="B4435" s="99"/>
      <c r="C4435" s="100" t="s">
        <v>5</v>
      </c>
      <c r="D4435" s="97"/>
    </row>
    <row r="4436" spans="1:4" ht="42.75" customHeight="1" thickBot="1">
      <c r="A4436" s="101">
        <v>62</v>
      </c>
      <c r="B4436" s="102"/>
      <c r="C4436" s="96" t="s">
        <v>6</v>
      </c>
      <c r="D4436" s="97"/>
    </row>
    <row r="4437" spans="1:4" ht="42.75" customHeight="1" thickBot="1">
      <c r="A4437" s="103"/>
      <c r="B4437" s="104"/>
      <c r="C4437" s="96" t="s">
        <v>21</v>
      </c>
      <c r="D4437" s="97"/>
    </row>
    <row r="4438" spans="1:4" ht="42.75" customHeight="1" thickBot="1">
      <c r="A4438" s="105">
        <f>A4436*A4435</f>
        <v>0</v>
      </c>
      <c r="B4438" s="106"/>
      <c r="C4438" s="96" t="s">
        <v>7</v>
      </c>
      <c r="D4438" s="97"/>
    </row>
    <row r="4439" spans="1:4" ht="42.75" customHeight="1" thickBot="1">
      <c r="A4439" s="107" t="s">
        <v>17</v>
      </c>
      <c r="B4439" s="108"/>
      <c r="C4439" s="108"/>
      <c r="D4439" s="109"/>
    </row>
    <row r="4440" spans="1:4" ht="42.75" customHeight="1" thickBot="1">
      <c r="A4440" s="116" t="s">
        <v>20</v>
      </c>
      <c r="B4440" s="117"/>
      <c r="C4440" s="117"/>
      <c r="D4440" s="118"/>
    </row>
    <row r="4441" spans="1:4" ht="42.75" customHeight="1" thickBot="1">
      <c r="A4441" s="113" t="s">
        <v>18</v>
      </c>
      <c r="B4441" s="114"/>
      <c r="C4441" s="114"/>
      <c r="D4441" s="115"/>
    </row>
    <row r="4442" spans="1:4" ht="42.75" customHeight="1" thickBot="1">
      <c r="A4442" s="119"/>
      <c r="B4442" s="119"/>
      <c r="C4442" s="119"/>
      <c r="D4442" s="119"/>
    </row>
    <row r="4443" spans="1:4" ht="42.75" customHeight="1" thickBot="1">
      <c r="A4443" s="120" t="s">
        <v>19</v>
      </c>
      <c r="B4443" s="121"/>
      <c r="C4443" s="121"/>
      <c r="D4443" s="122"/>
    </row>
    <row r="4444" spans="1:4" ht="42.75" customHeight="1" thickBot="1">
      <c r="A4444" s="123" t="s">
        <v>11</v>
      </c>
      <c r="B4444" s="124"/>
      <c r="C4444" s="125" t="s">
        <v>603</v>
      </c>
      <c r="D4444" s="124"/>
    </row>
    <row r="4445" spans="1:4" ht="42.75" customHeight="1" thickBot="1">
      <c r="A4445" s="1" t="s">
        <v>686</v>
      </c>
      <c r="B4445" s="26" t="s">
        <v>1</v>
      </c>
      <c r="C4445" s="90" t="s">
        <v>156</v>
      </c>
      <c r="D4445" s="91"/>
    </row>
    <row r="4446" spans="1:4" ht="42.75" customHeight="1" thickBot="1">
      <c r="A4446" s="26"/>
      <c r="B4446" s="26" t="s">
        <v>0</v>
      </c>
      <c r="C4446" s="5" t="s">
        <v>687</v>
      </c>
      <c r="D4446" s="4" t="s">
        <v>2</v>
      </c>
    </row>
    <row r="4447" spans="1:4" ht="42.75" customHeight="1" thickBot="1">
      <c r="A4447" s="92">
        <v>1600</v>
      </c>
      <c r="B4447" s="93"/>
      <c r="C4447" s="94" t="s">
        <v>3</v>
      </c>
      <c r="D4447" s="95"/>
    </row>
    <row r="4448" spans="1:4" ht="42.75" customHeight="1" thickBot="1">
      <c r="A4448" s="92">
        <v>1660</v>
      </c>
      <c r="B4448" s="93"/>
      <c r="C4448" s="96" t="s">
        <v>4</v>
      </c>
      <c r="D4448" s="97"/>
    </row>
    <row r="4449" spans="1:4" ht="42.75" customHeight="1" thickBot="1">
      <c r="A4449" s="98">
        <f>A4448-A4447</f>
        <v>60</v>
      </c>
      <c r="B4449" s="99"/>
      <c r="C4449" s="100" t="s">
        <v>5</v>
      </c>
      <c r="D4449" s="97"/>
    </row>
    <row r="4450" spans="1:4" ht="42.75" customHeight="1" thickBot="1">
      <c r="A4450" s="101">
        <v>62</v>
      </c>
      <c r="B4450" s="102"/>
      <c r="C4450" s="96" t="s">
        <v>6</v>
      </c>
      <c r="D4450" s="97"/>
    </row>
    <row r="4451" spans="1:4" ht="42.75" customHeight="1" thickBot="1">
      <c r="A4451" s="103"/>
      <c r="B4451" s="104"/>
      <c r="C4451" s="96" t="s">
        <v>21</v>
      </c>
      <c r="D4451" s="97"/>
    </row>
    <row r="4452" spans="1:4" ht="42.75" customHeight="1" thickBot="1">
      <c r="A4452" s="105">
        <v>3700</v>
      </c>
      <c r="B4452" s="106"/>
      <c r="C4452" s="96" t="s">
        <v>7</v>
      </c>
      <c r="D4452" s="97"/>
    </row>
    <row r="4453" spans="1:4" ht="42.75" customHeight="1" thickBot="1">
      <c r="A4453" s="107" t="s">
        <v>17</v>
      </c>
      <c r="B4453" s="108"/>
      <c r="C4453" s="108"/>
      <c r="D4453" s="109"/>
    </row>
    <row r="4454" spans="1:4" ht="42.75" customHeight="1" thickBot="1">
      <c r="A4454" s="110" t="s">
        <v>20</v>
      </c>
      <c r="B4454" s="111"/>
      <c r="C4454" s="111"/>
      <c r="D4454" s="112"/>
    </row>
    <row r="4455" spans="1:4" ht="42.75" customHeight="1" thickBot="1">
      <c r="A4455" s="113" t="s">
        <v>18</v>
      </c>
      <c r="B4455" s="114"/>
      <c r="C4455" s="114"/>
      <c r="D4455" s="115"/>
    </row>
    <row r="4456" spans="1:4" ht="42.75" customHeight="1" thickBot="1">
      <c r="A4456" s="120" t="s">
        <v>19</v>
      </c>
      <c r="B4456" s="121"/>
      <c r="C4456" s="121"/>
      <c r="D4456" s="122"/>
    </row>
    <row r="4457" spans="1:4" ht="42.75" customHeight="1" thickBot="1">
      <c r="A4457" s="123" t="s">
        <v>11</v>
      </c>
      <c r="B4457" s="124"/>
      <c r="C4457" s="125" t="s">
        <v>603</v>
      </c>
      <c r="D4457" s="124"/>
    </row>
    <row r="4458" spans="1:4" ht="42.75" customHeight="1" thickBot="1">
      <c r="A4458" s="1" t="s">
        <v>686</v>
      </c>
      <c r="B4458" s="26" t="s">
        <v>1</v>
      </c>
      <c r="C4458" s="90" t="s">
        <v>157</v>
      </c>
      <c r="D4458" s="91"/>
    </row>
    <row r="4459" spans="1:4" ht="42.75" customHeight="1" thickBot="1">
      <c r="A4459" s="26"/>
      <c r="B4459" s="26" t="s">
        <v>0</v>
      </c>
      <c r="C4459" s="5" t="s">
        <v>687</v>
      </c>
      <c r="D4459" s="4" t="s">
        <v>2</v>
      </c>
    </row>
    <row r="4460" spans="1:4" ht="42.75" customHeight="1" thickBot="1">
      <c r="A4460" s="92">
        <v>7550</v>
      </c>
      <c r="B4460" s="93"/>
      <c r="C4460" s="94" t="s">
        <v>3</v>
      </c>
      <c r="D4460" s="95"/>
    </row>
    <row r="4461" spans="1:4" ht="42.75" customHeight="1" thickBot="1">
      <c r="A4461" s="92">
        <v>7550</v>
      </c>
      <c r="B4461" s="93"/>
      <c r="C4461" s="96" t="s">
        <v>4</v>
      </c>
      <c r="D4461" s="97"/>
    </row>
    <row r="4462" spans="1:4" ht="42.75" customHeight="1" thickBot="1">
      <c r="A4462" s="98">
        <f>A4461-A4460</f>
        <v>0</v>
      </c>
      <c r="B4462" s="99"/>
      <c r="C4462" s="100" t="s">
        <v>5</v>
      </c>
      <c r="D4462" s="97"/>
    </row>
    <row r="4463" spans="1:4" ht="42.75" customHeight="1" thickBot="1">
      <c r="A4463" s="101">
        <v>20</v>
      </c>
      <c r="B4463" s="102"/>
      <c r="C4463" s="96" t="s">
        <v>6</v>
      </c>
      <c r="D4463" s="97"/>
    </row>
    <row r="4464" spans="1:4" ht="42.75" customHeight="1" thickBot="1">
      <c r="A4464" s="103"/>
      <c r="B4464" s="104"/>
      <c r="C4464" s="96" t="s">
        <v>21</v>
      </c>
      <c r="D4464" s="97"/>
    </row>
    <row r="4465" spans="1:4" ht="42.75" customHeight="1" thickBot="1">
      <c r="A4465" s="105">
        <f>A4463*A4462</f>
        <v>0</v>
      </c>
      <c r="B4465" s="106"/>
      <c r="C4465" s="96" t="s">
        <v>7</v>
      </c>
      <c r="D4465" s="97"/>
    </row>
    <row r="4466" spans="1:4" ht="42.75" customHeight="1" thickBot="1">
      <c r="A4466" s="107" t="s">
        <v>17</v>
      </c>
      <c r="B4466" s="108"/>
      <c r="C4466" s="108"/>
      <c r="D4466" s="109"/>
    </row>
    <row r="4467" spans="1:4" ht="42.75" customHeight="1" thickBot="1">
      <c r="A4467" s="116" t="s">
        <v>20</v>
      </c>
      <c r="B4467" s="117"/>
      <c r="C4467" s="117"/>
      <c r="D4467" s="118"/>
    </row>
    <row r="4468" spans="1:4" ht="42.75" customHeight="1" thickBot="1">
      <c r="A4468" s="113" t="s">
        <v>18</v>
      </c>
      <c r="B4468" s="114"/>
      <c r="C4468" s="114"/>
      <c r="D4468" s="115"/>
    </row>
    <row r="4469" spans="1:4" ht="42.75" customHeight="1" thickBot="1">
      <c r="A4469" s="119"/>
      <c r="B4469" s="119"/>
      <c r="C4469" s="119"/>
      <c r="D4469" s="119"/>
    </row>
    <row r="4470" spans="1:4" ht="42.75" customHeight="1" thickBot="1">
      <c r="A4470" s="120" t="s">
        <v>19</v>
      </c>
      <c r="B4470" s="121"/>
      <c r="C4470" s="121"/>
      <c r="D4470" s="122"/>
    </row>
    <row r="4471" spans="1:4" ht="42.75" customHeight="1" thickBot="1">
      <c r="A4471" s="123" t="s">
        <v>11</v>
      </c>
      <c r="B4471" s="124"/>
      <c r="C4471" s="125" t="s">
        <v>603</v>
      </c>
      <c r="D4471" s="124"/>
    </row>
    <row r="4472" spans="1:4" ht="42.75" customHeight="1" thickBot="1">
      <c r="A4472" s="1" t="s">
        <v>686</v>
      </c>
      <c r="B4472" s="26" t="s">
        <v>1</v>
      </c>
      <c r="C4472" s="90" t="s">
        <v>157</v>
      </c>
      <c r="D4472" s="91"/>
    </row>
    <row r="4473" spans="1:4" ht="42.75" customHeight="1" thickBot="1">
      <c r="A4473" s="26"/>
      <c r="B4473" s="26" t="s">
        <v>0</v>
      </c>
      <c r="C4473" s="5" t="s">
        <v>687</v>
      </c>
      <c r="D4473" s="4" t="s">
        <v>2</v>
      </c>
    </row>
    <row r="4474" spans="1:4" ht="42.75" customHeight="1" thickBot="1">
      <c r="A4474" s="92">
        <v>7495</v>
      </c>
      <c r="B4474" s="93"/>
      <c r="C4474" s="94" t="s">
        <v>3</v>
      </c>
      <c r="D4474" s="95"/>
    </row>
    <row r="4475" spans="1:4" ht="42.75" customHeight="1" thickBot="1">
      <c r="A4475" s="92">
        <v>7550</v>
      </c>
      <c r="B4475" s="93"/>
      <c r="C4475" s="96" t="s">
        <v>4</v>
      </c>
      <c r="D4475" s="97"/>
    </row>
    <row r="4476" spans="1:4" ht="42.75" customHeight="1" thickBot="1">
      <c r="A4476" s="98">
        <f>A4475-A4474</f>
        <v>55</v>
      </c>
      <c r="B4476" s="99"/>
      <c r="C4476" s="100" t="s">
        <v>5</v>
      </c>
      <c r="D4476" s="97"/>
    </row>
    <row r="4477" spans="1:4" ht="42.75" customHeight="1" thickBot="1">
      <c r="A4477" s="101">
        <v>20</v>
      </c>
      <c r="B4477" s="102"/>
      <c r="C4477" s="96" t="s">
        <v>6</v>
      </c>
      <c r="D4477" s="97"/>
    </row>
    <row r="4478" spans="1:4" ht="42.75" customHeight="1" thickBot="1">
      <c r="A4478" s="103"/>
      <c r="B4478" s="104"/>
      <c r="C4478" s="96" t="s">
        <v>21</v>
      </c>
      <c r="D4478" s="97"/>
    </row>
    <row r="4479" spans="1:4" ht="42.75" customHeight="1" thickBot="1">
      <c r="A4479" s="105">
        <f>A4477*A4476</f>
        <v>1100</v>
      </c>
      <c r="B4479" s="106"/>
      <c r="C4479" s="96" t="s">
        <v>7</v>
      </c>
      <c r="D4479" s="97"/>
    </row>
    <row r="4480" spans="1:4" ht="42.75" customHeight="1" thickBot="1">
      <c r="A4480" s="107" t="s">
        <v>17</v>
      </c>
      <c r="B4480" s="108"/>
      <c r="C4480" s="108"/>
      <c r="D4480" s="109"/>
    </row>
    <row r="4481" spans="1:4" ht="42.75" customHeight="1" thickBot="1">
      <c r="A4481" s="110" t="s">
        <v>20</v>
      </c>
      <c r="B4481" s="111"/>
      <c r="C4481" s="111"/>
      <c r="D4481" s="112"/>
    </row>
    <row r="4482" spans="1:4" ht="42.75" customHeight="1" thickBot="1">
      <c r="A4482" s="113" t="s">
        <v>18</v>
      </c>
      <c r="B4482" s="114"/>
      <c r="C4482" s="114"/>
      <c r="D4482" s="115"/>
    </row>
    <row r="4483" spans="1:4" ht="42.75" customHeight="1" thickBot="1">
      <c r="A4483" s="120" t="s">
        <v>19</v>
      </c>
      <c r="B4483" s="121"/>
      <c r="C4483" s="121"/>
      <c r="D4483" s="122"/>
    </row>
    <row r="4484" spans="1:4" ht="42.75" customHeight="1" thickBot="1">
      <c r="A4484" s="123" t="s">
        <v>11</v>
      </c>
      <c r="B4484" s="124"/>
      <c r="C4484" s="125" t="s">
        <v>603</v>
      </c>
      <c r="D4484" s="124"/>
    </row>
    <row r="4485" spans="1:4" ht="42.75" customHeight="1" thickBot="1">
      <c r="A4485" s="1" t="s">
        <v>686</v>
      </c>
      <c r="B4485" s="26" t="s">
        <v>1</v>
      </c>
      <c r="C4485" s="90" t="s">
        <v>158</v>
      </c>
      <c r="D4485" s="91"/>
    </row>
    <row r="4486" spans="1:4" ht="42.75" customHeight="1" thickBot="1">
      <c r="A4486" s="26"/>
      <c r="B4486" s="26" t="s">
        <v>0</v>
      </c>
      <c r="C4486" s="5" t="s">
        <v>687</v>
      </c>
      <c r="D4486" s="4" t="s">
        <v>2</v>
      </c>
    </row>
    <row r="4487" spans="1:4" ht="42.75" customHeight="1" thickBot="1">
      <c r="A4487" s="92">
        <v>520</v>
      </c>
      <c r="B4487" s="93"/>
      <c r="C4487" s="94" t="s">
        <v>3</v>
      </c>
      <c r="D4487" s="95"/>
    </row>
    <row r="4488" spans="1:4" ht="42.75" customHeight="1" thickBot="1">
      <c r="A4488" s="92">
        <v>520</v>
      </c>
      <c r="B4488" s="93"/>
      <c r="C4488" s="96" t="s">
        <v>4</v>
      </c>
      <c r="D4488" s="97"/>
    </row>
    <row r="4489" spans="1:4" ht="42.75" customHeight="1" thickBot="1">
      <c r="A4489" s="98">
        <f>A4488-A4487</f>
        <v>0</v>
      </c>
      <c r="B4489" s="99"/>
      <c r="C4489" s="100" t="s">
        <v>5</v>
      </c>
      <c r="D4489" s="97"/>
    </row>
    <row r="4490" spans="1:4" ht="42.75" customHeight="1" thickBot="1">
      <c r="A4490" s="101">
        <v>62</v>
      </c>
      <c r="B4490" s="102"/>
      <c r="C4490" s="96" t="s">
        <v>6</v>
      </c>
      <c r="D4490" s="97"/>
    </row>
    <row r="4491" spans="1:4" ht="42.75" customHeight="1" thickBot="1">
      <c r="A4491" s="103"/>
      <c r="B4491" s="104"/>
      <c r="C4491" s="96" t="s">
        <v>21</v>
      </c>
      <c r="D4491" s="97"/>
    </row>
    <row r="4492" spans="1:4" ht="42.75" customHeight="1" thickBot="1">
      <c r="A4492" s="105">
        <f>A4490*A4489</f>
        <v>0</v>
      </c>
      <c r="B4492" s="106"/>
      <c r="C4492" s="96" t="s">
        <v>7</v>
      </c>
      <c r="D4492" s="97"/>
    </row>
    <row r="4493" spans="1:4" ht="42.75" customHeight="1" thickBot="1">
      <c r="A4493" s="107" t="s">
        <v>17</v>
      </c>
      <c r="B4493" s="108"/>
      <c r="C4493" s="108"/>
      <c r="D4493" s="109"/>
    </row>
    <row r="4494" spans="1:4" ht="42.75" customHeight="1" thickBot="1">
      <c r="A4494" s="116" t="s">
        <v>20</v>
      </c>
      <c r="B4494" s="117"/>
      <c r="C4494" s="117"/>
      <c r="D4494" s="118"/>
    </row>
    <row r="4495" spans="1:4" ht="42.75" customHeight="1" thickBot="1">
      <c r="A4495" s="113" t="s">
        <v>18</v>
      </c>
      <c r="B4495" s="114"/>
      <c r="C4495" s="114"/>
      <c r="D4495" s="115"/>
    </row>
    <row r="4496" spans="1:4" ht="42.75" customHeight="1" thickBot="1">
      <c r="A4496" s="119"/>
      <c r="B4496" s="119"/>
      <c r="C4496" s="119"/>
      <c r="D4496" s="119"/>
    </row>
    <row r="4497" spans="1:4" ht="42.75" customHeight="1" thickBot="1">
      <c r="A4497" s="120" t="s">
        <v>19</v>
      </c>
      <c r="B4497" s="121"/>
      <c r="C4497" s="121"/>
      <c r="D4497" s="122"/>
    </row>
    <row r="4498" spans="1:4" ht="42.75" customHeight="1" thickBot="1">
      <c r="A4498" s="123" t="s">
        <v>11</v>
      </c>
      <c r="B4498" s="124"/>
      <c r="C4498" s="125" t="s">
        <v>603</v>
      </c>
      <c r="D4498" s="124"/>
    </row>
    <row r="4499" spans="1:4" ht="42.75" customHeight="1" thickBot="1">
      <c r="A4499" s="1" t="s">
        <v>686</v>
      </c>
      <c r="B4499" s="26" t="s">
        <v>1</v>
      </c>
      <c r="C4499" s="90" t="s">
        <v>158</v>
      </c>
      <c r="D4499" s="91"/>
    </row>
    <row r="4500" spans="1:4" ht="42.75" customHeight="1" thickBot="1">
      <c r="A4500" s="26"/>
      <c r="B4500" s="26" t="s">
        <v>0</v>
      </c>
      <c r="C4500" s="5" t="s">
        <v>687</v>
      </c>
      <c r="D4500" s="4" t="s">
        <v>2</v>
      </c>
    </row>
    <row r="4501" spans="1:4" ht="42.75" customHeight="1" thickBot="1">
      <c r="A4501" s="92">
        <v>510</v>
      </c>
      <c r="B4501" s="93"/>
      <c r="C4501" s="94" t="s">
        <v>3</v>
      </c>
      <c r="D4501" s="95"/>
    </row>
    <row r="4502" spans="1:4" ht="42.75" customHeight="1" thickBot="1">
      <c r="A4502" s="92">
        <v>520</v>
      </c>
      <c r="B4502" s="93"/>
      <c r="C4502" s="96" t="s">
        <v>4</v>
      </c>
      <c r="D4502" s="97"/>
    </row>
    <row r="4503" spans="1:4" ht="42.75" customHeight="1" thickBot="1">
      <c r="A4503" s="98">
        <f>A4502-A4501</f>
        <v>10</v>
      </c>
      <c r="B4503" s="99"/>
      <c r="C4503" s="100" t="s">
        <v>5</v>
      </c>
      <c r="D4503" s="97"/>
    </row>
    <row r="4504" spans="1:4" ht="42.75" customHeight="1" thickBot="1">
      <c r="A4504" s="101">
        <v>62</v>
      </c>
      <c r="B4504" s="102"/>
      <c r="C4504" s="96" t="s">
        <v>6</v>
      </c>
      <c r="D4504" s="97"/>
    </row>
    <row r="4505" spans="1:4" ht="42.75" customHeight="1" thickBot="1">
      <c r="A4505" s="103"/>
      <c r="B4505" s="104"/>
      <c r="C4505" s="96" t="s">
        <v>21</v>
      </c>
      <c r="D4505" s="97"/>
    </row>
    <row r="4506" spans="1:4" ht="42.75" customHeight="1" thickBot="1">
      <c r="A4506" s="105">
        <v>600</v>
      </c>
      <c r="B4506" s="106"/>
      <c r="C4506" s="96" t="s">
        <v>7</v>
      </c>
      <c r="D4506" s="97"/>
    </row>
    <row r="4507" spans="1:4" ht="42.75" customHeight="1" thickBot="1">
      <c r="A4507" s="107" t="s">
        <v>17</v>
      </c>
      <c r="B4507" s="108"/>
      <c r="C4507" s="108"/>
      <c r="D4507" s="109"/>
    </row>
    <row r="4508" spans="1:4" ht="42.75" customHeight="1" thickBot="1">
      <c r="A4508" s="110" t="s">
        <v>20</v>
      </c>
      <c r="B4508" s="111"/>
      <c r="C4508" s="111"/>
      <c r="D4508" s="112"/>
    </row>
    <row r="4509" spans="1:4" ht="42.75" customHeight="1" thickBot="1">
      <c r="A4509" s="113" t="s">
        <v>18</v>
      </c>
      <c r="B4509" s="114"/>
      <c r="C4509" s="114"/>
      <c r="D4509" s="115"/>
    </row>
    <row r="4510" spans="1:4" ht="42.75" customHeight="1" thickBot="1">
      <c r="A4510" s="120" t="s">
        <v>19</v>
      </c>
      <c r="B4510" s="121"/>
      <c r="C4510" s="121"/>
      <c r="D4510" s="122"/>
    </row>
    <row r="4511" spans="1:4" ht="42.75" customHeight="1" thickBot="1">
      <c r="A4511" s="123" t="s">
        <v>11</v>
      </c>
      <c r="B4511" s="124"/>
      <c r="C4511" s="125" t="s">
        <v>603</v>
      </c>
      <c r="D4511" s="124"/>
    </row>
    <row r="4512" spans="1:4" ht="42.75" customHeight="1" thickBot="1">
      <c r="A4512" s="1" t="s">
        <v>686</v>
      </c>
      <c r="B4512" s="26" t="s">
        <v>1</v>
      </c>
      <c r="C4512" s="90" t="s">
        <v>159</v>
      </c>
      <c r="D4512" s="91"/>
    </row>
    <row r="4513" spans="1:4" ht="42.75" customHeight="1" thickBot="1">
      <c r="A4513" s="26"/>
      <c r="B4513" s="26" t="s">
        <v>0</v>
      </c>
      <c r="C4513" s="5" t="s">
        <v>687</v>
      </c>
      <c r="D4513" s="4" t="s">
        <v>2</v>
      </c>
    </row>
    <row r="4514" spans="1:4" ht="42.75" customHeight="1" thickBot="1">
      <c r="A4514" s="92">
        <v>3523</v>
      </c>
      <c r="B4514" s="93"/>
      <c r="C4514" s="94" t="s">
        <v>3</v>
      </c>
      <c r="D4514" s="95"/>
    </row>
    <row r="4515" spans="1:4" ht="42.75" customHeight="1" thickBot="1">
      <c r="A4515" s="92">
        <v>3523</v>
      </c>
      <c r="B4515" s="93"/>
      <c r="C4515" s="96" t="s">
        <v>4</v>
      </c>
      <c r="D4515" s="97"/>
    </row>
    <row r="4516" spans="1:4" ht="42.75" customHeight="1" thickBot="1">
      <c r="A4516" s="98">
        <f>A4515-A4514</f>
        <v>0</v>
      </c>
      <c r="B4516" s="99"/>
      <c r="C4516" s="100" t="s">
        <v>5</v>
      </c>
      <c r="D4516" s="97"/>
    </row>
    <row r="4517" spans="1:4" ht="42.75" customHeight="1" thickBot="1">
      <c r="A4517" s="101">
        <v>62</v>
      </c>
      <c r="B4517" s="102"/>
      <c r="C4517" s="96" t="s">
        <v>6</v>
      </c>
      <c r="D4517" s="97"/>
    </row>
    <row r="4518" spans="1:4" ht="42.75" customHeight="1" thickBot="1">
      <c r="A4518" s="103"/>
      <c r="B4518" s="104"/>
      <c r="C4518" s="96" t="s">
        <v>21</v>
      </c>
      <c r="D4518" s="97"/>
    </row>
    <row r="4519" spans="1:4" ht="42.75" customHeight="1" thickBot="1">
      <c r="A4519" s="105">
        <f>A4517*A4516</f>
        <v>0</v>
      </c>
      <c r="B4519" s="106"/>
      <c r="C4519" s="96" t="s">
        <v>7</v>
      </c>
      <c r="D4519" s="97"/>
    </row>
    <row r="4520" spans="1:4" ht="42.75" customHeight="1" thickBot="1">
      <c r="A4520" s="107" t="s">
        <v>17</v>
      </c>
      <c r="B4520" s="108"/>
      <c r="C4520" s="108"/>
      <c r="D4520" s="109"/>
    </row>
    <row r="4521" spans="1:4" ht="42.75" customHeight="1" thickBot="1">
      <c r="A4521" s="116" t="s">
        <v>20</v>
      </c>
      <c r="B4521" s="117"/>
      <c r="C4521" s="117"/>
      <c r="D4521" s="118"/>
    </row>
    <row r="4522" spans="1:4" ht="42.75" customHeight="1" thickBot="1">
      <c r="A4522" s="113" t="s">
        <v>18</v>
      </c>
      <c r="B4522" s="114"/>
      <c r="C4522" s="114"/>
      <c r="D4522" s="115"/>
    </row>
    <row r="4523" spans="1:4" ht="42.75" customHeight="1" thickBot="1">
      <c r="A4523" s="119"/>
      <c r="B4523" s="119"/>
      <c r="C4523" s="119"/>
      <c r="D4523" s="119"/>
    </row>
    <row r="4524" spans="1:4" ht="42.75" customHeight="1" thickBot="1">
      <c r="A4524" s="120" t="s">
        <v>19</v>
      </c>
      <c r="B4524" s="121"/>
      <c r="C4524" s="121"/>
      <c r="D4524" s="122"/>
    </row>
    <row r="4525" spans="1:4" ht="42.75" customHeight="1" thickBot="1">
      <c r="A4525" s="123" t="s">
        <v>11</v>
      </c>
      <c r="B4525" s="124"/>
      <c r="C4525" s="125" t="s">
        <v>603</v>
      </c>
      <c r="D4525" s="124"/>
    </row>
    <row r="4526" spans="1:4" ht="42.75" customHeight="1" thickBot="1">
      <c r="A4526" s="1" t="s">
        <v>686</v>
      </c>
      <c r="B4526" s="26" t="s">
        <v>1</v>
      </c>
      <c r="C4526" s="90" t="s">
        <v>159</v>
      </c>
      <c r="D4526" s="91"/>
    </row>
    <row r="4527" spans="1:4" ht="42.75" customHeight="1" thickBot="1">
      <c r="A4527" s="26"/>
      <c r="B4527" s="26" t="s">
        <v>0</v>
      </c>
      <c r="C4527" s="5" t="s">
        <v>687</v>
      </c>
      <c r="D4527" s="4" t="s">
        <v>2</v>
      </c>
    </row>
    <row r="4528" spans="1:4" ht="42.75" customHeight="1" thickBot="1">
      <c r="A4528" s="92">
        <v>3515</v>
      </c>
      <c r="B4528" s="93"/>
      <c r="C4528" s="94" t="s">
        <v>3</v>
      </c>
      <c r="D4528" s="95"/>
    </row>
    <row r="4529" spans="1:4" ht="42.75" customHeight="1" thickBot="1">
      <c r="A4529" s="92">
        <v>3523</v>
      </c>
      <c r="B4529" s="93"/>
      <c r="C4529" s="96" t="s">
        <v>4</v>
      </c>
      <c r="D4529" s="97"/>
    </row>
    <row r="4530" spans="1:4" ht="42.75" customHeight="1" thickBot="1">
      <c r="A4530" s="98">
        <v>10</v>
      </c>
      <c r="B4530" s="99"/>
      <c r="C4530" s="100" t="s">
        <v>5</v>
      </c>
      <c r="D4530" s="97"/>
    </row>
    <row r="4531" spans="1:4" ht="42.75" customHeight="1" thickBot="1">
      <c r="A4531" s="101">
        <v>62</v>
      </c>
      <c r="B4531" s="102"/>
      <c r="C4531" s="96" t="s">
        <v>6</v>
      </c>
      <c r="D4531" s="97"/>
    </row>
    <row r="4532" spans="1:4" ht="42.75" customHeight="1" thickBot="1">
      <c r="A4532" s="103"/>
      <c r="B4532" s="104"/>
      <c r="C4532" s="96" t="s">
        <v>21</v>
      </c>
      <c r="D4532" s="97"/>
    </row>
    <row r="4533" spans="1:4" ht="42.75" customHeight="1" thickBot="1">
      <c r="A4533" s="105">
        <v>600</v>
      </c>
      <c r="B4533" s="106"/>
      <c r="C4533" s="96" t="s">
        <v>7</v>
      </c>
      <c r="D4533" s="97"/>
    </row>
    <row r="4534" spans="1:4" ht="42.75" customHeight="1" thickBot="1">
      <c r="A4534" s="107" t="s">
        <v>17</v>
      </c>
      <c r="B4534" s="108"/>
      <c r="C4534" s="108"/>
      <c r="D4534" s="109"/>
    </row>
    <row r="4535" spans="1:4" ht="42.75" customHeight="1" thickBot="1">
      <c r="A4535" s="110" t="s">
        <v>20</v>
      </c>
      <c r="B4535" s="111"/>
      <c r="C4535" s="111"/>
      <c r="D4535" s="112"/>
    </row>
    <row r="4536" spans="1:4" ht="42.75" customHeight="1" thickBot="1">
      <c r="A4536" s="113" t="s">
        <v>18</v>
      </c>
      <c r="B4536" s="114"/>
      <c r="C4536" s="114"/>
      <c r="D4536" s="115"/>
    </row>
    <row r="4537" spans="1:4" ht="42.75" customHeight="1" thickBot="1">
      <c r="A4537" s="120" t="s">
        <v>19</v>
      </c>
      <c r="B4537" s="121"/>
      <c r="C4537" s="121"/>
      <c r="D4537" s="122"/>
    </row>
    <row r="4538" spans="1:4" ht="42.75" customHeight="1" thickBot="1">
      <c r="A4538" s="123" t="s">
        <v>11</v>
      </c>
      <c r="B4538" s="124"/>
      <c r="C4538" s="125" t="s">
        <v>603</v>
      </c>
      <c r="D4538" s="124"/>
    </row>
    <row r="4539" spans="1:4" ht="42.75" customHeight="1" thickBot="1">
      <c r="A4539" s="1" t="s">
        <v>686</v>
      </c>
      <c r="B4539" s="26" t="s">
        <v>1</v>
      </c>
      <c r="C4539" s="90" t="s">
        <v>653</v>
      </c>
      <c r="D4539" s="91"/>
    </row>
    <row r="4540" spans="1:4" ht="42.75" customHeight="1" thickBot="1">
      <c r="A4540" s="26"/>
      <c r="B4540" s="26" t="s">
        <v>0</v>
      </c>
      <c r="C4540" s="5" t="s">
        <v>687</v>
      </c>
      <c r="D4540" s="4" t="s">
        <v>2</v>
      </c>
    </row>
    <row r="4541" spans="1:4" ht="42.75" customHeight="1" thickBot="1">
      <c r="A4541" s="92">
        <v>2628</v>
      </c>
      <c r="B4541" s="93"/>
      <c r="C4541" s="94" t="s">
        <v>3</v>
      </c>
      <c r="D4541" s="95"/>
    </row>
    <row r="4542" spans="1:4" ht="42.75" customHeight="1" thickBot="1">
      <c r="A4542" s="92">
        <v>2628</v>
      </c>
      <c r="B4542" s="93"/>
      <c r="C4542" s="96" t="s">
        <v>4</v>
      </c>
      <c r="D4542" s="97"/>
    </row>
    <row r="4543" spans="1:4" ht="42.75" customHeight="1" thickBot="1">
      <c r="A4543" s="98">
        <f>A4542-A4541</f>
        <v>0</v>
      </c>
      <c r="B4543" s="99"/>
      <c r="C4543" s="100" t="s">
        <v>5</v>
      </c>
      <c r="D4543" s="97"/>
    </row>
    <row r="4544" spans="1:4" ht="42.75" customHeight="1" thickBot="1">
      <c r="A4544" s="101">
        <v>62</v>
      </c>
      <c r="B4544" s="102"/>
      <c r="C4544" s="96" t="s">
        <v>6</v>
      </c>
      <c r="D4544" s="97"/>
    </row>
    <row r="4545" spans="1:4" ht="42.75" customHeight="1" thickBot="1">
      <c r="A4545" s="103"/>
      <c r="B4545" s="104"/>
      <c r="C4545" s="96" t="s">
        <v>21</v>
      </c>
      <c r="D4545" s="97"/>
    </row>
    <row r="4546" spans="1:4" ht="42.75" customHeight="1" thickBot="1">
      <c r="A4546" s="105">
        <f>A4544*A4543</f>
        <v>0</v>
      </c>
      <c r="B4546" s="106"/>
      <c r="C4546" s="96" t="s">
        <v>7</v>
      </c>
      <c r="D4546" s="97"/>
    </row>
    <row r="4547" spans="1:4" ht="42.75" customHeight="1" thickBot="1">
      <c r="A4547" s="107" t="s">
        <v>17</v>
      </c>
      <c r="B4547" s="108"/>
      <c r="C4547" s="108"/>
      <c r="D4547" s="109"/>
    </row>
    <row r="4548" spans="1:4" ht="42.75" customHeight="1" thickBot="1">
      <c r="A4548" s="116" t="s">
        <v>20</v>
      </c>
      <c r="B4548" s="117"/>
      <c r="C4548" s="117"/>
      <c r="D4548" s="118"/>
    </row>
    <row r="4549" spans="1:4" ht="42.75" customHeight="1" thickBot="1">
      <c r="A4549" s="113" t="s">
        <v>18</v>
      </c>
      <c r="B4549" s="114"/>
      <c r="C4549" s="114"/>
      <c r="D4549" s="115"/>
    </row>
    <row r="4550" spans="1:4" ht="42.75" customHeight="1" thickBot="1">
      <c r="A4550" s="119"/>
      <c r="B4550" s="119"/>
      <c r="C4550" s="119"/>
      <c r="D4550" s="119"/>
    </row>
    <row r="4551" spans="1:4" ht="42.75" customHeight="1" thickBot="1">
      <c r="A4551" s="120" t="s">
        <v>19</v>
      </c>
      <c r="B4551" s="121"/>
      <c r="C4551" s="121"/>
      <c r="D4551" s="122"/>
    </row>
    <row r="4552" spans="1:4" ht="42.75" customHeight="1" thickBot="1">
      <c r="A4552" s="123" t="s">
        <v>11</v>
      </c>
      <c r="B4552" s="124"/>
      <c r="C4552" s="125" t="s">
        <v>603</v>
      </c>
      <c r="D4552" s="124"/>
    </row>
    <row r="4553" spans="1:4" ht="42.75" customHeight="1" thickBot="1">
      <c r="A4553" s="1" t="s">
        <v>686</v>
      </c>
      <c r="B4553" s="26" t="s">
        <v>1</v>
      </c>
      <c r="C4553" s="90" t="s">
        <v>653</v>
      </c>
      <c r="D4553" s="91"/>
    </row>
    <row r="4554" spans="1:4" ht="42.75" customHeight="1" thickBot="1">
      <c r="A4554" s="26"/>
      <c r="B4554" s="26" t="s">
        <v>0</v>
      </c>
      <c r="C4554" s="5" t="s">
        <v>687</v>
      </c>
      <c r="D4554" s="4" t="s">
        <v>2</v>
      </c>
    </row>
    <row r="4555" spans="1:4" ht="42.75" customHeight="1" thickBot="1">
      <c r="A4555" s="92">
        <v>2622</v>
      </c>
      <c r="B4555" s="93"/>
      <c r="C4555" s="94" t="s">
        <v>3</v>
      </c>
      <c r="D4555" s="95"/>
    </row>
    <row r="4556" spans="1:4" ht="42.75" customHeight="1" thickBot="1">
      <c r="A4556" s="92">
        <v>2628</v>
      </c>
      <c r="B4556" s="93"/>
      <c r="C4556" s="96" t="s">
        <v>4</v>
      </c>
      <c r="D4556" s="97"/>
    </row>
    <row r="4557" spans="1:4" ht="42.75" customHeight="1" thickBot="1">
      <c r="A4557" s="98">
        <v>10</v>
      </c>
      <c r="B4557" s="99"/>
      <c r="C4557" s="100" t="s">
        <v>5</v>
      </c>
      <c r="D4557" s="97"/>
    </row>
    <row r="4558" spans="1:4" ht="42.75" customHeight="1" thickBot="1">
      <c r="A4558" s="101">
        <v>62</v>
      </c>
      <c r="B4558" s="102"/>
      <c r="C4558" s="96" t="s">
        <v>6</v>
      </c>
      <c r="D4558" s="97"/>
    </row>
    <row r="4559" spans="1:4" ht="42.75" customHeight="1" thickBot="1">
      <c r="A4559" s="103"/>
      <c r="B4559" s="104"/>
      <c r="C4559" s="96" t="s">
        <v>21</v>
      </c>
      <c r="D4559" s="97"/>
    </row>
    <row r="4560" spans="1:4" ht="42.75" customHeight="1" thickBot="1">
      <c r="A4560" s="105">
        <v>600</v>
      </c>
      <c r="B4560" s="106"/>
      <c r="C4560" s="96" t="s">
        <v>7</v>
      </c>
      <c r="D4560" s="97"/>
    </row>
    <row r="4561" spans="1:4" ht="42.75" customHeight="1" thickBot="1">
      <c r="A4561" s="107" t="s">
        <v>17</v>
      </c>
      <c r="B4561" s="108"/>
      <c r="C4561" s="108"/>
      <c r="D4561" s="109"/>
    </row>
    <row r="4562" spans="1:4" ht="42.75" customHeight="1" thickBot="1">
      <c r="A4562" s="110" t="s">
        <v>20</v>
      </c>
      <c r="B4562" s="111"/>
      <c r="C4562" s="111"/>
      <c r="D4562" s="112"/>
    </row>
    <row r="4563" spans="1:4" ht="42.75" customHeight="1" thickBot="1">
      <c r="A4563" s="113" t="s">
        <v>18</v>
      </c>
      <c r="B4563" s="114"/>
      <c r="C4563" s="114"/>
      <c r="D4563" s="115"/>
    </row>
    <row r="4564" spans="1:4" ht="42.75" customHeight="1" thickBot="1">
      <c r="A4564" s="120" t="s">
        <v>19</v>
      </c>
      <c r="B4564" s="121"/>
      <c r="C4564" s="121"/>
      <c r="D4564" s="122"/>
    </row>
    <row r="4565" spans="1:4" ht="42.75" customHeight="1" thickBot="1">
      <c r="A4565" s="123" t="s">
        <v>11</v>
      </c>
      <c r="B4565" s="124"/>
      <c r="C4565" s="125" t="s">
        <v>603</v>
      </c>
      <c r="D4565" s="124"/>
    </row>
    <row r="4566" spans="1:4" ht="42.75" customHeight="1" thickBot="1">
      <c r="A4566" s="1" t="s">
        <v>686</v>
      </c>
      <c r="B4566" s="26" t="s">
        <v>1</v>
      </c>
      <c r="C4566" s="90" t="s">
        <v>87</v>
      </c>
      <c r="D4566" s="91"/>
    </row>
    <row r="4567" spans="1:4" ht="42.75" customHeight="1" thickBot="1">
      <c r="A4567" s="26"/>
      <c r="B4567" s="26" t="s">
        <v>0</v>
      </c>
      <c r="C4567" s="5" t="s">
        <v>687</v>
      </c>
      <c r="D4567" s="4" t="s">
        <v>2</v>
      </c>
    </row>
    <row r="4568" spans="1:4" ht="42.75" customHeight="1" thickBot="1">
      <c r="A4568" s="92">
        <v>1294</v>
      </c>
      <c r="B4568" s="93"/>
      <c r="C4568" s="94" t="s">
        <v>3</v>
      </c>
      <c r="D4568" s="95"/>
    </row>
    <row r="4569" spans="1:4" ht="42.75" customHeight="1" thickBot="1">
      <c r="A4569" s="92">
        <v>1294</v>
      </c>
      <c r="B4569" s="93"/>
      <c r="C4569" s="96" t="s">
        <v>4</v>
      </c>
      <c r="D4569" s="97"/>
    </row>
    <row r="4570" spans="1:4" ht="42.75" customHeight="1" thickBot="1">
      <c r="A4570" s="98">
        <f>A4569-A4568</f>
        <v>0</v>
      </c>
      <c r="B4570" s="99"/>
      <c r="C4570" s="100" t="s">
        <v>5</v>
      </c>
      <c r="D4570" s="97"/>
    </row>
    <row r="4571" spans="1:4" ht="42.75" customHeight="1" thickBot="1">
      <c r="A4571" s="101">
        <v>62</v>
      </c>
      <c r="B4571" s="102"/>
      <c r="C4571" s="96" t="s">
        <v>6</v>
      </c>
      <c r="D4571" s="97"/>
    </row>
    <row r="4572" spans="1:4" ht="42.75" customHeight="1" thickBot="1">
      <c r="A4572" s="103"/>
      <c r="B4572" s="104"/>
      <c r="C4572" s="96" t="s">
        <v>21</v>
      </c>
      <c r="D4572" s="97"/>
    </row>
    <row r="4573" spans="1:4" ht="42.75" customHeight="1" thickBot="1">
      <c r="A4573" s="105">
        <f>A4571*A4570</f>
        <v>0</v>
      </c>
      <c r="B4573" s="106"/>
      <c r="C4573" s="96" t="s">
        <v>7</v>
      </c>
      <c r="D4573" s="97"/>
    </row>
    <row r="4574" spans="1:4" ht="42.75" customHeight="1" thickBot="1">
      <c r="A4574" s="107" t="s">
        <v>17</v>
      </c>
      <c r="B4574" s="108"/>
      <c r="C4574" s="108"/>
      <c r="D4574" s="109"/>
    </row>
    <row r="4575" spans="1:4" ht="42.75" customHeight="1" thickBot="1">
      <c r="A4575" s="116" t="s">
        <v>20</v>
      </c>
      <c r="B4575" s="117"/>
      <c r="C4575" s="117"/>
      <c r="D4575" s="118"/>
    </row>
    <row r="4576" spans="1:4" ht="42.75" customHeight="1" thickBot="1">
      <c r="A4576" s="113" t="s">
        <v>18</v>
      </c>
      <c r="B4576" s="114"/>
      <c r="C4576" s="114"/>
      <c r="D4576" s="115"/>
    </row>
    <row r="4577" spans="1:4" ht="42.75" customHeight="1" thickBot="1">
      <c r="A4577" s="119"/>
      <c r="B4577" s="119"/>
      <c r="C4577" s="119"/>
      <c r="D4577" s="119"/>
    </row>
    <row r="4578" spans="1:4" ht="42.75" customHeight="1" thickBot="1">
      <c r="A4578" s="120" t="s">
        <v>19</v>
      </c>
      <c r="B4578" s="121"/>
      <c r="C4578" s="121"/>
      <c r="D4578" s="122"/>
    </row>
    <row r="4579" spans="1:4" ht="42.75" customHeight="1" thickBot="1">
      <c r="A4579" s="123" t="s">
        <v>11</v>
      </c>
      <c r="B4579" s="124"/>
      <c r="C4579" s="125" t="s">
        <v>603</v>
      </c>
      <c r="D4579" s="124"/>
    </row>
    <row r="4580" spans="1:4" ht="42.75" customHeight="1" thickBot="1">
      <c r="A4580" s="1" t="s">
        <v>686</v>
      </c>
      <c r="B4580" s="26" t="s">
        <v>1</v>
      </c>
      <c r="C4580" s="90" t="s">
        <v>87</v>
      </c>
      <c r="D4580" s="91"/>
    </row>
    <row r="4581" spans="1:4" ht="42.75" customHeight="1" thickBot="1">
      <c r="A4581" s="26"/>
      <c r="B4581" s="26" t="s">
        <v>0</v>
      </c>
      <c r="C4581" s="5" t="s">
        <v>687</v>
      </c>
      <c r="D4581" s="4" t="s">
        <v>2</v>
      </c>
    </row>
    <row r="4582" spans="1:4" ht="42.75" customHeight="1" thickBot="1">
      <c r="A4582" s="92">
        <v>1281</v>
      </c>
      <c r="B4582" s="93"/>
      <c r="C4582" s="94" t="s">
        <v>3</v>
      </c>
      <c r="D4582" s="95"/>
    </row>
    <row r="4583" spans="1:4" ht="42.75" customHeight="1" thickBot="1">
      <c r="A4583" s="92">
        <v>1294</v>
      </c>
      <c r="B4583" s="93"/>
      <c r="C4583" s="96" t="s">
        <v>4</v>
      </c>
      <c r="D4583" s="97"/>
    </row>
    <row r="4584" spans="1:4" ht="42.75" customHeight="1" thickBot="1">
      <c r="A4584" s="98">
        <f>A4583-A4582</f>
        <v>13</v>
      </c>
      <c r="B4584" s="99"/>
      <c r="C4584" s="100" t="s">
        <v>5</v>
      </c>
      <c r="D4584" s="97"/>
    </row>
    <row r="4585" spans="1:4" ht="42.75" customHeight="1" thickBot="1">
      <c r="A4585" s="101">
        <v>62</v>
      </c>
      <c r="B4585" s="102"/>
      <c r="C4585" s="96" t="s">
        <v>6</v>
      </c>
      <c r="D4585" s="97"/>
    </row>
    <row r="4586" spans="1:4" ht="42.75" customHeight="1" thickBot="1">
      <c r="A4586" s="103"/>
      <c r="B4586" s="104"/>
      <c r="C4586" s="96" t="s">
        <v>21</v>
      </c>
      <c r="D4586" s="97"/>
    </row>
    <row r="4587" spans="1:4" ht="42.75" customHeight="1" thickBot="1">
      <c r="A4587" s="105">
        <f>A4585*A4584</f>
        <v>806</v>
      </c>
      <c r="B4587" s="106"/>
      <c r="C4587" s="96" t="s">
        <v>7</v>
      </c>
      <c r="D4587" s="97"/>
    </row>
    <row r="4588" spans="1:4" ht="42.75" customHeight="1" thickBot="1">
      <c r="A4588" s="107" t="s">
        <v>17</v>
      </c>
      <c r="B4588" s="108"/>
      <c r="C4588" s="108"/>
      <c r="D4588" s="109"/>
    </row>
    <row r="4589" spans="1:4" ht="42.75" customHeight="1" thickBot="1">
      <c r="A4589" s="110" t="s">
        <v>20</v>
      </c>
      <c r="B4589" s="111"/>
      <c r="C4589" s="111"/>
      <c r="D4589" s="112"/>
    </row>
    <row r="4590" spans="1:4" ht="42.75" customHeight="1" thickBot="1">
      <c r="A4590" s="113" t="s">
        <v>18</v>
      </c>
      <c r="B4590" s="114"/>
      <c r="C4590" s="114"/>
      <c r="D4590" s="115"/>
    </row>
    <row r="4591" spans="1:4" ht="42.75" customHeight="1" thickBot="1">
      <c r="A4591" s="120" t="s">
        <v>19</v>
      </c>
      <c r="B4591" s="121"/>
      <c r="C4591" s="121"/>
      <c r="D4591" s="122"/>
    </row>
    <row r="4592" spans="1:4" ht="42.75" customHeight="1" thickBot="1">
      <c r="A4592" s="123" t="s">
        <v>11</v>
      </c>
      <c r="B4592" s="124"/>
      <c r="C4592" s="125" t="s">
        <v>603</v>
      </c>
      <c r="D4592" s="124"/>
    </row>
    <row r="4593" spans="1:4" ht="42.75" customHeight="1" thickBot="1">
      <c r="A4593" s="1" t="s">
        <v>686</v>
      </c>
      <c r="B4593" s="26" t="s">
        <v>1</v>
      </c>
      <c r="C4593" s="90" t="s">
        <v>160</v>
      </c>
      <c r="D4593" s="91"/>
    </row>
    <row r="4594" spans="1:4" ht="42.75" customHeight="1" thickBot="1">
      <c r="A4594" s="26"/>
      <c r="B4594" s="26" t="s">
        <v>0</v>
      </c>
      <c r="C4594" s="5" t="s">
        <v>687</v>
      </c>
      <c r="D4594" s="4" t="s">
        <v>2</v>
      </c>
    </row>
    <row r="4595" spans="1:4" ht="42.75" customHeight="1" thickBot="1">
      <c r="A4595" s="92">
        <v>3634</v>
      </c>
      <c r="B4595" s="93"/>
      <c r="C4595" s="94" t="s">
        <v>3</v>
      </c>
      <c r="D4595" s="95"/>
    </row>
    <row r="4596" spans="1:4" ht="42.75" customHeight="1" thickBot="1">
      <c r="A4596" s="92">
        <v>3634</v>
      </c>
      <c r="B4596" s="93"/>
      <c r="C4596" s="96" t="s">
        <v>4</v>
      </c>
      <c r="D4596" s="97"/>
    </row>
    <row r="4597" spans="1:4" ht="42.75" customHeight="1" thickBot="1">
      <c r="A4597" s="98">
        <f>A4596-A4595</f>
        <v>0</v>
      </c>
      <c r="B4597" s="99"/>
      <c r="C4597" s="100" t="s">
        <v>5</v>
      </c>
      <c r="D4597" s="97"/>
    </row>
    <row r="4598" spans="1:4" ht="42.75" customHeight="1" thickBot="1">
      <c r="A4598" s="101">
        <v>62</v>
      </c>
      <c r="B4598" s="102"/>
      <c r="C4598" s="96" t="s">
        <v>6</v>
      </c>
      <c r="D4598" s="97"/>
    </row>
    <row r="4599" spans="1:4" ht="42.75" customHeight="1" thickBot="1">
      <c r="A4599" s="103"/>
      <c r="B4599" s="104"/>
      <c r="C4599" s="96" t="s">
        <v>21</v>
      </c>
      <c r="D4599" s="97"/>
    </row>
    <row r="4600" spans="1:4" ht="42.75" customHeight="1" thickBot="1">
      <c r="A4600" s="105">
        <f>A4598*A4597</f>
        <v>0</v>
      </c>
      <c r="B4600" s="106"/>
      <c r="C4600" s="96" t="s">
        <v>7</v>
      </c>
      <c r="D4600" s="97"/>
    </row>
    <row r="4601" spans="1:4" ht="42.75" customHeight="1" thickBot="1">
      <c r="A4601" s="107" t="s">
        <v>17</v>
      </c>
      <c r="B4601" s="108"/>
      <c r="C4601" s="108"/>
      <c r="D4601" s="109"/>
    </row>
    <row r="4602" spans="1:4" ht="42.75" customHeight="1" thickBot="1">
      <c r="A4602" s="116" t="s">
        <v>20</v>
      </c>
      <c r="B4602" s="117"/>
      <c r="C4602" s="117"/>
      <c r="D4602" s="118"/>
    </row>
    <row r="4603" spans="1:4" ht="42.75" customHeight="1" thickBot="1">
      <c r="A4603" s="113" t="s">
        <v>18</v>
      </c>
      <c r="B4603" s="114"/>
      <c r="C4603" s="114"/>
      <c r="D4603" s="115"/>
    </row>
    <row r="4604" spans="1:4" ht="42.75" customHeight="1" thickBot="1">
      <c r="A4604" s="119"/>
      <c r="B4604" s="119"/>
      <c r="C4604" s="119"/>
      <c r="D4604" s="119"/>
    </row>
    <row r="4605" spans="1:4" ht="42.75" customHeight="1" thickBot="1">
      <c r="A4605" s="120" t="s">
        <v>19</v>
      </c>
      <c r="B4605" s="121"/>
      <c r="C4605" s="121"/>
      <c r="D4605" s="122"/>
    </row>
    <row r="4606" spans="1:4" ht="42.75" customHeight="1" thickBot="1">
      <c r="A4606" s="123" t="s">
        <v>11</v>
      </c>
      <c r="B4606" s="124"/>
      <c r="C4606" s="125" t="s">
        <v>603</v>
      </c>
      <c r="D4606" s="124"/>
    </row>
    <row r="4607" spans="1:4" ht="42.75" customHeight="1" thickBot="1">
      <c r="A4607" s="1" t="s">
        <v>686</v>
      </c>
      <c r="B4607" s="26" t="s">
        <v>1</v>
      </c>
      <c r="C4607" s="90" t="s">
        <v>160</v>
      </c>
      <c r="D4607" s="91"/>
    </row>
    <row r="4608" spans="1:4" ht="42.75" customHeight="1" thickBot="1">
      <c r="A4608" s="26"/>
      <c r="B4608" s="26" t="s">
        <v>0</v>
      </c>
      <c r="C4608" s="5" t="s">
        <v>687</v>
      </c>
      <c r="D4608" s="4" t="s">
        <v>2</v>
      </c>
    </row>
    <row r="4609" spans="1:4" ht="42.75" customHeight="1" thickBot="1">
      <c r="A4609" s="92">
        <v>3627</v>
      </c>
      <c r="B4609" s="93"/>
      <c r="C4609" s="94" t="s">
        <v>3</v>
      </c>
      <c r="D4609" s="95"/>
    </row>
    <row r="4610" spans="1:4" ht="42.75" customHeight="1" thickBot="1">
      <c r="A4610" s="92">
        <v>3634</v>
      </c>
      <c r="B4610" s="93"/>
      <c r="C4610" s="96" t="s">
        <v>4</v>
      </c>
      <c r="D4610" s="97"/>
    </row>
    <row r="4611" spans="1:4" ht="42.75" customHeight="1" thickBot="1">
      <c r="A4611" s="98">
        <v>10</v>
      </c>
      <c r="B4611" s="99"/>
      <c r="C4611" s="100" t="s">
        <v>5</v>
      </c>
      <c r="D4611" s="97"/>
    </row>
    <row r="4612" spans="1:4" ht="42.75" customHeight="1" thickBot="1">
      <c r="A4612" s="101">
        <v>62</v>
      </c>
      <c r="B4612" s="102"/>
      <c r="C4612" s="96" t="s">
        <v>6</v>
      </c>
      <c r="D4612" s="97"/>
    </row>
    <row r="4613" spans="1:4" ht="42.75" customHeight="1" thickBot="1">
      <c r="A4613" s="103"/>
      <c r="B4613" s="104"/>
      <c r="C4613" s="96" t="s">
        <v>21</v>
      </c>
      <c r="D4613" s="97"/>
    </row>
    <row r="4614" spans="1:4" ht="42.75" customHeight="1" thickBot="1">
      <c r="A4614" s="105">
        <v>600</v>
      </c>
      <c r="B4614" s="106"/>
      <c r="C4614" s="96" t="s">
        <v>7</v>
      </c>
      <c r="D4614" s="97"/>
    </row>
    <row r="4615" spans="1:4" ht="42.75" customHeight="1" thickBot="1">
      <c r="A4615" s="107" t="s">
        <v>17</v>
      </c>
      <c r="B4615" s="108"/>
      <c r="C4615" s="108"/>
      <c r="D4615" s="109"/>
    </row>
    <row r="4616" spans="1:4" ht="42.75" customHeight="1" thickBot="1">
      <c r="A4616" s="110" t="s">
        <v>20</v>
      </c>
      <c r="B4616" s="111"/>
      <c r="C4616" s="111"/>
      <c r="D4616" s="112"/>
    </row>
    <row r="4617" spans="1:4" ht="42.75" customHeight="1" thickBot="1">
      <c r="A4617" s="113" t="s">
        <v>18</v>
      </c>
      <c r="B4617" s="114"/>
      <c r="C4617" s="114"/>
      <c r="D4617" s="115"/>
    </row>
    <row r="4618" spans="1:4" ht="42.75" customHeight="1" thickBot="1">
      <c r="A4618" s="120" t="s">
        <v>19</v>
      </c>
      <c r="B4618" s="121"/>
      <c r="C4618" s="121"/>
      <c r="D4618" s="122"/>
    </row>
    <row r="4619" spans="1:4" ht="42.75" customHeight="1" thickBot="1">
      <c r="A4619" s="123" t="s">
        <v>11</v>
      </c>
      <c r="B4619" s="124"/>
      <c r="C4619" s="125" t="s">
        <v>603</v>
      </c>
      <c r="D4619" s="124"/>
    </row>
    <row r="4620" spans="1:4" ht="42.75" customHeight="1" thickBot="1">
      <c r="A4620" s="1" t="s">
        <v>686</v>
      </c>
      <c r="B4620" s="26" t="s">
        <v>1</v>
      </c>
      <c r="C4620" s="90" t="s">
        <v>161</v>
      </c>
      <c r="D4620" s="91"/>
    </row>
    <row r="4621" spans="1:4" ht="42.75" customHeight="1" thickBot="1">
      <c r="A4621" s="26"/>
      <c r="B4621" s="26" t="s">
        <v>0</v>
      </c>
      <c r="C4621" s="5" t="s">
        <v>687</v>
      </c>
      <c r="D4621" s="4" t="s">
        <v>2</v>
      </c>
    </row>
    <row r="4622" spans="1:4" ht="42.75" customHeight="1" thickBot="1">
      <c r="A4622" s="92">
        <v>2162</v>
      </c>
      <c r="B4622" s="93"/>
      <c r="C4622" s="94" t="s">
        <v>3</v>
      </c>
      <c r="D4622" s="95"/>
    </row>
    <row r="4623" spans="1:4" ht="42.75" customHeight="1" thickBot="1">
      <c r="A4623" s="92">
        <v>2162</v>
      </c>
      <c r="B4623" s="93"/>
      <c r="C4623" s="96" t="s">
        <v>4</v>
      </c>
      <c r="D4623" s="97"/>
    </row>
    <row r="4624" spans="1:4" ht="42.75" customHeight="1" thickBot="1">
      <c r="A4624" s="98">
        <f>A4623-A4622</f>
        <v>0</v>
      </c>
      <c r="B4624" s="99"/>
      <c r="C4624" s="100" t="s">
        <v>5</v>
      </c>
      <c r="D4624" s="97"/>
    </row>
    <row r="4625" spans="1:4" ht="42.75" customHeight="1" thickBot="1">
      <c r="A4625" s="101">
        <v>62</v>
      </c>
      <c r="B4625" s="102"/>
      <c r="C4625" s="96" t="s">
        <v>6</v>
      </c>
      <c r="D4625" s="97"/>
    </row>
    <row r="4626" spans="1:4" ht="42.75" customHeight="1" thickBot="1">
      <c r="A4626" s="103"/>
      <c r="B4626" s="104"/>
      <c r="C4626" s="96" t="s">
        <v>21</v>
      </c>
      <c r="D4626" s="97"/>
    </row>
    <row r="4627" spans="1:4" ht="42.75" customHeight="1" thickBot="1">
      <c r="A4627" s="105">
        <f>A4625*A4624</f>
        <v>0</v>
      </c>
      <c r="B4627" s="106"/>
      <c r="C4627" s="96" t="s">
        <v>7</v>
      </c>
      <c r="D4627" s="97"/>
    </row>
    <row r="4628" spans="1:4" ht="42.75" customHeight="1" thickBot="1">
      <c r="A4628" s="107" t="s">
        <v>17</v>
      </c>
      <c r="B4628" s="108"/>
      <c r="C4628" s="108"/>
      <c r="D4628" s="109"/>
    </row>
    <row r="4629" spans="1:4" ht="42.75" customHeight="1" thickBot="1">
      <c r="A4629" s="116" t="s">
        <v>20</v>
      </c>
      <c r="B4629" s="117"/>
      <c r="C4629" s="117"/>
      <c r="D4629" s="118"/>
    </row>
    <row r="4630" spans="1:4" ht="42.75" customHeight="1" thickBot="1">
      <c r="A4630" s="113" t="s">
        <v>18</v>
      </c>
      <c r="B4630" s="114"/>
      <c r="C4630" s="114"/>
      <c r="D4630" s="115"/>
    </row>
    <row r="4631" spans="1:4" ht="42.75" customHeight="1" thickBot="1">
      <c r="A4631" s="119"/>
      <c r="B4631" s="119"/>
      <c r="C4631" s="119"/>
      <c r="D4631" s="119"/>
    </row>
    <row r="4632" spans="1:4" ht="42.75" customHeight="1" thickBot="1">
      <c r="A4632" s="120" t="s">
        <v>19</v>
      </c>
      <c r="B4632" s="121"/>
      <c r="C4632" s="121"/>
      <c r="D4632" s="122"/>
    </row>
    <row r="4633" spans="1:4" ht="42.75" customHeight="1" thickBot="1">
      <c r="A4633" s="123" t="s">
        <v>11</v>
      </c>
      <c r="B4633" s="124"/>
      <c r="C4633" s="125" t="s">
        <v>603</v>
      </c>
      <c r="D4633" s="124"/>
    </row>
    <row r="4634" spans="1:4" ht="42.75" customHeight="1" thickBot="1">
      <c r="A4634" s="1" t="s">
        <v>686</v>
      </c>
      <c r="B4634" s="26" t="s">
        <v>1</v>
      </c>
      <c r="C4634" s="90" t="s">
        <v>161</v>
      </c>
      <c r="D4634" s="91"/>
    </row>
    <row r="4635" spans="1:4" ht="42.75" customHeight="1" thickBot="1">
      <c r="A4635" s="26"/>
      <c r="B4635" s="26" t="s">
        <v>0</v>
      </c>
      <c r="C4635" s="5" t="s">
        <v>687</v>
      </c>
      <c r="D4635" s="4" t="s">
        <v>2</v>
      </c>
    </row>
    <row r="4636" spans="1:4" ht="42.75" customHeight="1" thickBot="1">
      <c r="A4636" s="92">
        <v>2137</v>
      </c>
      <c r="B4636" s="93"/>
      <c r="C4636" s="94" t="s">
        <v>3</v>
      </c>
      <c r="D4636" s="95"/>
    </row>
    <row r="4637" spans="1:4" ht="42.75" customHeight="1" thickBot="1">
      <c r="A4637" s="92">
        <v>2162</v>
      </c>
      <c r="B4637" s="93"/>
      <c r="C4637" s="96" t="s">
        <v>4</v>
      </c>
      <c r="D4637" s="97"/>
    </row>
    <row r="4638" spans="1:4" ht="42.75" customHeight="1" thickBot="1">
      <c r="A4638" s="98">
        <f>A4637-A4636</f>
        <v>25</v>
      </c>
      <c r="B4638" s="99"/>
      <c r="C4638" s="100" t="s">
        <v>5</v>
      </c>
      <c r="D4638" s="97"/>
    </row>
    <row r="4639" spans="1:4" ht="42.75" customHeight="1" thickBot="1">
      <c r="A4639" s="101">
        <v>62</v>
      </c>
      <c r="B4639" s="102"/>
      <c r="C4639" s="96" t="s">
        <v>6</v>
      </c>
      <c r="D4639" s="97"/>
    </row>
    <row r="4640" spans="1:4" ht="42.75" customHeight="1" thickBot="1">
      <c r="A4640" s="103"/>
      <c r="B4640" s="104"/>
      <c r="C4640" s="96" t="s">
        <v>21</v>
      </c>
      <c r="D4640" s="97"/>
    </row>
    <row r="4641" spans="1:4" ht="42.75" customHeight="1" thickBot="1">
      <c r="A4641" s="105">
        <f>A4639*A4638</f>
        <v>1550</v>
      </c>
      <c r="B4641" s="106"/>
      <c r="C4641" s="96" t="s">
        <v>7</v>
      </c>
      <c r="D4641" s="97"/>
    </row>
    <row r="4642" spans="1:4" ht="42.75" customHeight="1" thickBot="1">
      <c r="A4642" s="107" t="s">
        <v>17</v>
      </c>
      <c r="B4642" s="108"/>
      <c r="C4642" s="108"/>
      <c r="D4642" s="109"/>
    </row>
    <row r="4643" spans="1:4" ht="42.75" customHeight="1" thickBot="1">
      <c r="A4643" s="110" t="s">
        <v>20</v>
      </c>
      <c r="B4643" s="111"/>
      <c r="C4643" s="111"/>
      <c r="D4643" s="112"/>
    </row>
    <row r="4644" spans="1:4" ht="42.75" customHeight="1" thickBot="1">
      <c r="A4644" s="113" t="s">
        <v>18</v>
      </c>
      <c r="B4644" s="114"/>
      <c r="C4644" s="114"/>
      <c r="D4644" s="115"/>
    </row>
    <row r="4645" spans="1:4" ht="42.75" customHeight="1" thickBot="1">
      <c r="A4645" s="120" t="s">
        <v>19</v>
      </c>
      <c r="B4645" s="121"/>
      <c r="C4645" s="121"/>
      <c r="D4645" s="122"/>
    </row>
    <row r="4646" spans="1:4" ht="42.75" customHeight="1" thickBot="1">
      <c r="A4646" s="123" t="s">
        <v>11</v>
      </c>
      <c r="B4646" s="124"/>
      <c r="C4646" s="125" t="s">
        <v>603</v>
      </c>
      <c r="D4646" s="124"/>
    </row>
    <row r="4647" spans="1:4" ht="42.75" customHeight="1" thickBot="1">
      <c r="A4647" s="1" t="s">
        <v>686</v>
      </c>
      <c r="B4647" s="26" t="s">
        <v>1</v>
      </c>
      <c r="C4647" s="90" t="s">
        <v>162</v>
      </c>
      <c r="D4647" s="91"/>
    </row>
    <row r="4648" spans="1:4" ht="42.75" customHeight="1" thickBot="1">
      <c r="A4648" s="26"/>
      <c r="B4648" s="26" t="s">
        <v>0</v>
      </c>
      <c r="C4648" s="5" t="s">
        <v>687</v>
      </c>
      <c r="D4648" s="4" t="s">
        <v>2</v>
      </c>
    </row>
    <row r="4649" spans="1:4" ht="42.75" customHeight="1" thickBot="1">
      <c r="A4649" s="92">
        <v>1621</v>
      </c>
      <c r="B4649" s="93"/>
      <c r="C4649" s="94" t="s">
        <v>3</v>
      </c>
      <c r="D4649" s="95"/>
    </row>
    <row r="4650" spans="1:4" ht="42.75" customHeight="1" thickBot="1">
      <c r="A4650" s="92">
        <v>1621</v>
      </c>
      <c r="B4650" s="93"/>
      <c r="C4650" s="96" t="s">
        <v>4</v>
      </c>
      <c r="D4650" s="97"/>
    </row>
    <row r="4651" spans="1:4" ht="42.75" customHeight="1" thickBot="1">
      <c r="A4651" s="98">
        <f>A4650-A4649</f>
        <v>0</v>
      </c>
      <c r="B4651" s="99"/>
      <c r="C4651" s="100" t="s">
        <v>5</v>
      </c>
      <c r="D4651" s="97"/>
    </row>
    <row r="4652" spans="1:4" ht="42.75" customHeight="1" thickBot="1">
      <c r="A4652" s="101">
        <v>62</v>
      </c>
      <c r="B4652" s="102"/>
      <c r="C4652" s="96" t="s">
        <v>6</v>
      </c>
      <c r="D4652" s="97"/>
    </row>
    <row r="4653" spans="1:4" ht="42.75" customHeight="1" thickBot="1">
      <c r="A4653" s="103"/>
      <c r="B4653" s="104"/>
      <c r="C4653" s="96" t="s">
        <v>21</v>
      </c>
      <c r="D4653" s="97"/>
    </row>
    <row r="4654" spans="1:4" ht="42.75" customHeight="1" thickBot="1">
      <c r="A4654" s="105">
        <f>A4652*A4651</f>
        <v>0</v>
      </c>
      <c r="B4654" s="106"/>
      <c r="C4654" s="96" t="s">
        <v>7</v>
      </c>
      <c r="D4654" s="97"/>
    </row>
    <row r="4655" spans="1:4" ht="42.75" customHeight="1" thickBot="1">
      <c r="A4655" s="107" t="s">
        <v>17</v>
      </c>
      <c r="B4655" s="108"/>
      <c r="C4655" s="108"/>
      <c r="D4655" s="109"/>
    </row>
    <row r="4656" spans="1:4" ht="42.75" customHeight="1" thickBot="1">
      <c r="A4656" s="116" t="s">
        <v>20</v>
      </c>
      <c r="B4656" s="117"/>
      <c r="C4656" s="117"/>
      <c r="D4656" s="118"/>
    </row>
    <row r="4657" spans="1:4" ht="42.75" customHeight="1" thickBot="1">
      <c r="A4657" s="113" t="s">
        <v>18</v>
      </c>
      <c r="B4657" s="114"/>
      <c r="C4657" s="114"/>
      <c r="D4657" s="115"/>
    </row>
    <row r="4658" spans="1:4" ht="42.75" customHeight="1" thickBot="1">
      <c r="A4658" s="119"/>
      <c r="B4658" s="119"/>
      <c r="C4658" s="119"/>
      <c r="D4658" s="119"/>
    </row>
    <row r="4659" spans="1:4" ht="42.75" customHeight="1" thickBot="1">
      <c r="A4659" s="120" t="s">
        <v>19</v>
      </c>
      <c r="B4659" s="121"/>
      <c r="C4659" s="121"/>
      <c r="D4659" s="122"/>
    </row>
    <row r="4660" spans="1:4" ht="42.75" customHeight="1" thickBot="1">
      <c r="A4660" s="123" t="s">
        <v>11</v>
      </c>
      <c r="B4660" s="124"/>
      <c r="C4660" s="125" t="s">
        <v>603</v>
      </c>
      <c r="D4660" s="124"/>
    </row>
    <row r="4661" spans="1:4" ht="42.75" customHeight="1" thickBot="1">
      <c r="A4661" s="1" t="s">
        <v>686</v>
      </c>
      <c r="B4661" s="26" t="s">
        <v>1</v>
      </c>
      <c r="C4661" s="90" t="s">
        <v>162</v>
      </c>
      <c r="D4661" s="91"/>
    </row>
    <row r="4662" spans="1:4" ht="42.75" customHeight="1" thickBot="1">
      <c r="A4662" s="26"/>
      <c r="B4662" s="26" t="s">
        <v>0</v>
      </c>
      <c r="C4662" s="5" t="s">
        <v>687</v>
      </c>
      <c r="D4662" s="4" t="s">
        <v>2</v>
      </c>
    </row>
    <row r="4663" spans="1:4" ht="42.75" customHeight="1" thickBot="1">
      <c r="A4663" s="92">
        <v>1615</v>
      </c>
      <c r="B4663" s="93"/>
      <c r="C4663" s="94" t="s">
        <v>3</v>
      </c>
      <c r="D4663" s="95"/>
    </row>
    <row r="4664" spans="1:4" ht="42.75" customHeight="1" thickBot="1">
      <c r="A4664" s="92">
        <v>1621</v>
      </c>
      <c r="B4664" s="93"/>
      <c r="C4664" s="96" t="s">
        <v>4</v>
      </c>
      <c r="D4664" s="97"/>
    </row>
    <row r="4665" spans="1:4" ht="42.75" customHeight="1" thickBot="1">
      <c r="A4665" s="98">
        <v>10</v>
      </c>
      <c r="B4665" s="99"/>
      <c r="C4665" s="100" t="s">
        <v>5</v>
      </c>
      <c r="D4665" s="97"/>
    </row>
    <row r="4666" spans="1:4" ht="42.75" customHeight="1" thickBot="1">
      <c r="A4666" s="101">
        <v>62</v>
      </c>
      <c r="B4666" s="102"/>
      <c r="C4666" s="96" t="s">
        <v>6</v>
      </c>
      <c r="D4666" s="97"/>
    </row>
    <row r="4667" spans="1:4" ht="42.75" customHeight="1" thickBot="1">
      <c r="A4667" s="103"/>
      <c r="B4667" s="104"/>
      <c r="C4667" s="96" t="s">
        <v>21</v>
      </c>
      <c r="D4667" s="97"/>
    </row>
    <row r="4668" spans="1:4" ht="42.75" customHeight="1" thickBot="1">
      <c r="A4668" s="105">
        <v>600</v>
      </c>
      <c r="B4668" s="106"/>
      <c r="C4668" s="96" t="s">
        <v>7</v>
      </c>
      <c r="D4668" s="97"/>
    </row>
    <row r="4669" spans="1:4" ht="42.75" customHeight="1" thickBot="1">
      <c r="A4669" s="107" t="s">
        <v>17</v>
      </c>
      <c r="B4669" s="108"/>
      <c r="C4669" s="108"/>
      <c r="D4669" s="109"/>
    </row>
    <row r="4670" spans="1:4" ht="42.75" customHeight="1" thickBot="1">
      <c r="A4670" s="110" t="s">
        <v>20</v>
      </c>
      <c r="B4670" s="111"/>
      <c r="C4670" s="111"/>
      <c r="D4670" s="112"/>
    </row>
    <row r="4671" spans="1:4" ht="42.75" customHeight="1" thickBot="1">
      <c r="A4671" s="113" t="s">
        <v>18</v>
      </c>
      <c r="B4671" s="114"/>
      <c r="C4671" s="114"/>
      <c r="D4671" s="115"/>
    </row>
    <row r="4672" spans="1:4" ht="42.75" customHeight="1" thickBot="1">
      <c r="A4672" s="120" t="s">
        <v>19</v>
      </c>
      <c r="B4672" s="121"/>
      <c r="C4672" s="121"/>
      <c r="D4672" s="122"/>
    </row>
    <row r="4673" spans="1:4" ht="42.75" customHeight="1" thickBot="1">
      <c r="A4673" s="123" t="s">
        <v>11</v>
      </c>
      <c r="B4673" s="124"/>
      <c r="C4673" s="125" t="s">
        <v>603</v>
      </c>
      <c r="D4673" s="124"/>
    </row>
    <row r="4674" spans="1:4" ht="42.75" customHeight="1" thickBot="1">
      <c r="A4674" s="1" t="s">
        <v>686</v>
      </c>
      <c r="B4674" s="26" t="s">
        <v>1</v>
      </c>
      <c r="C4674" s="90" t="s">
        <v>163</v>
      </c>
      <c r="D4674" s="91"/>
    </row>
    <row r="4675" spans="1:4" ht="42.75" customHeight="1" thickBot="1">
      <c r="A4675" s="26"/>
      <c r="B4675" s="26" t="s">
        <v>0</v>
      </c>
      <c r="C4675" s="5" t="s">
        <v>687</v>
      </c>
      <c r="D4675" s="4" t="s">
        <v>2</v>
      </c>
    </row>
    <row r="4676" spans="1:4" ht="42.75" customHeight="1" thickBot="1">
      <c r="A4676" s="92">
        <v>1852</v>
      </c>
      <c r="B4676" s="93"/>
      <c r="C4676" s="94" t="s">
        <v>3</v>
      </c>
      <c r="D4676" s="95"/>
    </row>
    <row r="4677" spans="1:4" ht="42.75" customHeight="1" thickBot="1">
      <c r="A4677" s="92">
        <v>1852</v>
      </c>
      <c r="B4677" s="93"/>
      <c r="C4677" s="96" t="s">
        <v>4</v>
      </c>
      <c r="D4677" s="97"/>
    </row>
    <row r="4678" spans="1:4" ht="42.75" customHeight="1" thickBot="1">
      <c r="A4678" s="98">
        <f>A4677-A4676</f>
        <v>0</v>
      </c>
      <c r="B4678" s="99"/>
      <c r="C4678" s="100" t="s">
        <v>5</v>
      </c>
      <c r="D4678" s="97"/>
    </row>
    <row r="4679" spans="1:4" ht="42.75" customHeight="1" thickBot="1">
      <c r="A4679" s="101">
        <v>62</v>
      </c>
      <c r="B4679" s="102"/>
      <c r="C4679" s="96" t="s">
        <v>6</v>
      </c>
      <c r="D4679" s="97"/>
    </row>
    <row r="4680" spans="1:4" ht="42.75" customHeight="1" thickBot="1">
      <c r="A4680" s="103"/>
      <c r="B4680" s="104"/>
      <c r="C4680" s="96" t="s">
        <v>21</v>
      </c>
      <c r="D4680" s="97"/>
    </row>
    <row r="4681" spans="1:4" ht="42.75" customHeight="1" thickBot="1">
      <c r="A4681" s="105">
        <f>A4679*A4678</f>
        <v>0</v>
      </c>
      <c r="B4681" s="106"/>
      <c r="C4681" s="96" t="s">
        <v>7</v>
      </c>
      <c r="D4681" s="97"/>
    </row>
    <row r="4682" spans="1:4" ht="42.75" customHeight="1" thickBot="1">
      <c r="A4682" s="107" t="s">
        <v>17</v>
      </c>
      <c r="B4682" s="108"/>
      <c r="C4682" s="108"/>
      <c r="D4682" s="109"/>
    </row>
    <row r="4683" spans="1:4" ht="42.75" customHeight="1" thickBot="1">
      <c r="A4683" s="116" t="s">
        <v>20</v>
      </c>
      <c r="B4683" s="117"/>
      <c r="C4683" s="117"/>
      <c r="D4683" s="118"/>
    </row>
    <row r="4684" spans="1:4" ht="42.75" customHeight="1" thickBot="1">
      <c r="A4684" s="113" t="s">
        <v>18</v>
      </c>
      <c r="B4684" s="114"/>
      <c r="C4684" s="114"/>
      <c r="D4684" s="115"/>
    </row>
    <row r="4685" spans="1:4" ht="42.75" customHeight="1" thickBot="1">
      <c r="A4685" s="119"/>
      <c r="B4685" s="119"/>
      <c r="C4685" s="119"/>
      <c r="D4685" s="119"/>
    </row>
    <row r="4686" spans="1:4" ht="42.75" customHeight="1" thickBot="1">
      <c r="A4686" s="120" t="s">
        <v>19</v>
      </c>
      <c r="B4686" s="121"/>
      <c r="C4686" s="121"/>
      <c r="D4686" s="122"/>
    </row>
    <row r="4687" spans="1:4" ht="42.75" customHeight="1" thickBot="1">
      <c r="A4687" s="123" t="s">
        <v>11</v>
      </c>
      <c r="B4687" s="124"/>
      <c r="C4687" s="125" t="s">
        <v>603</v>
      </c>
      <c r="D4687" s="124"/>
    </row>
    <row r="4688" spans="1:4" ht="42.75" customHeight="1" thickBot="1">
      <c r="A4688" s="1" t="s">
        <v>686</v>
      </c>
      <c r="B4688" s="26" t="s">
        <v>1</v>
      </c>
      <c r="C4688" s="90" t="s">
        <v>163</v>
      </c>
      <c r="D4688" s="91"/>
    </row>
    <row r="4689" spans="1:4" ht="42.75" customHeight="1" thickBot="1">
      <c r="A4689" s="26"/>
      <c r="B4689" s="26" t="s">
        <v>0</v>
      </c>
      <c r="C4689" s="5" t="s">
        <v>687</v>
      </c>
      <c r="D4689" s="4" t="s">
        <v>2</v>
      </c>
    </row>
    <row r="4690" spans="1:4" ht="42.75" customHeight="1" thickBot="1">
      <c r="A4690" s="92">
        <v>1842</v>
      </c>
      <c r="B4690" s="93"/>
      <c r="C4690" s="94" t="s">
        <v>3</v>
      </c>
      <c r="D4690" s="95"/>
    </row>
    <row r="4691" spans="1:4" ht="42.75" customHeight="1" thickBot="1">
      <c r="A4691" s="92">
        <v>1852</v>
      </c>
      <c r="B4691" s="93"/>
      <c r="C4691" s="96" t="s">
        <v>4</v>
      </c>
      <c r="D4691" s="97"/>
    </row>
    <row r="4692" spans="1:4" ht="42.75" customHeight="1" thickBot="1">
      <c r="A4692" s="98">
        <f>A4691-A4690</f>
        <v>10</v>
      </c>
      <c r="B4692" s="99"/>
      <c r="C4692" s="100" t="s">
        <v>5</v>
      </c>
      <c r="D4692" s="97"/>
    </row>
    <row r="4693" spans="1:4" ht="42.75" customHeight="1" thickBot="1">
      <c r="A4693" s="101">
        <v>62</v>
      </c>
      <c r="B4693" s="102"/>
      <c r="C4693" s="96" t="s">
        <v>6</v>
      </c>
      <c r="D4693" s="97"/>
    </row>
    <row r="4694" spans="1:4" ht="42.75" customHeight="1" thickBot="1">
      <c r="A4694" s="103"/>
      <c r="B4694" s="104"/>
      <c r="C4694" s="96" t="s">
        <v>21</v>
      </c>
      <c r="D4694" s="97"/>
    </row>
    <row r="4695" spans="1:4" ht="42.75" customHeight="1" thickBot="1">
      <c r="A4695" s="105">
        <v>600</v>
      </c>
      <c r="B4695" s="106"/>
      <c r="C4695" s="96" t="s">
        <v>7</v>
      </c>
      <c r="D4695" s="97"/>
    </row>
    <row r="4696" spans="1:4" ht="42.75" customHeight="1" thickBot="1">
      <c r="A4696" s="107" t="s">
        <v>17</v>
      </c>
      <c r="B4696" s="108"/>
      <c r="C4696" s="108"/>
      <c r="D4696" s="109"/>
    </row>
    <row r="4697" spans="1:4" ht="42.75" customHeight="1" thickBot="1">
      <c r="A4697" s="110" t="s">
        <v>20</v>
      </c>
      <c r="B4697" s="111"/>
      <c r="C4697" s="111"/>
      <c r="D4697" s="112"/>
    </row>
    <row r="4698" spans="1:4" ht="42.75" customHeight="1" thickBot="1">
      <c r="A4698" s="113" t="s">
        <v>18</v>
      </c>
      <c r="B4698" s="114"/>
      <c r="C4698" s="114"/>
      <c r="D4698" s="115"/>
    </row>
    <row r="4699" spans="1:4" ht="42.75" customHeight="1" thickBot="1">
      <c r="A4699" s="120" t="s">
        <v>19</v>
      </c>
      <c r="B4699" s="121"/>
      <c r="C4699" s="121"/>
      <c r="D4699" s="122"/>
    </row>
    <row r="4700" spans="1:4" ht="42.75" customHeight="1" thickBot="1">
      <c r="A4700" s="123" t="s">
        <v>11</v>
      </c>
      <c r="B4700" s="124"/>
      <c r="C4700" s="125" t="s">
        <v>603</v>
      </c>
      <c r="D4700" s="124"/>
    </row>
    <row r="4701" spans="1:4" ht="42.75" customHeight="1" thickBot="1">
      <c r="A4701" s="1" t="s">
        <v>686</v>
      </c>
      <c r="B4701" s="26" t="s">
        <v>1</v>
      </c>
      <c r="C4701" s="90" t="s">
        <v>164</v>
      </c>
      <c r="D4701" s="91"/>
    </row>
    <row r="4702" spans="1:4" ht="42.75" customHeight="1" thickBot="1">
      <c r="A4702" s="26"/>
      <c r="B4702" s="26" t="s">
        <v>0</v>
      </c>
      <c r="C4702" s="5" t="s">
        <v>687</v>
      </c>
      <c r="D4702" s="4" t="s">
        <v>2</v>
      </c>
    </row>
    <row r="4703" spans="1:4" ht="42.75" customHeight="1" thickBot="1">
      <c r="A4703" s="92">
        <v>1250</v>
      </c>
      <c r="B4703" s="93"/>
      <c r="C4703" s="94" t="s">
        <v>3</v>
      </c>
      <c r="D4703" s="95"/>
    </row>
    <row r="4704" spans="1:4" ht="42.75" customHeight="1" thickBot="1">
      <c r="A4704" s="92">
        <v>1250</v>
      </c>
      <c r="B4704" s="93"/>
      <c r="C4704" s="96" t="s">
        <v>4</v>
      </c>
      <c r="D4704" s="97"/>
    </row>
    <row r="4705" spans="1:4" ht="42.75" customHeight="1" thickBot="1">
      <c r="A4705" s="98">
        <f>A4704-A4703</f>
        <v>0</v>
      </c>
      <c r="B4705" s="99"/>
      <c r="C4705" s="100" t="s">
        <v>5</v>
      </c>
      <c r="D4705" s="97"/>
    </row>
    <row r="4706" spans="1:4" ht="42.75" customHeight="1" thickBot="1">
      <c r="A4706" s="101">
        <v>62</v>
      </c>
      <c r="B4706" s="102"/>
      <c r="C4706" s="96" t="s">
        <v>6</v>
      </c>
      <c r="D4706" s="97"/>
    </row>
    <row r="4707" spans="1:4" ht="42.75" customHeight="1" thickBot="1">
      <c r="A4707" s="103"/>
      <c r="B4707" s="104"/>
      <c r="C4707" s="96" t="s">
        <v>21</v>
      </c>
      <c r="D4707" s="97"/>
    </row>
    <row r="4708" spans="1:4" ht="42.75" customHeight="1" thickBot="1">
      <c r="A4708" s="105">
        <f>A4706*A4705</f>
        <v>0</v>
      </c>
      <c r="B4708" s="106"/>
      <c r="C4708" s="96" t="s">
        <v>7</v>
      </c>
      <c r="D4708" s="97"/>
    </row>
    <row r="4709" spans="1:4" ht="42.75" customHeight="1" thickBot="1">
      <c r="A4709" s="107" t="s">
        <v>17</v>
      </c>
      <c r="B4709" s="108"/>
      <c r="C4709" s="108"/>
      <c r="D4709" s="109"/>
    </row>
    <row r="4710" spans="1:4" ht="42.75" customHeight="1" thickBot="1">
      <c r="A4710" s="116" t="s">
        <v>20</v>
      </c>
      <c r="B4710" s="117"/>
      <c r="C4710" s="117"/>
      <c r="D4710" s="118"/>
    </row>
    <row r="4711" spans="1:4" ht="42.75" customHeight="1" thickBot="1">
      <c r="A4711" s="113" t="s">
        <v>18</v>
      </c>
      <c r="B4711" s="114"/>
      <c r="C4711" s="114"/>
      <c r="D4711" s="115"/>
    </row>
    <row r="4712" spans="1:4" ht="42.75" customHeight="1" thickBot="1">
      <c r="A4712" s="119"/>
      <c r="B4712" s="119"/>
      <c r="C4712" s="119"/>
      <c r="D4712" s="119"/>
    </row>
    <row r="4713" spans="1:4" ht="42.75" customHeight="1" thickBot="1">
      <c r="A4713" s="120" t="s">
        <v>19</v>
      </c>
      <c r="B4713" s="121"/>
      <c r="C4713" s="121"/>
      <c r="D4713" s="122"/>
    </row>
    <row r="4714" spans="1:4" ht="42.75" customHeight="1" thickBot="1">
      <c r="A4714" s="123" t="s">
        <v>11</v>
      </c>
      <c r="B4714" s="124"/>
      <c r="C4714" s="125" t="s">
        <v>603</v>
      </c>
      <c r="D4714" s="124"/>
    </row>
    <row r="4715" spans="1:4" ht="42.75" customHeight="1" thickBot="1">
      <c r="A4715" s="1" t="s">
        <v>686</v>
      </c>
      <c r="B4715" s="26" t="s">
        <v>1</v>
      </c>
      <c r="C4715" s="90" t="s">
        <v>164</v>
      </c>
      <c r="D4715" s="91"/>
    </row>
    <row r="4716" spans="1:4" ht="42.75" customHeight="1" thickBot="1">
      <c r="A4716" s="26"/>
      <c r="B4716" s="26" t="s">
        <v>0</v>
      </c>
      <c r="C4716" s="5" t="s">
        <v>687</v>
      </c>
      <c r="D4716" s="4" t="s">
        <v>2</v>
      </c>
    </row>
    <row r="4717" spans="1:4" ht="42.75" customHeight="1" thickBot="1">
      <c r="A4717" s="92">
        <v>1218</v>
      </c>
      <c r="B4717" s="93"/>
      <c r="C4717" s="94" t="s">
        <v>3</v>
      </c>
      <c r="D4717" s="95"/>
    </row>
    <row r="4718" spans="1:4" ht="42.75" customHeight="1" thickBot="1">
      <c r="A4718" s="92">
        <v>1250</v>
      </c>
      <c r="B4718" s="93"/>
      <c r="C4718" s="96" t="s">
        <v>4</v>
      </c>
      <c r="D4718" s="97"/>
    </row>
    <row r="4719" spans="1:4" ht="42.75" customHeight="1" thickBot="1">
      <c r="A4719" s="98">
        <f>A4718-A4717</f>
        <v>32</v>
      </c>
      <c r="B4719" s="99"/>
      <c r="C4719" s="100" t="s">
        <v>5</v>
      </c>
      <c r="D4719" s="97"/>
    </row>
    <row r="4720" spans="1:4" ht="42.75" customHeight="1" thickBot="1">
      <c r="A4720" s="101">
        <v>62</v>
      </c>
      <c r="B4720" s="102"/>
      <c r="C4720" s="96" t="s">
        <v>6</v>
      </c>
      <c r="D4720" s="97"/>
    </row>
    <row r="4721" spans="1:4" ht="42.75" customHeight="1" thickBot="1">
      <c r="A4721" s="103"/>
      <c r="B4721" s="104"/>
      <c r="C4721" s="96" t="s">
        <v>21</v>
      </c>
      <c r="D4721" s="97"/>
    </row>
    <row r="4722" spans="1:4" ht="42.75" customHeight="1" thickBot="1">
      <c r="A4722" s="105">
        <v>2000</v>
      </c>
      <c r="B4722" s="106"/>
      <c r="C4722" s="96" t="s">
        <v>7</v>
      </c>
      <c r="D4722" s="97"/>
    </row>
    <row r="4723" spans="1:4" ht="42.75" customHeight="1" thickBot="1">
      <c r="A4723" s="107" t="s">
        <v>17</v>
      </c>
      <c r="B4723" s="108"/>
      <c r="C4723" s="108"/>
      <c r="D4723" s="109"/>
    </row>
    <row r="4724" spans="1:4" ht="42.75" customHeight="1" thickBot="1">
      <c r="A4724" s="110" t="s">
        <v>20</v>
      </c>
      <c r="B4724" s="111"/>
      <c r="C4724" s="111"/>
      <c r="D4724" s="112"/>
    </row>
    <row r="4725" spans="1:4" ht="42.75" customHeight="1" thickBot="1">
      <c r="A4725" s="113" t="s">
        <v>18</v>
      </c>
      <c r="B4725" s="114"/>
      <c r="C4725" s="114"/>
      <c r="D4725" s="115"/>
    </row>
    <row r="4726" spans="1:4" ht="42.75" customHeight="1" thickBot="1">
      <c r="A4726" s="120" t="s">
        <v>19</v>
      </c>
      <c r="B4726" s="121"/>
      <c r="C4726" s="121"/>
      <c r="D4726" s="122"/>
    </row>
    <row r="4727" spans="1:4" ht="42.75" customHeight="1" thickBot="1">
      <c r="A4727" s="123" t="s">
        <v>11</v>
      </c>
      <c r="B4727" s="124"/>
      <c r="C4727" s="125" t="s">
        <v>603</v>
      </c>
      <c r="D4727" s="124"/>
    </row>
    <row r="4728" spans="1:4" ht="42.75" customHeight="1" thickBot="1">
      <c r="A4728" s="1" t="s">
        <v>686</v>
      </c>
      <c r="B4728" s="26" t="s">
        <v>1</v>
      </c>
      <c r="C4728" s="90" t="s">
        <v>604</v>
      </c>
      <c r="D4728" s="91"/>
    </row>
    <row r="4729" spans="1:4" ht="42.75" customHeight="1" thickBot="1">
      <c r="A4729" s="26"/>
      <c r="B4729" s="26" t="s">
        <v>0</v>
      </c>
      <c r="C4729" s="5" t="s">
        <v>687</v>
      </c>
      <c r="D4729" s="4" t="s">
        <v>2</v>
      </c>
    </row>
    <row r="4730" spans="1:4" ht="42.75" customHeight="1" thickBot="1">
      <c r="A4730" s="92">
        <v>72</v>
      </c>
      <c r="B4730" s="93"/>
      <c r="C4730" s="94" t="s">
        <v>3</v>
      </c>
      <c r="D4730" s="95"/>
    </row>
    <row r="4731" spans="1:4" ht="42.75" customHeight="1" thickBot="1">
      <c r="A4731" s="92">
        <v>72</v>
      </c>
      <c r="B4731" s="93"/>
      <c r="C4731" s="96" t="s">
        <v>4</v>
      </c>
      <c r="D4731" s="97"/>
    </row>
    <row r="4732" spans="1:4" ht="42.75" customHeight="1" thickBot="1">
      <c r="A4732" s="98">
        <f>A4731-A4730</f>
        <v>0</v>
      </c>
      <c r="B4732" s="99"/>
      <c r="C4732" s="100" t="s">
        <v>5</v>
      </c>
      <c r="D4732" s="97"/>
    </row>
    <row r="4733" spans="1:4" ht="42.75" customHeight="1" thickBot="1">
      <c r="A4733" s="101">
        <v>62</v>
      </c>
      <c r="B4733" s="102"/>
      <c r="C4733" s="96" t="s">
        <v>6</v>
      </c>
      <c r="D4733" s="97"/>
    </row>
    <row r="4734" spans="1:4" ht="42.75" customHeight="1" thickBot="1">
      <c r="A4734" s="103"/>
      <c r="B4734" s="104"/>
      <c r="C4734" s="96" t="s">
        <v>21</v>
      </c>
      <c r="D4734" s="97"/>
    </row>
    <row r="4735" spans="1:4" ht="42.75" customHeight="1" thickBot="1">
      <c r="A4735" s="105">
        <f>A4733*A4732</f>
        <v>0</v>
      </c>
      <c r="B4735" s="106"/>
      <c r="C4735" s="96" t="s">
        <v>7</v>
      </c>
      <c r="D4735" s="97"/>
    </row>
    <row r="4736" spans="1:4" ht="42.75" customHeight="1" thickBot="1">
      <c r="A4736" s="107" t="s">
        <v>17</v>
      </c>
      <c r="B4736" s="108"/>
      <c r="C4736" s="108"/>
      <c r="D4736" s="109"/>
    </row>
    <row r="4737" spans="1:4" ht="42.75" customHeight="1" thickBot="1">
      <c r="A4737" s="116" t="s">
        <v>20</v>
      </c>
      <c r="B4737" s="117"/>
      <c r="C4737" s="117"/>
      <c r="D4737" s="118"/>
    </row>
    <row r="4738" spans="1:4" ht="42.75" customHeight="1" thickBot="1">
      <c r="A4738" s="113" t="s">
        <v>18</v>
      </c>
      <c r="B4738" s="114"/>
      <c r="C4738" s="114"/>
      <c r="D4738" s="115"/>
    </row>
    <row r="4739" spans="1:4" ht="42.75" customHeight="1" thickBot="1">
      <c r="A4739" s="119"/>
      <c r="B4739" s="119"/>
      <c r="C4739" s="119"/>
      <c r="D4739" s="119"/>
    </row>
    <row r="4740" spans="1:4" ht="42.75" customHeight="1" thickBot="1">
      <c r="A4740" s="120" t="s">
        <v>19</v>
      </c>
      <c r="B4740" s="121"/>
      <c r="C4740" s="121"/>
      <c r="D4740" s="122"/>
    </row>
    <row r="4741" spans="1:4" ht="42.75" customHeight="1" thickBot="1">
      <c r="A4741" s="123" t="s">
        <v>11</v>
      </c>
      <c r="B4741" s="124"/>
      <c r="C4741" s="125" t="s">
        <v>603</v>
      </c>
      <c r="D4741" s="124"/>
    </row>
    <row r="4742" spans="1:4" ht="42.75" customHeight="1" thickBot="1">
      <c r="A4742" s="1" t="s">
        <v>686</v>
      </c>
      <c r="B4742" s="26" t="s">
        <v>1</v>
      </c>
      <c r="C4742" s="90" t="s">
        <v>604</v>
      </c>
      <c r="D4742" s="91"/>
    </row>
    <row r="4743" spans="1:4" ht="42.75" customHeight="1" thickBot="1">
      <c r="A4743" s="26"/>
      <c r="B4743" s="26" t="s">
        <v>0</v>
      </c>
      <c r="C4743" s="5" t="s">
        <v>687</v>
      </c>
      <c r="D4743" s="4" t="s">
        <v>2</v>
      </c>
    </row>
    <row r="4744" spans="1:4" ht="42.75" customHeight="1" thickBot="1">
      <c r="A4744" s="92">
        <v>65</v>
      </c>
      <c r="B4744" s="93"/>
      <c r="C4744" s="94" t="s">
        <v>3</v>
      </c>
      <c r="D4744" s="95"/>
    </row>
    <row r="4745" spans="1:4" ht="42.75" customHeight="1" thickBot="1">
      <c r="A4745" s="92">
        <v>72</v>
      </c>
      <c r="B4745" s="93"/>
      <c r="C4745" s="96" t="s">
        <v>4</v>
      </c>
      <c r="D4745" s="97"/>
    </row>
    <row r="4746" spans="1:4" ht="42.75" customHeight="1" thickBot="1">
      <c r="A4746" s="98">
        <v>10</v>
      </c>
      <c r="B4746" s="99"/>
      <c r="C4746" s="100" t="s">
        <v>5</v>
      </c>
      <c r="D4746" s="97"/>
    </row>
    <row r="4747" spans="1:4" ht="42.75" customHeight="1" thickBot="1">
      <c r="A4747" s="101">
        <v>62</v>
      </c>
      <c r="B4747" s="102"/>
      <c r="C4747" s="96" t="s">
        <v>6</v>
      </c>
      <c r="D4747" s="97"/>
    </row>
    <row r="4748" spans="1:4" ht="42.75" customHeight="1" thickBot="1">
      <c r="A4748" s="103"/>
      <c r="B4748" s="104"/>
      <c r="C4748" s="96" t="s">
        <v>21</v>
      </c>
      <c r="D4748" s="97"/>
    </row>
    <row r="4749" spans="1:4" ht="42.75" customHeight="1" thickBot="1">
      <c r="A4749" s="105">
        <v>600</v>
      </c>
      <c r="B4749" s="106"/>
      <c r="C4749" s="96" t="s">
        <v>7</v>
      </c>
      <c r="D4749" s="97"/>
    </row>
    <row r="4750" spans="1:4" ht="42.75" customHeight="1" thickBot="1">
      <c r="A4750" s="107" t="s">
        <v>17</v>
      </c>
      <c r="B4750" s="108"/>
      <c r="C4750" s="108"/>
      <c r="D4750" s="109"/>
    </row>
    <row r="4751" spans="1:4" ht="42.75" customHeight="1" thickBot="1">
      <c r="A4751" s="110" t="s">
        <v>20</v>
      </c>
      <c r="B4751" s="111"/>
      <c r="C4751" s="111"/>
      <c r="D4751" s="112"/>
    </row>
    <row r="4752" spans="1:4" ht="42.75" customHeight="1" thickBot="1">
      <c r="A4752" s="113" t="s">
        <v>18</v>
      </c>
      <c r="B4752" s="114"/>
      <c r="C4752" s="114"/>
      <c r="D4752" s="115"/>
    </row>
    <row r="4753" spans="1:4" ht="42.75" customHeight="1" thickBot="1">
      <c r="A4753" s="120" t="s">
        <v>19</v>
      </c>
      <c r="B4753" s="121"/>
      <c r="C4753" s="121"/>
      <c r="D4753" s="122"/>
    </row>
    <row r="4754" spans="1:4" ht="42.75" customHeight="1" thickBot="1">
      <c r="A4754" s="123" t="s">
        <v>11</v>
      </c>
      <c r="B4754" s="124"/>
      <c r="C4754" s="125" t="s">
        <v>603</v>
      </c>
      <c r="D4754" s="124"/>
    </row>
    <row r="4755" spans="1:4" ht="42.75" customHeight="1" thickBot="1">
      <c r="A4755" s="1" t="s">
        <v>686</v>
      </c>
      <c r="B4755" s="26" t="s">
        <v>1</v>
      </c>
      <c r="C4755" s="90" t="s">
        <v>165</v>
      </c>
      <c r="D4755" s="91"/>
    </row>
    <row r="4756" spans="1:4" ht="42.75" customHeight="1" thickBot="1">
      <c r="A4756" s="26"/>
      <c r="B4756" s="26" t="s">
        <v>0</v>
      </c>
      <c r="C4756" s="5" t="s">
        <v>687</v>
      </c>
      <c r="D4756" s="4" t="s">
        <v>2</v>
      </c>
    </row>
    <row r="4757" spans="1:4" ht="42.75" customHeight="1" thickBot="1">
      <c r="A4757" s="92">
        <v>1653</v>
      </c>
      <c r="B4757" s="93"/>
      <c r="C4757" s="94" t="s">
        <v>3</v>
      </c>
      <c r="D4757" s="95"/>
    </row>
    <row r="4758" spans="1:4" ht="42.75" customHeight="1" thickBot="1">
      <c r="A4758" s="92">
        <v>1653</v>
      </c>
      <c r="B4758" s="93"/>
      <c r="C4758" s="96" t="s">
        <v>4</v>
      </c>
      <c r="D4758" s="97"/>
    </row>
    <row r="4759" spans="1:4" ht="42.75" customHeight="1" thickBot="1">
      <c r="A4759" s="98">
        <f>A4758-A4757</f>
        <v>0</v>
      </c>
      <c r="B4759" s="99"/>
      <c r="C4759" s="100" t="s">
        <v>5</v>
      </c>
      <c r="D4759" s="97"/>
    </row>
    <row r="4760" spans="1:4" ht="42.75" customHeight="1" thickBot="1">
      <c r="A4760" s="101">
        <v>62</v>
      </c>
      <c r="B4760" s="102"/>
      <c r="C4760" s="96" t="s">
        <v>6</v>
      </c>
      <c r="D4760" s="97"/>
    </row>
    <row r="4761" spans="1:4" ht="42.75" customHeight="1" thickBot="1">
      <c r="A4761" s="103"/>
      <c r="B4761" s="104"/>
      <c r="C4761" s="96" t="s">
        <v>21</v>
      </c>
      <c r="D4761" s="97"/>
    </row>
    <row r="4762" spans="1:4" ht="42.75" customHeight="1" thickBot="1">
      <c r="A4762" s="105">
        <f>A4760*A4759</f>
        <v>0</v>
      </c>
      <c r="B4762" s="106"/>
      <c r="C4762" s="96" t="s">
        <v>7</v>
      </c>
      <c r="D4762" s="97"/>
    </row>
    <row r="4763" spans="1:4" ht="42.75" customHeight="1" thickBot="1">
      <c r="A4763" s="107" t="s">
        <v>17</v>
      </c>
      <c r="B4763" s="108"/>
      <c r="C4763" s="108"/>
      <c r="D4763" s="109"/>
    </row>
    <row r="4764" spans="1:4" ht="42.75" customHeight="1" thickBot="1">
      <c r="A4764" s="116" t="s">
        <v>20</v>
      </c>
      <c r="B4764" s="117"/>
      <c r="C4764" s="117"/>
      <c r="D4764" s="118"/>
    </row>
    <row r="4765" spans="1:4" ht="42.75" customHeight="1" thickBot="1">
      <c r="A4765" s="113" t="s">
        <v>18</v>
      </c>
      <c r="B4765" s="114"/>
      <c r="C4765" s="114"/>
      <c r="D4765" s="115"/>
    </row>
    <row r="4766" spans="1:4" ht="42.75" customHeight="1" thickBot="1">
      <c r="A4766" s="119"/>
      <c r="B4766" s="119"/>
      <c r="C4766" s="119"/>
      <c r="D4766" s="119"/>
    </row>
    <row r="4767" spans="1:4" ht="42.75" customHeight="1" thickBot="1">
      <c r="A4767" s="120" t="s">
        <v>19</v>
      </c>
      <c r="B4767" s="121"/>
      <c r="C4767" s="121"/>
      <c r="D4767" s="122"/>
    </row>
    <row r="4768" spans="1:4" ht="42.75" customHeight="1" thickBot="1">
      <c r="A4768" s="123" t="s">
        <v>11</v>
      </c>
      <c r="B4768" s="124"/>
      <c r="C4768" s="125" t="s">
        <v>603</v>
      </c>
      <c r="D4768" s="124"/>
    </row>
    <row r="4769" spans="1:4" ht="42.75" customHeight="1" thickBot="1">
      <c r="A4769" s="1" t="s">
        <v>686</v>
      </c>
      <c r="B4769" s="26" t="s">
        <v>1</v>
      </c>
      <c r="C4769" s="90" t="s">
        <v>165</v>
      </c>
      <c r="D4769" s="91"/>
    </row>
    <row r="4770" spans="1:4" ht="42.75" customHeight="1" thickBot="1">
      <c r="A4770" s="26"/>
      <c r="B4770" s="26" t="s">
        <v>0</v>
      </c>
      <c r="C4770" s="5" t="s">
        <v>687</v>
      </c>
      <c r="D4770" s="4" t="s">
        <v>2</v>
      </c>
    </row>
    <row r="4771" spans="1:4" ht="42.75" customHeight="1" thickBot="1">
      <c r="A4771" s="92">
        <v>1645</v>
      </c>
      <c r="B4771" s="93"/>
      <c r="C4771" s="94" t="s">
        <v>3</v>
      </c>
      <c r="D4771" s="95"/>
    </row>
    <row r="4772" spans="1:4" ht="42.75" customHeight="1" thickBot="1">
      <c r="A4772" s="92">
        <v>1653</v>
      </c>
      <c r="B4772" s="93"/>
      <c r="C4772" s="96" t="s">
        <v>4</v>
      </c>
      <c r="D4772" s="97"/>
    </row>
    <row r="4773" spans="1:4" ht="42.75" customHeight="1" thickBot="1">
      <c r="A4773" s="98">
        <v>10</v>
      </c>
      <c r="B4773" s="99"/>
      <c r="C4773" s="100" t="s">
        <v>5</v>
      </c>
      <c r="D4773" s="97"/>
    </row>
    <row r="4774" spans="1:4" ht="42.75" customHeight="1" thickBot="1">
      <c r="A4774" s="101">
        <v>62</v>
      </c>
      <c r="B4774" s="102"/>
      <c r="C4774" s="96" t="s">
        <v>6</v>
      </c>
      <c r="D4774" s="97"/>
    </row>
    <row r="4775" spans="1:4" ht="42.75" customHeight="1" thickBot="1">
      <c r="A4775" s="103"/>
      <c r="B4775" s="104"/>
      <c r="C4775" s="96" t="s">
        <v>21</v>
      </c>
      <c r="D4775" s="97"/>
    </row>
    <row r="4776" spans="1:4" ht="42.75" customHeight="1" thickBot="1">
      <c r="A4776" s="105">
        <v>600</v>
      </c>
      <c r="B4776" s="106"/>
      <c r="C4776" s="96" t="s">
        <v>7</v>
      </c>
      <c r="D4776" s="97"/>
    </row>
    <row r="4777" spans="1:4" ht="42.75" customHeight="1" thickBot="1">
      <c r="A4777" s="107" t="s">
        <v>17</v>
      </c>
      <c r="B4777" s="108"/>
      <c r="C4777" s="108"/>
      <c r="D4777" s="109"/>
    </row>
    <row r="4778" spans="1:4" ht="42.75" customHeight="1" thickBot="1">
      <c r="A4778" s="110" t="s">
        <v>20</v>
      </c>
      <c r="B4778" s="111"/>
      <c r="C4778" s="111"/>
      <c r="D4778" s="112"/>
    </row>
    <row r="4779" spans="1:4" ht="42.75" customHeight="1" thickBot="1">
      <c r="A4779" s="113" t="s">
        <v>18</v>
      </c>
      <c r="B4779" s="114"/>
      <c r="C4779" s="114"/>
      <c r="D4779" s="115"/>
    </row>
    <row r="4780" spans="1:4" ht="42.75" customHeight="1" thickBot="1">
      <c r="A4780" s="120" t="s">
        <v>19</v>
      </c>
      <c r="B4780" s="121"/>
      <c r="C4780" s="121"/>
      <c r="D4780" s="122"/>
    </row>
    <row r="4781" spans="1:4" ht="42.75" customHeight="1" thickBot="1">
      <c r="A4781" s="123" t="s">
        <v>11</v>
      </c>
      <c r="B4781" s="124"/>
      <c r="C4781" s="125" t="s">
        <v>603</v>
      </c>
      <c r="D4781" s="124"/>
    </row>
    <row r="4782" spans="1:4" ht="42.75" customHeight="1" thickBot="1">
      <c r="A4782" s="1" t="s">
        <v>686</v>
      </c>
      <c r="B4782" s="26" t="s">
        <v>1</v>
      </c>
      <c r="C4782" s="90" t="s">
        <v>654</v>
      </c>
      <c r="D4782" s="91"/>
    </row>
    <row r="4783" spans="1:4" ht="42.75" customHeight="1" thickBot="1">
      <c r="A4783" s="26"/>
      <c r="B4783" s="26" t="s">
        <v>0</v>
      </c>
      <c r="C4783" s="5" t="s">
        <v>687</v>
      </c>
      <c r="D4783" s="4" t="s">
        <v>2</v>
      </c>
    </row>
    <row r="4784" spans="1:4" ht="42.75" customHeight="1" thickBot="1">
      <c r="A4784" s="92">
        <v>330</v>
      </c>
      <c r="B4784" s="93"/>
      <c r="C4784" s="94" t="s">
        <v>3</v>
      </c>
      <c r="D4784" s="95"/>
    </row>
    <row r="4785" spans="1:4" ht="42.75" customHeight="1" thickBot="1">
      <c r="A4785" s="92">
        <v>330</v>
      </c>
      <c r="B4785" s="93"/>
      <c r="C4785" s="96" t="s">
        <v>4</v>
      </c>
      <c r="D4785" s="97"/>
    </row>
    <row r="4786" spans="1:4" ht="42.75" customHeight="1" thickBot="1">
      <c r="A4786" s="98">
        <f>A4785-A4784</f>
        <v>0</v>
      </c>
      <c r="B4786" s="99"/>
      <c r="C4786" s="100" t="s">
        <v>5</v>
      </c>
      <c r="D4786" s="97"/>
    </row>
    <row r="4787" spans="1:4" ht="42.75" customHeight="1" thickBot="1">
      <c r="A4787" s="101">
        <v>62</v>
      </c>
      <c r="B4787" s="102"/>
      <c r="C4787" s="96" t="s">
        <v>6</v>
      </c>
      <c r="D4787" s="97"/>
    </row>
    <row r="4788" spans="1:4" ht="42.75" customHeight="1" thickBot="1">
      <c r="A4788" s="103"/>
      <c r="B4788" s="104"/>
      <c r="C4788" s="96" t="s">
        <v>21</v>
      </c>
      <c r="D4788" s="97"/>
    </row>
    <row r="4789" spans="1:4" ht="42.75" customHeight="1" thickBot="1">
      <c r="A4789" s="105">
        <f>A4787*A4786</f>
        <v>0</v>
      </c>
      <c r="B4789" s="106"/>
      <c r="C4789" s="96" t="s">
        <v>7</v>
      </c>
      <c r="D4789" s="97"/>
    </row>
    <row r="4790" spans="1:4" ht="42.75" customHeight="1" thickBot="1">
      <c r="A4790" s="107" t="s">
        <v>17</v>
      </c>
      <c r="B4790" s="108"/>
      <c r="C4790" s="108"/>
      <c r="D4790" s="109"/>
    </row>
    <row r="4791" spans="1:4" ht="42.75" customHeight="1" thickBot="1">
      <c r="A4791" s="116" t="s">
        <v>20</v>
      </c>
      <c r="B4791" s="117"/>
      <c r="C4791" s="117"/>
      <c r="D4791" s="118"/>
    </row>
    <row r="4792" spans="1:4" ht="42.75" customHeight="1" thickBot="1">
      <c r="A4792" s="113" t="s">
        <v>18</v>
      </c>
      <c r="B4792" s="114"/>
      <c r="C4792" s="114"/>
      <c r="D4792" s="115"/>
    </row>
    <row r="4793" spans="1:4" ht="42.75" customHeight="1" thickBot="1">
      <c r="A4793" s="119"/>
      <c r="B4793" s="119"/>
      <c r="C4793" s="119"/>
      <c r="D4793" s="119"/>
    </row>
    <row r="4794" spans="1:4" ht="42.75" customHeight="1" thickBot="1">
      <c r="A4794" s="120" t="s">
        <v>19</v>
      </c>
      <c r="B4794" s="121"/>
      <c r="C4794" s="121"/>
      <c r="D4794" s="122"/>
    </row>
    <row r="4795" spans="1:4" ht="42.75" customHeight="1" thickBot="1">
      <c r="A4795" s="123" t="s">
        <v>11</v>
      </c>
      <c r="B4795" s="124"/>
      <c r="C4795" s="125" t="s">
        <v>603</v>
      </c>
      <c r="D4795" s="124"/>
    </row>
    <row r="4796" spans="1:4" ht="42.75" customHeight="1" thickBot="1">
      <c r="A4796" s="1" t="s">
        <v>686</v>
      </c>
      <c r="B4796" s="26" t="s">
        <v>1</v>
      </c>
      <c r="C4796" s="90" t="s">
        <v>654</v>
      </c>
      <c r="D4796" s="91"/>
    </row>
    <row r="4797" spans="1:4" ht="42.75" customHeight="1" thickBot="1">
      <c r="A4797" s="26"/>
      <c r="B4797" s="26" t="s">
        <v>0</v>
      </c>
      <c r="C4797" s="5" t="s">
        <v>687</v>
      </c>
      <c r="D4797" s="4" t="s">
        <v>2</v>
      </c>
    </row>
    <row r="4798" spans="1:4" ht="42.75" customHeight="1" thickBot="1">
      <c r="A4798" s="92">
        <v>327</v>
      </c>
      <c r="B4798" s="93"/>
      <c r="C4798" s="94" t="s">
        <v>3</v>
      </c>
      <c r="D4798" s="95"/>
    </row>
    <row r="4799" spans="1:4" ht="42.75" customHeight="1" thickBot="1">
      <c r="A4799" s="92">
        <v>330</v>
      </c>
      <c r="B4799" s="93"/>
      <c r="C4799" s="96" t="s">
        <v>4</v>
      </c>
      <c r="D4799" s="97"/>
    </row>
    <row r="4800" spans="1:4" ht="42.75" customHeight="1" thickBot="1">
      <c r="A4800" s="98">
        <v>10</v>
      </c>
      <c r="B4800" s="99"/>
      <c r="C4800" s="100" t="s">
        <v>5</v>
      </c>
      <c r="D4800" s="97"/>
    </row>
    <row r="4801" spans="1:4" ht="42.75" customHeight="1" thickBot="1">
      <c r="A4801" s="101">
        <v>62</v>
      </c>
      <c r="B4801" s="102"/>
      <c r="C4801" s="96" t="s">
        <v>6</v>
      </c>
      <c r="D4801" s="97"/>
    </row>
    <row r="4802" spans="1:4" ht="42.75" customHeight="1" thickBot="1">
      <c r="A4802" s="103"/>
      <c r="B4802" s="104"/>
      <c r="C4802" s="96" t="s">
        <v>21</v>
      </c>
      <c r="D4802" s="97"/>
    </row>
    <row r="4803" spans="1:4" ht="42.75" customHeight="1" thickBot="1">
      <c r="A4803" s="105">
        <v>600</v>
      </c>
      <c r="B4803" s="106"/>
      <c r="C4803" s="96" t="s">
        <v>7</v>
      </c>
      <c r="D4803" s="97"/>
    </row>
    <row r="4804" spans="1:4" ht="42.75" customHeight="1" thickBot="1">
      <c r="A4804" s="107" t="s">
        <v>17</v>
      </c>
      <c r="B4804" s="108"/>
      <c r="C4804" s="108"/>
      <c r="D4804" s="109"/>
    </row>
    <row r="4805" spans="1:4" ht="42.75" customHeight="1" thickBot="1">
      <c r="A4805" s="110" t="s">
        <v>20</v>
      </c>
      <c r="B4805" s="111"/>
      <c r="C4805" s="111"/>
      <c r="D4805" s="112"/>
    </row>
    <row r="4806" spans="1:4" ht="42.75" customHeight="1" thickBot="1">
      <c r="A4806" s="113" t="s">
        <v>18</v>
      </c>
      <c r="B4806" s="114"/>
      <c r="C4806" s="114"/>
      <c r="D4806" s="115"/>
    </row>
    <row r="4807" spans="1:4" ht="42.75" customHeight="1" thickBot="1">
      <c r="A4807" s="120" t="s">
        <v>19</v>
      </c>
      <c r="B4807" s="121"/>
      <c r="C4807" s="121"/>
      <c r="D4807" s="122"/>
    </row>
    <row r="4808" spans="1:4" ht="42.75" customHeight="1" thickBot="1">
      <c r="A4808" s="123" t="s">
        <v>11</v>
      </c>
      <c r="B4808" s="124"/>
      <c r="C4808" s="125" t="s">
        <v>603</v>
      </c>
      <c r="D4808" s="124"/>
    </row>
    <row r="4809" spans="1:4" ht="42.75" customHeight="1" thickBot="1">
      <c r="A4809" s="1" t="s">
        <v>686</v>
      </c>
      <c r="B4809" s="26" t="s">
        <v>1</v>
      </c>
      <c r="C4809" s="90" t="s">
        <v>166</v>
      </c>
      <c r="D4809" s="91"/>
    </row>
    <row r="4810" spans="1:4" ht="42.75" customHeight="1" thickBot="1">
      <c r="A4810" s="26"/>
      <c r="B4810" s="26" t="s">
        <v>0</v>
      </c>
      <c r="C4810" s="5" t="s">
        <v>687</v>
      </c>
      <c r="D4810" s="4" t="s">
        <v>2</v>
      </c>
    </row>
    <row r="4811" spans="1:4" ht="42.75" customHeight="1" thickBot="1">
      <c r="A4811" s="92">
        <v>441</v>
      </c>
      <c r="B4811" s="93"/>
      <c r="C4811" s="94" t="s">
        <v>3</v>
      </c>
      <c r="D4811" s="95"/>
    </row>
    <row r="4812" spans="1:4" ht="42.75" customHeight="1" thickBot="1">
      <c r="A4812" s="92">
        <v>441</v>
      </c>
      <c r="B4812" s="93"/>
      <c r="C4812" s="96" t="s">
        <v>4</v>
      </c>
      <c r="D4812" s="97"/>
    </row>
    <row r="4813" spans="1:4" ht="42.75" customHeight="1" thickBot="1">
      <c r="A4813" s="98">
        <f>A4812-A4811</f>
        <v>0</v>
      </c>
      <c r="B4813" s="99"/>
      <c r="C4813" s="100" t="s">
        <v>5</v>
      </c>
      <c r="D4813" s="97"/>
    </row>
    <row r="4814" spans="1:4" ht="42.75" customHeight="1" thickBot="1">
      <c r="A4814" s="101">
        <v>62</v>
      </c>
      <c r="B4814" s="102"/>
      <c r="C4814" s="96" t="s">
        <v>6</v>
      </c>
      <c r="D4814" s="97"/>
    </row>
    <row r="4815" spans="1:4" ht="42.75" customHeight="1" thickBot="1">
      <c r="A4815" s="103"/>
      <c r="B4815" s="104"/>
      <c r="C4815" s="96" t="s">
        <v>21</v>
      </c>
      <c r="D4815" s="97"/>
    </row>
    <row r="4816" spans="1:4" ht="42.75" customHeight="1" thickBot="1">
      <c r="A4816" s="105">
        <f>A4814*A4813</f>
        <v>0</v>
      </c>
      <c r="B4816" s="106"/>
      <c r="C4816" s="96" t="s">
        <v>7</v>
      </c>
      <c r="D4816" s="97"/>
    </row>
    <row r="4817" spans="1:4" ht="42.75" customHeight="1" thickBot="1">
      <c r="A4817" s="107" t="s">
        <v>17</v>
      </c>
      <c r="B4817" s="108"/>
      <c r="C4817" s="108"/>
      <c r="D4817" s="109"/>
    </row>
    <row r="4818" spans="1:4" ht="42.75" customHeight="1" thickBot="1">
      <c r="A4818" s="116" t="s">
        <v>20</v>
      </c>
      <c r="B4818" s="117"/>
      <c r="C4818" s="117"/>
      <c r="D4818" s="118"/>
    </row>
    <row r="4819" spans="1:4" ht="42.75" customHeight="1" thickBot="1">
      <c r="A4819" s="113" t="s">
        <v>18</v>
      </c>
      <c r="B4819" s="114"/>
      <c r="C4819" s="114"/>
      <c r="D4819" s="115"/>
    </row>
    <row r="4820" spans="1:4" ht="42.75" customHeight="1" thickBot="1">
      <c r="A4820" s="119"/>
      <c r="B4820" s="119"/>
      <c r="C4820" s="119"/>
      <c r="D4820" s="119"/>
    </row>
    <row r="4821" spans="1:4" ht="42.75" customHeight="1" thickBot="1">
      <c r="A4821" s="120" t="s">
        <v>19</v>
      </c>
      <c r="B4821" s="121"/>
      <c r="C4821" s="121"/>
      <c r="D4821" s="122"/>
    </row>
    <row r="4822" spans="1:4" ht="42.75" customHeight="1" thickBot="1">
      <c r="A4822" s="123" t="s">
        <v>11</v>
      </c>
      <c r="B4822" s="124"/>
      <c r="C4822" s="125" t="s">
        <v>603</v>
      </c>
      <c r="D4822" s="124"/>
    </row>
    <row r="4823" spans="1:4" ht="42.75" customHeight="1" thickBot="1">
      <c r="A4823" s="1" t="s">
        <v>686</v>
      </c>
      <c r="B4823" s="26" t="s">
        <v>1</v>
      </c>
      <c r="C4823" s="90" t="s">
        <v>166</v>
      </c>
      <c r="D4823" s="91"/>
    </row>
    <row r="4824" spans="1:4" ht="42.75" customHeight="1" thickBot="1">
      <c r="A4824" s="26"/>
      <c r="B4824" s="26" t="s">
        <v>0</v>
      </c>
      <c r="C4824" s="5" t="s">
        <v>687</v>
      </c>
      <c r="D4824" s="4" t="s">
        <v>2</v>
      </c>
    </row>
    <row r="4825" spans="1:4" ht="42.75" customHeight="1" thickBot="1">
      <c r="A4825" s="92">
        <v>428</v>
      </c>
      <c r="B4825" s="93"/>
      <c r="C4825" s="94" t="s">
        <v>3</v>
      </c>
      <c r="D4825" s="95"/>
    </row>
    <row r="4826" spans="1:4" ht="42.75" customHeight="1" thickBot="1">
      <c r="A4826" s="92">
        <v>441</v>
      </c>
      <c r="B4826" s="93"/>
      <c r="C4826" s="96" t="s">
        <v>4</v>
      </c>
      <c r="D4826" s="97"/>
    </row>
    <row r="4827" spans="1:4" ht="42.75" customHeight="1" thickBot="1">
      <c r="A4827" s="98">
        <f>A4826-A4825</f>
        <v>13</v>
      </c>
      <c r="B4827" s="99"/>
      <c r="C4827" s="100" t="s">
        <v>5</v>
      </c>
      <c r="D4827" s="97"/>
    </row>
    <row r="4828" spans="1:4" ht="42.75" customHeight="1" thickBot="1">
      <c r="A4828" s="101">
        <v>62</v>
      </c>
      <c r="B4828" s="102"/>
      <c r="C4828" s="96" t="s">
        <v>6</v>
      </c>
      <c r="D4828" s="97"/>
    </row>
    <row r="4829" spans="1:4" ht="42.75" customHeight="1" thickBot="1">
      <c r="A4829" s="103"/>
      <c r="B4829" s="104"/>
      <c r="C4829" s="96" t="s">
        <v>21</v>
      </c>
      <c r="D4829" s="97"/>
    </row>
    <row r="4830" spans="1:4" ht="42.75" customHeight="1" thickBot="1">
      <c r="A4830" s="105">
        <f>A4828*A4827</f>
        <v>806</v>
      </c>
      <c r="B4830" s="106"/>
      <c r="C4830" s="96" t="s">
        <v>7</v>
      </c>
      <c r="D4830" s="97"/>
    </row>
    <row r="4831" spans="1:4" ht="42.75" customHeight="1" thickBot="1">
      <c r="A4831" s="107" t="s">
        <v>17</v>
      </c>
      <c r="B4831" s="108"/>
      <c r="C4831" s="108"/>
      <c r="D4831" s="109"/>
    </row>
    <row r="4832" spans="1:4" ht="42.75" customHeight="1" thickBot="1">
      <c r="A4832" s="110" t="s">
        <v>20</v>
      </c>
      <c r="B4832" s="111"/>
      <c r="C4832" s="111"/>
      <c r="D4832" s="112"/>
    </row>
    <row r="4833" spans="1:4" ht="42.75" customHeight="1" thickBot="1">
      <c r="A4833" s="113" t="s">
        <v>18</v>
      </c>
      <c r="B4833" s="114"/>
      <c r="C4833" s="114"/>
      <c r="D4833" s="115"/>
    </row>
    <row r="4834" spans="1:4" ht="42.75" customHeight="1" thickBot="1">
      <c r="A4834" s="120" t="s">
        <v>19</v>
      </c>
      <c r="B4834" s="121"/>
      <c r="C4834" s="121"/>
      <c r="D4834" s="122"/>
    </row>
    <row r="4835" spans="1:4" ht="42.75" customHeight="1" thickBot="1">
      <c r="A4835" s="123" t="s">
        <v>11</v>
      </c>
      <c r="B4835" s="124"/>
      <c r="C4835" s="125" t="s">
        <v>603</v>
      </c>
      <c r="D4835" s="124"/>
    </row>
    <row r="4836" spans="1:4" ht="42.75" customHeight="1" thickBot="1">
      <c r="A4836" s="1" t="s">
        <v>686</v>
      </c>
      <c r="B4836" s="26" t="s">
        <v>1</v>
      </c>
      <c r="C4836" s="90" t="s">
        <v>168</v>
      </c>
      <c r="D4836" s="91"/>
    </row>
    <row r="4837" spans="1:4" ht="42.75" customHeight="1" thickBot="1">
      <c r="A4837" s="26"/>
      <c r="B4837" s="26" t="s">
        <v>0</v>
      </c>
      <c r="C4837" s="5" t="s">
        <v>687</v>
      </c>
      <c r="D4837" s="4" t="s">
        <v>2</v>
      </c>
    </row>
    <row r="4838" spans="1:4" ht="42.75" customHeight="1" thickBot="1">
      <c r="A4838" s="92">
        <v>1145</v>
      </c>
      <c r="B4838" s="93"/>
      <c r="C4838" s="94" t="s">
        <v>3</v>
      </c>
      <c r="D4838" s="95"/>
    </row>
    <row r="4839" spans="1:4" ht="42.75" customHeight="1" thickBot="1">
      <c r="A4839" s="92">
        <v>1145</v>
      </c>
      <c r="B4839" s="93"/>
      <c r="C4839" s="96" t="s">
        <v>4</v>
      </c>
      <c r="D4839" s="97"/>
    </row>
    <row r="4840" spans="1:4" ht="42.75" customHeight="1" thickBot="1">
      <c r="A4840" s="98">
        <f>A4839-A4838</f>
        <v>0</v>
      </c>
      <c r="B4840" s="99"/>
      <c r="C4840" s="100" t="s">
        <v>5</v>
      </c>
      <c r="D4840" s="97"/>
    </row>
    <row r="4841" spans="1:4" ht="42.75" customHeight="1" thickBot="1">
      <c r="A4841" s="101">
        <v>62</v>
      </c>
      <c r="B4841" s="102"/>
      <c r="C4841" s="96" t="s">
        <v>6</v>
      </c>
      <c r="D4841" s="97"/>
    </row>
    <row r="4842" spans="1:4" ht="42.75" customHeight="1" thickBot="1">
      <c r="A4842" s="103"/>
      <c r="B4842" s="104"/>
      <c r="C4842" s="96" t="s">
        <v>21</v>
      </c>
      <c r="D4842" s="97"/>
    </row>
    <row r="4843" spans="1:4" ht="42.75" customHeight="1" thickBot="1">
      <c r="A4843" s="105">
        <f>A4841*A4840</f>
        <v>0</v>
      </c>
      <c r="B4843" s="106"/>
      <c r="C4843" s="96" t="s">
        <v>7</v>
      </c>
      <c r="D4843" s="97"/>
    </row>
    <row r="4844" spans="1:4" ht="42.75" customHeight="1" thickBot="1">
      <c r="A4844" s="107" t="s">
        <v>17</v>
      </c>
      <c r="B4844" s="108"/>
      <c r="C4844" s="108"/>
      <c r="D4844" s="109"/>
    </row>
    <row r="4845" spans="1:4" ht="42.75" customHeight="1" thickBot="1">
      <c r="A4845" s="116" t="s">
        <v>20</v>
      </c>
      <c r="B4845" s="117"/>
      <c r="C4845" s="117"/>
      <c r="D4845" s="118"/>
    </row>
    <row r="4846" spans="1:4" ht="42.75" customHeight="1" thickBot="1">
      <c r="A4846" s="113" t="s">
        <v>18</v>
      </c>
      <c r="B4846" s="114"/>
      <c r="C4846" s="114"/>
      <c r="D4846" s="115"/>
    </row>
    <row r="4847" spans="1:4" ht="42.75" customHeight="1" thickBot="1">
      <c r="A4847" s="119"/>
      <c r="B4847" s="119"/>
      <c r="C4847" s="119"/>
      <c r="D4847" s="119"/>
    </row>
    <row r="4848" spans="1:4" ht="42.75" customHeight="1" thickBot="1">
      <c r="A4848" s="120" t="s">
        <v>19</v>
      </c>
      <c r="B4848" s="121"/>
      <c r="C4848" s="121"/>
      <c r="D4848" s="122"/>
    </row>
    <row r="4849" spans="1:4" ht="42.75" customHeight="1" thickBot="1">
      <c r="A4849" s="123" t="s">
        <v>11</v>
      </c>
      <c r="B4849" s="124"/>
      <c r="C4849" s="125" t="s">
        <v>603</v>
      </c>
      <c r="D4849" s="124"/>
    </row>
    <row r="4850" spans="1:4" ht="42.75" customHeight="1" thickBot="1">
      <c r="A4850" s="1" t="s">
        <v>686</v>
      </c>
      <c r="B4850" s="26" t="s">
        <v>1</v>
      </c>
      <c r="C4850" s="90" t="s">
        <v>168</v>
      </c>
      <c r="D4850" s="91"/>
    </row>
    <row r="4851" spans="1:4" ht="42.75" customHeight="1" thickBot="1">
      <c r="A4851" s="26"/>
      <c r="B4851" s="26" t="s">
        <v>0</v>
      </c>
      <c r="C4851" s="5" t="s">
        <v>687</v>
      </c>
      <c r="D4851" s="4" t="s">
        <v>2</v>
      </c>
    </row>
    <row r="4852" spans="1:4" ht="42.75" customHeight="1" thickBot="1">
      <c r="A4852" s="92">
        <v>1135</v>
      </c>
      <c r="B4852" s="93"/>
      <c r="C4852" s="94" t="s">
        <v>3</v>
      </c>
      <c r="D4852" s="95"/>
    </row>
    <row r="4853" spans="1:4" ht="42.75" customHeight="1" thickBot="1">
      <c r="A4853" s="92">
        <v>1145</v>
      </c>
      <c r="B4853" s="93"/>
      <c r="C4853" s="96" t="s">
        <v>4</v>
      </c>
      <c r="D4853" s="97"/>
    </row>
    <row r="4854" spans="1:4" ht="42.75" customHeight="1" thickBot="1">
      <c r="A4854" s="98">
        <f>A4853-A4852</f>
        <v>10</v>
      </c>
      <c r="B4854" s="99"/>
      <c r="C4854" s="100" t="s">
        <v>5</v>
      </c>
      <c r="D4854" s="97"/>
    </row>
    <row r="4855" spans="1:4" ht="42.75" customHeight="1" thickBot="1">
      <c r="A4855" s="101">
        <v>62</v>
      </c>
      <c r="B4855" s="102"/>
      <c r="C4855" s="96" t="s">
        <v>6</v>
      </c>
      <c r="D4855" s="97"/>
    </row>
    <row r="4856" spans="1:4" ht="42.75" customHeight="1" thickBot="1">
      <c r="A4856" s="103"/>
      <c r="B4856" s="104"/>
      <c r="C4856" s="96" t="s">
        <v>21</v>
      </c>
      <c r="D4856" s="97"/>
    </row>
    <row r="4857" spans="1:4" ht="42.75" customHeight="1" thickBot="1">
      <c r="A4857" s="105">
        <v>600</v>
      </c>
      <c r="B4857" s="106"/>
      <c r="C4857" s="96" t="s">
        <v>7</v>
      </c>
      <c r="D4857" s="97"/>
    </row>
    <row r="4858" spans="1:4" ht="42.75" customHeight="1" thickBot="1">
      <c r="A4858" s="107" t="s">
        <v>17</v>
      </c>
      <c r="B4858" s="108"/>
      <c r="C4858" s="108"/>
      <c r="D4858" s="109"/>
    </row>
    <row r="4859" spans="1:4" ht="42.75" customHeight="1" thickBot="1">
      <c r="A4859" s="110" t="s">
        <v>20</v>
      </c>
      <c r="B4859" s="111"/>
      <c r="C4859" s="111"/>
      <c r="D4859" s="112"/>
    </row>
    <row r="4860" spans="1:4" ht="42.75" customHeight="1" thickBot="1">
      <c r="A4860" s="113" t="s">
        <v>18</v>
      </c>
      <c r="B4860" s="114"/>
      <c r="C4860" s="114"/>
      <c r="D4860" s="115"/>
    </row>
    <row r="4861" spans="1:4" ht="42.75" customHeight="1" thickBot="1">
      <c r="A4861" s="120" t="s">
        <v>19</v>
      </c>
      <c r="B4861" s="121"/>
      <c r="C4861" s="121"/>
      <c r="D4861" s="122"/>
    </row>
    <row r="4862" spans="1:4" ht="42.75" customHeight="1" thickBot="1">
      <c r="A4862" s="123" t="s">
        <v>11</v>
      </c>
      <c r="B4862" s="124"/>
      <c r="C4862" s="125" t="s">
        <v>603</v>
      </c>
      <c r="D4862" s="124"/>
    </row>
    <row r="4863" spans="1:4" ht="42.75" customHeight="1" thickBot="1">
      <c r="A4863" s="1" t="s">
        <v>686</v>
      </c>
      <c r="B4863" s="26" t="s">
        <v>1</v>
      </c>
      <c r="C4863" s="90" t="s">
        <v>169</v>
      </c>
      <c r="D4863" s="91"/>
    </row>
    <row r="4864" spans="1:4" ht="42.75" customHeight="1" thickBot="1">
      <c r="A4864" s="26"/>
      <c r="B4864" s="26" t="s">
        <v>0</v>
      </c>
      <c r="C4864" s="5" t="s">
        <v>687</v>
      </c>
      <c r="D4864" s="4" t="s">
        <v>2</v>
      </c>
    </row>
    <row r="4865" spans="1:4" ht="42.75" customHeight="1" thickBot="1">
      <c r="A4865" s="92">
        <v>2272</v>
      </c>
      <c r="B4865" s="93"/>
      <c r="C4865" s="94" t="s">
        <v>3</v>
      </c>
      <c r="D4865" s="95"/>
    </row>
    <row r="4866" spans="1:4" ht="42.75" customHeight="1" thickBot="1">
      <c r="A4866" s="92">
        <v>2272</v>
      </c>
      <c r="B4866" s="93"/>
      <c r="C4866" s="96" t="s">
        <v>4</v>
      </c>
      <c r="D4866" s="97"/>
    </row>
    <row r="4867" spans="1:4" ht="42.75" customHeight="1" thickBot="1">
      <c r="A4867" s="98">
        <f>A4866-A4865</f>
        <v>0</v>
      </c>
      <c r="B4867" s="99"/>
      <c r="C4867" s="100" t="s">
        <v>5</v>
      </c>
      <c r="D4867" s="97"/>
    </row>
    <row r="4868" spans="1:4" ht="42.75" customHeight="1" thickBot="1">
      <c r="A4868" s="101">
        <v>30</v>
      </c>
      <c r="B4868" s="102"/>
      <c r="C4868" s="96" t="s">
        <v>6</v>
      </c>
      <c r="D4868" s="97"/>
    </row>
    <row r="4869" spans="1:4" ht="42.75" customHeight="1" thickBot="1">
      <c r="A4869" s="103"/>
      <c r="B4869" s="104"/>
      <c r="C4869" s="96" t="s">
        <v>21</v>
      </c>
      <c r="D4869" s="97"/>
    </row>
    <row r="4870" spans="1:4" ht="42.75" customHeight="1" thickBot="1">
      <c r="A4870" s="105">
        <f>A4868*A4867</f>
        <v>0</v>
      </c>
      <c r="B4870" s="106"/>
      <c r="C4870" s="96" t="s">
        <v>7</v>
      </c>
      <c r="D4870" s="97"/>
    </row>
    <row r="4871" spans="1:4" ht="42.75" customHeight="1" thickBot="1">
      <c r="A4871" s="107" t="s">
        <v>17</v>
      </c>
      <c r="B4871" s="108"/>
      <c r="C4871" s="108"/>
      <c r="D4871" s="109"/>
    </row>
    <row r="4872" spans="1:4" ht="42.75" customHeight="1" thickBot="1">
      <c r="A4872" s="116" t="s">
        <v>20</v>
      </c>
      <c r="B4872" s="117"/>
      <c r="C4872" s="117"/>
      <c r="D4872" s="118"/>
    </row>
    <row r="4873" spans="1:4" ht="42.75" customHeight="1" thickBot="1">
      <c r="A4873" s="113" t="s">
        <v>18</v>
      </c>
      <c r="B4873" s="114"/>
      <c r="C4873" s="114"/>
      <c r="D4873" s="115"/>
    </row>
    <row r="4874" spans="1:4" ht="42.75" customHeight="1" thickBot="1">
      <c r="A4874" s="119"/>
      <c r="B4874" s="119"/>
      <c r="C4874" s="119"/>
      <c r="D4874" s="119"/>
    </row>
    <row r="4875" spans="1:4" ht="42.75" customHeight="1" thickBot="1">
      <c r="A4875" s="120" t="s">
        <v>19</v>
      </c>
      <c r="B4875" s="121"/>
      <c r="C4875" s="121"/>
      <c r="D4875" s="122"/>
    </row>
    <row r="4876" spans="1:4" ht="42.75" customHeight="1" thickBot="1">
      <c r="A4876" s="123" t="s">
        <v>11</v>
      </c>
      <c r="B4876" s="124"/>
      <c r="C4876" s="125" t="s">
        <v>603</v>
      </c>
      <c r="D4876" s="124"/>
    </row>
    <row r="4877" spans="1:4" ht="42.75" customHeight="1" thickBot="1">
      <c r="A4877" s="1" t="s">
        <v>686</v>
      </c>
      <c r="B4877" s="26" t="s">
        <v>1</v>
      </c>
      <c r="C4877" s="90" t="s">
        <v>169</v>
      </c>
      <c r="D4877" s="91"/>
    </row>
    <row r="4878" spans="1:4" ht="42.75" customHeight="1" thickBot="1">
      <c r="A4878" s="26"/>
      <c r="B4878" s="26" t="s">
        <v>0</v>
      </c>
      <c r="C4878" s="5" t="s">
        <v>687</v>
      </c>
      <c r="D4878" s="4" t="s">
        <v>2</v>
      </c>
    </row>
    <row r="4879" spans="1:4" ht="42.75" customHeight="1" thickBot="1">
      <c r="A4879" s="92">
        <v>1787</v>
      </c>
      <c r="B4879" s="93"/>
      <c r="C4879" s="94" t="s">
        <v>3</v>
      </c>
      <c r="D4879" s="95"/>
    </row>
    <row r="4880" spans="1:4" ht="42.75" customHeight="1" thickBot="1">
      <c r="A4880" s="92">
        <v>2272</v>
      </c>
      <c r="B4880" s="93"/>
      <c r="C4880" s="96" t="s">
        <v>4</v>
      </c>
      <c r="D4880" s="97"/>
    </row>
    <row r="4881" spans="1:4" ht="42.75" customHeight="1" thickBot="1">
      <c r="A4881" s="98">
        <f>A4880-A4879</f>
        <v>485</v>
      </c>
      <c r="B4881" s="99"/>
      <c r="C4881" s="100" t="s">
        <v>5</v>
      </c>
      <c r="D4881" s="97"/>
    </row>
    <row r="4882" spans="1:4" ht="42.75" customHeight="1" thickBot="1">
      <c r="A4882" s="101">
        <v>35</v>
      </c>
      <c r="B4882" s="102"/>
      <c r="C4882" s="96" t="s">
        <v>6</v>
      </c>
      <c r="D4882" s="97"/>
    </row>
    <row r="4883" spans="1:4" ht="42.75" customHeight="1" thickBot="1">
      <c r="A4883" s="103"/>
      <c r="B4883" s="104"/>
      <c r="C4883" s="96" t="s">
        <v>21</v>
      </c>
      <c r="D4883" s="97"/>
    </row>
    <row r="4884" spans="1:4" ht="42.75" customHeight="1" thickBot="1">
      <c r="A4884" s="105">
        <f>A4882*A4881</f>
        <v>16975</v>
      </c>
      <c r="B4884" s="106"/>
      <c r="C4884" s="96" t="s">
        <v>7</v>
      </c>
      <c r="D4884" s="97"/>
    </row>
    <row r="4885" spans="1:4" ht="42.75" customHeight="1" thickBot="1">
      <c r="A4885" s="107" t="s">
        <v>17</v>
      </c>
      <c r="B4885" s="108"/>
      <c r="C4885" s="108"/>
      <c r="D4885" s="109"/>
    </row>
    <row r="4886" spans="1:4" ht="42.75" customHeight="1" thickBot="1">
      <c r="A4886" s="110" t="s">
        <v>20</v>
      </c>
      <c r="B4886" s="111"/>
      <c r="C4886" s="111"/>
      <c r="D4886" s="112"/>
    </row>
    <row r="4887" spans="1:4" ht="42.75" customHeight="1" thickBot="1">
      <c r="A4887" s="113" t="s">
        <v>18</v>
      </c>
      <c r="B4887" s="114"/>
      <c r="C4887" s="114"/>
      <c r="D4887" s="115"/>
    </row>
    <row r="4888" spans="1:4" ht="42.75" customHeight="1" thickBot="1">
      <c r="A4888" s="120" t="s">
        <v>19</v>
      </c>
      <c r="B4888" s="121"/>
      <c r="C4888" s="121"/>
      <c r="D4888" s="122"/>
    </row>
    <row r="4889" spans="1:4" ht="42.75" customHeight="1" thickBot="1">
      <c r="A4889" s="123" t="s">
        <v>11</v>
      </c>
      <c r="B4889" s="124"/>
      <c r="C4889" s="125" t="s">
        <v>603</v>
      </c>
      <c r="D4889" s="124"/>
    </row>
    <row r="4890" spans="1:4" ht="42.75" customHeight="1" thickBot="1">
      <c r="A4890" s="1" t="s">
        <v>686</v>
      </c>
      <c r="B4890" s="26" t="s">
        <v>1</v>
      </c>
      <c r="C4890" s="90" t="s">
        <v>170</v>
      </c>
      <c r="D4890" s="91"/>
    </row>
    <row r="4891" spans="1:4" ht="42.75" customHeight="1" thickBot="1">
      <c r="A4891" s="26"/>
      <c r="B4891" s="26" t="s">
        <v>0</v>
      </c>
      <c r="C4891" s="5" t="s">
        <v>687</v>
      </c>
      <c r="D4891" s="4" t="s">
        <v>2</v>
      </c>
    </row>
    <row r="4892" spans="1:4" ht="42.75" customHeight="1" thickBot="1">
      <c r="A4892" s="92">
        <v>6840</v>
      </c>
      <c r="B4892" s="93"/>
      <c r="C4892" s="94" t="s">
        <v>3</v>
      </c>
      <c r="D4892" s="95"/>
    </row>
    <row r="4893" spans="1:4" ht="42.75" customHeight="1" thickBot="1">
      <c r="A4893" s="92">
        <v>6840</v>
      </c>
      <c r="B4893" s="93"/>
      <c r="C4893" s="96" t="s">
        <v>4</v>
      </c>
      <c r="D4893" s="97"/>
    </row>
    <row r="4894" spans="1:4" ht="42.75" customHeight="1" thickBot="1">
      <c r="A4894" s="98">
        <f>A4893-A4892</f>
        <v>0</v>
      </c>
      <c r="B4894" s="99"/>
      <c r="C4894" s="100" t="s">
        <v>5</v>
      </c>
      <c r="D4894" s="97"/>
    </row>
    <row r="4895" spans="1:4" ht="42.75" customHeight="1" thickBot="1">
      <c r="A4895" s="101">
        <v>62</v>
      </c>
      <c r="B4895" s="102"/>
      <c r="C4895" s="96" t="s">
        <v>6</v>
      </c>
      <c r="D4895" s="97"/>
    </row>
    <row r="4896" spans="1:4" ht="42.75" customHeight="1" thickBot="1">
      <c r="A4896" s="103"/>
      <c r="B4896" s="104"/>
      <c r="C4896" s="96" t="s">
        <v>21</v>
      </c>
      <c r="D4896" s="97"/>
    </row>
    <row r="4897" spans="1:4" ht="42.75" customHeight="1" thickBot="1">
      <c r="A4897" s="105">
        <f>A4895*A4894</f>
        <v>0</v>
      </c>
      <c r="B4897" s="106"/>
      <c r="C4897" s="96" t="s">
        <v>7</v>
      </c>
      <c r="D4897" s="97"/>
    </row>
    <row r="4898" spans="1:4" ht="42.75" customHeight="1" thickBot="1">
      <c r="A4898" s="107" t="s">
        <v>17</v>
      </c>
      <c r="B4898" s="108"/>
      <c r="C4898" s="108"/>
      <c r="D4898" s="109"/>
    </row>
    <row r="4899" spans="1:4" ht="42.75" customHeight="1" thickBot="1">
      <c r="A4899" s="116" t="s">
        <v>20</v>
      </c>
      <c r="B4899" s="117"/>
      <c r="C4899" s="117"/>
      <c r="D4899" s="118"/>
    </row>
    <row r="4900" spans="1:4" ht="42.75" customHeight="1" thickBot="1">
      <c r="A4900" s="113" t="s">
        <v>18</v>
      </c>
      <c r="B4900" s="114"/>
      <c r="C4900" s="114"/>
      <c r="D4900" s="115"/>
    </row>
    <row r="4901" spans="1:4" ht="42.75" customHeight="1" thickBot="1">
      <c r="A4901" s="119"/>
      <c r="B4901" s="119"/>
      <c r="C4901" s="119"/>
      <c r="D4901" s="119"/>
    </row>
    <row r="4902" spans="1:4" ht="42.75" customHeight="1" thickBot="1">
      <c r="A4902" s="120" t="s">
        <v>19</v>
      </c>
      <c r="B4902" s="121"/>
      <c r="C4902" s="121"/>
      <c r="D4902" s="122"/>
    </row>
    <row r="4903" spans="1:4" ht="42.75" customHeight="1" thickBot="1">
      <c r="A4903" s="123" t="s">
        <v>11</v>
      </c>
      <c r="B4903" s="124"/>
      <c r="C4903" s="125" t="s">
        <v>603</v>
      </c>
      <c r="D4903" s="124"/>
    </row>
    <row r="4904" spans="1:4" ht="42.75" customHeight="1" thickBot="1">
      <c r="A4904" s="1" t="s">
        <v>686</v>
      </c>
      <c r="B4904" s="26" t="s">
        <v>1</v>
      </c>
      <c r="C4904" s="90" t="s">
        <v>170</v>
      </c>
      <c r="D4904" s="91"/>
    </row>
    <row r="4905" spans="1:4" ht="42.75" customHeight="1" thickBot="1">
      <c r="A4905" s="26"/>
      <c r="B4905" s="26" t="s">
        <v>0</v>
      </c>
      <c r="C4905" s="5" t="s">
        <v>687</v>
      </c>
      <c r="D4905" s="4" t="s">
        <v>2</v>
      </c>
    </row>
    <row r="4906" spans="1:4" ht="42.75" customHeight="1" thickBot="1">
      <c r="A4906" s="92">
        <v>6765</v>
      </c>
      <c r="B4906" s="93"/>
      <c r="C4906" s="94" t="s">
        <v>3</v>
      </c>
      <c r="D4906" s="95"/>
    </row>
    <row r="4907" spans="1:4" ht="42.75" customHeight="1" thickBot="1">
      <c r="A4907" s="92">
        <v>6840</v>
      </c>
      <c r="B4907" s="93"/>
      <c r="C4907" s="96" t="s">
        <v>4</v>
      </c>
      <c r="D4907" s="97"/>
    </row>
    <row r="4908" spans="1:4" ht="42.75" customHeight="1" thickBot="1">
      <c r="A4908" s="98">
        <f>A4907-A4906</f>
        <v>75</v>
      </c>
      <c r="B4908" s="99"/>
      <c r="C4908" s="100" t="s">
        <v>5</v>
      </c>
      <c r="D4908" s="97"/>
    </row>
    <row r="4909" spans="1:4" ht="42.75" customHeight="1" thickBot="1">
      <c r="A4909" s="101">
        <v>62</v>
      </c>
      <c r="B4909" s="102"/>
      <c r="C4909" s="96" t="s">
        <v>6</v>
      </c>
      <c r="D4909" s="97"/>
    </row>
    <row r="4910" spans="1:4" ht="42.75" customHeight="1" thickBot="1">
      <c r="A4910" s="103"/>
      <c r="B4910" s="104"/>
      <c r="C4910" s="96" t="s">
        <v>21</v>
      </c>
      <c r="D4910" s="97"/>
    </row>
    <row r="4911" spans="1:4" ht="42.75" customHeight="1" thickBot="1">
      <c r="A4911" s="105">
        <f>A4909*A4908</f>
        <v>4650</v>
      </c>
      <c r="B4911" s="106"/>
      <c r="C4911" s="96" t="s">
        <v>7</v>
      </c>
      <c r="D4911" s="97"/>
    </row>
    <row r="4912" spans="1:4" ht="42.75" customHeight="1" thickBot="1">
      <c r="A4912" s="107" t="s">
        <v>17</v>
      </c>
      <c r="B4912" s="108"/>
      <c r="C4912" s="108"/>
      <c r="D4912" s="109"/>
    </row>
    <row r="4913" spans="1:4" ht="42.75" customHeight="1" thickBot="1">
      <c r="A4913" s="110" t="s">
        <v>20</v>
      </c>
      <c r="B4913" s="111"/>
      <c r="C4913" s="111"/>
      <c r="D4913" s="112"/>
    </row>
    <row r="4914" spans="1:4" ht="42.75" customHeight="1" thickBot="1">
      <c r="A4914" s="113" t="s">
        <v>18</v>
      </c>
      <c r="B4914" s="114"/>
      <c r="C4914" s="114"/>
      <c r="D4914" s="115"/>
    </row>
    <row r="4915" spans="1:4" ht="42.75" customHeight="1" thickBot="1">
      <c r="A4915" s="120" t="s">
        <v>19</v>
      </c>
      <c r="B4915" s="121"/>
      <c r="C4915" s="121"/>
      <c r="D4915" s="122"/>
    </row>
    <row r="4916" spans="1:4" ht="42.75" customHeight="1" thickBot="1">
      <c r="A4916" s="123" t="s">
        <v>11</v>
      </c>
      <c r="B4916" s="124"/>
      <c r="C4916" s="125" t="s">
        <v>603</v>
      </c>
      <c r="D4916" s="124"/>
    </row>
    <row r="4917" spans="1:4" ht="42.75" customHeight="1" thickBot="1">
      <c r="A4917" s="1" t="s">
        <v>686</v>
      </c>
      <c r="B4917" s="26" t="s">
        <v>1</v>
      </c>
      <c r="C4917" s="90" t="s">
        <v>171</v>
      </c>
      <c r="D4917" s="91"/>
    </row>
    <row r="4918" spans="1:4" ht="42.75" customHeight="1" thickBot="1">
      <c r="A4918" s="26"/>
      <c r="B4918" s="26" t="s">
        <v>0</v>
      </c>
      <c r="C4918" s="5" t="s">
        <v>687</v>
      </c>
      <c r="D4918" s="4" t="s">
        <v>2</v>
      </c>
    </row>
    <row r="4919" spans="1:4" ht="42.75" customHeight="1" thickBot="1">
      <c r="A4919" s="92">
        <v>3195</v>
      </c>
      <c r="B4919" s="93"/>
      <c r="C4919" s="94" t="s">
        <v>3</v>
      </c>
      <c r="D4919" s="95"/>
    </row>
    <row r="4920" spans="1:4" ht="42.75" customHeight="1" thickBot="1">
      <c r="A4920" s="92">
        <v>3195</v>
      </c>
      <c r="B4920" s="93"/>
      <c r="C4920" s="96" t="s">
        <v>4</v>
      </c>
      <c r="D4920" s="97"/>
    </row>
    <row r="4921" spans="1:4" ht="42.75" customHeight="1" thickBot="1">
      <c r="A4921" s="98">
        <f>A4920-A4919</f>
        <v>0</v>
      </c>
      <c r="B4921" s="99"/>
      <c r="C4921" s="100" t="s">
        <v>5</v>
      </c>
      <c r="D4921" s="97"/>
    </row>
    <row r="4922" spans="1:4" ht="42.75" customHeight="1" thickBot="1">
      <c r="A4922" s="101">
        <v>62</v>
      </c>
      <c r="B4922" s="102"/>
      <c r="C4922" s="96" t="s">
        <v>6</v>
      </c>
      <c r="D4922" s="97"/>
    </row>
    <row r="4923" spans="1:4" ht="42.75" customHeight="1" thickBot="1">
      <c r="A4923" s="103"/>
      <c r="B4923" s="104"/>
      <c r="C4923" s="96" t="s">
        <v>21</v>
      </c>
      <c r="D4923" s="97"/>
    </row>
    <row r="4924" spans="1:4" ht="42.75" customHeight="1" thickBot="1">
      <c r="A4924" s="105">
        <f>A4922*A4921</f>
        <v>0</v>
      </c>
      <c r="B4924" s="106"/>
      <c r="C4924" s="96" t="s">
        <v>7</v>
      </c>
      <c r="D4924" s="97"/>
    </row>
    <row r="4925" spans="1:4" ht="42.75" customHeight="1" thickBot="1">
      <c r="A4925" s="107" t="s">
        <v>17</v>
      </c>
      <c r="B4925" s="108"/>
      <c r="C4925" s="108"/>
      <c r="D4925" s="109"/>
    </row>
    <row r="4926" spans="1:4" ht="42.75" customHeight="1" thickBot="1">
      <c r="A4926" s="116" t="s">
        <v>20</v>
      </c>
      <c r="B4926" s="117"/>
      <c r="C4926" s="117"/>
      <c r="D4926" s="118"/>
    </row>
    <row r="4927" spans="1:4" ht="42.75" customHeight="1" thickBot="1">
      <c r="A4927" s="113" t="s">
        <v>18</v>
      </c>
      <c r="B4927" s="114"/>
      <c r="C4927" s="114"/>
      <c r="D4927" s="115"/>
    </row>
    <row r="4928" spans="1:4" ht="42.75" customHeight="1" thickBot="1">
      <c r="A4928" s="119"/>
      <c r="B4928" s="119"/>
      <c r="C4928" s="119"/>
      <c r="D4928" s="119"/>
    </row>
    <row r="4929" spans="1:4" ht="42.75" customHeight="1" thickBot="1">
      <c r="A4929" s="120" t="s">
        <v>19</v>
      </c>
      <c r="B4929" s="121"/>
      <c r="C4929" s="121"/>
      <c r="D4929" s="122"/>
    </row>
    <row r="4930" spans="1:4" ht="42.75" customHeight="1" thickBot="1">
      <c r="A4930" s="123" t="s">
        <v>11</v>
      </c>
      <c r="B4930" s="124"/>
      <c r="C4930" s="125" t="s">
        <v>603</v>
      </c>
      <c r="D4930" s="124"/>
    </row>
    <row r="4931" spans="1:4" ht="42.75" customHeight="1" thickBot="1">
      <c r="A4931" s="1" t="s">
        <v>686</v>
      </c>
      <c r="B4931" s="26" t="s">
        <v>1</v>
      </c>
      <c r="C4931" s="90" t="s">
        <v>171</v>
      </c>
      <c r="D4931" s="91"/>
    </row>
    <row r="4932" spans="1:4" ht="42.75" customHeight="1" thickBot="1">
      <c r="A4932" s="26"/>
      <c r="B4932" s="26" t="s">
        <v>0</v>
      </c>
      <c r="C4932" s="5" t="s">
        <v>687</v>
      </c>
      <c r="D4932" s="4" t="s">
        <v>2</v>
      </c>
    </row>
    <row r="4933" spans="1:4" ht="42.75" customHeight="1" thickBot="1">
      <c r="A4933" s="92">
        <v>3140</v>
      </c>
      <c r="B4933" s="93"/>
      <c r="C4933" s="94" t="s">
        <v>3</v>
      </c>
      <c r="D4933" s="95"/>
    </row>
    <row r="4934" spans="1:4" ht="42.75" customHeight="1" thickBot="1">
      <c r="A4934" s="92">
        <v>3195</v>
      </c>
      <c r="B4934" s="93"/>
      <c r="C4934" s="96" t="s">
        <v>4</v>
      </c>
      <c r="D4934" s="97"/>
    </row>
    <row r="4935" spans="1:4" ht="42.75" customHeight="1" thickBot="1">
      <c r="A4935" s="98">
        <f>A4934-A4933</f>
        <v>55</v>
      </c>
      <c r="B4935" s="99"/>
      <c r="C4935" s="100" t="s">
        <v>5</v>
      </c>
      <c r="D4935" s="97"/>
    </row>
    <row r="4936" spans="1:4" ht="42.75" customHeight="1" thickBot="1">
      <c r="A4936" s="101">
        <v>62</v>
      </c>
      <c r="B4936" s="102"/>
      <c r="C4936" s="96" t="s">
        <v>6</v>
      </c>
      <c r="D4936" s="97"/>
    </row>
    <row r="4937" spans="1:4" ht="42.75" customHeight="1" thickBot="1">
      <c r="A4937" s="103"/>
      <c r="B4937" s="104"/>
      <c r="C4937" s="96" t="s">
        <v>21</v>
      </c>
      <c r="D4937" s="97"/>
    </row>
    <row r="4938" spans="1:4" ht="42.75" customHeight="1" thickBot="1">
      <c r="A4938" s="105">
        <f>A4936*A4935</f>
        <v>3410</v>
      </c>
      <c r="B4938" s="106"/>
      <c r="C4938" s="96" t="s">
        <v>7</v>
      </c>
      <c r="D4938" s="97"/>
    </row>
    <row r="4939" spans="1:4" ht="42.75" customHeight="1" thickBot="1">
      <c r="A4939" s="107" t="s">
        <v>17</v>
      </c>
      <c r="B4939" s="108"/>
      <c r="C4939" s="108"/>
      <c r="D4939" s="109"/>
    </row>
    <row r="4940" spans="1:4" ht="42.75" customHeight="1" thickBot="1">
      <c r="A4940" s="110" t="s">
        <v>20</v>
      </c>
      <c r="B4940" s="111"/>
      <c r="C4940" s="111"/>
      <c r="D4940" s="112"/>
    </row>
    <row r="4941" spans="1:4" ht="42.75" customHeight="1" thickBot="1">
      <c r="A4941" s="113" t="s">
        <v>18</v>
      </c>
      <c r="B4941" s="114"/>
      <c r="C4941" s="114"/>
      <c r="D4941" s="115"/>
    </row>
    <row r="4942" spans="1:4" ht="42.75" customHeight="1" thickBot="1">
      <c r="A4942" s="120" t="s">
        <v>19</v>
      </c>
      <c r="B4942" s="121"/>
      <c r="C4942" s="121"/>
      <c r="D4942" s="122"/>
    </row>
    <row r="4943" spans="1:4" ht="42.75" customHeight="1" thickBot="1">
      <c r="A4943" s="123" t="s">
        <v>11</v>
      </c>
      <c r="B4943" s="124"/>
      <c r="C4943" s="125" t="s">
        <v>603</v>
      </c>
      <c r="D4943" s="124"/>
    </row>
    <row r="4944" spans="1:4" ht="42.75" customHeight="1" thickBot="1">
      <c r="A4944" s="1" t="s">
        <v>686</v>
      </c>
      <c r="B4944" s="26" t="s">
        <v>1</v>
      </c>
      <c r="C4944" s="90" t="s">
        <v>172</v>
      </c>
      <c r="D4944" s="91"/>
    </row>
    <row r="4945" spans="1:4" ht="42.75" customHeight="1" thickBot="1">
      <c r="A4945" s="26"/>
      <c r="B4945" s="26" t="s">
        <v>0</v>
      </c>
      <c r="C4945" s="5" t="s">
        <v>687</v>
      </c>
      <c r="D4945" s="4" t="s">
        <v>2</v>
      </c>
    </row>
    <row r="4946" spans="1:4" ht="42.75" customHeight="1" thickBot="1">
      <c r="A4946" s="92">
        <v>6995</v>
      </c>
      <c r="B4946" s="93"/>
      <c r="C4946" s="94" t="s">
        <v>3</v>
      </c>
      <c r="D4946" s="95"/>
    </row>
    <row r="4947" spans="1:4" ht="42.75" customHeight="1" thickBot="1">
      <c r="A4947" s="92">
        <v>6995</v>
      </c>
      <c r="B4947" s="93"/>
      <c r="C4947" s="96" t="s">
        <v>4</v>
      </c>
      <c r="D4947" s="97"/>
    </row>
    <row r="4948" spans="1:4" ht="42.75" customHeight="1" thickBot="1">
      <c r="A4948" s="98">
        <f>A4947-A4946</f>
        <v>0</v>
      </c>
      <c r="B4948" s="99"/>
      <c r="C4948" s="100" t="s">
        <v>5</v>
      </c>
      <c r="D4948" s="97"/>
    </row>
    <row r="4949" spans="1:4" ht="42.75" customHeight="1" thickBot="1">
      <c r="A4949" s="101">
        <v>62</v>
      </c>
      <c r="B4949" s="102"/>
      <c r="C4949" s="96" t="s">
        <v>6</v>
      </c>
      <c r="D4949" s="97"/>
    </row>
    <row r="4950" spans="1:4" ht="42.75" customHeight="1" thickBot="1">
      <c r="A4950" s="103"/>
      <c r="B4950" s="104"/>
      <c r="C4950" s="96" t="s">
        <v>21</v>
      </c>
      <c r="D4950" s="97"/>
    </row>
    <row r="4951" spans="1:4" ht="42.75" customHeight="1" thickBot="1">
      <c r="A4951" s="105">
        <f>A4949*A4948</f>
        <v>0</v>
      </c>
      <c r="B4951" s="106"/>
      <c r="C4951" s="96" t="s">
        <v>7</v>
      </c>
      <c r="D4951" s="97"/>
    </row>
    <row r="4952" spans="1:4" ht="42.75" customHeight="1" thickBot="1">
      <c r="A4952" s="107" t="s">
        <v>17</v>
      </c>
      <c r="B4952" s="108"/>
      <c r="C4952" s="108"/>
      <c r="D4952" s="109"/>
    </row>
    <row r="4953" spans="1:4" ht="42.75" customHeight="1" thickBot="1">
      <c r="A4953" s="116" t="s">
        <v>20</v>
      </c>
      <c r="B4953" s="117"/>
      <c r="C4953" s="117"/>
      <c r="D4953" s="118"/>
    </row>
    <row r="4954" spans="1:4" ht="42.75" customHeight="1" thickBot="1">
      <c r="A4954" s="113" t="s">
        <v>18</v>
      </c>
      <c r="B4954" s="114"/>
      <c r="C4954" s="114"/>
      <c r="D4954" s="115"/>
    </row>
    <row r="4955" spans="1:4" ht="42.75" customHeight="1" thickBot="1">
      <c r="A4955" s="119"/>
      <c r="B4955" s="119"/>
      <c r="C4955" s="119"/>
      <c r="D4955" s="119"/>
    </row>
    <row r="4956" spans="1:4" ht="42.75" customHeight="1" thickBot="1">
      <c r="A4956" s="120" t="s">
        <v>19</v>
      </c>
      <c r="B4956" s="121"/>
      <c r="C4956" s="121"/>
      <c r="D4956" s="122"/>
    </row>
    <row r="4957" spans="1:4" ht="42.75" customHeight="1" thickBot="1">
      <c r="A4957" s="123" t="s">
        <v>11</v>
      </c>
      <c r="B4957" s="124"/>
      <c r="C4957" s="125" t="s">
        <v>603</v>
      </c>
      <c r="D4957" s="124"/>
    </row>
    <row r="4958" spans="1:4" ht="42.75" customHeight="1" thickBot="1">
      <c r="A4958" s="1" t="s">
        <v>686</v>
      </c>
      <c r="B4958" s="26" t="s">
        <v>1</v>
      </c>
      <c r="C4958" s="90" t="s">
        <v>172</v>
      </c>
      <c r="D4958" s="91"/>
    </row>
    <row r="4959" spans="1:4" ht="42.75" customHeight="1" thickBot="1">
      <c r="A4959" s="26"/>
      <c r="B4959" s="26" t="s">
        <v>0</v>
      </c>
      <c r="C4959" s="5" t="s">
        <v>687</v>
      </c>
      <c r="D4959" s="4" t="s">
        <v>2</v>
      </c>
    </row>
    <row r="4960" spans="1:4" ht="42.75" customHeight="1" thickBot="1">
      <c r="A4960" s="92">
        <v>6945</v>
      </c>
      <c r="B4960" s="93"/>
      <c r="C4960" s="94" t="s">
        <v>3</v>
      </c>
      <c r="D4960" s="95"/>
    </row>
    <row r="4961" spans="1:4" ht="42.75" customHeight="1" thickBot="1">
      <c r="A4961" s="92">
        <v>6995</v>
      </c>
      <c r="B4961" s="93"/>
      <c r="C4961" s="96" t="s">
        <v>4</v>
      </c>
      <c r="D4961" s="97"/>
    </row>
    <row r="4962" spans="1:4" ht="42.75" customHeight="1" thickBot="1">
      <c r="A4962" s="98">
        <f>A4961-A4960</f>
        <v>50</v>
      </c>
      <c r="B4962" s="99"/>
      <c r="C4962" s="100" t="s">
        <v>5</v>
      </c>
      <c r="D4962" s="97"/>
    </row>
    <row r="4963" spans="1:4" ht="42.75" customHeight="1" thickBot="1">
      <c r="A4963" s="101">
        <v>62</v>
      </c>
      <c r="B4963" s="102"/>
      <c r="C4963" s="96" t="s">
        <v>6</v>
      </c>
      <c r="D4963" s="97"/>
    </row>
    <row r="4964" spans="1:4" ht="42.75" customHeight="1" thickBot="1">
      <c r="A4964" s="103"/>
      <c r="B4964" s="104"/>
      <c r="C4964" s="96" t="s">
        <v>21</v>
      </c>
      <c r="D4964" s="97"/>
    </row>
    <row r="4965" spans="1:4" ht="42.75" customHeight="1" thickBot="1">
      <c r="A4965" s="105">
        <f>A4963*A4962</f>
        <v>3100</v>
      </c>
      <c r="B4965" s="106"/>
      <c r="C4965" s="96" t="s">
        <v>7</v>
      </c>
      <c r="D4965" s="97"/>
    </row>
    <row r="4966" spans="1:4" ht="42.75" customHeight="1" thickBot="1">
      <c r="A4966" s="107" t="s">
        <v>17</v>
      </c>
      <c r="B4966" s="108"/>
      <c r="C4966" s="108"/>
      <c r="D4966" s="109"/>
    </row>
    <row r="4967" spans="1:4" ht="42.75" customHeight="1" thickBot="1">
      <c r="A4967" s="110" t="s">
        <v>20</v>
      </c>
      <c r="B4967" s="111"/>
      <c r="C4967" s="111"/>
      <c r="D4967" s="112"/>
    </row>
    <row r="4968" spans="1:4" ht="42.75" customHeight="1" thickBot="1">
      <c r="A4968" s="113" t="s">
        <v>18</v>
      </c>
      <c r="B4968" s="114"/>
      <c r="C4968" s="114"/>
      <c r="D4968" s="115"/>
    </row>
    <row r="4969" spans="1:4" ht="42.75" customHeight="1" thickBot="1">
      <c r="A4969" s="120" t="s">
        <v>19</v>
      </c>
      <c r="B4969" s="121"/>
      <c r="C4969" s="121"/>
      <c r="D4969" s="122"/>
    </row>
    <row r="4970" spans="1:4" ht="42.75" customHeight="1" thickBot="1">
      <c r="A4970" s="123" t="s">
        <v>11</v>
      </c>
      <c r="B4970" s="124"/>
      <c r="C4970" s="125" t="s">
        <v>603</v>
      </c>
      <c r="D4970" s="124"/>
    </row>
    <row r="4971" spans="1:4" ht="42.75" customHeight="1" thickBot="1">
      <c r="A4971" s="1" t="s">
        <v>686</v>
      </c>
      <c r="B4971" s="26" t="s">
        <v>1</v>
      </c>
      <c r="C4971" s="90" t="s">
        <v>173</v>
      </c>
      <c r="D4971" s="91"/>
    </row>
    <row r="4972" spans="1:4" ht="42.75" customHeight="1" thickBot="1">
      <c r="A4972" s="26"/>
      <c r="B4972" s="26" t="s">
        <v>0</v>
      </c>
      <c r="C4972" s="5" t="s">
        <v>687</v>
      </c>
      <c r="D4972" s="4" t="s">
        <v>2</v>
      </c>
    </row>
    <row r="4973" spans="1:4" ht="42.75" customHeight="1" thickBot="1">
      <c r="A4973" s="92">
        <v>7970</v>
      </c>
      <c r="B4973" s="93"/>
      <c r="C4973" s="94" t="s">
        <v>3</v>
      </c>
      <c r="D4973" s="95"/>
    </row>
    <row r="4974" spans="1:4" ht="42.75" customHeight="1" thickBot="1">
      <c r="A4974" s="92">
        <v>7970</v>
      </c>
      <c r="B4974" s="93"/>
      <c r="C4974" s="96" t="s">
        <v>4</v>
      </c>
      <c r="D4974" s="97"/>
    </row>
    <row r="4975" spans="1:4" ht="42.75" customHeight="1" thickBot="1">
      <c r="A4975" s="98">
        <f>A4974-A4973</f>
        <v>0</v>
      </c>
      <c r="B4975" s="99"/>
      <c r="C4975" s="100" t="s">
        <v>5</v>
      </c>
      <c r="D4975" s="97"/>
    </row>
    <row r="4976" spans="1:4" ht="42.75" customHeight="1" thickBot="1">
      <c r="A4976" s="101">
        <v>62</v>
      </c>
      <c r="B4976" s="102"/>
      <c r="C4976" s="96" t="s">
        <v>6</v>
      </c>
      <c r="D4976" s="97"/>
    </row>
    <row r="4977" spans="1:4" ht="42.75" customHeight="1" thickBot="1">
      <c r="A4977" s="103"/>
      <c r="B4977" s="104"/>
      <c r="C4977" s="96" t="s">
        <v>21</v>
      </c>
      <c r="D4977" s="97"/>
    </row>
    <row r="4978" spans="1:4" ht="42.75" customHeight="1" thickBot="1">
      <c r="A4978" s="105">
        <f>A4976*A4975</f>
        <v>0</v>
      </c>
      <c r="B4978" s="106"/>
      <c r="C4978" s="96" t="s">
        <v>7</v>
      </c>
      <c r="D4978" s="97"/>
    </row>
    <row r="4979" spans="1:4" ht="42.75" customHeight="1" thickBot="1">
      <c r="A4979" s="107" t="s">
        <v>17</v>
      </c>
      <c r="B4979" s="108"/>
      <c r="C4979" s="108"/>
      <c r="D4979" s="109"/>
    </row>
    <row r="4980" spans="1:4" ht="42.75" customHeight="1" thickBot="1">
      <c r="A4980" s="116" t="s">
        <v>20</v>
      </c>
      <c r="B4980" s="117"/>
      <c r="C4980" s="117"/>
      <c r="D4980" s="118"/>
    </row>
    <row r="4981" spans="1:4" ht="42.75" customHeight="1" thickBot="1">
      <c r="A4981" s="113" t="s">
        <v>18</v>
      </c>
      <c r="B4981" s="114"/>
      <c r="C4981" s="114"/>
      <c r="D4981" s="115"/>
    </row>
    <row r="4982" spans="1:4" ht="42.75" customHeight="1" thickBot="1">
      <c r="A4982" s="119"/>
      <c r="B4982" s="119"/>
      <c r="C4982" s="119"/>
      <c r="D4982" s="119"/>
    </row>
    <row r="4983" spans="1:4" ht="42.75" customHeight="1" thickBot="1">
      <c r="A4983" s="120" t="s">
        <v>19</v>
      </c>
      <c r="B4983" s="121"/>
      <c r="C4983" s="121"/>
      <c r="D4983" s="122"/>
    </row>
    <row r="4984" spans="1:4" ht="42.75" customHeight="1" thickBot="1">
      <c r="A4984" s="123" t="s">
        <v>11</v>
      </c>
      <c r="B4984" s="124"/>
      <c r="C4984" s="125" t="s">
        <v>603</v>
      </c>
      <c r="D4984" s="124"/>
    </row>
    <row r="4985" spans="1:4" ht="42.75" customHeight="1" thickBot="1">
      <c r="A4985" s="1" t="s">
        <v>686</v>
      </c>
      <c r="B4985" s="26" t="s">
        <v>1</v>
      </c>
      <c r="C4985" s="90" t="s">
        <v>173</v>
      </c>
      <c r="D4985" s="91"/>
    </row>
    <row r="4986" spans="1:4" ht="42.75" customHeight="1" thickBot="1">
      <c r="A4986" s="26"/>
      <c r="B4986" s="26" t="s">
        <v>0</v>
      </c>
      <c r="C4986" s="5" t="s">
        <v>687</v>
      </c>
      <c r="D4986" s="4" t="s">
        <v>2</v>
      </c>
    </row>
    <row r="4987" spans="1:4" ht="42.75" customHeight="1" thickBot="1">
      <c r="A4987" s="92">
        <v>7830</v>
      </c>
      <c r="B4987" s="93"/>
      <c r="C4987" s="94" t="s">
        <v>3</v>
      </c>
      <c r="D4987" s="95"/>
    </row>
    <row r="4988" spans="1:4" ht="42.75" customHeight="1" thickBot="1">
      <c r="A4988" s="92">
        <v>7970</v>
      </c>
      <c r="B4988" s="93"/>
      <c r="C4988" s="96" t="s">
        <v>4</v>
      </c>
      <c r="D4988" s="97"/>
    </row>
    <row r="4989" spans="1:4" ht="42.75" customHeight="1" thickBot="1">
      <c r="A4989" s="98">
        <f>A4988-A4987</f>
        <v>140</v>
      </c>
      <c r="B4989" s="99"/>
      <c r="C4989" s="100" t="s">
        <v>5</v>
      </c>
      <c r="D4989" s="97"/>
    </row>
    <row r="4990" spans="1:4" ht="42.75" customHeight="1" thickBot="1">
      <c r="A4990" s="101">
        <v>62</v>
      </c>
      <c r="B4990" s="102"/>
      <c r="C4990" s="96" t="s">
        <v>6</v>
      </c>
      <c r="D4990" s="97"/>
    </row>
    <row r="4991" spans="1:4" ht="42.75" customHeight="1" thickBot="1">
      <c r="A4991" s="103"/>
      <c r="B4991" s="104"/>
      <c r="C4991" s="96" t="s">
        <v>21</v>
      </c>
      <c r="D4991" s="97"/>
    </row>
    <row r="4992" spans="1:4" ht="42.75" customHeight="1" thickBot="1">
      <c r="A4992" s="105">
        <v>8700</v>
      </c>
      <c r="B4992" s="106"/>
      <c r="C4992" s="96" t="s">
        <v>7</v>
      </c>
      <c r="D4992" s="97"/>
    </row>
    <row r="4993" spans="1:4" ht="42.75" customHeight="1" thickBot="1">
      <c r="A4993" s="107" t="s">
        <v>17</v>
      </c>
      <c r="B4993" s="108"/>
      <c r="C4993" s="108"/>
      <c r="D4993" s="109"/>
    </row>
    <row r="4994" spans="1:4" ht="42.75" customHeight="1" thickBot="1">
      <c r="A4994" s="110" t="s">
        <v>20</v>
      </c>
      <c r="B4994" s="111"/>
      <c r="C4994" s="111"/>
      <c r="D4994" s="112"/>
    </row>
    <row r="4995" spans="1:4" ht="42.75" customHeight="1" thickBot="1">
      <c r="A4995" s="113" t="s">
        <v>18</v>
      </c>
      <c r="B4995" s="114"/>
      <c r="C4995" s="114"/>
      <c r="D4995" s="115"/>
    </row>
    <row r="4996" spans="1:4" ht="42.75" customHeight="1" thickBot="1">
      <c r="A4996" s="120" t="s">
        <v>19</v>
      </c>
      <c r="B4996" s="121"/>
      <c r="C4996" s="121"/>
      <c r="D4996" s="122"/>
    </row>
    <row r="4997" spans="1:4" ht="42.75" customHeight="1" thickBot="1">
      <c r="A4997" s="123" t="s">
        <v>11</v>
      </c>
      <c r="B4997" s="124"/>
      <c r="C4997" s="125" t="s">
        <v>603</v>
      </c>
      <c r="D4997" s="124"/>
    </row>
    <row r="4998" spans="1:4" ht="42.75" customHeight="1" thickBot="1">
      <c r="A4998" s="1" t="s">
        <v>686</v>
      </c>
      <c r="B4998" s="26" t="s">
        <v>1</v>
      </c>
      <c r="C4998" s="90" t="s">
        <v>174</v>
      </c>
      <c r="D4998" s="91"/>
    </row>
    <row r="4999" spans="1:4" ht="42.75" customHeight="1" thickBot="1">
      <c r="A4999" s="26"/>
      <c r="B4999" s="26" t="s">
        <v>0</v>
      </c>
      <c r="C4999" s="5" t="s">
        <v>687</v>
      </c>
      <c r="D4999" s="4" t="s">
        <v>2</v>
      </c>
    </row>
    <row r="5000" spans="1:4" ht="42.75" customHeight="1" thickBot="1">
      <c r="A5000" s="92">
        <v>5940</v>
      </c>
      <c r="B5000" s="93"/>
      <c r="C5000" s="94" t="s">
        <v>3</v>
      </c>
      <c r="D5000" s="95"/>
    </row>
    <row r="5001" spans="1:4" ht="42.75" customHeight="1" thickBot="1">
      <c r="A5001" s="92">
        <v>5940</v>
      </c>
      <c r="B5001" s="93"/>
      <c r="C5001" s="96" t="s">
        <v>4</v>
      </c>
      <c r="D5001" s="97"/>
    </row>
    <row r="5002" spans="1:4" ht="42.75" customHeight="1" thickBot="1">
      <c r="A5002" s="98">
        <f>A5001-A5000</f>
        <v>0</v>
      </c>
      <c r="B5002" s="99"/>
      <c r="C5002" s="100" t="s">
        <v>5</v>
      </c>
      <c r="D5002" s="97"/>
    </row>
    <row r="5003" spans="1:4" ht="42.75" customHeight="1" thickBot="1">
      <c r="A5003" s="101">
        <v>62</v>
      </c>
      <c r="B5003" s="102"/>
      <c r="C5003" s="96" t="s">
        <v>6</v>
      </c>
      <c r="D5003" s="97"/>
    </row>
    <row r="5004" spans="1:4" ht="42.75" customHeight="1" thickBot="1">
      <c r="A5004" s="103"/>
      <c r="B5004" s="104"/>
      <c r="C5004" s="96" t="s">
        <v>21</v>
      </c>
      <c r="D5004" s="97"/>
    </row>
    <row r="5005" spans="1:4" ht="42.75" customHeight="1" thickBot="1">
      <c r="A5005" s="105">
        <f>A5003*A5002</f>
        <v>0</v>
      </c>
      <c r="B5005" s="106"/>
      <c r="C5005" s="96" t="s">
        <v>7</v>
      </c>
      <c r="D5005" s="97"/>
    </row>
    <row r="5006" spans="1:4" ht="42.75" customHeight="1" thickBot="1">
      <c r="A5006" s="107" t="s">
        <v>17</v>
      </c>
      <c r="B5006" s="108"/>
      <c r="C5006" s="108"/>
      <c r="D5006" s="109"/>
    </row>
    <row r="5007" spans="1:4" ht="42.75" customHeight="1" thickBot="1">
      <c r="A5007" s="116" t="s">
        <v>20</v>
      </c>
      <c r="B5007" s="117"/>
      <c r="C5007" s="117"/>
      <c r="D5007" s="118"/>
    </row>
    <row r="5008" spans="1:4" ht="42.75" customHeight="1" thickBot="1">
      <c r="A5008" s="113" t="s">
        <v>18</v>
      </c>
      <c r="B5008" s="114"/>
      <c r="C5008" s="114"/>
      <c r="D5008" s="115"/>
    </row>
    <row r="5009" spans="1:4" ht="42.75" customHeight="1" thickBot="1">
      <c r="A5009" s="119"/>
      <c r="B5009" s="119"/>
      <c r="C5009" s="119"/>
      <c r="D5009" s="119"/>
    </row>
    <row r="5010" spans="1:4" ht="42.75" customHeight="1" thickBot="1">
      <c r="A5010" s="120" t="s">
        <v>19</v>
      </c>
      <c r="B5010" s="121"/>
      <c r="C5010" s="121"/>
      <c r="D5010" s="122"/>
    </row>
    <row r="5011" spans="1:4" ht="42.75" customHeight="1" thickBot="1">
      <c r="A5011" s="123" t="s">
        <v>11</v>
      </c>
      <c r="B5011" s="124"/>
      <c r="C5011" s="125" t="s">
        <v>603</v>
      </c>
      <c r="D5011" s="124"/>
    </row>
    <row r="5012" spans="1:4" ht="42.75" customHeight="1" thickBot="1">
      <c r="A5012" s="1" t="s">
        <v>686</v>
      </c>
      <c r="B5012" s="26" t="s">
        <v>1</v>
      </c>
      <c r="C5012" s="90" t="s">
        <v>174</v>
      </c>
      <c r="D5012" s="91"/>
    </row>
    <row r="5013" spans="1:4" ht="42.75" customHeight="1" thickBot="1">
      <c r="A5013" s="26"/>
      <c r="B5013" s="26" t="s">
        <v>0</v>
      </c>
      <c r="C5013" s="5" t="s">
        <v>687</v>
      </c>
      <c r="D5013" s="4" t="s">
        <v>2</v>
      </c>
    </row>
    <row r="5014" spans="1:4" ht="42.75" customHeight="1" thickBot="1">
      <c r="A5014" s="92">
        <v>5905</v>
      </c>
      <c r="B5014" s="93"/>
      <c r="C5014" s="94" t="s">
        <v>3</v>
      </c>
      <c r="D5014" s="95"/>
    </row>
    <row r="5015" spans="1:4" ht="42.75" customHeight="1" thickBot="1">
      <c r="A5015" s="92">
        <v>5940</v>
      </c>
      <c r="B5015" s="93"/>
      <c r="C5015" s="96" t="s">
        <v>4</v>
      </c>
      <c r="D5015" s="97"/>
    </row>
    <row r="5016" spans="1:4" ht="42.75" customHeight="1" thickBot="1">
      <c r="A5016" s="98">
        <f>A5015-A5014</f>
        <v>35</v>
      </c>
      <c r="B5016" s="99"/>
      <c r="C5016" s="100" t="s">
        <v>5</v>
      </c>
      <c r="D5016" s="97"/>
    </row>
    <row r="5017" spans="1:4" ht="42.75" customHeight="1" thickBot="1">
      <c r="A5017" s="101">
        <v>62</v>
      </c>
      <c r="B5017" s="102"/>
      <c r="C5017" s="96" t="s">
        <v>6</v>
      </c>
      <c r="D5017" s="97"/>
    </row>
    <row r="5018" spans="1:4" ht="42.75" customHeight="1" thickBot="1">
      <c r="A5018" s="103"/>
      <c r="B5018" s="104"/>
      <c r="C5018" s="96" t="s">
        <v>21</v>
      </c>
      <c r="D5018" s="97"/>
    </row>
    <row r="5019" spans="1:4" ht="42.75" customHeight="1" thickBot="1">
      <c r="A5019" s="105">
        <v>2200</v>
      </c>
      <c r="B5019" s="106"/>
      <c r="C5019" s="96" t="s">
        <v>7</v>
      </c>
      <c r="D5019" s="97"/>
    </row>
    <row r="5020" spans="1:4" ht="42.75" customHeight="1" thickBot="1">
      <c r="A5020" s="107" t="s">
        <v>17</v>
      </c>
      <c r="B5020" s="108"/>
      <c r="C5020" s="108"/>
      <c r="D5020" s="109"/>
    </row>
    <row r="5021" spans="1:4" ht="42.75" customHeight="1" thickBot="1">
      <c r="A5021" s="110" t="s">
        <v>20</v>
      </c>
      <c r="B5021" s="111"/>
      <c r="C5021" s="111"/>
      <c r="D5021" s="112"/>
    </row>
    <row r="5022" spans="1:4" ht="42.75" customHeight="1" thickBot="1">
      <c r="A5022" s="113" t="s">
        <v>18</v>
      </c>
      <c r="B5022" s="114"/>
      <c r="C5022" s="114"/>
      <c r="D5022" s="115"/>
    </row>
    <row r="5023" spans="1:4" ht="42.75" customHeight="1" thickBot="1">
      <c r="A5023" s="120" t="s">
        <v>19</v>
      </c>
      <c r="B5023" s="121"/>
      <c r="C5023" s="121"/>
      <c r="D5023" s="122"/>
    </row>
    <row r="5024" spans="1:4" ht="42.75" customHeight="1" thickBot="1">
      <c r="A5024" s="123" t="s">
        <v>11</v>
      </c>
      <c r="B5024" s="124"/>
      <c r="C5024" s="125" t="s">
        <v>603</v>
      </c>
      <c r="D5024" s="124"/>
    </row>
    <row r="5025" spans="1:4" ht="42.75" customHeight="1" thickBot="1">
      <c r="A5025" s="1" t="s">
        <v>686</v>
      </c>
      <c r="B5025" s="26" t="s">
        <v>1</v>
      </c>
      <c r="C5025" s="90" t="s">
        <v>170</v>
      </c>
      <c r="D5025" s="91"/>
    </row>
    <row r="5026" spans="1:4" ht="42.75" customHeight="1" thickBot="1">
      <c r="A5026" s="26"/>
      <c r="B5026" s="26" t="s">
        <v>0</v>
      </c>
      <c r="C5026" s="5" t="s">
        <v>687</v>
      </c>
      <c r="D5026" s="4" t="s">
        <v>2</v>
      </c>
    </row>
    <row r="5027" spans="1:4" ht="42.75" customHeight="1" thickBot="1">
      <c r="A5027" s="92">
        <v>4825</v>
      </c>
      <c r="B5027" s="93"/>
      <c r="C5027" s="94" t="s">
        <v>3</v>
      </c>
      <c r="D5027" s="95"/>
    </row>
    <row r="5028" spans="1:4" ht="42.75" customHeight="1" thickBot="1">
      <c r="A5028" s="92">
        <v>4825</v>
      </c>
      <c r="B5028" s="93"/>
      <c r="C5028" s="96" t="s">
        <v>4</v>
      </c>
      <c r="D5028" s="97"/>
    </row>
    <row r="5029" spans="1:4" ht="42.75" customHeight="1" thickBot="1">
      <c r="A5029" s="98">
        <f>A5028-A5027</f>
        <v>0</v>
      </c>
      <c r="B5029" s="99"/>
      <c r="C5029" s="100" t="s">
        <v>5</v>
      </c>
      <c r="D5029" s="97"/>
    </row>
    <row r="5030" spans="1:4" ht="42.75" customHeight="1" thickBot="1">
      <c r="A5030" s="101">
        <v>62</v>
      </c>
      <c r="B5030" s="102"/>
      <c r="C5030" s="96" t="s">
        <v>6</v>
      </c>
      <c r="D5030" s="97"/>
    </row>
    <row r="5031" spans="1:4" ht="42.75" customHeight="1" thickBot="1">
      <c r="A5031" s="103"/>
      <c r="B5031" s="104"/>
      <c r="C5031" s="96" t="s">
        <v>21</v>
      </c>
      <c r="D5031" s="97"/>
    </row>
    <row r="5032" spans="1:4" ht="42.75" customHeight="1" thickBot="1">
      <c r="A5032" s="105">
        <f>A5030*A5029</f>
        <v>0</v>
      </c>
      <c r="B5032" s="106"/>
      <c r="C5032" s="96" t="s">
        <v>7</v>
      </c>
      <c r="D5032" s="97"/>
    </row>
    <row r="5033" spans="1:4" ht="42.75" customHeight="1" thickBot="1">
      <c r="A5033" s="107" t="s">
        <v>17</v>
      </c>
      <c r="B5033" s="108"/>
      <c r="C5033" s="108"/>
      <c r="D5033" s="109"/>
    </row>
    <row r="5034" spans="1:4" ht="42.75" customHeight="1" thickBot="1">
      <c r="A5034" s="116" t="s">
        <v>20</v>
      </c>
      <c r="B5034" s="117"/>
      <c r="C5034" s="117"/>
      <c r="D5034" s="118"/>
    </row>
    <row r="5035" spans="1:4" ht="42.75" customHeight="1" thickBot="1">
      <c r="A5035" s="113" t="s">
        <v>18</v>
      </c>
      <c r="B5035" s="114"/>
      <c r="C5035" s="114"/>
      <c r="D5035" s="115"/>
    </row>
    <row r="5036" spans="1:4" ht="42.75" customHeight="1" thickBot="1">
      <c r="A5036" s="119"/>
      <c r="B5036" s="119"/>
      <c r="C5036" s="119"/>
      <c r="D5036" s="119"/>
    </row>
    <row r="5037" spans="1:4" ht="42.75" customHeight="1" thickBot="1">
      <c r="A5037" s="120" t="s">
        <v>19</v>
      </c>
      <c r="B5037" s="121"/>
      <c r="C5037" s="121"/>
      <c r="D5037" s="122"/>
    </row>
    <row r="5038" spans="1:4" ht="42.75" customHeight="1" thickBot="1">
      <c r="A5038" s="123" t="s">
        <v>11</v>
      </c>
      <c r="B5038" s="124"/>
      <c r="C5038" s="125" t="s">
        <v>603</v>
      </c>
      <c r="D5038" s="124"/>
    </row>
    <row r="5039" spans="1:4" ht="42.75" customHeight="1" thickBot="1">
      <c r="A5039" s="1" t="s">
        <v>686</v>
      </c>
      <c r="B5039" s="26" t="s">
        <v>1</v>
      </c>
      <c r="C5039" s="90" t="s">
        <v>170</v>
      </c>
      <c r="D5039" s="91"/>
    </row>
    <row r="5040" spans="1:4" ht="42.75" customHeight="1" thickBot="1">
      <c r="A5040" s="26"/>
      <c r="B5040" s="26" t="s">
        <v>0</v>
      </c>
      <c r="C5040" s="5" t="s">
        <v>687</v>
      </c>
      <c r="D5040" s="4" t="s">
        <v>2</v>
      </c>
    </row>
    <row r="5041" spans="1:4" ht="42.75" customHeight="1" thickBot="1">
      <c r="A5041" s="92">
        <v>4775</v>
      </c>
      <c r="B5041" s="93"/>
      <c r="C5041" s="94" t="s">
        <v>3</v>
      </c>
      <c r="D5041" s="95"/>
    </row>
    <row r="5042" spans="1:4" ht="42.75" customHeight="1" thickBot="1">
      <c r="A5042" s="92">
        <v>4825</v>
      </c>
      <c r="B5042" s="93"/>
      <c r="C5042" s="96" t="s">
        <v>4</v>
      </c>
      <c r="D5042" s="97"/>
    </row>
    <row r="5043" spans="1:4" ht="42.75" customHeight="1" thickBot="1">
      <c r="A5043" s="98">
        <f>A5042-A5041</f>
        <v>50</v>
      </c>
      <c r="B5043" s="99"/>
      <c r="C5043" s="100" t="s">
        <v>5</v>
      </c>
      <c r="D5043" s="97"/>
    </row>
    <row r="5044" spans="1:4" ht="42.75" customHeight="1" thickBot="1">
      <c r="A5044" s="101">
        <v>62</v>
      </c>
      <c r="B5044" s="102"/>
      <c r="C5044" s="96" t="s">
        <v>6</v>
      </c>
      <c r="D5044" s="97"/>
    </row>
    <row r="5045" spans="1:4" ht="42.75" customHeight="1" thickBot="1">
      <c r="A5045" s="103"/>
      <c r="B5045" s="104"/>
      <c r="C5045" s="96" t="s">
        <v>21</v>
      </c>
      <c r="D5045" s="97"/>
    </row>
    <row r="5046" spans="1:4" ht="42.75" customHeight="1" thickBot="1">
      <c r="A5046" s="105">
        <f>A5044*A5043</f>
        <v>3100</v>
      </c>
      <c r="B5046" s="106"/>
      <c r="C5046" s="96" t="s">
        <v>7</v>
      </c>
      <c r="D5046" s="97"/>
    </row>
    <row r="5047" spans="1:4" ht="42.75" customHeight="1" thickBot="1">
      <c r="A5047" s="107" t="s">
        <v>17</v>
      </c>
      <c r="B5047" s="108"/>
      <c r="C5047" s="108"/>
      <c r="D5047" s="109"/>
    </row>
    <row r="5048" spans="1:4" ht="42.75" customHeight="1" thickBot="1">
      <c r="A5048" s="110" t="s">
        <v>20</v>
      </c>
      <c r="B5048" s="111"/>
      <c r="C5048" s="111"/>
      <c r="D5048" s="112"/>
    </row>
    <row r="5049" spans="1:4" ht="42.75" customHeight="1" thickBot="1">
      <c r="A5049" s="113" t="s">
        <v>18</v>
      </c>
      <c r="B5049" s="114"/>
      <c r="C5049" s="114"/>
      <c r="D5049" s="115"/>
    </row>
    <row r="5050" spans="1:4" ht="42.75" customHeight="1" thickBot="1">
      <c r="A5050" s="120" t="s">
        <v>19</v>
      </c>
      <c r="B5050" s="121"/>
      <c r="C5050" s="121"/>
      <c r="D5050" s="122"/>
    </row>
    <row r="5051" spans="1:4" ht="42.75" customHeight="1" thickBot="1">
      <c r="A5051" s="123" t="s">
        <v>11</v>
      </c>
      <c r="B5051" s="124"/>
      <c r="C5051" s="125" t="s">
        <v>603</v>
      </c>
      <c r="D5051" s="124"/>
    </row>
    <row r="5052" spans="1:4" ht="42.75" customHeight="1" thickBot="1">
      <c r="A5052" s="1" t="s">
        <v>686</v>
      </c>
      <c r="B5052" s="26" t="s">
        <v>1</v>
      </c>
      <c r="C5052" s="90" t="s">
        <v>175</v>
      </c>
      <c r="D5052" s="91"/>
    </row>
    <row r="5053" spans="1:4" ht="42.75" customHeight="1" thickBot="1">
      <c r="A5053" s="26"/>
      <c r="B5053" s="26" t="s">
        <v>0</v>
      </c>
      <c r="C5053" s="5" t="s">
        <v>687</v>
      </c>
      <c r="D5053" s="4" t="s">
        <v>2</v>
      </c>
    </row>
    <row r="5054" spans="1:4" ht="42.75" customHeight="1" thickBot="1">
      <c r="A5054" s="92">
        <v>2550</v>
      </c>
      <c r="B5054" s="93"/>
      <c r="C5054" s="94" t="s">
        <v>3</v>
      </c>
      <c r="D5054" s="95"/>
    </row>
    <row r="5055" spans="1:4" ht="42.75" customHeight="1" thickBot="1">
      <c r="A5055" s="92">
        <v>2550</v>
      </c>
      <c r="B5055" s="93"/>
      <c r="C5055" s="96" t="s">
        <v>4</v>
      </c>
      <c r="D5055" s="97"/>
    </row>
    <row r="5056" spans="1:4" ht="42.75" customHeight="1" thickBot="1">
      <c r="A5056" s="98">
        <f>A5055-A5054</f>
        <v>0</v>
      </c>
      <c r="B5056" s="99"/>
      <c r="C5056" s="100" t="s">
        <v>5</v>
      </c>
      <c r="D5056" s="97"/>
    </row>
    <row r="5057" spans="1:4" ht="42.75" customHeight="1" thickBot="1">
      <c r="A5057" s="101">
        <v>62</v>
      </c>
      <c r="B5057" s="102"/>
      <c r="C5057" s="96" t="s">
        <v>6</v>
      </c>
      <c r="D5057" s="97"/>
    </row>
    <row r="5058" spans="1:4" ht="42.75" customHeight="1" thickBot="1">
      <c r="A5058" s="103"/>
      <c r="B5058" s="104"/>
      <c r="C5058" s="96" t="s">
        <v>21</v>
      </c>
      <c r="D5058" s="97"/>
    </row>
    <row r="5059" spans="1:4" ht="42.75" customHeight="1" thickBot="1">
      <c r="A5059" s="105">
        <f>A5057*A5056</f>
        <v>0</v>
      </c>
      <c r="B5059" s="106"/>
      <c r="C5059" s="96" t="s">
        <v>7</v>
      </c>
      <c r="D5059" s="97"/>
    </row>
    <row r="5060" spans="1:4" ht="42.75" customHeight="1" thickBot="1">
      <c r="A5060" s="107" t="s">
        <v>17</v>
      </c>
      <c r="B5060" s="108"/>
      <c r="C5060" s="108"/>
      <c r="D5060" s="109"/>
    </row>
    <row r="5061" spans="1:4" ht="42.75" customHeight="1" thickBot="1">
      <c r="A5061" s="116" t="s">
        <v>20</v>
      </c>
      <c r="B5061" s="117"/>
      <c r="C5061" s="117"/>
      <c r="D5061" s="118"/>
    </row>
    <row r="5062" spans="1:4" ht="42.75" customHeight="1" thickBot="1">
      <c r="A5062" s="113" t="s">
        <v>18</v>
      </c>
      <c r="B5062" s="114"/>
      <c r="C5062" s="114"/>
      <c r="D5062" s="115"/>
    </row>
    <row r="5063" spans="1:4" ht="42.75" customHeight="1" thickBot="1">
      <c r="A5063" s="119"/>
      <c r="B5063" s="119"/>
      <c r="C5063" s="119"/>
      <c r="D5063" s="119"/>
    </row>
    <row r="5064" spans="1:4" ht="42.75" customHeight="1" thickBot="1">
      <c r="A5064" s="120" t="s">
        <v>19</v>
      </c>
      <c r="B5064" s="121"/>
      <c r="C5064" s="121"/>
      <c r="D5064" s="122"/>
    </row>
    <row r="5065" spans="1:4" ht="42.75" customHeight="1" thickBot="1">
      <c r="A5065" s="123" t="s">
        <v>11</v>
      </c>
      <c r="B5065" s="124"/>
      <c r="C5065" s="125" t="s">
        <v>603</v>
      </c>
      <c r="D5065" s="124"/>
    </row>
    <row r="5066" spans="1:4" ht="42.75" customHeight="1" thickBot="1">
      <c r="A5066" s="1" t="s">
        <v>686</v>
      </c>
      <c r="B5066" s="26" t="s">
        <v>1</v>
      </c>
      <c r="C5066" s="90" t="s">
        <v>175</v>
      </c>
      <c r="D5066" s="91"/>
    </row>
    <row r="5067" spans="1:4" ht="42.75" customHeight="1" thickBot="1">
      <c r="A5067" s="26"/>
      <c r="B5067" s="26" t="s">
        <v>0</v>
      </c>
      <c r="C5067" s="5" t="s">
        <v>687</v>
      </c>
      <c r="D5067" s="4" t="s">
        <v>2</v>
      </c>
    </row>
    <row r="5068" spans="1:4" ht="42.75" customHeight="1" thickBot="1">
      <c r="A5068" s="92">
        <v>2520</v>
      </c>
      <c r="B5068" s="93"/>
      <c r="C5068" s="94" t="s">
        <v>3</v>
      </c>
      <c r="D5068" s="95"/>
    </row>
    <row r="5069" spans="1:4" ht="42.75" customHeight="1" thickBot="1">
      <c r="A5069" s="92">
        <v>2550</v>
      </c>
      <c r="B5069" s="93"/>
      <c r="C5069" s="96" t="s">
        <v>4</v>
      </c>
      <c r="D5069" s="97"/>
    </row>
    <row r="5070" spans="1:4" ht="42.75" customHeight="1" thickBot="1">
      <c r="A5070" s="98">
        <f>A5069-A5068</f>
        <v>30</v>
      </c>
      <c r="B5070" s="99"/>
      <c r="C5070" s="100" t="s">
        <v>5</v>
      </c>
      <c r="D5070" s="97"/>
    </row>
    <row r="5071" spans="1:4" ht="42.75" customHeight="1" thickBot="1">
      <c r="A5071" s="101">
        <v>62</v>
      </c>
      <c r="B5071" s="102"/>
      <c r="C5071" s="96" t="s">
        <v>6</v>
      </c>
      <c r="D5071" s="97"/>
    </row>
    <row r="5072" spans="1:4" ht="42.75" customHeight="1" thickBot="1">
      <c r="A5072" s="103"/>
      <c r="B5072" s="104"/>
      <c r="C5072" s="96" t="s">
        <v>21</v>
      </c>
      <c r="D5072" s="97"/>
    </row>
    <row r="5073" spans="1:4" ht="42.75" customHeight="1" thickBot="1">
      <c r="A5073" s="105">
        <f>A5071*A5070</f>
        <v>1860</v>
      </c>
      <c r="B5073" s="106"/>
      <c r="C5073" s="96" t="s">
        <v>7</v>
      </c>
      <c r="D5073" s="97"/>
    </row>
    <row r="5074" spans="1:4" ht="42.75" customHeight="1" thickBot="1">
      <c r="A5074" s="107" t="s">
        <v>17</v>
      </c>
      <c r="B5074" s="108"/>
      <c r="C5074" s="108"/>
      <c r="D5074" s="109"/>
    </row>
    <row r="5075" spans="1:4" ht="42.75" customHeight="1" thickBot="1">
      <c r="A5075" s="110" t="s">
        <v>20</v>
      </c>
      <c r="B5075" s="111"/>
      <c r="C5075" s="111"/>
      <c r="D5075" s="112"/>
    </row>
    <row r="5076" spans="1:4" ht="42.75" customHeight="1" thickBot="1">
      <c r="A5076" s="113" t="s">
        <v>18</v>
      </c>
      <c r="B5076" s="114"/>
      <c r="C5076" s="114"/>
      <c r="D5076" s="115"/>
    </row>
    <row r="5077" spans="1:4" ht="42.75" customHeight="1" thickBot="1">
      <c r="A5077" s="120" t="s">
        <v>19</v>
      </c>
      <c r="B5077" s="121"/>
      <c r="C5077" s="121"/>
      <c r="D5077" s="122"/>
    </row>
    <row r="5078" spans="1:4" ht="42.75" customHeight="1" thickBot="1">
      <c r="A5078" s="123" t="s">
        <v>11</v>
      </c>
      <c r="B5078" s="124"/>
      <c r="C5078" s="125" t="s">
        <v>603</v>
      </c>
      <c r="D5078" s="124"/>
    </row>
    <row r="5079" spans="1:4" ht="42.75" customHeight="1" thickBot="1">
      <c r="A5079" s="1" t="s">
        <v>686</v>
      </c>
      <c r="B5079" s="26" t="s">
        <v>1</v>
      </c>
      <c r="C5079" s="90" t="s">
        <v>176</v>
      </c>
      <c r="D5079" s="91"/>
    </row>
    <row r="5080" spans="1:4" ht="42.75" customHeight="1" thickBot="1">
      <c r="A5080" s="26"/>
      <c r="B5080" s="26" t="s">
        <v>0</v>
      </c>
      <c r="C5080" s="5" t="s">
        <v>687</v>
      </c>
      <c r="D5080" s="4" t="s">
        <v>2</v>
      </c>
    </row>
    <row r="5081" spans="1:4" ht="42.75" customHeight="1" thickBot="1">
      <c r="A5081" s="92">
        <v>1978</v>
      </c>
      <c r="B5081" s="93"/>
      <c r="C5081" s="94" t="s">
        <v>3</v>
      </c>
      <c r="D5081" s="95"/>
    </row>
    <row r="5082" spans="1:4" ht="42.75" customHeight="1" thickBot="1">
      <c r="A5082" s="92">
        <v>1978</v>
      </c>
      <c r="B5082" s="93"/>
      <c r="C5082" s="96" t="s">
        <v>4</v>
      </c>
      <c r="D5082" s="97"/>
    </row>
    <row r="5083" spans="1:4" ht="42.75" customHeight="1" thickBot="1">
      <c r="A5083" s="98">
        <f>A5082-A5081</f>
        <v>0</v>
      </c>
      <c r="B5083" s="99"/>
      <c r="C5083" s="100" t="s">
        <v>5</v>
      </c>
      <c r="D5083" s="97"/>
    </row>
    <row r="5084" spans="1:4" ht="42.75" customHeight="1" thickBot="1">
      <c r="A5084" s="101">
        <v>62</v>
      </c>
      <c r="B5084" s="102"/>
      <c r="C5084" s="96" t="s">
        <v>6</v>
      </c>
      <c r="D5084" s="97"/>
    </row>
    <row r="5085" spans="1:4" ht="42.75" customHeight="1" thickBot="1">
      <c r="A5085" s="103"/>
      <c r="B5085" s="104"/>
      <c r="C5085" s="96" t="s">
        <v>21</v>
      </c>
      <c r="D5085" s="97"/>
    </row>
    <row r="5086" spans="1:4" ht="42.75" customHeight="1" thickBot="1">
      <c r="A5086" s="105">
        <f>A5084*A5083</f>
        <v>0</v>
      </c>
      <c r="B5086" s="106"/>
      <c r="C5086" s="96" t="s">
        <v>7</v>
      </c>
      <c r="D5086" s="97"/>
    </row>
    <row r="5087" spans="1:4" ht="42.75" customHeight="1" thickBot="1">
      <c r="A5087" s="107" t="s">
        <v>17</v>
      </c>
      <c r="B5087" s="108"/>
      <c r="C5087" s="108"/>
      <c r="D5087" s="109"/>
    </row>
    <row r="5088" spans="1:4" ht="42.75" customHeight="1" thickBot="1">
      <c r="A5088" s="116" t="s">
        <v>20</v>
      </c>
      <c r="B5088" s="117"/>
      <c r="C5088" s="117"/>
      <c r="D5088" s="118"/>
    </row>
    <row r="5089" spans="1:4" ht="42.75" customHeight="1" thickBot="1">
      <c r="A5089" s="113" t="s">
        <v>18</v>
      </c>
      <c r="B5089" s="114"/>
      <c r="C5089" s="114"/>
      <c r="D5089" s="115"/>
    </row>
    <row r="5090" spans="1:4" ht="42.75" customHeight="1" thickBot="1">
      <c r="A5090" s="119"/>
      <c r="B5090" s="119"/>
      <c r="C5090" s="119"/>
      <c r="D5090" s="119"/>
    </row>
    <row r="5091" spans="1:4" ht="42.75" customHeight="1" thickBot="1">
      <c r="A5091" s="120" t="s">
        <v>19</v>
      </c>
      <c r="B5091" s="121"/>
      <c r="C5091" s="121"/>
      <c r="D5091" s="122"/>
    </row>
    <row r="5092" spans="1:4" ht="42.75" customHeight="1" thickBot="1">
      <c r="A5092" s="123" t="s">
        <v>11</v>
      </c>
      <c r="B5092" s="124"/>
      <c r="C5092" s="125" t="s">
        <v>603</v>
      </c>
      <c r="D5092" s="124"/>
    </row>
    <row r="5093" spans="1:4" ht="42.75" customHeight="1" thickBot="1">
      <c r="A5093" s="1" t="s">
        <v>686</v>
      </c>
      <c r="B5093" s="26" t="s">
        <v>1</v>
      </c>
      <c r="C5093" s="90" t="s">
        <v>176</v>
      </c>
      <c r="D5093" s="91"/>
    </row>
    <row r="5094" spans="1:4" ht="42.75" customHeight="1" thickBot="1">
      <c r="A5094" s="26"/>
      <c r="B5094" s="26" t="s">
        <v>0</v>
      </c>
      <c r="C5094" s="5" t="s">
        <v>687</v>
      </c>
      <c r="D5094" s="4" t="s">
        <v>2</v>
      </c>
    </row>
    <row r="5095" spans="1:4" ht="42.75" customHeight="1" thickBot="1">
      <c r="A5095" s="92">
        <v>1930</v>
      </c>
      <c r="B5095" s="93"/>
      <c r="C5095" s="94" t="s">
        <v>3</v>
      </c>
      <c r="D5095" s="95"/>
    </row>
    <row r="5096" spans="1:4" ht="42.75" customHeight="1" thickBot="1">
      <c r="A5096" s="92">
        <v>1978</v>
      </c>
      <c r="B5096" s="93"/>
      <c r="C5096" s="96" t="s">
        <v>4</v>
      </c>
      <c r="D5096" s="97"/>
    </row>
    <row r="5097" spans="1:4" ht="42.75" customHeight="1" thickBot="1">
      <c r="A5097" s="98">
        <f>A5096-A5095</f>
        <v>48</v>
      </c>
      <c r="B5097" s="99"/>
      <c r="C5097" s="100" t="s">
        <v>5</v>
      </c>
      <c r="D5097" s="97"/>
    </row>
    <row r="5098" spans="1:4" ht="42.75" customHeight="1" thickBot="1">
      <c r="A5098" s="101">
        <v>62</v>
      </c>
      <c r="B5098" s="102"/>
      <c r="C5098" s="96" t="s">
        <v>6</v>
      </c>
      <c r="D5098" s="97"/>
    </row>
    <row r="5099" spans="1:4" ht="42.75" customHeight="1" thickBot="1">
      <c r="A5099" s="103"/>
      <c r="B5099" s="104"/>
      <c r="C5099" s="96" t="s">
        <v>21</v>
      </c>
      <c r="D5099" s="97"/>
    </row>
    <row r="5100" spans="1:4" ht="42.75" customHeight="1" thickBot="1">
      <c r="A5100" s="105">
        <v>3000</v>
      </c>
      <c r="B5100" s="106"/>
      <c r="C5100" s="96" t="s">
        <v>7</v>
      </c>
      <c r="D5100" s="97"/>
    </row>
    <row r="5101" spans="1:4" ht="42.75" customHeight="1" thickBot="1">
      <c r="A5101" s="107" t="s">
        <v>17</v>
      </c>
      <c r="B5101" s="108"/>
      <c r="C5101" s="108"/>
      <c r="D5101" s="109"/>
    </row>
    <row r="5102" spans="1:4" ht="42.75" customHeight="1" thickBot="1">
      <c r="A5102" s="110" t="s">
        <v>20</v>
      </c>
      <c r="B5102" s="111"/>
      <c r="C5102" s="111"/>
      <c r="D5102" s="112"/>
    </row>
    <row r="5103" spans="1:4" ht="42.75" customHeight="1" thickBot="1">
      <c r="A5103" s="113" t="s">
        <v>18</v>
      </c>
      <c r="B5103" s="114"/>
      <c r="C5103" s="114"/>
      <c r="D5103" s="115"/>
    </row>
    <row r="5104" spans="1:4" ht="42.75" customHeight="1" thickBot="1">
      <c r="A5104" s="120" t="s">
        <v>19</v>
      </c>
      <c r="B5104" s="121"/>
      <c r="C5104" s="121"/>
      <c r="D5104" s="122"/>
    </row>
    <row r="5105" spans="1:4" ht="42.75" customHeight="1" thickBot="1">
      <c r="A5105" s="123" t="s">
        <v>11</v>
      </c>
      <c r="B5105" s="124"/>
      <c r="C5105" s="125" t="s">
        <v>603</v>
      </c>
      <c r="D5105" s="124"/>
    </row>
    <row r="5106" spans="1:4" ht="42.75" customHeight="1" thickBot="1">
      <c r="A5106" s="1" t="s">
        <v>686</v>
      </c>
      <c r="B5106" s="26" t="s">
        <v>1</v>
      </c>
      <c r="C5106" s="90" t="s">
        <v>103</v>
      </c>
      <c r="D5106" s="91"/>
    </row>
    <row r="5107" spans="1:4" ht="42.75" customHeight="1" thickBot="1">
      <c r="A5107" s="26"/>
      <c r="B5107" s="26" t="s">
        <v>0</v>
      </c>
      <c r="C5107" s="5" t="s">
        <v>687</v>
      </c>
      <c r="D5107" s="4" t="s">
        <v>2</v>
      </c>
    </row>
    <row r="5108" spans="1:4" ht="42.75" customHeight="1" thickBot="1">
      <c r="A5108" s="92">
        <v>3640</v>
      </c>
      <c r="B5108" s="93"/>
      <c r="C5108" s="94" t="s">
        <v>3</v>
      </c>
      <c r="D5108" s="95"/>
    </row>
    <row r="5109" spans="1:4" ht="42.75" customHeight="1" thickBot="1">
      <c r="A5109" s="92">
        <v>3640</v>
      </c>
      <c r="B5109" s="93"/>
      <c r="C5109" s="96" t="s">
        <v>4</v>
      </c>
      <c r="D5109" s="97"/>
    </row>
    <row r="5110" spans="1:4" ht="42.75" customHeight="1" thickBot="1">
      <c r="A5110" s="98">
        <f>A5109-A5108</f>
        <v>0</v>
      </c>
      <c r="B5110" s="99"/>
      <c r="C5110" s="100" t="s">
        <v>5</v>
      </c>
      <c r="D5110" s="97"/>
    </row>
    <row r="5111" spans="1:4" ht="42.75" customHeight="1" thickBot="1">
      <c r="A5111" s="101">
        <v>62</v>
      </c>
      <c r="B5111" s="102"/>
      <c r="C5111" s="96" t="s">
        <v>6</v>
      </c>
      <c r="D5111" s="97"/>
    </row>
    <row r="5112" spans="1:4" ht="42.75" customHeight="1" thickBot="1">
      <c r="A5112" s="103"/>
      <c r="B5112" s="104"/>
      <c r="C5112" s="96" t="s">
        <v>21</v>
      </c>
      <c r="D5112" s="97"/>
    </row>
    <row r="5113" spans="1:4" ht="42.75" customHeight="1" thickBot="1">
      <c r="A5113" s="105">
        <f>A5111*A5110</f>
        <v>0</v>
      </c>
      <c r="B5113" s="106"/>
      <c r="C5113" s="96" t="s">
        <v>7</v>
      </c>
      <c r="D5113" s="97"/>
    </row>
    <row r="5114" spans="1:4" ht="42.75" customHeight="1" thickBot="1">
      <c r="A5114" s="107" t="s">
        <v>17</v>
      </c>
      <c r="B5114" s="108"/>
      <c r="C5114" s="108"/>
      <c r="D5114" s="109"/>
    </row>
    <row r="5115" spans="1:4" ht="42.75" customHeight="1" thickBot="1">
      <c r="A5115" s="116" t="s">
        <v>20</v>
      </c>
      <c r="B5115" s="117"/>
      <c r="C5115" s="117"/>
      <c r="D5115" s="118"/>
    </row>
    <row r="5116" spans="1:4" ht="42.75" customHeight="1" thickBot="1">
      <c r="A5116" s="113" t="s">
        <v>18</v>
      </c>
      <c r="B5116" s="114"/>
      <c r="C5116" s="114"/>
      <c r="D5116" s="115"/>
    </row>
    <row r="5117" spans="1:4" ht="42.75" customHeight="1" thickBot="1">
      <c r="A5117" s="119"/>
      <c r="B5117" s="119"/>
      <c r="C5117" s="119"/>
      <c r="D5117" s="119"/>
    </row>
    <row r="5118" spans="1:4" ht="42.75" customHeight="1" thickBot="1">
      <c r="A5118" s="120" t="s">
        <v>19</v>
      </c>
      <c r="B5118" s="121"/>
      <c r="C5118" s="121"/>
      <c r="D5118" s="122"/>
    </row>
    <row r="5119" spans="1:4" ht="42.75" customHeight="1" thickBot="1">
      <c r="A5119" s="123" t="s">
        <v>11</v>
      </c>
      <c r="B5119" s="124"/>
      <c r="C5119" s="125" t="s">
        <v>603</v>
      </c>
      <c r="D5119" s="124"/>
    </row>
    <row r="5120" spans="1:4" ht="42.75" customHeight="1" thickBot="1">
      <c r="A5120" s="1" t="s">
        <v>686</v>
      </c>
      <c r="B5120" s="26" t="s">
        <v>1</v>
      </c>
      <c r="C5120" s="90" t="s">
        <v>103</v>
      </c>
      <c r="D5120" s="91"/>
    </row>
    <row r="5121" spans="1:4" ht="42.75" customHeight="1" thickBot="1">
      <c r="A5121" s="26"/>
      <c r="B5121" s="26" t="s">
        <v>0</v>
      </c>
      <c r="C5121" s="5" t="s">
        <v>687</v>
      </c>
      <c r="D5121" s="4" t="s">
        <v>2</v>
      </c>
    </row>
    <row r="5122" spans="1:4" ht="42.75" customHeight="1" thickBot="1">
      <c r="A5122" s="92">
        <v>3620</v>
      </c>
      <c r="B5122" s="93"/>
      <c r="C5122" s="94" t="s">
        <v>3</v>
      </c>
      <c r="D5122" s="95"/>
    </row>
    <row r="5123" spans="1:4" ht="42.75" customHeight="1" thickBot="1">
      <c r="A5123" s="92">
        <v>3640</v>
      </c>
      <c r="B5123" s="93"/>
      <c r="C5123" s="96" t="s">
        <v>4</v>
      </c>
      <c r="D5123" s="97"/>
    </row>
    <row r="5124" spans="1:4" ht="42.75" customHeight="1" thickBot="1">
      <c r="A5124" s="98">
        <f>A5123-A5122</f>
        <v>20</v>
      </c>
      <c r="B5124" s="99"/>
      <c r="C5124" s="100" t="s">
        <v>5</v>
      </c>
      <c r="D5124" s="97"/>
    </row>
    <row r="5125" spans="1:4" ht="42.75" customHeight="1" thickBot="1">
      <c r="A5125" s="101">
        <v>62</v>
      </c>
      <c r="B5125" s="102"/>
      <c r="C5125" s="96" t="s">
        <v>6</v>
      </c>
      <c r="D5125" s="97"/>
    </row>
    <row r="5126" spans="1:4" ht="42.75" customHeight="1" thickBot="1">
      <c r="A5126" s="103"/>
      <c r="B5126" s="104"/>
      <c r="C5126" s="96" t="s">
        <v>21</v>
      </c>
      <c r="D5126" s="97"/>
    </row>
    <row r="5127" spans="1:4" ht="42.75" customHeight="1" thickBot="1">
      <c r="A5127" s="105">
        <v>1250</v>
      </c>
      <c r="B5127" s="106"/>
      <c r="C5127" s="96" t="s">
        <v>7</v>
      </c>
      <c r="D5127" s="97"/>
    </row>
    <row r="5128" spans="1:4" ht="42.75" customHeight="1" thickBot="1">
      <c r="A5128" s="107" t="s">
        <v>17</v>
      </c>
      <c r="B5128" s="108"/>
      <c r="C5128" s="108"/>
      <c r="D5128" s="109"/>
    </row>
    <row r="5129" spans="1:4" ht="42.75" customHeight="1" thickBot="1">
      <c r="A5129" s="110" t="s">
        <v>20</v>
      </c>
      <c r="B5129" s="111"/>
      <c r="C5129" s="111"/>
      <c r="D5129" s="112"/>
    </row>
    <row r="5130" spans="1:4" ht="42.75" customHeight="1" thickBot="1">
      <c r="A5130" s="113" t="s">
        <v>18</v>
      </c>
      <c r="B5130" s="114"/>
      <c r="C5130" s="114"/>
      <c r="D5130" s="115"/>
    </row>
    <row r="5131" spans="1:4" ht="42.75" customHeight="1" thickBot="1">
      <c r="A5131" s="120" t="s">
        <v>19</v>
      </c>
      <c r="B5131" s="121"/>
      <c r="C5131" s="121"/>
      <c r="D5131" s="122"/>
    </row>
    <row r="5132" spans="1:4" ht="42.75" customHeight="1" thickBot="1">
      <c r="A5132" s="123" t="s">
        <v>11</v>
      </c>
      <c r="B5132" s="124"/>
      <c r="C5132" s="125" t="s">
        <v>603</v>
      </c>
      <c r="D5132" s="124"/>
    </row>
    <row r="5133" spans="1:4" ht="42.75" customHeight="1" thickBot="1">
      <c r="A5133" s="1" t="s">
        <v>686</v>
      </c>
      <c r="B5133" s="26" t="s">
        <v>1</v>
      </c>
      <c r="C5133" s="90" t="s">
        <v>582</v>
      </c>
      <c r="D5133" s="91"/>
    </row>
    <row r="5134" spans="1:4" ht="42.75" customHeight="1" thickBot="1">
      <c r="A5134" s="26"/>
      <c r="B5134" s="26" t="s">
        <v>0</v>
      </c>
      <c r="C5134" s="5" t="s">
        <v>687</v>
      </c>
      <c r="D5134" s="4" t="s">
        <v>2</v>
      </c>
    </row>
    <row r="5135" spans="1:4" ht="42.75" customHeight="1" thickBot="1">
      <c r="A5135" s="92">
        <v>4120</v>
      </c>
      <c r="B5135" s="93"/>
      <c r="C5135" s="94" t="s">
        <v>3</v>
      </c>
      <c r="D5135" s="95"/>
    </row>
    <row r="5136" spans="1:4" ht="42.75" customHeight="1" thickBot="1">
      <c r="A5136" s="92">
        <v>4120</v>
      </c>
      <c r="B5136" s="93"/>
      <c r="C5136" s="96" t="s">
        <v>4</v>
      </c>
      <c r="D5136" s="97"/>
    </row>
    <row r="5137" spans="1:4" ht="42.75" customHeight="1" thickBot="1">
      <c r="A5137" s="98">
        <f>A5136-A5135</f>
        <v>0</v>
      </c>
      <c r="B5137" s="99"/>
      <c r="C5137" s="100" t="s">
        <v>5</v>
      </c>
      <c r="D5137" s="97"/>
    </row>
    <row r="5138" spans="1:4" ht="42.75" customHeight="1" thickBot="1">
      <c r="A5138" s="101">
        <v>62</v>
      </c>
      <c r="B5138" s="102"/>
      <c r="C5138" s="96" t="s">
        <v>6</v>
      </c>
      <c r="D5138" s="97"/>
    </row>
    <row r="5139" spans="1:4" ht="42.75" customHeight="1" thickBot="1">
      <c r="A5139" s="103"/>
      <c r="B5139" s="104"/>
      <c r="C5139" s="96" t="s">
        <v>21</v>
      </c>
      <c r="D5139" s="97"/>
    </row>
    <row r="5140" spans="1:4" ht="42.75" customHeight="1" thickBot="1">
      <c r="A5140" s="105">
        <f>A5138*A5137</f>
        <v>0</v>
      </c>
      <c r="B5140" s="106"/>
      <c r="C5140" s="96" t="s">
        <v>7</v>
      </c>
      <c r="D5140" s="97"/>
    </row>
    <row r="5141" spans="1:4" ht="42.75" customHeight="1" thickBot="1">
      <c r="A5141" s="107" t="s">
        <v>17</v>
      </c>
      <c r="B5141" s="108"/>
      <c r="C5141" s="108"/>
      <c r="D5141" s="109"/>
    </row>
    <row r="5142" spans="1:4" ht="42.75" customHeight="1" thickBot="1">
      <c r="A5142" s="116" t="s">
        <v>20</v>
      </c>
      <c r="B5142" s="117"/>
      <c r="C5142" s="117"/>
      <c r="D5142" s="118"/>
    </row>
    <row r="5143" spans="1:4" ht="42.75" customHeight="1" thickBot="1">
      <c r="A5143" s="113" t="s">
        <v>18</v>
      </c>
      <c r="B5143" s="114"/>
      <c r="C5143" s="114"/>
      <c r="D5143" s="115"/>
    </row>
    <row r="5144" spans="1:4" ht="42.75" customHeight="1" thickBot="1">
      <c r="A5144" s="119"/>
      <c r="B5144" s="119"/>
      <c r="C5144" s="119"/>
      <c r="D5144" s="119"/>
    </row>
    <row r="5145" spans="1:4" ht="42.75" customHeight="1" thickBot="1">
      <c r="A5145" s="120" t="s">
        <v>19</v>
      </c>
      <c r="B5145" s="121"/>
      <c r="C5145" s="121"/>
      <c r="D5145" s="122"/>
    </row>
    <row r="5146" spans="1:4" ht="42.75" customHeight="1" thickBot="1">
      <c r="A5146" s="123" t="s">
        <v>11</v>
      </c>
      <c r="B5146" s="124"/>
      <c r="C5146" s="125" t="s">
        <v>603</v>
      </c>
      <c r="D5146" s="124"/>
    </row>
    <row r="5147" spans="1:4" ht="42.75" customHeight="1" thickBot="1">
      <c r="A5147" s="1" t="s">
        <v>686</v>
      </c>
      <c r="B5147" s="26" t="s">
        <v>1</v>
      </c>
      <c r="C5147" s="90" t="s">
        <v>582</v>
      </c>
      <c r="D5147" s="91"/>
    </row>
    <row r="5148" spans="1:4" ht="42.75" customHeight="1" thickBot="1">
      <c r="A5148" s="26"/>
      <c r="B5148" s="26" t="s">
        <v>0</v>
      </c>
      <c r="C5148" s="5" t="s">
        <v>687</v>
      </c>
      <c r="D5148" s="4" t="s">
        <v>2</v>
      </c>
    </row>
    <row r="5149" spans="1:4" ht="42.75" customHeight="1" thickBot="1">
      <c r="A5149" s="92">
        <v>4085</v>
      </c>
      <c r="B5149" s="93"/>
      <c r="C5149" s="94" t="s">
        <v>3</v>
      </c>
      <c r="D5149" s="95"/>
    </row>
    <row r="5150" spans="1:4" ht="42.75" customHeight="1" thickBot="1">
      <c r="A5150" s="92">
        <v>4120</v>
      </c>
      <c r="B5150" s="93"/>
      <c r="C5150" s="96" t="s">
        <v>4</v>
      </c>
      <c r="D5150" s="97"/>
    </row>
    <row r="5151" spans="1:4" ht="42.75" customHeight="1" thickBot="1">
      <c r="A5151" s="98">
        <f>A5150-A5149</f>
        <v>35</v>
      </c>
      <c r="B5151" s="99"/>
      <c r="C5151" s="100" t="s">
        <v>5</v>
      </c>
      <c r="D5151" s="97"/>
    </row>
    <row r="5152" spans="1:4" ht="42.75" customHeight="1" thickBot="1">
      <c r="A5152" s="101">
        <v>62</v>
      </c>
      <c r="B5152" s="102"/>
      <c r="C5152" s="96" t="s">
        <v>6</v>
      </c>
      <c r="D5152" s="97"/>
    </row>
    <row r="5153" spans="1:4" ht="42.75" customHeight="1" thickBot="1">
      <c r="A5153" s="103"/>
      <c r="B5153" s="104"/>
      <c r="C5153" s="96" t="s">
        <v>21</v>
      </c>
      <c r="D5153" s="97"/>
    </row>
    <row r="5154" spans="1:4" ht="42.75" customHeight="1" thickBot="1">
      <c r="A5154" s="105">
        <v>2200</v>
      </c>
      <c r="B5154" s="106"/>
      <c r="C5154" s="96" t="s">
        <v>7</v>
      </c>
      <c r="D5154" s="97"/>
    </row>
    <row r="5155" spans="1:4" ht="42.75" customHeight="1" thickBot="1">
      <c r="A5155" s="107" t="s">
        <v>17</v>
      </c>
      <c r="B5155" s="108"/>
      <c r="C5155" s="108"/>
      <c r="D5155" s="109"/>
    </row>
    <row r="5156" spans="1:4" ht="42.75" customHeight="1" thickBot="1">
      <c r="A5156" s="110" t="s">
        <v>20</v>
      </c>
      <c r="B5156" s="111"/>
      <c r="C5156" s="111"/>
      <c r="D5156" s="112"/>
    </row>
    <row r="5157" spans="1:4" ht="42.75" customHeight="1" thickBot="1">
      <c r="A5157" s="113" t="s">
        <v>18</v>
      </c>
      <c r="B5157" s="114"/>
      <c r="C5157" s="114"/>
      <c r="D5157" s="115"/>
    </row>
    <row r="5158" spans="1:4" ht="42.75" customHeight="1" thickBot="1">
      <c r="A5158" s="120" t="s">
        <v>19</v>
      </c>
      <c r="B5158" s="121"/>
      <c r="C5158" s="121"/>
      <c r="D5158" s="122"/>
    </row>
    <row r="5159" spans="1:4" ht="42.75" customHeight="1" thickBot="1">
      <c r="A5159" s="123" t="s">
        <v>11</v>
      </c>
      <c r="B5159" s="124"/>
      <c r="C5159" s="125" t="s">
        <v>603</v>
      </c>
      <c r="D5159" s="124"/>
    </row>
    <row r="5160" spans="1:4" ht="42.75" customHeight="1" thickBot="1">
      <c r="A5160" s="1" t="s">
        <v>686</v>
      </c>
      <c r="B5160" s="26" t="s">
        <v>1</v>
      </c>
      <c r="C5160" s="90" t="s">
        <v>25</v>
      </c>
      <c r="D5160" s="91"/>
    </row>
    <row r="5161" spans="1:4" ht="42.75" customHeight="1" thickBot="1">
      <c r="A5161" s="26"/>
      <c r="B5161" s="26" t="s">
        <v>0</v>
      </c>
      <c r="C5161" s="5" t="s">
        <v>687</v>
      </c>
      <c r="D5161" s="4" t="s">
        <v>2</v>
      </c>
    </row>
    <row r="5162" spans="1:4" ht="42.75" customHeight="1" thickBot="1">
      <c r="A5162" s="92">
        <v>4975</v>
      </c>
      <c r="B5162" s="93"/>
      <c r="C5162" s="94" t="s">
        <v>3</v>
      </c>
      <c r="D5162" s="95"/>
    </row>
    <row r="5163" spans="1:4" ht="42.75" customHeight="1" thickBot="1">
      <c r="A5163" s="92">
        <v>4975</v>
      </c>
      <c r="B5163" s="93"/>
      <c r="C5163" s="96" t="s">
        <v>4</v>
      </c>
      <c r="D5163" s="97"/>
    </row>
    <row r="5164" spans="1:4" ht="42.75" customHeight="1" thickBot="1">
      <c r="A5164" s="98">
        <f>A5163-A5162</f>
        <v>0</v>
      </c>
      <c r="B5164" s="99"/>
      <c r="C5164" s="100" t="s">
        <v>5</v>
      </c>
      <c r="D5164" s="97"/>
    </row>
    <row r="5165" spans="1:4" ht="42.75" customHeight="1" thickBot="1">
      <c r="A5165" s="101">
        <v>62</v>
      </c>
      <c r="B5165" s="102"/>
      <c r="C5165" s="96" t="s">
        <v>6</v>
      </c>
      <c r="D5165" s="97"/>
    </row>
    <row r="5166" spans="1:4" ht="42.75" customHeight="1" thickBot="1">
      <c r="A5166" s="103"/>
      <c r="B5166" s="104"/>
      <c r="C5166" s="96" t="s">
        <v>21</v>
      </c>
      <c r="D5166" s="97"/>
    </row>
    <row r="5167" spans="1:4" ht="42.75" customHeight="1" thickBot="1">
      <c r="A5167" s="105">
        <f>A5165*A5164</f>
        <v>0</v>
      </c>
      <c r="B5167" s="106"/>
      <c r="C5167" s="96" t="s">
        <v>7</v>
      </c>
      <c r="D5167" s="97"/>
    </row>
    <row r="5168" spans="1:4" ht="42.75" customHeight="1" thickBot="1">
      <c r="A5168" s="107" t="s">
        <v>17</v>
      </c>
      <c r="B5168" s="108"/>
      <c r="C5168" s="108"/>
      <c r="D5168" s="109"/>
    </row>
    <row r="5169" spans="1:4" ht="42.75" customHeight="1" thickBot="1">
      <c r="A5169" s="116" t="s">
        <v>20</v>
      </c>
      <c r="B5169" s="117"/>
      <c r="C5169" s="117"/>
      <c r="D5169" s="118"/>
    </row>
    <row r="5170" spans="1:4" ht="42.75" customHeight="1" thickBot="1">
      <c r="A5170" s="113" t="s">
        <v>18</v>
      </c>
      <c r="B5170" s="114"/>
      <c r="C5170" s="114"/>
      <c r="D5170" s="115"/>
    </row>
    <row r="5171" spans="1:4" ht="42.75" customHeight="1" thickBot="1">
      <c r="A5171" s="119"/>
      <c r="B5171" s="119"/>
      <c r="C5171" s="119"/>
      <c r="D5171" s="119"/>
    </row>
    <row r="5172" spans="1:4" ht="42.75" customHeight="1" thickBot="1">
      <c r="A5172" s="120" t="s">
        <v>19</v>
      </c>
      <c r="B5172" s="121"/>
      <c r="C5172" s="121"/>
      <c r="D5172" s="122"/>
    </row>
    <row r="5173" spans="1:4" ht="42.75" customHeight="1" thickBot="1">
      <c r="A5173" s="123" t="s">
        <v>11</v>
      </c>
      <c r="B5173" s="124"/>
      <c r="C5173" s="125" t="s">
        <v>603</v>
      </c>
      <c r="D5173" s="124"/>
    </row>
    <row r="5174" spans="1:4" ht="42.75" customHeight="1" thickBot="1">
      <c r="A5174" s="1" t="s">
        <v>686</v>
      </c>
      <c r="B5174" s="26" t="s">
        <v>1</v>
      </c>
      <c r="C5174" s="90" t="s">
        <v>25</v>
      </c>
      <c r="D5174" s="91"/>
    </row>
    <row r="5175" spans="1:4" ht="42.75" customHeight="1" thickBot="1">
      <c r="A5175" s="26"/>
      <c r="B5175" s="26" t="s">
        <v>0</v>
      </c>
      <c r="C5175" s="5" t="s">
        <v>687</v>
      </c>
      <c r="D5175" s="4" t="s">
        <v>2</v>
      </c>
    </row>
    <row r="5176" spans="1:4" ht="42.75" customHeight="1" thickBot="1">
      <c r="A5176" s="92">
        <v>4960</v>
      </c>
      <c r="B5176" s="93"/>
      <c r="C5176" s="94" t="s">
        <v>3</v>
      </c>
      <c r="D5176" s="95"/>
    </row>
    <row r="5177" spans="1:4" ht="42.75" customHeight="1" thickBot="1">
      <c r="A5177" s="92">
        <v>4975</v>
      </c>
      <c r="B5177" s="93"/>
      <c r="C5177" s="96" t="s">
        <v>4</v>
      </c>
      <c r="D5177" s="97"/>
    </row>
    <row r="5178" spans="1:4" ht="42.75" customHeight="1" thickBot="1">
      <c r="A5178" s="98">
        <f>A5177-A5176</f>
        <v>15</v>
      </c>
      <c r="B5178" s="99"/>
      <c r="C5178" s="100" t="s">
        <v>5</v>
      </c>
      <c r="D5178" s="97"/>
    </row>
    <row r="5179" spans="1:4" ht="42.75" customHeight="1" thickBot="1">
      <c r="A5179" s="101">
        <v>62</v>
      </c>
      <c r="B5179" s="102"/>
      <c r="C5179" s="96" t="s">
        <v>6</v>
      </c>
      <c r="D5179" s="97"/>
    </row>
    <row r="5180" spans="1:4" ht="42.75" customHeight="1" thickBot="1">
      <c r="A5180" s="103"/>
      <c r="B5180" s="104"/>
      <c r="C5180" s="96" t="s">
        <v>21</v>
      </c>
      <c r="D5180" s="97"/>
    </row>
    <row r="5181" spans="1:4" ht="42.75" customHeight="1" thickBot="1">
      <c r="A5181" s="105">
        <v>950</v>
      </c>
      <c r="B5181" s="106"/>
      <c r="C5181" s="96" t="s">
        <v>7</v>
      </c>
      <c r="D5181" s="97"/>
    </row>
    <row r="5182" spans="1:4" ht="42.75" customHeight="1" thickBot="1">
      <c r="A5182" s="107" t="s">
        <v>17</v>
      </c>
      <c r="B5182" s="108"/>
      <c r="C5182" s="108"/>
      <c r="D5182" s="109"/>
    </row>
    <row r="5183" spans="1:4" ht="42.75" customHeight="1" thickBot="1">
      <c r="A5183" s="110" t="s">
        <v>20</v>
      </c>
      <c r="B5183" s="111"/>
      <c r="C5183" s="111"/>
      <c r="D5183" s="112"/>
    </row>
    <row r="5184" spans="1:4" ht="42.75" customHeight="1" thickBot="1">
      <c r="A5184" s="113" t="s">
        <v>18</v>
      </c>
      <c r="B5184" s="114"/>
      <c r="C5184" s="114"/>
      <c r="D5184" s="115"/>
    </row>
    <row r="5185" spans="1:4" ht="42.75" customHeight="1" thickBot="1">
      <c r="A5185" s="120" t="s">
        <v>19</v>
      </c>
      <c r="B5185" s="121"/>
      <c r="C5185" s="121"/>
      <c r="D5185" s="122"/>
    </row>
    <row r="5186" spans="1:4" ht="42.75" customHeight="1" thickBot="1">
      <c r="A5186" s="123" t="s">
        <v>11</v>
      </c>
      <c r="B5186" s="124"/>
      <c r="C5186" s="125" t="s">
        <v>603</v>
      </c>
      <c r="D5186" s="124"/>
    </row>
    <row r="5187" spans="1:4" ht="42.75" customHeight="1" thickBot="1">
      <c r="A5187" s="1" t="s">
        <v>686</v>
      </c>
      <c r="B5187" s="26" t="s">
        <v>1</v>
      </c>
      <c r="C5187" s="90" t="s">
        <v>177</v>
      </c>
      <c r="D5187" s="91"/>
    </row>
    <row r="5188" spans="1:4" ht="42.75" customHeight="1" thickBot="1">
      <c r="A5188" s="26"/>
      <c r="B5188" s="26" t="s">
        <v>0</v>
      </c>
      <c r="C5188" s="5" t="s">
        <v>687</v>
      </c>
      <c r="D5188" s="4" t="s">
        <v>2</v>
      </c>
    </row>
    <row r="5189" spans="1:4" ht="42.75" customHeight="1" thickBot="1">
      <c r="A5189" s="92">
        <v>4520</v>
      </c>
      <c r="B5189" s="93"/>
      <c r="C5189" s="94" t="s">
        <v>3</v>
      </c>
      <c r="D5189" s="95"/>
    </row>
    <row r="5190" spans="1:4" ht="42.75" customHeight="1" thickBot="1">
      <c r="A5190" s="92">
        <v>4520</v>
      </c>
      <c r="B5190" s="93"/>
      <c r="C5190" s="96" t="s">
        <v>4</v>
      </c>
      <c r="D5190" s="97"/>
    </row>
    <row r="5191" spans="1:4" ht="42.75" customHeight="1" thickBot="1">
      <c r="A5191" s="98">
        <f>A5190-A5189</f>
        <v>0</v>
      </c>
      <c r="B5191" s="99"/>
      <c r="C5191" s="100" t="s">
        <v>5</v>
      </c>
      <c r="D5191" s="97"/>
    </row>
    <row r="5192" spans="1:4" ht="42.75" customHeight="1" thickBot="1">
      <c r="A5192" s="101">
        <v>62</v>
      </c>
      <c r="B5192" s="102"/>
      <c r="C5192" s="96" t="s">
        <v>6</v>
      </c>
      <c r="D5192" s="97"/>
    </row>
    <row r="5193" spans="1:4" ht="42.75" customHeight="1" thickBot="1">
      <c r="A5193" s="103"/>
      <c r="B5193" s="104"/>
      <c r="C5193" s="96" t="s">
        <v>21</v>
      </c>
      <c r="D5193" s="97"/>
    </row>
    <row r="5194" spans="1:4" ht="42.75" customHeight="1" thickBot="1">
      <c r="A5194" s="105">
        <f>A5192*A5191</f>
        <v>0</v>
      </c>
      <c r="B5194" s="106"/>
      <c r="C5194" s="96" t="s">
        <v>7</v>
      </c>
      <c r="D5194" s="97"/>
    </row>
    <row r="5195" spans="1:4" ht="42.75" customHeight="1" thickBot="1">
      <c r="A5195" s="107" t="s">
        <v>17</v>
      </c>
      <c r="B5195" s="108"/>
      <c r="C5195" s="108"/>
      <c r="D5195" s="109"/>
    </row>
    <row r="5196" spans="1:4" ht="42.75" customHeight="1" thickBot="1">
      <c r="A5196" s="116" t="s">
        <v>20</v>
      </c>
      <c r="B5196" s="117"/>
      <c r="C5196" s="117"/>
      <c r="D5196" s="118"/>
    </row>
    <row r="5197" spans="1:4" ht="42.75" customHeight="1" thickBot="1">
      <c r="A5197" s="113" t="s">
        <v>18</v>
      </c>
      <c r="B5197" s="114"/>
      <c r="C5197" s="114"/>
      <c r="D5197" s="115"/>
    </row>
    <row r="5198" spans="1:4" ht="42.75" customHeight="1" thickBot="1">
      <c r="A5198" s="119"/>
      <c r="B5198" s="119"/>
      <c r="C5198" s="119"/>
      <c r="D5198" s="119"/>
    </row>
    <row r="5199" spans="1:4" ht="42.75" customHeight="1" thickBot="1">
      <c r="A5199" s="120" t="s">
        <v>19</v>
      </c>
      <c r="B5199" s="121"/>
      <c r="C5199" s="121"/>
      <c r="D5199" s="122"/>
    </row>
    <row r="5200" spans="1:4" ht="42.75" customHeight="1" thickBot="1">
      <c r="A5200" s="123" t="s">
        <v>11</v>
      </c>
      <c r="B5200" s="124"/>
      <c r="C5200" s="125" t="s">
        <v>603</v>
      </c>
      <c r="D5200" s="124"/>
    </row>
    <row r="5201" spans="1:4" ht="42.75" customHeight="1" thickBot="1">
      <c r="A5201" s="1" t="s">
        <v>686</v>
      </c>
      <c r="B5201" s="26" t="s">
        <v>1</v>
      </c>
      <c r="C5201" s="90" t="s">
        <v>177</v>
      </c>
      <c r="D5201" s="91"/>
    </row>
    <row r="5202" spans="1:4" ht="42.75" customHeight="1" thickBot="1">
      <c r="A5202" s="26"/>
      <c r="B5202" s="26" t="s">
        <v>0</v>
      </c>
      <c r="C5202" s="5" t="s">
        <v>687</v>
      </c>
      <c r="D5202" s="4" t="s">
        <v>2</v>
      </c>
    </row>
    <row r="5203" spans="1:4" ht="42.75" customHeight="1" thickBot="1">
      <c r="A5203" s="92">
        <v>4490</v>
      </c>
      <c r="B5203" s="93"/>
      <c r="C5203" s="94" t="s">
        <v>3</v>
      </c>
      <c r="D5203" s="95"/>
    </row>
    <row r="5204" spans="1:4" ht="42.75" customHeight="1" thickBot="1">
      <c r="A5204" s="92">
        <v>4520</v>
      </c>
      <c r="B5204" s="93"/>
      <c r="C5204" s="96" t="s">
        <v>4</v>
      </c>
      <c r="D5204" s="97"/>
    </row>
    <row r="5205" spans="1:4" ht="42.75" customHeight="1" thickBot="1">
      <c r="A5205" s="98">
        <f>A5204-A5203</f>
        <v>30</v>
      </c>
      <c r="B5205" s="99"/>
      <c r="C5205" s="100" t="s">
        <v>5</v>
      </c>
      <c r="D5205" s="97"/>
    </row>
    <row r="5206" spans="1:4" ht="42.75" customHeight="1" thickBot="1">
      <c r="A5206" s="101">
        <v>62</v>
      </c>
      <c r="B5206" s="102"/>
      <c r="C5206" s="96" t="s">
        <v>6</v>
      </c>
      <c r="D5206" s="97"/>
    </row>
    <row r="5207" spans="1:4" ht="42.75" customHeight="1" thickBot="1">
      <c r="A5207" s="103"/>
      <c r="B5207" s="104"/>
      <c r="C5207" s="96" t="s">
        <v>21</v>
      </c>
      <c r="D5207" s="97"/>
    </row>
    <row r="5208" spans="1:4" ht="42.75" customHeight="1" thickBot="1">
      <c r="A5208" s="105">
        <f>A5206*A5205</f>
        <v>1860</v>
      </c>
      <c r="B5208" s="106"/>
      <c r="C5208" s="96" t="s">
        <v>7</v>
      </c>
      <c r="D5208" s="97"/>
    </row>
    <row r="5209" spans="1:4" ht="42.75" customHeight="1" thickBot="1">
      <c r="A5209" s="107" t="s">
        <v>17</v>
      </c>
      <c r="B5209" s="108"/>
      <c r="C5209" s="108"/>
      <c r="D5209" s="109"/>
    </row>
    <row r="5210" spans="1:4" ht="42.75" customHeight="1" thickBot="1">
      <c r="A5210" s="110" t="s">
        <v>20</v>
      </c>
      <c r="B5210" s="111"/>
      <c r="C5210" s="111"/>
      <c r="D5210" s="112"/>
    </row>
    <row r="5211" spans="1:4" ht="42.75" customHeight="1" thickBot="1">
      <c r="A5211" s="113" t="s">
        <v>18</v>
      </c>
      <c r="B5211" s="114"/>
      <c r="C5211" s="114"/>
      <c r="D5211" s="115"/>
    </row>
    <row r="5212" spans="1:4" ht="42.75" customHeight="1" thickBot="1">
      <c r="A5212" s="120" t="s">
        <v>19</v>
      </c>
      <c r="B5212" s="121"/>
      <c r="C5212" s="121"/>
      <c r="D5212" s="122"/>
    </row>
    <row r="5213" spans="1:4" ht="42.75" customHeight="1" thickBot="1">
      <c r="A5213" s="123" t="s">
        <v>11</v>
      </c>
      <c r="B5213" s="124"/>
      <c r="C5213" s="125" t="s">
        <v>603</v>
      </c>
      <c r="D5213" s="124"/>
    </row>
    <row r="5214" spans="1:4" ht="42.75" customHeight="1" thickBot="1">
      <c r="A5214" s="1" t="s">
        <v>686</v>
      </c>
      <c r="B5214" s="26" t="s">
        <v>1</v>
      </c>
      <c r="C5214" s="90" t="s">
        <v>178</v>
      </c>
      <c r="D5214" s="91"/>
    </row>
    <row r="5215" spans="1:4" ht="42.75" customHeight="1" thickBot="1">
      <c r="A5215" s="26"/>
      <c r="B5215" s="26" t="s">
        <v>0</v>
      </c>
      <c r="C5215" s="5" t="s">
        <v>687</v>
      </c>
      <c r="D5215" s="4" t="s">
        <v>2</v>
      </c>
    </row>
    <row r="5216" spans="1:4" ht="42.75" customHeight="1" thickBot="1">
      <c r="A5216" s="92">
        <v>4885</v>
      </c>
      <c r="B5216" s="93"/>
      <c r="C5216" s="94" t="s">
        <v>3</v>
      </c>
      <c r="D5216" s="95"/>
    </row>
    <row r="5217" spans="1:4" ht="42.75" customHeight="1" thickBot="1">
      <c r="A5217" s="92">
        <v>4885</v>
      </c>
      <c r="B5217" s="93"/>
      <c r="C5217" s="96" t="s">
        <v>4</v>
      </c>
      <c r="D5217" s="97"/>
    </row>
    <row r="5218" spans="1:4" ht="42.75" customHeight="1" thickBot="1">
      <c r="A5218" s="98">
        <f>A5217-A5216</f>
        <v>0</v>
      </c>
      <c r="B5218" s="99"/>
      <c r="C5218" s="100" t="s">
        <v>5</v>
      </c>
      <c r="D5218" s="97"/>
    </row>
    <row r="5219" spans="1:4" ht="42.75" customHeight="1" thickBot="1">
      <c r="A5219" s="101">
        <v>50</v>
      </c>
      <c r="B5219" s="102"/>
      <c r="C5219" s="96" t="s">
        <v>6</v>
      </c>
      <c r="D5219" s="97"/>
    </row>
    <row r="5220" spans="1:4" ht="42.75" customHeight="1" thickBot="1">
      <c r="A5220" s="103"/>
      <c r="B5220" s="104"/>
      <c r="C5220" s="96" t="s">
        <v>21</v>
      </c>
      <c r="D5220" s="97"/>
    </row>
    <row r="5221" spans="1:4" ht="42.75" customHeight="1" thickBot="1">
      <c r="A5221" s="105">
        <f>A5219*A5218</f>
        <v>0</v>
      </c>
      <c r="B5221" s="106"/>
      <c r="C5221" s="96" t="s">
        <v>7</v>
      </c>
      <c r="D5221" s="97"/>
    </row>
    <row r="5222" spans="1:4" ht="42.75" customHeight="1" thickBot="1">
      <c r="A5222" s="107" t="s">
        <v>17</v>
      </c>
      <c r="B5222" s="108"/>
      <c r="C5222" s="108"/>
      <c r="D5222" s="109"/>
    </row>
    <row r="5223" spans="1:4" ht="42.75" customHeight="1" thickBot="1">
      <c r="A5223" s="116" t="s">
        <v>20</v>
      </c>
      <c r="B5223" s="117"/>
      <c r="C5223" s="117"/>
      <c r="D5223" s="118"/>
    </row>
    <row r="5224" spans="1:4" ht="42.75" customHeight="1" thickBot="1">
      <c r="A5224" s="113" t="s">
        <v>18</v>
      </c>
      <c r="B5224" s="114"/>
      <c r="C5224" s="114"/>
      <c r="D5224" s="115"/>
    </row>
    <row r="5225" spans="1:4" ht="42.75" customHeight="1" thickBot="1">
      <c r="A5225" s="119"/>
      <c r="B5225" s="119"/>
      <c r="C5225" s="119"/>
      <c r="D5225" s="119"/>
    </row>
    <row r="5226" spans="1:4" ht="42.75" customHeight="1" thickBot="1">
      <c r="A5226" s="120" t="s">
        <v>19</v>
      </c>
      <c r="B5226" s="121"/>
      <c r="C5226" s="121"/>
      <c r="D5226" s="122"/>
    </row>
    <row r="5227" spans="1:4" ht="42.75" customHeight="1" thickBot="1">
      <c r="A5227" s="123" t="s">
        <v>11</v>
      </c>
      <c r="B5227" s="124"/>
      <c r="C5227" s="125" t="s">
        <v>603</v>
      </c>
      <c r="D5227" s="124"/>
    </row>
    <row r="5228" spans="1:4" ht="42.75" customHeight="1" thickBot="1">
      <c r="A5228" s="1" t="s">
        <v>686</v>
      </c>
      <c r="B5228" s="26" t="s">
        <v>1</v>
      </c>
      <c r="C5228" s="90" t="s">
        <v>178</v>
      </c>
      <c r="D5228" s="91"/>
    </row>
    <row r="5229" spans="1:4" ht="42.75" customHeight="1" thickBot="1">
      <c r="A5229" s="26"/>
      <c r="B5229" s="26" t="s">
        <v>0</v>
      </c>
      <c r="C5229" s="5" t="s">
        <v>687</v>
      </c>
      <c r="D5229" s="4" t="s">
        <v>2</v>
      </c>
    </row>
    <row r="5230" spans="1:4" ht="42.75" customHeight="1" thickBot="1">
      <c r="A5230" s="92">
        <v>4825</v>
      </c>
      <c r="B5230" s="93"/>
      <c r="C5230" s="94" t="s">
        <v>3</v>
      </c>
      <c r="D5230" s="95"/>
    </row>
    <row r="5231" spans="1:4" ht="42.75" customHeight="1" thickBot="1">
      <c r="A5231" s="92">
        <v>4885</v>
      </c>
      <c r="B5231" s="93"/>
      <c r="C5231" s="96" t="s">
        <v>4</v>
      </c>
      <c r="D5231" s="97"/>
    </row>
    <row r="5232" spans="1:4" ht="42.75" customHeight="1" thickBot="1">
      <c r="A5232" s="98">
        <f>A5231-A5230</f>
        <v>60</v>
      </c>
      <c r="B5232" s="99"/>
      <c r="C5232" s="100" t="s">
        <v>5</v>
      </c>
      <c r="D5232" s="97"/>
    </row>
    <row r="5233" spans="1:4" ht="42.75" customHeight="1" thickBot="1">
      <c r="A5233" s="101">
        <v>62</v>
      </c>
      <c r="B5233" s="102"/>
      <c r="C5233" s="96" t="s">
        <v>6</v>
      </c>
      <c r="D5233" s="97"/>
    </row>
    <row r="5234" spans="1:4" ht="42.75" customHeight="1" thickBot="1">
      <c r="A5234" s="103"/>
      <c r="B5234" s="104"/>
      <c r="C5234" s="96" t="s">
        <v>21</v>
      </c>
      <c r="D5234" s="97"/>
    </row>
    <row r="5235" spans="1:4" ht="42.75" customHeight="1" thickBot="1">
      <c r="A5235" s="105">
        <f>A5233*A5232</f>
        <v>3720</v>
      </c>
      <c r="B5235" s="106"/>
      <c r="C5235" s="96" t="s">
        <v>7</v>
      </c>
      <c r="D5235" s="97"/>
    </row>
    <row r="5236" spans="1:4" ht="42.75" customHeight="1" thickBot="1">
      <c r="A5236" s="107" t="s">
        <v>17</v>
      </c>
      <c r="B5236" s="108"/>
      <c r="C5236" s="108"/>
      <c r="D5236" s="109"/>
    </row>
    <row r="5237" spans="1:4" ht="42.75" customHeight="1" thickBot="1">
      <c r="A5237" s="110" t="s">
        <v>20</v>
      </c>
      <c r="B5237" s="111"/>
      <c r="C5237" s="111"/>
      <c r="D5237" s="112"/>
    </row>
    <row r="5238" spans="1:4" ht="42.75" customHeight="1" thickBot="1">
      <c r="A5238" s="113" t="s">
        <v>18</v>
      </c>
      <c r="B5238" s="114"/>
      <c r="C5238" s="114"/>
      <c r="D5238" s="115"/>
    </row>
    <row r="5239" spans="1:4" ht="42.75" customHeight="1" thickBot="1">
      <c r="A5239" s="120" t="s">
        <v>19</v>
      </c>
      <c r="B5239" s="121"/>
      <c r="C5239" s="121"/>
      <c r="D5239" s="122"/>
    </row>
    <row r="5240" spans="1:4" ht="42.75" customHeight="1" thickBot="1">
      <c r="A5240" s="123" t="s">
        <v>11</v>
      </c>
      <c r="B5240" s="124"/>
      <c r="C5240" s="125" t="s">
        <v>603</v>
      </c>
      <c r="D5240" s="124"/>
    </row>
    <row r="5241" spans="1:4" ht="42.75" customHeight="1" thickBot="1">
      <c r="A5241" s="1" t="s">
        <v>686</v>
      </c>
      <c r="B5241" s="26" t="s">
        <v>1</v>
      </c>
      <c r="C5241" s="90" t="s">
        <v>179</v>
      </c>
      <c r="D5241" s="91"/>
    </row>
    <row r="5242" spans="1:4" ht="42.75" customHeight="1" thickBot="1">
      <c r="A5242" s="26"/>
      <c r="B5242" s="26" t="s">
        <v>0</v>
      </c>
      <c r="C5242" s="5" t="s">
        <v>687</v>
      </c>
      <c r="D5242" s="4" t="s">
        <v>2</v>
      </c>
    </row>
    <row r="5243" spans="1:4" ht="42.75" customHeight="1" thickBot="1">
      <c r="A5243" s="92">
        <v>2490</v>
      </c>
      <c r="B5243" s="93"/>
      <c r="C5243" s="94" t="s">
        <v>3</v>
      </c>
      <c r="D5243" s="95"/>
    </row>
    <row r="5244" spans="1:4" ht="42.75" customHeight="1" thickBot="1">
      <c r="A5244" s="92">
        <v>2490</v>
      </c>
      <c r="B5244" s="93"/>
      <c r="C5244" s="96" t="s">
        <v>4</v>
      </c>
      <c r="D5244" s="97"/>
    </row>
    <row r="5245" spans="1:4" ht="42.75" customHeight="1" thickBot="1">
      <c r="A5245" s="98">
        <f>A5244-A5243</f>
        <v>0</v>
      </c>
      <c r="B5245" s="99"/>
      <c r="C5245" s="100" t="s">
        <v>5</v>
      </c>
      <c r="D5245" s="97"/>
    </row>
    <row r="5246" spans="1:4" ht="42.75" customHeight="1" thickBot="1">
      <c r="A5246" s="101">
        <v>62</v>
      </c>
      <c r="B5246" s="102"/>
      <c r="C5246" s="96" t="s">
        <v>6</v>
      </c>
      <c r="D5246" s="97"/>
    </row>
    <row r="5247" spans="1:4" ht="42.75" customHeight="1" thickBot="1">
      <c r="A5247" s="103"/>
      <c r="B5247" s="104"/>
      <c r="C5247" s="96" t="s">
        <v>21</v>
      </c>
      <c r="D5247" s="97"/>
    </row>
    <row r="5248" spans="1:4" ht="42.75" customHeight="1" thickBot="1">
      <c r="A5248" s="105">
        <f>A5246*A5245</f>
        <v>0</v>
      </c>
      <c r="B5248" s="106"/>
      <c r="C5248" s="96" t="s">
        <v>7</v>
      </c>
      <c r="D5248" s="97"/>
    </row>
    <row r="5249" spans="1:4" ht="42.75" customHeight="1" thickBot="1">
      <c r="A5249" s="107" t="s">
        <v>17</v>
      </c>
      <c r="B5249" s="108"/>
      <c r="C5249" s="108"/>
      <c r="D5249" s="109"/>
    </row>
    <row r="5250" spans="1:4" ht="42.75" customHeight="1" thickBot="1">
      <c r="A5250" s="116" t="s">
        <v>20</v>
      </c>
      <c r="B5250" s="117"/>
      <c r="C5250" s="117"/>
      <c r="D5250" s="118"/>
    </row>
    <row r="5251" spans="1:4" ht="42.75" customHeight="1" thickBot="1">
      <c r="A5251" s="113" t="s">
        <v>18</v>
      </c>
      <c r="B5251" s="114"/>
      <c r="C5251" s="114"/>
      <c r="D5251" s="115"/>
    </row>
    <row r="5252" spans="1:4" ht="42.75" customHeight="1" thickBot="1">
      <c r="A5252" s="119"/>
      <c r="B5252" s="119"/>
      <c r="C5252" s="119"/>
      <c r="D5252" s="119"/>
    </row>
    <row r="5253" spans="1:4" ht="42.75" customHeight="1" thickBot="1">
      <c r="A5253" s="120" t="s">
        <v>19</v>
      </c>
      <c r="B5253" s="121"/>
      <c r="C5253" s="121"/>
      <c r="D5253" s="122"/>
    </row>
    <row r="5254" spans="1:4" ht="42.75" customHeight="1" thickBot="1">
      <c r="A5254" s="123" t="s">
        <v>11</v>
      </c>
      <c r="B5254" s="124"/>
      <c r="C5254" s="125" t="s">
        <v>603</v>
      </c>
      <c r="D5254" s="124"/>
    </row>
    <row r="5255" spans="1:4" ht="42.75" customHeight="1" thickBot="1">
      <c r="A5255" s="1" t="s">
        <v>686</v>
      </c>
      <c r="B5255" s="26" t="s">
        <v>1</v>
      </c>
      <c r="C5255" s="90" t="s">
        <v>179</v>
      </c>
      <c r="D5255" s="91"/>
    </row>
    <row r="5256" spans="1:4" ht="42.75" customHeight="1" thickBot="1">
      <c r="A5256" s="26"/>
      <c r="B5256" s="26" t="s">
        <v>0</v>
      </c>
      <c r="C5256" s="5" t="s">
        <v>687</v>
      </c>
      <c r="D5256" s="4" t="s">
        <v>2</v>
      </c>
    </row>
    <row r="5257" spans="1:4" ht="42.75" customHeight="1" thickBot="1">
      <c r="A5257" s="92">
        <v>2425</v>
      </c>
      <c r="B5257" s="93"/>
      <c r="C5257" s="94" t="s">
        <v>3</v>
      </c>
      <c r="D5257" s="95"/>
    </row>
    <row r="5258" spans="1:4" ht="42.75" customHeight="1" thickBot="1">
      <c r="A5258" s="92">
        <v>2490</v>
      </c>
      <c r="B5258" s="93"/>
      <c r="C5258" s="96" t="s">
        <v>4</v>
      </c>
      <c r="D5258" s="97"/>
    </row>
    <row r="5259" spans="1:4" ht="42.75" customHeight="1" thickBot="1">
      <c r="A5259" s="98">
        <f>A5258-A5257</f>
        <v>65</v>
      </c>
      <c r="B5259" s="99"/>
      <c r="C5259" s="100" t="s">
        <v>5</v>
      </c>
      <c r="D5259" s="97"/>
    </row>
    <row r="5260" spans="1:4" ht="42.75" customHeight="1" thickBot="1">
      <c r="A5260" s="101">
        <v>62</v>
      </c>
      <c r="B5260" s="102"/>
      <c r="C5260" s="96" t="s">
        <v>6</v>
      </c>
      <c r="D5260" s="97"/>
    </row>
    <row r="5261" spans="1:4" ht="42.75" customHeight="1" thickBot="1">
      <c r="A5261" s="103"/>
      <c r="B5261" s="104"/>
      <c r="C5261" s="96" t="s">
        <v>21</v>
      </c>
      <c r="D5261" s="97"/>
    </row>
    <row r="5262" spans="1:4" ht="42.75" customHeight="1" thickBot="1">
      <c r="A5262" s="105">
        <v>4000</v>
      </c>
      <c r="B5262" s="106"/>
      <c r="C5262" s="96" t="s">
        <v>7</v>
      </c>
      <c r="D5262" s="97"/>
    </row>
    <row r="5263" spans="1:4" ht="42.75" customHeight="1" thickBot="1">
      <c r="A5263" s="107" t="s">
        <v>17</v>
      </c>
      <c r="B5263" s="108"/>
      <c r="C5263" s="108"/>
      <c r="D5263" s="109"/>
    </row>
    <row r="5264" spans="1:4" ht="42.75" customHeight="1" thickBot="1">
      <c r="A5264" s="110" t="s">
        <v>20</v>
      </c>
      <c r="B5264" s="111"/>
      <c r="C5264" s="111"/>
      <c r="D5264" s="112"/>
    </row>
    <row r="5265" spans="1:4" ht="42.75" customHeight="1" thickBot="1">
      <c r="A5265" s="113" t="s">
        <v>18</v>
      </c>
      <c r="B5265" s="114"/>
      <c r="C5265" s="114"/>
      <c r="D5265" s="115"/>
    </row>
    <row r="5266" spans="1:4" ht="42.75" customHeight="1" thickBot="1">
      <c r="A5266" s="120" t="s">
        <v>19</v>
      </c>
      <c r="B5266" s="121"/>
      <c r="C5266" s="121"/>
      <c r="D5266" s="122"/>
    </row>
    <row r="5267" spans="1:4" ht="42.75" customHeight="1" thickBot="1">
      <c r="A5267" s="123" t="s">
        <v>11</v>
      </c>
      <c r="B5267" s="124"/>
      <c r="C5267" s="125" t="s">
        <v>603</v>
      </c>
      <c r="D5267" s="124"/>
    </row>
    <row r="5268" spans="1:4" ht="42.75" customHeight="1" thickBot="1">
      <c r="A5268" s="1" t="s">
        <v>686</v>
      </c>
      <c r="B5268" s="26" t="s">
        <v>1</v>
      </c>
      <c r="C5268" s="90" t="s">
        <v>152</v>
      </c>
      <c r="D5268" s="91"/>
    </row>
    <row r="5269" spans="1:4" ht="42.75" customHeight="1" thickBot="1">
      <c r="A5269" s="26"/>
      <c r="B5269" s="26" t="s">
        <v>0</v>
      </c>
      <c r="C5269" s="5" t="s">
        <v>687</v>
      </c>
      <c r="D5269" s="4" t="s">
        <v>2</v>
      </c>
    </row>
    <row r="5270" spans="1:4" ht="42.75" customHeight="1" thickBot="1">
      <c r="A5270" s="92">
        <v>15135</v>
      </c>
      <c r="B5270" s="93"/>
      <c r="C5270" s="94" t="s">
        <v>3</v>
      </c>
      <c r="D5270" s="95"/>
    </row>
    <row r="5271" spans="1:4" ht="42.75" customHeight="1" thickBot="1">
      <c r="A5271" s="92">
        <v>15135</v>
      </c>
      <c r="B5271" s="93"/>
      <c r="C5271" s="96" t="s">
        <v>4</v>
      </c>
      <c r="D5271" s="97"/>
    </row>
    <row r="5272" spans="1:4" ht="42.75" customHeight="1" thickBot="1">
      <c r="A5272" s="98">
        <f>A5271-A5270</f>
        <v>0</v>
      </c>
      <c r="B5272" s="99"/>
      <c r="C5272" s="100" t="s">
        <v>5</v>
      </c>
      <c r="D5272" s="97"/>
    </row>
    <row r="5273" spans="1:4" ht="42.75" customHeight="1" thickBot="1">
      <c r="A5273" s="101">
        <v>55</v>
      </c>
      <c r="B5273" s="102"/>
      <c r="C5273" s="96" t="s">
        <v>6</v>
      </c>
      <c r="D5273" s="97"/>
    </row>
    <row r="5274" spans="1:4" ht="42.75" customHeight="1" thickBot="1">
      <c r="A5274" s="103"/>
      <c r="B5274" s="104"/>
      <c r="C5274" s="96" t="s">
        <v>21</v>
      </c>
      <c r="D5274" s="97"/>
    </row>
    <row r="5275" spans="1:4" ht="42.75" customHeight="1" thickBot="1">
      <c r="A5275" s="105">
        <f>A5273*A5272</f>
        <v>0</v>
      </c>
      <c r="B5275" s="106"/>
      <c r="C5275" s="96" t="s">
        <v>7</v>
      </c>
      <c r="D5275" s="97"/>
    </row>
    <row r="5276" spans="1:4" ht="42.75" customHeight="1" thickBot="1">
      <c r="A5276" s="107" t="s">
        <v>17</v>
      </c>
      <c r="B5276" s="108"/>
      <c r="C5276" s="108"/>
      <c r="D5276" s="109"/>
    </row>
    <row r="5277" spans="1:4" ht="42.75" customHeight="1" thickBot="1">
      <c r="A5277" s="116" t="s">
        <v>20</v>
      </c>
      <c r="B5277" s="117"/>
      <c r="C5277" s="117"/>
      <c r="D5277" s="118"/>
    </row>
    <row r="5278" spans="1:4" ht="42.75" customHeight="1" thickBot="1">
      <c r="A5278" s="113" t="s">
        <v>18</v>
      </c>
      <c r="B5278" s="114"/>
      <c r="C5278" s="114"/>
      <c r="D5278" s="115"/>
    </row>
    <row r="5279" spans="1:4" ht="42.75" customHeight="1" thickBot="1">
      <c r="A5279" s="119"/>
      <c r="B5279" s="119"/>
      <c r="C5279" s="119"/>
      <c r="D5279" s="119"/>
    </row>
    <row r="5280" spans="1:4" ht="42.75" customHeight="1" thickBot="1">
      <c r="A5280" s="120" t="s">
        <v>19</v>
      </c>
      <c r="B5280" s="121"/>
      <c r="C5280" s="121"/>
      <c r="D5280" s="122"/>
    </row>
    <row r="5281" spans="1:4" ht="42.75" customHeight="1" thickBot="1">
      <c r="A5281" s="123" t="s">
        <v>11</v>
      </c>
      <c r="B5281" s="124"/>
      <c r="C5281" s="125" t="s">
        <v>603</v>
      </c>
      <c r="D5281" s="124"/>
    </row>
    <row r="5282" spans="1:4" ht="42.75" customHeight="1" thickBot="1">
      <c r="A5282" s="1" t="s">
        <v>686</v>
      </c>
      <c r="B5282" s="26" t="s">
        <v>1</v>
      </c>
      <c r="C5282" s="90" t="s">
        <v>152</v>
      </c>
      <c r="D5282" s="91"/>
    </row>
    <row r="5283" spans="1:4" ht="42.75" customHeight="1" thickBot="1">
      <c r="A5283" s="26"/>
      <c r="B5283" s="26" t="s">
        <v>0</v>
      </c>
      <c r="C5283" s="5" t="s">
        <v>687</v>
      </c>
      <c r="D5283" s="4" t="s">
        <v>2</v>
      </c>
    </row>
    <row r="5284" spans="1:4" ht="42.75" customHeight="1" thickBot="1">
      <c r="A5284" s="92">
        <v>15095</v>
      </c>
      <c r="B5284" s="93"/>
      <c r="C5284" s="94" t="s">
        <v>3</v>
      </c>
      <c r="D5284" s="95"/>
    </row>
    <row r="5285" spans="1:4" ht="42.75" customHeight="1" thickBot="1">
      <c r="A5285" s="92">
        <v>15135</v>
      </c>
      <c r="B5285" s="93"/>
      <c r="C5285" s="96" t="s">
        <v>4</v>
      </c>
      <c r="D5285" s="97"/>
    </row>
    <row r="5286" spans="1:4" ht="42.75" customHeight="1" thickBot="1">
      <c r="A5286" s="98">
        <f>A5285-A5284</f>
        <v>40</v>
      </c>
      <c r="B5286" s="99"/>
      <c r="C5286" s="100" t="s">
        <v>5</v>
      </c>
      <c r="D5286" s="97"/>
    </row>
    <row r="5287" spans="1:4" ht="42.75" customHeight="1" thickBot="1">
      <c r="A5287" s="101">
        <v>62</v>
      </c>
      <c r="B5287" s="102"/>
      <c r="C5287" s="96" t="s">
        <v>6</v>
      </c>
      <c r="D5287" s="97"/>
    </row>
    <row r="5288" spans="1:4" ht="42.75" customHeight="1" thickBot="1">
      <c r="A5288" s="103"/>
      <c r="B5288" s="104"/>
      <c r="C5288" s="96" t="s">
        <v>21</v>
      </c>
      <c r="D5288" s="97"/>
    </row>
    <row r="5289" spans="1:4" ht="42.75" customHeight="1" thickBot="1">
      <c r="A5289" s="105">
        <f>A5287*A5286</f>
        <v>2480</v>
      </c>
      <c r="B5289" s="106"/>
      <c r="C5289" s="96" t="s">
        <v>7</v>
      </c>
      <c r="D5289" s="97"/>
    </row>
    <row r="5290" spans="1:4" ht="42.75" customHeight="1" thickBot="1">
      <c r="A5290" s="107" t="s">
        <v>17</v>
      </c>
      <c r="B5290" s="108"/>
      <c r="C5290" s="108"/>
      <c r="D5290" s="109"/>
    </row>
    <row r="5291" spans="1:4" ht="42.75" customHeight="1" thickBot="1">
      <c r="A5291" s="110" t="s">
        <v>20</v>
      </c>
      <c r="B5291" s="111"/>
      <c r="C5291" s="111"/>
      <c r="D5291" s="112"/>
    </row>
    <row r="5292" spans="1:4" ht="42.75" customHeight="1" thickBot="1">
      <c r="A5292" s="113" t="s">
        <v>18</v>
      </c>
      <c r="B5292" s="114"/>
      <c r="C5292" s="114"/>
      <c r="D5292" s="115"/>
    </row>
    <row r="5293" spans="1:4" ht="42.75" customHeight="1" thickBot="1">
      <c r="A5293" s="120" t="s">
        <v>19</v>
      </c>
      <c r="B5293" s="121"/>
      <c r="C5293" s="121"/>
      <c r="D5293" s="122"/>
    </row>
    <row r="5294" spans="1:4" ht="42.75" customHeight="1" thickBot="1">
      <c r="A5294" s="123" t="s">
        <v>11</v>
      </c>
      <c r="B5294" s="124"/>
      <c r="C5294" s="125" t="s">
        <v>603</v>
      </c>
      <c r="D5294" s="124"/>
    </row>
    <row r="5295" spans="1:4" ht="42.75" customHeight="1" thickBot="1">
      <c r="A5295" s="1" t="s">
        <v>686</v>
      </c>
      <c r="B5295" s="26" t="s">
        <v>1</v>
      </c>
      <c r="C5295" s="90" t="s">
        <v>605</v>
      </c>
      <c r="D5295" s="91"/>
    </row>
    <row r="5296" spans="1:4" ht="42.75" customHeight="1" thickBot="1">
      <c r="A5296" s="26"/>
      <c r="B5296" s="26" t="s">
        <v>0</v>
      </c>
      <c r="C5296" s="5" t="s">
        <v>687</v>
      </c>
      <c r="D5296" s="4" t="s">
        <v>2</v>
      </c>
    </row>
    <row r="5297" spans="1:4" ht="42.75" customHeight="1" thickBot="1">
      <c r="A5297" s="92">
        <v>8520</v>
      </c>
      <c r="B5297" s="93"/>
      <c r="C5297" s="94" t="s">
        <v>3</v>
      </c>
      <c r="D5297" s="95"/>
    </row>
    <row r="5298" spans="1:4" ht="42.75" customHeight="1" thickBot="1">
      <c r="A5298" s="92">
        <v>8520</v>
      </c>
      <c r="B5298" s="93"/>
      <c r="C5298" s="96" t="s">
        <v>4</v>
      </c>
      <c r="D5298" s="97"/>
    </row>
    <row r="5299" spans="1:4" ht="42.75" customHeight="1" thickBot="1">
      <c r="A5299" s="98">
        <f>A5298-A5297</f>
        <v>0</v>
      </c>
      <c r="B5299" s="99"/>
      <c r="C5299" s="100" t="s">
        <v>5</v>
      </c>
      <c r="D5299" s="97"/>
    </row>
    <row r="5300" spans="1:4" ht="42.75" customHeight="1" thickBot="1">
      <c r="A5300" s="101">
        <v>62</v>
      </c>
      <c r="B5300" s="102"/>
      <c r="C5300" s="96" t="s">
        <v>6</v>
      </c>
      <c r="D5300" s="97"/>
    </row>
    <row r="5301" spans="1:4" ht="42.75" customHeight="1" thickBot="1">
      <c r="A5301" s="103"/>
      <c r="B5301" s="104"/>
      <c r="C5301" s="96" t="s">
        <v>21</v>
      </c>
      <c r="D5301" s="97"/>
    </row>
    <row r="5302" spans="1:4" ht="42.75" customHeight="1" thickBot="1">
      <c r="A5302" s="105">
        <f>A5300*A5299</f>
        <v>0</v>
      </c>
      <c r="B5302" s="106"/>
      <c r="C5302" s="96" t="s">
        <v>7</v>
      </c>
      <c r="D5302" s="97"/>
    </row>
    <row r="5303" spans="1:4" ht="42.75" customHeight="1" thickBot="1">
      <c r="A5303" s="107" t="s">
        <v>17</v>
      </c>
      <c r="B5303" s="108"/>
      <c r="C5303" s="108"/>
      <c r="D5303" s="109"/>
    </row>
    <row r="5304" spans="1:4" ht="42.75" customHeight="1" thickBot="1">
      <c r="A5304" s="116" t="s">
        <v>20</v>
      </c>
      <c r="B5304" s="117"/>
      <c r="C5304" s="117"/>
      <c r="D5304" s="118"/>
    </row>
    <row r="5305" spans="1:4" ht="42.75" customHeight="1" thickBot="1">
      <c r="A5305" s="113" t="s">
        <v>18</v>
      </c>
      <c r="B5305" s="114"/>
      <c r="C5305" s="114"/>
      <c r="D5305" s="115"/>
    </row>
    <row r="5306" spans="1:4" ht="42.75" customHeight="1" thickBot="1">
      <c r="A5306" s="119"/>
      <c r="B5306" s="119"/>
      <c r="C5306" s="119"/>
      <c r="D5306" s="119"/>
    </row>
    <row r="5307" spans="1:4" ht="42.75" customHeight="1" thickBot="1">
      <c r="A5307" s="120" t="s">
        <v>19</v>
      </c>
      <c r="B5307" s="121"/>
      <c r="C5307" s="121"/>
      <c r="D5307" s="122"/>
    </row>
    <row r="5308" spans="1:4" ht="42.75" customHeight="1" thickBot="1">
      <c r="A5308" s="123" t="s">
        <v>11</v>
      </c>
      <c r="B5308" s="124"/>
      <c r="C5308" s="125" t="s">
        <v>603</v>
      </c>
      <c r="D5308" s="124"/>
    </row>
    <row r="5309" spans="1:4" ht="42.75" customHeight="1" thickBot="1">
      <c r="A5309" s="1" t="s">
        <v>686</v>
      </c>
      <c r="B5309" s="26" t="s">
        <v>1</v>
      </c>
      <c r="C5309" s="90" t="s">
        <v>605</v>
      </c>
      <c r="D5309" s="91"/>
    </row>
    <row r="5310" spans="1:4" ht="42.75" customHeight="1" thickBot="1">
      <c r="A5310" s="26"/>
      <c r="B5310" s="26" t="s">
        <v>0</v>
      </c>
      <c r="C5310" s="5" t="s">
        <v>687</v>
      </c>
      <c r="D5310" s="4" t="s">
        <v>2</v>
      </c>
    </row>
    <row r="5311" spans="1:4" ht="42.75" customHeight="1" thickBot="1">
      <c r="A5311" s="92">
        <v>8370</v>
      </c>
      <c r="B5311" s="93"/>
      <c r="C5311" s="94" t="s">
        <v>3</v>
      </c>
      <c r="D5311" s="95"/>
    </row>
    <row r="5312" spans="1:4" ht="42.75" customHeight="1" thickBot="1">
      <c r="A5312" s="92">
        <v>8520</v>
      </c>
      <c r="B5312" s="93"/>
      <c r="C5312" s="96" t="s">
        <v>4</v>
      </c>
      <c r="D5312" s="97"/>
    </row>
    <row r="5313" spans="1:4" ht="42.75" customHeight="1" thickBot="1">
      <c r="A5313" s="98">
        <f>A5312-A5311</f>
        <v>150</v>
      </c>
      <c r="B5313" s="99"/>
      <c r="C5313" s="100" t="s">
        <v>5</v>
      </c>
      <c r="D5313" s="97"/>
    </row>
    <row r="5314" spans="1:4" ht="42.75" customHeight="1" thickBot="1">
      <c r="A5314" s="101">
        <v>62</v>
      </c>
      <c r="B5314" s="102"/>
      <c r="C5314" s="96" t="s">
        <v>6</v>
      </c>
      <c r="D5314" s="97"/>
    </row>
    <row r="5315" spans="1:4" ht="42.75" customHeight="1" thickBot="1">
      <c r="A5315" s="103"/>
      <c r="B5315" s="104"/>
      <c r="C5315" s="96" t="s">
        <v>21</v>
      </c>
      <c r="D5315" s="97"/>
    </row>
    <row r="5316" spans="1:4" ht="42.75" customHeight="1" thickBot="1">
      <c r="A5316" s="105">
        <f>A5314*A5313</f>
        <v>9300</v>
      </c>
      <c r="B5316" s="106"/>
      <c r="C5316" s="96" t="s">
        <v>7</v>
      </c>
      <c r="D5316" s="97"/>
    </row>
    <row r="5317" spans="1:4" ht="42.75" customHeight="1" thickBot="1">
      <c r="A5317" s="107" t="s">
        <v>17</v>
      </c>
      <c r="B5317" s="108"/>
      <c r="C5317" s="108"/>
      <c r="D5317" s="109"/>
    </row>
    <row r="5318" spans="1:4" ht="42.75" customHeight="1" thickBot="1">
      <c r="A5318" s="110" t="s">
        <v>20</v>
      </c>
      <c r="B5318" s="111"/>
      <c r="C5318" s="111"/>
      <c r="D5318" s="112"/>
    </row>
    <row r="5319" spans="1:4" ht="42.75" customHeight="1" thickBot="1">
      <c r="A5319" s="113" t="s">
        <v>18</v>
      </c>
      <c r="B5319" s="114"/>
      <c r="C5319" s="114"/>
      <c r="D5319" s="115"/>
    </row>
    <row r="5320" spans="1:4" ht="42.75" customHeight="1" thickBot="1">
      <c r="A5320" s="120" t="s">
        <v>19</v>
      </c>
      <c r="B5320" s="121"/>
      <c r="C5320" s="121"/>
      <c r="D5320" s="122"/>
    </row>
    <row r="5321" spans="1:4" ht="42.75" customHeight="1" thickBot="1">
      <c r="A5321" s="123" t="s">
        <v>11</v>
      </c>
      <c r="B5321" s="124"/>
      <c r="C5321" s="125" t="s">
        <v>603</v>
      </c>
      <c r="D5321" s="124"/>
    </row>
    <row r="5322" spans="1:4" ht="42.75" customHeight="1" thickBot="1">
      <c r="A5322" s="1" t="s">
        <v>686</v>
      </c>
      <c r="B5322" s="26" t="s">
        <v>1</v>
      </c>
      <c r="C5322" s="90" t="s">
        <v>167</v>
      </c>
      <c r="D5322" s="91"/>
    </row>
    <row r="5323" spans="1:4" ht="42.75" customHeight="1" thickBot="1">
      <c r="A5323" s="26"/>
      <c r="B5323" s="26" t="s">
        <v>0</v>
      </c>
      <c r="C5323" s="5" t="s">
        <v>687</v>
      </c>
      <c r="D5323" s="4" t="s">
        <v>2</v>
      </c>
    </row>
    <row r="5324" spans="1:4" ht="42.75" customHeight="1" thickBot="1">
      <c r="A5324" s="92">
        <v>5050</v>
      </c>
      <c r="B5324" s="93"/>
      <c r="C5324" s="94" t="s">
        <v>3</v>
      </c>
      <c r="D5324" s="95"/>
    </row>
    <row r="5325" spans="1:4" ht="42.75" customHeight="1" thickBot="1">
      <c r="A5325" s="92">
        <v>5050</v>
      </c>
      <c r="B5325" s="93"/>
      <c r="C5325" s="96" t="s">
        <v>4</v>
      </c>
      <c r="D5325" s="97"/>
    </row>
    <row r="5326" spans="1:4" ht="42.75" customHeight="1" thickBot="1">
      <c r="A5326" s="98">
        <f>A5325-A5324</f>
        <v>0</v>
      </c>
      <c r="B5326" s="99"/>
      <c r="C5326" s="100" t="s">
        <v>5</v>
      </c>
      <c r="D5326" s="97"/>
    </row>
    <row r="5327" spans="1:4" ht="42.75" customHeight="1" thickBot="1">
      <c r="A5327" s="101">
        <v>62</v>
      </c>
      <c r="B5327" s="102"/>
      <c r="C5327" s="96" t="s">
        <v>6</v>
      </c>
      <c r="D5327" s="97"/>
    </row>
    <row r="5328" spans="1:4" ht="42.75" customHeight="1" thickBot="1">
      <c r="A5328" s="103"/>
      <c r="B5328" s="104"/>
      <c r="C5328" s="96" t="s">
        <v>21</v>
      </c>
      <c r="D5328" s="97"/>
    </row>
    <row r="5329" spans="1:4" ht="42.75" customHeight="1" thickBot="1">
      <c r="A5329" s="105">
        <f>A5327*A5326</f>
        <v>0</v>
      </c>
      <c r="B5329" s="106"/>
      <c r="C5329" s="96" t="s">
        <v>7</v>
      </c>
      <c r="D5329" s="97"/>
    </row>
    <row r="5330" spans="1:4" ht="42.75" customHeight="1" thickBot="1">
      <c r="A5330" s="107" t="s">
        <v>17</v>
      </c>
      <c r="B5330" s="108"/>
      <c r="C5330" s="108"/>
      <c r="D5330" s="109"/>
    </row>
    <row r="5331" spans="1:4" ht="42.75" customHeight="1" thickBot="1">
      <c r="A5331" s="116" t="s">
        <v>20</v>
      </c>
      <c r="B5331" s="117"/>
      <c r="C5331" s="117"/>
      <c r="D5331" s="118"/>
    </row>
    <row r="5332" spans="1:4" ht="42.75" customHeight="1" thickBot="1">
      <c r="A5332" s="113" t="s">
        <v>18</v>
      </c>
      <c r="B5332" s="114"/>
      <c r="C5332" s="114"/>
      <c r="D5332" s="115"/>
    </row>
    <row r="5333" spans="1:4" ht="42.75" customHeight="1" thickBot="1">
      <c r="A5333" s="119"/>
      <c r="B5333" s="119"/>
      <c r="C5333" s="119"/>
      <c r="D5333" s="119"/>
    </row>
    <row r="5334" spans="1:4" ht="42.75" customHeight="1" thickBot="1">
      <c r="A5334" s="120" t="s">
        <v>19</v>
      </c>
      <c r="B5334" s="121"/>
      <c r="C5334" s="121"/>
      <c r="D5334" s="122"/>
    </row>
    <row r="5335" spans="1:4" ht="42.75" customHeight="1" thickBot="1">
      <c r="A5335" s="123" t="s">
        <v>11</v>
      </c>
      <c r="B5335" s="124"/>
      <c r="C5335" s="125" t="s">
        <v>603</v>
      </c>
      <c r="D5335" s="124"/>
    </row>
    <row r="5336" spans="1:4" ht="42.75" customHeight="1" thickBot="1">
      <c r="A5336" s="1" t="s">
        <v>686</v>
      </c>
      <c r="B5336" s="26" t="s">
        <v>1</v>
      </c>
      <c r="C5336" s="90" t="s">
        <v>167</v>
      </c>
      <c r="D5336" s="91"/>
    </row>
    <row r="5337" spans="1:4" ht="42.75" customHeight="1" thickBot="1">
      <c r="A5337" s="26"/>
      <c r="B5337" s="26" t="s">
        <v>0</v>
      </c>
      <c r="C5337" s="5" t="s">
        <v>687</v>
      </c>
      <c r="D5337" s="4" t="s">
        <v>2</v>
      </c>
    </row>
    <row r="5338" spans="1:4" ht="42.75" customHeight="1" thickBot="1">
      <c r="A5338" s="92">
        <v>5010</v>
      </c>
      <c r="B5338" s="93"/>
      <c r="C5338" s="94" t="s">
        <v>3</v>
      </c>
      <c r="D5338" s="95"/>
    </row>
    <row r="5339" spans="1:4" ht="42.75" customHeight="1" thickBot="1">
      <c r="A5339" s="92">
        <v>5050</v>
      </c>
      <c r="B5339" s="93"/>
      <c r="C5339" s="96" t="s">
        <v>4</v>
      </c>
      <c r="D5339" s="97"/>
    </row>
    <row r="5340" spans="1:4" ht="42.75" customHeight="1" thickBot="1">
      <c r="A5340" s="98">
        <f>A5339-A5338</f>
        <v>40</v>
      </c>
      <c r="B5340" s="99"/>
      <c r="C5340" s="100" t="s">
        <v>5</v>
      </c>
      <c r="D5340" s="97"/>
    </row>
    <row r="5341" spans="1:4" ht="42.75" customHeight="1" thickBot="1">
      <c r="A5341" s="101">
        <v>62</v>
      </c>
      <c r="B5341" s="102"/>
      <c r="C5341" s="96" t="s">
        <v>6</v>
      </c>
      <c r="D5341" s="97"/>
    </row>
    <row r="5342" spans="1:4" ht="42.75" customHeight="1" thickBot="1">
      <c r="A5342" s="103"/>
      <c r="B5342" s="104"/>
      <c r="C5342" s="96" t="s">
        <v>21</v>
      </c>
      <c r="D5342" s="97"/>
    </row>
    <row r="5343" spans="1:4" ht="42.75" customHeight="1" thickBot="1">
      <c r="A5343" s="105">
        <v>2500</v>
      </c>
      <c r="B5343" s="106"/>
      <c r="C5343" s="96" t="s">
        <v>7</v>
      </c>
      <c r="D5343" s="97"/>
    </row>
    <row r="5344" spans="1:4" ht="42.75" customHeight="1" thickBot="1">
      <c r="A5344" s="107" t="s">
        <v>17</v>
      </c>
      <c r="B5344" s="108"/>
      <c r="C5344" s="108"/>
      <c r="D5344" s="109"/>
    </row>
    <row r="5345" spans="1:4" ht="42.75" customHeight="1" thickBot="1">
      <c r="A5345" s="110" t="s">
        <v>20</v>
      </c>
      <c r="B5345" s="111"/>
      <c r="C5345" s="111"/>
      <c r="D5345" s="112"/>
    </row>
    <row r="5346" spans="1:4" ht="42.75" customHeight="1" thickBot="1">
      <c r="A5346" s="113" t="s">
        <v>18</v>
      </c>
      <c r="B5346" s="114"/>
      <c r="C5346" s="114"/>
      <c r="D5346" s="115"/>
    </row>
    <row r="5347" spans="1:4" ht="42.75" customHeight="1" thickBot="1">
      <c r="A5347" s="120" t="s">
        <v>19</v>
      </c>
      <c r="B5347" s="121"/>
      <c r="C5347" s="121"/>
      <c r="D5347" s="122"/>
    </row>
    <row r="5348" spans="1:4" ht="42.75" customHeight="1" thickBot="1">
      <c r="A5348" s="123" t="s">
        <v>11</v>
      </c>
      <c r="B5348" s="124"/>
      <c r="C5348" s="125" t="s">
        <v>603</v>
      </c>
      <c r="D5348" s="124"/>
    </row>
    <row r="5349" spans="1:4" ht="42.75" customHeight="1" thickBot="1">
      <c r="A5349" s="1" t="s">
        <v>686</v>
      </c>
      <c r="B5349" s="26" t="s">
        <v>1</v>
      </c>
      <c r="C5349" s="90" t="s">
        <v>180</v>
      </c>
      <c r="D5349" s="91"/>
    </row>
    <row r="5350" spans="1:4" ht="42.75" customHeight="1" thickBot="1">
      <c r="A5350" s="26"/>
      <c r="B5350" s="26" t="s">
        <v>0</v>
      </c>
      <c r="C5350" s="5" t="s">
        <v>687</v>
      </c>
      <c r="D5350" s="4" t="s">
        <v>2</v>
      </c>
    </row>
    <row r="5351" spans="1:4" ht="42.75" customHeight="1" thickBot="1">
      <c r="A5351" s="92">
        <v>5040</v>
      </c>
      <c r="B5351" s="93"/>
      <c r="C5351" s="94" t="s">
        <v>3</v>
      </c>
      <c r="D5351" s="95"/>
    </row>
    <row r="5352" spans="1:4" ht="42.75" customHeight="1" thickBot="1">
      <c r="A5352" s="92">
        <v>5040</v>
      </c>
      <c r="B5352" s="93"/>
      <c r="C5352" s="96" t="s">
        <v>4</v>
      </c>
      <c r="D5352" s="97"/>
    </row>
    <row r="5353" spans="1:4" ht="42.75" customHeight="1" thickBot="1">
      <c r="A5353" s="98">
        <f>A5352-A5351</f>
        <v>0</v>
      </c>
      <c r="B5353" s="99"/>
      <c r="C5353" s="100" t="s">
        <v>5</v>
      </c>
      <c r="D5353" s="97"/>
    </row>
    <row r="5354" spans="1:4" ht="42.75" customHeight="1" thickBot="1">
      <c r="A5354" s="101">
        <v>62</v>
      </c>
      <c r="B5354" s="102"/>
      <c r="C5354" s="96" t="s">
        <v>6</v>
      </c>
      <c r="D5354" s="97"/>
    </row>
    <row r="5355" spans="1:4" ht="42.75" customHeight="1" thickBot="1">
      <c r="A5355" s="103"/>
      <c r="B5355" s="104"/>
      <c r="C5355" s="96" t="s">
        <v>21</v>
      </c>
      <c r="D5355" s="97"/>
    </row>
    <row r="5356" spans="1:4" ht="42.75" customHeight="1" thickBot="1">
      <c r="A5356" s="105">
        <f>A5354*A5353</f>
        <v>0</v>
      </c>
      <c r="B5356" s="106"/>
      <c r="C5356" s="96" t="s">
        <v>7</v>
      </c>
      <c r="D5356" s="97"/>
    </row>
    <row r="5357" spans="1:4" ht="42.75" customHeight="1" thickBot="1">
      <c r="A5357" s="107" t="s">
        <v>17</v>
      </c>
      <c r="B5357" s="108"/>
      <c r="C5357" s="108"/>
      <c r="D5357" s="109"/>
    </row>
    <row r="5358" spans="1:4" ht="42.75" customHeight="1" thickBot="1">
      <c r="A5358" s="116" t="s">
        <v>20</v>
      </c>
      <c r="B5358" s="117"/>
      <c r="C5358" s="117"/>
      <c r="D5358" s="118"/>
    </row>
    <row r="5359" spans="1:4" ht="42.75" customHeight="1" thickBot="1">
      <c r="A5359" s="113" t="s">
        <v>18</v>
      </c>
      <c r="B5359" s="114"/>
      <c r="C5359" s="114"/>
      <c r="D5359" s="115"/>
    </row>
    <row r="5360" spans="1:4" ht="42.75" customHeight="1" thickBot="1">
      <c r="A5360" s="119"/>
      <c r="B5360" s="119"/>
      <c r="C5360" s="119"/>
      <c r="D5360" s="119"/>
    </row>
    <row r="5361" spans="1:4" ht="42.75" customHeight="1" thickBot="1">
      <c r="A5361" s="120" t="s">
        <v>19</v>
      </c>
      <c r="B5361" s="121"/>
      <c r="C5361" s="121"/>
      <c r="D5361" s="122"/>
    </row>
    <row r="5362" spans="1:4" ht="42.75" customHeight="1" thickBot="1">
      <c r="A5362" s="123" t="s">
        <v>11</v>
      </c>
      <c r="B5362" s="124"/>
      <c r="C5362" s="125" t="s">
        <v>603</v>
      </c>
      <c r="D5362" s="124"/>
    </row>
    <row r="5363" spans="1:4" ht="42.75" customHeight="1" thickBot="1">
      <c r="A5363" s="1" t="s">
        <v>686</v>
      </c>
      <c r="B5363" s="26" t="s">
        <v>1</v>
      </c>
      <c r="C5363" s="90" t="s">
        <v>180</v>
      </c>
      <c r="D5363" s="91"/>
    </row>
    <row r="5364" spans="1:4" ht="42.75" customHeight="1" thickBot="1">
      <c r="A5364" s="26"/>
      <c r="B5364" s="26" t="s">
        <v>0</v>
      </c>
      <c r="C5364" s="5" t="s">
        <v>687</v>
      </c>
      <c r="D5364" s="4" t="s">
        <v>2</v>
      </c>
    </row>
    <row r="5365" spans="1:4" ht="42.75" customHeight="1" thickBot="1">
      <c r="A5365" s="92">
        <v>5010</v>
      </c>
      <c r="B5365" s="93"/>
      <c r="C5365" s="94" t="s">
        <v>3</v>
      </c>
      <c r="D5365" s="95"/>
    </row>
    <row r="5366" spans="1:4" ht="42.75" customHeight="1" thickBot="1">
      <c r="A5366" s="92">
        <v>5040</v>
      </c>
      <c r="B5366" s="93"/>
      <c r="C5366" s="96" t="s">
        <v>4</v>
      </c>
      <c r="D5366" s="97"/>
    </row>
    <row r="5367" spans="1:4" ht="42.75" customHeight="1" thickBot="1">
      <c r="A5367" s="98">
        <f>A5366-A5365</f>
        <v>30</v>
      </c>
      <c r="B5367" s="99"/>
      <c r="C5367" s="100" t="s">
        <v>5</v>
      </c>
      <c r="D5367" s="97"/>
    </row>
    <row r="5368" spans="1:4" ht="42.75" customHeight="1" thickBot="1">
      <c r="A5368" s="101">
        <v>62</v>
      </c>
      <c r="B5368" s="102"/>
      <c r="C5368" s="96" t="s">
        <v>6</v>
      </c>
      <c r="D5368" s="97"/>
    </row>
    <row r="5369" spans="1:4" ht="42.75" customHeight="1" thickBot="1">
      <c r="A5369" s="103"/>
      <c r="B5369" s="104"/>
      <c r="C5369" s="96" t="s">
        <v>21</v>
      </c>
      <c r="D5369" s="97"/>
    </row>
    <row r="5370" spans="1:4" ht="42.75" customHeight="1" thickBot="1">
      <c r="A5370" s="105">
        <v>1850</v>
      </c>
      <c r="B5370" s="106"/>
      <c r="C5370" s="96" t="s">
        <v>7</v>
      </c>
      <c r="D5370" s="97"/>
    </row>
    <row r="5371" spans="1:4" ht="42.75" customHeight="1" thickBot="1">
      <c r="A5371" s="107" t="s">
        <v>17</v>
      </c>
      <c r="B5371" s="108"/>
      <c r="C5371" s="108"/>
      <c r="D5371" s="109"/>
    </row>
    <row r="5372" spans="1:4" ht="42.75" customHeight="1" thickBot="1">
      <c r="A5372" s="110" t="s">
        <v>20</v>
      </c>
      <c r="B5372" s="111"/>
      <c r="C5372" s="111"/>
      <c r="D5372" s="112"/>
    </row>
    <row r="5373" spans="1:4" ht="42.75" customHeight="1" thickBot="1">
      <c r="A5373" s="113" t="s">
        <v>18</v>
      </c>
      <c r="B5373" s="114"/>
      <c r="C5373" s="114"/>
      <c r="D5373" s="115"/>
    </row>
    <row r="5374" spans="1:4" ht="42.75" customHeight="1" thickBot="1">
      <c r="A5374" s="129" t="s">
        <v>19</v>
      </c>
      <c r="B5374" s="130"/>
      <c r="C5374" s="130"/>
      <c r="D5374" s="131"/>
    </row>
    <row r="5375" spans="1:4" ht="42.75" customHeight="1" thickBot="1">
      <c r="A5375" s="123" t="s">
        <v>11</v>
      </c>
      <c r="B5375" s="124"/>
      <c r="C5375" s="123" t="s">
        <v>603</v>
      </c>
      <c r="D5375" s="124"/>
    </row>
    <row r="5376" spans="1:4" ht="42.75" customHeight="1" thickBot="1">
      <c r="A5376" s="1" t="s">
        <v>686</v>
      </c>
      <c r="B5376" s="26" t="s">
        <v>1</v>
      </c>
      <c r="C5376" s="90" t="s">
        <v>181</v>
      </c>
      <c r="D5376" s="91"/>
    </row>
    <row r="5377" spans="1:4" ht="42.75" customHeight="1" thickBot="1">
      <c r="A5377" s="26"/>
      <c r="B5377" s="26" t="s">
        <v>0</v>
      </c>
      <c r="C5377" s="5" t="s">
        <v>687</v>
      </c>
      <c r="D5377" s="4" t="s">
        <v>2</v>
      </c>
    </row>
    <row r="5378" spans="1:4" ht="42.75" customHeight="1" thickBot="1">
      <c r="A5378" s="92">
        <v>10200</v>
      </c>
      <c r="B5378" s="93"/>
      <c r="C5378" s="94" t="s">
        <v>3</v>
      </c>
      <c r="D5378" s="95"/>
    </row>
    <row r="5379" spans="1:4" ht="42.75" customHeight="1" thickBot="1">
      <c r="A5379" s="92">
        <v>10200</v>
      </c>
      <c r="B5379" s="93"/>
      <c r="C5379" s="96" t="s">
        <v>4</v>
      </c>
      <c r="D5379" s="97"/>
    </row>
    <row r="5380" spans="1:4" ht="42.75" customHeight="1" thickBot="1">
      <c r="A5380" s="98">
        <f>A5379-A5378</f>
        <v>0</v>
      </c>
      <c r="B5380" s="99"/>
      <c r="C5380" s="96" t="s">
        <v>5</v>
      </c>
      <c r="D5380" s="97"/>
    </row>
    <row r="5381" spans="1:4" ht="42.75" customHeight="1" thickBot="1">
      <c r="A5381" s="101">
        <v>62</v>
      </c>
      <c r="B5381" s="102"/>
      <c r="C5381" s="96" t="s">
        <v>6</v>
      </c>
      <c r="D5381" s="97"/>
    </row>
    <row r="5382" spans="1:4" ht="42.75" customHeight="1" thickBot="1">
      <c r="A5382" s="103"/>
      <c r="B5382" s="104"/>
      <c r="C5382" s="96" t="s">
        <v>21</v>
      </c>
      <c r="D5382" s="97"/>
    </row>
    <row r="5383" spans="1:4" ht="42.75" customHeight="1" thickBot="1">
      <c r="A5383" s="105">
        <f>A5381*A5380</f>
        <v>0</v>
      </c>
      <c r="B5383" s="106"/>
      <c r="C5383" s="96" t="s">
        <v>7</v>
      </c>
      <c r="D5383" s="97"/>
    </row>
    <row r="5384" spans="1:4" ht="42.75" customHeight="1" thickBot="1">
      <c r="A5384" s="107" t="s">
        <v>17</v>
      </c>
      <c r="B5384" s="108"/>
      <c r="C5384" s="108"/>
      <c r="D5384" s="109"/>
    </row>
    <row r="5385" spans="1:4" ht="42.75" customHeight="1" thickBot="1">
      <c r="A5385" s="116" t="s">
        <v>20</v>
      </c>
      <c r="B5385" s="117"/>
      <c r="C5385" s="117"/>
      <c r="D5385" s="118"/>
    </row>
    <row r="5386" spans="1:4" ht="42.75" customHeight="1" thickBot="1">
      <c r="A5386" s="113" t="s">
        <v>18</v>
      </c>
      <c r="B5386" s="114"/>
      <c r="C5386" s="114"/>
      <c r="D5386" s="115"/>
    </row>
    <row r="5387" spans="1:4" ht="42.75" customHeight="1" thickBot="1">
      <c r="A5387" s="119"/>
      <c r="B5387" s="119"/>
      <c r="C5387" s="119"/>
      <c r="D5387" s="119"/>
    </row>
    <row r="5388" spans="1:4" ht="42.75" customHeight="1" thickBot="1">
      <c r="A5388" s="129" t="s">
        <v>19</v>
      </c>
      <c r="B5388" s="130"/>
      <c r="C5388" s="130"/>
      <c r="D5388" s="131"/>
    </row>
    <row r="5389" spans="1:4" ht="42.75" customHeight="1" thickBot="1">
      <c r="A5389" s="123" t="s">
        <v>11</v>
      </c>
      <c r="B5389" s="124"/>
      <c r="C5389" s="123" t="s">
        <v>603</v>
      </c>
      <c r="D5389" s="124"/>
    </row>
    <row r="5390" spans="1:4" ht="42.75" customHeight="1" thickBot="1">
      <c r="A5390" s="1" t="s">
        <v>686</v>
      </c>
      <c r="B5390" s="26" t="s">
        <v>1</v>
      </c>
      <c r="C5390" s="90" t="s">
        <v>181</v>
      </c>
      <c r="D5390" s="91"/>
    </row>
    <row r="5391" spans="1:4" ht="42.75" customHeight="1" thickBot="1">
      <c r="A5391" s="26"/>
      <c r="B5391" s="26" t="s">
        <v>0</v>
      </c>
      <c r="C5391" s="5" t="s">
        <v>687</v>
      </c>
      <c r="D5391" s="4" t="s">
        <v>2</v>
      </c>
    </row>
    <row r="5392" spans="1:4" ht="42.75" customHeight="1" thickBot="1">
      <c r="A5392" s="92">
        <v>10140</v>
      </c>
      <c r="B5392" s="93"/>
      <c r="C5392" s="94" t="s">
        <v>3</v>
      </c>
      <c r="D5392" s="95"/>
    </row>
    <row r="5393" spans="1:4" ht="42.75" customHeight="1" thickBot="1">
      <c r="A5393" s="92">
        <v>10200</v>
      </c>
      <c r="B5393" s="93"/>
      <c r="C5393" s="96" t="s">
        <v>4</v>
      </c>
      <c r="D5393" s="97"/>
    </row>
    <row r="5394" spans="1:4" ht="42.75" customHeight="1" thickBot="1">
      <c r="A5394" s="98">
        <f>A5393-A5392</f>
        <v>60</v>
      </c>
      <c r="B5394" s="99"/>
      <c r="C5394" s="96" t="s">
        <v>5</v>
      </c>
      <c r="D5394" s="97"/>
    </row>
    <row r="5395" spans="1:4" ht="42.75" customHeight="1" thickBot="1">
      <c r="A5395" s="101">
        <v>62</v>
      </c>
      <c r="B5395" s="102"/>
      <c r="C5395" s="96" t="s">
        <v>6</v>
      </c>
      <c r="D5395" s="97"/>
    </row>
    <row r="5396" spans="1:4" ht="42.75" customHeight="1" thickBot="1">
      <c r="A5396" s="103"/>
      <c r="B5396" s="104"/>
      <c r="C5396" s="96" t="s">
        <v>21</v>
      </c>
      <c r="D5396" s="97"/>
    </row>
    <row r="5397" spans="1:4" ht="42.75" customHeight="1" thickBot="1">
      <c r="A5397" s="105">
        <v>3700</v>
      </c>
      <c r="B5397" s="106"/>
      <c r="C5397" s="96" t="s">
        <v>7</v>
      </c>
      <c r="D5397" s="97"/>
    </row>
    <row r="5398" spans="1:4" ht="42.75" customHeight="1" thickBot="1">
      <c r="A5398" s="107" t="s">
        <v>17</v>
      </c>
      <c r="B5398" s="108"/>
      <c r="C5398" s="108"/>
      <c r="D5398" s="109"/>
    </row>
    <row r="5399" spans="1:4" ht="42.75" customHeight="1" thickBot="1">
      <c r="A5399" s="110" t="s">
        <v>20</v>
      </c>
      <c r="B5399" s="111"/>
      <c r="C5399" s="111"/>
      <c r="D5399" s="112"/>
    </row>
    <row r="5400" spans="1:4" ht="42.75" customHeight="1" thickBot="1">
      <c r="A5400" s="113" t="s">
        <v>18</v>
      </c>
      <c r="B5400" s="114"/>
      <c r="C5400" s="114"/>
      <c r="D5400" s="115"/>
    </row>
    <row r="5401" spans="1:4" ht="42.75" customHeight="1" thickBot="1">
      <c r="A5401" s="120" t="s">
        <v>19</v>
      </c>
      <c r="B5401" s="121"/>
      <c r="C5401" s="121"/>
      <c r="D5401" s="122"/>
    </row>
    <row r="5402" spans="1:4" ht="42.75" customHeight="1" thickBot="1">
      <c r="A5402" s="123" t="s">
        <v>11</v>
      </c>
      <c r="B5402" s="124"/>
      <c r="C5402" s="125" t="s">
        <v>603</v>
      </c>
      <c r="D5402" s="124"/>
    </row>
    <row r="5403" spans="1:4" ht="42.75" customHeight="1" thickBot="1">
      <c r="A5403" s="1" t="s">
        <v>686</v>
      </c>
      <c r="B5403" s="26" t="s">
        <v>1</v>
      </c>
      <c r="C5403" s="90" t="s">
        <v>182</v>
      </c>
      <c r="D5403" s="91"/>
    </row>
    <row r="5404" spans="1:4" ht="42.75" customHeight="1" thickBot="1">
      <c r="A5404" s="26"/>
      <c r="B5404" s="26" t="s">
        <v>0</v>
      </c>
      <c r="C5404" s="5" t="s">
        <v>687</v>
      </c>
      <c r="D5404" s="4" t="s">
        <v>2</v>
      </c>
    </row>
    <row r="5405" spans="1:4" ht="42.75" customHeight="1" thickBot="1">
      <c r="A5405" s="92">
        <v>3440</v>
      </c>
      <c r="B5405" s="93"/>
      <c r="C5405" s="94" t="s">
        <v>3</v>
      </c>
      <c r="D5405" s="95"/>
    </row>
    <row r="5406" spans="1:4" ht="42.75" customHeight="1" thickBot="1">
      <c r="A5406" s="92">
        <v>3440</v>
      </c>
      <c r="B5406" s="93"/>
      <c r="C5406" s="96" t="s">
        <v>4</v>
      </c>
      <c r="D5406" s="97"/>
    </row>
    <row r="5407" spans="1:4" ht="42.75" customHeight="1" thickBot="1">
      <c r="A5407" s="98">
        <f>A5406-A5405</f>
        <v>0</v>
      </c>
      <c r="B5407" s="99"/>
      <c r="C5407" s="100" t="s">
        <v>5</v>
      </c>
      <c r="D5407" s="97"/>
    </row>
    <row r="5408" spans="1:4" ht="42.75" customHeight="1" thickBot="1">
      <c r="A5408" s="101">
        <v>62</v>
      </c>
      <c r="B5408" s="102"/>
      <c r="C5408" s="96" t="s">
        <v>6</v>
      </c>
      <c r="D5408" s="97"/>
    </row>
    <row r="5409" spans="1:4" ht="42.75" customHeight="1" thickBot="1">
      <c r="A5409" s="103"/>
      <c r="B5409" s="104"/>
      <c r="C5409" s="96" t="s">
        <v>21</v>
      </c>
      <c r="D5409" s="97"/>
    </row>
    <row r="5410" spans="1:4" ht="42.75" customHeight="1" thickBot="1">
      <c r="A5410" s="105">
        <f>A5408*A5407</f>
        <v>0</v>
      </c>
      <c r="B5410" s="106"/>
      <c r="C5410" s="96" t="s">
        <v>7</v>
      </c>
      <c r="D5410" s="97"/>
    </row>
    <row r="5411" spans="1:4" ht="42.75" customHeight="1" thickBot="1">
      <c r="A5411" s="107" t="s">
        <v>17</v>
      </c>
      <c r="B5411" s="108"/>
      <c r="C5411" s="108"/>
      <c r="D5411" s="109"/>
    </row>
    <row r="5412" spans="1:4" ht="42.75" customHeight="1" thickBot="1">
      <c r="A5412" s="116" t="s">
        <v>20</v>
      </c>
      <c r="B5412" s="117"/>
      <c r="C5412" s="117"/>
      <c r="D5412" s="118"/>
    </row>
    <row r="5413" spans="1:4" ht="42.75" customHeight="1" thickBot="1">
      <c r="A5413" s="113" t="s">
        <v>18</v>
      </c>
      <c r="B5413" s="114"/>
      <c r="C5413" s="114"/>
      <c r="D5413" s="115"/>
    </row>
    <row r="5414" spans="1:4" ht="42.75" customHeight="1" thickBot="1">
      <c r="A5414" s="119"/>
      <c r="B5414" s="119"/>
      <c r="C5414" s="119"/>
      <c r="D5414" s="119"/>
    </row>
    <row r="5415" spans="1:4" ht="42.75" customHeight="1" thickBot="1">
      <c r="A5415" s="120" t="s">
        <v>19</v>
      </c>
      <c r="B5415" s="121"/>
      <c r="C5415" s="121"/>
      <c r="D5415" s="122"/>
    </row>
    <row r="5416" spans="1:4" ht="42.75" customHeight="1" thickBot="1">
      <c r="A5416" s="123" t="s">
        <v>11</v>
      </c>
      <c r="B5416" s="124"/>
      <c r="C5416" s="125" t="s">
        <v>603</v>
      </c>
      <c r="D5416" s="124"/>
    </row>
    <row r="5417" spans="1:4" ht="42.75" customHeight="1" thickBot="1">
      <c r="A5417" s="1" t="s">
        <v>686</v>
      </c>
      <c r="B5417" s="26" t="s">
        <v>1</v>
      </c>
      <c r="C5417" s="90" t="s">
        <v>182</v>
      </c>
      <c r="D5417" s="91"/>
    </row>
    <row r="5418" spans="1:4" ht="42.75" customHeight="1" thickBot="1">
      <c r="A5418" s="26"/>
      <c r="B5418" s="26" t="s">
        <v>0</v>
      </c>
      <c r="C5418" s="5" t="s">
        <v>687</v>
      </c>
      <c r="D5418" s="4" t="s">
        <v>2</v>
      </c>
    </row>
    <row r="5419" spans="1:4" ht="42.75" customHeight="1" thickBot="1">
      <c r="A5419" s="92">
        <v>3375</v>
      </c>
      <c r="B5419" s="93"/>
      <c r="C5419" s="94" t="s">
        <v>3</v>
      </c>
      <c r="D5419" s="95"/>
    </row>
    <row r="5420" spans="1:4" ht="42.75" customHeight="1" thickBot="1">
      <c r="A5420" s="92">
        <v>3440</v>
      </c>
      <c r="B5420" s="93"/>
      <c r="C5420" s="96" t="s">
        <v>4</v>
      </c>
      <c r="D5420" s="97"/>
    </row>
    <row r="5421" spans="1:4" ht="42.75" customHeight="1" thickBot="1">
      <c r="A5421" s="98">
        <f>A5420-A5419</f>
        <v>65</v>
      </c>
      <c r="B5421" s="99"/>
      <c r="C5421" s="100" t="s">
        <v>5</v>
      </c>
      <c r="D5421" s="97"/>
    </row>
    <row r="5422" spans="1:4" ht="42.75" customHeight="1" thickBot="1">
      <c r="A5422" s="101">
        <v>62</v>
      </c>
      <c r="B5422" s="102"/>
      <c r="C5422" s="96" t="s">
        <v>6</v>
      </c>
      <c r="D5422" s="97"/>
    </row>
    <row r="5423" spans="1:4" ht="42.75" customHeight="1" thickBot="1">
      <c r="A5423" s="103"/>
      <c r="B5423" s="104"/>
      <c r="C5423" s="96" t="s">
        <v>21</v>
      </c>
      <c r="D5423" s="97"/>
    </row>
    <row r="5424" spans="1:4" ht="42.75" customHeight="1" thickBot="1">
      <c r="A5424" s="105">
        <v>4000</v>
      </c>
      <c r="B5424" s="106"/>
      <c r="C5424" s="96" t="s">
        <v>7</v>
      </c>
      <c r="D5424" s="97"/>
    </row>
    <row r="5425" spans="1:4" ht="42.75" customHeight="1" thickBot="1">
      <c r="A5425" s="107" t="s">
        <v>17</v>
      </c>
      <c r="B5425" s="108"/>
      <c r="C5425" s="108"/>
      <c r="D5425" s="109"/>
    </row>
    <row r="5426" spans="1:4" ht="42.75" customHeight="1" thickBot="1">
      <c r="A5426" s="110" t="s">
        <v>20</v>
      </c>
      <c r="B5426" s="111"/>
      <c r="C5426" s="111"/>
      <c r="D5426" s="112"/>
    </row>
    <row r="5427" spans="1:4" ht="42.75" customHeight="1" thickBot="1">
      <c r="A5427" s="113" t="s">
        <v>18</v>
      </c>
      <c r="B5427" s="114"/>
      <c r="C5427" s="114"/>
      <c r="D5427" s="115"/>
    </row>
    <row r="5428" spans="1:4" ht="42.75" customHeight="1" thickBot="1">
      <c r="A5428" s="120" t="s">
        <v>19</v>
      </c>
      <c r="B5428" s="121"/>
      <c r="C5428" s="121"/>
      <c r="D5428" s="122"/>
    </row>
    <row r="5429" spans="1:4" ht="42.75" customHeight="1" thickBot="1">
      <c r="A5429" s="123" t="s">
        <v>11</v>
      </c>
      <c r="B5429" s="124"/>
      <c r="C5429" s="125" t="s">
        <v>603</v>
      </c>
      <c r="D5429" s="124"/>
    </row>
    <row r="5430" spans="1:4" ht="42.75" customHeight="1" thickBot="1">
      <c r="A5430" s="1" t="s">
        <v>686</v>
      </c>
      <c r="B5430" s="26" t="s">
        <v>1</v>
      </c>
      <c r="C5430" s="90" t="s">
        <v>183</v>
      </c>
      <c r="D5430" s="91"/>
    </row>
    <row r="5431" spans="1:4" ht="42.75" customHeight="1" thickBot="1">
      <c r="A5431" s="26"/>
      <c r="B5431" s="26" t="s">
        <v>0</v>
      </c>
      <c r="C5431" s="5" t="s">
        <v>687</v>
      </c>
      <c r="D5431" s="4" t="s">
        <v>2</v>
      </c>
    </row>
    <row r="5432" spans="1:4" ht="42.75" customHeight="1" thickBot="1">
      <c r="A5432" s="92">
        <v>5055</v>
      </c>
      <c r="B5432" s="93"/>
      <c r="C5432" s="94" t="s">
        <v>3</v>
      </c>
      <c r="D5432" s="95"/>
    </row>
    <row r="5433" spans="1:4" ht="42.75" customHeight="1" thickBot="1">
      <c r="A5433" s="92">
        <v>5055</v>
      </c>
      <c r="B5433" s="93"/>
      <c r="C5433" s="96" t="s">
        <v>4</v>
      </c>
      <c r="D5433" s="97"/>
    </row>
    <row r="5434" spans="1:4" ht="42.75" customHeight="1" thickBot="1">
      <c r="A5434" s="98">
        <f>A5433-A5432</f>
        <v>0</v>
      </c>
      <c r="B5434" s="99"/>
      <c r="C5434" s="100" t="s">
        <v>5</v>
      </c>
      <c r="D5434" s="97"/>
    </row>
    <row r="5435" spans="1:4" ht="42.75" customHeight="1" thickBot="1">
      <c r="A5435" s="101">
        <v>62</v>
      </c>
      <c r="B5435" s="102"/>
      <c r="C5435" s="96" t="s">
        <v>6</v>
      </c>
      <c r="D5435" s="97"/>
    </row>
    <row r="5436" spans="1:4" ht="42.75" customHeight="1" thickBot="1">
      <c r="A5436" s="103"/>
      <c r="B5436" s="104"/>
      <c r="C5436" s="96" t="s">
        <v>21</v>
      </c>
      <c r="D5436" s="97"/>
    </row>
    <row r="5437" spans="1:4" ht="42.75" customHeight="1" thickBot="1">
      <c r="A5437" s="105">
        <f>A5435*A5434</f>
        <v>0</v>
      </c>
      <c r="B5437" s="106"/>
      <c r="C5437" s="96" t="s">
        <v>7</v>
      </c>
      <c r="D5437" s="97"/>
    </row>
    <row r="5438" spans="1:4" ht="42.75" customHeight="1" thickBot="1">
      <c r="A5438" s="107" t="s">
        <v>17</v>
      </c>
      <c r="B5438" s="108"/>
      <c r="C5438" s="108"/>
      <c r="D5438" s="109"/>
    </row>
    <row r="5439" spans="1:4" ht="42.75" customHeight="1" thickBot="1">
      <c r="A5439" s="116" t="s">
        <v>20</v>
      </c>
      <c r="B5439" s="117"/>
      <c r="C5439" s="117"/>
      <c r="D5439" s="118"/>
    </row>
    <row r="5440" spans="1:4" ht="42.75" customHeight="1" thickBot="1">
      <c r="A5440" s="113" t="s">
        <v>18</v>
      </c>
      <c r="B5440" s="114"/>
      <c r="C5440" s="114"/>
      <c r="D5440" s="115"/>
    </row>
    <row r="5441" spans="1:4" ht="42.75" customHeight="1" thickBot="1">
      <c r="A5441" s="119"/>
      <c r="B5441" s="119"/>
      <c r="C5441" s="119"/>
      <c r="D5441" s="119"/>
    </row>
    <row r="5442" spans="1:4" ht="42.75" customHeight="1" thickBot="1">
      <c r="A5442" s="120" t="s">
        <v>19</v>
      </c>
      <c r="B5442" s="121"/>
      <c r="C5442" s="121"/>
      <c r="D5442" s="122"/>
    </row>
    <row r="5443" spans="1:4" ht="42.75" customHeight="1" thickBot="1">
      <c r="A5443" s="123" t="s">
        <v>11</v>
      </c>
      <c r="B5443" s="124"/>
      <c r="C5443" s="125" t="s">
        <v>603</v>
      </c>
      <c r="D5443" s="124"/>
    </row>
    <row r="5444" spans="1:4" ht="42.75" customHeight="1" thickBot="1">
      <c r="A5444" s="1" t="s">
        <v>686</v>
      </c>
      <c r="B5444" s="26" t="s">
        <v>1</v>
      </c>
      <c r="C5444" s="90" t="s">
        <v>183</v>
      </c>
      <c r="D5444" s="91"/>
    </row>
    <row r="5445" spans="1:4" ht="42.75" customHeight="1" thickBot="1">
      <c r="A5445" s="26"/>
      <c r="B5445" s="26" t="s">
        <v>0</v>
      </c>
      <c r="C5445" s="5" t="s">
        <v>687</v>
      </c>
      <c r="D5445" s="4" t="s">
        <v>2</v>
      </c>
    </row>
    <row r="5446" spans="1:4" ht="42.75" customHeight="1" thickBot="1">
      <c r="A5446" s="92">
        <v>5020</v>
      </c>
      <c r="B5446" s="93"/>
      <c r="C5446" s="94" t="s">
        <v>3</v>
      </c>
      <c r="D5446" s="95"/>
    </row>
    <row r="5447" spans="1:4" ht="42.75" customHeight="1" thickBot="1">
      <c r="A5447" s="92">
        <v>5055</v>
      </c>
      <c r="B5447" s="93"/>
      <c r="C5447" s="96" t="s">
        <v>4</v>
      </c>
      <c r="D5447" s="97"/>
    </row>
    <row r="5448" spans="1:4" ht="42.75" customHeight="1" thickBot="1">
      <c r="A5448" s="98">
        <f>A5447-A5446</f>
        <v>35</v>
      </c>
      <c r="B5448" s="99"/>
      <c r="C5448" s="100" t="s">
        <v>5</v>
      </c>
      <c r="D5448" s="97"/>
    </row>
    <row r="5449" spans="1:4" ht="42.75" customHeight="1" thickBot="1">
      <c r="A5449" s="101">
        <v>62</v>
      </c>
      <c r="B5449" s="102"/>
      <c r="C5449" s="96" t="s">
        <v>6</v>
      </c>
      <c r="D5449" s="97"/>
    </row>
    <row r="5450" spans="1:4" ht="42.75" customHeight="1" thickBot="1">
      <c r="A5450" s="103"/>
      <c r="B5450" s="104"/>
      <c r="C5450" s="96" t="s">
        <v>21</v>
      </c>
      <c r="D5450" s="97"/>
    </row>
    <row r="5451" spans="1:4" ht="42.75" customHeight="1" thickBot="1">
      <c r="A5451" s="105">
        <v>2200</v>
      </c>
      <c r="B5451" s="106"/>
      <c r="C5451" s="96" t="s">
        <v>7</v>
      </c>
      <c r="D5451" s="97"/>
    </row>
    <row r="5452" spans="1:4" ht="42.75" customHeight="1" thickBot="1">
      <c r="A5452" s="107" t="s">
        <v>17</v>
      </c>
      <c r="B5452" s="108"/>
      <c r="C5452" s="108"/>
      <c r="D5452" s="109"/>
    </row>
    <row r="5453" spans="1:4" ht="42.75" customHeight="1" thickBot="1">
      <c r="A5453" s="110" t="s">
        <v>20</v>
      </c>
      <c r="B5453" s="111"/>
      <c r="C5453" s="111"/>
      <c r="D5453" s="112"/>
    </row>
    <row r="5454" spans="1:4" ht="42.75" customHeight="1" thickBot="1">
      <c r="A5454" s="113" t="s">
        <v>18</v>
      </c>
      <c r="B5454" s="114"/>
      <c r="C5454" s="114"/>
      <c r="D5454" s="115"/>
    </row>
    <row r="5455" spans="1:4" ht="42.75" customHeight="1" thickBot="1">
      <c r="A5455" s="120" t="s">
        <v>19</v>
      </c>
      <c r="B5455" s="121"/>
      <c r="C5455" s="121"/>
      <c r="D5455" s="122"/>
    </row>
    <row r="5456" spans="1:4" ht="42.75" customHeight="1" thickBot="1">
      <c r="A5456" s="123" t="s">
        <v>11</v>
      </c>
      <c r="B5456" s="124"/>
      <c r="C5456" s="125" t="s">
        <v>603</v>
      </c>
      <c r="D5456" s="124"/>
    </row>
    <row r="5457" spans="1:4" ht="42.75" customHeight="1" thickBot="1">
      <c r="A5457" s="1" t="s">
        <v>686</v>
      </c>
      <c r="B5457" s="26" t="s">
        <v>1</v>
      </c>
      <c r="C5457" s="90" t="s">
        <v>184</v>
      </c>
      <c r="D5457" s="91"/>
    </row>
    <row r="5458" spans="1:4" ht="42.75" customHeight="1" thickBot="1">
      <c r="A5458" s="26"/>
      <c r="B5458" s="26" t="s">
        <v>0</v>
      </c>
      <c r="C5458" s="5" t="s">
        <v>687</v>
      </c>
      <c r="D5458" s="4" t="s">
        <v>2</v>
      </c>
    </row>
    <row r="5459" spans="1:4" ht="42.75" customHeight="1" thickBot="1">
      <c r="A5459" s="92">
        <v>5950</v>
      </c>
      <c r="B5459" s="93"/>
      <c r="C5459" s="94" t="s">
        <v>3</v>
      </c>
      <c r="D5459" s="95"/>
    </row>
    <row r="5460" spans="1:4" ht="42.75" customHeight="1" thickBot="1">
      <c r="A5460" s="92">
        <v>5950</v>
      </c>
      <c r="B5460" s="93"/>
      <c r="C5460" s="96" t="s">
        <v>4</v>
      </c>
      <c r="D5460" s="97"/>
    </row>
    <row r="5461" spans="1:4" ht="42.75" customHeight="1" thickBot="1">
      <c r="A5461" s="98">
        <f>A5460-A5459</f>
        <v>0</v>
      </c>
      <c r="B5461" s="99"/>
      <c r="C5461" s="100" t="s">
        <v>5</v>
      </c>
      <c r="D5461" s="97"/>
    </row>
    <row r="5462" spans="1:4" ht="42.75" customHeight="1" thickBot="1">
      <c r="A5462" s="101">
        <v>62</v>
      </c>
      <c r="B5462" s="102"/>
      <c r="C5462" s="96" t="s">
        <v>6</v>
      </c>
      <c r="D5462" s="97"/>
    </row>
    <row r="5463" spans="1:4" ht="42.75" customHeight="1" thickBot="1">
      <c r="A5463" s="103"/>
      <c r="B5463" s="104"/>
      <c r="C5463" s="96" t="s">
        <v>21</v>
      </c>
      <c r="D5463" s="97"/>
    </row>
    <row r="5464" spans="1:4" ht="42.75" customHeight="1" thickBot="1">
      <c r="A5464" s="105">
        <f>A5462*A5461</f>
        <v>0</v>
      </c>
      <c r="B5464" s="106"/>
      <c r="C5464" s="96" t="s">
        <v>7</v>
      </c>
      <c r="D5464" s="97"/>
    </row>
    <row r="5465" spans="1:4" ht="42.75" customHeight="1" thickBot="1">
      <c r="A5465" s="107" t="s">
        <v>17</v>
      </c>
      <c r="B5465" s="108"/>
      <c r="C5465" s="108"/>
      <c r="D5465" s="109"/>
    </row>
    <row r="5466" spans="1:4" ht="42.75" customHeight="1" thickBot="1">
      <c r="A5466" s="116" t="s">
        <v>20</v>
      </c>
      <c r="B5466" s="117"/>
      <c r="C5466" s="117"/>
      <c r="D5466" s="118"/>
    </row>
    <row r="5467" spans="1:4" ht="42.75" customHeight="1" thickBot="1">
      <c r="A5467" s="113" t="s">
        <v>18</v>
      </c>
      <c r="B5467" s="114"/>
      <c r="C5467" s="114"/>
      <c r="D5467" s="115"/>
    </row>
    <row r="5468" spans="1:4" ht="42.75" customHeight="1" thickBot="1">
      <c r="A5468" s="119"/>
      <c r="B5468" s="119"/>
      <c r="C5468" s="119"/>
      <c r="D5468" s="119"/>
    </row>
    <row r="5469" spans="1:4" ht="42.75" customHeight="1" thickBot="1">
      <c r="A5469" s="120" t="s">
        <v>19</v>
      </c>
      <c r="B5469" s="121"/>
      <c r="C5469" s="121"/>
      <c r="D5469" s="122"/>
    </row>
    <row r="5470" spans="1:4" ht="42.75" customHeight="1" thickBot="1">
      <c r="A5470" s="123" t="s">
        <v>11</v>
      </c>
      <c r="B5470" s="124"/>
      <c r="C5470" s="125" t="s">
        <v>603</v>
      </c>
      <c r="D5470" s="124"/>
    </row>
    <row r="5471" spans="1:4" ht="42.75" customHeight="1" thickBot="1">
      <c r="A5471" s="1" t="s">
        <v>686</v>
      </c>
      <c r="B5471" s="26" t="s">
        <v>1</v>
      </c>
      <c r="C5471" s="90" t="s">
        <v>184</v>
      </c>
      <c r="D5471" s="91"/>
    </row>
    <row r="5472" spans="1:4" ht="42.75" customHeight="1" thickBot="1">
      <c r="A5472" s="26"/>
      <c r="B5472" s="26" t="s">
        <v>0</v>
      </c>
      <c r="C5472" s="5" t="s">
        <v>687</v>
      </c>
      <c r="D5472" s="4" t="s">
        <v>2</v>
      </c>
    </row>
    <row r="5473" spans="1:4" ht="42.75" customHeight="1" thickBot="1">
      <c r="A5473" s="92">
        <v>5885</v>
      </c>
      <c r="B5473" s="93"/>
      <c r="C5473" s="94" t="s">
        <v>3</v>
      </c>
      <c r="D5473" s="95"/>
    </row>
    <row r="5474" spans="1:4" ht="42.75" customHeight="1" thickBot="1">
      <c r="A5474" s="92">
        <v>5950</v>
      </c>
      <c r="B5474" s="93"/>
      <c r="C5474" s="96" t="s">
        <v>4</v>
      </c>
      <c r="D5474" s="97"/>
    </row>
    <row r="5475" spans="1:4" ht="42.75" customHeight="1" thickBot="1">
      <c r="A5475" s="98">
        <f>A5474-A5473</f>
        <v>65</v>
      </c>
      <c r="B5475" s="99"/>
      <c r="C5475" s="100" t="s">
        <v>5</v>
      </c>
      <c r="D5475" s="97"/>
    </row>
    <row r="5476" spans="1:4" ht="42.75" customHeight="1" thickBot="1">
      <c r="A5476" s="101">
        <v>62</v>
      </c>
      <c r="B5476" s="102"/>
      <c r="C5476" s="96" t="s">
        <v>6</v>
      </c>
      <c r="D5476" s="97"/>
    </row>
    <row r="5477" spans="1:4" ht="42.75" customHeight="1" thickBot="1">
      <c r="A5477" s="103"/>
      <c r="B5477" s="104"/>
      <c r="C5477" s="96" t="s">
        <v>21</v>
      </c>
      <c r="D5477" s="97"/>
    </row>
    <row r="5478" spans="1:4" ht="42.75" customHeight="1" thickBot="1">
      <c r="A5478" s="105">
        <v>4000</v>
      </c>
      <c r="B5478" s="106"/>
      <c r="C5478" s="96" t="s">
        <v>7</v>
      </c>
      <c r="D5478" s="97"/>
    </row>
    <row r="5479" spans="1:4" ht="42.75" customHeight="1" thickBot="1">
      <c r="A5479" s="107" t="s">
        <v>17</v>
      </c>
      <c r="B5479" s="108"/>
      <c r="C5479" s="108"/>
      <c r="D5479" s="109"/>
    </row>
    <row r="5480" spans="1:4" ht="42.75" customHeight="1" thickBot="1">
      <c r="A5480" s="110" t="s">
        <v>20</v>
      </c>
      <c r="B5480" s="111"/>
      <c r="C5480" s="111"/>
      <c r="D5480" s="112"/>
    </row>
    <row r="5481" spans="1:4" ht="42.75" customHeight="1" thickBot="1">
      <c r="A5481" s="113" t="s">
        <v>18</v>
      </c>
      <c r="B5481" s="114"/>
      <c r="C5481" s="114"/>
      <c r="D5481" s="115"/>
    </row>
    <row r="5482" spans="1:4" ht="42.75" customHeight="1" thickBot="1">
      <c r="A5482" s="120" t="s">
        <v>19</v>
      </c>
      <c r="B5482" s="121"/>
      <c r="C5482" s="121"/>
      <c r="D5482" s="122"/>
    </row>
    <row r="5483" spans="1:4" ht="42.75" customHeight="1" thickBot="1">
      <c r="A5483" s="123" t="s">
        <v>11</v>
      </c>
      <c r="B5483" s="124"/>
      <c r="C5483" s="125" t="s">
        <v>603</v>
      </c>
      <c r="D5483" s="124"/>
    </row>
    <row r="5484" spans="1:4" ht="42.75" customHeight="1" thickBot="1">
      <c r="A5484" s="1" t="s">
        <v>686</v>
      </c>
      <c r="B5484" s="26" t="s">
        <v>1</v>
      </c>
      <c r="C5484" s="90" t="s">
        <v>185</v>
      </c>
      <c r="D5484" s="91"/>
    </row>
    <row r="5485" spans="1:4" ht="42.75" customHeight="1" thickBot="1">
      <c r="A5485" s="26"/>
      <c r="B5485" s="26" t="s">
        <v>0</v>
      </c>
      <c r="C5485" s="5" t="s">
        <v>687</v>
      </c>
      <c r="D5485" s="4" t="s">
        <v>2</v>
      </c>
    </row>
    <row r="5486" spans="1:4" ht="42.75" customHeight="1" thickBot="1">
      <c r="A5486" s="92">
        <v>4345</v>
      </c>
      <c r="B5486" s="93"/>
      <c r="C5486" s="94" t="s">
        <v>3</v>
      </c>
      <c r="D5486" s="95"/>
    </row>
    <row r="5487" spans="1:4" ht="42.75" customHeight="1" thickBot="1">
      <c r="A5487" s="92">
        <v>4345</v>
      </c>
      <c r="B5487" s="93"/>
      <c r="C5487" s="96" t="s">
        <v>4</v>
      </c>
      <c r="D5487" s="97"/>
    </row>
    <row r="5488" spans="1:4" ht="42.75" customHeight="1" thickBot="1">
      <c r="A5488" s="98">
        <f>A5487-A5486</f>
        <v>0</v>
      </c>
      <c r="B5488" s="99"/>
      <c r="C5488" s="100" t="s">
        <v>5</v>
      </c>
      <c r="D5488" s="97"/>
    </row>
    <row r="5489" spans="1:4" ht="42.75" customHeight="1" thickBot="1">
      <c r="A5489" s="101">
        <v>55</v>
      </c>
      <c r="B5489" s="102"/>
      <c r="C5489" s="96" t="s">
        <v>6</v>
      </c>
      <c r="D5489" s="97"/>
    </row>
    <row r="5490" spans="1:4" ht="42.75" customHeight="1" thickBot="1">
      <c r="A5490" s="103"/>
      <c r="B5490" s="104"/>
      <c r="C5490" s="96" t="s">
        <v>21</v>
      </c>
      <c r="D5490" s="97"/>
    </row>
    <row r="5491" spans="1:4" ht="42.75" customHeight="1" thickBot="1">
      <c r="A5491" s="105">
        <f>A5489*A5488</f>
        <v>0</v>
      </c>
      <c r="B5491" s="106"/>
      <c r="C5491" s="96" t="s">
        <v>7</v>
      </c>
      <c r="D5491" s="97"/>
    </row>
    <row r="5492" spans="1:4" ht="42.75" customHeight="1" thickBot="1">
      <c r="A5492" s="107" t="s">
        <v>17</v>
      </c>
      <c r="B5492" s="108"/>
      <c r="C5492" s="108"/>
      <c r="D5492" s="109"/>
    </row>
    <row r="5493" spans="1:4" ht="42.75" customHeight="1" thickBot="1">
      <c r="A5493" s="116" t="s">
        <v>20</v>
      </c>
      <c r="B5493" s="117"/>
      <c r="C5493" s="117"/>
      <c r="D5493" s="118"/>
    </row>
    <row r="5494" spans="1:4" ht="42.75" customHeight="1" thickBot="1">
      <c r="A5494" s="113" t="s">
        <v>18</v>
      </c>
      <c r="B5494" s="114"/>
      <c r="C5494" s="114"/>
      <c r="D5494" s="115"/>
    </row>
    <row r="5495" spans="1:4" ht="42.75" customHeight="1" thickBot="1">
      <c r="A5495" s="119"/>
      <c r="B5495" s="119"/>
      <c r="C5495" s="119"/>
      <c r="D5495" s="119"/>
    </row>
    <row r="5496" spans="1:4" ht="42.75" customHeight="1" thickBot="1">
      <c r="A5496" s="120" t="s">
        <v>19</v>
      </c>
      <c r="B5496" s="121"/>
      <c r="C5496" s="121"/>
      <c r="D5496" s="122"/>
    </row>
    <row r="5497" spans="1:4" ht="42.75" customHeight="1" thickBot="1">
      <c r="A5497" s="123" t="s">
        <v>11</v>
      </c>
      <c r="B5497" s="124"/>
      <c r="C5497" s="125" t="s">
        <v>603</v>
      </c>
      <c r="D5497" s="124"/>
    </row>
    <row r="5498" spans="1:4" ht="42.75" customHeight="1" thickBot="1">
      <c r="A5498" s="1" t="s">
        <v>686</v>
      </c>
      <c r="B5498" s="26" t="s">
        <v>1</v>
      </c>
      <c r="C5498" s="90" t="s">
        <v>185</v>
      </c>
      <c r="D5498" s="91"/>
    </row>
    <row r="5499" spans="1:4" ht="42.75" customHeight="1" thickBot="1">
      <c r="A5499" s="26"/>
      <c r="B5499" s="26" t="s">
        <v>0</v>
      </c>
      <c r="C5499" s="5" t="s">
        <v>687</v>
      </c>
      <c r="D5499" s="4" t="s">
        <v>2</v>
      </c>
    </row>
    <row r="5500" spans="1:4" ht="42.75" customHeight="1" thickBot="1">
      <c r="A5500" s="92">
        <v>4315</v>
      </c>
      <c r="B5500" s="93"/>
      <c r="C5500" s="94" t="s">
        <v>3</v>
      </c>
      <c r="D5500" s="95"/>
    </row>
    <row r="5501" spans="1:4" ht="42.75" customHeight="1" thickBot="1">
      <c r="A5501" s="92">
        <v>4345</v>
      </c>
      <c r="B5501" s="93"/>
      <c r="C5501" s="96" t="s">
        <v>4</v>
      </c>
      <c r="D5501" s="97"/>
    </row>
    <row r="5502" spans="1:4" ht="42.75" customHeight="1" thickBot="1">
      <c r="A5502" s="98">
        <f>A5501-A5500</f>
        <v>30</v>
      </c>
      <c r="B5502" s="99"/>
      <c r="C5502" s="100" t="s">
        <v>5</v>
      </c>
      <c r="D5502" s="97"/>
    </row>
    <row r="5503" spans="1:4" ht="42.75" customHeight="1" thickBot="1">
      <c r="A5503" s="101">
        <v>55</v>
      </c>
      <c r="B5503" s="102"/>
      <c r="C5503" s="96" t="s">
        <v>6</v>
      </c>
      <c r="D5503" s="97"/>
    </row>
    <row r="5504" spans="1:4" ht="42.75" customHeight="1" thickBot="1">
      <c r="A5504" s="103"/>
      <c r="B5504" s="104"/>
      <c r="C5504" s="96" t="s">
        <v>21</v>
      </c>
      <c r="D5504" s="97"/>
    </row>
    <row r="5505" spans="1:4" ht="42.75" customHeight="1" thickBot="1">
      <c r="A5505" s="105">
        <f>A5503*A5502</f>
        <v>1650</v>
      </c>
      <c r="B5505" s="106"/>
      <c r="C5505" s="96" t="s">
        <v>7</v>
      </c>
      <c r="D5505" s="97"/>
    </row>
    <row r="5506" spans="1:4" ht="42.75" customHeight="1" thickBot="1">
      <c r="A5506" s="107" t="s">
        <v>17</v>
      </c>
      <c r="B5506" s="108"/>
      <c r="C5506" s="108"/>
      <c r="D5506" s="109"/>
    </row>
    <row r="5507" spans="1:4" ht="42.75" customHeight="1" thickBot="1">
      <c r="A5507" s="110" t="s">
        <v>20</v>
      </c>
      <c r="B5507" s="111"/>
      <c r="C5507" s="111"/>
      <c r="D5507" s="112"/>
    </row>
    <row r="5508" spans="1:4" ht="42.75" customHeight="1" thickBot="1">
      <c r="A5508" s="113" t="s">
        <v>18</v>
      </c>
      <c r="B5508" s="114"/>
      <c r="C5508" s="114"/>
      <c r="D5508" s="115"/>
    </row>
    <row r="5509" spans="1:4" ht="42.75" customHeight="1" thickBot="1">
      <c r="A5509" s="120" t="s">
        <v>19</v>
      </c>
      <c r="B5509" s="121"/>
      <c r="C5509" s="121"/>
      <c r="D5509" s="122"/>
    </row>
    <row r="5510" spans="1:4" ht="42.75" customHeight="1" thickBot="1">
      <c r="A5510" s="123" t="s">
        <v>11</v>
      </c>
      <c r="B5510" s="124"/>
      <c r="C5510" s="125" t="s">
        <v>603</v>
      </c>
      <c r="D5510" s="124"/>
    </row>
    <row r="5511" spans="1:4" ht="42.75" customHeight="1" thickBot="1">
      <c r="A5511" s="1" t="s">
        <v>686</v>
      </c>
      <c r="B5511" s="26" t="s">
        <v>1</v>
      </c>
      <c r="C5511" s="90" t="s">
        <v>186</v>
      </c>
      <c r="D5511" s="91"/>
    </row>
    <row r="5512" spans="1:4" ht="42.75" customHeight="1" thickBot="1">
      <c r="A5512" s="26"/>
      <c r="B5512" s="26" t="s">
        <v>0</v>
      </c>
      <c r="C5512" s="5" t="s">
        <v>687</v>
      </c>
      <c r="D5512" s="4" t="s">
        <v>2</v>
      </c>
    </row>
    <row r="5513" spans="1:4" ht="42.75" customHeight="1" thickBot="1">
      <c r="A5513" s="92">
        <v>5225</v>
      </c>
      <c r="B5513" s="93"/>
      <c r="C5513" s="94" t="s">
        <v>3</v>
      </c>
      <c r="D5513" s="95"/>
    </row>
    <row r="5514" spans="1:4" ht="42.75" customHeight="1" thickBot="1">
      <c r="A5514" s="92">
        <v>5225</v>
      </c>
      <c r="B5514" s="93"/>
      <c r="C5514" s="96" t="s">
        <v>4</v>
      </c>
      <c r="D5514" s="97"/>
    </row>
    <row r="5515" spans="1:4" ht="42.75" customHeight="1" thickBot="1">
      <c r="A5515" s="98">
        <f>A5514-A5513</f>
        <v>0</v>
      </c>
      <c r="B5515" s="99"/>
      <c r="C5515" s="100" t="s">
        <v>5</v>
      </c>
      <c r="D5515" s="97"/>
    </row>
    <row r="5516" spans="1:4" ht="42.75" customHeight="1" thickBot="1">
      <c r="A5516" s="101">
        <v>62</v>
      </c>
      <c r="B5516" s="102"/>
      <c r="C5516" s="96" t="s">
        <v>6</v>
      </c>
      <c r="D5516" s="97"/>
    </row>
    <row r="5517" spans="1:4" ht="42.75" customHeight="1" thickBot="1">
      <c r="A5517" s="103"/>
      <c r="B5517" s="104"/>
      <c r="C5517" s="96" t="s">
        <v>21</v>
      </c>
      <c r="D5517" s="97"/>
    </row>
    <row r="5518" spans="1:4" ht="42.75" customHeight="1" thickBot="1">
      <c r="A5518" s="105">
        <f>A5516*A5515</f>
        <v>0</v>
      </c>
      <c r="B5518" s="106"/>
      <c r="C5518" s="96" t="s">
        <v>7</v>
      </c>
      <c r="D5518" s="97"/>
    </row>
    <row r="5519" spans="1:4" ht="42.75" customHeight="1" thickBot="1">
      <c r="A5519" s="107" t="s">
        <v>17</v>
      </c>
      <c r="B5519" s="108"/>
      <c r="C5519" s="108"/>
      <c r="D5519" s="109"/>
    </row>
    <row r="5520" spans="1:4" ht="42.75" customHeight="1" thickBot="1">
      <c r="A5520" s="116" t="s">
        <v>20</v>
      </c>
      <c r="B5520" s="117"/>
      <c r="C5520" s="117"/>
      <c r="D5520" s="118"/>
    </row>
    <row r="5521" spans="1:4" ht="42.75" customHeight="1" thickBot="1">
      <c r="A5521" s="113" t="s">
        <v>18</v>
      </c>
      <c r="B5521" s="114"/>
      <c r="C5521" s="114"/>
      <c r="D5521" s="115"/>
    </row>
    <row r="5522" spans="1:4" ht="42.75" customHeight="1" thickBot="1">
      <c r="A5522" s="119"/>
      <c r="B5522" s="119"/>
      <c r="C5522" s="119"/>
      <c r="D5522" s="119"/>
    </row>
    <row r="5523" spans="1:4" ht="42.75" customHeight="1" thickBot="1">
      <c r="A5523" s="120" t="s">
        <v>19</v>
      </c>
      <c r="B5523" s="121"/>
      <c r="C5523" s="121"/>
      <c r="D5523" s="122"/>
    </row>
    <row r="5524" spans="1:4" ht="42.75" customHeight="1" thickBot="1">
      <c r="A5524" s="123" t="s">
        <v>11</v>
      </c>
      <c r="B5524" s="124"/>
      <c r="C5524" s="125" t="s">
        <v>603</v>
      </c>
      <c r="D5524" s="124"/>
    </row>
    <row r="5525" spans="1:4" ht="42.75" customHeight="1" thickBot="1">
      <c r="A5525" s="1" t="s">
        <v>686</v>
      </c>
      <c r="B5525" s="26" t="s">
        <v>1</v>
      </c>
      <c r="C5525" s="90" t="s">
        <v>186</v>
      </c>
      <c r="D5525" s="91"/>
    </row>
    <row r="5526" spans="1:4" ht="42.75" customHeight="1" thickBot="1">
      <c r="A5526" s="26"/>
      <c r="B5526" s="26" t="s">
        <v>0</v>
      </c>
      <c r="C5526" s="5" t="s">
        <v>687</v>
      </c>
      <c r="D5526" s="4" t="s">
        <v>2</v>
      </c>
    </row>
    <row r="5527" spans="1:4" ht="42.75" customHeight="1" thickBot="1">
      <c r="A5527" s="92">
        <v>5185</v>
      </c>
      <c r="B5527" s="93"/>
      <c r="C5527" s="94" t="s">
        <v>3</v>
      </c>
      <c r="D5527" s="95"/>
    </row>
    <row r="5528" spans="1:4" ht="42.75" customHeight="1" thickBot="1">
      <c r="A5528" s="92">
        <v>5225</v>
      </c>
      <c r="B5528" s="93"/>
      <c r="C5528" s="96" t="s">
        <v>4</v>
      </c>
      <c r="D5528" s="97"/>
    </row>
    <row r="5529" spans="1:4" ht="42.75" customHeight="1" thickBot="1">
      <c r="A5529" s="98">
        <f>A5528-A5527</f>
        <v>40</v>
      </c>
      <c r="B5529" s="99"/>
      <c r="C5529" s="100" t="s">
        <v>5</v>
      </c>
      <c r="D5529" s="97"/>
    </row>
    <row r="5530" spans="1:4" ht="42.75" customHeight="1" thickBot="1">
      <c r="A5530" s="101">
        <v>62</v>
      </c>
      <c r="B5530" s="102"/>
      <c r="C5530" s="96" t="s">
        <v>6</v>
      </c>
      <c r="D5530" s="97"/>
    </row>
    <row r="5531" spans="1:4" ht="42.75" customHeight="1" thickBot="1">
      <c r="A5531" s="103"/>
      <c r="B5531" s="104"/>
      <c r="C5531" s="96" t="s">
        <v>21</v>
      </c>
      <c r="D5531" s="97"/>
    </row>
    <row r="5532" spans="1:4" ht="42.75" customHeight="1" thickBot="1">
      <c r="A5532" s="105">
        <v>2500</v>
      </c>
      <c r="B5532" s="106"/>
      <c r="C5532" s="96" t="s">
        <v>7</v>
      </c>
      <c r="D5532" s="97"/>
    </row>
    <row r="5533" spans="1:4" ht="42.75" customHeight="1" thickBot="1">
      <c r="A5533" s="107" t="s">
        <v>17</v>
      </c>
      <c r="B5533" s="108"/>
      <c r="C5533" s="108"/>
      <c r="D5533" s="109"/>
    </row>
    <row r="5534" spans="1:4" ht="42.75" customHeight="1" thickBot="1">
      <c r="A5534" s="110" t="s">
        <v>20</v>
      </c>
      <c r="B5534" s="111"/>
      <c r="C5534" s="111"/>
      <c r="D5534" s="112"/>
    </row>
    <row r="5535" spans="1:4" ht="42.75" customHeight="1" thickBot="1">
      <c r="A5535" s="113" t="s">
        <v>18</v>
      </c>
      <c r="B5535" s="114"/>
      <c r="C5535" s="114"/>
      <c r="D5535" s="115"/>
    </row>
    <row r="5536" spans="1:4" ht="42.75" customHeight="1" thickBot="1">
      <c r="A5536" s="120" t="s">
        <v>19</v>
      </c>
      <c r="B5536" s="121"/>
      <c r="C5536" s="121"/>
      <c r="D5536" s="122"/>
    </row>
    <row r="5537" spans="1:4" ht="42.75" customHeight="1" thickBot="1">
      <c r="A5537" s="123" t="s">
        <v>11</v>
      </c>
      <c r="B5537" s="124"/>
      <c r="C5537" s="125" t="s">
        <v>603</v>
      </c>
      <c r="D5537" s="124"/>
    </row>
    <row r="5538" spans="1:4" ht="42.75" customHeight="1" thickBot="1">
      <c r="A5538" s="1" t="s">
        <v>686</v>
      </c>
      <c r="B5538" s="26" t="s">
        <v>1</v>
      </c>
      <c r="C5538" s="90" t="s">
        <v>187</v>
      </c>
      <c r="D5538" s="91"/>
    </row>
    <row r="5539" spans="1:4" ht="42.75" customHeight="1" thickBot="1">
      <c r="A5539" s="26"/>
      <c r="B5539" s="26" t="s">
        <v>0</v>
      </c>
      <c r="C5539" s="5" t="s">
        <v>687</v>
      </c>
      <c r="D5539" s="4" t="s">
        <v>2</v>
      </c>
    </row>
    <row r="5540" spans="1:4" ht="42.75" customHeight="1" thickBot="1">
      <c r="A5540" s="92">
        <v>2970</v>
      </c>
      <c r="B5540" s="93"/>
      <c r="C5540" s="94" t="s">
        <v>3</v>
      </c>
      <c r="D5540" s="95"/>
    </row>
    <row r="5541" spans="1:4" ht="42.75" customHeight="1" thickBot="1">
      <c r="A5541" s="92">
        <v>2970</v>
      </c>
      <c r="B5541" s="93"/>
      <c r="C5541" s="96" t="s">
        <v>4</v>
      </c>
      <c r="D5541" s="97"/>
    </row>
    <row r="5542" spans="1:4" ht="42.75" customHeight="1" thickBot="1">
      <c r="A5542" s="98">
        <f>A5541-A5540</f>
        <v>0</v>
      </c>
      <c r="B5542" s="99"/>
      <c r="C5542" s="100" t="s">
        <v>5</v>
      </c>
      <c r="D5542" s="97"/>
    </row>
    <row r="5543" spans="1:4" ht="42.75" customHeight="1" thickBot="1">
      <c r="A5543" s="101">
        <v>62</v>
      </c>
      <c r="B5543" s="102"/>
      <c r="C5543" s="96" t="s">
        <v>6</v>
      </c>
      <c r="D5543" s="97"/>
    </row>
    <row r="5544" spans="1:4" ht="42.75" customHeight="1" thickBot="1">
      <c r="A5544" s="103"/>
      <c r="B5544" s="104"/>
      <c r="C5544" s="96" t="s">
        <v>21</v>
      </c>
      <c r="D5544" s="97"/>
    </row>
    <row r="5545" spans="1:4" ht="42.75" customHeight="1" thickBot="1">
      <c r="A5545" s="105">
        <f>A5543*A5542</f>
        <v>0</v>
      </c>
      <c r="B5545" s="106"/>
      <c r="C5545" s="96" t="s">
        <v>7</v>
      </c>
      <c r="D5545" s="97"/>
    </row>
    <row r="5546" spans="1:4" ht="42.75" customHeight="1" thickBot="1">
      <c r="A5546" s="107" t="s">
        <v>17</v>
      </c>
      <c r="B5546" s="108"/>
      <c r="C5546" s="108"/>
      <c r="D5546" s="109"/>
    </row>
    <row r="5547" spans="1:4" ht="42.75" customHeight="1" thickBot="1">
      <c r="A5547" s="116" t="s">
        <v>20</v>
      </c>
      <c r="B5547" s="117"/>
      <c r="C5547" s="117"/>
      <c r="D5547" s="118"/>
    </row>
    <row r="5548" spans="1:4" ht="42.75" customHeight="1" thickBot="1">
      <c r="A5548" s="113" t="s">
        <v>18</v>
      </c>
      <c r="B5548" s="114"/>
      <c r="C5548" s="114"/>
      <c r="D5548" s="115"/>
    </row>
    <row r="5549" spans="1:4" ht="42.75" customHeight="1" thickBot="1">
      <c r="A5549" s="119"/>
      <c r="B5549" s="119"/>
      <c r="C5549" s="119"/>
      <c r="D5549" s="119"/>
    </row>
    <row r="5550" spans="1:4" ht="42.75" customHeight="1" thickBot="1">
      <c r="A5550" s="120" t="s">
        <v>19</v>
      </c>
      <c r="B5550" s="121"/>
      <c r="C5550" s="121"/>
      <c r="D5550" s="122"/>
    </row>
    <row r="5551" spans="1:4" ht="42.75" customHeight="1" thickBot="1">
      <c r="A5551" s="123" t="s">
        <v>11</v>
      </c>
      <c r="B5551" s="124"/>
      <c r="C5551" s="125" t="s">
        <v>603</v>
      </c>
      <c r="D5551" s="124"/>
    </row>
    <row r="5552" spans="1:4" ht="42.75" customHeight="1" thickBot="1">
      <c r="A5552" s="1" t="s">
        <v>686</v>
      </c>
      <c r="B5552" s="26" t="s">
        <v>1</v>
      </c>
      <c r="C5552" s="90" t="s">
        <v>187</v>
      </c>
      <c r="D5552" s="91"/>
    </row>
    <row r="5553" spans="1:4" ht="42.75" customHeight="1" thickBot="1">
      <c r="A5553" s="26"/>
      <c r="B5553" s="26" t="s">
        <v>0</v>
      </c>
      <c r="C5553" s="5" t="s">
        <v>687</v>
      </c>
      <c r="D5553" s="4" t="s">
        <v>2</v>
      </c>
    </row>
    <row r="5554" spans="1:4" ht="42.75" customHeight="1" thickBot="1">
      <c r="A5554" s="92">
        <v>2930</v>
      </c>
      <c r="B5554" s="93"/>
      <c r="C5554" s="94" t="s">
        <v>3</v>
      </c>
      <c r="D5554" s="95"/>
    </row>
    <row r="5555" spans="1:4" ht="42.75" customHeight="1" thickBot="1">
      <c r="A5555" s="92">
        <v>2970</v>
      </c>
      <c r="B5555" s="93"/>
      <c r="C5555" s="96" t="s">
        <v>4</v>
      </c>
      <c r="D5555" s="97"/>
    </row>
    <row r="5556" spans="1:4" ht="42.75" customHeight="1" thickBot="1">
      <c r="A5556" s="98">
        <f>A5555-A5554</f>
        <v>40</v>
      </c>
      <c r="B5556" s="99"/>
      <c r="C5556" s="100" t="s">
        <v>5</v>
      </c>
      <c r="D5556" s="97"/>
    </row>
    <row r="5557" spans="1:4" ht="42.75" customHeight="1" thickBot="1">
      <c r="A5557" s="101">
        <v>62</v>
      </c>
      <c r="B5557" s="102"/>
      <c r="C5557" s="96" t="s">
        <v>6</v>
      </c>
      <c r="D5557" s="97"/>
    </row>
    <row r="5558" spans="1:4" ht="42.75" customHeight="1" thickBot="1">
      <c r="A5558" s="103"/>
      <c r="B5558" s="104"/>
      <c r="C5558" s="96" t="s">
        <v>21</v>
      </c>
      <c r="D5558" s="97"/>
    </row>
    <row r="5559" spans="1:4" ht="42.75" customHeight="1" thickBot="1">
      <c r="A5559" s="105">
        <v>2500</v>
      </c>
      <c r="B5559" s="106"/>
      <c r="C5559" s="96" t="s">
        <v>7</v>
      </c>
      <c r="D5559" s="97"/>
    </row>
    <row r="5560" spans="1:4" ht="42.75" customHeight="1" thickBot="1">
      <c r="A5560" s="107" t="s">
        <v>17</v>
      </c>
      <c r="B5560" s="108"/>
      <c r="C5560" s="108"/>
      <c r="D5560" s="109"/>
    </row>
    <row r="5561" spans="1:4" ht="42.75" customHeight="1" thickBot="1">
      <c r="A5561" s="110" t="s">
        <v>20</v>
      </c>
      <c r="B5561" s="111"/>
      <c r="C5561" s="111"/>
      <c r="D5561" s="112"/>
    </row>
    <row r="5562" spans="1:4" ht="42.75" customHeight="1" thickBot="1">
      <c r="A5562" s="113" t="s">
        <v>18</v>
      </c>
      <c r="B5562" s="114"/>
      <c r="C5562" s="114"/>
      <c r="D5562" s="115"/>
    </row>
    <row r="5563" spans="1:4" ht="42.75" customHeight="1" thickBot="1">
      <c r="A5563" s="120" t="s">
        <v>19</v>
      </c>
      <c r="B5563" s="121"/>
      <c r="C5563" s="121"/>
      <c r="D5563" s="122"/>
    </row>
    <row r="5564" spans="1:4" ht="42.75" customHeight="1" thickBot="1">
      <c r="A5564" s="123" t="s">
        <v>11</v>
      </c>
      <c r="B5564" s="124"/>
      <c r="C5564" s="125" t="s">
        <v>603</v>
      </c>
      <c r="D5564" s="124"/>
    </row>
    <row r="5565" spans="1:4" ht="42.75" customHeight="1" thickBot="1">
      <c r="A5565" s="1" t="s">
        <v>686</v>
      </c>
      <c r="B5565" s="26" t="s">
        <v>1</v>
      </c>
      <c r="C5565" s="90" t="s">
        <v>188</v>
      </c>
      <c r="D5565" s="91"/>
    </row>
    <row r="5566" spans="1:4" ht="42.75" customHeight="1" thickBot="1">
      <c r="A5566" s="26"/>
      <c r="B5566" s="26" t="s">
        <v>0</v>
      </c>
      <c r="C5566" s="5" t="s">
        <v>687</v>
      </c>
      <c r="D5566" s="4" t="s">
        <v>2</v>
      </c>
    </row>
    <row r="5567" spans="1:4" ht="42.75" customHeight="1" thickBot="1">
      <c r="A5567" s="92">
        <v>2620</v>
      </c>
      <c r="B5567" s="93"/>
      <c r="C5567" s="94" t="s">
        <v>3</v>
      </c>
      <c r="D5567" s="95"/>
    </row>
    <row r="5568" spans="1:4" ht="42.75" customHeight="1" thickBot="1">
      <c r="A5568" s="92">
        <v>2620</v>
      </c>
      <c r="B5568" s="93"/>
      <c r="C5568" s="96" t="s">
        <v>4</v>
      </c>
      <c r="D5568" s="97"/>
    </row>
    <row r="5569" spans="1:4" ht="42.75" customHeight="1" thickBot="1">
      <c r="A5569" s="98">
        <f>A5568-A5567</f>
        <v>0</v>
      </c>
      <c r="B5569" s="99"/>
      <c r="C5569" s="100" t="s">
        <v>5</v>
      </c>
      <c r="D5569" s="97"/>
    </row>
    <row r="5570" spans="1:4" ht="42.75" customHeight="1" thickBot="1">
      <c r="A5570" s="101">
        <v>62</v>
      </c>
      <c r="B5570" s="102"/>
      <c r="C5570" s="96" t="s">
        <v>6</v>
      </c>
      <c r="D5570" s="97"/>
    </row>
    <row r="5571" spans="1:4" ht="42.75" customHeight="1" thickBot="1">
      <c r="A5571" s="103"/>
      <c r="B5571" s="104"/>
      <c r="C5571" s="96" t="s">
        <v>21</v>
      </c>
      <c r="D5571" s="97"/>
    </row>
    <row r="5572" spans="1:4" ht="42.75" customHeight="1" thickBot="1">
      <c r="A5572" s="105">
        <f>A5570*A5569</f>
        <v>0</v>
      </c>
      <c r="B5572" s="106"/>
      <c r="C5572" s="96" t="s">
        <v>7</v>
      </c>
      <c r="D5572" s="97"/>
    </row>
    <row r="5573" spans="1:4" ht="42.75" customHeight="1" thickBot="1">
      <c r="A5573" s="107" t="s">
        <v>17</v>
      </c>
      <c r="B5573" s="108"/>
      <c r="C5573" s="108"/>
      <c r="D5573" s="109"/>
    </row>
    <row r="5574" spans="1:4" ht="42.75" customHeight="1" thickBot="1">
      <c r="A5574" s="116" t="s">
        <v>20</v>
      </c>
      <c r="B5574" s="117"/>
      <c r="C5574" s="117"/>
      <c r="D5574" s="118"/>
    </row>
    <row r="5575" spans="1:4" ht="42.75" customHeight="1" thickBot="1">
      <c r="A5575" s="113" t="s">
        <v>18</v>
      </c>
      <c r="B5575" s="114"/>
      <c r="C5575" s="114"/>
      <c r="D5575" s="115"/>
    </row>
    <row r="5576" spans="1:4" ht="42.75" customHeight="1" thickBot="1">
      <c r="A5576" s="119"/>
      <c r="B5576" s="119"/>
      <c r="C5576" s="119"/>
      <c r="D5576" s="119"/>
    </row>
    <row r="5577" spans="1:4" ht="42.75" customHeight="1" thickBot="1">
      <c r="A5577" s="120" t="s">
        <v>19</v>
      </c>
      <c r="B5577" s="121"/>
      <c r="C5577" s="121"/>
      <c r="D5577" s="122"/>
    </row>
    <row r="5578" spans="1:4" ht="42.75" customHeight="1" thickBot="1">
      <c r="A5578" s="123" t="s">
        <v>11</v>
      </c>
      <c r="B5578" s="124"/>
      <c r="C5578" s="125" t="s">
        <v>603</v>
      </c>
      <c r="D5578" s="124"/>
    </row>
    <row r="5579" spans="1:4" ht="42.75" customHeight="1" thickBot="1">
      <c r="A5579" s="1" t="s">
        <v>686</v>
      </c>
      <c r="B5579" s="26" t="s">
        <v>1</v>
      </c>
      <c r="C5579" s="90" t="s">
        <v>188</v>
      </c>
      <c r="D5579" s="91"/>
    </row>
    <row r="5580" spans="1:4" ht="42.75" customHeight="1" thickBot="1">
      <c r="A5580" s="26"/>
      <c r="B5580" s="26" t="s">
        <v>0</v>
      </c>
      <c r="C5580" s="5" t="s">
        <v>687</v>
      </c>
      <c r="D5580" s="4" t="s">
        <v>2</v>
      </c>
    </row>
    <row r="5581" spans="1:4" ht="42.75" customHeight="1" thickBot="1">
      <c r="A5581" s="92">
        <v>2600</v>
      </c>
      <c r="B5581" s="93"/>
      <c r="C5581" s="94" t="s">
        <v>3</v>
      </c>
      <c r="D5581" s="95"/>
    </row>
    <row r="5582" spans="1:4" ht="42.75" customHeight="1" thickBot="1">
      <c r="A5582" s="92">
        <v>2620</v>
      </c>
      <c r="B5582" s="93"/>
      <c r="C5582" s="96" t="s">
        <v>4</v>
      </c>
      <c r="D5582" s="97"/>
    </row>
    <row r="5583" spans="1:4" ht="42.75" customHeight="1" thickBot="1">
      <c r="A5583" s="98">
        <f>A5582-A5581</f>
        <v>20</v>
      </c>
      <c r="B5583" s="99"/>
      <c r="C5583" s="100" t="s">
        <v>5</v>
      </c>
      <c r="D5583" s="97"/>
    </row>
    <row r="5584" spans="1:4" ht="42.75" customHeight="1" thickBot="1">
      <c r="A5584" s="101">
        <v>62</v>
      </c>
      <c r="B5584" s="102"/>
      <c r="C5584" s="96" t="s">
        <v>6</v>
      </c>
      <c r="D5584" s="97"/>
    </row>
    <row r="5585" spans="1:4" ht="42.75" customHeight="1" thickBot="1">
      <c r="A5585" s="103"/>
      <c r="B5585" s="104"/>
      <c r="C5585" s="96" t="s">
        <v>21</v>
      </c>
      <c r="D5585" s="97"/>
    </row>
    <row r="5586" spans="1:4" ht="42.75" customHeight="1" thickBot="1">
      <c r="A5586" s="105">
        <v>1250</v>
      </c>
      <c r="B5586" s="106"/>
      <c r="C5586" s="96" t="s">
        <v>7</v>
      </c>
      <c r="D5586" s="97"/>
    </row>
    <row r="5587" spans="1:4" ht="42.75" customHeight="1" thickBot="1">
      <c r="A5587" s="107" t="s">
        <v>17</v>
      </c>
      <c r="B5587" s="108"/>
      <c r="C5587" s="108"/>
      <c r="D5587" s="109"/>
    </row>
    <row r="5588" spans="1:4" ht="42.75" customHeight="1" thickBot="1">
      <c r="A5588" s="110" t="s">
        <v>20</v>
      </c>
      <c r="B5588" s="111"/>
      <c r="C5588" s="111"/>
      <c r="D5588" s="112"/>
    </row>
    <row r="5589" spans="1:4" ht="42.75" customHeight="1" thickBot="1">
      <c r="A5589" s="113" t="s">
        <v>18</v>
      </c>
      <c r="B5589" s="114"/>
      <c r="C5589" s="114"/>
      <c r="D5589" s="115"/>
    </row>
    <row r="5590" spans="1:4" ht="42.75" customHeight="1" thickBot="1">
      <c r="A5590" s="120" t="s">
        <v>19</v>
      </c>
      <c r="B5590" s="121"/>
      <c r="C5590" s="121"/>
      <c r="D5590" s="122"/>
    </row>
    <row r="5591" spans="1:4" ht="42.75" customHeight="1" thickBot="1">
      <c r="A5591" s="123" t="s">
        <v>11</v>
      </c>
      <c r="B5591" s="124"/>
      <c r="C5591" s="125" t="s">
        <v>603</v>
      </c>
      <c r="D5591" s="124"/>
    </row>
    <row r="5592" spans="1:4" ht="42.75" customHeight="1" thickBot="1">
      <c r="A5592" s="1" t="s">
        <v>686</v>
      </c>
      <c r="B5592" s="26" t="s">
        <v>1</v>
      </c>
      <c r="C5592" s="90" t="s">
        <v>189</v>
      </c>
      <c r="D5592" s="91"/>
    </row>
    <row r="5593" spans="1:4" ht="42.75" customHeight="1" thickBot="1">
      <c r="A5593" s="26"/>
      <c r="B5593" s="26" t="s">
        <v>0</v>
      </c>
      <c r="C5593" s="5" t="s">
        <v>687</v>
      </c>
      <c r="D5593" s="4" t="s">
        <v>2</v>
      </c>
    </row>
    <row r="5594" spans="1:4" ht="42.75" customHeight="1" thickBot="1">
      <c r="A5594" s="92">
        <v>2555</v>
      </c>
      <c r="B5594" s="93"/>
      <c r="C5594" s="94" t="s">
        <v>3</v>
      </c>
      <c r="D5594" s="95"/>
    </row>
    <row r="5595" spans="1:4" ht="42.75" customHeight="1" thickBot="1">
      <c r="A5595" s="92">
        <v>2555</v>
      </c>
      <c r="B5595" s="93"/>
      <c r="C5595" s="96" t="s">
        <v>4</v>
      </c>
      <c r="D5595" s="97"/>
    </row>
    <row r="5596" spans="1:4" ht="42.75" customHeight="1" thickBot="1">
      <c r="A5596" s="98">
        <f>A5595-A5594</f>
        <v>0</v>
      </c>
      <c r="B5596" s="99"/>
      <c r="C5596" s="100" t="s">
        <v>5</v>
      </c>
      <c r="D5596" s="97"/>
    </row>
    <row r="5597" spans="1:4" ht="42.75" customHeight="1" thickBot="1">
      <c r="A5597" s="101">
        <v>62</v>
      </c>
      <c r="B5597" s="102"/>
      <c r="C5597" s="96" t="s">
        <v>6</v>
      </c>
      <c r="D5597" s="97"/>
    </row>
    <row r="5598" spans="1:4" ht="42.75" customHeight="1" thickBot="1">
      <c r="A5598" s="103"/>
      <c r="B5598" s="104"/>
      <c r="C5598" s="96" t="s">
        <v>21</v>
      </c>
      <c r="D5598" s="97"/>
    </row>
    <row r="5599" spans="1:4" ht="42.75" customHeight="1" thickBot="1">
      <c r="A5599" s="105">
        <f>A5597*A5596</f>
        <v>0</v>
      </c>
      <c r="B5599" s="106"/>
      <c r="C5599" s="96" t="s">
        <v>7</v>
      </c>
      <c r="D5599" s="97"/>
    </row>
    <row r="5600" spans="1:4" ht="42.75" customHeight="1" thickBot="1">
      <c r="A5600" s="107" t="s">
        <v>17</v>
      </c>
      <c r="B5600" s="108"/>
      <c r="C5600" s="108"/>
      <c r="D5600" s="109"/>
    </row>
    <row r="5601" spans="1:4" ht="42.75" customHeight="1" thickBot="1">
      <c r="A5601" s="116" t="s">
        <v>20</v>
      </c>
      <c r="B5601" s="117"/>
      <c r="C5601" s="117"/>
      <c r="D5601" s="118"/>
    </row>
    <row r="5602" spans="1:4" ht="42.75" customHeight="1" thickBot="1">
      <c r="A5602" s="113" t="s">
        <v>18</v>
      </c>
      <c r="B5602" s="114"/>
      <c r="C5602" s="114"/>
      <c r="D5602" s="115"/>
    </row>
    <row r="5603" spans="1:4" ht="42.75" customHeight="1" thickBot="1">
      <c r="A5603" s="119"/>
      <c r="B5603" s="119"/>
      <c r="C5603" s="119"/>
      <c r="D5603" s="119"/>
    </row>
    <row r="5604" spans="1:4" ht="42.75" customHeight="1" thickBot="1">
      <c r="A5604" s="120" t="s">
        <v>19</v>
      </c>
      <c r="B5604" s="121"/>
      <c r="C5604" s="121"/>
      <c r="D5604" s="122"/>
    </row>
    <row r="5605" spans="1:4" ht="42.75" customHeight="1" thickBot="1">
      <c r="A5605" s="123" t="s">
        <v>11</v>
      </c>
      <c r="B5605" s="124"/>
      <c r="C5605" s="125" t="s">
        <v>603</v>
      </c>
      <c r="D5605" s="124"/>
    </row>
    <row r="5606" spans="1:4" ht="42.75" customHeight="1" thickBot="1">
      <c r="A5606" s="1" t="s">
        <v>686</v>
      </c>
      <c r="B5606" s="26" t="s">
        <v>1</v>
      </c>
      <c r="C5606" s="90" t="s">
        <v>189</v>
      </c>
      <c r="D5606" s="91"/>
    </row>
    <row r="5607" spans="1:4" ht="42.75" customHeight="1" thickBot="1">
      <c r="A5607" s="26"/>
      <c r="B5607" s="26" t="s">
        <v>0</v>
      </c>
      <c r="C5607" s="5" t="s">
        <v>687</v>
      </c>
      <c r="D5607" s="4" t="s">
        <v>2</v>
      </c>
    </row>
    <row r="5608" spans="1:4" ht="42.75" customHeight="1" thickBot="1">
      <c r="A5608" s="92">
        <v>2512</v>
      </c>
      <c r="B5608" s="93"/>
      <c r="C5608" s="94" t="s">
        <v>3</v>
      </c>
      <c r="D5608" s="95"/>
    </row>
    <row r="5609" spans="1:4" ht="42.75" customHeight="1" thickBot="1">
      <c r="A5609" s="92">
        <v>2555</v>
      </c>
      <c r="B5609" s="93"/>
      <c r="C5609" s="96" t="s">
        <v>4</v>
      </c>
      <c r="D5609" s="97"/>
    </row>
    <row r="5610" spans="1:4" ht="42.75" customHeight="1" thickBot="1">
      <c r="A5610" s="98">
        <f>A5609-A5608</f>
        <v>43</v>
      </c>
      <c r="B5610" s="99"/>
      <c r="C5610" s="100" t="s">
        <v>5</v>
      </c>
      <c r="D5610" s="97"/>
    </row>
    <row r="5611" spans="1:4" ht="42.75" customHeight="1" thickBot="1">
      <c r="A5611" s="101">
        <v>62</v>
      </c>
      <c r="B5611" s="102"/>
      <c r="C5611" s="96" t="s">
        <v>6</v>
      </c>
      <c r="D5611" s="97"/>
    </row>
    <row r="5612" spans="1:4" ht="42.75" customHeight="1" thickBot="1">
      <c r="A5612" s="103"/>
      <c r="B5612" s="104"/>
      <c r="C5612" s="96" t="s">
        <v>21</v>
      </c>
      <c r="D5612" s="97"/>
    </row>
    <row r="5613" spans="1:4" ht="42.75" customHeight="1" thickBot="1">
      <c r="A5613" s="105">
        <v>2650</v>
      </c>
      <c r="B5613" s="106"/>
      <c r="C5613" s="96" t="s">
        <v>7</v>
      </c>
      <c r="D5613" s="97"/>
    </row>
    <row r="5614" spans="1:4" ht="42.75" customHeight="1" thickBot="1">
      <c r="A5614" s="107" t="s">
        <v>17</v>
      </c>
      <c r="B5614" s="108"/>
      <c r="C5614" s="108"/>
      <c r="D5614" s="109"/>
    </row>
    <row r="5615" spans="1:4" ht="42.75" customHeight="1" thickBot="1">
      <c r="A5615" s="110" t="s">
        <v>20</v>
      </c>
      <c r="B5615" s="111"/>
      <c r="C5615" s="111"/>
      <c r="D5615" s="112"/>
    </row>
    <row r="5616" spans="1:4" ht="42.75" customHeight="1" thickBot="1">
      <c r="A5616" s="113" t="s">
        <v>18</v>
      </c>
      <c r="B5616" s="114"/>
      <c r="C5616" s="114"/>
      <c r="D5616" s="115"/>
    </row>
    <row r="5617" spans="1:4" ht="42.75" customHeight="1" thickBot="1">
      <c r="A5617" s="120" t="s">
        <v>19</v>
      </c>
      <c r="B5617" s="121"/>
      <c r="C5617" s="121"/>
      <c r="D5617" s="122"/>
    </row>
    <row r="5618" spans="1:4" ht="42.75" customHeight="1" thickBot="1">
      <c r="A5618" s="123" t="s">
        <v>11</v>
      </c>
      <c r="B5618" s="124"/>
      <c r="C5618" s="125" t="s">
        <v>603</v>
      </c>
      <c r="D5618" s="124"/>
    </row>
    <row r="5619" spans="1:4" ht="42.75" customHeight="1" thickBot="1">
      <c r="A5619" s="1" t="s">
        <v>686</v>
      </c>
      <c r="B5619" s="26" t="s">
        <v>1</v>
      </c>
      <c r="C5619" s="90" t="s">
        <v>190</v>
      </c>
      <c r="D5619" s="91"/>
    </row>
    <row r="5620" spans="1:4" ht="42.75" customHeight="1" thickBot="1">
      <c r="A5620" s="26"/>
      <c r="B5620" s="26" t="s">
        <v>0</v>
      </c>
      <c r="C5620" s="5" t="s">
        <v>687</v>
      </c>
      <c r="D5620" s="4" t="s">
        <v>2</v>
      </c>
    </row>
    <row r="5621" spans="1:4" ht="42.75" customHeight="1" thickBot="1">
      <c r="A5621" s="92">
        <v>551</v>
      </c>
      <c r="B5621" s="93"/>
      <c r="C5621" s="94" t="s">
        <v>3</v>
      </c>
      <c r="D5621" s="95"/>
    </row>
    <row r="5622" spans="1:4" ht="42.75" customHeight="1" thickBot="1">
      <c r="A5622" s="92">
        <v>551</v>
      </c>
      <c r="B5622" s="93"/>
      <c r="C5622" s="96" t="s">
        <v>4</v>
      </c>
      <c r="D5622" s="97"/>
    </row>
    <row r="5623" spans="1:4" ht="42.75" customHeight="1" thickBot="1">
      <c r="A5623" s="98">
        <f>A5622-A5621</f>
        <v>0</v>
      </c>
      <c r="B5623" s="99"/>
      <c r="C5623" s="100" t="s">
        <v>5</v>
      </c>
      <c r="D5623" s="97"/>
    </row>
    <row r="5624" spans="1:4" ht="42.75" customHeight="1" thickBot="1">
      <c r="A5624" s="101">
        <v>62</v>
      </c>
      <c r="B5624" s="102"/>
      <c r="C5624" s="96" t="s">
        <v>6</v>
      </c>
      <c r="D5624" s="97"/>
    </row>
    <row r="5625" spans="1:4" ht="42.75" customHeight="1" thickBot="1">
      <c r="A5625" s="103"/>
      <c r="B5625" s="104"/>
      <c r="C5625" s="96" t="s">
        <v>21</v>
      </c>
      <c r="D5625" s="97"/>
    </row>
    <row r="5626" spans="1:4" ht="42.75" customHeight="1" thickBot="1">
      <c r="A5626" s="105">
        <f>A5624*A5623</f>
        <v>0</v>
      </c>
      <c r="B5626" s="106"/>
      <c r="C5626" s="96" t="s">
        <v>7</v>
      </c>
      <c r="D5626" s="97"/>
    </row>
    <row r="5627" spans="1:4" ht="42.75" customHeight="1" thickBot="1">
      <c r="A5627" s="107" t="s">
        <v>17</v>
      </c>
      <c r="B5627" s="108"/>
      <c r="C5627" s="108"/>
      <c r="D5627" s="109"/>
    </row>
    <row r="5628" spans="1:4" ht="42.75" customHeight="1" thickBot="1">
      <c r="A5628" s="116" t="s">
        <v>20</v>
      </c>
      <c r="B5628" s="117"/>
      <c r="C5628" s="117"/>
      <c r="D5628" s="118"/>
    </row>
    <row r="5629" spans="1:4" ht="42.75" customHeight="1" thickBot="1">
      <c r="A5629" s="113" t="s">
        <v>18</v>
      </c>
      <c r="B5629" s="114"/>
      <c r="C5629" s="114"/>
      <c r="D5629" s="115"/>
    </row>
    <row r="5630" spans="1:4" ht="42.75" customHeight="1" thickBot="1">
      <c r="A5630" s="119"/>
      <c r="B5630" s="119"/>
      <c r="C5630" s="119"/>
      <c r="D5630" s="119"/>
    </row>
    <row r="5631" spans="1:4" ht="42.75" customHeight="1" thickBot="1">
      <c r="A5631" s="120" t="s">
        <v>19</v>
      </c>
      <c r="B5631" s="121"/>
      <c r="C5631" s="121"/>
      <c r="D5631" s="122"/>
    </row>
    <row r="5632" spans="1:4" ht="42.75" customHeight="1" thickBot="1">
      <c r="A5632" s="123" t="s">
        <v>11</v>
      </c>
      <c r="B5632" s="124"/>
      <c r="C5632" s="125" t="s">
        <v>603</v>
      </c>
      <c r="D5632" s="124"/>
    </row>
    <row r="5633" spans="1:4" ht="42.75" customHeight="1" thickBot="1">
      <c r="A5633" s="1" t="s">
        <v>686</v>
      </c>
      <c r="B5633" s="26" t="s">
        <v>1</v>
      </c>
      <c r="C5633" s="90" t="s">
        <v>190</v>
      </c>
      <c r="D5633" s="91"/>
    </row>
    <row r="5634" spans="1:4" ht="42.75" customHeight="1" thickBot="1">
      <c r="A5634" s="26"/>
      <c r="B5634" s="26" t="s">
        <v>0</v>
      </c>
      <c r="C5634" s="5" t="s">
        <v>687</v>
      </c>
      <c r="D5634" s="4" t="s">
        <v>2</v>
      </c>
    </row>
    <row r="5635" spans="1:4" ht="42.75" customHeight="1" thickBot="1">
      <c r="A5635" s="92">
        <v>550</v>
      </c>
      <c r="B5635" s="93"/>
      <c r="C5635" s="94" t="s">
        <v>3</v>
      </c>
      <c r="D5635" s="95"/>
    </row>
    <row r="5636" spans="1:4" ht="42.75" customHeight="1" thickBot="1">
      <c r="A5636" s="92">
        <v>551</v>
      </c>
      <c r="B5636" s="93"/>
      <c r="C5636" s="96" t="s">
        <v>4</v>
      </c>
      <c r="D5636" s="97"/>
    </row>
    <row r="5637" spans="1:4" ht="42.75" customHeight="1" thickBot="1">
      <c r="A5637" s="98">
        <v>10</v>
      </c>
      <c r="B5637" s="99"/>
      <c r="C5637" s="100" t="s">
        <v>5</v>
      </c>
      <c r="D5637" s="97"/>
    </row>
    <row r="5638" spans="1:4" ht="42.75" customHeight="1" thickBot="1">
      <c r="A5638" s="101">
        <v>62</v>
      </c>
      <c r="B5638" s="102"/>
      <c r="C5638" s="96" t="s">
        <v>6</v>
      </c>
      <c r="D5638" s="97"/>
    </row>
    <row r="5639" spans="1:4" ht="42.75" customHeight="1" thickBot="1">
      <c r="A5639" s="103"/>
      <c r="B5639" s="104"/>
      <c r="C5639" s="96" t="s">
        <v>21</v>
      </c>
      <c r="D5639" s="97"/>
    </row>
    <row r="5640" spans="1:4" ht="42.75" customHeight="1" thickBot="1">
      <c r="A5640" s="105">
        <v>600</v>
      </c>
      <c r="B5640" s="106"/>
      <c r="C5640" s="96" t="s">
        <v>7</v>
      </c>
      <c r="D5640" s="97"/>
    </row>
    <row r="5641" spans="1:4" ht="42.75" customHeight="1" thickBot="1">
      <c r="A5641" s="107" t="s">
        <v>17</v>
      </c>
      <c r="B5641" s="108"/>
      <c r="C5641" s="108"/>
      <c r="D5641" s="109"/>
    </row>
    <row r="5642" spans="1:4" ht="42.75" customHeight="1" thickBot="1">
      <c r="A5642" s="110" t="s">
        <v>20</v>
      </c>
      <c r="B5642" s="111"/>
      <c r="C5642" s="111"/>
      <c r="D5642" s="112"/>
    </row>
    <row r="5643" spans="1:4" ht="42.75" customHeight="1" thickBot="1">
      <c r="A5643" s="113" t="s">
        <v>18</v>
      </c>
      <c r="B5643" s="114"/>
      <c r="C5643" s="114"/>
      <c r="D5643" s="115"/>
    </row>
    <row r="5644" spans="1:4" ht="42.75" customHeight="1" thickBot="1">
      <c r="A5644" s="120" t="s">
        <v>19</v>
      </c>
      <c r="B5644" s="121"/>
      <c r="C5644" s="121"/>
      <c r="D5644" s="122"/>
    </row>
    <row r="5645" spans="1:4" ht="42.75" customHeight="1" thickBot="1">
      <c r="A5645" s="123" t="s">
        <v>11</v>
      </c>
      <c r="B5645" s="124"/>
      <c r="C5645" s="125" t="s">
        <v>603</v>
      </c>
      <c r="D5645" s="124"/>
    </row>
    <row r="5646" spans="1:4" ht="42.75" customHeight="1" thickBot="1">
      <c r="A5646" s="1" t="s">
        <v>686</v>
      </c>
      <c r="B5646" s="26" t="s">
        <v>1</v>
      </c>
      <c r="C5646" s="90" t="s">
        <v>191</v>
      </c>
      <c r="D5646" s="91"/>
    </row>
    <row r="5647" spans="1:4" ht="42.75" customHeight="1" thickBot="1">
      <c r="A5647" s="26"/>
      <c r="B5647" s="26" t="s">
        <v>0</v>
      </c>
      <c r="C5647" s="5" t="s">
        <v>687</v>
      </c>
      <c r="D5647" s="4" t="s">
        <v>2</v>
      </c>
    </row>
    <row r="5648" spans="1:4" ht="42.75" customHeight="1" thickBot="1">
      <c r="A5648" s="92">
        <v>860</v>
      </c>
      <c r="B5648" s="93"/>
      <c r="C5648" s="94" t="s">
        <v>3</v>
      </c>
      <c r="D5648" s="95"/>
    </row>
    <row r="5649" spans="1:4" ht="42.75" customHeight="1" thickBot="1">
      <c r="A5649" s="92">
        <v>860</v>
      </c>
      <c r="B5649" s="93"/>
      <c r="C5649" s="96" t="s">
        <v>4</v>
      </c>
      <c r="D5649" s="97"/>
    </row>
    <row r="5650" spans="1:4" ht="42.75" customHeight="1" thickBot="1">
      <c r="A5650" s="98">
        <f>A5649-A5648</f>
        <v>0</v>
      </c>
      <c r="B5650" s="99"/>
      <c r="C5650" s="100" t="s">
        <v>5</v>
      </c>
      <c r="D5650" s="97"/>
    </row>
    <row r="5651" spans="1:4" ht="42.75" customHeight="1" thickBot="1">
      <c r="A5651" s="101">
        <v>62</v>
      </c>
      <c r="B5651" s="102"/>
      <c r="C5651" s="96" t="s">
        <v>6</v>
      </c>
      <c r="D5651" s="97"/>
    </row>
    <row r="5652" spans="1:4" ht="42.75" customHeight="1" thickBot="1">
      <c r="A5652" s="103"/>
      <c r="B5652" s="104"/>
      <c r="C5652" s="96" t="s">
        <v>21</v>
      </c>
      <c r="D5652" s="97"/>
    </row>
    <row r="5653" spans="1:4" ht="42.75" customHeight="1" thickBot="1">
      <c r="A5653" s="105">
        <f>A5651*A5650</f>
        <v>0</v>
      </c>
      <c r="B5653" s="106"/>
      <c r="C5653" s="96" t="s">
        <v>7</v>
      </c>
      <c r="D5653" s="97"/>
    </row>
    <row r="5654" spans="1:4" ht="42.75" customHeight="1" thickBot="1">
      <c r="A5654" s="107" t="s">
        <v>17</v>
      </c>
      <c r="B5654" s="108"/>
      <c r="C5654" s="108"/>
      <c r="D5654" s="109"/>
    </row>
    <row r="5655" spans="1:4" ht="42.75" customHeight="1" thickBot="1">
      <c r="A5655" s="116" t="s">
        <v>20</v>
      </c>
      <c r="B5655" s="117"/>
      <c r="C5655" s="117"/>
      <c r="D5655" s="118"/>
    </row>
    <row r="5656" spans="1:4" ht="42.75" customHeight="1" thickBot="1">
      <c r="A5656" s="113" t="s">
        <v>18</v>
      </c>
      <c r="B5656" s="114"/>
      <c r="C5656" s="114"/>
      <c r="D5656" s="115"/>
    </row>
    <row r="5657" spans="1:4" ht="42.75" customHeight="1" thickBot="1">
      <c r="A5657" s="119"/>
      <c r="B5657" s="119"/>
      <c r="C5657" s="119"/>
      <c r="D5657" s="119"/>
    </row>
    <row r="5658" spans="1:4" ht="42.75" customHeight="1" thickBot="1">
      <c r="A5658" s="120" t="s">
        <v>19</v>
      </c>
      <c r="B5658" s="121"/>
      <c r="C5658" s="121"/>
      <c r="D5658" s="122"/>
    </row>
    <row r="5659" spans="1:4" ht="42.75" customHeight="1" thickBot="1">
      <c r="A5659" s="123" t="s">
        <v>11</v>
      </c>
      <c r="B5659" s="124"/>
      <c r="C5659" s="125" t="s">
        <v>603</v>
      </c>
      <c r="D5659" s="124"/>
    </row>
    <row r="5660" spans="1:4" ht="42.75" customHeight="1" thickBot="1">
      <c r="A5660" s="1" t="s">
        <v>686</v>
      </c>
      <c r="B5660" s="26" t="s">
        <v>1</v>
      </c>
      <c r="C5660" s="90" t="s">
        <v>191</v>
      </c>
      <c r="D5660" s="91"/>
    </row>
    <row r="5661" spans="1:4" ht="42.75" customHeight="1" thickBot="1">
      <c r="A5661" s="26"/>
      <c r="B5661" s="26" t="s">
        <v>0</v>
      </c>
      <c r="C5661" s="5" t="s">
        <v>687</v>
      </c>
      <c r="D5661" s="4" t="s">
        <v>2</v>
      </c>
    </row>
    <row r="5662" spans="1:4" ht="42.75" customHeight="1" thickBot="1">
      <c r="A5662" s="92">
        <v>785</v>
      </c>
      <c r="B5662" s="93"/>
      <c r="C5662" s="94" t="s">
        <v>3</v>
      </c>
      <c r="D5662" s="95"/>
    </row>
    <row r="5663" spans="1:4" ht="42.75" customHeight="1" thickBot="1">
      <c r="A5663" s="92">
        <v>860</v>
      </c>
      <c r="B5663" s="93"/>
      <c r="C5663" s="96" t="s">
        <v>4</v>
      </c>
      <c r="D5663" s="97"/>
    </row>
    <row r="5664" spans="1:4" ht="42.75" customHeight="1" thickBot="1">
      <c r="A5664" s="98">
        <f>A5663-A5662</f>
        <v>75</v>
      </c>
      <c r="B5664" s="99"/>
      <c r="C5664" s="100" t="s">
        <v>5</v>
      </c>
      <c r="D5664" s="97"/>
    </row>
    <row r="5665" spans="1:4" ht="42.75" customHeight="1" thickBot="1">
      <c r="A5665" s="101">
        <v>62</v>
      </c>
      <c r="B5665" s="102"/>
      <c r="C5665" s="96" t="s">
        <v>6</v>
      </c>
      <c r="D5665" s="97"/>
    </row>
    <row r="5666" spans="1:4" ht="42.75" customHeight="1" thickBot="1">
      <c r="A5666" s="103"/>
      <c r="B5666" s="104"/>
      <c r="C5666" s="96" t="s">
        <v>21</v>
      </c>
      <c r="D5666" s="97"/>
    </row>
    <row r="5667" spans="1:4" ht="42.75" customHeight="1" thickBot="1">
      <c r="A5667" s="105">
        <f>A5665*A5664</f>
        <v>4650</v>
      </c>
      <c r="B5667" s="106"/>
      <c r="C5667" s="96" t="s">
        <v>7</v>
      </c>
      <c r="D5667" s="97"/>
    </row>
    <row r="5668" spans="1:4" ht="42.75" customHeight="1" thickBot="1">
      <c r="A5668" s="107" t="s">
        <v>17</v>
      </c>
      <c r="B5668" s="108"/>
      <c r="C5668" s="108"/>
      <c r="D5668" s="109"/>
    </row>
    <row r="5669" spans="1:4" ht="42.75" customHeight="1" thickBot="1">
      <c r="A5669" s="110" t="s">
        <v>20</v>
      </c>
      <c r="B5669" s="111"/>
      <c r="C5669" s="111"/>
      <c r="D5669" s="112"/>
    </row>
    <row r="5670" spans="1:4" ht="42.75" customHeight="1" thickBot="1">
      <c r="A5670" s="113" t="s">
        <v>18</v>
      </c>
      <c r="B5670" s="114"/>
      <c r="C5670" s="114"/>
      <c r="D5670" s="115"/>
    </row>
    <row r="5671" spans="1:4" ht="42.75" customHeight="1" thickBot="1">
      <c r="A5671" s="120" t="s">
        <v>19</v>
      </c>
      <c r="B5671" s="121"/>
      <c r="C5671" s="121"/>
      <c r="D5671" s="122"/>
    </row>
    <row r="5672" spans="1:4" ht="42.75" customHeight="1" thickBot="1">
      <c r="A5672" s="123" t="s">
        <v>11</v>
      </c>
      <c r="B5672" s="124"/>
      <c r="C5672" s="125" t="s">
        <v>603</v>
      </c>
      <c r="D5672" s="124"/>
    </row>
    <row r="5673" spans="1:4" ht="42.75" customHeight="1" thickBot="1">
      <c r="A5673" s="1" t="s">
        <v>686</v>
      </c>
      <c r="B5673" s="26" t="s">
        <v>1</v>
      </c>
      <c r="C5673" s="90" t="s">
        <v>583</v>
      </c>
      <c r="D5673" s="91"/>
    </row>
    <row r="5674" spans="1:4" ht="42.75" customHeight="1" thickBot="1">
      <c r="A5674" s="26"/>
      <c r="B5674" s="26" t="s">
        <v>0</v>
      </c>
      <c r="C5674" s="5" t="s">
        <v>687</v>
      </c>
      <c r="D5674" s="4" t="s">
        <v>2</v>
      </c>
    </row>
    <row r="5675" spans="1:4" ht="42.75" customHeight="1" thickBot="1">
      <c r="A5675" s="92">
        <v>405</v>
      </c>
      <c r="B5675" s="93"/>
      <c r="C5675" s="94" t="s">
        <v>3</v>
      </c>
      <c r="D5675" s="95"/>
    </row>
    <row r="5676" spans="1:4" ht="42.75" customHeight="1" thickBot="1">
      <c r="A5676" s="92">
        <v>405</v>
      </c>
      <c r="B5676" s="93"/>
      <c r="C5676" s="96" t="s">
        <v>4</v>
      </c>
      <c r="D5676" s="97"/>
    </row>
    <row r="5677" spans="1:4" ht="42.75" customHeight="1" thickBot="1">
      <c r="A5677" s="98">
        <f>A5676-A5675</f>
        <v>0</v>
      </c>
      <c r="B5677" s="99"/>
      <c r="C5677" s="100" t="s">
        <v>5</v>
      </c>
      <c r="D5677" s="97"/>
    </row>
    <row r="5678" spans="1:4" ht="42.75" customHeight="1" thickBot="1">
      <c r="A5678" s="101">
        <v>62</v>
      </c>
      <c r="B5678" s="102"/>
      <c r="C5678" s="96" t="s">
        <v>6</v>
      </c>
      <c r="D5678" s="97"/>
    </row>
    <row r="5679" spans="1:4" ht="42.75" customHeight="1" thickBot="1">
      <c r="A5679" s="103"/>
      <c r="B5679" s="104"/>
      <c r="C5679" s="96" t="s">
        <v>21</v>
      </c>
      <c r="D5679" s="97"/>
    </row>
    <row r="5680" spans="1:4" ht="42.75" customHeight="1" thickBot="1">
      <c r="A5680" s="105">
        <f>A5678*A5677</f>
        <v>0</v>
      </c>
      <c r="B5680" s="106"/>
      <c r="C5680" s="96" t="s">
        <v>7</v>
      </c>
      <c r="D5680" s="97"/>
    </row>
    <row r="5681" spans="1:4" ht="42.75" customHeight="1" thickBot="1">
      <c r="A5681" s="107" t="s">
        <v>17</v>
      </c>
      <c r="B5681" s="108"/>
      <c r="C5681" s="108"/>
      <c r="D5681" s="109"/>
    </row>
    <row r="5682" spans="1:4" ht="42.75" customHeight="1" thickBot="1">
      <c r="A5682" s="116" t="s">
        <v>20</v>
      </c>
      <c r="B5682" s="117"/>
      <c r="C5682" s="117"/>
      <c r="D5682" s="118"/>
    </row>
    <row r="5683" spans="1:4" ht="42.75" customHeight="1" thickBot="1">
      <c r="A5683" s="113" t="s">
        <v>18</v>
      </c>
      <c r="B5683" s="114"/>
      <c r="C5683" s="114"/>
      <c r="D5683" s="115"/>
    </row>
    <row r="5684" spans="1:4" ht="42.75" customHeight="1" thickBot="1">
      <c r="A5684" s="119"/>
      <c r="B5684" s="119"/>
      <c r="C5684" s="119"/>
      <c r="D5684" s="119"/>
    </row>
    <row r="5685" spans="1:4" ht="42.75" customHeight="1" thickBot="1">
      <c r="A5685" s="120" t="s">
        <v>19</v>
      </c>
      <c r="B5685" s="121"/>
      <c r="C5685" s="121"/>
      <c r="D5685" s="122"/>
    </row>
    <row r="5686" spans="1:4" ht="42.75" customHeight="1" thickBot="1">
      <c r="A5686" s="123" t="s">
        <v>11</v>
      </c>
      <c r="B5686" s="124"/>
      <c r="C5686" s="125" t="s">
        <v>603</v>
      </c>
      <c r="D5686" s="124"/>
    </row>
    <row r="5687" spans="1:4" ht="42.75" customHeight="1" thickBot="1">
      <c r="A5687" s="1" t="s">
        <v>686</v>
      </c>
      <c r="B5687" s="26" t="s">
        <v>1</v>
      </c>
      <c r="C5687" s="90" t="s">
        <v>583</v>
      </c>
      <c r="D5687" s="91"/>
    </row>
    <row r="5688" spans="1:4" ht="42.75" customHeight="1" thickBot="1">
      <c r="A5688" s="26"/>
      <c r="B5688" s="26" t="s">
        <v>0</v>
      </c>
      <c r="C5688" s="5" t="s">
        <v>687</v>
      </c>
      <c r="D5688" s="4" t="s">
        <v>2</v>
      </c>
    </row>
    <row r="5689" spans="1:4" ht="42.75" customHeight="1" thickBot="1">
      <c r="A5689" s="92">
        <v>385</v>
      </c>
      <c r="B5689" s="93"/>
      <c r="C5689" s="94" t="s">
        <v>3</v>
      </c>
      <c r="D5689" s="95"/>
    </row>
    <row r="5690" spans="1:4" ht="42.75" customHeight="1" thickBot="1">
      <c r="A5690" s="92">
        <v>405</v>
      </c>
      <c r="B5690" s="93"/>
      <c r="C5690" s="96" t="s">
        <v>4</v>
      </c>
      <c r="D5690" s="97"/>
    </row>
    <row r="5691" spans="1:4" ht="42.75" customHeight="1" thickBot="1">
      <c r="A5691" s="98">
        <f>A5690-A5689</f>
        <v>20</v>
      </c>
      <c r="B5691" s="99"/>
      <c r="C5691" s="100" t="s">
        <v>5</v>
      </c>
      <c r="D5691" s="97"/>
    </row>
    <row r="5692" spans="1:4" ht="42.75" customHeight="1" thickBot="1">
      <c r="A5692" s="101">
        <v>62</v>
      </c>
      <c r="B5692" s="102"/>
      <c r="C5692" s="96" t="s">
        <v>6</v>
      </c>
      <c r="D5692" s="97"/>
    </row>
    <row r="5693" spans="1:4" ht="42.75" customHeight="1" thickBot="1">
      <c r="A5693" s="103"/>
      <c r="B5693" s="104"/>
      <c r="C5693" s="96" t="s">
        <v>21</v>
      </c>
      <c r="D5693" s="97"/>
    </row>
    <row r="5694" spans="1:4" ht="42.75" customHeight="1" thickBot="1">
      <c r="A5694" s="105">
        <v>1250</v>
      </c>
      <c r="B5694" s="106"/>
      <c r="C5694" s="96" t="s">
        <v>7</v>
      </c>
      <c r="D5694" s="97"/>
    </row>
    <row r="5695" spans="1:4" ht="42.75" customHeight="1" thickBot="1">
      <c r="A5695" s="107" t="s">
        <v>17</v>
      </c>
      <c r="B5695" s="108"/>
      <c r="C5695" s="108"/>
      <c r="D5695" s="109"/>
    </row>
    <row r="5696" spans="1:4" ht="42.75" customHeight="1" thickBot="1">
      <c r="A5696" s="110" t="s">
        <v>20</v>
      </c>
      <c r="B5696" s="111"/>
      <c r="C5696" s="111"/>
      <c r="D5696" s="112"/>
    </row>
    <row r="5697" spans="1:4" ht="42.75" customHeight="1" thickBot="1">
      <c r="A5697" s="113" t="s">
        <v>18</v>
      </c>
      <c r="B5697" s="114"/>
      <c r="C5697" s="114"/>
      <c r="D5697" s="115"/>
    </row>
    <row r="5698" spans="1:4" ht="42.75" customHeight="1" thickBot="1">
      <c r="A5698" s="120" t="s">
        <v>19</v>
      </c>
      <c r="B5698" s="121"/>
      <c r="C5698" s="121"/>
      <c r="D5698" s="122"/>
    </row>
    <row r="5699" spans="1:4" ht="42.75" customHeight="1" thickBot="1">
      <c r="A5699" s="123" t="s">
        <v>11</v>
      </c>
      <c r="B5699" s="124"/>
      <c r="C5699" s="125" t="s">
        <v>603</v>
      </c>
      <c r="D5699" s="124"/>
    </row>
    <row r="5700" spans="1:4" ht="42.75" customHeight="1" thickBot="1">
      <c r="A5700" s="1" t="s">
        <v>686</v>
      </c>
      <c r="B5700" s="26" t="s">
        <v>1</v>
      </c>
      <c r="C5700" s="90" t="s">
        <v>216</v>
      </c>
      <c r="D5700" s="91"/>
    </row>
    <row r="5701" spans="1:4" ht="42.75" customHeight="1" thickBot="1">
      <c r="A5701" s="26"/>
      <c r="B5701" s="26" t="s">
        <v>0</v>
      </c>
      <c r="C5701" s="5" t="s">
        <v>687</v>
      </c>
      <c r="D5701" s="4" t="s">
        <v>2</v>
      </c>
    </row>
    <row r="5702" spans="1:4" ht="42.75" customHeight="1" thickBot="1">
      <c r="A5702" s="92">
        <v>712</v>
      </c>
      <c r="B5702" s="93"/>
      <c r="C5702" s="94" t="s">
        <v>3</v>
      </c>
      <c r="D5702" s="95"/>
    </row>
    <row r="5703" spans="1:4" ht="42.75" customHeight="1" thickBot="1">
      <c r="A5703" s="92">
        <v>712</v>
      </c>
      <c r="B5703" s="93"/>
      <c r="C5703" s="96" t="s">
        <v>4</v>
      </c>
      <c r="D5703" s="97"/>
    </row>
    <row r="5704" spans="1:4" ht="42.75" customHeight="1" thickBot="1">
      <c r="A5704" s="98">
        <f>A5703-A5702</f>
        <v>0</v>
      </c>
      <c r="B5704" s="99"/>
      <c r="C5704" s="100" t="s">
        <v>5</v>
      </c>
      <c r="D5704" s="97"/>
    </row>
    <row r="5705" spans="1:4" ht="42.75" customHeight="1" thickBot="1">
      <c r="A5705" s="101">
        <v>62</v>
      </c>
      <c r="B5705" s="102"/>
      <c r="C5705" s="96" t="s">
        <v>6</v>
      </c>
      <c r="D5705" s="97"/>
    </row>
    <row r="5706" spans="1:4" ht="42.75" customHeight="1" thickBot="1">
      <c r="A5706" s="103"/>
      <c r="B5706" s="104"/>
      <c r="C5706" s="96" t="s">
        <v>21</v>
      </c>
      <c r="D5706" s="97"/>
    </row>
    <row r="5707" spans="1:4" ht="42.75" customHeight="1" thickBot="1">
      <c r="A5707" s="105">
        <f>A5705*A5704</f>
        <v>0</v>
      </c>
      <c r="B5707" s="106"/>
      <c r="C5707" s="96" t="s">
        <v>7</v>
      </c>
      <c r="D5707" s="97"/>
    </row>
    <row r="5708" spans="1:4" ht="42.75" customHeight="1" thickBot="1">
      <c r="A5708" s="107" t="s">
        <v>17</v>
      </c>
      <c r="B5708" s="108"/>
      <c r="C5708" s="108"/>
      <c r="D5708" s="109"/>
    </row>
    <row r="5709" spans="1:4" ht="42.75" customHeight="1" thickBot="1">
      <c r="A5709" s="116" t="s">
        <v>20</v>
      </c>
      <c r="B5709" s="117"/>
      <c r="C5709" s="117"/>
      <c r="D5709" s="118"/>
    </row>
    <row r="5710" spans="1:4" ht="42.75" customHeight="1" thickBot="1">
      <c r="A5710" s="113" t="s">
        <v>18</v>
      </c>
      <c r="B5710" s="114"/>
      <c r="C5710" s="114"/>
      <c r="D5710" s="115"/>
    </row>
    <row r="5711" spans="1:4" ht="42.75" customHeight="1" thickBot="1">
      <c r="A5711" s="119"/>
      <c r="B5711" s="119"/>
      <c r="C5711" s="119"/>
      <c r="D5711" s="119"/>
    </row>
    <row r="5712" spans="1:4" ht="42.75" customHeight="1" thickBot="1">
      <c r="A5712" s="120" t="s">
        <v>19</v>
      </c>
      <c r="B5712" s="121"/>
      <c r="C5712" s="121"/>
      <c r="D5712" s="122"/>
    </row>
    <row r="5713" spans="1:4" ht="42.75" customHeight="1" thickBot="1">
      <c r="A5713" s="123" t="s">
        <v>11</v>
      </c>
      <c r="B5713" s="124"/>
      <c r="C5713" s="125" t="s">
        <v>603</v>
      </c>
      <c r="D5713" s="124"/>
    </row>
    <row r="5714" spans="1:4" ht="42.75" customHeight="1" thickBot="1">
      <c r="A5714" s="1" t="s">
        <v>686</v>
      </c>
      <c r="B5714" s="26" t="s">
        <v>1</v>
      </c>
      <c r="C5714" s="90" t="s">
        <v>216</v>
      </c>
      <c r="D5714" s="91"/>
    </row>
    <row r="5715" spans="1:4" ht="42.75" customHeight="1" thickBot="1">
      <c r="A5715" s="26"/>
      <c r="B5715" s="26" t="s">
        <v>0</v>
      </c>
      <c r="C5715" s="5" t="s">
        <v>687</v>
      </c>
      <c r="D5715" s="4" t="s">
        <v>2</v>
      </c>
    </row>
    <row r="5716" spans="1:4" ht="42.75" customHeight="1" thickBot="1">
      <c r="A5716" s="92">
        <v>700</v>
      </c>
      <c r="B5716" s="93"/>
      <c r="C5716" s="94" t="s">
        <v>3</v>
      </c>
      <c r="D5716" s="95"/>
    </row>
    <row r="5717" spans="1:4" ht="42.75" customHeight="1" thickBot="1">
      <c r="A5717" s="92">
        <v>712</v>
      </c>
      <c r="B5717" s="93"/>
      <c r="C5717" s="96" t="s">
        <v>4</v>
      </c>
      <c r="D5717" s="97"/>
    </row>
    <row r="5718" spans="1:4" ht="42.75" customHeight="1" thickBot="1">
      <c r="A5718" s="98">
        <f>A5717-A5716</f>
        <v>12</v>
      </c>
      <c r="B5718" s="99"/>
      <c r="C5718" s="100" t="s">
        <v>5</v>
      </c>
      <c r="D5718" s="97"/>
    </row>
    <row r="5719" spans="1:4" ht="42.75" customHeight="1" thickBot="1">
      <c r="A5719" s="101">
        <v>62</v>
      </c>
      <c r="B5719" s="102"/>
      <c r="C5719" s="96" t="s">
        <v>6</v>
      </c>
      <c r="D5719" s="97"/>
    </row>
    <row r="5720" spans="1:4" ht="42.75" customHeight="1" thickBot="1">
      <c r="A5720" s="103"/>
      <c r="B5720" s="104"/>
      <c r="C5720" s="96" t="s">
        <v>21</v>
      </c>
      <c r="D5720" s="97"/>
    </row>
    <row r="5721" spans="1:4" ht="42.75" customHeight="1" thickBot="1">
      <c r="A5721" s="105">
        <v>750</v>
      </c>
      <c r="B5721" s="106"/>
      <c r="C5721" s="96" t="s">
        <v>7</v>
      </c>
      <c r="D5721" s="97"/>
    </row>
    <row r="5722" spans="1:4" ht="42.75" customHeight="1" thickBot="1">
      <c r="A5722" s="107" t="s">
        <v>17</v>
      </c>
      <c r="B5722" s="108"/>
      <c r="C5722" s="108"/>
      <c r="D5722" s="109"/>
    </row>
    <row r="5723" spans="1:4" ht="42.75" customHeight="1" thickBot="1">
      <c r="A5723" s="110" t="s">
        <v>20</v>
      </c>
      <c r="B5723" s="111"/>
      <c r="C5723" s="111"/>
      <c r="D5723" s="112"/>
    </row>
    <row r="5724" spans="1:4" ht="42.75" customHeight="1" thickBot="1">
      <c r="A5724" s="113" t="s">
        <v>18</v>
      </c>
      <c r="B5724" s="114"/>
      <c r="C5724" s="114"/>
      <c r="D5724" s="115"/>
    </row>
    <row r="5725" spans="1:4" ht="42.75" customHeight="1" thickBot="1">
      <c r="A5725" s="120" t="s">
        <v>19</v>
      </c>
      <c r="B5725" s="121"/>
      <c r="C5725" s="121"/>
      <c r="D5725" s="122"/>
    </row>
    <row r="5726" spans="1:4" ht="42.75" customHeight="1" thickBot="1">
      <c r="A5726" s="123" t="s">
        <v>11</v>
      </c>
      <c r="B5726" s="124"/>
      <c r="C5726" s="125" t="s">
        <v>603</v>
      </c>
      <c r="D5726" s="124"/>
    </row>
    <row r="5727" spans="1:4" ht="42.75" customHeight="1" thickBot="1">
      <c r="A5727" s="1" t="s">
        <v>686</v>
      </c>
      <c r="B5727" s="26" t="s">
        <v>1</v>
      </c>
      <c r="C5727" s="90" t="s">
        <v>655</v>
      </c>
      <c r="D5727" s="91"/>
    </row>
    <row r="5728" spans="1:4" ht="42.75" customHeight="1" thickBot="1">
      <c r="A5728" s="26"/>
      <c r="B5728" s="26" t="s">
        <v>0</v>
      </c>
      <c r="C5728" s="5" t="s">
        <v>687</v>
      </c>
      <c r="D5728" s="4" t="s">
        <v>2</v>
      </c>
    </row>
    <row r="5729" spans="1:4" ht="42.75" customHeight="1" thickBot="1">
      <c r="A5729" s="92">
        <v>705</v>
      </c>
      <c r="B5729" s="93"/>
      <c r="C5729" s="94" t="s">
        <v>3</v>
      </c>
      <c r="D5729" s="95"/>
    </row>
    <row r="5730" spans="1:4" ht="42.75" customHeight="1" thickBot="1">
      <c r="A5730" s="92">
        <v>705</v>
      </c>
      <c r="B5730" s="93"/>
      <c r="C5730" s="96" t="s">
        <v>4</v>
      </c>
      <c r="D5730" s="97"/>
    </row>
    <row r="5731" spans="1:4" ht="42.75" customHeight="1" thickBot="1">
      <c r="A5731" s="98">
        <f>A5730-A5729</f>
        <v>0</v>
      </c>
      <c r="B5731" s="99"/>
      <c r="C5731" s="100" t="s">
        <v>5</v>
      </c>
      <c r="D5731" s="97"/>
    </row>
    <row r="5732" spans="1:4" ht="42.75" customHeight="1" thickBot="1">
      <c r="A5732" s="101">
        <v>62</v>
      </c>
      <c r="B5732" s="102"/>
      <c r="C5732" s="96" t="s">
        <v>6</v>
      </c>
      <c r="D5732" s="97"/>
    </row>
    <row r="5733" spans="1:4" ht="42.75" customHeight="1" thickBot="1">
      <c r="A5733" s="103"/>
      <c r="B5733" s="104"/>
      <c r="C5733" s="96" t="s">
        <v>21</v>
      </c>
      <c r="D5733" s="97"/>
    </row>
    <row r="5734" spans="1:4" ht="42.75" customHeight="1" thickBot="1">
      <c r="A5734" s="105">
        <f>A5732*A5731</f>
        <v>0</v>
      </c>
      <c r="B5734" s="106"/>
      <c r="C5734" s="96" t="s">
        <v>7</v>
      </c>
      <c r="D5734" s="97"/>
    </row>
    <row r="5735" spans="1:4" ht="42.75" customHeight="1" thickBot="1">
      <c r="A5735" s="107" t="s">
        <v>17</v>
      </c>
      <c r="B5735" s="108"/>
      <c r="C5735" s="108"/>
      <c r="D5735" s="109"/>
    </row>
    <row r="5736" spans="1:4" ht="42.75" customHeight="1" thickBot="1">
      <c r="A5736" s="116" t="s">
        <v>20</v>
      </c>
      <c r="B5736" s="117"/>
      <c r="C5736" s="117"/>
      <c r="D5736" s="118"/>
    </row>
    <row r="5737" spans="1:4" ht="42.75" customHeight="1" thickBot="1">
      <c r="A5737" s="113" t="s">
        <v>18</v>
      </c>
      <c r="B5737" s="114"/>
      <c r="C5737" s="114"/>
      <c r="D5737" s="115"/>
    </row>
    <row r="5738" spans="1:4" ht="42.75" customHeight="1" thickBot="1">
      <c r="A5738" s="119"/>
      <c r="B5738" s="119"/>
      <c r="C5738" s="119"/>
      <c r="D5738" s="119"/>
    </row>
    <row r="5739" spans="1:4" ht="42.75" customHeight="1" thickBot="1">
      <c r="A5739" s="120" t="s">
        <v>19</v>
      </c>
      <c r="B5739" s="121"/>
      <c r="C5739" s="121"/>
      <c r="D5739" s="122"/>
    </row>
    <row r="5740" spans="1:4" ht="42.75" customHeight="1" thickBot="1">
      <c r="A5740" s="123" t="s">
        <v>11</v>
      </c>
      <c r="B5740" s="124"/>
      <c r="C5740" s="125" t="s">
        <v>603</v>
      </c>
      <c r="D5740" s="124"/>
    </row>
    <row r="5741" spans="1:4" ht="42.75" customHeight="1" thickBot="1">
      <c r="A5741" s="1" t="s">
        <v>686</v>
      </c>
      <c r="B5741" s="26" t="s">
        <v>1</v>
      </c>
      <c r="C5741" s="90" t="s">
        <v>655</v>
      </c>
      <c r="D5741" s="91"/>
    </row>
    <row r="5742" spans="1:4" ht="42.75" customHeight="1" thickBot="1">
      <c r="A5742" s="26"/>
      <c r="B5742" s="26" t="s">
        <v>0</v>
      </c>
      <c r="C5742" s="5" t="s">
        <v>687</v>
      </c>
      <c r="D5742" s="4" t="s">
        <v>2</v>
      </c>
    </row>
    <row r="5743" spans="1:4" ht="42.75" customHeight="1" thickBot="1">
      <c r="A5743" s="92">
        <v>682</v>
      </c>
      <c r="B5743" s="93"/>
      <c r="C5743" s="94" t="s">
        <v>3</v>
      </c>
      <c r="D5743" s="95"/>
    </row>
    <row r="5744" spans="1:4" ht="42.75" customHeight="1" thickBot="1">
      <c r="A5744" s="92">
        <v>705</v>
      </c>
      <c r="B5744" s="93"/>
      <c r="C5744" s="96" t="s">
        <v>4</v>
      </c>
      <c r="D5744" s="97"/>
    </row>
    <row r="5745" spans="1:4" ht="42.75" customHeight="1" thickBot="1">
      <c r="A5745" s="98">
        <f>A5744-A5743</f>
        <v>23</v>
      </c>
      <c r="B5745" s="99"/>
      <c r="C5745" s="100" t="s">
        <v>5</v>
      </c>
      <c r="D5745" s="97"/>
    </row>
    <row r="5746" spans="1:4" ht="42.75" customHeight="1" thickBot="1">
      <c r="A5746" s="101">
        <v>62</v>
      </c>
      <c r="B5746" s="102"/>
      <c r="C5746" s="96" t="s">
        <v>6</v>
      </c>
      <c r="D5746" s="97"/>
    </row>
    <row r="5747" spans="1:4" ht="42.75" customHeight="1" thickBot="1">
      <c r="A5747" s="103"/>
      <c r="B5747" s="104"/>
      <c r="C5747" s="96" t="s">
        <v>21</v>
      </c>
      <c r="D5747" s="97"/>
    </row>
    <row r="5748" spans="1:4" ht="42.75" customHeight="1" thickBot="1">
      <c r="A5748" s="105">
        <v>1450</v>
      </c>
      <c r="B5748" s="106"/>
      <c r="C5748" s="96" t="s">
        <v>7</v>
      </c>
      <c r="D5748" s="97"/>
    </row>
    <row r="5749" spans="1:4" ht="42.75" customHeight="1" thickBot="1">
      <c r="A5749" s="107" t="s">
        <v>17</v>
      </c>
      <c r="B5749" s="108"/>
      <c r="C5749" s="108"/>
      <c r="D5749" s="109"/>
    </row>
    <row r="5750" spans="1:4" ht="42.75" customHeight="1" thickBot="1">
      <c r="A5750" s="110" t="s">
        <v>20</v>
      </c>
      <c r="B5750" s="111"/>
      <c r="C5750" s="111"/>
      <c r="D5750" s="112"/>
    </row>
    <row r="5751" spans="1:4" ht="42.75" customHeight="1" thickBot="1">
      <c r="A5751" s="113" t="s">
        <v>18</v>
      </c>
      <c r="B5751" s="114"/>
      <c r="C5751" s="114"/>
      <c r="D5751" s="115"/>
    </row>
    <row r="5752" spans="1:4" ht="42.75" customHeight="1" thickBot="1">
      <c r="A5752" s="120" t="s">
        <v>19</v>
      </c>
      <c r="B5752" s="121"/>
      <c r="C5752" s="121"/>
      <c r="D5752" s="122"/>
    </row>
    <row r="5753" spans="1:4" ht="42.75" customHeight="1" thickBot="1">
      <c r="A5753" s="123" t="s">
        <v>11</v>
      </c>
      <c r="B5753" s="124"/>
      <c r="C5753" s="125" t="s">
        <v>603</v>
      </c>
      <c r="D5753" s="124"/>
    </row>
    <row r="5754" spans="1:4" ht="42.75" customHeight="1" thickBot="1">
      <c r="A5754" s="1" t="s">
        <v>686</v>
      </c>
      <c r="B5754" s="26" t="s">
        <v>1</v>
      </c>
      <c r="C5754" s="90" t="s">
        <v>194</v>
      </c>
      <c r="D5754" s="91"/>
    </row>
    <row r="5755" spans="1:4" ht="42.75" customHeight="1" thickBot="1">
      <c r="A5755" s="26"/>
      <c r="B5755" s="26" t="s">
        <v>0</v>
      </c>
      <c r="C5755" s="5" t="s">
        <v>687</v>
      </c>
      <c r="D5755" s="4" t="s">
        <v>2</v>
      </c>
    </row>
    <row r="5756" spans="1:4" ht="42.75" customHeight="1" thickBot="1">
      <c r="A5756" s="92">
        <v>3140</v>
      </c>
      <c r="B5756" s="93"/>
      <c r="C5756" s="94" t="s">
        <v>3</v>
      </c>
      <c r="D5756" s="95"/>
    </row>
    <row r="5757" spans="1:4" ht="42.75" customHeight="1" thickBot="1">
      <c r="A5757" s="92">
        <v>3140</v>
      </c>
      <c r="B5757" s="93"/>
      <c r="C5757" s="96" t="s">
        <v>4</v>
      </c>
      <c r="D5757" s="97"/>
    </row>
    <row r="5758" spans="1:4" ht="42.75" customHeight="1" thickBot="1">
      <c r="A5758" s="98">
        <f>A5757-A5756</f>
        <v>0</v>
      </c>
      <c r="B5758" s="99"/>
      <c r="C5758" s="100" t="s">
        <v>5</v>
      </c>
      <c r="D5758" s="97"/>
    </row>
    <row r="5759" spans="1:4" ht="42.75" customHeight="1" thickBot="1">
      <c r="A5759" s="101">
        <v>62</v>
      </c>
      <c r="B5759" s="102"/>
      <c r="C5759" s="96" t="s">
        <v>6</v>
      </c>
      <c r="D5759" s="97"/>
    </row>
    <row r="5760" spans="1:4" ht="42.75" customHeight="1" thickBot="1">
      <c r="A5760" s="103"/>
      <c r="B5760" s="104"/>
      <c r="C5760" s="96" t="s">
        <v>21</v>
      </c>
      <c r="D5760" s="97"/>
    </row>
    <row r="5761" spans="1:4" ht="42.75" customHeight="1" thickBot="1">
      <c r="A5761" s="105">
        <f>A5759*A5758</f>
        <v>0</v>
      </c>
      <c r="B5761" s="106"/>
      <c r="C5761" s="96" t="s">
        <v>7</v>
      </c>
      <c r="D5761" s="97"/>
    </row>
    <row r="5762" spans="1:4" ht="42.75" customHeight="1" thickBot="1">
      <c r="A5762" s="107" t="s">
        <v>17</v>
      </c>
      <c r="B5762" s="108"/>
      <c r="C5762" s="108"/>
      <c r="D5762" s="109"/>
    </row>
    <row r="5763" spans="1:4" ht="42.75" customHeight="1" thickBot="1">
      <c r="A5763" s="116" t="s">
        <v>20</v>
      </c>
      <c r="B5763" s="117"/>
      <c r="C5763" s="117"/>
      <c r="D5763" s="118"/>
    </row>
    <row r="5764" spans="1:4" ht="42.75" customHeight="1" thickBot="1">
      <c r="A5764" s="113" t="s">
        <v>18</v>
      </c>
      <c r="B5764" s="114"/>
      <c r="C5764" s="114"/>
      <c r="D5764" s="115"/>
    </row>
    <row r="5765" spans="1:4" ht="42.75" customHeight="1" thickBot="1">
      <c r="A5765" s="119"/>
      <c r="B5765" s="119"/>
      <c r="C5765" s="119"/>
      <c r="D5765" s="119"/>
    </row>
    <row r="5766" spans="1:4" ht="42.75" customHeight="1" thickBot="1">
      <c r="A5766" s="120" t="s">
        <v>19</v>
      </c>
      <c r="B5766" s="121"/>
      <c r="C5766" s="121"/>
      <c r="D5766" s="122"/>
    </row>
    <row r="5767" spans="1:4" ht="42.75" customHeight="1" thickBot="1">
      <c r="A5767" s="123" t="s">
        <v>11</v>
      </c>
      <c r="B5767" s="124"/>
      <c r="C5767" s="125" t="s">
        <v>603</v>
      </c>
      <c r="D5767" s="124"/>
    </row>
    <row r="5768" spans="1:4" ht="42.75" customHeight="1" thickBot="1">
      <c r="A5768" s="1" t="s">
        <v>686</v>
      </c>
      <c r="B5768" s="26" t="s">
        <v>1</v>
      </c>
      <c r="C5768" s="90" t="s">
        <v>194</v>
      </c>
      <c r="D5768" s="91"/>
    </row>
    <row r="5769" spans="1:4" ht="42.75" customHeight="1" thickBot="1">
      <c r="A5769" s="26"/>
      <c r="B5769" s="26" t="s">
        <v>0</v>
      </c>
      <c r="C5769" s="5" t="s">
        <v>687</v>
      </c>
      <c r="D5769" s="4" t="s">
        <v>2</v>
      </c>
    </row>
    <row r="5770" spans="1:4" ht="42.75" customHeight="1" thickBot="1">
      <c r="A5770" s="92">
        <v>3126</v>
      </c>
      <c r="B5770" s="93"/>
      <c r="C5770" s="94" t="s">
        <v>3</v>
      </c>
      <c r="D5770" s="95"/>
    </row>
    <row r="5771" spans="1:4" ht="42.75" customHeight="1" thickBot="1">
      <c r="A5771" s="92">
        <v>3140</v>
      </c>
      <c r="B5771" s="93"/>
      <c r="C5771" s="96" t="s">
        <v>4</v>
      </c>
      <c r="D5771" s="97"/>
    </row>
    <row r="5772" spans="1:4" ht="42.75" customHeight="1" thickBot="1">
      <c r="A5772" s="98">
        <f>A5771-A5770</f>
        <v>14</v>
      </c>
      <c r="B5772" s="99"/>
      <c r="C5772" s="100" t="s">
        <v>5</v>
      </c>
      <c r="D5772" s="97"/>
    </row>
    <row r="5773" spans="1:4" ht="42.75" customHeight="1" thickBot="1">
      <c r="A5773" s="101">
        <v>62</v>
      </c>
      <c r="B5773" s="102"/>
      <c r="C5773" s="96" t="s">
        <v>6</v>
      </c>
      <c r="D5773" s="97"/>
    </row>
    <row r="5774" spans="1:4" ht="42.75" customHeight="1" thickBot="1">
      <c r="A5774" s="103"/>
      <c r="B5774" s="104"/>
      <c r="C5774" s="96" t="s">
        <v>21</v>
      </c>
      <c r="D5774" s="97"/>
    </row>
    <row r="5775" spans="1:4" ht="42.75" customHeight="1" thickBot="1">
      <c r="A5775" s="105">
        <v>850</v>
      </c>
      <c r="B5775" s="106"/>
      <c r="C5775" s="96" t="s">
        <v>7</v>
      </c>
      <c r="D5775" s="97"/>
    </row>
    <row r="5776" spans="1:4" ht="42.75" customHeight="1" thickBot="1">
      <c r="A5776" s="107" t="s">
        <v>17</v>
      </c>
      <c r="B5776" s="108"/>
      <c r="C5776" s="108"/>
      <c r="D5776" s="109"/>
    </row>
    <row r="5777" spans="1:4" ht="42.75" customHeight="1" thickBot="1">
      <c r="A5777" s="110" t="s">
        <v>20</v>
      </c>
      <c r="B5777" s="111"/>
      <c r="C5777" s="111"/>
      <c r="D5777" s="112"/>
    </row>
    <row r="5778" spans="1:4" ht="42.75" customHeight="1" thickBot="1">
      <c r="A5778" s="113" t="s">
        <v>18</v>
      </c>
      <c r="B5778" s="114"/>
      <c r="C5778" s="114"/>
      <c r="D5778" s="115"/>
    </row>
    <row r="5779" spans="1:4" ht="42.75" customHeight="1" thickBot="1">
      <c r="A5779" s="120" t="s">
        <v>19</v>
      </c>
      <c r="B5779" s="121"/>
      <c r="C5779" s="121"/>
      <c r="D5779" s="122"/>
    </row>
    <row r="5780" spans="1:4" ht="42.75" customHeight="1" thickBot="1">
      <c r="A5780" s="123" t="s">
        <v>11</v>
      </c>
      <c r="B5780" s="124"/>
      <c r="C5780" s="125" t="s">
        <v>603</v>
      </c>
      <c r="D5780" s="124"/>
    </row>
    <row r="5781" spans="1:4" ht="42.75" customHeight="1" thickBot="1">
      <c r="A5781" s="1" t="s">
        <v>686</v>
      </c>
      <c r="B5781" s="26" t="s">
        <v>1</v>
      </c>
      <c r="C5781" s="90" t="s">
        <v>195</v>
      </c>
      <c r="D5781" s="91"/>
    </row>
    <row r="5782" spans="1:4" ht="42.75" customHeight="1" thickBot="1">
      <c r="A5782" s="26"/>
      <c r="B5782" s="26" t="s">
        <v>0</v>
      </c>
      <c r="C5782" s="5" t="s">
        <v>687</v>
      </c>
      <c r="D5782" s="4" t="s">
        <v>2</v>
      </c>
    </row>
    <row r="5783" spans="1:4" ht="42.75" customHeight="1" thickBot="1">
      <c r="A5783" s="92">
        <v>3465</v>
      </c>
      <c r="B5783" s="93"/>
      <c r="C5783" s="94" t="s">
        <v>3</v>
      </c>
      <c r="D5783" s="95"/>
    </row>
    <row r="5784" spans="1:4" ht="42.75" customHeight="1" thickBot="1">
      <c r="A5784" s="92">
        <v>3465</v>
      </c>
      <c r="B5784" s="93"/>
      <c r="C5784" s="96" t="s">
        <v>4</v>
      </c>
      <c r="D5784" s="97"/>
    </row>
    <row r="5785" spans="1:4" ht="42.75" customHeight="1" thickBot="1">
      <c r="A5785" s="98">
        <f>A5784-A5783</f>
        <v>0</v>
      </c>
      <c r="B5785" s="99"/>
      <c r="C5785" s="100" t="s">
        <v>5</v>
      </c>
      <c r="D5785" s="97"/>
    </row>
    <row r="5786" spans="1:4" ht="42.75" customHeight="1" thickBot="1">
      <c r="A5786" s="101">
        <v>62</v>
      </c>
      <c r="B5786" s="102"/>
      <c r="C5786" s="96" t="s">
        <v>6</v>
      </c>
      <c r="D5786" s="97"/>
    </row>
    <row r="5787" spans="1:4" ht="42.75" customHeight="1" thickBot="1">
      <c r="A5787" s="103"/>
      <c r="B5787" s="104"/>
      <c r="C5787" s="96" t="s">
        <v>21</v>
      </c>
      <c r="D5787" s="97"/>
    </row>
    <row r="5788" spans="1:4" ht="42.75" customHeight="1" thickBot="1">
      <c r="A5788" s="105">
        <f>A5786*A5785</f>
        <v>0</v>
      </c>
      <c r="B5788" s="106"/>
      <c r="C5788" s="96" t="s">
        <v>7</v>
      </c>
      <c r="D5788" s="97"/>
    </row>
    <row r="5789" spans="1:4" ht="42.75" customHeight="1" thickBot="1">
      <c r="A5789" s="107" t="s">
        <v>17</v>
      </c>
      <c r="B5789" s="108"/>
      <c r="C5789" s="108"/>
      <c r="D5789" s="109"/>
    </row>
    <row r="5790" spans="1:4" ht="42.75" customHeight="1" thickBot="1">
      <c r="A5790" s="116" t="s">
        <v>20</v>
      </c>
      <c r="B5790" s="117"/>
      <c r="C5790" s="117"/>
      <c r="D5790" s="118"/>
    </row>
    <row r="5791" spans="1:4" ht="42.75" customHeight="1" thickBot="1">
      <c r="A5791" s="113" t="s">
        <v>18</v>
      </c>
      <c r="B5791" s="114"/>
      <c r="C5791" s="114"/>
      <c r="D5791" s="115"/>
    </row>
    <row r="5792" spans="1:4" ht="42.75" customHeight="1" thickBot="1">
      <c r="A5792" s="119"/>
      <c r="B5792" s="119"/>
      <c r="C5792" s="119"/>
      <c r="D5792" s="119"/>
    </row>
    <row r="5793" spans="1:4" ht="42.75" customHeight="1" thickBot="1">
      <c r="A5793" s="120" t="s">
        <v>19</v>
      </c>
      <c r="B5793" s="121"/>
      <c r="C5793" s="121"/>
      <c r="D5793" s="122"/>
    </row>
    <row r="5794" spans="1:4" ht="42.75" customHeight="1" thickBot="1">
      <c r="A5794" s="123" t="s">
        <v>11</v>
      </c>
      <c r="B5794" s="124"/>
      <c r="C5794" s="125" t="s">
        <v>603</v>
      </c>
      <c r="D5794" s="124"/>
    </row>
    <row r="5795" spans="1:4" ht="42.75" customHeight="1" thickBot="1">
      <c r="A5795" s="1" t="s">
        <v>686</v>
      </c>
      <c r="B5795" s="26" t="s">
        <v>1</v>
      </c>
      <c r="C5795" s="90" t="s">
        <v>195</v>
      </c>
      <c r="D5795" s="91"/>
    </row>
    <row r="5796" spans="1:4" ht="42.75" customHeight="1" thickBot="1">
      <c r="A5796" s="26"/>
      <c r="B5796" s="26" t="s">
        <v>0</v>
      </c>
      <c r="C5796" s="5" t="s">
        <v>687</v>
      </c>
      <c r="D5796" s="4" t="s">
        <v>2</v>
      </c>
    </row>
    <row r="5797" spans="1:4" ht="42.75" customHeight="1" thickBot="1">
      <c r="A5797" s="92">
        <v>3450</v>
      </c>
      <c r="B5797" s="93"/>
      <c r="C5797" s="94" t="s">
        <v>3</v>
      </c>
      <c r="D5797" s="95"/>
    </row>
    <row r="5798" spans="1:4" ht="42.75" customHeight="1" thickBot="1">
      <c r="A5798" s="92">
        <v>3465</v>
      </c>
      <c r="B5798" s="93"/>
      <c r="C5798" s="96" t="s">
        <v>4</v>
      </c>
      <c r="D5798" s="97"/>
    </row>
    <row r="5799" spans="1:4" ht="42.75" customHeight="1" thickBot="1">
      <c r="A5799" s="98">
        <f>A5798-A5797</f>
        <v>15</v>
      </c>
      <c r="B5799" s="99"/>
      <c r="C5799" s="100" t="s">
        <v>5</v>
      </c>
      <c r="D5799" s="97"/>
    </row>
    <row r="5800" spans="1:4" ht="42.75" customHeight="1" thickBot="1">
      <c r="A5800" s="101">
        <v>62</v>
      </c>
      <c r="B5800" s="102"/>
      <c r="C5800" s="96" t="s">
        <v>6</v>
      </c>
      <c r="D5800" s="97"/>
    </row>
    <row r="5801" spans="1:4" ht="42.75" customHeight="1" thickBot="1">
      <c r="A5801" s="103"/>
      <c r="B5801" s="104"/>
      <c r="C5801" s="96" t="s">
        <v>21</v>
      </c>
      <c r="D5801" s="97"/>
    </row>
    <row r="5802" spans="1:4" ht="42.75" customHeight="1" thickBot="1">
      <c r="A5802" s="105">
        <v>950</v>
      </c>
      <c r="B5802" s="106"/>
      <c r="C5802" s="96" t="s">
        <v>7</v>
      </c>
      <c r="D5802" s="97"/>
    </row>
    <row r="5803" spans="1:4" ht="42.75" customHeight="1" thickBot="1">
      <c r="A5803" s="107" t="s">
        <v>17</v>
      </c>
      <c r="B5803" s="108"/>
      <c r="C5803" s="108"/>
      <c r="D5803" s="109"/>
    </row>
    <row r="5804" spans="1:4" ht="42.75" customHeight="1" thickBot="1">
      <c r="A5804" s="110" t="s">
        <v>20</v>
      </c>
      <c r="B5804" s="111"/>
      <c r="C5804" s="111"/>
      <c r="D5804" s="112"/>
    </row>
    <row r="5805" spans="1:4" ht="42.75" customHeight="1" thickBot="1">
      <c r="A5805" s="113" t="s">
        <v>18</v>
      </c>
      <c r="B5805" s="114"/>
      <c r="C5805" s="114"/>
      <c r="D5805" s="115"/>
    </row>
    <row r="5806" spans="1:4" ht="42.75" customHeight="1" thickBot="1">
      <c r="A5806" s="120" t="s">
        <v>19</v>
      </c>
      <c r="B5806" s="121"/>
      <c r="C5806" s="121"/>
      <c r="D5806" s="122"/>
    </row>
    <row r="5807" spans="1:4" ht="42.75" customHeight="1" thickBot="1">
      <c r="A5807" s="123" t="s">
        <v>11</v>
      </c>
      <c r="B5807" s="124"/>
      <c r="C5807" s="125" t="s">
        <v>603</v>
      </c>
      <c r="D5807" s="124"/>
    </row>
    <row r="5808" spans="1:4" ht="42.75" customHeight="1" thickBot="1">
      <c r="A5808" s="1" t="s">
        <v>686</v>
      </c>
      <c r="B5808" s="26" t="s">
        <v>1</v>
      </c>
      <c r="C5808" s="90" t="s">
        <v>196</v>
      </c>
      <c r="D5808" s="91"/>
    </row>
    <row r="5809" spans="1:4" ht="42.75" customHeight="1" thickBot="1">
      <c r="A5809" s="26"/>
      <c r="B5809" s="26" t="s">
        <v>0</v>
      </c>
      <c r="C5809" s="5" t="s">
        <v>687</v>
      </c>
      <c r="D5809" s="4" t="s">
        <v>2</v>
      </c>
    </row>
    <row r="5810" spans="1:4" ht="42.75" customHeight="1" thickBot="1">
      <c r="A5810" s="92">
        <v>4833</v>
      </c>
      <c r="B5810" s="93"/>
      <c r="C5810" s="94" t="s">
        <v>3</v>
      </c>
      <c r="D5810" s="95"/>
    </row>
    <row r="5811" spans="1:4" ht="42.75" customHeight="1" thickBot="1">
      <c r="A5811" s="92">
        <v>4833</v>
      </c>
      <c r="B5811" s="93"/>
      <c r="C5811" s="96" t="s">
        <v>4</v>
      </c>
      <c r="D5811" s="97"/>
    </row>
    <row r="5812" spans="1:4" ht="42.75" customHeight="1" thickBot="1">
      <c r="A5812" s="98">
        <f>A5811-A5810</f>
        <v>0</v>
      </c>
      <c r="B5812" s="99"/>
      <c r="C5812" s="100" t="s">
        <v>5</v>
      </c>
      <c r="D5812" s="97"/>
    </row>
    <row r="5813" spans="1:4" ht="42.75" customHeight="1" thickBot="1">
      <c r="A5813" s="101">
        <v>62</v>
      </c>
      <c r="B5813" s="102"/>
      <c r="C5813" s="96" t="s">
        <v>6</v>
      </c>
      <c r="D5813" s="97"/>
    </row>
    <row r="5814" spans="1:4" ht="42.75" customHeight="1" thickBot="1">
      <c r="A5814" s="103"/>
      <c r="B5814" s="104"/>
      <c r="C5814" s="96" t="s">
        <v>21</v>
      </c>
      <c r="D5814" s="97"/>
    </row>
    <row r="5815" spans="1:4" ht="42.75" customHeight="1" thickBot="1">
      <c r="A5815" s="105">
        <f>A5813*A5812</f>
        <v>0</v>
      </c>
      <c r="B5815" s="106"/>
      <c r="C5815" s="96" t="s">
        <v>7</v>
      </c>
      <c r="D5815" s="97"/>
    </row>
    <row r="5816" spans="1:4" ht="42.75" customHeight="1" thickBot="1">
      <c r="A5816" s="107" t="s">
        <v>17</v>
      </c>
      <c r="B5816" s="108"/>
      <c r="C5816" s="108"/>
      <c r="D5816" s="109"/>
    </row>
    <row r="5817" spans="1:4" ht="42.75" customHeight="1" thickBot="1">
      <c r="A5817" s="116" t="s">
        <v>20</v>
      </c>
      <c r="B5817" s="117"/>
      <c r="C5817" s="117"/>
      <c r="D5817" s="118"/>
    </row>
    <row r="5818" spans="1:4" ht="42.75" customHeight="1" thickBot="1">
      <c r="A5818" s="113" t="s">
        <v>18</v>
      </c>
      <c r="B5818" s="114"/>
      <c r="C5818" s="114"/>
      <c r="D5818" s="115"/>
    </row>
    <row r="5819" spans="1:4" ht="42.75" customHeight="1" thickBot="1">
      <c r="A5819" s="119"/>
      <c r="B5819" s="119"/>
      <c r="C5819" s="119"/>
      <c r="D5819" s="119"/>
    </row>
    <row r="5820" spans="1:4" ht="42.75" customHeight="1" thickBot="1">
      <c r="A5820" s="120" t="s">
        <v>19</v>
      </c>
      <c r="B5820" s="121"/>
      <c r="C5820" s="121"/>
      <c r="D5820" s="122"/>
    </row>
    <row r="5821" spans="1:4" ht="42.75" customHeight="1" thickBot="1">
      <c r="A5821" s="123" t="s">
        <v>11</v>
      </c>
      <c r="B5821" s="124"/>
      <c r="C5821" s="125" t="s">
        <v>603</v>
      </c>
      <c r="D5821" s="124"/>
    </row>
    <row r="5822" spans="1:4" ht="42.75" customHeight="1" thickBot="1">
      <c r="A5822" s="1" t="s">
        <v>686</v>
      </c>
      <c r="B5822" s="26" t="s">
        <v>1</v>
      </c>
      <c r="C5822" s="90" t="s">
        <v>196</v>
      </c>
      <c r="D5822" s="91"/>
    </row>
    <row r="5823" spans="1:4" ht="42.75" customHeight="1" thickBot="1">
      <c r="A5823" s="26"/>
      <c r="B5823" s="26" t="s">
        <v>0</v>
      </c>
      <c r="C5823" s="5" t="s">
        <v>687</v>
      </c>
      <c r="D5823" s="4" t="s">
        <v>2</v>
      </c>
    </row>
    <row r="5824" spans="1:4" ht="42.75" customHeight="1" thickBot="1">
      <c r="A5824" s="92">
        <v>4816</v>
      </c>
      <c r="B5824" s="93"/>
      <c r="C5824" s="94" t="s">
        <v>3</v>
      </c>
      <c r="D5824" s="95"/>
    </row>
    <row r="5825" spans="1:4" ht="42.75" customHeight="1" thickBot="1">
      <c r="A5825" s="92">
        <v>4833</v>
      </c>
      <c r="B5825" s="93"/>
      <c r="C5825" s="96" t="s">
        <v>4</v>
      </c>
      <c r="D5825" s="97"/>
    </row>
    <row r="5826" spans="1:4" ht="42.75" customHeight="1" thickBot="1">
      <c r="A5826" s="98">
        <f>A5825-A5824</f>
        <v>17</v>
      </c>
      <c r="B5826" s="99"/>
      <c r="C5826" s="100" t="s">
        <v>5</v>
      </c>
      <c r="D5826" s="97"/>
    </row>
    <row r="5827" spans="1:4" ht="42.75" customHeight="1" thickBot="1">
      <c r="A5827" s="101">
        <v>62</v>
      </c>
      <c r="B5827" s="102"/>
      <c r="C5827" s="96" t="s">
        <v>6</v>
      </c>
      <c r="D5827" s="97"/>
    </row>
    <row r="5828" spans="1:4" ht="42.75" customHeight="1" thickBot="1">
      <c r="A5828" s="103"/>
      <c r="B5828" s="104"/>
      <c r="C5828" s="96" t="s">
        <v>21</v>
      </c>
      <c r="D5828" s="97"/>
    </row>
    <row r="5829" spans="1:4" ht="42.75" customHeight="1" thickBot="1">
      <c r="A5829" s="105">
        <f>A5827*A5826</f>
        <v>1054</v>
      </c>
      <c r="B5829" s="106"/>
      <c r="C5829" s="96" t="s">
        <v>7</v>
      </c>
      <c r="D5829" s="97"/>
    </row>
    <row r="5830" spans="1:4" ht="42.75" customHeight="1" thickBot="1">
      <c r="A5830" s="107" t="s">
        <v>17</v>
      </c>
      <c r="B5830" s="108"/>
      <c r="C5830" s="108"/>
      <c r="D5830" s="109"/>
    </row>
    <row r="5831" spans="1:4" ht="42.75" customHeight="1" thickBot="1">
      <c r="A5831" s="110" t="s">
        <v>20</v>
      </c>
      <c r="B5831" s="111"/>
      <c r="C5831" s="111"/>
      <c r="D5831" s="112"/>
    </row>
    <row r="5832" spans="1:4" ht="42.75" customHeight="1" thickBot="1">
      <c r="A5832" s="113" t="s">
        <v>18</v>
      </c>
      <c r="B5832" s="114"/>
      <c r="C5832" s="114"/>
      <c r="D5832" s="115"/>
    </row>
    <row r="5833" spans="1:4" ht="42.75" customHeight="1" thickBot="1">
      <c r="A5833" s="120" t="s">
        <v>19</v>
      </c>
      <c r="B5833" s="121"/>
      <c r="C5833" s="121"/>
      <c r="D5833" s="122"/>
    </row>
    <row r="5834" spans="1:4" ht="42.75" customHeight="1" thickBot="1">
      <c r="A5834" s="123" t="s">
        <v>11</v>
      </c>
      <c r="B5834" s="124"/>
      <c r="C5834" s="125" t="s">
        <v>603</v>
      </c>
      <c r="D5834" s="124"/>
    </row>
    <row r="5835" spans="1:4" ht="42.75" customHeight="1" thickBot="1">
      <c r="A5835" s="1" t="s">
        <v>686</v>
      </c>
      <c r="B5835" s="26" t="s">
        <v>1</v>
      </c>
      <c r="C5835" s="90" t="s">
        <v>197</v>
      </c>
      <c r="D5835" s="91"/>
    </row>
    <row r="5836" spans="1:4" ht="42.75" customHeight="1" thickBot="1">
      <c r="A5836" s="26"/>
      <c r="B5836" s="26" t="s">
        <v>0</v>
      </c>
      <c r="C5836" s="5" t="s">
        <v>687</v>
      </c>
      <c r="D5836" s="4" t="s">
        <v>2</v>
      </c>
    </row>
    <row r="5837" spans="1:4" ht="42.75" customHeight="1" thickBot="1">
      <c r="A5837" s="92">
        <v>7110</v>
      </c>
      <c r="B5837" s="93"/>
      <c r="C5837" s="94" t="s">
        <v>3</v>
      </c>
      <c r="D5837" s="95"/>
    </row>
    <row r="5838" spans="1:4" ht="42.75" customHeight="1" thickBot="1">
      <c r="A5838" s="92">
        <v>7110</v>
      </c>
      <c r="B5838" s="93"/>
      <c r="C5838" s="96" t="s">
        <v>4</v>
      </c>
      <c r="D5838" s="97"/>
    </row>
    <row r="5839" spans="1:4" ht="42.75" customHeight="1" thickBot="1">
      <c r="A5839" s="98">
        <f>A5838-A5837</f>
        <v>0</v>
      </c>
      <c r="B5839" s="99"/>
      <c r="C5839" s="100" t="s">
        <v>5</v>
      </c>
      <c r="D5839" s="97"/>
    </row>
    <row r="5840" spans="1:4" ht="42.75" customHeight="1" thickBot="1">
      <c r="A5840" s="101">
        <v>62</v>
      </c>
      <c r="B5840" s="102"/>
      <c r="C5840" s="96" t="s">
        <v>6</v>
      </c>
      <c r="D5840" s="97"/>
    </row>
    <row r="5841" spans="1:4" ht="42.75" customHeight="1" thickBot="1">
      <c r="A5841" s="103"/>
      <c r="B5841" s="104"/>
      <c r="C5841" s="96" t="s">
        <v>21</v>
      </c>
      <c r="D5841" s="97"/>
    </row>
    <row r="5842" spans="1:4" ht="42.75" customHeight="1" thickBot="1">
      <c r="A5842" s="105">
        <f>A5840*A5839</f>
        <v>0</v>
      </c>
      <c r="B5842" s="106"/>
      <c r="C5842" s="96" t="s">
        <v>7</v>
      </c>
      <c r="D5842" s="97"/>
    </row>
    <row r="5843" spans="1:4" ht="42.75" customHeight="1" thickBot="1">
      <c r="A5843" s="107" t="s">
        <v>17</v>
      </c>
      <c r="B5843" s="108"/>
      <c r="C5843" s="108"/>
      <c r="D5843" s="109"/>
    </row>
    <row r="5844" spans="1:4" ht="42.75" customHeight="1" thickBot="1">
      <c r="A5844" s="116" t="s">
        <v>20</v>
      </c>
      <c r="B5844" s="117"/>
      <c r="C5844" s="117"/>
      <c r="D5844" s="118"/>
    </row>
    <row r="5845" spans="1:4" ht="42.75" customHeight="1" thickBot="1">
      <c r="A5845" s="113" t="s">
        <v>18</v>
      </c>
      <c r="B5845" s="114"/>
      <c r="C5845" s="114"/>
      <c r="D5845" s="115"/>
    </row>
    <row r="5846" spans="1:4" ht="42.75" customHeight="1" thickBot="1">
      <c r="A5846" s="119"/>
      <c r="B5846" s="119"/>
      <c r="C5846" s="119"/>
      <c r="D5846" s="119"/>
    </row>
    <row r="5847" spans="1:4" ht="42.75" customHeight="1" thickBot="1">
      <c r="A5847" s="120" t="s">
        <v>19</v>
      </c>
      <c r="B5847" s="121"/>
      <c r="C5847" s="121"/>
      <c r="D5847" s="122"/>
    </row>
    <row r="5848" spans="1:4" ht="42.75" customHeight="1" thickBot="1">
      <c r="A5848" s="123" t="s">
        <v>11</v>
      </c>
      <c r="B5848" s="124"/>
      <c r="C5848" s="125" t="s">
        <v>603</v>
      </c>
      <c r="D5848" s="124"/>
    </row>
    <row r="5849" spans="1:4" ht="42.75" customHeight="1" thickBot="1">
      <c r="A5849" s="1" t="s">
        <v>686</v>
      </c>
      <c r="B5849" s="26" t="s">
        <v>1</v>
      </c>
      <c r="C5849" s="90" t="s">
        <v>197</v>
      </c>
      <c r="D5849" s="91"/>
    </row>
    <row r="5850" spans="1:4" ht="42.75" customHeight="1" thickBot="1">
      <c r="A5850" s="26"/>
      <c r="B5850" s="26" t="s">
        <v>0</v>
      </c>
      <c r="C5850" s="5" t="s">
        <v>687</v>
      </c>
      <c r="D5850" s="4" t="s">
        <v>2</v>
      </c>
    </row>
    <row r="5851" spans="1:4" ht="42.75" customHeight="1" thickBot="1">
      <c r="A5851" s="92">
        <v>7089</v>
      </c>
      <c r="B5851" s="93"/>
      <c r="C5851" s="94" t="s">
        <v>3</v>
      </c>
      <c r="D5851" s="95"/>
    </row>
    <row r="5852" spans="1:4" ht="42.75" customHeight="1" thickBot="1">
      <c r="A5852" s="92">
        <v>7110</v>
      </c>
      <c r="B5852" s="93"/>
      <c r="C5852" s="96" t="s">
        <v>4</v>
      </c>
      <c r="D5852" s="97"/>
    </row>
    <row r="5853" spans="1:4" ht="42.75" customHeight="1" thickBot="1">
      <c r="A5853" s="98">
        <f>A5852-A5851</f>
        <v>21</v>
      </c>
      <c r="B5853" s="99"/>
      <c r="C5853" s="100" t="s">
        <v>5</v>
      </c>
      <c r="D5853" s="97"/>
    </row>
    <row r="5854" spans="1:4" ht="42.75" customHeight="1" thickBot="1">
      <c r="A5854" s="101">
        <v>62</v>
      </c>
      <c r="B5854" s="102"/>
      <c r="C5854" s="96" t="s">
        <v>6</v>
      </c>
      <c r="D5854" s="97"/>
    </row>
    <row r="5855" spans="1:4" ht="42.75" customHeight="1" thickBot="1">
      <c r="A5855" s="103"/>
      <c r="B5855" s="104"/>
      <c r="C5855" s="96" t="s">
        <v>21</v>
      </c>
      <c r="D5855" s="97"/>
    </row>
    <row r="5856" spans="1:4" ht="42.75" customHeight="1" thickBot="1">
      <c r="A5856" s="105">
        <f>A5854*A5853</f>
        <v>1302</v>
      </c>
      <c r="B5856" s="106"/>
      <c r="C5856" s="96" t="s">
        <v>7</v>
      </c>
      <c r="D5856" s="97"/>
    </row>
    <row r="5857" spans="1:4" ht="42.75" customHeight="1" thickBot="1">
      <c r="A5857" s="107" t="s">
        <v>17</v>
      </c>
      <c r="B5857" s="108"/>
      <c r="C5857" s="108"/>
      <c r="D5857" s="109"/>
    </row>
    <row r="5858" spans="1:4" ht="42.75" customHeight="1" thickBot="1">
      <c r="A5858" s="110" t="s">
        <v>20</v>
      </c>
      <c r="B5858" s="111"/>
      <c r="C5858" s="111"/>
      <c r="D5858" s="112"/>
    </row>
    <row r="5859" spans="1:4" ht="42.75" customHeight="1" thickBot="1">
      <c r="A5859" s="113" t="s">
        <v>18</v>
      </c>
      <c r="B5859" s="114"/>
      <c r="C5859" s="114"/>
      <c r="D5859" s="115"/>
    </row>
    <row r="5860" spans="1:4" ht="42.75" customHeight="1" thickBot="1">
      <c r="A5860" s="120" t="s">
        <v>19</v>
      </c>
      <c r="B5860" s="121"/>
      <c r="C5860" s="121"/>
      <c r="D5860" s="122"/>
    </row>
    <row r="5861" spans="1:4" ht="42.75" customHeight="1" thickBot="1">
      <c r="A5861" s="123" t="s">
        <v>11</v>
      </c>
      <c r="B5861" s="124"/>
      <c r="C5861" s="125" t="s">
        <v>603</v>
      </c>
      <c r="D5861" s="124"/>
    </row>
    <row r="5862" spans="1:4" ht="42.75" customHeight="1" thickBot="1">
      <c r="A5862" s="1" t="s">
        <v>686</v>
      </c>
      <c r="B5862" s="26" t="s">
        <v>1</v>
      </c>
      <c r="C5862" s="90" t="s">
        <v>198</v>
      </c>
      <c r="D5862" s="91"/>
    </row>
    <row r="5863" spans="1:4" ht="42.75" customHeight="1" thickBot="1">
      <c r="A5863" s="26"/>
      <c r="B5863" s="26" t="s">
        <v>0</v>
      </c>
      <c r="C5863" s="5" t="s">
        <v>687</v>
      </c>
      <c r="D5863" s="4" t="s">
        <v>2</v>
      </c>
    </row>
    <row r="5864" spans="1:4" ht="42.75" customHeight="1" thickBot="1">
      <c r="A5864" s="92">
        <v>4620</v>
      </c>
      <c r="B5864" s="93"/>
      <c r="C5864" s="94" t="s">
        <v>3</v>
      </c>
      <c r="D5864" s="95"/>
    </row>
    <row r="5865" spans="1:4" ht="42.75" customHeight="1" thickBot="1">
      <c r="A5865" s="92">
        <v>4620</v>
      </c>
      <c r="B5865" s="93"/>
      <c r="C5865" s="96" t="s">
        <v>4</v>
      </c>
      <c r="D5865" s="97"/>
    </row>
    <row r="5866" spans="1:4" ht="42.75" customHeight="1" thickBot="1">
      <c r="A5866" s="98">
        <f>A5865-A5864</f>
        <v>0</v>
      </c>
      <c r="B5866" s="99"/>
      <c r="C5866" s="100" t="s">
        <v>5</v>
      </c>
      <c r="D5866" s="97"/>
    </row>
    <row r="5867" spans="1:4" ht="42.75" customHeight="1" thickBot="1">
      <c r="A5867" s="101">
        <v>62</v>
      </c>
      <c r="B5867" s="102"/>
      <c r="C5867" s="96" t="s">
        <v>6</v>
      </c>
      <c r="D5867" s="97"/>
    </row>
    <row r="5868" spans="1:4" ht="42.75" customHeight="1" thickBot="1">
      <c r="A5868" s="103"/>
      <c r="B5868" s="104"/>
      <c r="C5868" s="96" t="s">
        <v>21</v>
      </c>
      <c r="D5868" s="97"/>
    </row>
    <row r="5869" spans="1:4" ht="42.75" customHeight="1" thickBot="1">
      <c r="A5869" s="105">
        <f>A5867*A5866</f>
        <v>0</v>
      </c>
      <c r="B5869" s="106"/>
      <c r="C5869" s="96" t="s">
        <v>7</v>
      </c>
      <c r="D5869" s="97"/>
    </row>
    <row r="5870" spans="1:4" ht="42.75" customHeight="1" thickBot="1">
      <c r="A5870" s="107" t="s">
        <v>17</v>
      </c>
      <c r="B5870" s="108"/>
      <c r="C5870" s="108"/>
      <c r="D5870" s="109"/>
    </row>
    <row r="5871" spans="1:4" ht="42.75" customHeight="1" thickBot="1">
      <c r="A5871" s="116" t="s">
        <v>20</v>
      </c>
      <c r="B5871" s="117"/>
      <c r="C5871" s="117"/>
      <c r="D5871" s="118"/>
    </row>
    <row r="5872" spans="1:4" ht="42.75" customHeight="1" thickBot="1">
      <c r="A5872" s="113" t="s">
        <v>18</v>
      </c>
      <c r="B5872" s="114"/>
      <c r="C5872" s="114"/>
      <c r="D5872" s="115"/>
    </row>
    <row r="5873" spans="1:4" ht="42.75" customHeight="1" thickBot="1">
      <c r="A5873" s="119"/>
      <c r="B5873" s="119"/>
      <c r="C5873" s="119"/>
      <c r="D5873" s="119"/>
    </row>
    <row r="5874" spans="1:4" ht="42.75" customHeight="1" thickBot="1">
      <c r="A5874" s="120" t="s">
        <v>19</v>
      </c>
      <c r="B5874" s="121"/>
      <c r="C5874" s="121"/>
      <c r="D5874" s="122"/>
    </row>
    <row r="5875" spans="1:4" ht="42.75" customHeight="1" thickBot="1">
      <c r="A5875" s="123" t="s">
        <v>11</v>
      </c>
      <c r="B5875" s="124"/>
      <c r="C5875" s="125" t="s">
        <v>603</v>
      </c>
      <c r="D5875" s="124"/>
    </row>
    <row r="5876" spans="1:4" ht="42.75" customHeight="1" thickBot="1">
      <c r="A5876" s="1" t="s">
        <v>686</v>
      </c>
      <c r="B5876" s="26" t="s">
        <v>1</v>
      </c>
      <c r="C5876" s="90" t="s">
        <v>198</v>
      </c>
      <c r="D5876" s="91"/>
    </row>
    <row r="5877" spans="1:4" ht="42.75" customHeight="1" thickBot="1">
      <c r="A5877" s="26"/>
      <c r="B5877" s="26" t="s">
        <v>0</v>
      </c>
      <c r="C5877" s="5" t="s">
        <v>687</v>
      </c>
      <c r="D5877" s="4" t="s">
        <v>2</v>
      </c>
    </row>
    <row r="5878" spans="1:4" ht="42.75" customHeight="1" thickBot="1">
      <c r="A5878" s="92">
        <v>4603</v>
      </c>
      <c r="B5878" s="93"/>
      <c r="C5878" s="94" t="s">
        <v>3</v>
      </c>
      <c r="D5878" s="95"/>
    </row>
    <row r="5879" spans="1:4" ht="42.75" customHeight="1" thickBot="1">
      <c r="A5879" s="92">
        <v>4620</v>
      </c>
      <c r="B5879" s="93"/>
      <c r="C5879" s="96" t="s">
        <v>4</v>
      </c>
      <c r="D5879" s="97"/>
    </row>
    <row r="5880" spans="1:4" ht="42.75" customHeight="1" thickBot="1">
      <c r="A5880" s="98">
        <f>A5879-A5878</f>
        <v>17</v>
      </c>
      <c r="B5880" s="99"/>
      <c r="C5880" s="100" t="s">
        <v>5</v>
      </c>
      <c r="D5880" s="97"/>
    </row>
    <row r="5881" spans="1:4" ht="42.75" customHeight="1" thickBot="1">
      <c r="A5881" s="101">
        <v>62</v>
      </c>
      <c r="B5881" s="102"/>
      <c r="C5881" s="96" t="s">
        <v>6</v>
      </c>
      <c r="D5881" s="97"/>
    </row>
    <row r="5882" spans="1:4" ht="42.75" customHeight="1" thickBot="1">
      <c r="A5882" s="103"/>
      <c r="B5882" s="104"/>
      <c r="C5882" s="96" t="s">
        <v>21</v>
      </c>
      <c r="D5882" s="97"/>
    </row>
    <row r="5883" spans="1:4" ht="42.75" customHeight="1" thickBot="1">
      <c r="A5883" s="105">
        <f>A5881*A5880</f>
        <v>1054</v>
      </c>
      <c r="B5883" s="106"/>
      <c r="C5883" s="96" t="s">
        <v>7</v>
      </c>
      <c r="D5883" s="97"/>
    </row>
    <row r="5884" spans="1:4" ht="42.75" customHeight="1" thickBot="1">
      <c r="A5884" s="107" t="s">
        <v>17</v>
      </c>
      <c r="B5884" s="108"/>
      <c r="C5884" s="108"/>
      <c r="D5884" s="109"/>
    </row>
    <row r="5885" spans="1:4" ht="42.75" customHeight="1" thickBot="1">
      <c r="A5885" s="110" t="s">
        <v>20</v>
      </c>
      <c r="B5885" s="111"/>
      <c r="C5885" s="111"/>
      <c r="D5885" s="112"/>
    </row>
    <row r="5886" spans="1:4" ht="42.75" customHeight="1" thickBot="1">
      <c r="A5886" s="113" t="s">
        <v>18</v>
      </c>
      <c r="B5886" s="114"/>
      <c r="C5886" s="114"/>
      <c r="D5886" s="115"/>
    </row>
    <row r="5887" spans="1:4" ht="42.75" customHeight="1" thickBot="1">
      <c r="A5887" s="120" t="s">
        <v>19</v>
      </c>
      <c r="B5887" s="121"/>
      <c r="C5887" s="121"/>
      <c r="D5887" s="122"/>
    </row>
    <row r="5888" spans="1:4" ht="42.75" customHeight="1" thickBot="1">
      <c r="A5888" s="123" t="s">
        <v>11</v>
      </c>
      <c r="B5888" s="124"/>
      <c r="C5888" s="125" t="s">
        <v>603</v>
      </c>
      <c r="D5888" s="124"/>
    </row>
    <row r="5889" spans="1:4" ht="42.75" customHeight="1" thickBot="1">
      <c r="A5889" s="1" t="s">
        <v>686</v>
      </c>
      <c r="B5889" s="26" t="s">
        <v>1</v>
      </c>
      <c r="C5889" s="90" t="s">
        <v>199</v>
      </c>
      <c r="D5889" s="91"/>
    </row>
    <row r="5890" spans="1:4" ht="42.75" customHeight="1" thickBot="1">
      <c r="A5890" s="26"/>
      <c r="B5890" s="26" t="s">
        <v>0</v>
      </c>
      <c r="C5890" s="5" t="s">
        <v>687</v>
      </c>
      <c r="D5890" s="4" t="s">
        <v>2</v>
      </c>
    </row>
    <row r="5891" spans="1:4" ht="42.75" customHeight="1" thickBot="1">
      <c r="A5891" s="92">
        <v>4720</v>
      </c>
      <c r="B5891" s="93"/>
      <c r="C5891" s="94" t="s">
        <v>3</v>
      </c>
      <c r="D5891" s="95"/>
    </row>
    <row r="5892" spans="1:4" ht="42.75" customHeight="1" thickBot="1">
      <c r="A5892" s="92">
        <v>4720</v>
      </c>
      <c r="B5892" s="93"/>
      <c r="C5892" s="96" t="s">
        <v>4</v>
      </c>
      <c r="D5892" s="97"/>
    </row>
    <row r="5893" spans="1:4" ht="42.75" customHeight="1" thickBot="1">
      <c r="A5893" s="98">
        <f>A5892-A5891</f>
        <v>0</v>
      </c>
      <c r="B5893" s="99"/>
      <c r="C5893" s="100" t="s">
        <v>5</v>
      </c>
      <c r="D5893" s="97"/>
    </row>
    <row r="5894" spans="1:4" ht="42.75" customHeight="1" thickBot="1">
      <c r="A5894" s="101">
        <v>62</v>
      </c>
      <c r="B5894" s="102"/>
      <c r="C5894" s="96" t="s">
        <v>6</v>
      </c>
      <c r="D5894" s="97"/>
    </row>
    <row r="5895" spans="1:4" ht="42.75" customHeight="1" thickBot="1">
      <c r="A5895" s="103"/>
      <c r="B5895" s="104"/>
      <c r="C5895" s="96" t="s">
        <v>21</v>
      </c>
      <c r="D5895" s="97"/>
    </row>
    <row r="5896" spans="1:4" ht="42.75" customHeight="1" thickBot="1">
      <c r="A5896" s="105">
        <f>A5894*A5893</f>
        <v>0</v>
      </c>
      <c r="B5896" s="106"/>
      <c r="C5896" s="96" t="s">
        <v>7</v>
      </c>
      <c r="D5896" s="97"/>
    </row>
    <row r="5897" spans="1:4" ht="42.75" customHeight="1" thickBot="1">
      <c r="A5897" s="107" t="s">
        <v>17</v>
      </c>
      <c r="B5897" s="108"/>
      <c r="C5897" s="108"/>
      <c r="D5897" s="109"/>
    </row>
    <row r="5898" spans="1:4" ht="42.75" customHeight="1" thickBot="1">
      <c r="A5898" s="116" t="s">
        <v>20</v>
      </c>
      <c r="B5898" s="117"/>
      <c r="C5898" s="117"/>
      <c r="D5898" s="118"/>
    </row>
    <row r="5899" spans="1:4" ht="42.75" customHeight="1" thickBot="1">
      <c r="A5899" s="113" t="s">
        <v>18</v>
      </c>
      <c r="B5899" s="114"/>
      <c r="C5899" s="114"/>
      <c r="D5899" s="115"/>
    </row>
    <row r="5900" spans="1:4" ht="42.75" customHeight="1" thickBot="1">
      <c r="A5900" s="119"/>
      <c r="B5900" s="119"/>
      <c r="C5900" s="119"/>
      <c r="D5900" s="119"/>
    </row>
    <row r="5901" spans="1:4" ht="42.75" customHeight="1" thickBot="1">
      <c r="A5901" s="120" t="s">
        <v>19</v>
      </c>
      <c r="B5901" s="121"/>
      <c r="C5901" s="121"/>
      <c r="D5901" s="122"/>
    </row>
    <row r="5902" spans="1:4" ht="42.75" customHeight="1" thickBot="1">
      <c r="A5902" s="123" t="s">
        <v>11</v>
      </c>
      <c r="B5902" s="124"/>
      <c r="C5902" s="125" t="s">
        <v>603</v>
      </c>
      <c r="D5902" s="124"/>
    </row>
    <row r="5903" spans="1:4" ht="42.75" customHeight="1" thickBot="1">
      <c r="A5903" s="1" t="s">
        <v>686</v>
      </c>
      <c r="B5903" s="26" t="s">
        <v>1</v>
      </c>
      <c r="C5903" s="90" t="s">
        <v>199</v>
      </c>
      <c r="D5903" s="91"/>
    </row>
    <row r="5904" spans="1:4" ht="42.75" customHeight="1" thickBot="1">
      <c r="A5904" s="26"/>
      <c r="B5904" s="26" t="s">
        <v>0</v>
      </c>
      <c r="C5904" s="5" t="s">
        <v>687</v>
      </c>
      <c r="D5904" s="4" t="s">
        <v>2</v>
      </c>
    </row>
    <row r="5905" spans="1:4" ht="42.75" customHeight="1" thickBot="1">
      <c r="A5905" s="92">
        <v>4696</v>
      </c>
      <c r="B5905" s="93"/>
      <c r="C5905" s="94" t="s">
        <v>3</v>
      </c>
      <c r="D5905" s="95"/>
    </row>
    <row r="5906" spans="1:4" ht="42.75" customHeight="1" thickBot="1">
      <c r="A5906" s="92">
        <v>4720</v>
      </c>
      <c r="B5906" s="93"/>
      <c r="C5906" s="96" t="s">
        <v>4</v>
      </c>
      <c r="D5906" s="97"/>
    </row>
    <row r="5907" spans="1:4" ht="42.75" customHeight="1" thickBot="1">
      <c r="A5907" s="98">
        <f>A5906-A5905</f>
        <v>24</v>
      </c>
      <c r="B5907" s="99"/>
      <c r="C5907" s="100" t="s">
        <v>5</v>
      </c>
      <c r="D5907" s="97"/>
    </row>
    <row r="5908" spans="1:4" ht="42.75" customHeight="1" thickBot="1">
      <c r="A5908" s="101">
        <v>62</v>
      </c>
      <c r="B5908" s="102"/>
      <c r="C5908" s="96" t="s">
        <v>6</v>
      </c>
      <c r="D5908" s="97"/>
    </row>
    <row r="5909" spans="1:4" ht="42.75" customHeight="1" thickBot="1">
      <c r="A5909" s="103"/>
      <c r="B5909" s="104"/>
      <c r="C5909" s="96" t="s">
        <v>21</v>
      </c>
      <c r="D5909" s="97"/>
    </row>
    <row r="5910" spans="1:4" ht="42.75" customHeight="1" thickBot="1">
      <c r="A5910" s="105">
        <v>1500</v>
      </c>
      <c r="B5910" s="106"/>
      <c r="C5910" s="96" t="s">
        <v>7</v>
      </c>
      <c r="D5910" s="97"/>
    </row>
    <row r="5911" spans="1:4" ht="42.75" customHeight="1" thickBot="1">
      <c r="A5911" s="107" t="s">
        <v>17</v>
      </c>
      <c r="B5911" s="108"/>
      <c r="C5911" s="108"/>
      <c r="D5911" s="109"/>
    </row>
    <row r="5912" spans="1:4" ht="42.75" customHeight="1" thickBot="1">
      <c r="A5912" s="110" t="s">
        <v>20</v>
      </c>
      <c r="B5912" s="111"/>
      <c r="C5912" s="111"/>
      <c r="D5912" s="112"/>
    </row>
    <row r="5913" spans="1:4" ht="42.75" customHeight="1" thickBot="1">
      <c r="A5913" s="113" t="s">
        <v>18</v>
      </c>
      <c r="B5913" s="114"/>
      <c r="C5913" s="114"/>
      <c r="D5913" s="115"/>
    </row>
    <row r="5914" spans="1:4" ht="42.75" customHeight="1" thickBot="1">
      <c r="A5914" s="120" t="s">
        <v>19</v>
      </c>
      <c r="B5914" s="121"/>
      <c r="C5914" s="121"/>
      <c r="D5914" s="122"/>
    </row>
    <row r="5915" spans="1:4" ht="42.75" customHeight="1" thickBot="1">
      <c r="A5915" s="123" t="s">
        <v>11</v>
      </c>
      <c r="B5915" s="124"/>
      <c r="C5915" s="125" t="s">
        <v>603</v>
      </c>
      <c r="D5915" s="124"/>
    </row>
    <row r="5916" spans="1:4" ht="42.75" customHeight="1" thickBot="1">
      <c r="A5916" s="1" t="s">
        <v>686</v>
      </c>
      <c r="B5916" s="26" t="s">
        <v>1</v>
      </c>
      <c r="C5916" s="90" t="s">
        <v>200</v>
      </c>
      <c r="D5916" s="91"/>
    </row>
    <row r="5917" spans="1:4" ht="42.75" customHeight="1" thickBot="1">
      <c r="A5917" s="26"/>
      <c r="B5917" s="26" t="s">
        <v>0</v>
      </c>
      <c r="C5917" s="5" t="s">
        <v>687</v>
      </c>
      <c r="D5917" s="4" t="s">
        <v>2</v>
      </c>
    </row>
    <row r="5918" spans="1:4" ht="42.75" customHeight="1" thickBot="1">
      <c r="A5918" s="92">
        <v>5412</v>
      </c>
      <c r="B5918" s="93"/>
      <c r="C5918" s="94" t="s">
        <v>3</v>
      </c>
      <c r="D5918" s="95"/>
    </row>
    <row r="5919" spans="1:4" ht="42.75" customHeight="1" thickBot="1">
      <c r="A5919" s="92">
        <v>5412</v>
      </c>
      <c r="B5919" s="93"/>
      <c r="C5919" s="96" t="s">
        <v>4</v>
      </c>
      <c r="D5919" s="97"/>
    </row>
    <row r="5920" spans="1:4" ht="42.75" customHeight="1" thickBot="1">
      <c r="A5920" s="98">
        <f>A5919-A5918</f>
        <v>0</v>
      </c>
      <c r="B5920" s="99"/>
      <c r="C5920" s="100" t="s">
        <v>5</v>
      </c>
      <c r="D5920" s="97"/>
    </row>
    <row r="5921" spans="1:4" ht="42.75" customHeight="1" thickBot="1">
      <c r="A5921" s="101">
        <v>62</v>
      </c>
      <c r="B5921" s="102"/>
      <c r="C5921" s="96" t="s">
        <v>6</v>
      </c>
      <c r="D5921" s="97"/>
    </row>
    <row r="5922" spans="1:4" ht="42.75" customHeight="1" thickBot="1">
      <c r="A5922" s="103"/>
      <c r="B5922" s="104"/>
      <c r="C5922" s="96" t="s">
        <v>21</v>
      </c>
      <c r="D5922" s="97"/>
    </row>
    <row r="5923" spans="1:4" ht="42.75" customHeight="1" thickBot="1">
      <c r="A5923" s="105">
        <f>A5921*A5920</f>
        <v>0</v>
      </c>
      <c r="B5923" s="106"/>
      <c r="C5923" s="96" t="s">
        <v>7</v>
      </c>
      <c r="D5923" s="97"/>
    </row>
    <row r="5924" spans="1:4" ht="42.75" customHeight="1" thickBot="1">
      <c r="A5924" s="107" t="s">
        <v>17</v>
      </c>
      <c r="B5924" s="108"/>
      <c r="C5924" s="108"/>
      <c r="D5924" s="109"/>
    </row>
    <row r="5925" spans="1:4" ht="42.75" customHeight="1" thickBot="1">
      <c r="A5925" s="116" t="s">
        <v>20</v>
      </c>
      <c r="B5925" s="117"/>
      <c r="C5925" s="117"/>
      <c r="D5925" s="118"/>
    </row>
    <row r="5926" spans="1:4" ht="42.75" customHeight="1" thickBot="1">
      <c r="A5926" s="113" t="s">
        <v>18</v>
      </c>
      <c r="B5926" s="114"/>
      <c r="C5926" s="114"/>
      <c r="D5926" s="115"/>
    </row>
    <row r="5927" spans="1:4" ht="42.75" customHeight="1" thickBot="1">
      <c r="A5927" s="119"/>
      <c r="B5927" s="119"/>
      <c r="C5927" s="119"/>
      <c r="D5927" s="119"/>
    </row>
    <row r="5928" spans="1:4" ht="42.75" customHeight="1" thickBot="1">
      <c r="A5928" s="120" t="s">
        <v>19</v>
      </c>
      <c r="B5928" s="121"/>
      <c r="C5928" s="121"/>
      <c r="D5928" s="122"/>
    </row>
    <row r="5929" spans="1:4" ht="42.75" customHeight="1" thickBot="1">
      <c r="A5929" s="123" t="s">
        <v>11</v>
      </c>
      <c r="B5929" s="124"/>
      <c r="C5929" s="125" t="s">
        <v>603</v>
      </c>
      <c r="D5929" s="124"/>
    </row>
    <row r="5930" spans="1:4" ht="42.75" customHeight="1" thickBot="1">
      <c r="A5930" s="1" t="s">
        <v>686</v>
      </c>
      <c r="B5930" s="26" t="s">
        <v>1</v>
      </c>
      <c r="C5930" s="90" t="s">
        <v>200</v>
      </c>
      <c r="D5930" s="91"/>
    </row>
    <row r="5931" spans="1:4" ht="42.75" customHeight="1" thickBot="1">
      <c r="A5931" s="26"/>
      <c r="B5931" s="26" t="s">
        <v>0</v>
      </c>
      <c r="C5931" s="5" t="s">
        <v>687</v>
      </c>
      <c r="D5931" s="4" t="s">
        <v>2</v>
      </c>
    </row>
    <row r="5932" spans="1:4" ht="42.75" customHeight="1" thickBot="1">
      <c r="A5932" s="92">
        <v>5384</v>
      </c>
      <c r="B5932" s="93"/>
      <c r="C5932" s="94" t="s">
        <v>3</v>
      </c>
      <c r="D5932" s="95"/>
    </row>
    <row r="5933" spans="1:4" ht="42.75" customHeight="1" thickBot="1">
      <c r="A5933" s="92">
        <v>5412</v>
      </c>
      <c r="B5933" s="93"/>
      <c r="C5933" s="96" t="s">
        <v>4</v>
      </c>
      <c r="D5933" s="97"/>
    </row>
    <row r="5934" spans="1:4" ht="42.75" customHeight="1" thickBot="1">
      <c r="A5934" s="98">
        <f>A5933-A5932</f>
        <v>28</v>
      </c>
      <c r="B5934" s="99"/>
      <c r="C5934" s="100" t="s">
        <v>5</v>
      </c>
      <c r="D5934" s="97"/>
    </row>
    <row r="5935" spans="1:4" ht="42.75" customHeight="1" thickBot="1">
      <c r="A5935" s="101">
        <v>62</v>
      </c>
      <c r="B5935" s="102"/>
      <c r="C5935" s="96" t="s">
        <v>6</v>
      </c>
      <c r="D5935" s="97"/>
    </row>
    <row r="5936" spans="1:4" ht="42.75" customHeight="1" thickBot="1">
      <c r="A5936" s="103"/>
      <c r="B5936" s="104"/>
      <c r="C5936" s="96" t="s">
        <v>21</v>
      </c>
      <c r="D5936" s="97"/>
    </row>
    <row r="5937" spans="1:4" ht="42.75" customHeight="1" thickBot="1">
      <c r="A5937" s="105">
        <v>1750</v>
      </c>
      <c r="B5937" s="106"/>
      <c r="C5937" s="96" t="s">
        <v>7</v>
      </c>
      <c r="D5937" s="97"/>
    </row>
    <row r="5938" spans="1:4" ht="42.75" customHeight="1" thickBot="1">
      <c r="A5938" s="107" t="s">
        <v>17</v>
      </c>
      <c r="B5938" s="108"/>
      <c r="C5938" s="108"/>
      <c r="D5938" s="109"/>
    </row>
    <row r="5939" spans="1:4" ht="42.75" customHeight="1" thickBot="1">
      <c r="A5939" s="110" t="s">
        <v>20</v>
      </c>
      <c r="B5939" s="111"/>
      <c r="C5939" s="111"/>
      <c r="D5939" s="112"/>
    </row>
    <row r="5940" spans="1:4" ht="42.75" customHeight="1" thickBot="1">
      <c r="A5940" s="113" t="s">
        <v>18</v>
      </c>
      <c r="B5940" s="114"/>
      <c r="C5940" s="114"/>
      <c r="D5940" s="115"/>
    </row>
    <row r="5941" spans="1:4" ht="42.75" customHeight="1" thickBot="1">
      <c r="A5941" s="120" t="s">
        <v>19</v>
      </c>
      <c r="B5941" s="121"/>
      <c r="C5941" s="121"/>
      <c r="D5941" s="122"/>
    </row>
    <row r="5942" spans="1:4" ht="42.75" customHeight="1" thickBot="1">
      <c r="A5942" s="123" t="s">
        <v>11</v>
      </c>
      <c r="B5942" s="124"/>
      <c r="C5942" s="125" t="s">
        <v>603</v>
      </c>
      <c r="D5942" s="124"/>
    </row>
    <row r="5943" spans="1:4" ht="42.75" customHeight="1" thickBot="1">
      <c r="A5943" s="1" t="s">
        <v>686</v>
      </c>
      <c r="B5943" s="26" t="s">
        <v>1</v>
      </c>
      <c r="C5943" s="90" t="s">
        <v>584</v>
      </c>
      <c r="D5943" s="91"/>
    </row>
    <row r="5944" spans="1:4" ht="42.75" customHeight="1" thickBot="1">
      <c r="A5944" s="26"/>
      <c r="B5944" s="26" t="s">
        <v>0</v>
      </c>
      <c r="C5944" s="5" t="s">
        <v>687</v>
      </c>
      <c r="D5944" s="4" t="s">
        <v>2</v>
      </c>
    </row>
    <row r="5945" spans="1:4" ht="42.75" customHeight="1" thickBot="1">
      <c r="A5945" s="92">
        <v>3037</v>
      </c>
      <c r="B5945" s="93"/>
      <c r="C5945" s="94" t="s">
        <v>3</v>
      </c>
      <c r="D5945" s="95"/>
    </row>
    <row r="5946" spans="1:4" ht="42.75" customHeight="1" thickBot="1">
      <c r="A5946" s="92">
        <v>3037</v>
      </c>
      <c r="B5946" s="93"/>
      <c r="C5946" s="96" t="s">
        <v>4</v>
      </c>
      <c r="D5946" s="97"/>
    </row>
    <row r="5947" spans="1:4" ht="42.75" customHeight="1" thickBot="1">
      <c r="A5947" s="98">
        <f>A5946-A5945</f>
        <v>0</v>
      </c>
      <c r="B5947" s="99"/>
      <c r="C5947" s="100" t="s">
        <v>5</v>
      </c>
      <c r="D5947" s="97"/>
    </row>
    <row r="5948" spans="1:4" ht="42.75" customHeight="1" thickBot="1">
      <c r="A5948" s="101">
        <v>62</v>
      </c>
      <c r="B5948" s="102"/>
      <c r="C5948" s="96" t="s">
        <v>6</v>
      </c>
      <c r="D5948" s="97"/>
    </row>
    <row r="5949" spans="1:4" ht="42.75" customHeight="1" thickBot="1">
      <c r="A5949" s="103"/>
      <c r="B5949" s="104"/>
      <c r="C5949" s="96" t="s">
        <v>21</v>
      </c>
      <c r="D5949" s="97"/>
    </row>
    <row r="5950" spans="1:4" ht="42.75" customHeight="1" thickBot="1">
      <c r="A5950" s="105">
        <f>A5948*A5947</f>
        <v>0</v>
      </c>
      <c r="B5950" s="106"/>
      <c r="C5950" s="96" t="s">
        <v>7</v>
      </c>
      <c r="D5950" s="97"/>
    </row>
    <row r="5951" spans="1:4" ht="42.75" customHeight="1" thickBot="1">
      <c r="A5951" s="107" t="s">
        <v>17</v>
      </c>
      <c r="B5951" s="108"/>
      <c r="C5951" s="108"/>
      <c r="D5951" s="109"/>
    </row>
    <row r="5952" spans="1:4" ht="42.75" customHeight="1" thickBot="1">
      <c r="A5952" s="116" t="s">
        <v>20</v>
      </c>
      <c r="B5952" s="117"/>
      <c r="C5952" s="117"/>
      <c r="D5952" s="118"/>
    </row>
    <row r="5953" spans="1:4" ht="42.75" customHeight="1" thickBot="1">
      <c r="A5953" s="113" t="s">
        <v>18</v>
      </c>
      <c r="B5953" s="114"/>
      <c r="C5953" s="114"/>
      <c r="D5953" s="115"/>
    </row>
    <row r="5954" spans="1:4" ht="42.75" customHeight="1" thickBot="1">
      <c r="A5954" s="119"/>
      <c r="B5954" s="119"/>
      <c r="C5954" s="119"/>
      <c r="D5954" s="119"/>
    </row>
    <row r="5955" spans="1:4" ht="42.75" customHeight="1" thickBot="1">
      <c r="A5955" s="120" t="s">
        <v>19</v>
      </c>
      <c r="B5955" s="121"/>
      <c r="C5955" s="121"/>
      <c r="D5955" s="122"/>
    </row>
    <row r="5956" spans="1:4" ht="42.75" customHeight="1" thickBot="1">
      <c r="A5956" s="123" t="s">
        <v>11</v>
      </c>
      <c r="B5956" s="124"/>
      <c r="C5956" s="125" t="s">
        <v>603</v>
      </c>
      <c r="D5956" s="124"/>
    </row>
    <row r="5957" spans="1:4" ht="42.75" customHeight="1" thickBot="1">
      <c r="A5957" s="1" t="s">
        <v>686</v>
      </c>
      <c r="B5957" s="26" t="s">
        <v>1</v>
      </c>
      <c r="C5957" s="90" t="s">
        <v>584</v>
      </c>
      <c r="D5957" s="91"/>
    </row>
    <row r="5958" spans="1:4" ht="42.75" customHeight="1" thickBot="1">
      <c r="A5958" s="26"/>
      <c r="B5958" s="26" t="s">
        <v>0</v>
      </c>
      <c r="C5958" s="5" t="s">
        <v>687</v>
      </c>
      <c r="D5958" s="4" t="s">
        <v>2</v>
      </c>
    </row>
    <row r="5959" spans="1:4" ht="42.75" customHeight="1" thickBot="1">
      <c r="A5959" s="92">
        <v>3034</v>
      </c>
      <c r="B5959" s="93"/>
      <c r="C5959" s="94" t="s">
        <v>3</v>
      </c>
      <c r="D5959" s="95"/>
    </row>
    <row r="5960" spans="1:4" ht="42.75" customHeight="1" thickBot="1">
      <c r="A5960" s="92">
        <v>3037</v>
      </c>
      <c r="B5960" s="93"/>
      <c r="C5960" s="96" t="s">
        <v>4</v>
      </c>
      <c r="D5960" s="97"/>
    </row>
    <row r="5961" spans="1:4" ht="42.75" customHeight="1" thickBot="1">
      <c r="A5961" s="98">
        <v>10</v>
      </c>
      <c r="B5961" s="99"/>
      <c r="C5961" s="100" t="s">
        <v>5</v>
      </c>
      <c r="D5961" s="97"/>
    </row>
    <row r="5962" spans="1:4" ht="42.75" customHeight="1" thickBot="1">
      <c r="A5962" s="101">
        <v>62</v>
      </c>
      <c r="B5962" s="102"/>
      <c r="C5962" s="96" t="s">
        <v>6</v>
      </c>
      <c r="D5962" s="97"/>
    </row>
    <row r="5963" spans="1:4" ht="42.75" customHeight="1" thickBot="1">
      <c r="A5963" s="103"/>
      <c r="B5963" s="104"/>
      <c r="C5963" s="96" t="s">
        <v>21</v>
      </c>
      <c r="D5963" s="97"/>
    </row>
    <row r="5964" spans="1:4" ht="42.75" customHeight="1" thickBot="1">
      <c r="A5964" s="105">
        <v>600</v>
      </c>
      <c r="B5964" s="106"/>
      <c r="C5964" s="96" t="s">
        <v>7</v>
      </c>
      <c r="D5964" s="97"/>
    </row>
    <row r="5965" spans="1:4" ht="42.75" customHeight="1" thickBot="1">
      <c r="A5965" s="107" t="s">
        <v>17</v>
      </c>
      <c r="B5965" s="108"/>
      <c r="C5965" s="108"/>
      <c r="D5965" s="109"/>
    </row>
    <row r="5966" spans="1:4" ht="42.75" customHeight="1" thickBot="1">
      <c r="A5966" s="110" t="s">
        <v>20</v>
      </c>
      <c r="B5966" s="111"/>
      <c r="C5966" s="111"/>
      <c r="D5966" s="112"/>
    </row>
    <row r="5967" spans="1:4" ht="42.75" customHeight="1" thickBot="1">
      <c r="A5967" s="113" t="s">
        <v>18</v>
      </c>
      <c r="B5967" s="114"/>
      <c r="C5967" s="114"/>
      <c r="D5967" s="115"/>
    </row>
    <row r="5968" spans="1:4" ht="42.75" customHeight="1" thickBot="1">
      <c r="A5968" s="120" t="s">
        <v>19</v>
      </c>
      <c r="B5968" s="121"/>
      <c r="C5968" s="121"/>
      <c r="D5968" s="122"/>
    </row>
    <row r="5969" spans="1:4" ht="42.75" customHeight="1" thickBot="1">
      <c r="A5969" s="123" t="s">
        <v>11</v>
      </c>
      <c r="B5969" s="124"/>
      <c r="C5969" s="125" t="s">
        <v>603</v>
      </c>
      <c r="D5969" s="124"/>
    </row>
    <row r="5970" spans="1:4" ht="42.75" customHeight="1" thickBot="1">
      <c r="A5970" s="1" t="s">
        <v>686</v>
      </c>
      <c r="B5970" s="26" t="s">
        <v>1</v>
      </c>
      <c r="C5970" s="90" t="s">
        <v>201</v>
      </c>
      <c r="D5970" s="91"/>
    </row>
    <row r="5971" spans="1:4" ht="42.75" customHeight="1" thickBot="1">
      <c r="A5971" s="26"/>
      <c r="B5971" s="26" t="s">
        <v>0</v>
      </c>
      <c r="C5971" s="5" t="s">
        <v>687</v>
      </c>
      <c r="D5971" s="4" t="s">
        <v>2</v>
      </c>
    </row>
    <row r="5972" spans="1:4" ht="42.75" customHeight="1" thickBot="1">
      <c r="A5972" s="92">
        <v>5582</v>
      </c>
      <c r="B5972" s="93"/>
      <c r="C5972" s="94" t="s">
        <v>3</v>
      </c>
      <c r="D5972" s="95"/>
    </row>
    <row r="5973" spans="1:4" ht="42.75" customHeight="1" thickBot="1">
      <c r="A5973" s="92">
        <v>5582</v>
      </c>
      <c r="B5973" s="93"/>
      <c r="C5973" s="96" t="s">
        <v>4</v>
      </c>
      <c r="D5973" s="97"/>
    </row>
    <row r="5974" spans="1:4" ht="42.75" customHeight="1" thickBot="1">
      <c r="A5974" s="98">
        <f>A5973-A5972</f>
        <v>0</v>
      </c>
      <c r="B5974" s="99"/>
      <c r="C5974" s="100" t="s">
        <v>5</v>
      </c>
      <c r="D5974" s="97"/>
    </row>
    <row r="5975" spans="1:4" ht="42.75" customHeight="1" thickBot="1">
      <c r="A5975" s="101">
        <v>62</v>
      </c>
      <c r="B5975" s="102"/>
      <c r="C5975" s="96" t="s">
        <v>6</v>
      </c>
      <c r="D5975" s="97"/>
    </row>
    <row r="5976" spans="1:4" ht="42.75" customHeight="1" thickBot="1">
      <c r="A5976" s="103"/>
      <c r="B5976" s="104"/>
      <c r="C5976" s="96" t="s">
        <v>21</v>
      </c>
      <c r="D5976" s="97"/>
    </row>
    <row r="5977" spans="1:4" ht="42.75" customHeight="1" thickBot="1">
      <c r="A5977" s="105">
        <f>A5975*A5974</f>
        <v>0</v>
      </c>
      <c r="B5977" s="106"/>
      <c r="C5977" s="96" t="s">
        <v>7</v>
      </c>
      <c r="D5977" s="97"/>
    </row>
    <row r="5978" spans="1:4" ht="42.75" customHeight="1" thickBot="1">
      <c r="A5978" s="107" t="s">
        <v>17</v>
      </c>
      <c r="B5978" s="108"/>
      <c r="C5978" s="108"/>
      <c r="D5978" s="109"/>
    </row>
    <row r="5979" spans="1:4" ht="42.75" customHeight="1" thickBot="1">
      <c r="A5979" s="116" t="s">
        <v>20</v>
      </c>
      <c r="B5979" s="117"/>
      <c r="C5979" s="117"/>
      <c r="D5979" s="118"/>
    </row>
    <row r="5980" spans="1:4" ht="42.75" customHeight="1" thickBot="1">
      <c r="A5980" s="113" t="s">
        <v>18</v>
      </c>
      <c r="B5980" s="114"/>
      <c r="C5980" s="114"/>
      <c r="D5980" s="115"/>
    </row>
    <row r="5981" spans="1:4" ht="42.75" customHeight="1" thickBot="1">
      <c r="A5981" s="119"/>
      <c r="B5981" s="119"/>
      <c r="C5981" s="119"/>
      <c r="D5981" s="119"/>
    </row>
    <row r="5982" spans="1:4" ht="42.75" customHeight="1" thickBot="1">
      <c r="A5982" s="120" t="s">
        <v>19</v>
      </c>
      <c r="B5982" s="121"/>
      <c r="C5982" s="121"/>
      <c r="D5982" s="122"/>
    </row>
    <row r="5983" spans="1:4" ht="42.75" customHeight="1" thickBot="1">
      <c r="A5983" s="123" t="s">
        <v>11</v>
      </c>
      <c r="B5983" s="124"/>
      <c r="C5983" s="125" t="s">
        <v>603</v>
      </c>
      <c r="D5983" s="124"/>
    </row>
    <row r="5984" spans="1:4" ht="42.75" customHeight="1" thickBot="1">
      <c r="A5984" s="1" t="s">
        <v>686</v>
      </c>
      <c r="B5984" s="26" t="s">
        <v>1</v>
      </c>
      <c r="C5984" s="90" t="s">
        <v>201</v>
      </c>
      <c r="D5984" s="91"/>
    </row>
    <row r="5985" spans="1:4" ht="42.75" customHeight="1" thickBot="1">
      <c r="A5985" s="26"/>
      <c r="B5985" s="26" t="s">
        <v>0</v>
      </c>
      <c r="C5985" s="5" t="s">
        <v>687</v>
      </c>
      <c r="D5985" s="4" t="s">
        <v>2</v>
      </c>
    </row>
    <row r="5986" spans="1:4" ht="42.75" customHeight="1" thickBot="1">
      <c r="A5986" s="92">
        <v>5560</v>
      </c>
      <c r="B5986" s="93"/>
      <c r="C5986" s="94" t="s">
        <v>3</v>
      </c>
      <c r="D5986" s="95"/>
    </row>
    <row r="5987" spans="1:4" ht="42.75" customHeight="1" thickBot="1">
      <c r="A5987" s="92">
        <v>5582</v>
      </c>
      <c r="B5987" s="93"/>
      <c r="C5987" s="96" t="s">
        <v>4</v>
      </c>
      <c r="D5987" s="97"/>
    </row>
    <row r="5988" spans="1:4" ht="42.75" customHeight="1" thickBot="1">
      <c r="A5988" s="98">
        <f>A5987-A5986</f>
        <v>22</v>
      </c>
      <c r="B5988" s="99"/>
      <c r="C5988" s="100" t="s">
        <v>5</v>
      </c>
      <c r="D5988" s="97"/>
    </row>
    <row r="5989" spans="1:4" ht="42.75" customHeight="1" thickBot="1">
      <c r="A5989" s="101">
        <v>62</v>
      </c>
      <c r="B5989" s="102"/>
      <c r="C5989" s="96" t="s">
        <v>6</v>
      </c>
      <c r="D5989" s="97"/>
    </row>
    <row r="5990" spans="1:4" ht="42.75" customHeight="1" thickBot="1">
      <c r="A5990" s="103"/>
      <c r="B5990" s="104"/>
      <c r="C5990" s="96" t="s">
        <v>21</v>
      </c>
      <c r="D5990" s="97"/>
    </row>
    <row r="5991" spans="1:4" ht="42.75" customHeight="1" thickBot="1">
      <c r="A5991" s="105">
        <v>1350</v>
      </c>
      <c r="B5991" s="106"/>
      <c r="C5991" s="96" t="s">
        <v>7</v>
      </c>
      <c r="D5991" s="97"/>
    </row>
    <row r="5992" spans="1:4" ht="42.75" customHeight="1" thickBot="1">
      <c r="A5992" s="107" t="s">
        <v>17</v>
      </c>
      <c r="B5992" s="108"/>
      <c r="C5992" s="108"/>
      <c r="D5992" s="109"/>
    </row>
    <row r="5993" spans="1:4" ht="42.75" customHeight="1" thickBot="1">
      <c r="A5993" s="110" t="s">
        <v>20</v>
      </c>
      <c r="B5993" s="111"/>
      <c r="C5993" s="111"/>
      <c r="D5993" s="112"/>
    </row>
    <row r="5994" spans="1:4" ht="42.75" customHeight="1" thickBot="1">
      <c r="A5994" s="113" t="s">
        <v>18</v>
      </c>
      <c r="B5994" s="114"/>
      <c r="C5994" s="114"/>
      <c r="D5994" s="115"/>
    </row>
    <row r="5995" spans="1:4" ht="42.75" customHeight="1" thickBot="1">
      <c r="A5995" s="120" t="s">
        <v>19</v>
      </c>
      <c r="B5995" s="121"/>
      <c r="C5995" s="121"/>
      <c r="D5995" s="122"/>
    </row>
    <row r="5996" spans="1:4" ht="42.75" customHeight="1" thickBot="1">
      <c r="A5996" s="123" t="s">
        <v>11</v>
      </c>
      <c r="B5996" s="124"/>
      <c r="C5996" s="125" t="s">
        <v>603</v>
      </c>
      <c r="D5996" s="124"/>
    </row>
    <row r="5997" spans="1:4" ht="42.75" customHeight="1" thickBot="1">
      <c r="A5997" s="1" t="s">
        <v>686</v>
      </c>
      <c r="B5997" s="26" t="s">
        <v>1</v>
      </c>
      <c r="C5997" s="90" t="s">
        <v>202</v>
      </c>
      <c r="D5997" s="91"/>
    </row>
    <row r="5998" spans="1:4" ht="42.75" customHeight="1" thickBot="1">
      <c r="A5998" s="26"/>
      <c r="B5998" s="26" t="s">
        <v>0</v>
      </c>
      <c r="C5998" s="5" t="s">
        <v>687</v>
      </c>
      <c r="D5998" s="4" t="s">
        <v>2</v>
      </c>
    </row>
    <row r="5999" spans="1:4" ht="42.75" customHeight="1" thickBot="1">
      <c r="A5999" s="92">
        <v>7845</v>
      </c>
      <c r="B5999" s="93"/>
      <c r="C5999" s="94" t="s">
        <v>3</v>
      </c>
      <c r="D5999" s="95"/>
    </row>
    <row r="6000" spans="1:4" ht="42.75" customHeight="1" thickBot="1">
      <c r="A6000" s="92">
        <v>7845</v>
      </c>
      <c r="B6000" s="93"/>
      <c r="C6000" s="96" t="s">
        <v>4</v>
      </c>
      <c r="D6000" s="97"/>
    </row>
    <row r="6001" spans="1:4" ht="42.75" customHeight="1" thickBot="1">
      <c r="A6001" s="98">
        <f>A6000-A5999</f>
        <v>0</v>
      </c>
      <c r="B6001" s="99"/>
      <c r="C6001" s="100" t="s">
        <v>5</v>
      </c>
      <c r="D6001" s="97"/>
    </row>
    <row r="6002" spans="1:4" ht="42.75" customHeight="1" thickBot="1">
      <c r="A6002" s="101">
        <v>62</v>
      </c>
      <c r="B6002" s="102"/>
      <c r="C6002" s="96" t="s">
        <v>6</v>
      </c>
      <c r="D6002" s="97"/>
    </row>
    <row r="6003" spans="1:4" ht="42.75" customHeight="1" thickBot="1">
      <c r="A6003" s="103"/>
      <c r="B6003" s="104"/>
      <c r="C6003" s="96" t="s">
        <v>21</v>
      </c>
      <c r="D6003" s="97"/>
    </row>
    <row r="6004" spans="1:4" ht="42.75" customHeight="1" thickBot="1">
      <c r="A6004" s="105">
        <f>A6002*A6001</f>
        <v>0</v>
      </c>
      <c r="B6004" s="106"/>
      <c r="C6004" s="96" t="s">
        <v>7</v>
      </c>
      <c r="D6004" s="97"/>
    </row>
    <row r="6005" spans="1:4" ht="42.75" customHeight="1" thickBot="1">
      <c r="A6005" s="107" t="s">
        <v>17</v>
      </c>
      <c r="B6005" s="108"/>
      <c r="C6005" s="108"/>
      <c r="D6005" s="109"/>
    </row>
    <row r="6006" spans="1:4" ht="42.75" customHeight="1" thickBot="1">
      <c r="A6006" s="116" t="s">
        <v>20</v>
      </c>
      <c r="B6006" s="117"/>
      <c r="C6006" s="117"/>
      <c r="D6006" s="118"/>
    </row>
    <row r="6007" spans="1:4" ht="42.75" customHeight="1" thickBot="1">
      <c r="A6007" s="113" t="s">
        <v>18</v>
      </c>
      <c r="B6007" s="114"/>
      <c r="C6007" s="114"/>
      <c r="D6007" s="115"/>
    </row>
    <row r="6008" spans="1:4" ht="42.75" customHeight="1" thickBot="1">
      <c r="A6008" s="119"/>
      <c r="B6008" s="119"/>
      <c r="C6008" s="119"/>
      <c r="D6008" s="119"/>
    </row>
    <row r="6009" spans="1:4" ht="42.75" customHeight="1" thickBot="1">
      <c r="A6009" s="120" t="s">
        <v>19</v>
      </c>
      <c r="B6009" s="121"/>
      <c r="C6009" s="121"/>
      <c r="D6009" s="122"/>
    </row>
    <row r="6010" spans="1:4" ht="42.75" customHeight="1" thickBot="1">
      <c r="A6010" s="123" t="s">
        <v>11</v>
      </c>
      <c r="B6010" s="124"/>
      <c r="C6010" s="125" t="s">
        <v>603</v>
      </c>
      <c r="D6010" s="124"/>
    </row>
    <row r="6011" spans="1:4" ht="42.75" customHeight="1" thickBot="1">
      <c r="A6011" s="1" t="s">
        <v>686</v>
      </c>
      <c r="B6011" s="26" t="s">
        <v>1</v>
      </c>
      <c r="C6011" s="90" t="s">
        <v>202</v>
      </c>
      <c r="D6011" s="91"/>
    </row>
    <row r="6012" spans="1:4" ht="42.75" customHeight="1" thickBot="1">
      <c r="A6012" s="26"/>
      <c r="B6012" s="26" t="s">
        <v>0</v>
      </c>
      <c r="C6012" s="5" t="s">
        <v>687</v>
      </c>
      <c r="D6012" s="4" t="s">
        <v>2</v>
      </c>
    </row>
    <row r="6013" spans="1:4" ht="42.75" customHeight="1" thickBot="1">
      <c r="A6013" s="92">
        <v>7815</v>
      </c>
      <c r="B6013" s="93"/>
      <c r="C6013" s="94" t="s">
        <v>3</v>
      </c>
      <c r="D6013" s="95"/>
    </row>
    <row r="6014" spans="1:4" ht="42.75" customHeight="1" thickBot="1">
      <c r="A6014" s="92">
        <v>7845</v>
      </c>
      <c r="B6014" s="93"/>
      <c r="C6014" s="96" t="s">
        <v>4</v>
      </c>
      <c r="D6014" s="97"/>
    </row>
    <row r="6015" spans="1:4" ht="42.75" customHeight="1" thickBot="1">
      <c r="A6015" s="98">
        <f>A6014-A6013</f>
        <v>30</v>
      </c>
      <c r="B6015" s="99"/>
      <c r="C6015" s="100" t="s">
        <v>5</v>
      </c>
      <c r="D6015" s="97"/>
    </row>
    <row r="6016" spans="1:4" ht="42.75" customHeight="1" thickBot="1">
      <c r="A6016" s="101">
        <v>62</v>
      </c>
      <c r="B6016" s="102"/>
      <c r="C6016" s="96" t="s">
        <v>6</v>
      </c>
      <c r="D6016" s="97"/>
    </row>
    <row r="6017" spans="1:4" ht="42.75" customHeight="1" thickBot="1">
      <c r="A6017" s="103"/>
      <c r="B6017" s="104"/>
      <c r="C6017" s="96" t="s">
        <v>21</v>
      </c>
      <c r="D6017" s="97"/>
    </row>
    <row r="6018" spans="1:4" ht="42.75" customHeight="1" thickBot="1">
      <c r="A6018" s="105">
        <v>1850</v>
      </c>
      <c r="B6018" s="106"/>
      <c r="C6018" s="96" t="s">
        <v>7</v>
      </c>
      <c r="D6018" s="97"/>
    </row>
    <row r="6019" spans="1:4" ht="42.75" customHeight="1" thickBot="1">
      <c r="A6019" s="107" t="s">
        <v>17</v>
      </c>
      <c r="B6019" s="108"/>
      <c r="C6019" s="108"/>
      <c r="D6019" s="109"/>
    </row>
    <row r="6020" spans="1:4" ht="42.75" customHeight="1" thickBot="1">
      <c r="A6020" s="110" t="s">
        <v>20</v>
      </c>
      <c r="B6020" s="111"/>
      <c r="C6020" s="111"/>
      <c r="D6020" s="112"/>
    </row>
    <row r="6021" spans="1:4" ht="42.75" customHeight="1" thickBot="1">
      <c r="A6021" s="113" t="s">
        <v>18</v>
      </c>
      <c r="B6021" s="114"/>
      <c r="C6021" s="114"/>
      <c r="D6021" s="115"/>
    </row>
    <row r="6022" spans="1:4" ht="42.75" customHeight="1" thickBot="1">
      <c r="A6022" s="120" t="s">
        <v>19</v>
      </c>
      <c r="B6022" s="121"/>
      <c r="C6022" s="121"/>
      <c r="D6022" s="122"/>
    </row>
    <row r="6023" spans="1:4" ht="42.75" customHeight="1" thickBot="1">
      <c r="A6023" s="123" t="s">
        <v>11</v>
      </c>
      <c r="B6023" s="124"/>
      <c r="C6023" s="125" t="s">
        <v>603</v>
      </c>
      <c r="D6023" s="124"/>
    </row>
    <row r="6024" spans="1:4" ht="42.75" customHeight="1" thickBot="1">
      <c r="A6024" s="1" t="s">
        <v>686</v>
      </c>
      <c r="B6024" s="26" t="s">
        <v>1</v>
      </c>
      <c r="C6024" s="90" t="s">
        <v>203</v>
      </c>
      <c r="D6024" s="91"/>
    </row>
    <row r="6025" spans="1:4" ht="42.75" customHeight="1" thickBot="1">
      <c r="A6025" s="26"/>
      <c r="B6025" s="26" t="s">
        <v>0</v>
      </c>
      <c r="C6025" s="5" t="s">
        <v>687</v>
      </c>
      <c r="D6025" s="4" t="s">
        <v>2</v>
      </c>
    </row>
    <row r="6026" spans="1:4" ht="42.75" customHeight="1" thickBot="1">
      <c r="A6026" s="92">
        <v>72</v>
      </c>
      <c r="B6026" s="93"/>
      <c r="C6026" s="94" t="s">
        <v>3</v>
      </c>
      <c r="D6026" s="95"/>
    </row>
    <row r="6027" spans="1:4" ht="42.75" customHeight="1" thickBot="1">
      <c r="A6027" s="92">
        <v>72</v>
      </c>
      <c r="B6027" s="93"/>
      <c r="C6027" s="96" t="s">
        <v>4</v>
      </c>
      <c r="D6027" s="97"/>
    </row>
    <row r="6028" spans="1:4" ht="42.75" customHeight="1" thickBot="1">
      <c r="A6028" s="98">
        <f>A6027-A6026</f>
        <v>0</v>
      </c>
      <c r="B6028" s="99"/>
      <c r="C6028" s="100" t="s">
        <v>5</v>
      </c>
      <c r="D6028" s="97"/>
    </row>
    <row r="6029" spans="1:4" ht="42.75" customHeight="1" thickBot="1">
      <c r="A6029" s="101">
        <v>62</v>
      </c>
      <c r="B6029" s="102"/>
      <c r="C6029" s="96" t="s">
        <v>6</v>
      </c>
      <c r="D6029" s="97"/>
    </row>
    <row r="6030" spans="1:4" ht="42.75" customHeight="1" thickBot="1">
      <c r="A6030" s="103"/>
      <c r="B6030" s="104"/>
      <c r="C6030" s="96" t="s">
        <v>21</v>
      </c>
      <c r="D6030" s="97"/>
    </row>
    <row r="6031" spans="1:4" ht="42.75" customHeight="1" thickBot="1">
      <c r="A6031" s="105">
        <f>A6029*A6028</f>
        <v>0</v>
      </c>
      <c r="B6031" s="106"/>
      <c r="C6031" s="96" t="s">
        <v>7</v>
      </c>
      <c r="D6031" s="97"/>
    </row>
    <row r="6032" spans="1:4" ht="42.75" customHeight="1" thickBot="1">
      <c r="A6032" s="107" t="s">
        <v>17</v>
      </c>
      <c r="B6032" s="108"/>
      <c r="C6032" s="108"/>
      <c r="D6032" s="109"/>
    </row>
    <row r="6033" spans="1:4" ht="42.75" customHeight="1" thickBot="1">
      <c r="A6033" s="116" t="s">
        <v>20</v>
      </c>
      <c r="B6033" s="117"/>
      <c r="C6033" s="117"/>
      <c r="D6033" s="118"/>
    </row>
    <row r="6034" spans="1:4" ht="42.75" customHeight="1" thickBot="1">
      <c r="A6034" s="113" t="s">
        <v>18</v>
      </c>
      <c r="B6034" s="114"/>
      <c r="C6034" s="114"/>
      <c r="D6034" s="115"/>
    </row>
    <row r="6035" spans="1:4" ht="42.75" customHeight="1" thickBot="1">
      <c r="A6035" s="119"/>
      <c r="B6035" s="119"/>
      <c r="C6035" s="119"/>
      <c r="D6035" s="119"/>
    </row>
    <row r="6036" spans="1:4" ht="42.75" customHeight="1" thickBot="1">
      <c r="A6036" s="120" t="s">
        <v>19</v>
      </c>
      <c r="B6036" s="121"/>
      <c r="C6036" s="121"/>
      <c r="D6036" s="122"/>
    </row>
    <row r="6037" spans="1:4" ht="42.75" customHeight="1" thickBot="1">
      <c r="A6037" s="123" t="s">
        <v>11</v>
      </c>
      <c r="B6037" s="124"/>
      <c r="C6037" s="125" t="s">
        <v>603</v>
      </c>
      <c r="D6037" s="124"/>
    </row>
    <row r="6038" spans="1:4" ht="42.75" customHeight="1" thickBot="1">
      <c r="A6038" s="1" t="s">
        <v>686</v>
      </c>
      <c r="B6038" s="26" t="s">
        <v>1</v>
      </c>
      <c r="C6038" s="90" t="s">
        <v>203</v>
      </c>
      <c r="D6038" s="91"/>
    </row>
    <row r="6039" spans="1:4" ht="42.75" customHeight="1" thickBot="1">
      <c r="A6039" s="26"/>
      <c r="B6039" s="26" t="s">
        <v>0</v>
      </c>
      <c r="C6039" s="5" t="s">
        <v>687</v>
      </c>
      <c r="D6039" s="4" t="s">
        <v>2</v>
      </c>
    </row>
    <row r="6040" spans="1:4" ht="42.75" customHeight="1" thickBot="1">
      <c r="A6040" s="92">
        <v>58</v>
      </c>
      <c r="B6040" s="93"/>
      <c r="C6040" s="94" t="s">
        <v>3</v>
      </c>
      <c r="D6040" s="95"/>
    </row>
    <row r="6041" spans="1:4" ht="42.75" customHeight="1" thickBot="1">
      <c r="A6041" s="92">
        <v>72</v>
      </c>
      <c r="B6041" s="93"/>
      <c r="C6041" s="96" t="s">
        <v>4</v>
      </c>
      <c r="D6041" s="97"/>
    </row>
    <row r="6042" spans="1:4" ht="42.75" customHeight="1" thickBot="1">
      <c r="A6042" s="98">
        <f>A6041-A6040</f>
        <v>14</v>
      </c>
      <c r="B6042" s="99"/>
      <c r="C6042" s="100" t="s">
        <v>5</v>
      </c>
      <c r="D6042" s="97"/>
    </row>
    <row r="6043" spans="1:4" ht="42.75" customHeight="1" thickBot="1">
      <c r="A6043" s="101">
        <v>62</v>
      </c>
      <c r="B6043" s="102"/>
      <c r="C6043" s="96" t="s">
        <v>6</v>
      </c>
      <c r="D6043" s="97"/>
    </row>
    <row r="6044" spans="1:4" ht="42.75" customHeight="1" thickBot="1">
      <c r="A6044" s="103"/>
      <c r="B6044" s="104"/>
      <c r="C6044" s="96" t="s">
        <v>21</v>
      </c>
      <c r="D6044" s="97"/>
    </row>
    <row r="6045" spans="1:4" ht="42.75" customHeight="1" thickBot="1">
      <c r="A6045" s="105">
        <v>900</v>
      </c>
      <c r="B6045" s="106"/>
      <c r="C6045" s="96" t="s">
        <v>7</v>
      </c>
      <c r="D6045" s="97"/>
    </row>
    <row r="6046" spans="1:4" ht="42.75" customHeight="1" thickBot="1">
      <c r="A6046" s="107" t="s">
        <v>17</v>
      </c>
      <c r="B6046" s="108"/>
      <c r="C6046" s="108"/>
      <c r="D6046" s="109"/>
    </row>
    <row r="6047" spans="1:4" ht="42.75" customHeight="1" thickBot="1">
      <c r="A6047" s="110" t="s">
        <v>20</v>
      </c>
      <c r="B6047" s="111"/>
      <c r="C6047" s="111"/>
      <c r="D6047" s="112"/>
    </row>
    <row r="6048" spans="1:4" ht="42.75" customHeight="1" thickBot="1">
      <c r="A6048" s="113" t="s">
        <v>18</v>
      </c>
      <c r="B6048" s="114"/>
      <c r="C6048" s="114"/>
      <c r="D6048" s="115"/>
    </row>
    <row r="6049" spans="1:4" ht="42.75" customHeight="1" thickBot="1">
      <c r="A6049" s="120" t="s">
        <v>19</v>
      </c>
      <c r="B6049" s="121"/>
      <c r="C6049" s="121"/>
      <c r="D6049" s="122"/>
    </row>
    <row r="6050" spans="1:4" ht="42.75" customHeight="1" thickBot="1">
      <c r="A6050" s="123" t="s">
        <v>11</v>
      </c>
      <c r="B6050" s="124"/>
      <c r="C6050" s="125" t="s">
        <v>603</v>
      </c>
      <c r="D6050" s="124"/>
    </row>
    <row r="6051" spans="1:4" ht="42.75" customHeight="1" thickBot="1">
      <c r="A6051" s="1" t="s">
        <v>686</v>
      </c>
      <c r="B6051" s="26" t="s">
        <v>1</v>
      </c>
      <c r="C6051" s="90" t="s">
        <v>204</v>
      </c>
      <c r="D6051" s="91"/>
    </row>
    <row r="6052" spans="1:4" ht="42.75" customHeight="1" thickBot="1">
      <c r="A6052" s="26"/>
      <c r="B6052" s="26" t="s">
        <v>0</v>
      </c>
      <c r="C6052" s="5" t="s">
        <v>687</v>
      </c>
      <c r="D6052" s="4" t="s">
        <v>2</v>
      </c>
    </row>
    <row r="6053" spans="1:4" ht="42.75" customHeight="1" thickBot="1">
      <c r="A6053" s="92">
        <v>2441</v>
      </c>
      <c r="B6053" s="93"/>
      <c r="C6053" s="94" t="s">
        <v>3</v>
      </c>
      <c r="D6053" s="95"/>
    </row>
    <row r="6054" spans="1:4" ht="42.75" customHeight="1" thickBot="1">
      <c r="A6054" s="92">
        <v>2441</v>
      </c>
      <c r="B6054" s="93"/>
      <c r="C6054" s="96" t="s">
        <v>4</v>
      </c>
      <c r="D6054" s="97"/>
    </row>
    <row r="6055" spans="1:4" ht="42.75" customHeight="1" thickBot="1">
      <c r="A6055" s="98">
        <f>A6054-A6053</f>
        <v>0</v>
      </c>
      <c r="B6055" s="99"/>
      <c r="C6055" s="100" t="s">
        <v>5</v>
      </c>
      <c r="D6055" s="97"/>
    </row>
    <row r="6056" spans="1:4" ht="42.75" customHeight="1" thickBot="1">
      <c r="A6056" s="101">
        <v>62</v>
      </c>
      <c r="B6056" s="102"/>
      <c r="C6056" s="96" t="s">
        <v>6</v>
      </c>
      <c r="D6056" s="97"/>
    </row>
    <row r="6057" spans="1:4" ht="42.75" customHeight="1" thickBot="1">
      <c r="A6057" s="103"/>
      <c r="B6057" s="104"/>
      <c r="C6057" s="96" t="s">
        <v>21</v>
      </c>
      <c r="D6057" s="97"/>
    </row>
    <row r="6058" spans="1:4" ht="42.75" customHeight="1" thickBot="1">
      <c r="A6058" s="105">
        <f>A6056*A6055</f>
        <v>0</v>
      </c>
      <c r="B6058" s="106"/>
      <c r="C6058" s="96" t="s">
        <v>7</v>
      </c>
      <c r="D6058" s="97"/>
    </row>
    <row r="6059" spans="1:4" ht="42.75" customHeight="1" thickBot="1">
      <c r="A6059" s="107" t="s">
        <v>17</v>
      </c>
      <c r="B6059" s="108"/>
      <c r="C6059" s="108"/>
      <c r="D6059" s="109"/>
    </row>
    <row r="6060" spans="1:4" ht="42.75" customHeight="1" thickBot="1">
      <c r="A6060" s="116" t="s">
        <v>20</v>
      </c>
      <c r="B6060" s="117"/>
      <c r="C6060" s="117"/>
      <c r="D6060" s="118"/>
    </row>
    <row r="6061" spans="1:4" ht="42.75" customHeight="1" thickBot="1">
      <c r="A6061" s="113" t="s">
        <v>18</v>
      </c>
      <c r="B6061" s="114"/>
      <c r="C6061" s="114"/>
      <c r="D6061" s="115"/>
    </row>
    <row r="6062" spans="1:4" ht="42.75" customHeight="1" thickBot="1">
      <c r="A6062" s="119"/>
      <c r="B6062" s="119"/>
      <c r="C6062" s="119"/>
      <c r="D6062" s="119"/>
    </row>
    <row r="6063" spans="1:4" ht="42.75" customHeight="1" thickBot="1">
      <c r="A6063" s="120" t="s">
        <v>19</v>
      </c>
      <c r="B6063" s="121"/>
      <c r="C6063" s="121"/>
      <c r="D6063" s="122"/>
    </row>
    <row r="6064" spans="1:4" ht="42.75" customHeight="1" thickBot="1">
      <c r="A6064" s="123" t="s">
        <v>11</v>
      </c>
      <c r="B6064" s="124"/>
      <c r="C6064" s="125" t="s">
        <v>603</v>
      </c>
      <c r="D6064" s="124"/>
    </row>
    <row r="6065" spans="1:4" ht="42.75" customHeight="1" thickBot="1">
      <c r="A6065" s="1" t="s">
        <v>686</v>
      </c>
      <c r="B6065" s="26" t="s">
        <v>1</v>
      </c>
      <c r="C6065" s="90" t="s">
        <v>204</v>
      </c>
      <c r="D6065" s="91"/>
    </row>
    <row r="6066" spans="1:4" ht="42.75" customHeight="1" thickBot="1">
      <c r="A6066" s="26"/>
      <c r="B6066" s="26" t="s">
        <v>0</v>
      </c>
      <c r="C6066" s="5" t="s">
        <v>687</v>
      </c>
      <c r="D6066" s="4" t="s">
        <v>2</v>
      </c>
    </row>
    <row r="6067" spans="1:4" ht="42.75" customHeight="1" thickBot="1">
      <c r="A6067" s="92">
        <v>2428</v>
      </c>
      <c r="B6067" s="93"/>
      <c r="C6067" s="94" t="s">
        <v>3</v>
      </c>
      <c r="D6067" s="95"/>
    </row>
    <row r="6068" spans="1:4" ht="42.75" customHeight="1" thickBot="1">
      <c r="A6068" s="92">
        <v>2441</v>
      </c>
      <c r="B6068" s="93"/>
      <c r="C6068" s="96" t="s">
        <v>4</v>
      </c>
      <c r="D6068" s="97"/>
    </row>
    <row r="6069" spans="1:4" ht="42.75" customHeight="1" thickBot="1">
      <c r="A6069" s="98">
        <f>A6068-A6067</f>
        <v>13</v>
      </c>
      <c r="B6069" s="99"/>
      <c r="C6069" s="100" t="s">
        <v>5</v>
      </c>
      <c r="D6069" s="97"/>
    </row>
    <row r="6070" spans="1:4" ht="42.75" customHeight="1" thickBot="1">
      <c r="A6070" s="101">
        <v>62</v>
      </c>
      <c r="B6070" s="102"/>
      <c r="C6070" s="96" t="s">
        <v>6</v>
      </c>
      <c r="D6070" s="97"/>
    </row>
    <row r="6071" spans="1:4" ht="42.75" customHeight="1" thickBot="1">
      <c r="A6071" s="103"/>
      <c r="B6071" s="104"/>
      <c r="C6071" s="96" t="s">
        <v>21</v>
      </c>
      <c r="D6071" s="97"/>
    </row>
    <row r="6072" spans="1:4" ht="42.75" customHeight="1" thickBot="1">
      <c r="A6072" s="105">
        <f>A6070*A6069</f>
        <v>806</v>
      </c>
      <c r="B6072" s="106"/>
      <c r="C6072" s="96" t="s">
        <v>7</v>
      </c>
      <c r="D6072" s="97"/>
    </row>
    <row r="6073" spans="1:4" ht="42.75" customHeight="1" thickBot="1">
      <c r="A6073" s="107" t="s">
        <v>17</v>
      </c>
      <c r="B6073" s="108"/>
      <c r="C6073" s="108"/>
      <c r="D6073" s="109"/>
    </row>
    <row r="6074" spans="1:4" ht="42.75" customHeight="1" thickBot="1">
      <c r="A6074" s="110" t="s">
        <v>20</v>
      </c>
      <c r="B6074" s="111"/>
      <c r="C6074" s="111"/>
      <c r="D6074" s="112"/>
    </row>
    <row r="6075" spans="1:4" ht="42.75" customHeight="1" thickBot="1">
      <c r="A6075" s="113" t="s">
        <v>18</v>
      </c>
      <c r="B6075" s="114"/>
      <c r="C6075" s="114"/>
      <c r="D6075" s="115"/>
    </row>
    <row r="6076" spans="1:4" ht="42.75" customHeight="1" thickBot="1">
      <c r="A6076" s="120" t="s">
        <v>19</v>
      </c>
      <c r="B6076" s="121"/>
      <c r="C6076" s="121"/>
      <c r="D6076" s="122"/>
    </row>
    <row r="6077" spans="1:4" ht="42.75" customHeight="1" thickBot="1">
      <c r="A6077" s="123" t="s">
        <v>11</v>
      </c>
      <c r="B6077" s="124"/>
      <c r="C6077" s="125" t="s">
        <v>603</v>
      </c>
      <c r="D6077" s="124"/>
    </row>
    <row r="6078" spans="1:4" ht="42.75" customHeight="1" thickBot="1">
      <c r="A6078" s="1" t="s">
        <v>686</v>
      </c>
      <c r="B6078" s="26" t="s">
        <v>1</v>
      </c>
      <c r="C6078" s="90" t="s">
        <v>205</v>
      </c>
      <c r="D6078" s="91"/>
    </row>
    <row r="6079" spans="1:4" ht="42.75" customHeight="1" thickBot="1">
      <c r="A6079" s="26"/>
      <c r="B6079" s="26" t="s">
        <v>0</v>
      </c>
      <c r="C6079" s="5" t="s">
        <v>687</v>
      </c>
      <c r="D6079" s="4" t="s">
        <v>2</v>
      </c>
    </row>
    <row r="6080" spans="1:4" ht="42.75" customHeight="1" thickBot="1">
      <c r="A6080" s="92">
        <v>3978</v>
      </c>
      <c r="B6080" s="93"/>
      <c r="C6080" s="94" t="s">
        <v>3</v>
      </c>
      <c r="D6080" s="95"/>
    </row>
    <row r="6081" spans="1:4" ht="42.75" customHeight="1" thickBot="1">
      <c r="A6081" s="92">
        <v>3978</v>
      </c>
      <c r="B6081" s="93"/>
      <c r="C6081" s="96" t="s">
        <v>4</v>
      </c>
      <c r="D6081" s="97"/>
    </row>
    <row r="6082" spans="1:4" ht="42.75" customHeight="1" thickBot="1">
      <c r="A6082" s="98">
        <f>A6081-A6080</f>
        <v>0</v>
      </c>
      <c r="B6082" s="99"/>
      <c r="C6082" s="100" t="s">
        <v>5</v>
      </c>
      <c r="D6082" s="97"/>
    </row>
    <row r="6083" spans="1:4" ht="42.75" customHeight="1" thickBot="1">
      <c r="A6083" s="101">
        <v>62</v>
      </c>
      <c r="B6083" s="102"/>
      <c r="C6083" s="96" t="s">
        <v>6</v>
      </c>
      <c r="D6083" s="97"/>
    </row>
    <row r="6084" spans="1:4" ht="42.75" customHeight="1" thickBot="1">
      <c r="A6084" s="103"/>
      <c r="B6084" s="104"/>
      <c r="C6084" s="96" t="s">
        <v>21</v>
      </c>
      <c r="D6084" s="97"/>
    </row>
    <row r="6085" spans="1:4" ht="42.75" customHeight="1" thickBot="1">
      <c r="A6085" s="105">
        <f>A6083*A6082</f>
        <v>0</v>
      </c>
      <c r="B6085" s="106"/>
      <c r="C6085" s="96" t="s">
        <v>7</v>
      </c>
      <c r="D6085" s="97"/>
    </row>
    <row r="6086" spans="1:4" ht="42.75" customHeight="1" thickBot="1">
      <c r="A6086" s="107" t="s">
        <v>17</v>
      </c>
      <c r="B6086" s="108"/>
      <c r="C6086" s="108"/>
      <c r="D6086" s="109"/>
    </row>
    <row r="6087" spans="1:4" ht="42.75" customHeight="1" thickBot="1">
      <c r="A6087" s="116" t="s">
        <v>20</v>
      </c>
      <c r="B6087" s="117"/>
      <c r="C6087" s="117"/>
      <c r="D6087" s="118"/>
    </row>
    <row r="6088" spans="1:4" ht="42.75" customHeight="1" thickBot="1">
      <c r="A6088" s="113" t="s">
        <v>18</v>
      </c>
      <c r="B6088" s="114"/>
      <c r="C6088" s="114"/>
      <c r="D6088" s="115"/>
    </row>
    <row r="6089" spans="1:4" ht="42.75" customHeight="1" thickBot="1">
      <c r="A6089" s="119"/>
      <c r="B6089" s="119"/>
      <c r="C6089" s="119"/>
      <c r="D6089" s="119"/>
    </row>
    <row r="6090" spans="1:4" ht="42.75" customHeight="1" thickBot="1">
      <c r="A6090" s="120" t="s">
        <v>19</v>
      </c>
      <c r="B6090" s="121"/>
      <c r="C6090" s="121"/>
      <c r="D6090" s="122"/>
    </row>
    <row r="6091" spans="1:4" ht="42.75" customHeight="1" thickBot="1">
      <c r="A6091" s="123" t="s">
        <v>11</v>
      </c>
      <c r="B6091" s="124"/>
      <c r="C6091" s="125" t="s">
        <v>603</v>
      </c>
      <c r="D6091" s="124"/>
    </row>
    <row r="6092" spans="1:4" ht="42.75" customHeight="1" thickBot="1">
      <c r="A6092" s="1" t="s">
        <v>686</v>
      </c>
      <c r="B6092" s="26" t="s">
        <v>1</v>
      </c>
      <c r="C6092" s="90" t="s">
        <v>205</v>
      </c>
      <c r="D6092" s="91"/>
    </row>
    <row r="6093" spans="1:4" ht="42.75" customHeight="1" thickBot="1">
      <c r="A6093" s="26"/>
      <c r="B6093" s="26" t="s">
        <v>0</v>
      </c>
      <c r="C6093" s="5" t="s">
        <v>687</v>
      </c>
      <c r="D6093" s="4" t="s">
        <v>2</v>
      </c>
    </row>
    <row r="6094" spans="1:4" ht="42.75" customHeight="1" thickBot="1">
      <c r="A6094" s="92">
        <v>3965</v>
      </c>
      <c r="B6094" s="93"/>
      <c r="C6094" s="94" t="s">
        <v>3</v>
      </c>
      <c r="D6094" s="95"/>
    </row>
    <row r="6095" spans="1:4" ht="42.75" customHeight="1" thickBot="1">
      <c r="A6095" s="92">
        <v>3978</v>
      </c>
      <c r="B6095" s="93"/>
      <c r="C6095" s="96" t="s">
        <v>4</v>
      </c>
      <c r="D6095" s="97"/>
    </row>
    <row r="6096" spans="1:4" ht="42.75" customHeight="1" thickBot="1">
      <c r="A6096" s="98">
        <f>A6095-A6094</f>
        <v>13</v>
      </c>
      <c r="B6096" s="99"/>
      <c r="C6096" s="100" t="s">
        <v>5</v>
      </c>
      <c r="D6096" s="97"/>
    </row>
    <row r="6097" spans="1:4" ht="42.75" customHeight="1" thickBot="1">
      <c r="A6097" s="101">
        <v>62</v>
      </c>
      <c r="B6097" s="102"/>
      <c r="C6097" s="96" t="s">
        <v>6</v>
      </c>
      <c r="D6097" s="97"/>
    </row>
    <row r="6098" spans="1:4" ht="42.75" customHeight="1" thickBot="1">
      <c r="A6098" s="103"/>
      <c r="B6098" s="104"/>
      <c r="C6098" s="96" t="s">
        <v>21</v>
      </c>
      <c r="D6098" s="97"/>
    </row>
    <row r="6099" spans="1:4" ht="42.75" customHeight="1" thickBot="1">
      <c r="A6099" s="105">
        <f>A6097*A6096</f>
        <v>806</v>
      </c>
      <c r="B6099" s="106"/>
      <c r="C6099" s="96" t="s">
        <v>7</v>
      </c>
      <c r="D6099" s="97"/>
    </row>
    <row r="6100" spans="1:4" ht="42.75" customHeight="1" thickBot="1">
      <c r="A6100" s="107" t="s">
        <v>17</v>
      </c>
      <c r="B6100" s="108"/>
      <c r="C6100" s="108"/>
      <c r="D6100" s="109"/>
    </row>
    <row r="6101" spans="1:4" ht="42.75" customHeight="1" thickBot="1">
      <c r="A6101" s="110" t="s">
        <v>20</v>
      </c>
      <c r="B6101" s="111"/>
      <c r="C6101" s="111"/>
      <c r="D6101" s="112"/>
    </row>
    <row r="6102" spans="1:4" ht="42.75" customHeight="1" thickBot="1">
      <c r="A6102" s="113" t="s">
        <v>18</v>
      </c>
      <c r="B6102" s="114"/>
      <c r="C6102" s="114"/>
      <c r="D6102" s="115"/>
    </row>
    <row r="6103" spans="1:4" ht="42.75" customHeight="1" thickBot="1">
      <c r="A6103" s="120" t="s">
        <v>19</v>
      </c>
      <c r="B6103" s="121"/>
      <c r="C6103" s="121"/>
      <c r="D6103" s="122"/>
    </row>
    <row r="6104" spans="1:4" ht="42.75" customHeight="1" thickBot="1">
      <c r="A6104" s="123" t="s">
        <v>11</v>
      </c>
      <c r="B6104" s="124"/>
      <c r="C6104" s="125" t="s">
        <v>603</v>
      </c>
      <c r="D6104" s="124"/>
    </row>
    <row r="6105" spans="1:4" ht="42.75" customHeight="1" thickBot="1">
      <c r="A6105" s="1" t="s">
        <v>686</v>
      </c>
      <c r="B6105" s="26" t="s">
        <v>1</v>
      </c>
      <c r="C6105" s="90" t="s">
        <v>207</v>
      </c>
      <c r="D6105" s="91"/>
    </row>
    <row r="6106" spans="1:4" ht="42.75" customHeight="1" thickBot="1">
      <c r="A6106" s="26"/>
      <c r="B6106" s="26" t="s">
        <v>0</v>
      </c>
      <c r="C6106" s="5" t="s">
        <v>687</v>
      </c>
      <c r="D6106" s="4" t="s">
        <v>2</v>
      </c>
    </row>
    <row r="6107" spans="1:4" ht="42.75" customHeight="1" thickBot="1">
      <c r="A6107" s="92">
        <v>4317</v>
      </c>
      <c r="B6107" s="93"/>
      <c r="C6107" s="94" t="s">
        <v>3</v>
      </c>
      <c r="D6107" s="95"/>
    </row>
    <row r="6108" spans="1:4" ht="42.75" customHeight="1" thickBot="1">
      <c r="A6108" s="92">
        <v>4317</v>
      </c>
      <c r="B6108" s="93"/>
      <c r="C6108" s="96" t="s">
        <v>4</v>
      </c>
      <c r="D6108" s="97"/>
    </row>
    <row r="6109" spans="1:4" ht="42.75" customHeight="1" thickBot="1">
      <c r="A6109" s="98">
        <f>A6108-A6107</f>
        <v>0</v>
      </c>
      <c r="B6109" s="99"/>
      <c r="C6109" s="100" t="s">
        <v>5</v>
      </c>
      <c r="D6109" s="97"/>
    </row>
    <row r="6110" spans="1:4" ht="42.75" customHeight="1" thickBot="1">
      <c r="A6110" s="101">
        <v>62</v>
      </c>
      <c r="B6110" s="102"/>
      <c r="C6110" s="96" t="s">
        <v>6</v>
      </c>
      <c r="D6110" s="97"/>
    </row>
    <row r="6111" spans="1:4" ht="42.75" customHeight="1" thickBot="1">
      <c r="A6111" s="103"/>
      <c r="B6111" s="104"/>
      <c r="C6111" s="96" t="s">
        <v>21</v>
      </c>
      <c r="D6111" s="97"/>
    </row>
    <row r="6112" spans="1:4" ht="42.75" customHeight="1" thickBot="1">
      <c r="A6112" s="105">
        <f>A6110*A6109</f>
        <v>0</v>
      </c>
      <c r="B6112" s="106"/>
      <c r="C6112" s="96" t="s">
        <v>7</v>
      </c>
      <c r="D6112" s="97"/>
    </row>
    <row r="6113" spans="1:4" ht="42.75" customHeight="1" thickBot="1">
      <c r="A6113" s="107" t="s">
        <v>17</v>
      </c>
      <c r="B6113" s="108"/>
      <c r="C6113" s="108"/>
      <c r="D6113" s="109"/>
    </row>
    <row r="6114" spans="1:4" ht="42.75" customHeight="1" thickBot="1">
      <c r="A6114" s="116" t="s">
        <v>20</v>
      </c>
      <c r="B6114" s="117"/>
      <c r="C6114" s="117"/>
      <c r="D6114" s="118"/>
    </row>
    <row r="6115" spans="1:4" ht="42.75" customHeight="1" thickBot="1">
      <c r="A6115" s="113" t="s">
        <v>18</v>
      </c>
      <c r="B6115" s="114"/>
      <c r="C6115" s="114"/>
      <c r="D6115" s="115"/>
    </row>
    <row r="6116" spans="1:4" ht="42.75" customHeight="1" thickBot="1">
      <c r="A6116" s="119"/>
      <c r="B6116" s="119"/>
      <c r="C6116" s="119"/>
      <c r="D6116" s="119"/>
    </row>
    <row r="6117" spans="1:4" ht="42.75" customHeight="1" thickBot="1">
      <c r="A6117" s="120" t="s">
        <v>19</v>
      </c>
      <c r="B6117" s="121"/>
      <c r="C6117" s="121"/>
      <c r="D6117" s="122"/>
    </row>
    <row r="6118" spans="1:4" ht="42.75" customHeight="1" thickBot="1">
      <c r="A6118" s="123" t="s">
        <v>11</v>
      </c>
      <c r="B6118" s="124"/>
      <c r="C6118" s="125" t="s">
        <v>603</v>
      </c>
      <c r="D6118" s="124"/>
    </row>
    <row r="6119" spans="1:4" ht="42.75" customHeight="1" thickBot="1">
      <c r="A6119" s="1" t="s">
        <v>686</v>
      </c>
      <c r="B6119" s="26" t="s">
        <v>1</v>
      </c>
      <c r="C6119" s="90" t="s">
        <v>207</v>
      </c>
      <c r="D6119" s="91"/>
    </row>
    <row r="6120" spans="1:4" ht="42.75" customHeight="1" thickBot="1">
      <c r="A6120" s="26"/>
      <c r="B6120" s="26" t="s">
        <v>0</v>
      </c>
      <c r="C6120" s="5" t="s">
        <v>687</v>
      </c>
      <c r="D6120" s="4" t="s">
        <v>2</v>
      </c>
    </row>
    <row r="6121" spans="1:4" ht="42.75" customHeight="1" thickBot="1">
      <c r="A6121" s="92">
        <v>4286</v>
      </c>
      <c r="B6121" s="93"/>
      <c r="C6121" s="94" t="s">
        <v>3</v>
      </c>
      <c r="D6121" s="95"/>
    </row>
    <row r="6122" spans="1:4" ht="42.75" customHeight="1" thickBot="1">
      <c r="A6122" s="92">
        <v>4317</v>
      </c>
      <c r="B6122" s="93"/>
      <c r="C6122" s="96" t="s">
        <v>4</v>
      </c>
      <c r="D6122" s="97"/>
    </row>
    <row r="6123" spans="1:4" ht="42.75" customHeight="1" thickBot="1">
      <c r="A6123" s="98">
        <f>A6122-A6121</f>
        <v>31</v>
      </c>
      <c r="B6123" s="99"/>
      <c r="C6123" s="100" t="s">
        <v>5</v>
      </c>
      <c r="D6123" s="97"/>
    </row>
    <row r="6124" spans="1:4" ht="42.75" customHeight="1" thickBot="1">
      <c r="A6124" s="101">
        <v>62</v>
      </c>
      <c r="B6124" s="102"/>
      <c r="C6124" s="96" t="s">
        <v>6</v>
      </c>
      <c r="D6124" s="97"/>
    </row>
    <row r="6125" spans="1:4" ht="42.75" customHeight="1" thickBot="1">
      <c r="A6125" s="103"/>
      <c r="B6125" s="104"/>
      <c r="C6125" s="96" t="s">
        <v>21</v>
      </c>
      <c r="D6125" s="97"/>
    </row>
    <row r="6126" spans="1:4" ht="42.75" customHeight="1" thickBot="1">
      <c r="A6126" s="105">
        <v>1900</v>
      </c>
      <c r="B6126" s="106"/>
      <c r="C6126" s="96" t="s">
        <v>7</v>
      </c>
      <c r="D6126" s="97"/>
    </row>
    <row r="6127" spans="1:4" ht="42.75" customHeight="1" thickBot="1">
      <c r="A6127" s="107" t="s">
        <v>17</v>
      </c>
      <c r="B6127" s="108"/>
      <c r="C6127" s="108"/>
      <c r="D6127" s="109"/>
    </row>
    <row r="6128" spans="1:4" ht="42.75" customHeight="1" thickBot="1">
      <c r="A6128" s="110" t="s">
        <v>20</v>
      </c>
      <c r="B6128" s="111"/>
      <c r="C6128" s="111"/>
      <c r="D6128" s="112"/>
    </row>
    <row r="6129" spans="1:4" ht="42.75" customHeight="1" thickBot="1">
      <c r="A6129" s="113" t="s">
        <v>18</v>
      </c>
      <c r="B6129" s="114"/>
      <c r="C6129" s="114"/>
      <c r="D6129" s="115"/>
    </row>
    <row r="6130" spans="1:4" ht="42.75" customHeight="1" thickBot="1">
      <c r="A6130" s="120" t="s">
        <v>19</v>
      </c>
      <c r="B6130" s="121"/>
      <c r="C6130" s="121"/>
      <c r="D6130" s="122"/>
    </row>
    <row r="6131" spans="1:4" ht="42.75" customHeight="1" thickBot="1">
      <c r="A6131" s="123" t="s">
        <v>11</v>
      </c>
      <c r="B6131" s="124"/>
      <c r="C6131" s="125" t="s">
        <v>603</v>
      </c>
      <c r="D6131" s="124"/>
    </row>
    <row r="6132" spans="1:4" ht="42.75" customHeight="1" thickBot="1">
      <c r="A6132" s="1" t="s">
        <v>686</v>
      </c>
      <c r="B6132" s="26" t="s">
        <v>1</v>
      </c>
      <c r="C6132" s="90" t="s">
        <v>208</v>
      </c>
      <c r="D6132" s="91"/>
    </row>
    <row r="6133" spans="1:4" ht="42.75" customHeight="1" thickBot="1">
      <c r="A6133" s="26"/>
      <c r="B6133" s="26" t="s">
        <v>0</v>
      </c>
      <c r="C6133" s="5" t="s">
        <v>687</v>
      </c>
      <c r="D6133" s="4" t="s">
        <v>2</v>
      </c>
    </row>
    <row r="6134" spans="1:4" ht="42.75" customHeight="1" thickBot="1">
      <c r="A6134" s="92">
        <v>4206</v>
      </c>
      <c r="B6134" s="93"/>
      <c r="C6134" s="94" t="s">
        <v>3</v>
      </c>
      <c r="D6134" s="95"/>
    </row>
    <row r="6135" spans="1:4" ht="42.75" customHeight="1" thickBot="1">
      <c r="A6135" s="92">
        <v>4206</v>
      </c>
      <c r="B6135" s="93"/>
      <c r="C6135" s="96" t="s">
        <v>4</v>
      </c>
      <c r="D6135" s="97"/>
    </row>
    <row r="6136" spans="1:4" ht="42.75" customHeight="1" thickBot="1">
      <c r="A6136" s="98">
        <f>A6135-A6134</f>
        <v>0</v>
      </c>
      <c r="B6136" s="99"/>
      <c r="C6136" s="100" t="s">
        <v>5</v>
      </c>
      <c r="D6136" s="97"/>
    </row>
    <row r="6137" spans="1:4" ht="42.75" customHeight="1" thickBot="1">
      <c r="A6137" s="101">
        <v>62</v>
      </c>
      <c r="B6137" s="102"/>
      <c r="C6137" s="96" t="s">
        <v>6</v>
      </c>
      <c r="D6137" s="97"/>
    </row>
    <row r="6138" spans="1:4" ht="42.75" customHeight="1" thickBot="1">
      <c r="A6138" s="103"/>
      <c r="B6138" s="104"/>
      <c r="C6138" s="96" t="s">
        <v>21</v>
      </c>
      <c r="D6138" s="97"/>
    </row>
    <row r="6139" spans="1:4" ht="42.75" customHeight="1" thickBot="1">
      <c r="A6139" s="105">
        <f>A6137*A6136</f>
        <v>0</v>
      </c>
      <c r="B6139" s="106"/>
      <c r="C6139" s="96" t="s">
        <v>7</v>
      </c>
      <c r="D6139" s="97"/>
    </row>
    <row r="6140" spans="1:4" ht="42.75" customHeight="1" thickBot="1">
      <c r="A6140" s="107" t="s">
        <v>17</v>
      </c>
      <c r="B6140" s="108"/>
      <c r="C6140" s="108"/>
      <c r="D6140" s="109"/>
    </row>
    <row r="6141" spans="1:4" ht="42.75" customHeight="1" thickBot="1">
      <c r="A6141" s="116" t="s">
        <v>20</v>
      </c>
      <c r="B6141" s="117"/>
      <c r="C6141" s="117"/>
      <c r="D6141" s="118"/>
    </row>
    <row r="6142" spans="1:4" ht="42.75" customHeight="1" thickBot="1">
      <c r="A6142" s="113" t="s">
        <v>18</v>
      </c>
      <c r="B6142" s="114"/>
      <c r="C6142" s="114"/>
      <c r="D6142" s="115"/>
    </row>
    <row r="6143" spans="1:4" ht="42.75" customHeight="1" thickBot="1">
      <c r="A6143" s="119"/>
      <c r="B6143" s="119"/>
      <c r="C6143" s="119"/>
      <c r="D6143" s="119"/>
    </row>
    <row r="6144" spans="1:4" ht="42.75" customHeight="1" thickBot="1">
      <c r="A6144" s="120" t="s">
        <v>19</v>
      </c>
      <c r="B6144" s="121"/>
      <c r="C6144" s="121"/>
      <c r="D6144" s="122"/>
    </row>
    <row r="6145" spans="1:4" ht="42.75" customHeight="1" thickBot="1">
      <c r="A6145" s="123" t="s">
        <v>11</v>
      </c>
      <c r="B6145" s="124"/>
      <c r="C6145" s="125" t="s">
        <v>603</v>
      </c>
      <c r="D6145" s="124"/>
    </row>
    <row r="6146" spans="1:4" ht="42.75" customHeight="1" thickBot="1">
      <c r="A6146" s="1" t="s">
        <v>686</v>
      </c>
      <c r="B6146" s="26" t="s">
        <v>1</v>
      </c>
      <c r="C6146" s="90" t="s">
        <v>208</v>
      </c>
      <c r="D6146" s="91"/>
    </row>
    <row r="6147" spans="1:4" ht="42.75" customHeight="1" thickBot="1">
      <c r="A6147" s="26"/>
      <c r="B6147" s="26" t="s">
        <v>0</v>
      </c>
      <c r="C6147" s="5" t="s">
        <v>687</v>
      </c>
      <c r="D6147" s="4" t="s">
        <v>2</v>
      </c>
    </row>
    <row r="6148" spans="1:4" ht="42.75" customHeight="1" thickBot="1">
      <c r="A6148" s="92">
        <v>4175</v>
      </c>
      <c r="B6148" s="93"/>
      <c r="C6148" s="94" t="s">
        <v>3</v>
      </c>
      <c r="D6148" s="95"/>
    </row>
    <row r="6149" spans="1:4" ht="42.75" customHeight="1" thickBot="1">
      <c r="A6149" s="92">
        <v>4206</v>
      </c>
      <c r="B6149" s="93"/>
      <c r="C6149" s="96" t="s">
        <v>4</v>
      </c>
      <c r="D6149" s="97"/>
    </row>
    <row r="6150" spans="1:4" ht="42.75" customHeight="1" thickBot="1">
      <c r="A6150" s="98">
        <f>A6149-A6148</f>
        <v>31</v>
      </c>
      <c r="B6150" s="99"/>
      <c r="C6150" s="100" t="s">
        <v>5</v>
      </c>
      <c r="D6150" s="97"/>
    </row>
    <row r="6151" spans="1:4" ht="42.75" customHeight="1" thickBot="1">
      <c r="A6151" s="101">
        <v>62</v>
      </c>
      <c r="B6151" s="102"/>
      <c r="C6151" s="96" t="s">
        <v>6</v>
      </c>
      <c r="D6151" s="97"/>
    </row>
    <row r="6152" spans="1:4" ht="42.75" customHeight="1" thickBot="1">
      <c r="A6152" s="103"/>
      <c r="B6152" s="104"/>
      <c r="C6152" s="96" t="s">
        <v>21</v>
      </c>
      <c r="D6152" s="97"/>
    </row>
    <row r="6153" spans="1:4" ht="42.75" customHeight="1" thickBot="1">
      <c r="A6153" s="105">
        <v>1900</v>
      </c>
      <c r="B6153" s="106"/>
      <c r="C6153" s="96" t="s">
        <v>7</v>
      </c>
      <c r="D6153" s="97"/>
    </row>
    <row r="6154" spans="1:4" ht="42.75" customHeight="1" thickBot="1">
      <c r="A6154" s="107" t="s">
        <v>17</v>
      </c>
      <c r="B6154" s="108"/>
      <c r="C6154" s="108"/>
      <c r="D6154" s="109"/>
    </row>
    <row r="6155" spans="1:4" ht="42.75" customHeight="1" thickBot="1">
      <c r="A6155" s="110" t="s">
        <v>20</v>
      </c>
      <c r="B6155" s="111"/>
      <c r="C6155" s="111"/>
      <c r="D6155" s="112"/>
    </row>
    <row r="6156" spans="1:4" ht="42.75" customHeight="1" thickBot="1">
      <c r="A6156" s="113" t="s">
        <v>18</v>
      </c>
      <c r="B6156" s="114"/>
      <c r="C6156" s="114"/>
      <c r="D6156" s="115"/>
    </row>
    <row r="6157" spans="1:4" ht="42.75" customHeight="1" thickBot="1">
      <c r="A6157" s="120" t="s">
        <v>19</v>
      </c>
      <c r="B6157" s="121"/>
      <c r="C6157" s="121"/>
      <c r="D6157" s="122"/>
    </row>
    <row r="6158" spans="1:4" ht="42.75" customHeight="1" thickBot="1">
      <c r="A6158" s="123" t="s">
        <v>11</v>
      </c>
      <c r="B6158" s="124"/>
      <c r="C6158" s="125" t="s">
        <v>603</v>
      </c>
      <c r="D6158" s="124"/>
    </row>
    <row r="6159" spans="1:4" ht="42.75" customHeight="1" thickBot="1">
      <c r="A6159" s="1" t="s">
        <v>686</v>
      </c>
      <c r="B6159" s="26" t="s">
        <v>1</v>
      </c>
      <c r="C6159" s="90" t="s">
        <v>255</v>
      </c>
      <c r="D6159" s="91"/>
    </row>
    <row r="6160" spans="1:4" ht="42.75" customHeight="1" thickBot="1">
      <c r="A6160" s="26"/>
      <c r="B6160" s="26" t="s">
        <v>0</v>
      </c>
      <c r="C6160" s="5" t="s">
        <v>687</v>
      </c>
      <c r="D6160" s="4" t="s">
        <v>2</v>
      </c>
    </row>
    <row r="6161" spans="1:4" ht="42.75" customHeight="1" thickBot="1">
      <c r="A6161" s="92">
        <v>3952</v>
      </c>
      <c r="B6161" s="93"/>
      <c r="C6161" s="94" t="s">
        <v>3</v>
      </c>
      <c r="D6161" s="95"/>
    </row>
    <row r="6162" spans="1:4" ht="42.75" customHeight="1" thickBot="1">
      <c r="A6162" s="92">
        <v>3952</v>
      </c>
      <c r="B6162" s="93"/>
      <c r="C6162" s="96" t="s">
        <v>4</v>
      </c>
      <c r="D6162" s="97"/>
    </row>
    <row r="6163" spans="1:4" ht="42.75" customHeight="1" thickBot="1">
      <c r="A6163" s="98">
        <f>A6162-A6161</f>
        <v>0</v>
      </c>
      <c r="B6163" s="99"/>
      <c r="C6163" s="100" t="s">
        <v>5</v>
      </c>
      <c r="D6163" s="97"/>
    </row>
    <row r="6164" spans="1:4" ht="42.75" customHeight="1" thickBot="1">
      <c r="A6164" s="101">
        <v>62</v>
      </c>
      <c r="B6164" s="102"/>
      <c r="C6164" s="96" t="s">
        <v>6</v>
      </c>
      <c r="D6164" s="97"/>
    </row>
    <row r="6165" spans="1:4" ht="42.75" customHeight="1" thickBot="1">
      <c r="A6165" s="103"/>
      <c r="B6165" s="104"/>
      <c r="C6165" s="96" t="s">
        <v>21</v>
      </c>
      <c r="D6165" s="97"/>
    </row>
    <row r="6166" spans="1:4" ht="42.75" customHeight="1" thickBot="1">
      <c r="A6166" s="105">
        <f>A6164*A6163</f>
        <v>0</v>
      </c>
      <c r="B6166" s="106"/>
      <c r="C6166" s="96" t="s">
        <v>7</v>
      </c>
      <c r="D6166" s="97"/>
    </row>
    <row r="6167" spans="1:4" ht="42.75" customHeight="1" thickBot="1">
      <c r="A6167" s="107" t="s">
        <v>17</v>
      </c>
      <c r="B6167" s="108"/>
      <c r="C6167" s="108"/>
      <c r="D6167" s="109"/>
    </row>
    <row r="6168" spans="1:4" ht="42.75" customHeight="1" thickBot="1">
      <c r="A6168" s="116" t="s">
        <v>20</v>
      </c>
      <c r="B6168" s="117"/>
      <c r="C6168" s="117"/>
      <c r="D6168" s="118"/>
    </row>
    <row r="6169" spans="1:4" ht="42.75" customHeight="1" thickBot="1">
      <c r="A6169" s="113" t="s">
        <v>18</v>
      </c>
      <c r="B6169" s="114"/>
      <c r="C6169" s="114"/>
      <c r="D6169" s="115"/>
    </row>
    <row r="6170" spans="1:4" ht="42.75" customHeight="1" thickBot="1">
      <c r="A6170" s="119"/>
      <c r="B6170" s="119"/>
      <c r="C6170" s="119"/>
      <c r="D6170" s="119"/>
    </row>
    <row r="6171" spans="1:4" ht="42.75" customHeight="1" thickBot="1">
      <c r="A6171" s="120" t="s">
        <v>19</v>
      </c>
      <c r="B6171" s="121"/>
      <c r="C6171" s="121"/>
      <c r="D6171" s="122"/>
    </row>
    <row r="6172" spans="1:4" ht="42.75" customHeight="1" thickBot="1">
      <c r="A6172" s="123" t="s">
        <v>11</v>
      </c>
      <c r="B6172" s="124"/>
      <c r="C6172" s="125" t="s">
        <v>603</v>
      </c>
      <c r="D6172" s="124"/>
    </row>
    <row r="6173" spans="1:4" ht="42.75" customHeight="1" thickBot="1">
      <c r="A6173" s="1" t="s">
        <v>686</v>
      </c>
      <c r="B6173" s="26" t="s">
        <v>1</v>
      </c>
      <c r="C6173" s="90" t="s">
        <v>255</v>
      </c>
      <c r="D6173" s="91"/>
    </row>
    <row r="6174" spans="1:4" ht="42.75" customHeight="1" thickBot="1">
      <c r="A6174" s="26"/>
      <c r="B6174" s="26" t="s">
        <v>0</v>
      </c>
      <c r="C6174" s="5" t="s">
        <v>687</v>
      </c>
      <c r="D6174" s="4" t="s">
        <v>2</v>
      </c>
    </row>
    <row r="6175" spans="1:4" ht="42.75" customHeight="1" thickBot="1">
      <c r="A6175" s="92">
        <v>3938</v>
      </c>
      <c r="B6175" s="93"/>
      <c r="C6175" s="94" t="s">
        <v>3</v>
      </c>
      <c r="D6175" s="95"/>
    </row>
    <row r="6176" spans="1:4" ht="42.75" customHeight="1" thickBot="1">
      <c r="A6176" s="92">
        <v>3952</v>
      </c>
      <c r="B6176" s="93"/>
      <c r="C6176" s="96" t="s">
        <v>4</v>
      </c>
      <c r="D6176" s="97"/>
    </row>
    <row r="6177" spans="1:4" ht="42.75" customHeight="1" thickBot="1">
      <c r="A6177" s="98">
        <f>A6176-A6175</f>
        <v>14</v>
      </c>
      <c r="B6177" s="99"/>
      <c r="C6177" s="100" t="s">
        <v>5</v>
      </c>
      <c r="D6177" s="97"/>
    </row>
    <row r="6178" spans="1:4" ht="42.75" customHeight="1" thickBot="1">
      <c r="A6178" s="101">
        <v>62</v>
      </c>
      <c r="B6178" s="102"/>
      <c r="C6178" s="96" t="s">
        <v>6</v>
      </c>
      <c r="D6178" s="97"/>
    </row>
    <row r="6179" spans="1:4" ht="42.75" customHeight="1" thickBot="1">
      <c r="A6179" s="103"/>
      <c r="B6179" s="104"/>
      <c r="C6179" s="96" t="s">
        <v>21</v>
      </c>
      <c r="D6179" s="97"/>
    </row>
    <row r="6180" spans="1:4" ht="42.75" customHeight="1" thickBot="1">
      <c r="A6180" s="105">
        <v>850</v>
      </c>
      <c r="B6180" s="106"/>
      <c r="C6180" s="96" t="s">
        <v>7</v>
      </c>
      <c r="D6180" s="97"/>
    </row>
    <row r="6181" spans="1:4" ht="42.75" customHeight="1" thickBot="1">
      <c r="A6181" s="107" t="s">
        <v>17</v>
      </c>
      <c r="B6181" s="108"/>
      <c r="C6181" s="108"/>
      <c r="D6181" s="109"/>
    </row>
    <row r="6182" spans="1:4" ht="42.75" customHeight="1" thickBot="1">
      <c r="A6182" s="110" t="s">
        <v>20</v>
      </c>
      <c r="B6182" s="111"/>
      <c r="C6182" s="111"/>
      <c r="D6182" s="112"/>
    </row>
    <row r="6183" spans="1:4" ht="42.75" customHeight="1" thickBot="1">
      <c r="A6183" s="113" t="s">
        <v>18</v>
      </c>
      <c r="B6183" s="114"/>
      <c r="C6183" s="114"/>
      <c r="D6183" s="115"/>
    </row>
    <row r="6184" spans="1:4" ht="42.75" customHeight="1" thickBot="1">
      <c r="A6184" s="120" t="s">
        <v>19</v>
      </c>
      <c r="B6184" s="121"/>
      <c r="C6184" s="121"/>
      <c r="D6184" s="122"/>
    </row>
    <row r="6185" spans="1:4" ht="42.75" customHeight="1" thickBot="1">
      <c r="A6185" s="123" t="s">
        <v>11</v>
      </c>
      <c r="B6185" s="124"/>
      <c r="C6185" s="125" t="s">
        <v>603</v>
      </c>
      <c r="D6185" s="124"/>
    </row>
    <row r="6186" spans="1:4" ht="42.75" customHeight="1" thickBot="1">
      <c r="A6186" s="1" t="s">
        <v>686</v>
      </c>
      <c r="B6186" s="26" t="s">
        <v>1</v>
      </c>
      <c r="C6186" s="90" t="s">
        <v>209</v>
      </c>
      <c r="D6186" s="91"/>
    </row>
    <row r="6187" spans="1:4" ht="42.75" customHeight="1" thickBot="1">
      <c r="A6187" s="26"/>
      <c r="B6187" s="26" t="s">
        <v>0</v>
      </c>
      <c r="C6187" s="5" t="s">
        <v>687</v>
      </c>
      <c r="D6187" s="4" t="s">
        <v>2</v>
      </c>
    </row>
    <row r="6188" spans="1:4" ht="42.75" customHeight="1" thickBot="1">
      <c r="A6188" s="92">
        <v>5385</v>
      </c>
      <c r="B6188" s="93"/>
      <c r="C6188" s="94" t="s">
        <v>3</v>
      </c>
      <c r="D6188" s="95"/>
    </row>
    <row r="6189" spans="1:4" ht="42.75" customHeight="1" thickBot="1">
      <c r="A6189" s="92">
        <v>5385</v>
      </c>
      <c r="B6189" s="93"/>
      <c r="C6189" s="96" t="s">
        <v>4</v>
      </c>
      <c r="D6189" s="97"/>
    </row>
    <row r="6190" spans="1:4" ht="42.75" customHeight="1" thickBot="1">
      <c r="A6190" s="98">
        <f>A6189-A6188</f>
        <v>0</v>
      </c>
      <c r="B6190" s="99"/>
      <c r="C6190" s="100" t="s">
        <v>5</v>
      </c>
      <c r="D6190" s="97"/>
    </row>
    <row r="6191" spans="1:4" ht="42.75" customHeight="1" thickBot="1">
      <c r="A6191" s="101">
        <v>62</v>
      </c>
      <c r="B6191" s="102"/>
      <c r="C6191" s="96" t="s">
        <v>6</v>
      </c>
      <c r="D6191" s="97"/>
    </row>
    <row r="6192" spans="1:4" ht="42.75" customHeight="1" thickBot="1">
      <c r="A6192" s="103"/>
      <c r="B6192" s="104"/>
      <c r="C6192" s="96" t="s">
        <v>21</v>
      </c>
      <c r="D6192" s="97"/>
    </row>
    <row r="6193" spans="1:4" ht="42.75" customHeight="1" thickBot="1">
      <c r="A6193" s="105">
        <f>A6191*A6190</f>
        <v>0</v>
      </c>
      <c r="B6193" s="106"/>
      <c r="C6193" s="96" t="s">
        <v>7</v>
      </c>
      <c r="D6193" s="97"/>
    </row>
    <row r="6194" spans="1:4" ht="42.75" customHeight="1" thickBot="1">
      <c r="A6194" s="107" t="s">
        <v>17</v>
      </c>
      <c r="B6194" s="108"/>
      <c r="C6194" s="108"/>
      <c r="D6194" s="109"/>
    </row>
    <row r="6195" spans="1:4" ht="42.75" customHeight="1" thickBot="1">
      <c r="A6195" s="116" t="s">
        <v>20</v>
      </c>
      <c r="B6195" s="117"/>
      <c r="C6195" s="117"/>
      <c r="D6195" s="118"/>
    </row>
    <row r="6196" spans="1:4" ht="42.75" customHeight="1" thickBot="1">
      <c r="A6196" s="113" t="s">
        <v>18</v>
      </c>
      <c r="B6196" s="114"/>
      <c r="C6196" s="114"/>
      <c r="D6196" s="115"/>
    </row>
    <row r="6197" spans="1:4" ht="42.75" customHeight="1" thickBot="1">
      <c r="A6197" s="119"/>
      <c r="B6197" s="119"/>
      <c r="C6197" s="119"/>
      <c r="D6197" s="119"/>
    </row>
    <row r="6198" spans="1:4" ht="42.75" customHeight="1" thickBot="1">
      <c r="A6198" s="120" t="s">
        <v>19</v>
      </c>
      <c r="B6198" s="121"/>
      <c r="C6198" s="121"/>
      <c r="D6198" s="122"/>
    </row>
    <row r="6199" spans="1:4" ht="42.75" customHeight="1" thickBot="1">
      <c r="A6199" s="123" t="s">
        <v>11</v>
      </c>
      <c r="B6199" s="124"/>
      <c r="C6199" s="125" t="s">
        <v>603</v>
      </c>
      <c r="D6199" s="124"/>
    </row>
    <row r="6200" spans="1:4" ht="42.75" customHeight="1" thickBot="1">
      <c r="A6200" s="1" t="s">
        <v>686</v>
      </c>
      <c r="B6200" s="26" t="s">
        <v>1</v>
      </c>
      <c r="C6200" s="90" t="s">
        <v>209</v>
      </c>
      <c r="D6200" s="91"/>
    </row>
    <row r="6201" spans="1:4" ht="42.75" customHeight="1" thickBot="1">
      <c r="A6201" s="26"/>
      <c r="B6201" s="26" t="s">
        <v>0</v>
      </c>
      <c r="C6201" s="5" t="s">
        <v>687</v>
      </c>
      <c r="D6201" s="4" t="s">
        <v>2</v>
      </c>
    </row>
    <row r="6202" spans="1:4" ht="42.75" customHeight="1" thickBot="1">
      <c r="A6202" s="92">
        <v>5362</v>
      </c>
      <c r="B6202" s="93"/>
      <c r="C6202" s="94" t="s">
        <v>3</v>
      </c>
      <c r="D6202" s="95"/>
    </row>
    <row r="6203" spans="1:4" ht="42.75" customHeight="1" thickBot="1">
      <c r="A6203" s="92">
        <v>5385</v>
      </c>
      <c r="B6203" s="93"/>
      <c r="C6203" s="96" t="s">
        <v>4</v>
      </c>
      <c r="D6203" s="97"/>
    </row>
    <row r="6204" spans="1:4" ht="42.75" customHeight="1" thickBot="1">
      <c r="A6204" s="98">
        <f>A6203-A6202</f>
        <v>23</v>
      </c>
      <c r="B6204" s="99"/>
      <c r="C6204" s="100" t="s">
        <v>5</v>
      </c>
      <c r="D6204" s="97"/>
    </row>
    <row r="6205" spans="1:4" ht="42.75" customHeight="1" thickBot="1">
      <c r="A6205" s="101">
        <v>62</v>
      </c>
      <c r="B6205" s="102"/>
      <c r="C6205" s="96" t="s">
        <v>6</v>
      </c>
      <c r="D6205" s="97"/>
    </row>
    <row r="6206" spans="1:4" ht="42.75" customHeight="1" thickBot="1">
      <c r="A6206" s="103"/>
      <c r="B6206" s="104"/>
      <c r="C6206" s="96" t="s">
        <v>21</v>
      </c>
      <c r="D6206" s="97"/>
    </row>
    <row r="6207" spans="1:4" ht="42.75" customHeight="1" thickBot="1">
      <c r="A6207" s="105">
        <v>1400</v>
      </c>
      <c r="B6207" s="106"/>
      <c r="C6207" s="96" t="s">
        <v>7</v>
      </c>
      <c r="D6207" s="97"/>
    </row>
    <row r="6208" spans="1:4" ht="42.75" customHeight="1" thickBot="1">
      <c r="A6208" s="107" t="s">
        <v>17</v>
      </c>
      <c r="B6208" s="108"/>
      <c r="C6208" s="108"/>
      <c r="D6208" s="109"/>
    </row>
    <row r="6209" spans="1:4" ht="42.75" customHeight="1" thickBot="1">
      <c r="A6209" s="110" t="s">
        <v>20</v>
      </c>
      <c r="B6209" s="111"/>
      <c r="C6209" s="111"/>
      <c r="D6209" s="112"/>
    </row>
    <row r="6210" spans="1:4" ht="42.75" customHeight="1" thickBot="1">
      <c r="A6210" s="113" t="s">
        <v>18</v>
      </c>
      <c r="B6210" s="114"/>
      <c r="C6210" s="114"/>
      <c r="D6210" s="115"/>
    </row>
    <row r="6211" spans="1:4" ht="42.75" customHeight="1" thickBot="1">
      <c r="A6211" s="120" t="s">
        <v>19</v>
      </c>
      <c r="B6211" s="121"/>
      <c r="C6211" s="121"/>
      <c r="D6211" s="122"/>
    </row>
    <row r="6212" spans="1:4" ht="42.75" customHeight="1" thickBot="1">
      <c r="A6212" s="123" t="s">
        <v>11</v>
      </c>
      <c r="B6212" s="124"/>
      <c r="C6212" s="125" t="s">
        <v>603</v>
      </c>
      <c r="D6212" s="124"/>
    </row>
    <row r="6213" spans="1:4" ht="42.75" customHeight="1" thickBot="1">
      <c r="A6213" s="1" t="s">
        <v>686</v>
      </c>
      <c r="B6213" s="26" t="s">
        <v>1</v>
      </c>
      <c r="C6213" s="90" t="s">
        <v>210</v>
      </c>
      <c r="D6213" s="91"/>
    </row>
    <row r="6214" spans="1:4" ht="42.75" customHeight="1" thickBot="1">
      <c r="A6214" s="26"/>
      <c r="B6214" s="26" t="s">
        <v>0</v>
      </c>
      <c r="C6214" s="5" t="s">
        <v>687</v>
      </c>
      <c r="D6214" s="4" t="s">
        <v>2</v>
      </c>
    </row>
    <row r="6215" spans="1:4" ht="42.75" customHeight="1" thickBot="1">
      <c r="A6215" s="92">
        <v>4258</v>
      </c>
      <c r="B6215" s="93"/>
      <c r="C6215" s="94" t="s">
        <v>3</v>
      </c>
      <c r="D6215" s="95"/>
    </row>
    <row r="6216" spans="1:4" ht="42.75" customHeight="1" thickBot="1">
      <c r="A6216" s="92">
        <v>4258</v>
      </c>
      <c r="B6216" s="93"/>
      <c r="C6216" s="96" t="s">
        <v>4</v>
      </c>
      <c r="D6216" s="97"/>
    </row>
    <row r="6217" spans="1:4" ht="42.75" customHeight="1" thickBot="1">
      <c r="A6217" s="98">
        <f>A6216-A6215</f>
        <v>0</v>
      </c>
      <c r="B6217" s="99"/>
      <c r="C6217" s="100" t="s">
        <v>5</v>
      </c>
      <c r="D6217" s="97"/>
    </row>
    <row r="6218" spans="1:4" ht="42.75" customHeight="1" thickBot="1">
      <c r="A6218" s="101">
        <v>62</v>
      </c>
      <c r="B6218" s="102"/>
      <c r="C6218" s="96" t="s">
        <v>6</v>
      </c>
      <c r="D6218" s="97"/>
    </row>
    <row r="6219" spans="1:4" ht="42.75" customHeight="1" thickBot="1">
      <c r="A6219" s="103"/>
      <c r="B6219" s="104"/>
      <c r="C6219" s="96" t="s">
        <v>21</v>
      </c>
      <c r="D6219" s="97"/>
    </row>
    <row r="6220" spans="1:4" ht="42.75" customHeight="1" thickBot="1">
      <c r="A6220" s="105">
        <f>A6218*A6217</f>
        <v>0</v>
      </c>
      <c r="B6220" s="106"/>
      <c r="C6220" s="96" t="s">
        <v>7</v>
      </c>
      <c r="D6220" s="97"/>
    </row>
    <row r="6221" spans="1:4" ht="42.75" customHeight="1" thickBot="1">
      <c r="A6221" s="107" t="s">
        <v>17</v>
      </c>
      <c r="B6221" s="108"/>
      <c r="C6221" s="108"/>
      <c r="D6221" s="109"/>
    </row>
    <row r="6222" spans="1:4" ht="42.75" customHeight="1" thickBot="1">
      <c r="A6222" s="116" t="s">
        <v>20</v>
      </c>
      <c r="B6222" s="117"/>
      <c r="C6222" s="117"/>
      <c r="D6222" s="118"/>
    </row>
    <row r="6223" spans="1:4" ht="42.75" customHeight="1" thickBot="1">
      <c r="A6223" s="113" t="s">
        <v>18</v>
      </c>
      <c r="B6223" s="114"/>
      <c r="C6223" s="114"/>
      <c r="D6223" s="115"/>
    </row>
    <row r="6224" spans="1:4" ht="42.75" customHeight="1" thickBot="1">
      <c r="A6224" s="119"/>
      <c r="B6224" s="119"/>
      <c r="C6224" s="119"/>
      <c r="D6224" s="119"/>
    </row>
    <row r="6225" spans="1:4" ht="42.75" customHeight="1" thickBot="1">
      <c r="A6225" s="120" t="s">
        <v>19</v>
      </c>
      <c r="B6225" s="121"/>
      <c r="C6225" s="121"/>
      <c r="D6225" s="122"/>
    </row>
    <row r="6226" spans="1:4" ht="42.75" customHeight="1" thickBot="1">
      <c r="A6226" s="123" t="s">
        <v>11</v>
      </c>
      <c r="B6226" s="124"/>
      <c r="C6226" s="125" t="s">
        <v>603</v>
      </c>
      <c r="D6226" s="124"/>
    </row>
    <row r="6227" spans="1:4" ht="42.75" customHeight="1" thickBot="1">
      <c r="A6227" s="1" t="s">
        <v>686</v>
      </c>
      <c r="B6227" s="26" t="s">
        <v>1</v>
      </c>
      <c r="C6227" s="90" t="s">
        <v>210</v>
      </c>
      <c r="D6227" s="91"/>
    </row>
    <row r="6228" spans="1:4" ht="42.75" customHeight="1" thickBot="1">
      <c r="A6228" s="26"/>
      <c r="B6228" s="26" t="s">
        <v>0</v>
      </c>
      <c r="C6228" s="5" t="s">
        <v>687</v>
      </c>
      <c r="D6228" s="4" t="s">
        <v>2</v>
      </c>
    </row>
    <row r="6229" spans="1:4" ht="42.75" customHeight="1" thickBot="1">
      <c r="A6229" s="92">
        <v>4245</v>
      </c>
      <c r="B6229" s="93"/>
      <c r="C6229" s="94" t="s">
        <v>3</v>
      </c>
      <c r="D6229" s="95"/>
    </row>
    <row r="6230" spans="1:4" ht="42.75" customHeight="1" thickBot="1">
      <c r="A6230" s="92">
        <v>4258</v>
      </c>
      <c r="B6230" s="93"/>
      <c r="C6230" s="96" t="s">
        <v>4</v>
      </c>
      <c r="D6230" s="97"/>
    </row>
    <row r="6231" spans="1:4" ht="42.75" customHeight="1" thickBot="1">
      <c r="A6231" s="98">
        <f>A6230-A6229</f>
        <v>13</v>
      </c>
      <c r="B6231" s="99"/>
      <c r="C6231" s="100" t="s">
        <v>5</v>
      </c>
      <c r="D6231" s="97"/>
    </row>
    <row r="6232" spans="1:4" ht="42.75" customHeight="1" thickBot="1">
      <c r="A6232" s="101">
        <v>62</v>
      </c>
      <c r="B6232" s="102"/>
      <c r="C6232" s="96" t="s">
        <v>6</v>
      </c>
      <c r="D6232" s="97"/>
    </row>
    <row r="6233" spans="1:4" ht="42.75" customHeight="1" thickBot="1">
      <c r="A6233" s="103"/>
      <c r="B6233" s="104"/>
      <c r="C6233" s="96" t="s">
        <v>21</v>
      </c>
      <c r="D6233" s="97"/>
    </row>
    <row r="6234" spans="1:4" ht="42.75" customHeight="1" thickBot="1">
      <c r="A6234" s="105">
        <f>A6232*A6231</f>
        <v>806</v>
      </c>
      <c r="B6234" s="106"/>
      <c r="C6234" s="96" t="s">
        <v>7</v>
      </c>
      <c r="D6234" s="97"/>
    </row>
    <row r="6235" spans="1:4" ht="42.75" customHeight="1" thickBot="1">
      <c r="A6235" s="107" t="s">
        <v>17</v>
      </c>
      <c r="B6235" s="108"/>
      <c r="C6235" s="108"/>
      <c r="D6235" s="109"/>
    </row>
    <row r="6236" spans="1:4" ht="42.75" customHeight="1" thickBot="1">
      <c r="A6236" s="110" t="s">
        <v>20</v>
      </c>
      <c r="B6236" s="111"/>
      <c r="C6236" s="111"/>
      <c r="D6236" s="112"/>
    </row>
    <row r="6237" spans="1:4" ht="42.75" customHeight="1" thickBot="1">
      <c r="A6237" s="113" t="s">
        <v>18</v>
      </c>
      <c r="B6237" s="114"/>
      <c r="C6237" s="114"/>
      <c r="D6237" s="115"/>
    </row>
    <row r="6238" spans="1:4" ht="42.75" customHeight="1" thickBot="1">
      <c r="A6238" s="120" t="s">
        <v>19</v>
      </c>
      <c r="B6238" s="121"/>
      <c r="C6238" s="121"/>
      <c r="D6238" s="122"/>
    </row>
    <row r="6239" spans="1:4" ht="42.75" customHeight="1" thickBot="1">
      <c r="A6239" s="123" t="s">
        <v>11</v>
      </c>
      <c r="B6239" s="124"/>
      <c r="C6239" s="125" t="s">
        <v>603</v>
      </c>
      <c r="D6239" s="124"/>
    </row>
    <row r="6240" spans="1:4" ht="42.75" customHeight="1" thickBot="1">
      <c r="A6240" s="1" t="s">
        <v>686</v>
      </c>
      <c r="B6240" s="26" t="s">
        <v>1</v>
      </c>
      <c r="C6240" s="90" t="s">
        <v>211</v>
      </c>
      <c r="D6240" s="91"/>
    </row>
    <row r="6241" spans="1:4" ht="42.75" customHeight="1" thickBot="1">
      <c r="A6241" s="26"/>
      <c r="B6241" s="26" t="s">
        <v>0</v>
      </c>
      <c r="C6241" s="5" t="s">
        <v>687</v>
      </c>
      <c r="D6241" s="4" t="s">
        <v>2</v>
      </c>
    </row>
    <row r="6242" spans="1:4" ht="42.75" customHeight="1" thickBot="1">
      <c r="A6242" s="92">
        <v>4365</v>
      </c>
      <c r="B6242" s="93"/>
      <c r="C6242" s="94" t="s">
        <v>3</v>
      </c>
      <c r="D6242" s="95"/>
    </row>
    <row r="6243" spans="1:4" ht="42.75" customHeight="1" thickBot="1">
      <c r="A6243" s="92">
        <v>4365</v>
      </c>
      <c r="B6243" s="93"/>
      <c r="C6243" s="96" t="s">
        <v>4</v>
      </c>
      <c r="D6243" s="97"/>
    </row>
    <row r="6244" spans="1:4" ht="42.75" customHeight="1" thickBot="1">
      <c r="A6244" s="98">
        <f>A6243-A6242</f>
        <v>0</v>
      </c>
      <c r="B6244" s="99"/>
      <c r="C6244" s="100" t="s">
        <v>5</v>
      </c>
      <c r="D6244" s="97"/>
    </row>
    <row r="6245" spans="1:4" ht="42.75" customHeight="1" thickBot="1">
      <c r="A6245" s="101">
        <v>40</v>
      </c>
      <c r="B6245" s="102"/>
      <c r="C6245" s="96" t="s">
        <v>6</v>
      </c>
      <c r="D6245" s="97"/>
    </row>
    <row r="6246" spans="1:4" ht="42.75" customHeight="1" thickBot="1">
      <c r="A6246" s="103"/>
      <c r="B6246" s="104"/>
      <c r="C6246" s="96" t="s">
        <v>21</v>
      </c>
      <c r="D6246" s="97"/>
    </row>
    <row r="6247" spans="1:4" ht="42.75" customHeight="1" thickBot="1">
      <c r="A6247" s="105">
        <f>A6245*A6244</f>
        <v>0</v>
      </c>
      <c r="B6247" s="106"/>
      <c r="C6247" s="96" t="s">
        <v>7</v>
      </c>
      <c r="D6247" s="97"/>
    </row>
    <row r="6248" spans="1:4" ht="42.75" customHeight="1" thickBot="1">
      <c r="A6248" s="107" t="s">
        <v>17</v>
      </c>
      <c r="B6248" s="108"/>
      <c r="C6248" s="108"/>
      <c r="D6248" s="109"/>
    </row>
    <row r="6249" spans="1:4" ht="42.75" customHeight="1" thickBot="1">
      <c r="A6249" s="116" t="s">
        <v>20</v>
      </c>
      <c r="B6249" s="117"/>
      <c r="C6249" s="117"/>
      <c r="D6249" s="118"/>
    </row>
    <row r="6250" spans="1:4" ht="42.75" customHeight="1" thickBot="1">
      <c r="A6250" s="113" t="s">
        <v>18</v>
      </c>
      <c r="B6250" s="114"/>
      <c r="C6250" s="114"/>
      <c r="D6250" s="115"/>
    </row>
    <row r="6251" spans="1:4" ht="42.75" customHeight="1" thickBot="1">
      <c r="A6251" s="119"/>
      <c r="B6251" s="119"/>
      <c r="C6251" s="119"/>
      <c r="D6251" s="119"/>
    </row>
    <row r="6252" spans="1:4" ht="42.75" customHeight="1" thickBot="1">
      <c r="A6252" s="120" t="s">
        <v>19</v>
      </c>
      <c r="B6252" s="121"/>
      <c r="C6252" s="121"/>
      <c r="D6252" s="122"/>
    </row>
    <row r="6253" spans="1:4" ht="42.75" customHeight="1" thickBot="1">
      <c r="A6253" s="123" t="s">
        <v>11</v>
      </c>
      <c r="B6253" s="124"/>
      <c r="C6253" s="125" t="s">
        <v>603</v>
      </c>
      <c r="D6253" s="124"/>
    </row>
    <row r="6254" spans="1:4" ht="42.75" customHeight="1" thickBot="1">
      <c r="A6254" s="1" t="s">
        <v>686</v>
      </c>
      <c r="B6254" s="26" t="s">
        <v>1</v>
      </c>
      <c r="C6254" s="90" t="s">
        <v>211</v>
      </c>
      <c r="D6254" s="91"/>
    </row>
    <row r="6255" spans="1:4" ht="42.75" customHeight="1" thickBot="1">
      <c r="A6255" s="26"/>
      <c r="B6255" s="26" t="s">
        <v>0</v>
      </c>
      <c r="C6255" s="5" t="s">
        <v>687</v>
      </c>
      <c r="D6255" s="4" t="s">
        <v>2</v>
      </c>
    </row>
    <row r="6256" spans="1:4" ht="42.75" customHeight="1" thickBot="1">
      <c r="A6256" s="92">
        <v>4290</v>
      </c>
      <c r="B6256" s="93"/>
      <c r="C6256" s="94" t="s">
        <v>3</v>
      </c>
      <c r="D6256" s="95"/>
    </row>
    <row r="6257" spans="1:4" ht="42.75" customHeight="1" thickBot="1">
      <c r="A6257" s="92">
        <v>4365</v>
      </c>
      <c r="B6257" s="93"/>
      <c r="C6257" s="96" t="s">
        <v>4</v>
      </c>
      <c r="D6257" s="97"/>
    </row>
    <row r="6258" spans="1:4" ht="42.75" customHeight="1" thickBot="1">
      <c r="A6258" s="98">
        <f>A6257-A6256</f>
        <v>75</v>
      </c>
      <c r="B6258" s="99"/>
      <c r="C6258" s="100" t="s">
        <v>5</v>
      </c>
      <c r="D6258" s="97"/>
    </row>
    <row r="6259" spans="1:4" ht="42.75" customHeight="1" thickBot="1">
      <c r="A6259" s="101">
        <v>40</v>
      </c>
      <c r="B6259" s="102"/>
      <c r="C6259" s="96" t="s">
        <v>6</v>
      </c>
      <c r="D6259" s="97"/>
    </row>
    <row r="6260" spans="1:4" ht="42.75" customHeight="1" thickBot="1">
      <c r="A6260" s="103"/>
      <c r="B6260" s="104"/>
      <c r="C6260" s="96" t="s">
        <v>21</v>
      </c>
      <c r="D6260" s="97"/>
    </row>
    <row r="6261" spans="1:4" ht="42.75" customHeight="1" thickBot="1">
      <c r="A6261" s="105">
        <f>A6259*A6258</f>
        <v>3000</v>
      </c>
      <c r="B6261" s="106"/>
      <c r="C6261" s="96" t="s">
        <v>7</v>
      </c>
      <c r="D6261" s="97"/>
    </row>
    <row r="6262" spans="1:4" ht="42.75" customHeight="1" thickBot="1">
      <c r="A6262" s="107" t="s">
        <v>17</v>
      </c>
      <c r="B6262" s="108"/>
      <c r="C6262" s="108"/>
      <c r="D6262" s="109"/>
    </row>
    <row r="6263" spans="1:4" ht="42.75" customHeight="1" thickBot="1">
      <c r="A6263" s="110" t="s">
        <v>20</v>
      </c>
      <c r="B6263" s="111"/>
      <c r="C6263" s="111"/>
      <c r="D6263" s="112"/>
    </row>
    <row r="6264" spans="1:4" ht="42.75" customHeight="1" thickBot="1">
      <c r="A6264" s="113" t="s">
        <v>18</v>
      </c>
      <c r="B6264" s="114"/>
      <c r="C6264" s="114"/>
      <c r="D6264" s="115"/>
    </row>
    <row r="6265" spans="1:4" ht="42.75" customHeight="1" thickBot="1">
      <c r="A6265" s="120" t="s">
        <v>19</v>
      </c>
      <c r="B6265" s="121"/>
      <c r="C6265" s="121"/>
      <c r="D6265" s="122"/>
    </row>
    <row r="6266" spans="1:4" ht="42.75" customHeight="1" thickBot="1">
      <c r="A6266" s="123" t="s">
        <v>11</v>
      </c>
      <c r="B6266" s="124"/>
      <c r="C6266" s="125" t="s">
        <v>603</v>
      </c>
      <c r="D6266" s="124"/>
    </row>
    <row r="6267" spans="1:4" ht="42.75" customHeight="1" thickBot="1">
      <c r="A6267" s="1" t="s">
        <v>686</v>
      </c>
      <c r="B6267" s="26" t="s">
        <v>1</v>
      </c>
      <c r="C6267" s="90" t="s">
        <v>114</v>
      </c>
      <c r="D6267" s="91"/>
    </row>
    <row r="6268" spans="1:4" ht="42.75" customHeight="1" thickBot="1">
      <c r="A6268" s="26"/>
      <c r="B6268" s="26" t="s">
        <v>0</v>
      </c>
      <c r="C6268" s="5" t="s">
        <v>687</v>
      </c>
      <c r="D6268" s="4" t="s">
        <v>2</v>
      </c>
    </row>
    <row r="6269" spans="1:4" ht="42.75" customHeight="1" thickBot="1">
      <c r="A6269" s="92">
        <v>6303</v>
      </c>
      <c r="B6269" s="93"/>
      <c r="C6269" s="94" t="s">
        <v>3</v>
      </c>
      <c r="D6269" s="95"/>
    </row>
    <row r="6270" spans="1:4" ht="42.75" customHeight="1" thickBot="1">
      <c r="A6270" s="92">
        <v>6303</v>
      </c>
      <c r="B6270" s="93"/>
      <c r="C6270" s="96" t="s">
        <v>4</v>
      </c>
      <c r="D6270" s="97"/>
    </row>
    <row r="6271" spans="1:4" ht="42.75" customHeight="1" thickBot="1">
      <c r="A6271" s="98">
        <f>A6270-A6269</f>
        <v>0</v>
      </c>
      <c r="B6271" s="99"/>
      <c r="C6271" s="100" t="s">
        <v>5</v>
      </c>
      <c r="D6271" s="97"/>
    </row>
    <row r="6272" spans="1:4" ht="42.75" customHeight="1" thickBot="1">
      <c r="A6272" s="101">
        <v>62</v>
      </c>
      <c r="B6272" s="102"/>
      <c r="C6272" s="96" t="s">
        <v>6</v>
      </c>
      <c r="D6272" s="97"/>
    </row>
    <row r="6273" spans="1:4" ht="42.75" customHeight="1" thickBot="1">
      <c r="A6273" s="103"/>
      <c r="B6273" s="104"/>
      <c r="C6273" s="96" t="s">
        <v>21</v>
      </c>
      <c r="D6273" s="97"/>
    </row>
    <row r="6274" spans="1:4" ht="42.75" customHeight="1" thickBot="1">
      <c r="A6274" s="105">
        <f>A6272*A6271</f>
        <v>0</v>
      </c>
      <c r="B6274" s="106"/>
      <c r="C6274" s="96" t="s">
        <v>7</v>
      </c>
      <c r="D6274" s="97"/>
    </row>
    <row r="6275" spans="1:4" ht="42.75" customHeight="1" thickBot="1">
      <c r="A6275" s="107" t="s">
        <v>17</v>
      </c>
      <c r="B6275" s="108"/>
      <c r="C6275" s="108"/>
      <c r="D6275" s="109"/>
    </row>
    <row r="6276" spans="1:4" ht="42.75" customHeight="1" thickBot="1">
      <c r="A6276" s="116" t="s">
        <v>20</v>
      </c>
      <c r="B6276" s="117"/>
      <c r="C6276" s="117"/>
      <c r="D6276" s="118"/>
    </row>
    <row r="6277" spans="1:4" ht="42.75" customHeight="1" thickBot="1">
      <c r="A6277" s="113" t="s">
        <v>18</v>
      </c>
      <c r="B6277" s="114"/>
      <c r="C6277" s="114"/>
      <c r="D6277" s="115"/>
    </row>
    <row r="6278" spans="1:4" ht="42.75" customHeight="1" thickBot="1">
      <c r="A6278" s="119"/>
      <c r="B6278" s="119"/>
      <c r="C6278" s="119"/>
      <c r="D6278" s="119"/>
    </row>
    <row r="6279" spans="1:4" ht="42.75" customHeight="1" thickBot="1">
      <c r="A6279" s="120" t="s">
        <v>19</v>
      </c>
      <c r="B6279" s="121"/>
      <c r="C6279" s="121"/>
      <c r="D6279" s="122"/>
    </row>
    <row r="6280" spans="1:4" ht="42.75" customHeight="1" thickBot="1">
      <c r="A6280" s="123" t="s">
        <v>11</v>
      </c>
      <c r="B6280" s="124"/>
      <c r="C6280" s="125" t="s">
        <v>603</v>
      </c>
      <c r="D6280" s="124"/>
    </row>
    <row r="6281" spans="1:4" ht="42.75" customHeight="1" thickBot="1">
      <c r="A6281" s="1" t="s">
        <v>686</v>
      </c>
      <c r="B6281" s="26" t="s">
        <v>1</v>
      </c>
      <c r="C6281" s="90" t="s">
        <v>114</v>
      </c>
      <c r="D6281" s="91"/>
    </row>
    <row r="6282" spans="1:4" ht="42.75" customHeight="1" thickBot="1">
      <c r="A6282" s="26"/>
      <c r="B6282" s="26" t="s">
        <v>0</v>
      </c>
      <c r="C6282" s="5" t="s">
        <v>687</v>
      </c>
      <c r="D6282" s="4" t="s">
        <v>2</v>
      </c>
    </row>
    <row r="6283" spans="1:4" ht="42.75" customHeight="1" thickBot="1">
      <c r="A6283" s="92">
        <v>6275</v>
      </c>
      <c r="B6283" s="93"/>
      <c r="C6283" s="94" t="s">
        <v>3</v>
      </c>
      <c r="D6283" s="95"/>
    </row>
    <row r="6284" spans="1:4" ht="42.75" customHeight="1" thickBot="1">
      <c r="A6284" s="92">
        <v>6303</v>
      </c>
      <c r="B6284" s="93"/>
      <c r="C6284" s="96" t="s">
        <v>4</v>
      </c>
      <c r="D6284" s="97"/>
    </row>
    <row r="6285" spans="1:4" ht="42.75" customHeight="1" thickBot="1">
      <c r="A6285" s="98">
        <f>A6284-A6283</f>
        <v>28</v>
      </c>
      <c r="B6285" s="99"/>
      <c r="C6285" s="100" t="s">
        <v>5</v>
      </c>
      <c r="D6285" s="97"/>
    </row>
    <row r="6286" spans="1:4" ht="42.75" customHeight="1" thickBot="1">
      <c r="A6286" s="101">
        <v>62</v>
      </c>
      <c r="B6286" s="102"/>
      <c r="C6286" s="96" t="s">
        <v>6</v>
      </c>
      <c r="D6286" s="97"/>
    </row>
    <row r="6287" spans="1:4" ht="42.75" customHeight="1" thickBot="1">
      <c r="A6287" s="103"/>
      <c r="B6287" s="104"/>
      <c r="C6287" s="96" t="s">
        <v>21</v>
      </c>
      <c r="D6287" s="97"/>
    </row>
    <row r="6288" spans="1:4" ht="42.75" customHeight="1" thickBot="1">
      <c r="A6288" s="105">
        <v>1750</v>
      </c>
      <c r="B6288" s="106"/>
      <c r="C6288" s="96" t="s">
        <v>7</v>
      </c>
      <c r="D6288" s="97"/>
    </row>
    <row r="6289" spans="1:4" ht="42.75" customHeight="1" thickBot="1">
      <c r="A6289" s="107" t="s">
        <v>17</v>
      </c>
      <c r="B6289" s="108"/>
      <c r="C6289" s="108"/>
      <c r="D6289" s="109"/>
    </row>
    <row r="6290" spans="1:4" ht="42.75" customHeight="1" thickBot="1">
      <c r="A6290" s="110" t="s">
        <v>20</v>
      </c>
      <c r="B6290" s="111"/>
      <c r="C6290" s="111"/>
      <c r="D6290" s="112"/>
    </row>
    <row r="6291" spans="1:4" ht="42.75" customHeight="1" thickBot="1">
      <c r="A6291" s="113" t="s">
        <v>18</v>
      </c>
      <c r="B6291" s="114"/>
      <c r="C6291" s="114"/>
      <c r="D6291" s="115"/>
    </row>
    <row r="6292" spans="1:4" ht="42.75" customHeight="1" thickBot="1">
      <c r="A6292" s="120" t="s">
        <v>19</v>
      </c>
      <c r="B6292" s="121"/>
      <c r="C6292" s="121"/>
      <c r="D6292" s="122"/>
    </row>
    <row r="6293" spans="1:4" ht="42.75" customHeight="1" thickBot="1">
      <c r="A6293" s="123" t="s">
        <v>11</v>
      </c>
      <c r="B6293" s="124"/>
      <c r="C6293" s="125" t="s">
        <v>603</v>
      </c>
      <c r="D6293" s="124"/>
    </row>
    <row r="6294" spans="1:4" ht="42.75" customHeight="1" thickBot="1">
      <c r="A6294" s="1" t="s">
        <v>686</v>
      </c>
      <c r="B6294" s="26" t="s">
        <v>1</v>
      </c>
      <c r="C6294" s="90" t="s">
        <v>212</v>
      </c>
      <c r="D6294" s="91"/>
    </row>
    <row r="6295" spans="1:4" ht="42.75" customHeight="1" thickBot="1">
      <c r="A6295" s="26"/>
      <c r="B6295" s="26" t="s">
        <v>0</v>
      </c>
      <c r="C6295" s="5" t="s">
        <v>687</v>
      </c>
      <c r="D6295" s="4" t="s">
        <v>2</v>
      </c>
    </row>
    <row r="6296" spans="1:4" ht="42.75" customHeight="1" thickBot="1">
      <c r="A6296" s="92">
        <v>2982</v>
      </c>
      <c r="B6296" s="93"/>
      <c r="C6296" s="94" t="s">
        <v>3</v>
      </c>
      <c r="D6296" s="95"/>
    </row>
    <row r="6297" spans="1:4" ht="42.75" customHeight="1" thickBot="1">
      <c r="A6297" s="92">
        <v>2982</v>
      </c>
      <c r="B6297" s="93"/>
      <c r="C6297" s="96" t="s">
        <v>4</v>
      </c>
      <c r="D6297" s="97"/>
    </row>
    <row r="6298" spans="1:4" ht="42.75" customHeight="1" thickBot="1">
      <c r="A6298" s="98">
        <f>A6297-A6296</f>
        <v>0</v>
      </c>
      <c r="B6298" s="99"/>
      <c r="C6298" s="100" t="s">
        <v>5</v>
      </c>
      <c r="D6298" s="97"/>
    </row>
    <row r="6299" spans="1:4" ht="42.75" customHeight="1" thickBot="1">
      <c r="A6299" s="101">
        <v>62</v>
      </c>
      <c r="B6299" s="102"/>
      <c r="C6299" s="96" t="s">
        <v>6</v>
      </c>
      <c r="D6299" s="97"/>
    </row>
    <row r="6300" spans="1:4" ht="42.75" customHeight="1" thickBot="1">
      <c r="A6300" s="103"/>
      <c r="B6300" s="104"/>
      <c r="C6300" s="96" t="s">
        <v>21</v>
      </c>
      <c r="D6300" s="97"/>
    </row>
    <row r="6301" spans="1:4" ht="42.75" customHeight="1" thickBot="1">
      <c r="A6301" s="105">
        <f>A6299*A6298</f>
        <v>0</v>
      </c>
      <c r="B6301" s="106"/>
      <c r="C6301" s="96" t="s">
        <v>7</v>
      </c>
      <c r="D6301" s="97"/>
    </row>
    <row r="6302" spans="1:4" ht="42.75" customHeight="1" thickBot="1">
      <c r="A6302" s="107" t="s">
        <v>17</v>
      </c>
      <c r="B6302" s="108"/>
      <c r="C6302" s="108"/>
      <c r="D6302" s="109"/>
    </row>
    <row r="6303" spans="1:4" ht="42.75" customHeight="1" thickBot="1">
      <c r="A6303" s="116" t="s">
        <v>20</v>
      </c>
      <c r="B6303" s="117"/>
      <c r="C6303" s="117"/>
      <c r="D6303" s="118"/>
    </row>
    <row r="6304" spans="1:4" ht="42.75" customHeight="1" thickBot="1">
      <c r="A6304" s="113" t="s">
        <v>18</v>
      </c>
      <c r="B6304" s="114"/>
      <c r="C6304" s="114"/>
      <c r="D6304" s="115"/>
    </row>
    <row r="6305" spans="1:4" ht="42.75" customHeight="1" thickBot="1">
      <c r="A6305" s="119"/>
      <c r="B6305" s="119"/>
      <c r="C6305" s="119"/>
      <c r="D6305" s="119"/>
    </row>
    <row r="6306" spans="1:4" ht="42.75" customHeight="1" thickBot="1">
      <c r="A6306" s="120" t="s">
        <v>19</v>
      </c>
      <c r="B6306" s="121"/>
      <c r="C6306" s="121"/>
      <c r="D6306" s="122"/>
    </row>
    <row r="6307" spans="1:4" ht="42.75" customHeight="1" thickBot="1">
      <c r="A6307" s="123" t="s">
        <v>11</v>
      </c>
      <c r="B6307" s="124"/>
      <c r="C6307" s="125" t="s">
        <v>603</v>
      </c>
      <c r="D6307" s="124"/>
    </row>
    <row r="6308" spans="1:4" ht="42.75" customHeight="1" thickBot="1">
      <c r="A6308" s="1" t="s">
        <v>686</v>
      </c>
      <c r="B6308" s="26" t="s">
        <v>1</v>
      </c>
      <c r="C6308" s="90" t="s">
        <v>212</v>
      </c>
      <c r="D6308" s="91"/>
    </row>
    <row r="6309" spans="1:4" ht="42.75" customHeight="1" thickBot="1">
      <c r="A6309" s="26"/>
      <c r="B6309" s="26" t="s">
        <v>0</v>
      </c>
      <c r="C6309" s="5" t="s">
        <v>687</v>
      </c>
      <c r="D6309" s="4" t="s">
        <v>2</v>
      </c>
    </row>
    <row r="6310" spans="1:4" ht="42.75" customHeight="1" thickBot="1">
      <c r="A6310" s="92">
        <v>2971</v>
      </c>
      <c r="B6310" s="93"/>
      <c r="C6310" s="94" t="s">
        <v>3</v>
      </c>
      <c r="D6310" s="95"/>
    </row>
    <row r="6311" spans="1:4" ht="42.75" customHeight="1" thickBot="1">
      <c r="A6311" s="92">
        <v>2982</v>
      </c>
      <c r="B6311" s="93"/>
      <c r="C6311" s="96" t="s">
        <v>4</v>
      </c>
      <c r="D6311" s="97"/>
    </row>
    <row r="6312" spans="1:4" ht="42.75" customHeight="1" thickBot="1">
      <c r="A6312" s="98">
        <f>A6311-A6310</f>
        <v>11</v>
      </c>
      <c r="B6312" s="99"/>
      <c r="C6312" s="100" t="s">
        <v>5</v>
      </c>
      <c r="D6312" s="97"/>
    </row>
    <row r="6313" spans="1:4" ht="42.75" customHeight="1" thickBot="1">
      <c r="A6313" s="101">
        <v>62</v>
      </c>
      <c r="B6313" s="102"/>
      <c r="C6313" s="96" t="s">
        <v>6</v>
      </c>
      <c r="D6313" s="97"/>
    </row>
    <row r="6314" spans="1:4" ht="42.75" customHeight="1" thickBot="1">
      <c r="A6314" s="103"/>
      <c r="B6314" s="104"/>
      <c r="C6314" s="96" t="s">
        <v>21</v>
      </c>
      <c r="D6314" s="97"/>
    </row>
    <row r="6315" spans="1:4" ht="42.75" customHeight="1" thickBot="1">
      <c r="A6315" s="105">
        <v>700</v>
      </c>
      <c r="B6315" s="106"/>
      <c r="C6315" s="96" t="s">
        <v>7</v>
      </c>
      <c r="D6315" s="97"/>
    </row>
    <row r="6316" spans="1:4" ht="42.75" customHeight="1" thickBot="1">
      <c r="A6316" s="107" t="s">
        <v>17</v>
      </c>
      <c r="B6316" s="108"/>
      <c r="C6316" s="108"/>
      <c r="D6316" s="109"/>
    </row>
    <row r="6317" spans="1:4" ht="42.75" customHeight="1" thickBot="1">
      <c r="A6317" s="110" t="s">
        <v>20</v>
      </c>
      <c r="B6317" s="111"/>
      <c r="C6317" s="111"/>
      <c r="D6317" s="112"/>
    </row>
    <row r="6318" spans="1:4" ht="42.75" customHeight="1" thickBot="1">
      <c r="A6318" s="113" t="s">
        <v>18</v>
      </c>
      <c r="B6318" s="114"/>
      <c r="C6318" s="114"/>
      <c r="D6318" s="115"/>
    </row>
    <row r="6319" spans="1:4" ht="42.75" customHeight="1" thickBot="1">
      <c r="A6319" s="120" t="s">
        <v>19</v>
      </c>
      <c r="B6319" s="121"/>
      <c r="C6319" s="121"/>
      <c r="D6319" s="122"/>
    </row>
    <row r="6320" spans="1:4" ht="42.75" customHeight="1" thickBot="1">
      <c r="A6320" s="123" t="s">
        <v>11</v>
      </c>
      <c r="B6320" s="124"/>
      <c r="C6320" s="125" t="s">
        <v>603</v>
      </c>
      <c r="D6320" s="124"/>
    </row>
    <row r="6321" spans="1:4" ht="42.75" customHeight="1" thickBot="1">
      <c r="A6321" s="1" t="s">
        <v>686</v>
      </c>
      <c r="B6321" s="26" t="s">
        <v>1</v>
      </c>
      <c r="C6321" s="90" t="s">
        <v>213</v>
      </c>
      <c r="D6321" s="91"/>
    </row>
    <row r="6322" spans="1:4" ht="42.75" customHeight="1" thickBot="1">
      <c r="A6322" s="26"/>
      <c r="B6322" s="26" t="s">
        <v>0</v>
      </c>
      <c r="C6322" s="5" t="s">
        <v>687</v>
      </c>
      <c r="D6322" s="4" t="s">
        <v>2</v>
      </c>
    </row>
    <row r="6323" spans="1:4" ht="42.75" customHeight="1" thickBot="1">
      <c r="A6323" s="92">
        <v>6622</v>
      </c>
      <c r="B6323" s="93"/>
      <c r="C6323" s="94" t="s">
        <v>3</v>
      </c>
      <c r="D6323" s="95"/>
    </row>
    <row r="6324" spans="1:4" ht="42.75" customHeight="1" thickBot="1">
      <c r="A6324" s="92">
        <v>6622</v>
      </c>
      <c r="B6324" s="93"/>
      <c r="C6324" s="96" t="s">
        <v>4</v>
      </c>
      <c r="D6324" s="97"/>
    </row>
    <row r="6325" spans="1:4" ht="42.75" customHeight="1" thickBot="1">
      <c r="A6325" s="98">
        <f>A6324-A6323</f>
        <v>0</v>
      </c>
      <c r="B6325" s="99"/>
      <c r="C6325" s="100" t="s">
        <v>5</v>
      </c>
      <c r="D6325" s="97"/>
    </row>
    <row r="6326" spans="1:4" ht="42.75" customHeight="1" thickBot="1">
      <c r="A6326" s="101">
        <v>62</v>
      </c>
      <c r="B6326" s="102"/>
      <c r="C6326" s="96" t="s">
        <v>6</v>
      </c>
      <c r="D6326" s="97"/>
    </row>
    <row r="6327" spans="1:4" ht="42.75" customHeight="1" thickBot="1">
      <c r="A6327" s="103"/>
      <c r="B6327" s="104"/>
      <c r="C6327" s="96" t="s">
        <v>21</v>
      </c>
      <c r="D6327" s="97"/>
    </row>
    <row r="6328" spans="1:4" ht="42.75" customHeight="1" thickBot="1">
      <c r="A6328" s="105">
        <f>A6326*A6325</f>
        <v>0</v>
      </c>
      <c r="B6328" s="106"/>
      <c r="C6328" s="96" t="s">
        <v>7</v>
      </c>
      <c r="D6328" s="97"/>
    </row>
    <row r="6329" spans="1:4" ht="42.75" customHeight="1" thickBot="1">
      <c r="A6329" s="107" t="s">
        <v>17</v>
      </c>
      <c r="B6329" s="108"/>
      <c r="C6329" s="108"/>
      <c r="D6329" s="109"/>
    </row>
    <row r="6330" spans="1:4" ht="42.75" customHeight="1" thickBot="1">
      <c r="A6330" s="116" t="s">
        <v>20</v>
      </c>
      <c r="B6330" s="117"/>
      <c r="C6330" s="117"/>
      <c r="D6330" s="118"/>
    </row>
    <row r="6331" spans="1:4" ht="42.75" customHeight="1" thickBot="1">
      <c r="A6331" s="113" t="s">
        <v>18</v>
      </c>
      <c r="B6331" s="114"/>
      <c r="C6331" s="114"/>
      <c r="D6331" s="115"/>
    </row>
    <row r="6332" spans="1:4" ht="42.75" customHeight="1" thickBot="1">
      <c r="A6332" s="119"/>
      <c r="B6332" s="119"/>
      <c r="C6332" s="119"/>
      <c r="D6332" s="119"/>
    </row>
    <row r="6333" spans="1:4" ht="42.75" customHeight="1" thickBot="1">
      <c r="A6333" s="120" t="s">
        <v>19</v>
      </c>
      <c r="B6333" s="121"/>
      <c r="C6333" s="121"/>
      <c r="D6333" s="122"/>
    </row>
    <row r="6334" spans="1:4" ht="42.75" customHeight="1" thickBot="1">
      <c r="A6334" s="123" t="s">
        <v>11</v>
      </c>
      <c r="B6334" s="124"/>
      <c r="C6334" s="125" t="s">
        <v>603</v>
      </c>
      <c r="D6334" s="124"/>
    </row>
    <row r="6335" spans="1:4" ht="42.75" customHeight="1" thickBot="1">
      <c r="A6335" s="1" t="s">
        <v>686</v>
      </c>
      <c r="B6335" s="26" t="s">
        <v>1</v>
      </c>
      <c r="C6335" s="90" t="s">
        <v>213</v>
      </c>
      <c r="D6335" s="91"/>
    </row>
    <row r="6336" spans="1:4" ht="42.75" customHeight="1" thickBot="1">
      <c r="A6336" s="26"/>
      <c r="B6336" s="26" t="s">
        <v>0</v>
      </c>
      <c r="C6336" s="5" t="s">
        <v>687</v>
      </c>
      <c r="D6336" s="4" t="s">
        <v>2</v>
      </c>
    </row>
    <row r="6337" spans="1:4" ht="42.75" customHeight="1" thickBot="1">
      <c r="A6337" s="92">
        <v>6605</v>
      </c>
      <c r="B6337" s="93"/>
      <c r="C6337" s="94" t="s">
        <v>3</v>
      </c>
      <c r="D6337" s="95"/>
    </row>
    <row r="6338" spans="1:4" ht="42.75" customHeight="1" thickBot="1">
      <c r="A6338" s="92">
        <v>6622</v>
      </c>
      <c r="B6338" s="93"/>
      <c r="C6338" s="96" t="s">
        <v>4</v>
      </c>
      <c r="D6338" s="97"/>
    </row>
    <row r="6339" spans="1:4" ht="42.75" customHeight="1" thickBot="1">
      <c r="A6339" s="98">
        <f>A6338-A6337</f>
        <v>17</v>
      </c>
      <c r="B6339" s="99"/>
      <c r="C6339" s="100" t="s">
        <v>5</v>
      </c>
      <c r="D6339" s="97"/>
    </row>
    <row r="6340" spans="1:4" ht="42.75" customHeight="1" thickBot="1">
      <c r="A6340" s="101">
        <v>62</v>
      </c>
      <c r="B6340" s="102"/>
      <c r="C6340" s="96" t="s">
        <v>6</v>
      </c>
      <c r="D6340" s="97"/>
    </row>
    <row r="6341" spans="1:4" ht="42.75" customHeight="1" thickBot="1">
      <c r="A6341" s="103"/>
      <c r="B6341" s="104"/>
      <c r="C6341" s="96" t="s">
        <v>21</v>
      </c>
      <c r="D6341" s="97"/>
    </row>
    <row r="6342" spans="1:4" ht="42.75" customHeight="1" thickBot="1">
      <c r="A6342" s="105">
        <f>A6340*A6339</f>
        <v>1054</v>
      </c>
      <c r="B6342" s="106"/>
      <c r="C6342" s="96" t="s">
        <v>7</v>
      </c>
      <c r="D6342" s="97"/>
    </row>
    <row r="6343" spans="1:4" ht="42.75" customHeight="1" thickBot="1">
      <c r="A6343" s="107" t="s">
        <v>17</v>
      </c>
      <c r="B6343" s="108"/>
      <c r="C6343" s="108"/>
      <c r="D6343" s="109"/>
    </row>
    <row r="6344" spans="1:4" ht="42.75" customHeight="1" thickBot="1">
      <c r="A6344" s="110" t="s">
        <v>20</v>
      </c>
      <c r="B6344" s="111"/>
      <c r="C6344" s="111"/>
      <c r="D6344" s="112"/>
    </row>
    <row r="6345" spans="1:4" ht="42.75" customHeight="1" thickBot="1">
      <c r="A6345" s="113" t="s">
        <v>18</v>
      </c>
      <c r="B6345" s="114"/>
      <c r="C6345" s="114"/>
      <c r="D6345" s="115"/>
    </row>
    <row r="6346" spans="1:4" ht="42.75" customHeight="1" thickBot="1">
      <c r="A6346" s="120" t="s">
        <v>19</v>
      </c>
      <c r="B6346" s="121"/>
      <c r="C6346" s="121"/>
      <c r="D6346" s="122"/>
    </row>
    <row r="6347" spans="1:4" ht="42.75" customHeight="1" thickBot="1">
      <c r="A6347" s="123" t="s">
        <v>11</v>
      </c>
      <c r="B6347" s="124"/>
      <c r="C6347" s="125" t="s">
        <v>603</v>
      </c>
      <c r="D6347" s="124"/>
    </row>
    <row r="6348" spans="1:4" ht="42.75" customHeight="1" thickBot="1">
      <c r="A6348" s="1" t="s">
        <v>686</v>
      </c>
      <c r="B6348" s="26" t="s">
        <v>1</v>
      </c>
      <c r="C6348" s="90" t="s">
        <v>186</v>
      </c>
      <c r="D6348" s="91"/>
    </row>
    <row r="6349" spans="1:4" ht="42.75" customHeight="1" thickBot="1">
      <c r="A6349" s="26"/>
      <c r="B6349" s="26" t="s">
        <v>0</v>
      </c>
      <c r="C6349" s="5" t="s">
        <v>687</v>
      </c>
      <c r="D6349" s="4" t="s">
        <v>2</v>
      </c>
    </row>
    <row r="6350" spans="1:4" ht="42.75" customHeight="1" thickBot="1">
      <c r="A6350" s="92">
        <v>5835</v>
      </c>
      <c r="B6350" s="93"/>
      <c r="C6350" s="94" t="s">
        <v>3</v>
      </c>
      <c r="D6350" s="95"/>
    </row>
    <row r="6351" spans="1:4" ht="42.75" customHeight="1" thickBot="1">
      <c r="A6351" s="92">
        <v>5835</v>
      </c>
      <c r="B6351" s="93"/>
      <c r="C6351" s="96" t="s">
        <v>4</v>
      </c>
      <c r="D6351" s="97"/>
    </row>
    <row r="6352" spans="1:4" ht="42.75" customHeight="1" thickBot="1">
      <c r="A6352" s="98">
        <f>A6351-A6350</f>
        <v>0</v>
      </c>
      <c r="B6352" s="99"/>
      <c r="C6352" s="100" t="s">
        <v>5</v>
      </c>
      <c r="D6352" s="97"/>
    </row>
    <row r="6353" spans="1:4" ht="42.75" customHeight="1" thickBot="1">
      <c r="A6353" s="101">
        <v>62</v>
      </c>
      <c r="B6353" s="102"/>
      <c r="C6353" s="96" t="s">
        <v>6</v>
      </c>
      <c r="D6353" s="97"/>
    </row>
    <row r="6354" spans="1:4" ht="42.75" customHeight="1" thickBot="1">
      <c r="A6354" s="103"/>
      <c r="B6354" s="104"/>
      <c r="C6354" s="96" t="s">
        <v>21</v>
      </c>
      <c r="D6354" s="97"/>
    </row>
    <row r="6355" spans="1:4" ht="42.75" customHeight="1" thickBot="1">
      <c r="A6355" s="105">
        <f>A6353*A6352</f>
        <v>0</v>
      </c>
      <c r="B6355" s="106"/>
      <c r="C6355" s="96" t="s">
        <v>7</v>
      </c>
      <c r="D6355" s="97"/>
    </row>
    <row r="6356" spans="1:4" ht="42.75" customHeight="1" thickBot="1">
      <c r="A6356" s="107" t="s">
        <v>17</v>
      </c>
      <c r="B6356" s="108"/>
      <c r="C6356" s="108"/>
      <c r="D6356" s="109"/>
    </row>
    <row r="6357" spans="1:4" ht="42.75" customHeight="1" thickBot="1">
      <c r="A6357" s="116" t="s">
        <v>20</v>
      </c>
      <c r="B6357" s="117"/>
      <c r="C6357" s="117"/>
      <c r="D6357" s="118"/>
    </row>
    <row r="6358" spans="1:4" ht="42.75" customHeight="1" thickBot="1">
      <c r="A6358" s="113" t="s">
        <v>18</v>
      </c>
      <c r="B6358" s="114"/>
      <c r="C6358" s="114"/>
      <c r="D6358" s="115"/>
    </row>
    <row r="6359" spans="1:4" ht="42.75" customHeight="1" thickBot="1">
      <c r="A6359" s="119"/>
      <c r="B6359" s="119"/>
      <c r="C6359" s="119"/>
      <c r="D6359" s="119"/>
    </row>
    <row r="6360" spans="1:4" ht="42.75" customHeight="1" thickBot="1">
      <c r="A6360" s="120" t="s">
        <v>19</v>
      </c>
      <c r="B6360" s="121"/>
      <c r="C6360" s="121"/>
      <c r="D6360" s="122"/>
    </row>
    <row r="6361" spans="1:4" ht="42.75" customHeight="1" thickBot="1">
      <c r="A6361" s="123" t="s">
        <v>11</v>
      </c>
      <c r="B6361" s="124"/>
      <c r="C6361" s="125" t="s">
        <v>603</v>
      </c>
      <c r="D6361" s="124"/>
    </row>
    <row r="6362" spans="1:4" ht="42.75" customHeight="1" thickBot="1">
      <c r="A6362" s="1" t="s">
        <v>686</v>
      </c>
      <c r="B6362" s="26" t="s">
        <v>1</v>
      </c>
      <c r="C6362" s="90" t="s">
        <v>186</v>
      </c>
      <c r="D6362" s="91"/>
    </row>
    <row r="6363" spans="1:4" ht="42.75" customHeight="1" thickBot="1">
      <c r="A6363" s="26"/>
      <c r="B6363" s="26" t="s">
        <v>0</v>
      </c>
      <c r="C6363" s="5" t="s">
        <v>687</v>
      </c>
      <c r="D6363" s="4" t="s">
        <v>2</v>
      </c>
    </row>
    <row r="6364" spans="1:4" ht="42.75" customHeight="1" thickBot="1">
      <c r="A6364" s="92">
        <v>5806</v>
      </c>
      <c r="B6364" s="93"/>
      <c r="C6364" s="94" t="s">
        <v>3</v>
      </c>
      <c r="D6364" s="95"/>
    </row>
    <row r="6365" spans="1:4" ht="42.75" customHeight="1" thickBot="1">
      <c r="A6365" s="92">
        <v>5835</v>
      </c>
      <c r="B6365" s="93"/>
      <c r="C6365" s="96" t="s">
        <v>4</v>
      </c>
      <c r="D6365" s="97"/>
    </row>
    <row r="6366" spans="1:4" ht="42.75" customHeight="1" thickBot="1">
      <c r="A6366" s="98">
        <f>A6365-A6364</f>
        <v>29</v>
      </c>
      <c r="B6366" s="99"/>
      <c r="C6366" s="100" t="s">
        <v>5</v>
      </c>
      <c r="D6366" s="97"/>
    </row>
    <row r="6367" spans="1:4" ht="42.75" customHeight="1" thickBot="1">
      <c r="A6367" s="101">
        <v>62</v>
      </c>
      <c r="B6367" s="102"/>
      <c r="C6367" s="96" t="s">
        <v>6</v>
      </c>
      <c r="D6367" s="97"/>
    </row>
    <row r="6368" spans="1:4" ht="42.75" customHeight="1" thickBot="1">
      <c r="A6368" s="103"/>
      <c r="B6368" s="104"/>
      <c r="C6368" s="96" t="s">
        <v>21</v>
      </c>
      <c r="D6368" s="97"/>
    </row>
    <row r="6369" spans="1:4" ht="42.75" customHeight="1" thickBot="1">
      <c r="A6369" s="105">
        <v>1800</v>
      </c>
      <c r="B6369" s="106"/>
      <c r="C6369" s="96" t="s">
        <v>7</v>
      </c>
      <c r="D6369" s="97"/>
    </row>
    <row r="6370" spans="1:4" ht="42.75" customHeight="1" thickBot="1">
      <c r="A6370" s="107" t="s">
        <v>17</v>
      </c>
      <c r="B6370" s="108"/>
      <c r="C6370" s="108"/>
      <c r="D6370" s="109"/>
    </row>
    <row r="6371" spans="1:4" ht="42.75" customHeight="1" thickBot="1">
      <c r="A6371" s="110" t="s">
        <v>20</v>
      </c>
      <c r="B6371" s="111"/>
      <c r="C6371" s="111"/>
      <c r="D6371" s="112"/>
    </row>
    <row r="6372" spans="1:4" ht="42.75" customHeight="1" thickBot="1">
      <c r="A6372" s="113" t="s">
        <v>18</v>
      </c>
      <c r="B6372" s="114"/>
      <c r="C6372" s="114"/>
      <c r="D6372" s="115"/>
    </row>
    <row r="6373" spans="1:4" ht="42.75" customHeight="1" thickBot="1">
      <c r="A6373" s="120" t="s">
        <v>19</v>
      </c>
      <c r="B6373" s="121"/>
      <c r="C6373" s="121"/>
      <c r="D6373" s="122"/>
    </row>
    <row r="6374" spans="1:4" ht="42.75" customHeight="1" thickBot="1">
      <c r="A6374" s="123" t="s">
        <v>11</v>
      </c>
      <c r="B6374" s="124"/>
      <c r="C6374" s="125" t="s">
        <v>603</v>
      </c>
      <c r="D6374" s="124"/>
    </row>
    <row r="6375" spans="1:4" ht="42.75" customHeight="1" thickBot="1">
      <c r="A6375" s="1" t="s">
        <v>686</v>
      </c>
      <c r="B6375" s="26" t="s">
        <v>1</v>
      </c>
      <c r="C6375" s="90" t="s">
        <v>214</v>
      </c>
      <c r="D6375" s="91"/>
    </row>
    <row r="6376" spans="1:4" ht="42.75" customHeight="1" thickBot="1">
      <c r="A6376" s="26"/>
      <c r="B6376" s="26" t="s">
        <v>0</v>
      </c>
      <c r="C6376" s="5" t="s">
        <v>687</v>
      </c>
      <c r="D6376" s="4" t="s">
        <v>2</v>
      </c>
    </row>
    <row r="6377" spans="1:4" ht="42.75" customHeight="1" thickBot="1">
      <c r="A6377" s="92">
        <v>5453</v>
      </c>
      <c r="B6377" s="93"/>
      <c r="C6377" s="94" t="s">
        <v>3</v>
      </c>
      <c r="D6377" s="95"/>
    </row>
    <row r="6378" spans="1:4" ht="42.75" customHeight="1" thickBot="1">
      <c r="A6378" s="92">
        <v>5453</v>
      </c>
      <c r="B6378" s="93"/>
      <c r="C6378" s="96" t="s">
        <v>4</v>
      </c>
      <c r="D6378" s="97"/>
    </row>
    <row r="6379" spans="1:4" ht="42.75" customHeight="1" thickBot="1">
      <c r="A6379" s="98">
        <f>A6378-A6377</f>
        <v>0</v>
      </c>
      <c r="B6379" s="99"/>
      <c r="C6379" s="100" t="s">
        <v>5</v>
      </c>
      <c r="D6379" s="97"/>
    </row>
    <row r="6380" spans="1:4" ht="42.75" customHeight="1" thickBot="1">
      <c r="A6380" s="101">
        <v>62</v>
      </c>
      <c r="B6380" s="102"/>
      <c r="C6380" s="96" t="s">
        <v>6</v>
      </c>
      <c r="D6380" s="97"/>
    </row>
    <row r="6381" spans="1:4" ht="42.75" customHeight="1" thickBot="1">
      <c r="A6381" s="103"/>
      <c r="B6381" s="104"/>
      <c r="C6381" s="96" t="s">
        <v>21</v>
      </c>
      <c r="D6381" s="97"/>
    </row>
    <row r="6382" spans="1:4" ht="42.75" customHeight="1" thickBot="1">
      <c r="A6382" s="105">
        <f>A6380*A6379</f>
        <v>0</v>
      </c>
      <c r="B6382" s="106"/>
      <c r="C6382" s="96" t="s">
        <v>7</v>
      </c>
      <c r="D6382" s="97"/>
    </row>
    <row r="6383" spans="1:4" ht="42.75" customHeight="1" thickBot="1">
      <c r="A6383" s="107" t="s">
        <v>17</v>
      </c>
      <c r="B6383" s="108"/>
      <c r="C6383" s="108"/>
      <c r="D6383" s="109"/>
    </row>
    <row r="6384" spans="1:4" ht="42.75" customHeight="1" thickBot="1">
      <c r="A6384" s="116" t="s">
        <v>20</v>
      </c>
      <c r="B6384" s="117"/>
      <c r="C6384" s="117"/>
      <c r="D6384" s="118"/>
    </row>
    <row r="6385" spans="1:4" ht="42.75" customHeight="1" thickBot="1">
      <c r="A6385" s="113" t="s">
        <v>18</v>
      </c>
      <c r="B6385" s="114"/>
      <c r="C6385" s="114"/>
      <c r="D6385" s="115"/>
    </row>
    <row r="6386" spans="1:4" ht="42.75" customHeight="1" thickBot="1">
      <c r="A6386" s="119"/>
      <c r="B6386" s="119"/>
      <c r="C6386" s="119"/>
      <c r="D6386" s="119"/>
    </row>
    <row r="6387" spans="1:4" ht="42.75" customHeight="1" thickBot="1">
      <c r="A6387" s="120" t="s">
        <v>19</v>
      </c>
      <c r="B6387" s="121"/>
      <c r="C6387" s="121"/>
      <c r="D6387" s="122"/>
    </row>
    <row r="6388" spans="1:4" ht="42.75" customHeight="1" thickBot="1">
      <c r="A6388" s="123" t="s">
        <v>11</v>
      </c>
      <c r="B6388" s="124"/>
      <c r="C6388" s="125" t="s">
        <v>603</v>
      </c>
      <c r="D6388" s="124"/>
    </row>
    <row r="6389" spans="1:4" ht="42.75" customHeight="1" thickBot="1">
      <c r="A6389" s="1" t="s">
        <v>686</v>
      </c>
      <c r="B6389" s="26" t="s">
        <v>1</v>
      </c>
      <c r="C6389" s="90" t="s">
        <v>214</v>
      </c>
      <c r="D6389" s="91"/>
    </row>
    <row r="6390" spans="1:4" ht="42.75" customHeight="1" thickBot="1">
      <c r="A6390" s="26"/>
      <c r="B6390" s="26" t="s">
        <v>0</v>
      </c>
      <c r="C6390" s="5" t="s">
        <v>687</v>
      </c>
      <c r="D6390" s="4" t="s">
        <v>2</v>
      </c>
    </row>
    <row r="6391" spans="1:4" ht="42.75" customHeight="1" thickBot="1">
      <c r="A6391" s="92">
        <v>5434</v>
      </c>
      <c r="B6391" s="93"/>
      <c r="C6391" s="94" t="s">
        <v>3</v>
      </c>
      <c r="D6391" s="95"/>
    </row>
    <row r="6392" spans="1:4" ht="42.75" customHeight="1" thickBot="1">
      <c r="A6392" s="92">
        <v>5453</v>
      </c>
      <c r="B6392" s="93"/>
      <c r="C6392" s="96" t="s">
        <v>4</v>
      </c>
      <c r="D6392" s="97"/>
    </row>
    <row r="6393" spans="1:4" ht="42.75" customHeight="1" thickBot="1">
      <c r="A6393" s="98">
        <f>A6392-A6391</f>
        <v>19</v>
      </c>
      <c r="B6393" s="99"/>
      <c r="C6393" s="100" t="s">
        <v>5</v>
      </c>
      <c r="D6393" s="97"/>
    </row>
    <row r="6394" spans="1:4" ht="42.75" customHeight="1" thickBot="1">
      <c r="A6394" s="101">
        <v>62</v>
      </c>
      <c r="B6394" s="102"/>
      <c r="C6394" s="96" t="s">
        <v>6</v>
      </c>
      <c r="D6394" s="97"/>
    </row>
    <row r="6395" spans="1:4" ht="42.75" customHeight="1" thickBot="1">
      <c r="A6395" s="103"/>
      <c r="B6395" s="104"/>
      <c r="C6395" s="96" t="s">
        <v>21</v>
      </c>
      <c r="D6395" s="97"/>
    </row>
    <row r="6396" spans="1:4" ht="42.75" customHeight="1" thickBot="1">
      <c r="A6396" s="105">
        <v>1200</v>
      </c>
      <c r="B6396" s="106"/>
      <c r="C6396" s="96" t="s">
        <v>7</v>
      </c>
      <c r="D6396" s="97"/>
    </row>
    <row r="6397" spans="1:4" ht="42.75" customHeight="1" thickBot="1">
      <c r="A6397" s="107" t="s">
        <v>17</v>
      </c>
      <c r="B6397" s="108"/>
      <c r="C6397" s="108"/>
      <c r="D6397" s="109"/>
    </row>
    <row r="6398" spans="1:4" ht="42.75" customHeight="1" thickBot="1">
      <c r="A6398" s="110" t="s">
        <v>20</v>
      </c>
      <c r="B6398" s="111"/>
      <c r="C6398" s="111"/>
      <c r="D6398" s="112"/>
    </row>
    <row r="6399" spans="1:4" ht="42.75" customHeight="1" thickBot="1">
      <c r="A6399" s="113" t="s">
        <v>18</v>
      </c>
      <c r="B6399" s="114"/>
      <c r="C6399" s="114"/>
      <c r="D6399" s="115"/>
    </row>
    <row r="6400" spans="1:4" ht="42.75" customHeight="1" thickBot="1">
      <c r="A6400" s="120" t="s">
        <v>19</v>
      </c>
      <c r="B6400" s="121"/>
      <c r="C6400" s="121"/>
      <c r="D6400" s="122"/>
    </row>
    <row r="6401" spans="1:4" ht="42.75" customHeight="1" thickBot="1">
      <c r="A6401" s="123" t="s">
        <v>11</v>
      </c>
      <c r="B6401" s="124"/>
      <c r="C6401" s="125" t="s">
        <v>603</v>
      </c>
      <c r="D6401" s="124"/>
    </row>
    <row r="6402" spans="1:4" ht="42.75" customHeight="1" thickBot="1">
      <c r="A6402" s="1" t="s">
        <v>686</v>
      </c>
      <c r="B6402" s="26" t="s">
        <v>1</v>
      </c>
      <c r="C6402" s="90" t="s">
        <v>215</v>
      </c>
      <c r="D6402" s="91"/>
    </row>
    <row r="6403" spans="1:4" ht="42.75" customHeight="1" thickBot="1">
      <c r="A6403" s="26"/>
      <c r="B6403" s="26" t="s">
        <v>0</v>
      </c>
      <c r="C6403" s="5" t="s">
        <v>687</v>
      </c>
      <c r="D6403" s="4" t="s">
        <v>2</v>
      </c>
    </row>
    <row r="6404" spans="1:4" ht="42.75" customHeight="1" thickBot="1">
      <c r="A6404" s="92">
        <v>5345</v>
      </c>
      <c r="B6404" s="93"/>
      <c r="C6404" s="94" t="s">
        <v>3</v>
      </c>
      <c r="D6404" s="95"/>
    </row>
    <row r="6405" spans="1:4" ht="42.75" customHeight="1" thickBot="1">
      <c r="A6405" s="92">
        <v>5345</v>
      </c>
      <c r="B6405" s="93"/>
      <c r="C6405" s="96" t="s">
        <v>4</v>
      </c>
      <c r="D6405" s="97"/>
    </row>
    <row r="6406" spans="1:4" ht="42.75" customHeight="1" thickBot="1">
      <c r="A6406" s="98">
        <f>A6405-A6404</f>
        <v>0</v>
      </c>
      <c r="B6406" s="99"/>
      <c r="C6406" s="100" t="s">
        <v>5</v>
      </c>
      <c r="D6406" s="97"/>
    </row>
    <row r="6407" spans="1:4" ht="42.75" customHeight="1" thickBot="1">
      <c r="A6407" s="101">
        <v>62</v>
      </c>
      <c r="B6407" s="102"/>
      <c r="C6407" s="96" t="s">
        <v>6</v>
      </c>
      <c r="D6407" s="97"/>
    </row>
    <row r="6408" spans="1:4" ht="42.75" customHeight="1" thickBot="1">
      <c r="A6408" s="103"/>
      <c r="B6408" s="104"/>
      <c r="C6408" s="96" t="s">
        <v>21</v>
      </c>
      <c r="D6408" s="97"/>
    </row>
    <row r="6409" spans="1:4" ht="42.75" customHeight="1" thickBot="1">
      <c r="A6409" s="105">
        <f>A6407*A6406</f>
        <v>0</v>
      </c>
      <c r="B6409" s="106"/>
      <c r="C6409" s="96" t="s">
        <v>7</v>
      </c>
      <c r="D6409" s="97"/>
    </row>
    <row r="6410" spans="1:4" ht="42.75" customHeight="1" thickBot="1">
      <c r="A6410" s="107" t="s">
        <v>17</v>
      </c>
      <c r="B6410" s="108"/>
      <c r="C6410" s="108"/>
      <c r="D6410" s="109"/>
    </row>
    <row r="6411" spans="1:4" ht="42.75" customHeight="1" thickBot="1">
      <c r="A6411" s="116" t="s">
        <v>20</v>
      </c>
      <c r="B6411" s="117"/>
      <c r="C6411" s="117"/>
      <c r="D6411" s="118"/>
    </row>
    <row r="6412" spans="1:4" ht="42.75" customHeight="1" thickBot="1">
      <c r="A6412" s="113" t="s">
        <v>18</v>
      </c>
      <c r="B6412" s="114"/>
      <c r="C6412" s="114"/>
      <c r="D6412" s="115"/>
    </row>
    <row r="6413" spans="1:4" ht="42.75" customHeight="1" thickBot="1">
      <c r="A6413" s="119"/>
      <c r="B6413" s="119"/>
      <c r="C6413" s="119"/>
      <c r="D6413" s="119"/>
    </row>
    <row r="6414" spans="1:4" ht="42.75" customHeight="1" thickBot="1">
      <c r="A6414" s="120" t="s">
        <v>19</v>
      </c>
      <c r="B6414" s="121"/>
      <c r="C6414" s="121"/>
      <c r="D6414" s="122"/>
    </row>
    <row r="6415" spans="1:4" ht="42.75" customHeight="1" thickBot="1">
      <c r="A6415" s="123" t="s">
        <v>11</v>
      </c>
      <c r="B6415" s="124"/>
      <c r="C6415" s="125" t="s">
        <v>603</v>
      </c>
      <c r="D6415" s="124"/>
    </row>
    <row r="6416" spans="1:4" ht="42.75" customHeight="1" thickBot="1">
      <c r="A6416" s="1" t="s">
        <v>686</v>
      </c>
      <c r="B6416" s="26" t="s">
        <v>1</v>
      </c>
      <c r="C6416" s="90" t="s">
        <v>215</v>
      </c>
      <c r="D6416" s="91"/>
    </row>
    <row r="6417" spans="1:4" ht="42.75" customHeight="1" thickBot="1">
      <c r="A6417" s="26"/>
      <c r="B6417" s="26" t="s">
        <v>0</v>
      </c>
      <c r="C6417" s="5" t="s">
        <v>687</v>
      </c>
      <c r="D6417" s="4" t="s">
        <v>2</v>
      </c>
    </row>
    <row r="6418" spans="1:4" ht="42.75" customHeight="1" thickBot="1">
      <c r="A6418" s="92">
        <v>5325</v>
      </c>
      <c r="B6418" s="93"/>
      <c r="C6418" s="94" t="s">
        <v>3</v>
      </c>
      <c r="D6418" s="95"/>
    </row>
    <row r="6419" spans="1:4" ht="42.75" customHeight="1" thickBot="1">
      <c r="A6419" s="92">
        <v>5345</v>
      </c>
      <c r="B6419" s="93"/>
      <c r="C6419" s="96" t="s">
        <v>4</v>
      </c>
      <c r="D6419" s="97"/>
    </row>
    <row r="6420" spans="1:4" ht="42.75" customHeight="1" thickBot="1">
      <c r="A6420" s="98">
        <f>A6419-A6418</f>
        <v>20</v>
      </c>
      <c r="B6420" s="99"/>
      <c r="C6420" s="100" t="s">
        <v>5</v>
      </c>
      <c r="D6420" s="97"/>
    </row>
    <row r="6421" spans="1:4" ht="42.75" customHeight="1" thickBot="1">
      <c r="A6421" s="101">
        <v>62</v>
      </c>
      <c r="B6421" s="102"/>
      <c r="C6421" s="96" t="s">
        <v>6</v>
      </c>
      <c r="D6421" s="97"/>
    </row>
    <row r="6422" spans="1:4" ht="42.75" customHeight="1" thickBot="1">
      <c r="A6422" s="103"/>
      <c r="B6422" s="104"/>
      <c r="C6422" s="96" t="s">
        <v>21</v>
      </c>
      <c r="D6422" s="97"/>
    </row>
    <row r="6423" spans="1:4" ht="42.75" customHeight="1" thickBot="1">
      <c r="A6423" s="105">
        <v>1250</v>
      </c>
      <c r="B6423" s="106"/>
      <c r="C6423" s="96" t="s">
        <v>7</v>
      </c>
      <c r="D6423" s="97"/>
    </row>
    <row r="6424" spans="1:4" ht="42.75" customHeight="1" thickBot="1">
      <c r="A6424" s="107" t="s">
        <v>17</v>
      </c>
      <c r="B6424" s="108"/>
      <c r="C6424" s="108"/>
      <c r="D6424" s="109"/>
    </row>
    <row r="6425" spans="1:4" ht="42.75" customHeight="1" thickBot="1">
      <c r="A6425" s="110" t="s">
        <v>20</v>
      </c>
      <c r="B6425" s="111"/>
      <c r="C6425" s="111"/>
      <c r="D6425" s="112"/>
    </row>
    <row r="6426" spans="1:4" ht="42.75" customHeight="1" thickBot="1">
      <c r="A6426" s="113" t="s">
        <v>18</v>
      </c>
      <c r="B6426" s="114"/>
      <c r="C6426" s="114"/>
      <c r="D6426" s="115"/>
    </row>
    <row r="6427" spans="1:4" ht="42.75" customHeight="1" thickBot="1">
      <c r="A6427" s="120" t="s">
        <v>19</v>
      </c>
      <c r="B6427" s="121"/>
      <c r="C6427" s="121"/>
      <c r="D6427" s="122"/>
    </row>
    <row r="6428" spans="1:4" ht="42.75" customHeight="1" thickBot="1">
      <c r="A6428" s="123" t="s">
        <v>11</v>
      </c>
      <c r="B6428" s="124"/>
      <c r="C6428" s="125" t="s">
        <v>603</v>
      </c>
      <c r="D6428" s="124"/>
    </row>
    <row r="6429" spans="1:4" ht="42.75" customHeight="1" thickBot="1">
      <c r="A6429" s="1" t="s">
        <v>686</v>
      </c>
      <c r="B6429" s="26" t="s">
        <v>1</v>
      </c>
      <c r="C6429" s="90" t="s">
        <v>216</v>
      </c>
      <c r="D6429" s="91"/>
    </row>
    <row r="6430" spans="1:4" ht="42.75" customHeight="1" thickBot="1">
      <c r="A6430" s="26"/>
      <c r="B6430" s="26" t="s">
        <v>0</v>
      </c>
      <c r="C6430" s="5" t="s">
        <v>687</v>
      </c>
      <c r="D6430" s="4" t="s">
        <v>2</v>
      </c>
    </row>
    <row r="6431" spans="1:4" ht="42.75" customHeight="1" thickBot="1">
      <c r="A6431" s="92">
        <v>5747</v>
      </c>
      <c r="B6431" s="93"/>
      <c r="C6431" s="94" t="s">
        <v>3</v>
      </c>
      <c r="D6431" s="95"/>
    </row>
    <row r="6432" spans="1:4" ht="42.75" customHeight="1" thickBot="1">
      <c r="A6432" s="92">
        <v>5747</v>
      </c>
      <c r="B6432" s="93"/>
      <c r="C6432" s="96" t="s">
        <v>4</v>
      </c>
      <c r="D6432" s="97"/>
    </row>
    <row r="6433" spans="1:4" ht="42.75" customHeight="1" thickBot="1">
      <c r="A6433" s="98">
        <f>A6432-A6431</f>
        <v>0</v>
      </c>
      <c r="B6433" s="99"/>
      <c r="C6433" s="100" t="s">
        <v>5</v>
      </c>
      <c r="D6433" s="97"/>
    </row>
    <row r="6434" spans="1:4" ht="42.75" customHeight="1" thickBot="1">
      <c r="A6434" s="101">
        <v>62</v>
      </c>
      <c r="B6434" s="102"/>
      <c r="C6434" s="96" t="s">
        <v>6</v>
      </c>
      <c r="D6434" s="97"/>
    </row>
    <row r="6435" spans="1:4" ht="42.75" customHeight="1" thickBot="1">
      <c r="A6435" s="103"/>
      <c r="B6435" s="104"/>
      <c r="C6435" s="96" t="s">
        <v>21</v>
      </c>
      <c r="D6435" s="97"/>
    </row>
    <row r="6436" spans="1:4" ht="42.75" customHeight="1" thickBot="1">
      <c r="A6436" s="105">
        <f>A6434*A6433</f>
        <v>0</v>
      </c>
      <c r="B6436" s="106"/>
      <c r="C6436" s="96" t="s">
        <v>7</v>
      </c>
      <c r="D6436" s="97"/>
    </row>
    <row r="6437" spans="1:4" ht="42.75" customHeight="1" thickBot="1">
      <c r="A6437" s="107" t="s">
        <v>17</v>
      </c>
      <c r="B6437" s="108"/>
      <c r="C6437" s="108"/>
      <c r="D6437" s="109"/>
    </row>
    <row r="6438" spans="1:4" ht="42.75" customHeight="1" thickBot="1">
      <c r="A6438" s="116" t="s">
        <v>20</v>
      </c>
      <c r="B6438" s="117"/>
      <c r="C6438" s="117"/>
      <c r="D6438" s="118"/>
    </row>
    <row r="6439" spans="1:4" ht="42.75" customHeight="1" thickBot="1">
      <c r="A6439" s="113" t="s">
        <v>18</v>
      </c>
      <c r="B6439" s="114"/>
      <c r="C6439" s="114"/>
      <c r="D6439" s="115"/>
    </row>
    <row r="6440" spans="1:4" ht="42.75" customHeight="1" thickBot="1">
      <c r="A6440" s="119"/>
      <c r="B6440" s="119"/>
      <c r="C6440" s="119"/>
      <c r="D6440" s="119"/>
    </row>
    <row r="6441" spans="1:4" ht="42.75" customHeight="1" thickBot="1">
      <c r="A6441" s="120" t="s">
        <v>19</v>
      </c>
      <c r="B6441" s="121"/>
      <c r="C6441" s="121"/>
      <c r="D6441" s="122"/>
    </row>
    <row r="6442" spans="1:4" ht="42.75" customHeight="1" thickBot="1">
      <c r="A6442" s="123" t="s">
        <v>11</v>
      </c>
      <c r="B6442" s="124"/>
      <c r="C6442" s="125" t="s">
        <v>603</v>
      </c>
      <c r="D6442" s="124"/>
    </row>
    <row r="6443" spans="1:4" ht="42.75" customHeight="1" thickBot="1">
      <c r="A6443" s="1" t="s">
        <v>686</v>
      </c>
      <c r="B6443" s="26" t="s">
        <v>1</v>
      </c>
      <c r="C6443" s="90" t="s">
        <v>216</v>
      </c>
      <c r="D6443" s="91"/>
    </row>
    <row r="6444" spans="1:4" ht="42.75" customHeight="1" thickBot="1">
      <c r="A6444" s="26"/>
      <c r="B6444" s="26" t="s">
        <v>0</v>
      </c>
      <c r="C6444" s="5" t="s">
        <v>687</v>
      </c>
      <c r="D6444" s="4" t="s">
        <v>2</v>
      </c>
    </row>
    <row r="6445" spans="1:4" ht="42.75" customHeight="1" thickBot="1">
      <c r="A6445" s="92">
        <v>5725</v>
      </c>
      <c r="B6445" s="93"/>
      <c r="C6445" s="94" t="s">
        <v>3</v>
      </c>
      <c r="D6445" s="95"/>
    </row>
    <row r="6446" spans="1:4" ht="42.75" customHeight="1" thickBot="1">
      <c r="A6446" s="92">
        <v>5747</v>
      </c>
      <c r="B6446" s="93"/>
      <c r="C6446" s="96" t="s">
        <v>4</v>
      </c>
      <c r="D6446" s="97"/>
    </row>
    <row r="6447" spans="1:4" ht="42.75" customHeight="1" thickBot="1">
      <c r="A6447" s="98">
        <f>A6446-A6445</f>
        <v>22</v>
      </c>
      <c r="B6447" s="99"/>
      <c r="C6447" s="100" t="s">
        <v>5</v>
      </c>
      <c r="D6447" s="97"/>
    </row>
    <row r="6448" spans="1:4" ht="42.75" customHeight="1" thickBot="1">
      <c r="A6448" s="101">
        <v>62</v>
      </c>
      <c r="B6448" s="102"/>
      <c r="C6448" s="96" t="s">
        <v>6</v>
      </c>
      <c r="D6448" s="97"/>
    </row>
    <row r="6449" spans="1:4" ht="42.75" customHeight="1" thickBot="1">
      <c r="A6449" s="103"/>
      <c r="B6449" s="104"/>
      <c r="C6449" s="96" t="s">
        <v>21</v>
      </c>
      <c r="D6449" s="97"/>
    </row>
    <row r="6450" spans="1:4" ht="42.75" customHeight="1" thickBot="1">
      <c r="A6450" s="105">
        <v>1350</v>
      </c>
      <c r="B6450" s="106"/>
      <c r="C6450" s="96" t="s">
        <v>7</v>
      </c>
      <c r="D6450" s="97"/>
    </row>
    <row r="6451" spans="1:4" ht="42.75" customHeight="1" thickBot="1">
      <c r="A6451" s="107" t="s">
        <v>17</v>
      </c>
      <c r="B6451" s="108"/>
      <c r="C6451" s="108"/>
      <c r="D6451" s="109"/>
    </row>
    <row r="6452" spans="1:4" ht="42.75" customHeight="1" thickBot="1">
      <c r="A6452" s="110" t="s">
        <v>20</v>
      </c>
      <c r="B6452" s="111"/>
      <c r="C6452" s="111"/>
      <c r="D6452" s="112"/>
    </row>
    <row r="6453" spans="1:4" ht="42.75" customHeight="1" thickBot="1">
      <c r="A6453" s="113" t="s">
        <v>18</v>
      </c>
      <c r="B6453" s="114"/>
      <c r="C6453" s="114"/>
      <c r="D6453" s="115"/>
    </row>
    <row r="6454" spans="1:4" ht="42.75" customHeight="1" thickBot="1">
      <c r="A6454" s="120" t="s">
        <v>19</v>
      </c>
      <c r="B6454" s="121"/>
      <c r="C6454" s="121"/>
      <c r="D6454" s="122"/>
    </row>
    <row r="6455" spans="1:4" ht="42.75" customHeight="1" thickBot="1">
      <c r="A6455" s="123" t="s">
        <v>11</v>
      </c>
      <c r="B6455" s="124"/>
      <c r="C6455" s="125" t="s">
        <v>603</v>
      </c>
      <c r="D6455" s="124"/>
    </row>
    <row r="6456" spans="1:4" ht="42.75" customHeight="1" thickBot="1">
      <c r="A6456" s="1" t="s">
        <v>686</v>
      </c>
      <c r="B6456" s="26" t="s">
        <v>1</v>
      </c>
      <c r="C6456" s="90" t="s">
        <v>217</v>
      </c>
      <c r="D6456" s="91"/>
    </row>
    <row r="6457" spans="1:4" ht="42.75" customHeight="1" thickBot="1">
      <c r="A6457" s="26"/>
      <c r="B6457" s="26" t="s">
        <v>0</v>
      </c>
      <c r="C6457" s="5" t="s">
        <v>687</v>
      </c>
      <c r="D6457" s="4" t="s">
        <v>2</v>
      </c>
    </row>
    <row r="6458" spans="1:4" ht="42.75" customHeight="1" thickBot="1">
      <c r="A6458" s="92">
        <v>3582</v>
      </c>
      <c r="B6458" s="93"/>
      <c r="C6458" s="94" t="s">
        <v>3</v>
      </c>
      <c r="D6458" s="95"/>
    </row>
    <row r="6459" spans="1:4" ht="42.75" customHeight="1" thickBot="1">
      <c r="A6459" s="92">
        <v>3582</v>
      </c>
      <c r="B6459" s="93"/>
      <c r="C6459" s="96" t="s">
        <v>4</v>
      </c>
      <c r="D6459" s="97"/>
    </row>
    <row r="6460" spans="1:4" ht="42.75" customHeight="1" thickBot="1">
      <c r="A6460" s="98">
        <f>A6459-A6458</f>
        <v>0</v>
      </c>
      <c r="B6460" s="99"/>
      <c r="C6460" s="100" t="s">
        <v>5</v>
      </c>
      <c r="D6460" s="97"/>
    </row>
    <row r="6461" spans="1:4" ht="42.75" customHeight="1" thickBot="1">
      <c r="A6461" s="101">
        <v>62</v>
      </c>
      <c r="B6461" s="102"/>
      <c r="C6461" s="96" t="s">
        <v>6</v>
      </c>
      <c r="D6461" s="97"/>
    </row>
    <row r="6462" spans="1:4" ht="42.75" customHeight="1" thickBot="1">
      <c r="A6462" s="103"/>
      <c r="B6462" s="104"/>
      <c r="C6462" s="96" t="s">
        <v>21</v>
      </c>
      <c r="D6462" s="97"/>
    </row>
    <row r="6463" spans="1:4" ht="42.75" customHeight="1" thickBot="1">
      <c r="A6463" s="105">
        <f>A6461*A6460</f>
        <v>0</v>
      </c>
      <c r="B6463" s="106"/>
      <c r="C6463" s="96" t="s">
        <v>7</v>
      </c>
      <c r="D6463" s="97"/>
    </row>
    <row r="6464" spans="1:4" ht="42.75" customHeight="1" thickBot="1">
      <c r="A6464" s="107" t="s">
        <v>17</v>
      </c>
      <c r="B6464" s="108"/>
      <c r="C6464" s="108"/>
      <c r="D6464" s="109"/>
    </row>
    <row r="6465" spans="1:4" ht="42.75" customHeight="1" thickBot="1">
      <c r="A6465" s="116" t="s">
        <v>20</v>
      </c>
      <c r="B6465" s="117"/>
      <c r="C6465" s="117"/>
      <c r="D6465" s="118"/>
    </row>
    <row r="6466" spans="1:4" ht="42.75" customHeight="1" thickBot="1">
      <c r="A6466" s="113" t="s">
        <v>18</v>
      </c>
      <c r="B6466" s="114"/>
      <c r="C6466" s="114"/>
      <c r="D6466" s="115"/>
    </row>
    <row r="6467" spans="1:4" ht="42.75" customHeight="1" thickBot="1">
      <c r="A6467" s="119"/>
      <c r="B6467" s="119"/>
      <c r="C6467" s="119"/>
      <c r="D6467" s="119"/>
    </row>
    <row r="6468" spans="1:4" ht="42.75" customHeight="1" thickBot="1">
      <c r="A6468" s="120" t="s">
        <v>19</v>
      </c>
      <c r="B6468" s="121"/>
      <c r="C6468" s="121"/>
      <c r="D6468" s="122"/>
    </row>
    <row r="6469" spans="1:4" ht="42.75" customHeight="1" thickBot="1">
      <c r="A6469" s="123" t="s">
        <v>11</v>
      </c>
      <c r="B6469" s="124"/>
      <c r="C6469" s="125" t="s">
        <v>603</v>
      </c>
      <c r="D6469" s="124"/>
    </row>
    <row r="6470" spans="1:4" ht="42.75" customHeight="1" thickBot="1">
      <c r="A6470" s="1" t="s">
        <v>686</v>
      </c>
      <c r="B6470" s="26" t="s">
        <v>1</v>
      </c>
      <c r="C6470" s="90" t="s">
        <v>217</v>
      </c>
      <c r="D6470" s="91"/>
    </row>
    <row r="6471" spans="1:4" ht="42.75" customHeight="1" thickBot="1">
      <c r="A6471" s="26"/>
      <c r="B6471" s="26" t="s">
        <v>0</v>
      </c>
      <c r="C6471" s="5" t="s">
        <v>687</v>
      </c>
      <c r="D6471" s="4" t="s">
        <v>2</v>
      </c>
    </row>
    <row r="6472" spans="1:4" ht="42.75" customHeight="1" thickBot="1">
      <c r="A6472" s="92">
        <v>3550</v>
      </c>
      <c r="B6472" s="93"/>
      <c r="C6472" s="94" t="s">
        <v>3</v>
      </c>
      <c r="D6472" s="95"/>
    </row>
    <row r="6473" spans="1:4" ht="42.75" customHeight="1" thickBot="1">
      <c r="A6473" s="92">
        <v>3582</v>
      </c>
      <c r="B6473" s="93"/>
      <c r="C6473" s="96" t="s">
        <v>4</v>
      </c>
      <c r="D6473" s="97"/>
    </row>
    <row r="6474" spans="1:4" ht="42.75" customHeight="1" thickBot="1">
      <c r="A6474" s="98">
        <f>A6473-A6472</f>
        <v>32</v>
      </c>
      <c r="B6474" s="99"/>
      <c r="C6474" s="100" t="s">
        <v>5</v>
      </c>
      <c r="D6474" s="97"/>
    </row>
    <row r="6475" spans="1:4" ht="42.75" customHeight="1" thickBot="1">
      <c r="A6475" s="101">
        <v>62</v>
      </c>
      <c r="B6475" s="102"/>
      <c r="C6475" s="96" t="s">
        <v>6</v>
      </c>
      <c r="D6475" s="97"/>
    </row>
    <row r="6476" spans="1:4" ht="42.75" customHeight="1" thickBot="1">
      <c r="A6476" s="103"/>
      <c r="B6476" s="104"/>
      <c r="C6476" s="96" t="s">
        <v>21</v>
      </c>
      <c r="D6476" s="97"/>
    </row>
    <row r="6477" spans="1:4" ht="42.75" customHeight="1" thickBot="1">
      <c r="A6477" s="105">
        <v>2000</v>
      </c>
      <c r="B6477" s="106"/>
      <c r="C6477" s="96" t="s">
        <v>7</v>
      </c>
      <c r="D6477" s="97"/>
    </row>
    <row r="6478" spans="1:4" ht="42.75" customHeight="1" thickBot="1">
      <c r="A6478" s="107" t="s">
        <v>17</v>
      </c>
      <c r="B6478" s="108"/>
      <c r="C6478" s="108"/>
      <c r="D6478" s="109"/>
    </row>
    <row r="6479" spans="1:4" ht="42.75" customHeight="1" thickBot="1">
      <c r="A6479" s="110" t="s">
        <v>20</v>
      </c>
      <c r="B6479" s="111"/>
      <c r="C6479" s="111"/>
      <c r="D6479" s="112"/>
    </row>
    <row r="6480" spans="1:4" ht="42.75" customHeight="1" thickBot="1">
      <c r="A6480" s="113" t="s">
        <v>18</v>
      </c>
      <c r="B6480" s="114"/>
      <c r="C6480" s="114"/>
      <c r="D6480" s="115"/>
    </row>
    <row r="6481" spans="1:4" ht="42.75" customHeight="1" thickBot="1">
      <c r="A6481" s="120" t="s">
        <v>19</v>
      </c>
      <c r="B6481" s="121"/>
      <c r="C6481" s="121"/>
      <c r="D6481" s="122"/>
    </row>
    <row r="6482" spans="1:4" ht="42.75" customHeight="1" thickBot="1">
      <c r="A6482" s="123" t="s">
        <v>11</v>
      </c>
      <c r="B6482" s="124"/>
      <c r="C6482" s="125" t="s">
        <v>603</v>
      </c>
      <c r="D6482" s="124"/>
    </row>
    <row r="6483" spans="1:4" ht="42.75" customHeight="1" thickBot="1">
      <c r="A6483" s="1" t="s">
        <v>686</v>
      </c>
      <c r="B6483" s="26" t="s">
        <v>1</v>
      </c>
      <c r="C6483" s="90" t="s">
        <v>218</v>
      </c>
      <c r="D6483" s="91"/>
    </row>
    <row r="6484" spans="1:4" ht="42.75" customHeight="1" thickBot="1">
      <c r="A6484" s="26"/>
      <c r="B6484" s="26" t="s">
        <v>0</v>
      </c>
      <c r="C6484" s="5" t="s">
        <v>687</v>
      </c>
      <c r="D6484" s="4" t="s">
        <v>2</v>
      </c>
    </row>
    <row r="6485" spans="1:4" ht="42.75" customHeight="1" thickBot="1">
      <c r="A6485" s="92">
        <v>3887</v>
      </c>
      <c r="B6485" s="93"/>
      <c r="C6485" s="94" t="s">
        <v>3</v>
      </c>
      <c r="D6485" s="95"/>
    </row>
    <row r="6486" spans="1:4" ht="42.75" customHeight="1" thickBot="1">
      <c r="A6486" s="92">
        <v>3887</v>
      </c>
      <c r="B6486" s="93"/>
      <c r="C6486" s="96" t="s">
        <v>4</v>
      </c>
      <c r="D6486" s="97"/>
    </row>
    <row r="6487" spans="1:4" ht="42.75" customHeight="1" thickBot="1">
      <c r="A6487" s="98">
        <f>A6486-A6485</f>
        <v>0</v>
      </c>
      <c r="B6487" s="99"/>
      <c r="C6487" s="100" t="s">
        <v>5</v>
      </c>
      <c r="D6487" s="97"/>
    </row>
    <row r="6488" spans="1:4" ht="42.75" customHeight="1" thickBot="1">
      <c r="A6488" s="101">
        <v>62</v>
      </c>
      <c r="B6488" s="102"/>
      <c r="C6488" s="96" t="s">
        <v>6</v>
      </c>
      <c r="D6488" s="97"/>
    </row>
    <row r="6489" spans="1:4" ht="42.75" customHeight="1" thickBot="1">
      <c r="A6489" s="103"/>
      <c r="B6489" s="104"/>
      <c r="C6489" s="96" t="s">
        <v>21</v>
      </c>
      <c r="D6489" s="97"/>
    </row>
    <row r="6490" spans="1:4" ht="42.75" customHeight="1" thickBot="1">
      <c r="A6490" s="105">
        <f>A6488*A6487</f>
        <v>0</v>
      </c>
      <c r="B6490" s="106"/>
      <c r="C6490" s="96" t="s">
        <v>7</v>
      </c>
      <c r="D6490" s="97"/>
    </row>
    <row r="6491" spans="1:4" ht="42.75" customHeight="1" thickBot="1">
      <c r="A6491" s="107" t="s">
        <v>17</v>
      </c>
      <c r="B6491" s="108"/>
      <c r="C6491" s="108"/>
      <c r="D6491" s="109"/>
    </row>
    <row r="6492" spans="1:4" ht="42.75" customHeight="1" thickBot="1">
      <c r="A6492" s="116" t="s">
        <v>20</v>
      </c>
      <c r="B6492" s="117"/>
      <c r="C6492" s="117"/>
      <c r="D6492" s="118"/>
    </row>
    <row r="6493" spans="1:4" ht="42.75" customHeight="1" thickBot="1">
      <c r="A6493" s="113" t="s">
        <v>18</v>
      </c>
      <c r="B6493" s="114"/>
      <c r="C6493" s="114"/>
      <c r="D6493" s="115"/>
    </row>
    <row r="6494" spans="1:4" ht="42.75" customHeight="1" thickBot="1">
      <c r="A6494" s="119"/>
      <c r="B6494" s="119"/>
      <c r="C6494" s="119"/>
      <c r="D6494" s="119"/>
    </row>
    <row r="6495" spans="1:4" ht="42.75" customHeight="1" thickBot="1">
      <c r="A6495" s="120" t="s">
        <v>19</v>
      </c>
      <c r="B6495" s="121"/>
      <c r="C6495" s="121"/>
      <c r="D6495" s="122"/>
    </row>
    <row r="6496" spans="1:4" ht="42.75" customHeight="1" thickBot="1">
      <c r="A6496" s="123" t="s">
        <v>11</v>
      </c>
      <c r="B6496" s="124"/>
      <c r="C6496" s="125" t="s">
        <v>603</v>
      </c>
      <c r="D6496" s="124"/>
    </row>
    <row r="6497" spans="1:4" ht="42.75" customHeight="1" thickBot="1">
      <c r="A6497" s="1" t="s">
        <v>686</v>
      </c>
      <c r="B6497" s="26" t="s">
        <v>1</v>
      </c>
      <c r="C6497" s="90" t="s">
        <v>218</v>
      </c>
      <c r="D6497" s="91"/>
    </row>
    <row r="6498" spans="1:4" ht="42.75" customHeight="1" thickBot="1">
      <c r="A6498" s="26"/>
      <c r="B6498" s="26" t="s">
        <v>0</v>
      </c>
      <c r="C6498" s="5" t="s">
        <v>687</v>
      </c>
      <c r="D6498" s="4" t="s">
        <v>2</v>
      </c>
    </row>
    <row r="6499" spans="1:4" ht="42.75" customHeight="1" thickBot="1">
      <c r="A6499" s="92">
        <v>3866</v>
      </c>
      <c r="B6499" s="93"/>
      <c r="C6499" s="94" t="s">
        <v>3</v>
      </c>
      <c r="D6499" s="95"/>
    </row>
    <row r="6500" spans="1:4" ht="42.75" customHeight="1" thickBot="1">
      <c r="A6500" s="92">
        <v>3887</v>
      </c>
      <c r="B6500" s="93"/>
      <c r="C6500" s="96" t="s">
        <v>4</v>
      </c>
      <c r="D6500" s="97"/>
    </row>
    <row r="6501" spans="1:4" ht="42.75" customHeight="1" thickBot="1">
      <c r="A6501" s="98">
        <f>A6500-A6499</f>
        <v>21</v>
      </c>
      <c r="B6501" s="99"/>
      <c r="C6501" s="100" t="s">
        <v>5</v>
      </c>
      <c r="D6501" s="97"/>
    </row>
    <row r="6502" spans="1:4" ht="42.75" customHeight="1" thickBot="1">
      <c r="A6502" s="101">
        <v>62</v>
      </c>
      <c r="B6502" s="102"/>
      <c r="C6502" s="96" t="s">
        <v>6</v>
      </c>
      <c r="D6502" s="97"/>
    </row>
    <row r="6503" spans="1:4" ht="42.75" customHeight="1" thickBot="1">
      <c r="A6503" s="103"/>
      <c r="B6503" s="104"/>
      <c r="C6503" s="96" t="s">
        <v>21</v>
      </c>
      <c r="D6503" s="97"/>
    </row>
    <row r="6504" spans="1:4" ht="42.75" customHeight="1" thickBot="1">
      <c r="A6504" s="105">
        <f>A6502*A6501</f>
        <v>1302</v>
      </c>
      <c r="B6504" s="106"/>
      <c r="C6504" s="96" t="s">
        <v>7</v>
      </c>
      <c r="D6504" s="97"/>
    </row>
    <row r="6505" spans="1:4" ht="42.75" customHeight="1" thickBot="1">
      <c r="A6505" s="107" t="s">
        <v>17</v>
      </c>
      <c r="B6505" s="108"/>
      <c r="C6505" s="108"/>
      <c r="D6505" s="109"/>
    </row>
    <row r="6506" spans="1:4" ht="42.75" customHeight="1" thickBot="1">
      <c r="A6506" s="110" t="s">
        <v>20</v>
      </c>
      <c r="B6506" s="111"/>
      <c r="C6506" s="111"/>
      <c r="D6506" s="112"/>
    </row>
    <row r="6507" spans="1:4" ht="42.75" customHeight="1" thickBot="1">
      <c r="A6507" s="113" t="s">
        <v>18</v>
      </c>
      <c r="B6507" s="114"/>
      <c r="C6507" s="114"/>
      <c r="D6507" s="115"/>
    </row>
    <row r="6508" spans="1:4" ht="42.75" customHeight="1" thickBot="1">
      <c r="A6508" s="120" t="s">
        <v>19</v>
      </c>
      <c r="B6508" s="121"/>
      <c r="C6508" s="121"/>
      <c r="D6508" s="122"/>
    </row>
    <row r="6509" spans="1:4" ht="42.75" customHeight="1" thickBot="1">
      <c r="A6509" s="123" t="s">
        <v>11</v>
      </c>
      <c r="B6509" s="124"/>
      <c r="C6509" s="125" t="s">
        <v>603</v>
      </c>
      <c r="D6509" s="124"/>
    </row>
    <row r="6510" spans="1:4" ht="42.75" customHeight="1" thickBot="1">
      <c r="A6510" s="1" t="s">
        <v>686</v>
      </c>
      <c r="B6510" s="26" t="s">
        <v>1</v>
      </c>
      <c r="C6510" s="90" t="s">
        <v>219</v>
      </c>
      <c r="D6510" s="91"/>
    </row>
    <row r="6511" spans="1:4" ht="42.75" customHeight="1" thickBot="1">
      <c r="A6511" s="26"/>
      <c r="B6511" s="26" t="s">
        <v>0</v>
      </c>
      <c r="C6511" s="5" t="s">
        <v>687</v>
      </c>
      <c r="D6511" s="4" t="s">
        <v>2</v>
      </c>
    </row>
    <row r="6512" spans="1:4" ht="42.75" customHeight="1" thickBot="1">
      <c r="A6512" s="92">
        <v>4379</v>
      </c>
      <c r="B6512" s="93"/>
      <c r="C6512" s="94" t="s">
        <v>3</v>
      </c>
      <c r="D6512" s="95"/>
    </row>
    <row r="6513" spans="1:4" ht="42.75" customHeight="1" thickBot="1">
      <c r="A6513" s="92">
        <v>4379</v>
      </c>
      <c r="B6513" s="93"/>
      <c r="C6513" s="96" t="s">
        <v>4</v>
      </c>
      <c r="D6513" s="97"/>
    </row>
    <row r="6514" spans="1:4" ht="42.75" customHeight="1" thickBot="1">
      <c r="A6514" s="98">
        <f>A6513-A6512</f>
        <v>0</v>
      </c>
      <c r="B6514" s="99"/>
      <c r="C6514" s="100" t="s">
        <v>5</v>
      </c>
      <c r="D6514" s="97"/>
    </row>
    <row r="6515" spans="1:4" ht="42.75" customHeight="1" thickBot="1">
      <c r="A6515" s="101">
        <v>62</v>
      </c>
      <c r="B6515" s="102"/>
      <c r="C6515" s="96" t="s">
        <v>6</v>
      </c>
      <c r="D6515" s="97"/>
    </row>
    <row r="6516" spans="1:4" ht="42.75" customHeight="1" thickBot="1">
      <c r="A6516" s="103"/>
      <c r="B6516" s="104"/>
      <c r="C6516" s="96" t="s">
        <v>21</v>
      </c>
      <c r="D6516" s="97"/>
    </row>
    <row r="6517" spans="1:4" ht="42.75" customHeight="1" thickBot="1">
      <c r="A6517" s="105">
        <f>A6515*A6514</f>
        <v>0</v>
      </c>
      <c r="B6517" s="106"/>
      <c r="C6517" s="96" t="s">
        <v>7</v>
      </c>
      <c r="D6517" s="97"/>
    </row>
    <row r="6518" spans="1:4" ht="42.75" customHeight="1" thickBot="1">
      <c r="A6518" s="107" t="s">
        <v>17</v>
      </c>
      <c r="B6518" s="108"/>
      <c r="C6518" s="108"/>
      <c r="D6518" s="109"/>
    </row>
    <row r="6519" spans="1:4" ht="42.75" customHeight="1" thickBot="1">
      <c r="A6519" s="116" t="s">
        <v>20</v>
      </c>
      <c r="B6519" s="117"/>
      <c r="C6519" s="117"/>
      <c r="D6519" s="118"/>
    </row>
    <row r="6520" spans="1:4" ht="42.75" customHeight="1" thickBot="1">
      <c r="A6520" s="113" t="s">
        <v>18</v>
      </c>
      <c r="B6520" s="114"/>
      <c r="C6520" s="114"/>
      <c r="D6520" s="115"/>
    </row>
    <row r="6521" spans="1:4" ht="42.75" customHeight="1" thickBot="1">
      <c r="A6521" s="119"/>
      <c r="B6521" s="119"/>
      <c r="C6521" s="119"/>
      <c r="D6521" s="119"/>
    </row>
    <row r="6522" spans="1:4" ht="42.75" customHeight="1" thickBot="1">
      <c r="A6522" s="120" t="s">
        <v>19</v>
      </c>
      <c r="B6522" s="121"/>
      <c r="C6522" s="121"/>
      <c r="D6522" s="122"/>
    </row>
    <row r="6523" spans="1:4" ht="42.75" customHeight="1" thickBot="1">
      <c r="A6523" s="123" t="s">
        <v>11</v>
      </c>
      <c r="B6523" s="124"/>
      <c r="C6523" s="125" t="s">
        <v>603</v>
      </c>
      <c r="D6523" s="124"/>
    </row>
    <row r="6524" spans="1:4" ht="42.75" customHeight="1" thickBot="1">
      <c r="A6524" s="1" t="s">
        <v>686</v>
      </c>
      <c r="B6524" s="26" t="s">
        <v>1</v>
      </c>
      <c r="C6524" s="90" t="s">
        <v>219</v>
      </c>
      <c r="D6524" s="91"/>
    </row>
    <row r="6525" spans="1:4" ht="42.75" customHeight="1" thickBot="1">
      <c r="A6525" s="26"/>
      <c r="B6525" s="26" t="s">
        <v>0</v>
      </c>
      <c r="C6525" s="5" t="s">
        <v>687</v>
      </c>
      <c r="D6525" s="4" t="s">
        <v>2</v>
      </c>
    </row>
    <row r="6526" spans="1:4" ht="42.75" customHeight="1" thickBot="1">
      <c r="A6526" s="92">
        <v>4366</v>
      </c>
      <c r="B6526" s="93"/>
      <c r="C6526" s="94" t="s">
        <v>3</v>
      </c>
      <c r="D6526" s="95"/>
    </row>
    <row r="6527" spans="1:4" ht="42.75" customHeight="1" thickBot="1">
      <c r="A6527" s="92">
        <v>4379</v>
      </c>
      <c r="B6527" s="93"/>
      <c r="C6527" s="96" t="s">
        <v>4</v>
      </c>
      <c r="D6527" s="97"/>
    </row>
    <row r="6528" spans="1:4" ht="42.75" customHeight="1" thickBot="1">
      <c r="A6528" s="98">
        <f>A6527-A6526</f>
        <v>13</v>
      </c>
      <c r="B6528" s="99"/>
      <c r="C6528" s="100" t="s">
        <v>5</v>
      </c>
      <c r="D6528" s="97"/>
    </row>
    <row r="6529" spans="1:4" ht="42.75" customHeight="1" thickBot="1">
      <c r="A6529" s="101">
        <v>62</v>
      </c>
      <c r="B6529" s="102"/>
      <c r="C6529" s="96" t="s">
        <v>6</v>
      </c>
      <c r="D6529" s="97"/>
    </row>
    <row r="6530" spans="1:4" ht="42.75" customHeight="1" thickBot="1">
      <c r="A6530" s="103"/>
      <c r="B6530" s="104"/>
      <c r="C6530" s="96" t="s">
        <v>21</v>
      </c>
      <c r="D6530" s="97"/>
    </row>
    <row r="6531" spans="1:4" ht="42.75" customHeight="1" thickBot="1">
      <c r="A6531" s="105">
        <f>A6529*A6528</f>
        <v>806</v>
      </c>
      <c r="B6531" s="106"/>
      <c r="C6531" s="96" t="s">
        <v>7</v>
      </c>
      <c r="D6531" s="97"/>
    </row>
    <row r="6532" spans="1:4" ht="42.75" customHeight="1" thickBot="1">
      <c r="A6532" s="107" t="s">
        <v>17</v>
      </c>
      <c r="B6532" s="108"/>
      <c r="C6532" s="108"/>
      <c r="D6532" s="109"/>
    </row>
    <row r="6533" spans="1:4" ht="42.75" customHeight="1" thickBot="1">
      <c r="A6533" s="110" t="s">
        <v>20</v>
      </c>
      <c r="B6533" s="111"/>
      <c r="C6533" s="111"/>
      <c r="D6533" s="112"/>
    </row>
    <row r="6534" spans="1:4" ht="42.75" customHeight="1" thickBot="1">
      <c r="A6534" s="113" t="s">
        <v>18</v>
      </c>
      <c r="B6534" s="114"/>
      <c r="C6534" s="114"/>
      <c r="D6534" s="115"/>
    </row>
    <row r="6535" spans="1:4" ht="42.75" customHeight="1" thickBot="1">
      <c r="A6535" s="120" t="s">
        <v>19</v>
      </c>
      <c r="B6535" s="121"/>
      <c r="C6535" s="121"/>
      <c r="D6535" s="122"/>
    </row>
    <row r="6536" spans="1:4" ht="42.75" customHeight="1" thickBot="1">
      <c r="A6536" s="123" t="s">
        <v>11</v>
      </c>
      <c r="B6536" s="124"/>
      <c r="C6536" s="125" t="s">
        <v>603</v>
      </c>
      <c r="D6536" s="124"/>
    </row>
    <row r="6537" spans="1:4" ht="42.75" customHeight="1" thickBot="1">
      <c r="A6537" s="1" t="s">
        <v>686</v>
      </c>
      <c r="B6537" s="26" t="s">
        <v>1</v>
      </c>
      <c r="C6537" s="90" t="s">
        <v>220</v>
      </c>
      <c r="D6537" s="91"/>
    </row>
    <row r="6538" spans="1:4" ht="42.75" customHeight="1" thickBot="1">
      <c r="A6538" s="26"/>
      <c r="B6538" s="26" t="s">
        <v>0</v>
      </c>
      <c r="C6538" s="5" t="s">
        <v>687</v>
      </c>
      <c r="D6538" s="4" t="s">
        <v>2</v>
      </c>
    </row>
    <row r="6539" spans="1:4" ht="42.75" customHeight="1" thickBot="1">
      <c r="A6539" s="92">
        <v>4814</v>
      </c>
      <c r="B6539" s="93"/>
      <c r="C6539" s="94" t="s">
        <v>3</v>
      </c>
      <c r="D6539" s="95"/>
    </row>
    <row r="6540" spans="1:4" ht="42.75" customHeight="1" thickBot="1">
      <c r="A6540" s="92">
        <v>4814</v>
      </c>
      <c r="B6540" s="93"/>
      <c r="C6540" s="96" t="s">
        <v>4</v>
      </c>
      <c r="D6540" s="97"/>
    </row>
    <row r="6541" spans="1:4" ht="42.75" customHeight="1" thickBot="1">
      <c r="A6541" s="98">
        <f>A6540-A6539</f>
        <v>0</v>
      </c>
      <c r="B6541" s="99"/>
      <c r="C6541" s="100" t="s">
        <v>5</v>
      </c>
      <c r="D6541" s="97"/>
    </row>
    <row r="6542" spans="1:4" ht="42.75" customHeight="1" thickBot="1">
      <c r="A6542" s="101">
        <v>62</v>
      </c>
      <c r="B6542" s="102"/>
      <c r="C6542" s="96" t="s">
        <v>6</v>
      </c>
      <c r="D6542" s="97"/>
    </row>
    <row r="6543" spans="1:4" ht="42.75" customHeight="1" thickBot="1">
      <c r="A6543" s="103"/>
      <c r="B6543" s="104"/>
      <c r="C6543" s="96" t="s">
        <v>21</v>
      </c>
      <c r="D6543" s="97"/>
    </row>
    <row r="6544" spans="1:4" ht="42.75" customHeight="1" thickBot="1">
      <c r="A6544" s="105">
        <f>A6542*A6541</f>
        <v>0</v>
      </c>
      <c r="B6544" s="106"/>
      <c r="C6544" s="96" t="s">
        <v>7</v>
      </c>
      <c r="D6544" s="97"/>
    </row>
    <row r="6545" spans="1:4" ht="42.75" customHeight="1" thickBot="1">
      <c r="A6545" s="107" t="s">
        <v>17</v>
      </c>
      <c r="B6545" s="108"/>
      <c r="C6545" s="108"/>
      <c r="D6545" s="109"/>
    </row>
    <row r="6546" spans="1:4" ht="42.75" customHeight="1" thickBot="1">
      <c r="A6546" s="116" t="s">
        <v>20</v>
      </c>
      <c r="B6546" s="117"/>
      <c r="C6546" s="117"/>
      <c r="D6546" s="118"/>
    </row>
    <row r="6547" spans="1:4" ht="42.75" customHeight="1" thickBot="1">
      <c r="A6547" s="113" t="s">
        <v>18</v>
      </c>
      <c r="B6547" s="114"/>
      <c r="C6547" s="114"/>
      <c r="D6547" s="115"/>
    </row>
    <row r="6548" spans="1:4" ht="42.75" customHeight="1" thickBot="1">
      <c r="A6548" s="119"/>
      <c r="B6548" s="119"/>
      <c r="C6548" s="119"/>
      <c r="D6548" s="119"/>
    </row>
    <row r="6549" spans="1:4" ht="42.75" customHeight="1" thickBot="1">
      <c r="A6549" s="120" t="s">
        <v>19</v>
      </c>
      <c r="B6549" s="121"/>
      <c r="C6549" s="121"/>
      <c r="D6549" s="122"/>
    </row>
    <row r="6550" spans="1:4" ht="42.75" customHeight="1" thickBot="1">
      <c r="A6550" s="123" t="s">
        <v>11</v>
      </c>
      <c r="B6550" s="124"/>
      <c r="C6550" s="125" t="s">
        <v>603</v>
      </c>
      <c r="D6550" s="124"/>
    </row>
    <row r="6551" spans="1:4" ht="42.75" customHeight="1" thickBot="1">
      <c r="A6551" s="1" t="s">
        <v>686</v>
      </c>
      <c r="B6551" s="26" t="s">
        <v>1</v>
      </c>
      <c r="C6551" s="90" t="s">
        <v>220</v>
      </c>
      <c r="D6551" s="91"/>
    </row>
    <row r="6552" spans="1:4" ht="42.75" customHeight="1" thickBot="1">
      <c r="A6552" s="26"/>
      <c r="B6552" s="26" t="s">
        <v>0</v>
      </c>
      <c r="C6552" s="5" t="s">
        <v>687</v>
      </c>
      <c r="D6552" s="4" t="s">
        <v>2</v>
      </c>
    </row>
    <row r="6553" spans="1:4" ht="42.75" customHeight="1" thickBot="1">
      <c r="A6553" s="92">
        <v>4800</v>
      </c>
      <c r="B6553" s="93"/>
      <c r="C6553" s="94" t="s">
        <v>3</v>
      </c>
      <c r="D6553" s="95"/>
    </row>
    <row r="6554" spans="1:4" ht="42.75" customHeight="1" thickBot="1">
      <c r="A6554" s="92">
        <v>4814</v>
      </c>
      <c r="B6554" s="93"/>
      <c r="C6554" s="96" t="s">
        <v>4</v>
      </c>
      <c r="D6554" s="97"/>
    </row>
    <row r="6555" spans="1:4" ht="42.75" customHeight="1" thickBot="1">
      <c r="A6555" s="98">
        <f>A6554-A6553</f>
        <v>14</v>
      </c>
      <c r="B6555" s="99"/>
      <c r="C6555" s="100" t="s">
        <v>5</v>
      </c>
      <c r="D6555" s="97"/>
    </row>
    <row r="6556" spans="1:4" ht="42.75" customHeight="1" thickBot="1">
      <c r="A6556" s="101">
        <v>62</v>
      </c>
      <c r="B6556" s="102"/>
      <c r="C6556" s="96" t="s">
        <v>6</v>
      </c>
      <c r="D6556" s="97"/>
    </row>
    <row r="6557" spans="1:4" ht="42.75" customHeight="1" thickBot="1">
      <c r="A6557" s="103"/>
      <c r="B6557" s="104"/>
      <c r="C6557" s="96" t="s">
        <v>21</v>
      </c>
      <c r="D6557" s="97"/>
    </row>
    <row r="6558" spans="1:4" ht="42.75" customHeight="1" thickBot="1">
      <c r="A6558" s="105">
        <v>900</v>
      </c>
      <c r="B6558" s="106"/>
      <c r="C6558" s="96" t="s">
        <v>7</v>
      </c>
      <c r="D6558" s="97"/>
    </row>
    <row r="6559" spans="1:4" ht="42.75" customHeight="1" thickBot="1">
      <c r="A6559" s="107" t="s">
        <v>17</v>
      </c>
      <c r="B6559" s="108"/>
      <c r="C6559" s="108"/>
      <c r="D6559" s="109"/>
    </row>
    <row r="6560" spans="1:4" ht="42.75" customHeight="1" thickBot="1">
      <c r="A6560" s="110" t="s">
        <v>20</v>
      </c>
      <c r="B6560" s="111"/>
      <c r="C6560" s="111"/>
      <c r="D6560" s="112"/>
    </row>
    <row r="6561" spans="1:4" ht="42.75" customHeight="1" thickBot="1">
      <c r="A6561" s="113" t="s">
        <v>18</v>
      </c>
      <c r="B6561" s="114"/>
      <c r="C6561" s="114"/>
      <c r="D6561" s="115"/>
    </row>
    <row r="6562" spans="1:4" ht="42.75" customHeight="1" thickBot="1">
      <c r="A6562" s="120" t="s">
        <v>19</v>
      </c>
      <c r="B6562" s="121"/>
      <c r="C6562" s="121"/>
      <c r="D6562" s="122"/>
    </row>
    <row r="6563" spans="1:4" ht="42.75" customHeight="1" thickBot="1">
      <c r="A6563" s="123" t="s">
        <v>11</v>
      </c>
      <c r="B6563" s="124"/>
      <c r="C6563" s="125" t="s">
        <v>603</v>
      </c>
      <c r="D6563" s="124"/>
    </row>
    <row r="6564" spans="1:4" ht="42.75" customHeight="1" thickBot="1">
      <c r="A6564" s="1" t="s">
        <v>686</v>
      </c>
      <c r="B6564" s="26" t="s">
        <v>1</v>
      </c>
      <c r="C6564" s="90" t="s">
        <v>606</v>
      </c>
      <c r="D6564" s="91"/>
    </row>
    <row r="6565" spans="1:4" ht="42.75" customHeight="1" thickBot="1">
      <c r="A6565" s="26"/>
      <c r="B6565" s="26" t="s">
        <v>0</v>
      </c>
      <c r="C6565" s="5" t="s">
        <v>687</v>
      </c>
      <c r="D6565" s="4" t="s">
        <v>2</v>
      </c>
    </row>
    <row r="6566" spans="1:4" ht="42.75" customHeight="1" thickBot="1">
      <c r="A6566" s="92">
        <v>2717</v>
      </c>
      <c r="B6566" s="93"/>
      <c r="C6566" s="94" t="s">
        <v>3</v>
      </c>
      <c r="D6566" s="95"/>
    </row>
    <row r="6567" spans="1:4" ht="42.75" customHeight="1" thickBot="1">
      <c r="A6567" s="92">
        <v>2717</v>
      </c>
      <c r="B6567" s="93"/>
      <c r="C6567" s="96" t="s">
        <v>4</v>
      </c>
      <c r="D6567" s="97"/>
    </row>
    <row r="6568" spans="1:4" ht="42.75" customHeight="1" thickBot="1">
      <c r="A6568" s="98">
        <f>A6567-A6566</f>
        <v>0</v>
      </c>
      <c r="B6568" s="99"/>
      <c r="C6568" s="100" t="s">
        <v>5</v>
      </c>
      <c r="D6568" s="97"/>
    </row>
    <row r="6569" spans="1:4" ht="42.75" customHeight="1" thickBot="1">
      <c r="A6569" s="101">
        <v>62</v>
      </c>
      <c r="B6569" s="102"/>
      <c r="C6569" s="96" t="s">
        <v>6</v>
      </c>
      <c r="D6569" s="97"/>
    </row>
    <row r="6570" spans="1:4" ht="42.75" customHeight="1" thickBot="1">
      <c r="A6570" s="103"/>
      <c r="B6570" s="104"/>
      <c r="C6570" s="96" t="s">
        <v>21</v>
      </c>
      <c r="D6570" s="97"/>
    </row>
    <row r="6571" spans="1:4" ht="42.75" customHeight="1" thickBot="1">
      <c r="A6571" s="105">
        <f>A6569*A6568</f>
        <v>0</v>
      </c>
      <c r="B6571" s="106"/>
      <c r="C6571" s="96" t="s">
        <v>7</v>
      </c>
      <c r="D6571" s="97"/>
    </row>
    <row r="6572" spans="1:4" ht="42.75" customHeight="1" thickBot="1">
      <c r="A6572" s="107" t="s">
        <v>17</v>
      </c>
      <c r="B6572" s="108"/>
      <c r="C6572" s="108"/>
      <c r="D6572" s="109"/>
    </row>
    <row r="6573" spans="1:4" ht="42.75" customHeight="1" thickBot="1">
      <c r="A6573" s="116" t="s">
        <v>20</v>
      </c>
      <c r="B6573" s="117"/>
      <c r="C6573" s="117"/>
      <c r="D6573" s="118"/>
    </row>
    <row r="6574" spans="1:4" ht="42.75" customHeight="1" thickBot="1">
      <c r="A6574" s="113" t="s">
        <v>18</v>
      </c>
      <c r="B6574" s="114"/>
      <c r="C6574" s="114"/>
      <c r="D6574" s="115"/>
    </row>
    <row r="6575" spans="1:4" ht="42.75" customHeight="1" thickBot="1">
      <c r="A6575" s="119"/>
      <c r="B6575" s="119"/>
      <c r="C6575" s="119"/>
      <c r="D6575" s="119"/>
    </row>
    <row r="6576" spans="1:4" ht="42.75" customHeight="1" thickBot="1">
      <c r="A6576" s="120" t="s">
        <v>19</v>
      </c>
      <c r="B6576" s="121"/>
      <c r="C6576" s="121"/>
      <c r="D6576" s="122"/>
    </row>
    <row r="6577" spans="1:4" ht="42.75" customHeight="1" thickBot="1">
      <c r="A6577" s="123" t="s">
        <v>11</v>
      </c>
      <c r="B6577" s="124"/>
      <c r="C6577" s="125" t="s">
        <v>603</v>
      </c>
      <c r="D6577" s="124"/>
    </row>
    <row r="6578" spans="1:4" ht="42.75" customHeight="1" thickBot="1">
      <c r="A6578" s="1" t="s">
        <v>686</v>
      </c>
      <c r="B6578" s="26" t="s">
        <v>1</v>
      </c>
      <c r="C6578" s="90" t="s">
        <v>606</v>
      </c>
      <c r="D6578" s="91"/>
    </row>
    <row r="6579" spans="1:4" ht="42.75" customHeight="1" thickBot="1">
      <c r="A6579" s="26"/>
      <c r="B6579" s="26" t="s">
        <v>0</v>
      </c>
      <c r="C6579" s="5" t="s">
        <v>687</v>
      </c>
      <c r="D6579" s="4" t="s">
        <v>2</v>
      </c>
    </row>
    <row r="6580" spans="1:4" ht="42.75" customHeight="1" thickBot="1">
      <c r="A6580" s="92">
        <v>2702</v>
      </c>
      <c r="B6580" s="93"/>
      <c r="C6580" s="94" t="s">
        <v>3</v>
      </c>
      <c r="D6580" s="95"/>
    </row>
    <row r="6581" spans="1:4" ht="42.75" customHeight="1" thickBot="1">
      <c r="A6581" s="92">
        <v>2717</v>
      </c>
      <c r="B6581" s="93"/>
      <c r="C6581" s="96" t="s">
        <v>4</v>
      </c>
      <c r="D6581" s="97"/>
    </row>
    <row r="6582" spans="1:4" ht="42.75" customHeight="1" thickBot="1">
      <c r="A6582" s="98">
        <f>A6581-A6580</f>
        <v>15</v>
      </c>
      <c r="B6582" s="99"/>
      <c r="C6582" s="100" t="s">
        <v>5</v>
      </c>
      <c r="D6582" s="97"/>
    </row>
    <row r="6583" spans="1:4" ht="42.75" customHeight="1" thickBot="1">
      <c r="A6583" s="101">
        <v>62</v>
      </c>
      <c r="B6583" s="102"/>
      <c r="C6583" s="96" t="s">
        <v>6</v>
      </c>
      <c r="D6583" s="97"/>
    </row>
    <row r="6584" spans="1:4" ht="42.75" customHeight="1" thickBot="1">
      <c r="A6584" s="103"/>
      <c r="B6584" s="104"/>
      <c r="C6584" s="96" t="s">
        <v>21</v>
      </c>
      <c r="D6584" s="97"/>
    </row>
    <row r="6585" spans="1:4" ht="42.75" customHeight="1" thickBot="1">
      <c r="A6585" s="105">
        <v>950</v>
      </c>
      <c r="B6585" s="106"/>
      <c r="C6585" s="96" t="s">
        <v>7</v>
      </c>
      <c r="D6585" s="97"/>
    </row>
    <row r="6586" spans="1:4" ht="42.75" customHeight="1" thickBot="1">
      <c r="A6586" s="107" t="s">
        <v>17</v>
      </c>
      <c r="B6586" s="108"/>
      <c r="C6586" s="108"/>
      <c r="D6586" s="109"/>
    </row>
    <row r="6587" spans="1:4" ht="42.75" customHeight="1" thickBot="1">
      <c r="A6587" s="110" t="s">
        <v>20</v>
      </c>
      <c r="B6587" s="111"/>
      <c r="C6587" s="111"/>
      <c r="D6587" s="112"/>
    </row>
    <row r="6588" spans="1:4" ht="42.75" customHeight="1" thickBot="1">
      <c r="A6588" s="113" t="s">
        <v>18</v>
      </c>
      <c r="B6588" s="114"/>
      <c r="C6588" s="114"/>
      <c r="D6588" s="115"/>
    </row>
    <row r="6589" spans="1:4" ht="42.75" customHeight="1" thickBot="1">
      <c r="A6589" s="120" t="s">
        <v>19</v>
      </c>
      <c r="B6589" s="121"/>
      <c r="C6589" s="121"/>
      <c r="D6589" s="122"/>
    </row>
    <row r="6590" spans="1:4" ht="42.75" customHeight="1" thickBot="1">
      <c r="A6590" s="123" t="s">
        <v>11</v>
      </c>
      <c r="B6590" s="124"/>
      <c r="C6590" s="125" t="s">
        <v>603</v>
      </c>
      <c r="D6590" s="124"/>
    </row>
    <row r="6591" spans="1:4" ht="42.75" customHeight="1" thickBot="1">
      <c r="A6591" s="1" t="s">
        <v>686</v>
      </c>
      <c r="B6591" s="26" t="s">
        <v>1</v>
      </c>
      <c r="C6591" s="90" t="s">
        <v>607</v>
      </c>
      <c r="D6591" s="91"/>
    </row>
    <row r="6592" spans="1:4" ht="42.75" customHeight="1" thickBot="1">
      <c r="A6592" s="26"/>
      <c r="B6592" s="26" t="s">
        <v>0</v>
      </c>
      <c r="C6592" s="5" t="s">
        <v>687</v>
      </c>
      <c r="D6592" s="4" t="s">
        <v>2</v>
      </c>
    </row>
    <row r="6593" spans="1:4" ht="42.75" customHeight="1" thickBot="1">
      <c r="A6593" s="92">
        <v>1180</v>
      </c>
      <c r="B6593" s="93"/>
      <c r="C6593" s="94" t="s">
        <v>3</v>
      </c>
      <c r="D6593" s="95"/>
    </row>
    <row r="6594" spans="1:4" ht="42.75" customHeight="1" thickBot="1">
      <c r="A6594" s="92">
        <v>1180</v>
      </c>
      <c r="B6594" s="93"/>
      <c r="C6594" s="96" t="s">
        <v>4</v>
      </c>
      <c r="D6594" s="97"/>
    </row>
    <row r="6595" spans="1:4" ht="42.75" customHeight="1" thickBot="1">
      <c r="A6595" s="98">
        <f>A6594-A6593</f>
        <v>0</v>
      </c>
      <c r="B6595" s="99"/>
      <c r="C6595" s="100" t="s">
        <v>5</v>
      </c>
      <c r="D6595" s="97"/>
    </row>
    <row r="6596" spans="1:4" ht="42.75" customHeight="1" thickBot="1">
      <c r="A6596" s="101">
        <v>62</v>
      </c>
      <c r="B6596" s="102"/>
      <c r="C6596" s="96" t="s">
        <v>6</v>
      </c>
      <c r="D6596" s="97"/>
    </row>
    <row r="6597" spans="1:4" ht="42.75" customHeight="1" thickBot="1">
      <c r="A6597" s="103"/>
      <c r="B6597" s="104"/>
      <c r="C6597" s="96" t="s">
        <v>21</v>
      </c>
      <c r="D6597" s="97"/>
    </row>
    <row r="6598" spans="1:4" ht="42.75" customHeight="1" thickBot="1">
      <c r="A6598" s="105">
        <f>A6596*A6595</f>
        <v>0</v>
      </c>
      <c r="B6598" s="106"/>
      <c r="C6598" s="96" t="s">
        <v>7</v>
      </c>
      <c r="D6598" s="97"/>
    </row>
    <row r="6599" spans="1:4" ht="42.75" customHeight="1" thickBot="1">
      <c r="A6599" s="107" t="s">
        <v>17</v>
      </c>
      <c r="B6599" s="108"/>
      <c r="C6599" s="108"/>
      <c r="D6599" s="109"/>
    </row>
    <row r="6600" spans="1:4" ht="42.75" customHeight="1" thickBot="1">
      <c r="A6600" s="116" t="s">
        <v>20</v>
      </c>
      <c r="B6600" s="117"/>
      <c r="C6600" s="117"/>
      <c r="D6600" s="118"/>
    </row>
    <row r="6601" spans="1:4" ht="42.75" customHeight="1" thickBot="1">
      <c r="A6601" s="113" t="s">
        <v>18</v>
      </c>
      <c r="B6601" s="114"/>
      <c r="C6601" s="114"/>
      <c r="D6601" s="115"/>
    </row>
    <row r="6602" spans="1:4" ht="42.75" customHeight="1" thickBot="1">
      <c r="A6602" s="119"/>
      <c r="B6602" s="119"/>
      <c r="C6602" s="119"/>
      <c r="D6602" s="119"/>
    </row>
    <row r="6603" spans="1:4" ht="42.75" customHeight="1" thickBot="1">
      <c r="A6603" s="120" t="s">
        <v>19</v>
      </c>
      <c r="B6603" s="121"/>
      <c r="C6603" s="121"/>
      <c r="D6603" s="122"/>
    </row>
    <row r="6604" spans="1:4" ht="42.75" customHeight="1" thickBot="1">
      <c r="A6604" s="123" t="s">
        <v>11</v>
      </c>
      <c r="B6604" s="124"/>
      <c r="C6604" s="125" t="s">
        <v>603</v>
      </c>
      <c r="D6604" s="124"/>
    </row>
    <row r="6605" spans="1:4" ht="42.75" customHeight="1" thickBot="1">
      <c r="A6605" s="1" t="s">
        <v>686</v>
      </c>
      <c r="B6605" s="26" t="s">
        <v>1</v>
      </c>
      <c r="C6605" s="90" t="s">
        <v>607</v>
      </c>
      <c r="D6605" s="91"/>
    </row>
    <row r="6606" spans="1:4" ht="42.75" customHeight="1" thickBot="1">
      <c r="A6606" s="26"/>
      <c r="B6606" s="26" t="s">
        <v>0</v>
      </c>
      <c r="C6606" s="5" t="s">
        <v>687</v>
      </c>
      <c r="D6606" s="4" t="s">
        <v>2</v>
      </c>
    </row>
    <row r="6607" spans="1:4" ht="42.75" customHeight="1" thickBot="1">
      <c r="A6607" s="92">
        <v>1160</v>
      </c>
      <c r="B6607" s="93"/>
      <c r="C6607" s="94" t="s">
        <v>3</v>
      </c>
      <c r="D6607" s="95"/>
    </row>
    <row r="6608" spans="1:4" ht="42.75" customHeight="1" thickBot="1">
      <c r="A6608" s="92">
        <v>1180</v>
      </c>
      <c r="B6608" s="93"/>
      <c r="C6608" s="96" t="s">
        <v>4</v>
      </c>
      <c r="D6608" s="97"/>
    </row>
    <row r="6609" spans="1:4" ht="42.75" customHeight="1" thickBot="1">
      <c r="A6609" s="98">
        <f>A6608-A6607</f>
        <v>20</v>
      </c>
      <c r="B6609" s="99"/>
      <c r="C6609" s="100" t="s">
        <v>5</v>
      </c>
      <c r="D6609" s="97"/>
    </row>
    <row r="6610" spans="1:4" ht="42.75" customHeight="1" thickBot="1">
      <c r="A6610" s="101">
        <v>62</v>
      </c>
      <c r="B6610" s="102"/>
      <c r="C6610" s="96" t="s">
        <v>6</v>
      </c>
      <c r="D6610" s="97"/>
    </row>
    <row r="6611" spans="1:4" ht="42.75" customHeight="1" thickBot="1">
      <c r="A6611" s="103"/>
      <c r="B6611" s="104"/>
      <c r="C6611" s="96" t="s">
        <v>21</v>
      </c>
      <c r="D6611" s="97"/>
    </row>
    <row r="6612" spans="1:4" ht="42.75" customHeight="1" thickBot="1">
      <c r="A6612" s="105">
        <v>1250</v>
      </c>
      <c r="B6612" s="106"/>
      <c r="C6612" s="96" t="s">
        <v>7</v>
      </c>
      <c r="D6612" s="97"/>
    </row>
    <row r="6613" spans="1:4" ht="42.75" customHeight="1" thickBot="1">
      <c r="A6613" s="107" t="s">
        <v>17</v>
      </c>
      <c r="B6613" s="108"/>
      <c r="C6613" s="108"/>
      <c r="D6613" s="109"/>
    </row>
    <row r="6614" spans="1:4" ht="42.75" customHeight="1" thickBot="1">
      <c r="A6614" s="110" t="s">
        <v>20</v>
      </c>
      <c r="B6614" s="111"/>
      <c r="C6614" s="111"/>
      <c r="D6614" s="112"/>
    </row>
    <row r="6615" spans="1:4" ht="42.75" customHeight="1" thickBot="1">
      <c r="A6615" s="113" t="s">
        <v>18</v>
      </c>
      <c r="B6615" s="114"/>
      <c r="C6615" s="114"/>
      <c r="D6615" s="115"/>
    </row>
    <row r="6616" spans="1:4" ht="42.75" customHeight="1" thickBot="1">
      <c r="A6616" s="120" t="s">
        <v>19</v>
      </c>
      <c r="B6616" s="121"/>
      <c r="C6616" s="121"/>
      <c r="D6616" s="122"/>
    </row>
    <row r="6617" spans="1:4" ht="42.75" customHeight="1" thickBot="1">
      <c r="A6617" s="123" t="s">
        <v>11</v>
      </c>
      <c r="B6617" s="124"/>
      <c r="C6617" s="125" t="s">
        <v>603</v>
      </c>
      <c r="D6617" s="124"/>
    </row>
    <row r="6618" spans="1:4" ht="42.75" customHeight="1" thickBot="1">
      <c r="A6618" s="1" t="s">
        <v>686</v>
      </c>
      <c r="B6618" s="26" t="s">
        <v>1</v>
      </c>
      <c r="C6618" s="90" t="s">
        <v>627</v>
      </c>
      <c r="D6618" s="91"/>
    </row>
    <row r="6619" spans="1:4" ht="42.75" customHeight="1" thickBot="1">
      <c r="A6619" s="26"/>
      <c r="B6619" s="26" t="s">
        <v>0</v>
      </c>
      <c r="C6619" s="5" t="s">
        <v>687</v>
      </c>
      <c r="D6619" s="4" t="s">
        <v>2</v>
      </c>
    </row>
    <row r="6620" spans="1:4" ht="42.75" customHeight="1" thickBot="1">
      <c r="A6620" s="92">
        <v>5460</v>
      </c>
      <c r="B6620" s="93"/>
      <c r="C6620" s="94" t="s">
        <v>3</v>
      </c>
      <c r="D6620" s="95"/>
    </row>
    <row r="6621" spans="1:4" ht="42.75" customHeight="1" thickBot="1">
      <c r="A6621" s="92">
        <v>5460</v>
      </c>
      <c r="B6621" s="93"/>
      <c r="C6621" s="96" t="s">
        <v>4</v>
      </c>
      <c r="D6621" s="97"/>
    </row>
    <row r="6622" spans="1:4" ht="42.75" customHeight="1" thickBot="1">
      <c r="A6622" s="98">
        <f>A6621-A6620</f>
        <v>0</v>
      </c>
      <c r="B6622" s="99"/>
      <c r="C6622" s="100" t="s">
        <v>5</v>
      </c>
      <c r="D6622" s="97"/>
    </row>
    <row r="6623" spans="1:4" ht="42.75" customHeight="1" thickBot="1">
      <c r="A6623" s="101">
        <v>62</v>
      </c>
      <c r="B6623" s="102"/>
      <c r="C6623" s="96" t="s">
        <v>6</v>
      </c>
      <c r="D6623" s="97"/>
    </row>
    <row r="6624" spans="1:4" ht="42.75" customHeight="1" thickBot="1">
      <c r="A6624" s="103"/>
      <c r="B6624" s="104"/>
      <c r="C6624" s="96" t="s">
        <v>21</v>
      </c>
      <c r="D6624" s="97"/>
    </row>
    <row r="6625" spans="1:4" ht="42.75" customHeight="1" thickBot="1">
      <c r="A6625" s="105">
        <f>A6623*A6622</f>
        <v>0</v>
      </c>
      <c r="B6625" s="106"/>
      <c r="C6625" s="96" t="s">
        <v>7</v>
      </c>
      <c r="D6625" s="97"/>
    </row>
    <row r="6626" spans="1:4" ht="42.75" customHeight="1" thickBot="1">
      <c r="A6626" s="107" t="s">
        <v>17</v>
      </c>
      <c r="B6626" s="108"/>
      <c r="C6626" s="108"/>
      <c r="D6626" s="109"/>
    </row>
    <row r="6627" spans="1:4" ht="42.75" customHeight="1" thickBot="1">
      <c r="A6627" s="116" t="s">
        <v>20</v>
      </c>
      <c r="B6627" s="117"/>
      <c r="C6627" s="117"/>
      <c r="D6627" s="118"/>
    </row>
    <row r="6628" spans="1:4" ht="42.75" customHeight="1" thickBot="1">
      <c r="A6628" s="113" t="s">
        <v>18</v>
      </c>
      <c r="B6628" s="114"/>
      <c r="C6628" s="114"/>
      <c r="D6628" s="115"/>
    </row>
    <row r="6629" spans="1:4" ht="42.75" customHeight="1" thickBot="1">
      <c r="A6629" s="119"/>
      <c r="B6629" s="119"/>
      <c r="C6629" s="119"/>
      <c r="D6629" s="119"/>
    </row>
    <row r="6630" spans="1:4" ht="42.75" customHeight="1" thickBot="1">
      <c r="A6630" s="120" t="s">
        <v>19</v>
      </c>
      <c r="B6630" s="121"/>
      <c r="C6630" s="121"/>
      <c r="D6630" s="122"/>
    </row>
    <row r="6631" spans="1:4" ht="42.75" customHeight="1" thickBot="1">
      <c r="A6631" s="123" t="s">
        <v>11</v>
      </c>
      <c r="B6631" s="124"/>
      <c r="C6631" s="125" t="s">
        <v>603</v>
      </c>
      <c r="D6631" s="124"/>
    </row>
    <row r="6632" spans="1:4" ht="42.75" customHeight="1" thickBot="1">
      <c r="A6632" s="1" t="s">
        <v>686</v>
      </c>
      <c r="B6632" s="26" t="s">
        <v>1</v>
      </c>
      <c r="C6632" s="90" t="s">
        <v>627</v>
      </c>
      <c r="D6632" s="91"/>
    </row>
    <row r="6633" spans="1:4" ht="42.75" customHeight="1" thickBot="1">
      <c r="A6633" s="26"/>
      <c r="B6633" s="26" t="s">
        <v>0</v>
      </c>
      <c r="C6633" s="5" t="s">
        <v>687</v>
      </c>
      <c r="D6633" s="4" t="s">
        <v>2</v>
      </c>
    </row>
    <row r="6634" spans="1:4" ht="42.75" customHeight="1" thickBot="1">
      <c r="A6634" s="92">
        <v>5375</v>
      </c>
      <c r="B6634" s="93"/>
      <c r="C6634" s="94" t="s">
        <v>3</v>
      </c>
      <c r="D6634" s="95"/>
    </row>
    <row r="6635" spans="1:4" ht="42.75" customHeight="1" thickBot="1">
      <c r="A6635" s="92">
        <v>5460</v>
      </c>
      <c r="B6635" s="93"/>
      <c r="C6635" s="96" t="s">
        <v>4</v>
      </c>
      <c r="D6635" s="97"/>
    </row>
    <row r="6636" spans="1:4" ht="42.75" customHeight="1" thickBot="1">
      <c r="A6636" s="98">
        <f>A6635-A6634</f>
        <v>85</v>
      </c>
      <c r="B6636" s="99"/>
      <c r="C6636" s="100" t="s">
        <v>5</v>
      </c>
      <c r="D6636" s="97"/>
    </row>
    <row r="6637" spans="1:4" ht="42.75" customHeight="1" thickBot="1">
      <c r="A6637" s="101">
        <v>62</v>
      </c>
      <c r="B6637" s="102"/>
      <c r="C6637" s="96" t="s">
        <v>6</v>
      </c>
      <c r="D6637" s="97"/>
    </row>
    <row r="6638" spans="1:4" ht="42.75" customHeight="1" thickBot="1">
      <c r="A6638" s="103"/>
      <c r="B6638" s="104"/>
      <c r="C6638" s="96" t="s">
        <v>21</v>
      </c>
      <c r="D6638" s="97"/>
    </row>
    <row r="6639" spans="1:4" ht="42.75" customHeight="1" thickBot="1">
      <c r="A6639" s="105">
        <v>5300</v>
      </c>
      <c r="B6639" s="106"/>
      <c r="C6639" s="96" t="s">
        <v>7</v>
      </c>
      <c r="D6639" s="97"/>
    </row>
    <row r="6640" spans="1:4" ht="42.75" customHeight="1" thickBot="1">
      <c r="A6640" s="107" t="s">
        <v>17</v>
      </c>
      <c r="B6640" s="108"/>
      <c r="C6640" s="108"/>
      <c r="D6640" s="109"/>
    </row>
    <row r="6641" spans="1:4" ht="42.75" customHeight="1" thickBot="1">
      <c r="A6641" s="110" t="s">
        <v>20</v>
      </c>
      <c r="B6641" s="111"/>
      <c r="C6641" s="111"/>
      <c r="D6641" s="112"/>
    </row>
    <row r="6642" spans="1:4" ht="42.75" customHeight="1" thickBot="1">
      <c r="A6642" s="113" t="s">
        <v>18</v>
      </c>
      <c r="B6642" s="114"/>
      <c r="C6642" s="114"/>
      <c r="D6642" s="115"/>
    </row>
    <row r="6643" spans="1:4" ht="42.75" customHeight="1" thickBot="1">
      <c r="A6643" s="120" t="s">
        <v>19</v>
      </c>
      <c r="B6643" s="121"/>
      <c r="C6643" s="121"/>
      <c r="D6643" s="122"/>
    </row>
    <row r="6644" spans="1:4" ht="42.75" customHeight="1" thickBot="1">
      <c r="A6644" s="123" t="s">
        <v>11</v>
      </c>
      <c r="B6644" s="124"/>
      <c r="C6644" s="125" t="s">
        <v>603</v>
      </c>
      <c r="D6644" s="124"/>
    </row>
    <row r="6645" spans="1:4" ht="42.75" customHeight="1" thickBot="1">
      <c r="A6645" s="1" t="s">
        <v>686</v>
      </c>
      <c r="B6645" s="26" t="s">
        <v>1</v>
      </c>
      <c r="C6645" s="90" t="s">
        <v>670</v>
      </c>
      <c r="D6645" s="91"/>
    </row>
    <row r="6646" spans="1:4" ht="42.75" customHeight="1" thickBot="1">
      <c r="A6646" s="26"/>
      <c r="B6646" s="26" t="s">
        <v>0</v>
      </c>
      <c r="C6646" s="5" t="s">
        <v>687</v>
      </c>
      <c r="D6646" s="4" t="s">
        <v>2</v>
      </c>
    </row>
    <row r="6647" spans="1:4" ht="42.75" customHeight="1" thickBot="1">
      <c r="A6647" s="92">
        <v>33</v>
      </c>
      <c r="B6647" s="93"/>
      <c r="C6647" s="94" t="s">
        <v>3</v>
      </c>
      <c r="D6647" s="95"/>
    </row>
    <row r="6648" spans="1:4" ht="42.75" customHeight="1" thickBot="1">
      <c r="A6648" s="92">
        <v>33</v>
      </c>
      <c r="B6648" s="93"/>
      <c r="C6648" s="96" t="s">
        <v>4</v>
      </c>
      <c r="D6648" s="97"/>
    </row>
    <row r="6649" spans="1:4" ht="42.75" customHeight="1" thickBot="1">
      <c r="A6649" s="98">
        <f>A6648-A6647</f>
        <v>0</v>
      </c>
      <c r="B6649" s="99"/>
      <c r="C6649" s="100" t="s">
        <v>5</v>
      </c>
      <c r="D6649" s="97"/>
    </row>
    <row r="6650" spans="1:4" ht="42.75" customHeight="1" thickBot="1">
      <c r="A6650" s="101">
        <v>62</v>
      </c>
      <c r="B6650" s="102"/>
      <c r="C6650" s="96" t="s">
        <v>6</v>
      </c>
      <c r="D6650" s="97"/>
    </row>
    <row r="6651" spans="1:4" ht="42.75" customHeight="1" thickBot="1">
      <c r="A6651" s="103"/>
      <c r="B6651" s="104"/>
      <c r="C6651" s="96" t="s">
        <v>21</v>
      </c>
      <c r="D6651" s="97"/>
    </row>
    <row r="6652" spans="1:4" ht="42.75" customHeight="1" thickBot="1">
      <c r="A6652" s="105">
        <f>A6650*A6649</f>
        <v>0</v>
      </c>
      <c r="B6652" s="106"/>
      <c r="C6652" s="96" t="s">
        <v>7</v>
      </c>
      <c r="D6652" s="97"/>
    </row>
    <row r="6653" spans="1:4" ht="42.75" customHeight="1" thickBot="1">
      <c r="A6653" s="107" t="s">
        <v>17</v>
      </c>
      <c r="B6653" s="108"/>
      <c r="C6653" s="108"/>
      <c r="D6653" s="109"/>
    </row>
    <row r="6654" spans="1:4" ht="42.75" customHeight="1" thickBot="1">
      <c r="A6654" s="116" t="s">
        <v>20</v>
      </c>
      <c r="B6654" s="117"/>
      <c r="C6654" s="117"/>
      <c r="D6654" s="118"/>
    </row>
    <row r="6655" spans="1:4" ht="42.75" customHeight="1" thickBot="1">
      <c r="A6655" s="113" t="s">
        <v>18</v>
      </c>
      <c r="B6655" s="114"/>
      <c r="C6655" s="114"/>
      <c r="D6655" s="115"/>
    </row>
    <row r="6656" spans="1:4" ht="42.75" customHeight="1" thickBot="1">
      <c r="A6656" s="119"/>
      <c r="B6656" s="119"/>
      <c r="C6656" s="119"/>
      <c r="D6656" s="119"/>
    </row>
    <row r="6657" spans="1:4" ht="42.75" customHeight="1" thickBot="1">
      <c r="A6657" s="120" t="s">
        <v>19</v>
      </c>
      <c r="B6657" s="121"/>
      <c r="C6657" s="121"/>
      <c r="D6657" s="122"/>
    </row>
    <row r="6658" spans="1:4" ht="42.75" customHeight="1" thickBot="1">
      <c r="A6658" s="123" t="s">
        <v>11</v>
      </c>
      <c r="B6658" s="124"/>
      <c r="C6658" s="125" t="s">
        <v>603</v>
      </c>
      <c r="D6658" s="124"/>
    </row>
    <row r="6659" spans="1:4" ht="42.75" customHeight="1" thickBot="1">
      <c r="A6659" s="1" t="s">
        <v>686</v>
      </c>
      <c r="B6659" s="26" t="s">
        <v>1</v>
      </c>
      <c r="C6659" s="90" t="s">
        <v>670</v>
      </c>
      <c r="D6659" s="91"/>
    </row>
    <row r="6660" spans="1:4" ht="42.75" customHeight="1" thickBot="1">
      <c r="A6660" s="26"/>
      <c r="B6660" s="26" t="s">
        <v>0</v>
      </c>
      <c r="C6660" s="5" t="s">
        <v>687</v>
      </c>
      <c r="D6660" s="4" t="s">
        <v>2</v>
      </c>
    </row>
    <row r="6661" spans="1:4" ht="42.75" customHeight="1" thickBot="1">
      <c r="A6661" s="92">
        <v>15</v>
      </c>
      <c r="B6661" s="93"/>
      <c r="C6661" s="94" t="s">
        <v>3</v>
      </c>
      <c r="D6661" s="95"/>
    </row>
    <row r="6662" spans="1:4" ht="42.75" customHeight="1" thickBot="1">
      <c r="A6662" s="92">
        <v>33</v>
      </c>
      <c r="B6662" s="93"/>
      <c r="C6662" s="96" t="s">
        <v>4</v>
      </c>
      <c r="D6662" s="97"/>
    </row>
    <row r="6663" spans="1:4" ht="42.75" customHeight="1" thickBot="1">
      <c r="A6663" s="98">
        <f>A6662-A6661</f>
        <v>18</v>
      </c>
      <c r="B6663" s="99"/>
      <c r="C6663" s="100" t="s">
        <v>5</v>
      </c>
      <c r="D6663" s="97"/>
    </row>
    <row r="6664" spans="1:4" ht="42.75" customHeight="1" thickBot="1">
      <c r="A6664" s="101">
        <v>62</v>
      </c>
      <c r="B6664" s="102"/>
      <c r="C6664" s="96" t="s">
        <v>6</v>
      </c>
      <c r="D6664" s="97"/>
    </row>
    <row r="6665" spans="1:4" ht="42.75" customHeight="1" thickBot="1">
      <c r="A6665" s="103"/>
      <c r="B6665" s="104"/>
      <c r="C6665" s="96" t="s">
        <v>21</v>
      </c>
      <c r="D6665" s="97"/>
    </row>
    <row r="6666" spans="1:4" ht="42.75" customHeight="1" thickBot="1">
      <c r="A6666" s="105">
        <v>1100</v>
      </c>
      <c r="B6666" s="106"/>
      <c r="C6666" s="96" t="s">
        <v>7</v>
      </c>
      <c r="D6666" s="97"/>
    </row>
    <row r="6667" spans="1:4" ht="42.75" customHeight="1" thickBot="1">
      <c r="A6667" s="107" t="s">
        <v>17</v>
      </c>
      <c r="B6667" s="108"/>
      <c r="C6667" s="108"/>
      <c r="D6667" s="109"/>
    </row>
    <row r="6668" spans="1:4" ht="42.75" customHeight="1" thickBot="1">
      <c r="A6668" s="110" t="s">
        <v>20</v>
      </c>
      <c r="B6668" s="111"/>
      <c r="C6668" s="111"/>
      <c r="D6668" s="112"/>
    </row>
    <row r="6669" spans="1:4" ht="42.75" customHeight="1" thickBot="1">
      <c r="A6669" s="113" t="s">
        <v>18</v>
      </c>
      <c r="B6669" s="114"/>
      <c r="C6669" s="114"/>
      <c r="D6669" s="115"/>
    </row>
    <row r="6670" spans="1:4" ht="42.75" customHeight="1" thickBot="1">
      <c r="A6670" s="120" t="s">
        <v>19</v>
      </c>
      <c r="B6670" s="121"/>
      <c r="C6670" s="121"/>
      <c r="D6670" s="122"/>
    </row>
    <row r="6671" spans="1:4" ht="42.75" customHeight="1" thickBot="1">
      <c r="A6671" s="123" t="s">
        <v>11</v>
      </c>
      <c r="B6671" s="124"/>
      <c r="C6671" s="125" t="s">
        <v>603</v>
      </c>
      <c r="D6671" s="124"/>
    </row>
    <row r="6672" spans="1:4" ht="42.75" customHeight="1" thickBot="1">
      <c r="A6672" s="1" t="s">
        <v>686</v>
      </c>
      <c r="B6672" s="26" t="s">
        <v>1</v>
      </c>
      <c r="C6672" s="90" t="s">
        <v>671</v>
      </c>
      <c r="D6672" s="91"/>
    </row>
    <row r="6673" spans="1:4" ht="42.75" customHeight="1" thickBot="1">
      <c r="A6673" s="26"/>
      <c r="B6673" s="26" t="s">
        <v>0</v>
      </c>
      <c r="C6673" s="5" t="s">
        <v>687</v>
      </c>
      <c r="D6673" s="4" t="s">
        <v>2</v>
      </c>
    </row>
    <row r="6674" spans="1:4" ht="42.75" customHeight="1" thickBot="1">
      <c r="A6674" s="92">
        <v>750</v>
      </c>
      <c r="B6674" s="93"/>
      <c r="C6674" s="94" t="s">
        <v>3</v>
      </c>
      <c r="D6674" s="95"/>
    </row>
    <row r="6675" spans="1:4" ht="42.75" customHeight="1" thickBot="1">
      <c r="A6675" s="92">
        <v>750</v>
      </c>
      <c r="B6675" s="93"/>
      <c r="C6675" s="96" t="s">
        <v>4</v>
      </c>
      <c r="D6675" s="97"/>
    </row>
    <row r="6676" spans="1:4" ht="42.75" customHeight="1" thickBot="1">
      <c r="A6676" s="98">
        <f>A6675-A6674</f>
        <v>0</v>
      </c>
      <c r="B6676" s="99"/>
      <c r="C6676" s="100" t="s">
        <v>5</v>
      </c>
      <c r="D6676" s="97"/>
    </row>
    <row r="6677" spans="1:4" ht="42.75" customHeight="1" thickBot="1">
      <c r="A6677" s="101">
        <v>62</v>
      </c>
      <c r="B6677" s="102"/>
      <c r="C6677" s="96" t="s">
        <v>6</v>
      </c>
      <c r="D6677" s="97"/>
    </row>
    <row r="6678" spans="1:4" ht="42.75" customHeight="1" thickBot="1">
      <c r="A6678" s="103"/>
      <c r="B6678" s="104"/>
      <c r="C6678" s="96" t="s">
        <v>21</v>
      </c>
      <c r="D6678" s="97"/>
    </row>
    <row r="6679" spans="1:4" ht="42.75" customHeight="1" thickBot="1">
      <c r="A6679" s="105">
        <f>A6677*A6676</f>
        <v>0</v>
      </c>
      <c r="B6679" s="106"/>
      <c r="C6679" s="96" t="s">
        <v>7</v>
      </c>
      <c r="D6679" s="97"/>
    </row>
    <row r="6680" spans="1:4" ht="42.75" customHeight="1" thickBot="1">
      <c r="A6680" s="107" t="s">
        <v>17</v>
      </c>
      <c r="B6680" s="108"/>
      <c r="C6680" s="108"/>
      <c r="D6680" s="109"/>
    </row>
    <row r="6681" spans="1:4" ht="42.75" customHeight="1" thickBot="1">
      <c r="A6681" s="116" t="s">
        <v>20</v>
      </c>
      <c r="B6681" s="117"/>
      <c r="C6681" s="117"/>
      <c r="D6681" s="118"/>
    </row>
    <row r="6682" spans="1:4" ht="42.75" customHeight="1" thickBot="1">
      <c r="A6682" s="113" t="s">
        <v>18</v>
      </c>
      <c r="B6682" s="114"/>
      <c r="C6682" s="114"/>
      <c r="D6682" s="115"/>
    </row>
    <row r="6683" spans="1:4" ht="42.75" customHeight="1" thickBot="1">
      <c r="A6683" s="119"/>
      <c r="B6683" s="119"/>
      <c r="C6683" s="119"/>
      <c r="D6683" s="119"/>
    </row>
    <row r="6684" spans="1:4" ht="42.75" customHeight="1" thickBot="1">
      <c r="A6684" s="120" t="s">
        <v>19</v>
      </c>
      <c r="B6684" s="121"/>
      <c r="C6684" s="121"/>
      <c r="D6684" s="122"/>
    </row>
    <row r="6685" spans="1:4" ht="42.75" customHeight="1" thickBot="1">
      <c r="A6685" s="123" t="s">
        <v>11</v>
      </c>
      <c r="B6685" s="124"/>
      <c r="C6685" s="125" t="s">
        <v>603</v>
      </c>
      <c r="D6685" s="124"/>
    </row>
    <row r="6686" spans="1:4" ht="42.75" customHeight="1" thickBot="1">
      <c r="A6686" s="1" t="s">
        <v>686</v>
      </c>
      <c r="B6686" s="26" t="s">
        <v>1</v>
      </c>
      <c r="C6686" s="90" t="s">
        <v>671</v>
      </c>
      <c r="D6686" s="91"/>
    </row>
    <row r="6687" spans="1:4" ht="42.75" customHeight="1" thickBot="1">
      <c r="A6687" s="26"/>
      <c r="B6687" s="26" t="s">
        <v>0</v>
      </c>
      <c r="C6687" s="5" t="s">
        <v>687</v>
      </c>
      <c r="D6687" s="4" t="s">
        <v>2</v>
      </c>
    </row>
    <row r="6688" spans="1:4" ht="42.75" customHeight="1" thickBot="1">
      <c r="A6688" s="92">
        <v>610</v>
      </c>
      <c r="B6688" s="93"/>
      <c r="C6688" s="94" t="s">
        <v>3</v>
      </c>
      <c r="D6688" s="95"/>
    </row>
    <row r="6689" spans="1:4" ht="42.75" customHeight="1" thickBot="1">
      <c r="A6689" s="92">
        <v>750</v>
      </c>
      <c r="B6689" s="93"/>
      <c r="C6689" s="96" t="s">
        <v>4</v>
      </c>
      <c r="D6689" s="97"/>
    </row>
    <row r="6690" spans="1:4" ht="42.75" customHeight="1" thickBot="1">
      <c r="A6690" s="98">
        <f>A6689-A6688</f>
        <v>140</v>
      </c>
      <c r="B6690" s="99"/>
      <c r="C6690" s="100" t="s">
        <v>5</v>
      </c>
      <c r="D6690" s="97"/>
    </row>
    <row r="6691" spans="1:4" ht="42.75" customHeight="1" thickBot="1">
      <c r="A6691" s="101">
        <v>62</v>
      </c>
      <c r="B6691" s="102"/>
      <c r="C6691" s="96" t="s">
        <v>6</v>
      </c>
      <c r="D6691" s="97"/>
    </row>
    <row r="6692" spans="1:4" ht="42.75" customHeight="1" thickBot="1">
      <c r="A6692" s="103"/>
      <c r="B6692" s="104"/>
      <c r="C6692" s="96" t="s">
        <v>21</v>
      </c>
      <c r="D6692" s="97"/>
    </row>
    <row r="6693" spans="1:4" ht="42.75" customHeight="1" thickBot="1">
      <c r="A6693" s="105">
        <v>8700</v>
      </c>
      <c r="B6693" s="106"/>
      <c r="C6693" s="96" t="s">
        <v>7</v>
      </c>
      <c r="D6693" s="97"/>
    </row>
    <row r="6694" spans="1:4" ht="42.75" customHeight="1" thickBot="1">
      <c r="A6694" s="107" t="s">
        <v>17</v>
      </c>
      <c r="B6694" s="108"/>
      <c r="C6694" s="108"/>
      <c r="D6694" s="109"/>
    </row>
    <row r="6695" spans="1:4" ht="42.75" customHeight="1" thickBot="1">
      <c r="A6695" s="110" t="s">
        <v>20</v>
      </c>
      <c r="B6695" s="111"/>
      <c r="C6695" s="111"/>
      <c r="D6695" s="112"/>
    </row>
    <row r="6696" spans="1:4" ht="42.75" customHeight="1" thickBot="1">
      <c r="A6696" s="113" t="s">
        <v>18</v>
      </c>
      <c r="B6696" s="114"/>
      <c r="C6696" s="114"/>
      <c r="D6696" s="115"/>
    </row>
  </sheetData>
  <mergeCells count="9672">
    <mergeCell ref="C2165:D2165"/>
    <mergeCell ref="A2186:D2186"/>
    <mergeCell ref="A2187:D2187"/>
    <mergeCell ref="A2172:D2172"/>
    <mergeCell ref="A2173:D2173"/>
    <mergeCell ref="A2174:D2174"/>
    <mergeCell ref="A2175:D2175"/>
    <mergeCell ref="A2176:B2176"/>
    <mergeCell ref="C2176:D2176"/>
    <mergeCell ref="C2177:D2177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C2170:D2170"/>
    <mergeCell ref="A2171:D2171"/>
    <mergeCell ref="A2184:B2184"/>
    <mergeCell ref="C2184:D2184"/>
    <mergeCell ref="A2185:D2185"/>
    <mergeCell ref="C2204:D2204"/>
    <mergeCell ref="A2206:B2206"/>
    <mergeCell ref="C2206:D2206"/>
    <mergeCell ref="A2207:B2207"/>
    <mergeCell ref="C2207:D2207"/>
    <mergeCell ref="A2208:B2208"/>
    <mergeCell ref="C2208:D2208"/>
    <mergeCell ref="A2077:D2077"/>
    <mergeCell ref="A2078:D2078"/>
    <mergeCell ref="A2079:D2079"/>
    <mergeCell ref="A2188:D2188"/>
    <mergeCell ref="A2189:B2189"/>
    <mergeCell ref="C2189:D2189"/>
    <mergeCell ref="C2190:D2190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61:D2161"/>
    <mergeCell ref="A2162:B2162"/>
    <mergeCell ref="C2162:D2162"/>
    <mergeCell ref="C2163:D2163"/>
    <mergeCell ref="A2165:B2165"/>
    <mergeCell ref="A2116:B2116"/>
    <mergeCell ref="C2116:D2116"/>
    <mergeCell ref="A2117:D2117"/>
    <mergeCell ref="A2119:D2119"/>
    <mergeCell ref="A2120:D2120"/>
    <mergeCell ref="A2076:B2076"/>
    <mergeCell ref="C2076:D2076"/>
    <mergeCell ref="A2090:D2090"/>
    <mergeCell ref="A2091:D2091"/>
    <mergeCell ref="A2092:D2092"/>
    <mergeCell ref="A2095:B2095"/>
    <mergeCell ref="C2095:D2095"/>
    <mergeCell ref="C2096:D2096"/>
    <mergeCell ref="A2099:B2099"/>
    <mergeCell ref="A2141:B2141"/>
    <mergeCell ref="A2118:D2118"/>
    <mergeCell ref="A2129:B2129"/>
    <mergeCell ref="A2130:B2130"/>
    <mergeCell ref="C2130:D2130"/>
    <mergeCell ref="A2131:D2131"/>
    <mergeCell ref="A2127:B2127"/>
    <mergeCell ref="C2127:D2127"/>
    <mergeCell ref="A2100:B2100"/>
    <mergeCell ref="C2100:D2100"/>
    <mergeCell ref="A2126:B2126"/>
    <mergeCell ref="C2103:D2103"/>
    <mergeCell ref="C2126:D2126"/>
    <mergeCell ref="C2108:D2108"/>
    <mergeCell ref="C2109:D2109"/>
    <mergeCell ref="A2111:B2111"/>
    <mergeCell ref="C2129:D2129"/>
    <mergeCell ref="A2113:B2113"/>
    <mergeCell ref="C2113:D2113"/>
    <mergeCell ref="A2114:B2114"/>
    <mergeCell ref="C2114:D2114"/>
    <mergeCell ref="A2115:B2115"/>
    <mergeCell ref="C2115:D2115"/>
    <mergeCell ref="A3301:B3301"/>
    <mergeCell ref="C3301:D3301"/>
    <mergeCell ref="A3302:B3302"/>
    <mergeCell ref="C3302:D3302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D700"/>
    <mergeCell ref="A701:D701"/>
    <mergeCell ref="A702:D702"/>
    <mergeCell ref="A703:D703"/>
    <mergeCell ref="A704:B704"/>
    <mergeCell ref="A715:D715"/>
    <mergeCell ref="A2263:B2263"/>
    <mergeCell ref="C2263:D2263"/>
    <mergeCell ref="C2054:D2054"/>
    <mergeCell ref="C2055:D2055"/>
    <mergeCell ref="A2057:B2057"/>
    <mergeCell ref="C2057:D2057"/>
    <mergeCell ref="A2058:B2058"/>
    <mergeCell ref="C2058:D2058"/>
    <mergeCell ref="A2059:B2059"/>
    <mergeCell ref="C2059:D2059"/>
    <mergeCell ref="C668:D668"/>
    <mergeCell ref="A669:B669"/>
    <mergeCell ref="C669:D669"/>
    <mergeCell ref="A659:D659"/>
    <mergeCell ref="A660:D660"/>
    <mergeCell ref="A3295:D3295"/>
    <mergeCell ref="A3296:B3296"/>
    <mergeCell ref="C3296:D3296"/>
    <mergeCell ref="C3297:D3297"/>
    <mergeCell ref="A3299:B3299"/>
    <mergeCell ref="C3299:D3299"/>
    <mergeCell ref="A3300:B3300"/>
    <mergeCell ref="C3300:D3300"/>
    <mergeCell ref="A2060:B2060"/>
    <mergeCell ref="C2060:D2060"/>
    <mergeCell ref="A2061:B2061"/>
    <mergeCell ref="C2061:D2061"/>
    <mergeCell ref="A2062:B2062"/>
    <mergeCell ref="C2062:D2062"/>
    <mergeCell ref="A2063:D2063"/>
    <mergeCell ref="A2064:D2064"/>
    <mergeCell ref="A2065:D2065"/>
    <mergeCell ref="C2141:D2141"/>
    <mergeCell ref="A2142:B2142"/>
    <mergeCell ref="C2142:D2142"/>
    <mergeCell ref="C2099:D2099"/>
    <mergeCell ref="A2066:D2066"/>
    <mergeCell ref="A2067:D2067"/>
    <mergeCell ref="A2068:B2068"/>
    <mergeCell ref="C2068:D2068"/>
    <mergeCell ref="C2069:D2069"/>
    <mergeCell ref="A2071:B2071"/>
    <mergeCell ref="A2264:B2264"/>
    <mergeCell ref="C2264:D2264"/>
    <mergeCell ref="A2265:B2265"/>
    <mergeCell ref="C2265:D2265"/>
    <mergeCell ref="A2266:D2266"/>
    <mergeCell ref="A2267:D2267"/>
    <mergeCell ref="A12:D12"/>
    <mergeCell ref="A15:D15"/>
    <mergeCell ref="C17:D17"/>
    <mergeCell ref="A20:B20"/>
    <mergeCell ref="C20:D20"/>
    <mergeCell ref="A16:B16"/>
    <mergeCell ref="C16:D16"/>
    <mergeCell ref="A19:B19"/>
    <mergeCell ref="C22:D22"/>
    <mergeCell ref="A23:B23"/>
    <mergeCell ref="C23:D23"/>
    <mergeCell ref="A76:B76"/>
    <mergeCell ref="C76:D76"/>
    <mergeCell ref="A77:B77"/>
    <mergeCell ref="C77:D77"/>
    <mergeCell ref="A79:D79"/>
    <mergeCell ref="A81:D81"/>
    <mergeCell ref="A67:D67"/>
    <mergeCell ref="A69:D69"/>
    <mergeCell ref="A70:B70"/>
    <mergeCell ref="C70:D70"/>
    <mergeCell ref="A643:B643"/>
    <mergeCell ref="C643:D643"/>
    <mergeCell ref="A644:B644"/>
    <mergeCell ref="C644:D644"/>
    <mergeCell ref="A645:B645"/>
    <mergeCell ref="A2262:B2262"/>
    <mergeCell ref="C2262:D2262"/>
    <mergeCell ref="C59:D59"/>
    <mergeCell ref="A60:B60"/>
    <mergeCell ref="C60:D60"/>
    <mergeCell ref="A61:B61"/>
    <mergeCell ref="C61:D61"/>
    <mergeCell ref="A676:D676"/>
    <mergeCell ref="A677:B677"/>
    <mergeCell ref="C677:D677"/>
    <mergeCell ref="C678:D678"/>
    <mergeCell ref="A680:B680"/>
    <mergeCell ref="C680:D680"/>
    <mergeCell ref="A681:B681"/>
    <mergeCell ref="C681:D681"/>
    <mergeCell ref="A682:B682"/>
    <mergeCell ref="C692:D692"/>
    <mergeCell ref="C682:D682"/>
    <mergeCell ref="A2222:B2222"/>
    <mergeCell ref="A2112:B2112"/>
    <mergeCell ref="C2112:D2112"/>
    <mergeCell ref="A2107:D2107"/>
    <mergeCell ref="A2108:B2108"/>
    <mergeCell ref="A649:D649"/>
    <mergeCell ref="A634:D634"/>
    <mergeCell ref="A637:B637"/>
    <mergeCell ref="C637:D637"/>
    <mergeCell ref="C638:D638"/>
    <mergeCell ref="C645:D645"/>
    <mergeCell ref="A646:D646"/>
    <mergeCell ref="A647:D647"/>
    <mergeCell ref="A648:D648"/>
    <mergeCell ref="A2048:B2048"/>
    <mergeCell ref="C2048:D2048"/>
    <mergeCell ref="A29:B29"/>
    <mergeCell ref="C29:D29"/>
    <mergeCell ref="C30:D30"/>
    <mergeCell ref="A33:B33"/>
    <mergeCell ref="C33:D33"/>
    <mergeCell ref="A21:B21"/>
    <mergeCell ref="C21:D21"/>
    <mergeCell ref="A26:D26"/>
    <mergeCell ref="A27:D27"/>
    <mergeCell ref="A32:B32"/>
    <mergeCell ref="C32:D32"/>
    <mergeCell ref="A28:D28"/>
    <mergeCell ref="A22:B22"/>
    <mergeCell ref="A650:B650"/>
    <mergeCell ref="C704:D704"/>
    <mergeCell ref="C705:D705"/>
    <mergeCell ref="A683:B683"/>
    <mergeCell ref="C683:D683"/>
    <mergeCell ref="A684:B684"/>
    <mergeCell ref="C684:D684"/>
    <mergeCell ref="A685:B685"/>
    <mergeCell ref="C685:D685"/>
    <mergeCell ref="A2020:B2020"/>
    <mergeCell ref="C2020:D2020"/>
    <mergeCell ref="A2005:B2005"/>
    <mergeCell ref="C2005:D2005"/>
    <mergeCell ref="A2041:B2041"/>
    <mergeCell ref="C2041:D2041"/>
    <mergeCell ref="A2011:D2011"/>
    <mergeCell ref="A2012:D2012"/>
    <mergeCell ref="A1:D1"/>
    <mergeCell ref="C3:D3"/>
    <mergeCell ref="A5:B5"/>
    <mergeCell ref="C5:D5"/>
    <mergeCell ref="A8:B8"/>
    <mergeCell ref="C47:D47"/>
    <mergeCell ref="A49:B49"/>
    <mergeCell ref="C49:D49"/>
    <mergeCell ref="A50:B50"/>
    <mergeCell ref="C50:D50"/>
    <mergeCell ref="A52:D52"/>
    <mergeCell ref="A38:D38"/>
    <mergeCell ref="A39:D39"/>
    <mergeCell ref="A40:D40"/>
    <mergeCell ref="A42:D42"/>
    <mergeCell ref="A43:B43"/>
    <mergeCell ref="A2052:D2052"/>
    <mergeCell ref="A2044:B2044"/>
    <mergeCell ref="C2044:D2044"/>
    <mergeCell ref="A2045:B2045"/>
    <mergeCell ref="C2045:D2045"/>
    <mergeCell ref="A2046:B2046"/>
    <mergeCell ref="A686:D686"/>
    <mergeCell ref="A687:D687"/>
    <mergeCell ref="A688:D688"/>
    <mergeCell ref="A689:D689"/>
    <mergeCell ref="A690:D690"/>
    <mergeCell ref="A691:B691"/>
    <mergeCell ref="C691:D691"/>
    <mergeCell ref="C650:D650"/>
    <mergeCell ref="C651:D651"/>
    <mergeCell ref="A668:B668"/>
    <mergeCell ref="A2121:D2121"/>
    <mergeCell ref="A2128:B2128"/>
    <mergeCell ref="C2128:D2128"/>
    <mergeCell ref="A2037:D2037"/>
    <mergeCell ref="C1990:D1990"/>
    <mergeCell ref="A1991:B1991"/>
    <mergeCell ref="C1991:D1991"/>
    <mergeCell ref="A1992:B1992"/>
    <mergeCell ref="C1992:D1992"/>
    <mergeCell ref="C1995:D1995"/>
    <mergeCell ref="A1996:D1996"/>
    <mergeCell ref="A1997:D1997"/>
    <mergeCell ref="A1998:D1998"/>
    <mergeCell ref="A1999:D1999"/>
    <mergeCell ref="A2000:B2000"/>
    <mergeCell ref="C2000:D2000"/>
    <mergeCell ref="C2019:D2019"/>
    <mergeCell ref="C2021:D2021"/>
    <mergeCell ref="A2022:B2022"/>
    <mergeCell ref="A2017:B2017"/>
    <mergeCell ref="C2017:D2017"/>
    <mergeCell ref="A2018:B2018"/>
    <mergeCell ref="C2018:D2018"/>
    <mergeCell ref="A2019:B2019"/>
    <mergeCell ref="C2001:D2001"/>
    <mergeCell ref="A2003:B2003"/>
    <mergeCell ref="C2003:D2003"/>
    <mergeCell ref="A2004:B2004"/>
    <mergeCell ref="C2004:D2004"/>
    <mergeCell ref="A2006:B2006"/>
    <mergeCell ref="A2009:D2009"/>
    <mergeCell ref="A2010:D2010"/>
    <mergeCell ref="A2013:D2013"/>
    <mergeCell ref="A2014:B2014"/>
    <mergeCell ref="C2014:D2014"/>
    <mergeCell ref="C2015:D2015"/>
    <mergeCell ref="A1978:B1978"/>
    <mergeCell ref="C1978:D1978"/>
    <mergeCell ref="A1979:B1979"/>
    <mergeCell ref="C1979:D1979"/>
    <mergeCell ref="C2007:D2007"/>
    <mergeCell ref="A2008:B2008"/>
    <mergeCell ref="C2008:D2008"/>
    <mergeCell ref="A1995:B1995"/>
    <mergeCell ref="A1963:B1963"/>
    <mergeCell ref="C1963:D1963"/>
    <mergeCell ref="A1976:B1976"/>
    <mergeCell ref="C1976:D1976"/>
    <mergeCell ref="A1977:B1977"/>
    <mergeCell ref="C1977:D1977"/>
    <mergeCell ref="A1980:B1980"/>
    <mergeCell ref="C1980:D1980"/>
    <mergeCell ref="A1981:B1981"/>
    <mergeCell ref="C1981:D1981"/>
    <mergeCell ref="A1993:B1993"/>
    <mergeCell ref="C1993:D1993"/>
    <mergeCell ref="A1994:B1994"/>
    <mergeCell ref="C1994:D1994"/>
    <mergeCell ref="A1985:D1985"/>
    <mergeCell ref="A1986:D1986"/>
    <mergeCell ref="A1982:D1982"/>
    <mergeCell ref="A1983:D1983"/>
    <mergeCell ref="A1984:D1984"/>
    <mergeCell ref="A1987:B1987"/>
    <mergeCell ref="C1987:D1987"/>
    <mergeCell ref="C1988:D1988"/>
    <mergeCell ref="A1990:B1990"/>
    <mergeCell ref="A1969:D1969"/>
    <mergeCell ref="A1970:D1970"/>
    <mergeCell ref="C1974:D1974"/>
    <mergeCell ref="C1936:D1936"/>
    <mergeCell ref="A1959:D1959"/>
    <mergeCell ref="A1955:D1955"/>
    <mergeCell ref="A1944:D1944"/>
    <mergeCell ref="C1947:D1947"/>
    <mergeCell ref="A1950:B1950"/>
    <mergeCell ref="C1950:D1950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6:D1956"/>
    <mergeCell ref="A1957:D1957"/>
    <mergeCell ref="A1958:D1958"/>
    <mergeCell ref="C1941:D1941"/>
    <mergeCell ref="A1942:D1942"/>
    <mergeCell ref="A1943:D1943"/>
    <mergeCell ref="C1946:D1946"/>
    <mergeCell ref="A1949:B1949"/>
    <mergeCell ref="C1949:D1949"/>
    <mergeCell ref="A1876:D1876"/>
    <mergeCell ref="A1877:D1877"/>
    <mergeCell ref="A1869:B1869"/>
    <mergeCell ref="C1869:D1869"/>
    <mergeCell ref="A1870:B1870"/>
    <mergeCell ref="C1870:D1870"/>
    <mergeCell ref="A1861:D1861"/>
    <mergeCell ref="A1862:D1862"/>
    <mergeCell ref="A1865:B1865"/>
    <mergeCell ref="C1865:D1865"/>
    <mergeCell ref="C1866:D1866"/>
    <mergeCell ref="A1868:B1868"/>
    <mergeCell ref="C1868:D1868"/>
    <mergeCell ref="A1871:B1871"/>
    <mergeCell ref="C1871:D1871"/>
    <mergeCell ref="A1872:B1872"/>
    <mergeCell ref="C1872:D1872"/>
    <mergeCell ref="A1873:B1873"/>
    <mergeCell ref="C1873:D1873"/>
    <mergeCell ref="A1874:D1874"/>
    <mergeCell ref="A1875:D1875"/>
    <mergeCell ref="A1878:D1878"/>
    <mergeCell ref="A1879:B1879"/>
    <mergeCell ref="A1896:B1896"/>
    <mergeCell ref="C1896:D1896"/>
    <mergeCell ref="A1900:B1900"/>
    <mergeCell ref="C1900:D1900"/>
    <mergeCell ref="A1885:B1885"/>
    <mergeCell ref="C1885:D1885"/>
    <mergeCell ref="A1886:B1886"/>
    <mergeCell ref="C1886:D1886"/>
    <mergeCell ref="A1895:B1895"/>
    <mergeCell ref="C1895:D1895"/>
    <mergeCell ref="A1897:B1897"/>
    <mergeCell ref="C1897:D1897"/>
    <mergeCell ref="A1898:B1898"/>
    <mergeCell ref="C1898:D1898"/>
    <mergeCell ref="A1899:B1899"/>
    <mergeCell ref="C1899:D1899"/>
    <mergeCell ref="C1879:D1879"/>
    <mergeCell ref="C1880:D1880"/>
    <mergeCell ref="A1882:B1882"/>
    <mergeCell ref="C1882:D1882"/>
    <mergeCell ref="A1883:B1883"/>
    <mergeCell ref="C1883:D1883"/>
    <mergeCell ref="A1884:B1884"/>
    <mergeCell ref="C1884:D1884"/>
    <mergeCell ref="A1887:B1887"/>
    <mergeCell ref="C1887:D1887"/>
    <mergeCell ref="A1888:D1888"/>
    <mergeCell ref="A1889:D1889"/>
    <mergeCell ref="A1890:D1890"/>
    <mergeCell ref="A1891:D1891"/>
    <mergeCell ref="A1803:B1803"/>
    <mergeCell ref="C1803:D1803"/>
    <mergeCell ref="A1805:B1805"/>
    <mergeCell ref="C1805:D1805"/>
    <mergeCell ref="A1806:B1806"/>
    <mergeCell ref="C1806:D1806"/>
    <mergeCell ref="A1807:D1807"/>
    <mergeCell ref="A1808:D1808"/>
    <mergeCell ref="A1809:D1809"/>
    <mergeCell ref="A1810:D1810"/>
    <mergeCell ref="A1811:B1811"/>
    <mergeCell ref="C1811:D1811"/>
    <mergeCell ref="A1793:D1793"/>
    <mergeCell ref="A1794:D1794"/>
    <mergeCell ref="A1795:D1795"/>
    <mergeCell ref="A1796:D1796"/>
    <mergeCell ref="A1797:D1797"/>
    <mergeCell ref="A1798:B1798"/>
    <mergeCell ref="C1798:D1798"/>
    <mergeCell ref="C1799:D1799"/>
    <mergeCell ref="A1801:B1801"/>
    <mergeCell ref="C1801:D1801"/>
    <mergeCell ref="A1802:B1802"/>
    <mergeCell ref="C1802:D1802"/>
    <mergeCell ref="A1804:B1804"/>
    <mergeCell ref="C1804:D1804"/>
    <mergeCell ref="C1812:D1812"/>
    <mergeCell ref="A1814:B1814"/>
    <mergeCell ref="C1814:D1814"/>
    <mergeCell ref="A1835:D1835"/>
    <mergeCell ref="A1838:B1838"/>
    <mergeCell ref="C1838:D1838"/>
    <mergeCell ref="A1819:B1819"/>
    <mergeCell ref="A1837:D1837"/>
    <mergeCell ref="A1699:D1699"/>
    <mergeCell ref="A1700:D1700"/>
    <mergeCell ref="A1701:D1701"/>
    <mergeCell ref="A1702:D1702"/>
    <mergeCell ref="A1703:B1703"/>
    <mergeCell ref="C1703:D1703"/>
    <mergeCell ref="C1704:D1704"/>
    <mergeCell ref="A1706:B1706"/>
    <mergeCell ref="C1706:D1706"/>
    <mergeCell ref="A1707:B1707"/>
    <mergeCell ref="C1707:D1707"/>
    <mergeCell ref="A1708:B1708"/>
    <mergeCell ref="C1708:D1708"/>
    <mergeCell ref="A1730:B1730"/>
    <mergeCell ref="C1730:D1730"/>
    <mergeCell ref="C1731:D1731"/>
    <mergeCell ref="A1727:D1727"/>
    <mergeCell ref="A1751:B1751"/>
    <mergeCell ref="C1751:D1751"/>
    <mergeCell ref="A1752:B1752"/>
    <mergeCell ref="C1819:D1819"/>
    <mergeCell ref="A1820:D1820"/>
    <mergeCell ref="A1829:B1829"/>
    <mergeCell ref="C1829:D1829"/>
    <mergeCell ref="A1695:B1695"/>
    <mergeCell ref="C1695:D1695"/>
    <mergeCell ref="A1649:B1649"/>
    <mergeCell ref="A1830:B1830"/>
    <mergeCell ref="C1830:D1830"/>
    <mergeCell ref="A1831:B1831"/>
    <mergeCell ref="C1831:D1831"/>
    <mergeCell ref="A1832:B1832"/>
    <mergeCell ref="C1832:D1832"/>
    <mergeCell ref="A1833:B1833"/>
    <mergeCell ref="C1833:D1833"/>
    <mergeCell ref="A1834:D1834"/>
    <mergeCell ref="A1836:D1836"/>
    <mergeCell ref="A1742:D1742"/>
    <mergeCell ref="C1745:D1745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D1739"/>
    <mergeCell ref="A1740:D1740"/>
    <mergeCell ref="A1741:D1741"/>
    <mergeCell ref="A1750:B1750"/>
    <mergeCell ref="C1750:D1750"/>
    <mergeCell ref="A1747:B1747"/>
    <mergeCell ref="C1747:D1747"/>
    <mergeCell ref="A1661:D1661"/>
    <mergeCell ref="A1662:D1662"/>
    <mergeCell ref="A1663:B1663"/>
    <mergeCell ref="C1663:D1663"/>
    <mergeCell ref="A1666:B1666"/>
    <mergeCell ref="C1666:D1666"/>
    <mergeCell ref="A1667:B1667"/>
    <mergeCell ref="C1667:D1667"/>
    <mergeCell ref="A1689:D1689"/>
    <mergeCell ref="A1671:B1671"/>
    <mergeCell ref="C1671:D1671"/>
    <mergeCell ref="A1683:B1683"/>
    <mergeCell ref="C1683:D1683"/>
    <mergeCell ref="A1684:B1684"/>
    <mergeCell ref="C1684:D1684"/>
    <mergeCell ref="A1670:B1670"/>
    <mergeCell ref="C1670:D1670"/>
    <mergeCell ref="A1685:D1685"/>
    <mergeCell ref="A1626:B1626"/>
    <mergeCell ref="C1626:D1626"/>
    <mergeCell ref="A1627:B1627"/>
    <mergeCell ref="C1627:D1627"/>
    <mergeCell ref="A1628:B1628"/>
    <mergeCell ref="C1628:D1628"/>
    <mergeCell ref="A1629:B1629"/>
    <mergeCell ref="C1629:D1629"/>
    <mergeCell ref="A1630:B1630"/>
    <mergeCell ref="C1630:D1630"/>
    <mergeCell ref="A1631:D1631"/>
    <mergeCell ref="A1632:D1632"/>
    <mergeCell ref="A1652:B1652"/>
    <mergeCell ref="C1652:D1652"/>
    <mergeCell ref="A1645:D1645"/>
    <mergeCell ref="A1634:D1634"/>
    <mergeCell ref="C1637:D1637"/>
    <mergeCell ref="A1633:D1633"/>
    <mergeCell ref="A1635:D1635"/>
    <mergeCell ref="A1636:B1636"/>
    <mergeCell ref="C1636:D1636"/>
    <mergeCell ref="A1639:B1639"/>
    <mergeCell ref="C1639:D1639"/>
    <mergeCell ref="A1640:B1640"/>
    <mergeCell ref="C1640:D1640"/>
    <mergeCell ref="A1641:B1641"/>
    <mergeCell ref="C1641:D1641"/>
    <mergeCell ref="A1642:B1642"/>
    <mergeCell ref="C1642:D1642"/>
    <mergeCell ref="A1643:B1643"/>
    <mergeCell ref="A1646:D1646"/>
    <mergeCell ref="A1647:D1647"/>
    <mergeCell ref="C1583:D1583"/>
    <mergeCell ref="A1585:B1585"/>
    <mergeCell ref="C1585:D1585"/>
    <mergeCell ref="A1587:B1587"/>
    <mergeCell ref="C1587:D1587"/>
    <mergeCell ref="A1588:B1588"/>
    <mergeCell ref="A1566:D1566"/>
    <mergeCell ref="A1567:D1567"/>
    <mergeCell ref="A1559:B1559"/>
    <mergeCell ref="C1559:D1559"/>
    <mergeCell ref="A1560:B1560"/>
    <mergeCell ref="C1560:D1560"/>
    <mergeCell ref="A1551:D1551"/>
    <mergeCell ref="A1552:D1552"/>
    <mergeCell ref="A1555:B1555"/>
    <mergeCell ref="C1555:D1555"/>
    <mergeCell ref="A1558:B1558"/>
    <mergeCell ref="C1558:D1558"/>
    <mergeCell ref="A1561:B1561"/>
    <mergeCell ref="C1561:D1561"/>
    <mergeCell ref="A1562:B1562"/>
    <mergeCell ref="C1562:D1562"/>
    <mergeCell ref="A1563:B1563"/>
    <mergeCell ref="C1563:D1563"/>
    <mergeCell ref="A1564:D1564"/>
    <mergeCell ref="A1565:D1565"/>
    <mergeCell ref="C1571:D1571"/>
    <mergeCell ref="A1575:B1575"/>
    <mergeCell ref="C1575:D1575"/>
    <mergeCell ref="A1576:B1576"/>
    <mergeCell ref="C1576:D1576"/>
    <mergeCell ref="A1572:B1572"/>
    <mergeCell ref="C1572:D1572"/>
    <mergeCell ref="A1573:B1573"/>
    <mergeCell ref="C1573:D1573"/>
    <mergeCell ref="A1574:B1574"/>
    <mergeCell ref="C1574:D1574"/>
    <mergeCell ref="A1577:D1577"/>
    <mergeCell ref="A1578:D1578"/>
    <mergeCell ref="A1579:D1579"/>
    <mergeCell ref="A1580:D1580"/>
    <mergeCell ref="A1581:D1581"/>
    <mergeCell ref="A1582:B1582"/>
    <mergeCell ref="C1582:D1582"/>
    <mergeCell ref="A1495:B1495"/>
    <mergeCell ref="C1495:D1495"/>
    <mergeCell ref="A1496:D1496"/>
    <mergeCell ref="A1497:D1497"/>
    <mergeCell ref="A1498:D1498"/>
    <mergeCell ref="A1499:D1499"/>
    <mergeCell ref="A1500:D1500"/>
    <mergeCell ref="A1501:B1501"/>
    <mergeCell ref="C1501:D1501"/>
    <mergeCell ref="C1502:D1502"/>
    <mergeCell ref="A1504:B1504"/>
    <mergeCell ref="C1504:D1504"/>
    <mergeCell ref="A1505:B1505"/>
    <mergeCell ref="A1525:D1525"/>
    <mergeCell ref="A1528:B1528"/>
    <mergeCell ref="C1528:D1528"/>
    <mergeCell ref="A1509:B1509"/>
    <mergeCell ref="C1509:D1509"/>
    <mergeCell ref="A1510:D1510"/>
    <mergeCell ref="A1514:B1514"/>
    <mergeCell ref="C1514:D1514"/>
    <mergeCell ref="A1520:B1520"/>
    <mergeCell ref="C1520:D1520"/>
    <mergeCell ref="A1521:B1521"/>
    <mergeCell ref="C1521:D1521"/>
    <mergeCell ref="A1522:B1522"/>
    <mergeCell ref="C1522:D1522"/>
    <mergeCell ref="A1523:D1523"/>
    <mergeCell ref="A1524:D1524"/>
    <mergeCell ref="A1526:D1526"/>
    <mergeCell ref="A1527:D1527"/>
    <mergeCell ref="C1544:D1544"/>
    <mergeCell ref="C1529:D1529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D1537"/>
    <mergeCell ref="A1538:D1538"/>
    <mergeCell ref="A1539:D1539"/>
    <mergeCell ref="A1540:D1540"/>
    <mergeCell ref="A1541:B1541"/>
    <mergeCell ref="C1541:D1541"/>
    <mergeCell ref="C1542:D1542"/>
    <mergeCell ref="A1466:B1466"/>
    <mergeCell ref="C1466:D1466"/>
    <mergeCell ref="A1458:D1458"/>
    <mergeCell ref="A1459:D1459"/>
    <mergeCell ref="A1447:B1447"/>
    <mergeCell ref="C1447:D1447"/>
    <mergeCell ref="A1451:B1451"/>
    <mergeCell ref="C1451:D1451"/>
    <mergeCell ref="A1452:B1452"/>
    <mergeCell ref="C1452:D1452"/>
    <mergeCell ref="A1460:B1460"/>
    <mergeCell ref="C1460:D1460"/>
    <mergeCell ref="C1461:D1461"/>
    <mergeCell ref="A1463:B1463"/>
    <mergeCell ref="C1463:D1463"/>
    <mergeCell ref="A1464:B1464"/>
    <mergeCell ref="C1440:D1440"/>
    <mergeCell ref="A1441:B1441"/>
    <mergeCell ref="C1441:D1441"/>
    <mergeCell ref="A1444:D1444"/>
    <mergeCell ref="A1445:D1445"/>
    <mergeCell ref="A1446:D1446"/>
    <mergeCell ref="C1448:D1448"/>
    <mergeCell ref="A1450:B1450"/>
    <mergeCell ref="C1450:D1450"/>
    <mergeCell ref="A1379:B1379"/>
    <mergeCell ref="C1379:D1379"/>
    <mergeCell ref="C1380:D1380"/>
    <mergeCell ref="A1382:B1382"/>
    <mergeCell ref="C1382:D1382"/>
    <mergeCell ref="A1383:B1383"/>
    <mergeCell ref="C1383:D1383"/>
    <mergeCell ref="A1400:B1400"/>
    <mergeCell ref="C1400:D1400"/>
    <mergeCell ref="A1385:B1385"/>
    <mergeCell ref="C1385:D1385"/>
    <mergeCell ref="A1398:B1398"/>
    <mergeCell ref="A1432:D1432"/>
    <mergeCell ref="A1436:B1436"/>
    <mergeCell ref="C1436:D1436"/>
    <mergeCell ref="A1429:D1429"/>
    <mergeCell ref="A1430:D1430"/>
    <mergeCell ref="A1431:D1431"/>
    <mergeCell ref="A1433:B1433"/>
    <mergeCell ref="C1433:D1433"/>
    <mergeCell ref="C1434:D1434"/>
    <mergeCell ref="A1423:B1423"/>
    <mergeCell ref="C1423:D1423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A1376:D1376"/>
    <mergeCell ref="A1377:D1377"/>
    <mergeCell ref="A1378:D1378"/>
    <mergeCell ref="C1356:D1356"/>
    <mergeCell ref="A1357:B1357"/>
    <mergeCell ref="C1357:D1357"/>
    <mergeCell ref="A1360:B1360"/>
    <mergeCell ref="C1360:D1360"/>
    <mergeCell ref="A1361:D1361"/>
    <mergeCell ref="A1362:D1362"/>
    <mergeCell ref="A1363:D1363"/>
    <mergeCell ref="A1364:D1364"/>
    <mergeCell ref="A1366:B1366"/>
    <mergeCell ref="C1366:D1366"/>
    <mergeCell ref="C1367:D1367"/>
    <mergeCell ref="A1370:B1370"/>
    <mergeCell ref="C1370:D1370"/>
    <mergeCell ref="A1371:B1371"/>
    <mergeCell ref="A1305:B1305"/>
    <mergeCell ref="C1305:D1305"/>
    <mergeCell ref="A1306:B1306"/>
    <mergeCell ref="C1306:D1306"/>
    <mergeCell ref="A1307:D1307"/>
    <mergeCell ref="A1276:B1276"/>
    <mergeCell ref="C1276:D1276"/>
    <mergeCell ref="A1261:B1261"/>
    <mergeCell ref="C1261:D1261"/>
    <mergeCell ref="A1269:D1269"/>
    <mergeCell ref="A1270:D1270"/>
    <mergeCell ref="A1271:B1271"/>
    <mergeCell ref="C1271:D1271"/>
    <mergeCell ref="C1272:D1272"/>
    <mergeCell ref="A1274:B1274"/>
    <mergeCell ref="C1274:D1274"/>
    <mergeCell ref="A1275:B1275"/>
    <mergeCell ref="C1275:D1275"/>
    <mergeCell ref="A1277:B1277"/>
    <mergeCell ref="C1277:D1277"/>
    <mergeCell ref="A1278:B1278"/>
    <mergeCell ref="C1278:D1278"/>
    <mergeCell ref="A1292:B1292"/>
    <mergeCell ref="C1292:D1292"/>
    <mergeCell ref="A1293:B1293"/>
    <mergeCell ref="C1293:D1293"/>
    <mergeCell ref="A1294:D1294"/>
    <mergeCell ref="A1295:D1295"/>
    <mergeCell ref="A1265:B1265"/>
    <mergeCell ref="C1265:D1265"/>
    <mergeCell ref="A1266:B1266"/>
    <mergeCell ref="C1266:D1266"/>
    <mergeCell ref="A1243:D1243"/>
    <mergeCell ref="A1244:B1244"/>
    <mergeCell ref="C1244:D1244"/>
    <mergeCell ref="A1247:B1247"/>
    <mergeCell ref="C1247:D1247"/>
    <mergeCell ref="A1248:B1248"/>
    <mergeCell ref="C1248:D1248"/>
    <mergeCell ref="A1251:B1251"/>
    <mergeCell ref="C1251:D1251"/>
    <mergeCell ref="A1252:B1252"/>
    <mergeCell ref="C1252:D1252"/>
    <mergeCell ref="A1253:D1253"/>
    <mergeCell ref="A1254:D1254"/>
    <mergeCell ref="A1255:D1255"/>
    <mergeCell ref="C1195:D1195"/>
    <mergeCell ref="A1196:B1196"/>
    <mergeCell ref="C1196:D1196"/>
    <mergeCell ref="A1199:D1199"/>
    <mergeCell ref="A1200:D1200"/>
    <mergeCell ref="A1201:D1201"/>
    <mergeCell ref="A1204:B1204"/>
    <mergeCell ref="C1204:D1204"/>
    <mergeCell ref="C1205:D1205"/>
    <mergeCell ref="A1207:B1207"/>
    <mergeCell ref="C1207:D1207"/>
    <mergeCell ref="A1208:B1208"/>
    <mergeCell ref="C1208:D1208"/>
    <mergeCell ref="A1209:B1209"/>
    <mergeCell ref="C1209:D1209"/>
    <mergeCell ref="A1226:D1226"/>
    <mergeCell ref="A1229:D1229"/>
    <mergeCell ref="A1230:D1230"/>
    <mergeCell ref="A1256:D1256"/>
    <mergeCell ref="A1257:D1257"/>
    <mergeCell ref="A1249:B1249"/>
    <mergeCell ref="C1249:D1249"/>
    <mergeCell ref="A1250:B1250"/>
    <mergeCell ref="C1250:D1250"/>
    <mergeCell ref="C1245:D1245"/>
    <mergeCell ref="C1237:D1237"/>
    <mergeCell ref="A1238:B1238"/>
    <mergeCell ref="C1238:D1238"/>
    <mergeCell ref="A1239:B1239"/>
    <mergeCell ref="C1239:D1239"/>
    <mergeCell ref="A1240:D1240"/>
    <mergeCell ref="A1215:D1215"/>
    <mergeCell ref="A1144:B1144"/>
    <mergeCell ref="C1144:D1144"/>
    <mergeCell ref="A1145:D1145"/>
    <mergeCell ref="A1210:B1210"/>
    <mergeCell ref="C1210:D1210"/>
    <mergeCell ref="A1202:D1202"/>
    <mergeCell ref="A1203:D1203"/>
    <mergeCell ref="C1191:D1191"/>
    <mergeCell ref="A1195:B1195"/>
    <mergeCell ref="A1186:D1186"/>
    <mergeCell ref="A1176:D1176"/>
    <mergeCell ref="A1180:B1180"/>
    <mergeCell ref="C1180:D1180"/>
    <mergeCell ref="A1172:D1172"/>
    <mergeCell ref="A1171:B1171"/>
    <mergeCell ref="C1171:D1171"/>
    <mergeCell ref="A1173:D1173"/>
    <mergeCell ref="A1174:D1174"/>
    <mergeCell ref="A1129:B1129"/>
    <mergeCell ref="C1129:D112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6:D1146"/>
    <mergeCell ref="A1147:D1147"/>
    <mergeCell ref="A1148:D1148"/>
    <mergeCell ref="C1164:D1164"/>
    <mergeCell ref="A1161:D1161"/>
    <mergeCell ref="A1149:D1149"/>
    <mergeCell ref="A1150:B1150"/>
    <mergeCell ref="C1150:D1150"/>
    <mergeCell ref="C1151:D1151"/>
    <mergeCell ref="A1153:B1153"/>
    <mergeCell ref="C1153:D1153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D1159"/>
    <mergeCell ref="A1078:D1078"/>
    <mergeCell ref="A1079:D1079"/>
    <mergeCell ref="A1068:D1068"/>
    <mergeCell ref="A1072:B1072"/>
    <mergeCell ref="C1072:D1072"/>
    <mergeCell ref="A1075:B1075"/>
    <mergeCell ref="C1075:D1075"/>
    <mergeCell ref="A1076:B1076"/>
    <mergeCell ref="C1076:D1076"/>
    <mergeCell ref="A1077:B1077"/>
    <mergeCell ref="C1077:D1077"/>
    <mergeCell ref="A1080:D1080"/>
    <mergeCell ref="A1081:D1081"/>
    <mergeCell ref="C1083:D1083"/>
    <mergeCell ref="A1085:B1085"/>
    <mergeCell ref="C1085:D1085"/>
    <mergeCell ref="A1073:B1073"/>
    <mergeCell ref="C1073:D1073"/>
    <mergeCell ref="A1074:B1074"/>
    <mergeCell ref="C1074:D1074"/>
    <mergeCell ref="A1020:B1020"/>
    <mergeCell ref="C1020:D1020"/>
    <mergeCell ref="A1005:B1005"/>
    <mergeCell ref="C1005:D1005"/>
    <mergeCell ref="A1009:B1009"/>
    <mergeCell ref="C1009:D1009"/>
    <mergeCell ref="A1019:B1019"/>
    <mergeCell ref="C1019:D1019"/>
    <mergeCell ref="A1021:B1021"/>
    <mergeCell ref="C1021:D1021"/>
    <mergeCell ref="A1022:B1022"/>
    <mergeCell ref="C1022:D1022"/>
    <mergeCell ref="A1023:B1023"/>
    <mergeCell ref="C1023:D1023"/>
    <mergeCell ref="A1024:D1024"/>
    <mergeCell ref="A1036:B1036"/>
    <mergeCell ref="C1036:D1036"/>
    <mergeCell ref="C1016:D1016"/>
    <mergeCell ref="A1018:B1018"/>
    <mergeCell ref="C1018:D1018"/>
    <mergeCell ref="A1007:B1007"/>
    <mergeCell ref="C1007:D1007"/>
    <mergeCell ref="A1008:B1008"/>
    <mergeCell ref="C1008:D1008"/>
    <mergeCell ref="A1010:D1010"/>
    <mergeCell ref="A1011:D1011"/>
    <mergeCell ref="A1012:D1012"/>
    <mergeCell ref="A1013:D1013"/>
    <mergeCell ref="A1014:D1014"/>
    <mergeCell ref="A1015:B1015"/>
    <mergeCell ref="C1015:D1015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52:D1052"/>
    <mergeCell ref="A1049:B1049"/>
    <mergeCell ref="C1049:D1049"/>
    <mergeCell ref="A1050:B1050"/>
    <mergeCell ref="C1050:D1050"/>
    <mergeCell ref="A1051:D1051"/>
    <mergeCell ref="A1048:B1048"/>
    <mergeCell ref="C1048:D1048"/>
    <mergeCell ref="A1035:B1035"/>
    <mergeCell ref="C1035:D1035"/>
    <mergeCell ref="A1038:D1038"/>
    <mergeCell ref="A1039:D1039"/>
    <mergeCell ref="A1040:D1040"/>
    <mergeCell ref="A1041:D1041"/>
    <mergeCell ref="A1042:B1042"/>
    <mergeCell ref="C1042:D1042"/>
    <mergeCell ref="C1043:D1043"/>
    <mergeCell ref="A1045:B1045"/>
    <mergeCell ref="C1045:D1045"/>
    <mergeCell ref="A1046:B1046"/>
    <mergeCell ref="C1046:D1046"/>
    <mergeCell ref="A1047:B1047"/>
    <mergeCell ref="C1047:D1047"/>
    <mergeCell ref="A970:D970"/>
    <mergeCell ref="A974:B974"/>
    <mergeCell ref="C974:D974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1:D971"/>
    <mergeCell ref="A972:D972"/>
    <mergeCell ref="A973:D973"/>
    <mergeCell ref="A959:D959"/>
    <mergeCell ref="C962:D962"/>
    <mergeCell ref="A944:D944"/>
    <mergeCell ref="A947:B947"/>
    <mergeCell ref="C947:D947"/>
    <mergeCell ref="C948:D948"/>
    <mergeCell ref="A956:D956"/>
    <mergeCell ref="A957:D957"/>
    <mergeCell ref="A958:D958"/>
    <mergeCell ref="A960:D960"/>
    <mergeCell ref="A961:B961"/>
    <mergeCell ref="C961:D961"/>
    <mergeCell ref="C881:D881"/>
    <mergeCell ref="A878:D878"/>
    <mergeCell ref="A866:B866"/>
    <mergeCell ref="C866:D866"/>
    <mergeCell ref="A875:D875"/>
    <mergeCell ref="A876:D876"/>
    <mergeCell ref="A877:D877"/>
    <mergeCell ref="A879:D879"/>
    <mergeCell ref="A880:B880"/>
    <mergeCell ref="C880:D880"/>
    <mergeCell ref="A883:B883"/>
    <mergeCell ref="C883:D883"/>
    <mergeCell ref="A884:B884"/>
    <mergeCell ref="C884:D884"/>
    <mergeCell ref="A903:D903"/>
    <mergeCell ref="A904:D904"/>
    <mergeCell ref="A896:B896"/>
    <mergeCell ref="C896:D896"/>
    <mergeCell ref="A919:D919"/>
    <mergeCell ref="A927:B927"/>
    <mergeCell ref="A890:D890"/>
    <mergeCell ref="A891:D891"/>
    <mergeCell ref="A892:D892"/>
    <mergeCell ref="A893:B893"/>
    <mergeCell ref="C893:D893"/>
    <mergeCell ref="A861:B861"/>
    <mergeCell ref="C861:D861"/>
    <mergeCell ref="A865:D865"/>
    <mergeCell ref="C867:D867"/>
    <mergeCell ref="A869:B869"/>
    <mergeCell ref="C869:D869"/>
    <mergeCell ref="A870:B870"/>
    <mergeCell ref="C870:D870"/>
    <mergeCell ref="A871:B871"/>
    <mergeCell ref="C871:D871"/>
    <mergeCell ref="A872:B872"/>
    <mergeCell ref="C872:D872"/>
    <mergeCell ref="A873:B873"/>
    <mergeCell ref="C873:D873"/>
    <mergeCell ref="A857:B857"/>
    <mergeCell ref="C857:D857"/>
    <mergeCell ref="C854:D854"/>
    <mergeCell ref="A856:B856"/>
    <mergeCell ref="C856:D856"/>
    <mergeCell ref="A858:B858"/>
    <mergeCell ref="C858:D858"/>
    <mergeCell ref="A859:B859"/>
    <mergeCell ref="C859:D859"/>
    <mergeCell ref="A860:B860"/>
    <mergeCell ref="C860:D860"/>
    <mergeCell ref="A862:D862"/>
    <mergeCell ref="A863:D863"/>
    <mergeCell ref="A864:D864"/>
    <mergeCell ref="A889:D889"/>
    <mergeCell ref="A885:B885"/>
    <mergeCell ref="C885:D885"/>
    <mergeCell ref="A886:B886"/>
    <mergeCell ref="C886:D886"/>
    <mergeCell ref="A887:B887"/>
    <mergeCell ref="C887:D887"/>
    <mergeCell ref="A888:B888"/>
    <mergeCell ref="C888:D888"/>
    <mergeCell ref="A874:B874"/>
    <mergeCell ref="C874:D874"/>
    <mergeCell ref="A826:B826"/>
    <mergeCell ref="C826:D826"/>
    <mergeCell ref="A830:B830"/>
    <mergeCell ref="C830:D830"/>
    <mergeCell ref="A822:D822"/>
    <mergeCell ref="A823:D823"/>
    <mergeCell ref="A812:B812"/>
    <mergeCell ref="C812:D812"/>
    <mergeCell ref="C813:D813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820:B820"/>
    <mergeCell ref="C820:D820"/>
    <mergeCell ref="A821:D821"/>
    <mergeCell ref="A825:D825"/>
    <mergeCell ref="A785:B785"/>
    <mergeCell ref="C785:D785"/>
    <mergeCell ref="A780:B780"/>
    <mergeCell ref="C780:D780"/>
    <mergeCell ref="A781:D781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2:D782"/>
    <mergeCell ref="A783:D783"/>
    <mergeCell ref="A784:D784"/>
    <mergeCell ref="C786:D786"/>
    <mergeCell ref="A809:D809"/>
    <mergeCell ref="A796:D796"/>
    <mergeCell ref="A799:B799"/>
    <mergeCell ref="C799:D799"/>
    <mergeCell ref="C800:D800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D794"/>
    <mergeCell ref="A664:B664"/>
    <mergeCell ref="C664:D664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61:D661"/>
    <mergeCell ref="A663:D663"/>
    <mergeCell ref="C665:D665"/>
    <mergeCell ref="A667:B667"/>
    <mergeCell ref="C667:D667"/>
    <mergeCell ref="A559:B559"/>
    <mergeCell ref="C559:D559"/>
    <mergeCell ref="A563:B563"/>
    <mergeCell ref="C563:D563"/>
    <mergeCell ref="A555:D555"/>
    <mergeCell ref="A548:B548"/>
    <mergeCell ref="C548:D548"/>
    <mergeCell ref="A549:B549"/>
    <mergeCell ref="C549:D549"/>
    <mergeCell ref="A560:B560"/>
    <mergeCell ref="C560:D560"/>
    <mergeCell ref="A561:B561"/>
    <mergeCell ref="C561:D561"/>
    <mergeCell ref="A562:B562"/>
    <mergeCell ref="C562:D562"/>
    <mergeCell ref="A602:B602"/>
    <mergeCell ref="C602:D602"/>
    <mergeCell ref="A564:B564"/>
    <mergeCell ref="C564:D564"/>
    <mergeCell ref="A565:D565"/>
    <mergeCell ref="A566:D566"/>
    <mergeCell ref="A567:D567"/>
    <mergeCell ref="A595:D595"/>
    <mergeCell ref="A596:B596"/>
    <mergeCell ref="C596:D596"/>
    <mergeCell ref="C597:D597"/>
    <mergeCell ref="A599:B599"/>
    <mergeCell ref="C599:D599"/>
    <mergeCell ref="A600:B600"/>
    <mergeCell ref="C600:D600"/>
    <mergeCell ref="A601:B601"/>
    <mergeCell ref="C601:D601"/>
    <mergeCell ref="A603:B603"/>
    <mergeCell ref="A498:D498"/>
    <mergeCell ref="A482:B482"/>
    <mergeCell ref="C482:D48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D497"/>
    <mergeCell ref="A499:D499"/>
    <mergeCell ref="A501:D501"/>
    <mergeCell ref="A518:B518"/>
    <mergeCell ref="C518:D518"/>
    <mergeCell ref="A514:D514"/>
    <mergeCell ref="A502:B502"/>
    <mergeCell ref="C502:D502"/>
    <mergeCell ref="C503:D503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D511"/>
    <mergeCell ref="C435:D435"/>
    <mergeCell ref="A439:B439"/>
    <mergeCell ref="C439:D439"/>
    <mergeCell ref="A431:D431"/>
    <mergeCell ref="A432:D432"/>
    <mergeCell ref="A424:B424"/>
    <mergeCell ref="C424:D424"/>
    <mergeCell ref="A425:B425"/>
    <mergeCell ref="C425:D425"/>
    <mergeCell ref="A429:B429"/>
    <mergeCell ref="C429:D429"/>
    <mergeCell ref="A430:D430"/>
    <mergeCell ref="A433:D433"/>
    <mergeCell ref="A434:B434"/>
    <mergeCell ref="C434:D434"/>
    <mergeCell ref="A437:B437"/>
    <mergeCell ref="C437:D437"/>
    <mergeCell ref="A438:B438"/>
    <mergeCell ref="C438:D438"/>
    <mergeCell ref="A455:B455"/>
    <mergeCell ref="C455:D455"/>
    <mergeCell ref="A456:B456"/>
    <mergeCell ref="C456:D456"/>
    <mergeCell ref="A446:D446"/>
    <mergeCell ref="A447:D447"/>
    <mergeCell ref="A451:B451"/>
    <mergeCell ref="C451:D451"/>
    <mergeCell ref="A442:B442"/>
    <mergeCell ref="C442:D442"/>
    <mergeCell ref="A443:D443"/>
    <mergeCell ref="A444:D444"/>
    <mergeCell ref="A445:D445"/>
    <mergeCell ref="A448:B448"/>
    <mergeCell ref="C448:D448"/>
    <mergeCell ref="C449:D449"/>
    <mergeCell ref="A452:B452"/>
    <mergeCell ref="C452:D452"/>
    <mergeCell ref="A453:B453"/>
    <mergeCell ref="C453:D453"/>
    <mergeCell ref="A373:B373"/>
    <mergeCell ref="C373:D373"/>
    <mergeCell ref="A416:D416"/>
    <mergeCell ref="A405:D405"/>
    <mergeCell ref="C408:D408"/>
    <mergeCell ref="A402:B402"/>
    <mergeCell ref="C402:D402"/>
    <mergeCell ref="A403:D403"/>
    <mergeCell ref="A404:D404"/>
    <mergeCell ref="A406:D406"/>
    <mergeCell ref="A407:B407"/>
    <mergeCell ref="C407:D407"/>
    <mergeCell ref="A410:B410"/>
    <mergeCell ref="C410:D410"/>
    <mergeCell ref="A411:B411"/>
    <mergeCell ref="C411:D411"/>
    <mergeCell ref="A378:D378"/>
    <mergeCell ref="A379:D379"/>
    <mergeCell ref="A380:B380"/>
    <mergeCell ref="C380:D380"/>
    <mergeCell ref="C381:D381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A440:B440"/>
    <mergeCell ref="C440:D440"/>
    <mergeCell ref="A441:B441"/>
    <mergeCell ref="C441:D441"/>
    <mergeCell ref="A276:B276"/>
    <mergeCell ref="C276:D276"/>
    <mergeCell ref="A277:B277"/>
    <mergeCell ref="C277:D277"/>
    <mergeCell ref="A278:B278"/>
    <mergeCell ref="A358:B358"/>
    <mergeCell ref="C358:D358"/>
    <mergeCell ref="A371:B371"/>
    <mergeCell ref="C371:D371"/>
    <mergeCell ref="A372:B372"/>
    <mergeCell ref="C372:D372"/>
    <mergeCell ref="A374:B374"/>
    <mergeCell ref="C374:D374"/>
    <mergeCell ref="A375:B375"/>
    <mergeCell ref="C375:D375"/>
    <mergeCell ref="A376:D376"/>
    <mergeCell ref="A377:D377"/>
    <mergeCell ref="A307:B307"/>
    <mergeCell ref="C307:D307"/>
    <mergeCell ref="A286:B286"/>
    <mergeCell ref="C286:D286"/>
    <mergeCell ref="A295:D295"/>
    <mergeCell ref="A412:B412"/>
    <mergeCell ref="C412:D412"/>
    <mergeCell ref="A413:B413"/>
    <mergeCell ref="C413:D413"/>
    <mergeCell ref="A414:B414"/>
    <mergeCell ref="C414:D414"/>
    <mergeCell ref="A268:D268"/>
    <mergeCell ref="A269:D269"/>
    <mergeCell ref="A270:D270"/>
    <mergeCell ref="C267:D267"/>
    <mergeCell ref="A266:B266"/>
    <mergeCell ref="A271:D271"/>
    <mergeCell ref="A272:B272"/>
    <mergeCell ref="A281:D281"/>
    <mergeCell ref="A280:B280"/>
    <mergeCell ref="C280:D280"/>
    <mergeCell ref="C287:D287"/>
    <mergeCell ref="A289:B289"/>
    <mergeCell ref="C289:D289"/>
    <mergeCell ref="A290:B290"/>
    <mergeCell ref="C290:D290"/>
    <mergeCell ref="A291:B291"/>
    <mergeCell ref="C291:D291"/>
    <mergeCell ref="C272:D272"/>
    <mergeCell ref="C273:D273"/>
    <mergeCell ref="A275:B275"/>
    <mergeCell ref="C275:D275"/>
    <mergeCell ref="C321:D321"/>
    <mergeCell ref="A324:D324"/>
    <mergeCell ref="A325:D325"/>
    <mergeCell ref="A326:B326"/>
    <mergeCell ref="C326:D326"/>
    <mergeCell ref="C278:D278"/>
    <mergeCell ref="A279:B279"/>
    <mergeCell ref="C279:D279"/>
    <mergeCell ref="A282:D282"/>
    <mergeCell ref="A283:D283"/>
    <mergeCell ref="A285:D285"/>
    <mergeCell ref="A292:B292"/>
    <mergeCell ref="C292:D292"/>
    <mergeCell ref="A293:B293"/>
    <mergeCell ref="C293:D293"/>
    <mergeCell ref="A294:B294"/>
    <mergeCell ref="C294:D294"/>
    <mergeCell ref="A312:D312"/>
    <mergeCell ref="A308:D308"/>
    <mergeCell ref="A297:D297"/>
    <mergeCell ref="C300:D300"/>
    <mergeCell ref="A309:D309"/>
    <mergeCell ref="A310:D310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296:D296"/>
    <mergeCell ref="A298:D298"/>
    <mergeCell ref="A235:B235"/>
    <mergeCell ref="C235:D235"/>
    <mergeCell ref="A236:B236"/>
    <mergeCell ref="C236:D236"/>
    <mergeCell ref="A237:B237"/>
    <mergeCell ref="C237:D237"/>
    <mergeCell ref="A241:D241"/>
    <mergeCell ref="A242:D242"/>
    <mergeCell ref="A243:D243"/>
    <mergeCell ref="A244:D244"/>
    <mergeCell ref="A245:B245"/>
    <mergeCell ref="C245:D245"/>
    <mergeCell ref="C246:D246"/>
    <mergeCell ref="A313:B313"/>
    <mergeCell ref="C313:D313"/>
    <mergeCell ref="C314:D314"/>
    <mergeCell ref="A331:B331"/>
    <mergeCell ref="C331:D331"/>
    <mergeCell ref="A322:D322"/>
    <mergeCell ref="A323:D323"/>
    <mergeCell ref="C327:D327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A265:B265"/>
    <mergeCell ref="C265:D265"/>
    <mergeCell ref="A263:B263"/>
    <mergeCell ref="A132:B132"/>
    <mergeCell ref="C132:D132"/>
    <mergeCell ref="A136:D136"/>
    <mergeCell ref="A141:B141"/>
    <mergeCell ref="C141:D141"/>
    <mergeCell ref="A130:B130"/>
    <mergeCell ref="C130:D130"/>
    <mergeCell ref="A131:B131"/>
    <mergeCell ref="C131:D131"/>
    <mergeCell ref="A133:D133"/>
    <mergeCell ref="A134:D134"/>
    <mergeCell ref="C263:D263"/>
    <mergeCell ref="A264:B264"/>
    <mergeCell ref="C264:D264"/>
    <mergeCell ref="A202:D202"/>
    <mergeCell ref="A205:B205"/>
    <mergeCell ref="A143:B143"/>
    <mergeCell ref="C143:D143"/>
    <mergeCell ref="A191:B191"/>
    <mergeCell ref="C191:D191"/>
    <mergeCell ref="A172:B172"/>
    <mergeCell ref="C172:D172"/>
    <mergeCell ref="A173:D173"/>
    <mergeCell ref="A185:B185"/>
    <mergeCell ref="C185:D185"/>
    <mergeCell ref="A187:D187"/>
    <mergeCell ref="A189:D189"/>
    <mergeCell ref="A190:D190"/>
    <mergeCell ref="C205:D205"/>
    <mergeCell ref="A267:B267"/>
    <mergeCell ref="C266:D266"/>
    <mergeCell ref="A156:B156"/>
    <mergeCell ref="C156:D156"/>
    <mergeCell ref="A160:D160"/>
    <mergeCell ref="A161:D161"/>
    <mergeCell ref="A162:D162"/>
    <mergeCell ref="A163:D163"/>
    <mergeCell ref="A164:B164"/>
    <mergeCell ref="C164:D164"/>
    <mergeCell ref="C165:D165"/>
    <mergeCell ref="A167:B167"/>
    <mergeCell ref="C167:D167"/>
    <mergeCell ref="A168:B168"/>
    <mergeCell ref="C168:D168"/>
    <mergeCell ref="A169:B169"/>
    <mergeCell ref="C169:D169"/>
    <mergeCell ref="A188:D188"/>
    <mergeCell ref="A204:D204"/>
    <mergeCell ref="C192:D192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200:D200"/>
    <mergeCell ref="A201:D201"/>
    <mergeCell ref="C125:D125"/>
    <mergeCell ref="A129:B129"/>
    <mergeCell ref="C129:D129"/>
    <mergeCell ref="A121:D121"/>
    <mergeCell ref="A122:D122"/>
    <mergeCell ref="A110:B110"/>
    <mergeCell ref="C110:D110"/>
    <mergeCell ref="A114:B114"/>
    <mergeCell ref="C114:D114"/>
    <mergeCell ref="A115:B115"/>
    <mergeCell ref="C115:D115"/>
    <mergeCell ref="A119:D119"/>
    <mergeCell ref="A120:D120"/>
    <mergeCell ref="A123:D123"/>
    <mergeCell ref="A124:B124"/>
    <mergeCell ref="C124:D124"/>
    <mergeCell ref="A127:B127"/>
    <mergeCell ref="C127:D127"/>
    <mergeCell ref="A128:B128"/>
    <mergeCell ref="C128:D128"/>
    <mergeCell ref="A116:B116"/>
    <mergeCell ref="C116:D116"/>
    <mergeCell ref="A117:B117"/>
    <mergeCell ref="C117:D117"/>
    <mergeCell ref="A13:D13"/>
    <mergeCell ref="A7:B7"/>
    <mergeCell ref="C7:D7"/>
    <mergeCell ref="C8:D8"/>
    <mergeCell ref="A9:B9"/>
    <mergeCell ref="C9:D9"/>
    <mergeCell ref="A11:D11"/>
    <mergeCell ref="A2:B2"/>
    <mergeCell ref="C2:D2"/>
    <mergeCell ref="A6:B6"/>
    <mergeCell ref="C6:D6"/>
    <mergeCell ref="A82:D82"/>
    <mergeCell ref="A86:B86"/>
    <mergeCell ref="C86:D86"/>
    <mergeCell ref="A87:B87"/>
    <mergeCell ref="C87:D87"/>
    <mergeCell ref="A88:B88"/>
    <mergeCell ref="C88:D88"/>
    <mergeCell ref="A54:D54"/>
    <mergeCell ref="A55:D55"/>
    <mergeCell ref="A56:B56"/>
    <mergeCell ref="C56:D56"/>
    <mergeCell ref="A48:B48"/>
    <mergeCell ref="C71:D71"/>
    <mergeCell ref="C57:D57"/>
    <mergeCell ref="C19:D19"/>
    <mergeCell ref="A25:D25"/>
    <mergeCell ref="C48:D48"/>
    <mergeCell ref="A53:D53"/>
    <mergeCell ref="C44:D44"/>
    <mergeCell ref="A46:B46"/>
    <mergeCell ref="C46:D46"/>
    <mergeCell ref="A47:B47"/>
    <mergeCell ref="A36:B36"/>
    <mergeCell ref="C36:D36"/>
    <mergeCell ref="A34:B34"/>
    <mergeCell ref="C34:D34"/>
    <mergeCell ref="A35:B35"/>
    <mergeCell ref="C35:D35"/>
    <mergeCell ref="A83:B83"/>
    <mergeCell ref="C83:D83"/>
    <mergeCell ref="C84:D84"/>
    <mergeCell ref="A80:D80"/>
    <mergeCell ref="A74:B74"/>
    <mergeCell ref="C74:D74"/>
    <mergeCell ref="A75:B75"/>
    <mergeCell ref="C75:D75"/>
    <mergeCell ref="A63:B63"/>
    <mergeCell ref="C63:D63"/>
    <mergeCell ref="A62:B62"/>
    <mergeCell ref="C62:D62"/>
    <mergeCell ref="A65:D65"/>
    <mergeCell ref="A66:D66"/>
    <mergeCell ref="A41:D41"/>
    <mergeCell ref="A68:D68"/>
    <mergeCell ref="C43:D43"/>
    <mergeCell ref="A73:B73"/>
    <mergeCell ref="C73:D73"/>
    <mergeCell ref="A59:B59"/>
    <mergeCell ref="A251:B251"/>
    <mergeCell ref="C251:D251"/>
    <mergeCell ref="A252:B252"/>
    <mergeCell ref="C252:D252"/>
    <mergeCell ref="A254:D254"/>
    <mergeCell ref="A170:B170"/>
    <mergeCell ref="C170:D170"/>
    <mergeCell ref="A171:B171"/>
    <mergeCell ref="C171:D171"/>
    <mergeCell ref="A174:D174"/>
    <mergeCell ref="A175:D175"/>
    <mergeCell ref="A177:D177"/>
    <mergeCell ref="A178:B178"/>
    <mergeCell ref="C178:D178"/>
    <mergeCell ref="C179:D179"/>
    <mergeCell ref="A181:B181"/>
    <mergeCell ref="C181:D181"/>
    <mergeCell ref="A182:B182"/>
    <mergeCell ref="C182:D182"/>
    <mergeCell ref="A183:B183"/>
    <mergeCell ref="A231:D231"/>
    <mergeCell ref="A232:B232"/>
    <mergeCell ref="C232:D232"/>
    <mergeCell ref="C233:D233"/>
    <mergeCell ref="A249:B249"/>
    <mergeCell ref="C249:D249"/>
    <mergeCell ref="A253:B253"/>
    <mergeCell ref="C253:D253"/>
    <mergeCell ref="A238:B238"/>
    <mergeCell ref="C238:D238"/>
    <mergeCell ref="A239:B239"/>
    <mergeCell ref="C239:D239"/>
    <mergeCell ref="C218:D218"/>
    <mergeCell ref="C208:D208"/>
    <mergeCell ref="A208:B208"/>
    <mergeCell ref="A95:D95"/>
    <mergeCell ref="C98:D98"/>
    <mergeCell ref="A89:B89"/>
    <mergeCell ref="C89:D89"/>
    <mergeCell ref="A90:B90"/>
    <mergeCell ref="C90:D90"/>
    <mergeCell ref="A92:D92"/>
    <mergeCell ref="A93:D93"/>
    <mergeCell ref="A94:D94"/>
    <mergeCell ref="A96:D96"/>
    <mergeCell ref="A250:B250"/>
    <mergeCell ref="C250:D250"/>
    <mergeCell ref="A106:D106"/>
    <mergeCell ref="A135:D135"/>
    <mergeCell ref="A137:B137"/>
    <mergeCell ref="C137:D137"/>
    <mergeCell ref="C138:D138"/>
    <mergeCell ref="A140:B140"/>
    <mergeCell ref="C140:D140"/>
    <mergeCell ref="A142:B142"/>
    <mergeCell ref="C142:D142"/>
    <mergeCell ref="A144:B144"/>
    <mergeCell ref="C144:D144"/>
    <mergeCell ref="A146:D146"/>
    <mergeCell ref="A97:B97"/>
    <mergeCell ref="C97:D97"/>
    <mergeCell ref="A100:B100"/>
    <mergeCell ref="C100:D100"/>
    <mergeCell ref="A101:B101"/>
    <mergeCell ref="A226:B226"/>
    <mergeCell ref="C226:D226"/>
    <mergeCell ref="A255:D255"/>
    <mergeCell ref="A256:D256"/>
    <mergeCell ref="A258:D258"/>
    <mergeCell ref="A259:B259"/>
    <mergeCell ref="C259:D259"/>
    <mergeCell ref="C260:D260"/>
    <mergeCell ref="A262:B262"/>
    <mergeCell ref="C262:D262"/>
    <mergeCell ref="A240:B240"/>
    <mergeCell ref="C240:D240"/>
    <mergeCell ref="A257:D257"/>
    <mergeCell ref="C206:D206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6:D216"/>
    <mergeCell ref="A217:D217"/>
    <mergeCell ref="C219:D219"/>
    <mergeCell ref="A221:B221"/>
    <mergeCell ref="C221:D221"/>
    <mergeCell ref="A224:B224"/>
    <mergeCell ref="C224:D224"/>
    <mergeCell ref="A214:D214"/>
    <mergeCell ref="A215:D215"/>
    <mergeCell ref="A218:B218"/>
    <mergeCell ref="A10:B10"/>
    <mergeCell ref="C10:D10"/>
    <mergeCell ref="A24:B24"/>
    <mergeCell ref="C24:D24"/>
    <mergeCell ref="A37:B37"/>
    <mergeCell ref="C37:D37"/>
    <mergeCell ref="A51:B51"/>
    <mergeCell ref="C51:D51"/>
    <mergeCell ref="A64:B64"/>
    <mergeCell ref="C64:D64"/>
    <mergeCell ref="A78:B78"/>
    <mergeCell ref="C78:D78"/>
    <mergeCell ref="A91:B91"/>
    <mergeCell ref="C91:D91"/>
    <mergeCell ref="A105:B105"/>
    <mergeCell ref="C105:D105"/>
    <mergeCell ref="A118:B118"/>
    <mergeCell ref="C118:D118"/>
    <mergeCell ref="C101:D101"/>
    <mergeCell ref="A102:B102"/>
    <mergeCell ref="C102:D102"/>
    <mergeCell ref="A103:B103"/>
    <mergeCell ref="C103:D103"/>
    <mergeCell ref="A104:B104"/>
    <mergeCell ref="C104:D104"/>
    <mergeCell ref="A107:D107"/>
    <mergeCell ref="A108:D108"/>
    <mergeCell ref="A109:D109"/>
    <mergeCell ref="C111:D111"/>
    <mergeCell ref="A113:B113"/>
    <mergeCell ref="C113:D113"/>
    <mergeCell ref="A14:D14"/>
    <mergeCell ref="A147:D147"/>
    <mergeCell ref="A148:D148"/>
    <mergeCell ref="A150:D150"/>
    <mergeCell ref="A151:B151"/>
    <mergeCell ref="C151:D151"/>
    <mergeCell ref="C152:D152"/>
    <mergeCell ref="A154:B154"/>
    <mergeCell ref="C154:D154"/>
    <mergeCell ref="A155:B155"/>
    <mergeCell ref="C155:D155"/>
    <mergeCell ref="A157:B157"/>
    <mergeCell ref="C157:D157"/>
    <mergeCell ref="A158:B158"/>
    <mergeCell ref="C158:D158"/>
    <mergeCell ref="A149:D149"/>
    <mergeCell ref="A145:B145"/>
    <mergeCell ref="C145:D145"/>
    <mergeCell ref="A351:D351"/>
    <mergeCell ref="A352:D352"/>
    <mergeCell ref="A353:B353"/>
    <mergeCell ref="C353:D353"/>
    <mergeCell ref="C354:D354"/>
    <mergeCell ref="A356:B356"/>
    <mergeCell ref="C356:D356"/>
    <mergeCell ref="A159:B159"/>
    <mergeCell ref="C159:D159"/>
    <mergeCell ref="A186:B186"/>
    <mergeCell ref="C186:D186"/>
    <mergeCell ref="A199:B199"/>
    <mergeCell ref="C199:D199"/>
    <mergeCell ref="A213:B213"/>
    <mergeCell ref="C213:D213"/>
    <mergeCell ref="A248:B248"/>
    <mergeCell ref="C248:D248"/>
    <mergeCell ref="A176:D176"/>
    <mergeCell ref="A203:D203"/>
    <mergeCell ref="C183:D183"/>
    <mergeCell ref="A184:B184"/>
    <mergeCell ref="C184:D184"/>
    <mergeCell ref="A229:D229"/>
    <mergeCell ref="A230:D230"/>
    <mergeCell ref="A222:B222"/>
    <mergeCell ref="C222:D222"/>
    <mergeCell ref="A223:B223"/>
    <mergeCell ref="C223:D223"/>
    <mergeCell ref="A225:B225"/>
    <mergeCell ref="C225:D225"/>
    <mergeCell ref="A227:D227"/>
    <mergeCell ref="A228:D228"/>
    <mergeCell ref="A299:B299"/>
    <mergeCell ref="C299:D299"/>
    <mergeCell ref="A302:B302"/>
    <mergeCell ref="A370:B370"/>
    <mergeCell ref="C370:D370"/>
    <mergeCell ref="A329:B329"/>
    <mergeCell ref="C329:D329"/>
    <mergeCell ref="A330:B330"/>
    <mergeCell ref="C330:D330"/>
    <mergeCell ref="A333:B333"/>
    <mergeCell ref="C333:D333"/>
    <mergeCell ref="A334:B334"/>
    <mergeCell ref="C334:D334"/>
    <mergeCell ref="A335:D335"/>
    <mergeCell ref="A336:D336"/>
    <mergeCell ref="A337:D337"/>
    <mergeCell ref="A340:B340"/>
    <mergeCell ref="C340:D340"/>
    <mergeCell ref="C341:D341"/>
    <mergeCell ref="A343:B343"/>
    <mergeCell ref="C343:D343"/>
    <mergeCell ref="A344:B344"/>
    <mergeCell ref="C344:D344"/>
    <mergeCell ref="A332:B332"/>
    <mergeCell ref="C332:D332"/>
    <mergeCell ref="A346:B346"/>
    <mergeCell ref="C346:D346"/>
    <mergeCell ref="A347:B347"/>
    <mergeCell ref="C347:D347"/>
    <mergeCell ref="A338:D338"/>
    <mergeCell ref="A339:D339"/>
    <mergeCell ref="A345:B345"/>
    <mergeCell ref="C345:D345"/>
    <mergeCell ref="A348:B348"/>
    <mergeCell ref="C348:D348"/>
    <mergeCell ref="A415:B415"/>
    <mergeCell ref="C415:D415"/>
    <mergeCell ref="A417:D417"/>
    <mergeCell ref="A418:D418"/>
    <mergeCell ref="A420:D420"/>
    <mergeCell ref="A421:B421"/>
    <mergeCell ref="C421:D421"/>
    <mergeCell ref="C422:D422"/>
    <mergeCell ref="A426:B426"/>
    <mergeCell ref="C426:D426"/>
    <mergeCell ref="A427:B427"/>
    <mergeCell ref="C427:D427"/>
    <mergeCell ref="A357:B357"/>
    <mergeCell ref="C357:D357"/>
    <mergeCell ref="A359:B359"/>
    <mergeCell ref="C359:D359"/>
    <mergeCell ref="A360:B360"/>
    <mergeCell ref="C360:D360"/>
    <mergeCell ref="A361:B361"/>
    <mergeCell ref="C361:D361"/>
    <mergeCell ref="A362:D362"/>
    <mergeCell ref="A363:D363"/>
    <mergeCell ref="A364:D364"/>
    <mergeCell ref="A366:D366"/>
    <mergeCell ref="A367:B367"/>
    <mergeCell ref="C367:D367"/>
    <mergeCell ref="C368:D368"/>
    <mergeCell ref="A349:D349"/>
    <mergeCell ref="A350:D350"/>
    <mergeCell ref="A428:B428"/>
    <mergeCell ref="C428:D428"/>
    <mergeCell ref="C387:D387"/>
    <mergeCell ref="A388:B388"/>
    <mergeCell ref="C388:D388"/>
    <mergeCell ref="A389:D389"/>
    <mergeCell ref="A391:D391"/>
    <mergeCell ref="A393:D393"/>
    <mergeCell ref="C395:D395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394:B394"/>
    <mergeCell ref="C394:D394"/>
    <mergeCell ref="A390:D390"/>
    <mergeCell ref="A480:B480"/>
    <mergeCell ref="C480:D480"/>
    <mergeCell ref="A481:B481"/>
    <mergeCell ref="C481:D481"/>
    <mergeCell ref="A483:B483"/>
    <mergeCell ref="C483:D483"/>
    <mergeCell ref="A484:D484"/>
    <mergeCell ref="A485:D485"/>
    <mergeCell ref="A486:D486"/>
    <mergeCell ref="A487:D487"/>
    <mergeCell ref="A488:B488"/>
    <mergeCell ref="C488:D488"/>
    <mergeCell ref="C489:D489"/>
    <mergeCell ref="A491:B491"/>
    <mergeCell ref="C491:D491"/>
    <mergeCell ref="A492:B492"/>
    <mergeCell ref="C492:D492"/>
    <mergeCell ref="A454:B454"/>
    <mergeCell ref="C454:D454"/>
    <mergeCell ref="A457:D457"/>
    <mergeCell ref="A458:D458"/>
    <mergeCell ref="A459:D459"/>
    <mergeCell ref="A460:D460"/>
    <mergeCell ref="A461:B461"/>
    <mergeCell ref="C461:D461"/>
    <mergeCell ref="C462:D462"/>
    <mergeCell ref="A464:B464"/>
    <mergeCell ref="C464:D464"/>
    <mergeCell ref="A465:B465"/>
    <mergeCell ref="C465:D465"/>
    <mergeCell ref="A467:B467"/>
    <mergeCell ref="C467:D467"/>
    <mergeCell ref="A468:B468"/>
    <mergeCell ref="C468:D468"/>
    <mergeCell ref="A466:B466"/>
    <mergeCell ref="C466:D466"/>
    <mergeCell ref="A469:B469"/>
    <mergeCell ref="C469:D469"/>
    <mergeCell ref="A470:D470"/>
    <mergeCell ref="A471:D471"/>
    <mergeCell ref="A472:D472"/>
    <mergeCell ref="A474:D474"/>
    <mergeCell ref="A475:B475"/>
    <mergeCell ref="C475:D475"/>
    <mergeCell ref="C476:D476"/>
    <mergeCell ref="A478:B478"/>
    <mergeCell ref="C478:D478"/>
    <mergeCell ref="A479:B479"/>
    <mergeCell ref="C479:D479"/>
    <mergeCell ref="A542:B542"/>
    <mergeCell ref="C542:D542"/>
    <mergeCell ref="C543:D543"/>
    <mergeCell ref="A545:B545"/>
    <mergeCell ref="C545:D545"/>
    <mergeCell ref="C532:D532"/>
    <mergeCell ref="A533:B533"/>
    <mergeCell ref="C533:D533"/>
    <mergeCell ref="A524:D524"/>
    <mergeCell ref="A525:D525"/>
    <mergeCell ref="A529:B529"/>
    <mergeCell ref="C529:D529"/>
    <mergeCell ref="C530:D530"/>
    <mergeCell ref="A534:B534"/>
    <mergeCell ref="C534:D534"/>
    <mergeCell ref="A535:B535"/>
    <mergeCell ref="C535:D535"/>
    <mergeCell ref="A536:B536"/>
    <mergeCell ref="C536:D536"/>
    <mergeCell ref="A546:B546"/>
    <mergeCell ref="C546:D546"/>
    <mergeCell ref="A547:B547"/>
    <mergeCell ref="C547:D547"/>
    <mergeCell ref="A550:B550"/>
    <mergeCell ref="C550:D550"/>
    <mergeCell ref="A551:D551"/>
    <mergeCell ref="A552:D552"/>
    <mergeCell ref="A553:D553"/>
    <mergeCell ref="A556:B556"/>
    <mergeCell ref="C556:D556"/>
    <mergeCell ref="C557:D557"/>
    <mergeCell ref="A512:D512"/>
    <mergeCell ref="A513:D513"/>
    <mergeCell ref="A515:B515"/>
    <mergeCell ref="C515:D515"/>
    <mergeCell ref="C516:D516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6:D526"/>
    <mergeCell ref="A528:D528"/>
    <mergeCell ref="A539:D539"/>
    <mergeCell ref="A540:D540"/>
    <mergeCell ref="A532:B532"/>
    <mergeCell ref="A537:B537"/>
    <mergeCell ref="C537:D537"/>
    <mergeCell ref="A538:D538"/>
    <mergeCell ref="A541:D541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D632"/>
    <mergeCell ref="A633:D633"/>
    <mergeCell ref="A636:D636"/>
    <mergeCell ref="A640:B640"/>
    <mergeCell ref="C640:D640"/>
    <mergeCell ref="C624:D624"/>
    <mergeCell ref="A626:B626"/>
    <mergeCell ref="C626:D626"/>
    <mergeCell ref="A627:B627"/>
    <mergeCell ref="C627:D627"/>
    <mergeCell ref="A577:B577"/>
    <mergeCell ref="C577:D577"/>
    <mergeCell ref="A578:D578"/>
    <mergeCell ref="A579:D579"/>
    <mergeCell ref="A580:D580"/>
    <mergeCell ref="A592:D592"/>
    <mergeCell ref="A593:D593"/>
    <mergeCell ref="A594:D594"/>
    <mergeCell ref="A581:D581"/>
    <mergeCell ref="A582:D582"/>
    <mergeCell ref="A641:B641"/>
    <mergeCell ref="C641:D641"/>
    <mergeCell ref="A642:B642"/>
    <mergeCell ref="C642:D642"/>
    <mergeCell ref="C603:D603"/>
    <mergeCell ref="A604:B604"/>
    <mergeCell ref="C604:D604"/>
    <mergeCell ref="A605:D605"/>
    <mergeCell ref="A606:D606"/>
    <mergeCell ref="A607:D607"/>
    <mergeCell ref="A609:D609"/>
    <mergeCell ref="A610:B610"/>
    <mergeCell ref="C610:D610"/>
    <mergeCell ref="C611:D611"/>
    <mergeCell ref="A613:B613"/>
    <mergeCell ref="C613:D613"/>
    <mergeCell ref="A614:B614"/>
    <mergeCell ref="C614:D614"/>
    <mergeCell ref="A615:B615"/>
    <mergeCell ref="C615:D615"/>
    <mergeCell ref="A616:B616"/>
    <mergeCell ref="C616:D616"/>
    <mergeCell ref="A617:B617"/>
    <mergeCell ref="C617:D617"/>
    <mergeCell ref="A618:B618"/>
    <mergeCell ref="C618:D618"/>
    <mergeCell ref="A619:D619"/>
    <mergeCell ref="A620:D620"/>
    <mergeCell ref="A621:D621"/>
    <mergeCell ref="A622:D622"/>
    <mergeCell ref="A623:B623"/>
    <mergeCell ref="C623:D623"/>
    <mergeCell ref="A769:D769"/>
    <mergeCell ref="A771:D771"/>
    <mergeCell ref="A772:B772"/>
    <mergeCell ref="C772:D772"/>
    <mergeCell ref="C773:D773"/>
    <mergeCell ref="A764:B764"/>
    <mergeCell ref="C764:D764"/>
    <mergeCell ref="A670:B670"/>
    <mergeCell ref="C670:D670"/>
    <mergeCell ref="A671:B671"/>
    <mergeCell ref="C671:D671"/>
    <mergeCell ref="A672:B672"/>
    <mergeCell ref="C672:D672"/>
    <mergeCell ref="A673:D673"/>
    <mergeCell ref="A674:D674"/>
    <mergeCell ref="A731:B731"/>
    <mergeCell ref="C731:D731"/>
    <mergeCell ref="C732:D732"/>
    <mergeCell ref="A734:B734"/>
    <mergeCell ref="C734:D734"/>
    <mergeCell ref="A735:B735"/>
    <mergeCell ref="C735:D735"/>
    <mergeCell ref="A736:B736"/>
    <mergeCell ref="C736:D736"/>
    <mergeCell ref="A707:B707"/>
    <mergeCell ref="C751:D751"/>
    <mergeCell ref="A752:B752"/>
    <mergeCell ref="C752:D752"/>
    <mergeCell ref="A710:B710"/>
    <mergeCell ref="C710:D710"/>
    <mergeCell ref="A711:B711"/>
    <mergeCell ref="A716:D716"/>
    <mergeCell ref="C711:D711"/>
    <mergeCell ref="A712:B712"/>
    <mergeCell ref="C712:D712"/>
    <mergeCell ref="A713:D713"/>
    <mergeCell ref="A714:D714"/>
    <mergeCell ref="A727:D727"/>
    <mergeCell ref="A744:D744"/>
    <mergeCell ref="A737:B737"/>
    <mergeCell ref="C737:D737"/>
    <mergeCell ref="A738:B738"/>
    <mergeCell ref="C738:D738"/>
    <mergeCell ref="C763:D763"/>
    <mergeCell ref="A765:B765"/>
    <mergeCell ref="C765:D765"/>
    <mergeCell ref="A754:D754"/>
    <mergeCell ref="A755:D755"/>
    <mergeCell ref="A756:D756"/>
    <mergeCell ref="A757:D757"/>
    <mergeCell ref="A758:B758"/>
    <mergeCell ref="C758:D758"/>
    <mergeCell ref="C759:D759"/>
    <mergeCell ref="C761:D761"/>
    <mergeCell ref="A762:B762"/>
    <mergeCell ref="C762:D762"/>
    <mergeCell ref="A763:B763"/>
    <mergeCell ref="A717:D717"/>
    <mergeCell ref="A726:B726"/>
    <mergeCell ref="C726:D726"/>
    <mergeCell ref="A749:B749"/>
    <mergeCell ref="C753:D753"/>
    <mergeCell ref="A750:B750"/>
    <mergeCell ref="C750:D750"/>
    <mergeCell ref="A675:D675"/>
    <mergeCell ref="A730:D730"/>
    <mergeCell ref="A739:B739"/>
    <mergeCell ref="C739:D739"/>
    <mergeCell ref="A740:D740"/>
    <mergeCell ref="A741:D741"/>
    <mergeCell ref="A742:D742"/>
    <mergeCell ref="A745:B745"/>
    <mergeCell ref="C745:D745"/>
    <mergeCell ref="C746:D746"/>
    <mergeCell ref="A748:B748"/>
    <mergeCell ref="C748:D748"/>
    <mergeCell ref="A728:D728"/>
    <mergeCell ref="A729:D729"/>
    <mergeCell ref="A718:B718"/>
    <mergeCell ref="C718:D718"/>
    <mergeCell ref="C719:D719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C707:D707"/>
    <mergeCell ref="A708:B708"/>
    <mergeCell ref="C708:D708"/>
    <mergeCell ref="A709:B709"/>
    <mergeCell ref="C709:D709"/>
    <mergeCell ref="C749:D749"/>
    <mergeCell ref="A753:B753"/>
    <mergeCell ref="A751:B751"/>
    <mergeCell ref="A824:D824"/>
    <mergeCell ref="A839:B839"/>
    <mergeCell ref="C839:D839"/>
    <mergeCell ref="C840:D840"/>
    <mergeCell ref="A843:B843"/>
    <mergeCell ref="C843:D843"/>
    <mergeCell ref="A844:B844"/>
    <mergeCell ref="C844:D844"/>
    <mergeCell ref="A845:B845"/>
    <mergeCell ref="C845:D845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D808"/>
    <mergeCell ref="A810:D810"/>
    <mergeCell ref="A811:D811"/>
    <mergeCell ref="A797:D797"/>
    <mergeCell ref="A761:B761"/>
    <mergeCell ref="A766:B766"/>
    <mergeCell ref="C766:D766"/>
    <mergeCell ref="A767:D767"/>
    <mergeCell ref="A768:D768"/>
    <mergeCell ref="A848:D848"/>
    <mergeCell ref="A849:D849"/>
    <mergeCell ref="A850:D850"/>
    <mergeCell ref="A851:D851"/>
    <mergeCell ref="A852:D852"/>
    <mergeCell ref="A853:B853"/>
    <mergeCell ref="C853:D853"/>
    <mergeCell ref="C827:D827"/>
    <mergeCell ref="A829:B829"/>
    <mergeCell ref="C829:D829"/>
    <mergeCell ref="A832:B832"/>
    <mergeCell ref="C832:D832"/>
    <mergeCell ref="A833:B833"/>
    <mergeCell ref="C833:D833"/>
    <mergeCell ref="A834:B834"/>
    <mergeCell ref="C834:D834"/>
    <mergeCell ref="A835:D835"/>
    <mergeCell ref="A836:D836"/>
    <mergeCell ref="A846:B846"/>
    <mergeCell ref="C846:D846"/>
    <mergeCell ref="A847:B847"/>
    <mergeCell ref="C847:D847"/>
    <mergeCell ref="A837:D837"/>
    <mergeCell ref="A838:D838"/>
    <mergeCell ref="A842:B842"/>
    <mergeCell ref="C842:D842"/>
    <mergeCell ref="A831:B831"/>
    <mergeCell ref="C831:D831"/>
    <mergeCell ref="A284:D284"/>
    <mergeCell ref="A311:D311"/>
    <mergeCell ref="A365:D365"/>
    <mergeCell ref="A392:D392"/>
    <mergeCell ref="A419:D419"/>
    <mergeCell ref="A473:D473"/>
    <mergeCell ref="A500:D500"/>
    <mergeCell ref="A527:D527"/>
    <mergeCell ref="A554:D554"/>
    <mergeCell ref="A608:D608"/>
    <mergeCell ref="A635:D635"/>
    <mergeCell ref="A662:D662"/>
    <mergeCell ref="A743:D743"/>
    <mergeCell ref="A770:D770"/>
    <mergeCell ref="A795:D795"/>
    <mergeCell ref="A798:D798"/>
    <mergeCell ref="A802:B802"/>
    <mergeCell ref="C802:D802"/>
    <mergeCell ref="A568:D568"/>
    <mergeCell ref="A569:B569"/>
    <mergeCell ref="C569:D569"/>
    <mergeCell ref="C570:D570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C894:D894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D902"/>
    <mergeCell ref="A905:D905"/>
    <mergeCell ref="A906:D906"/>
    <mergeCell ref="A907:B907"/>
    <mergeCell ref="C907:D907"/>
    <mergeCell ref="A910:B910"/>
    <mergeCell ref="C910:D910"/>
    <mergeCell ref="A911:B911"/>
    <mergeCell ref="C911:D911"/>
    <mergeCell ref="A897:B897"/>
    <mergeCell ref="C897:D897"/>
    <mergeCell ref="A953:B953"/>
    <mergeCell ref="C953:D953"/>
    <mergeCell ref="A954:B954"/>
    <mergeCell ref="C954:D954"/>
    <mergeCell ref="A955:B955"/>
    <mergeCell ref="C955:D955"/>
    <mergeCell ref="C908:D908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D916"/>
    <mergeCell ref="A917:D917"/>
    <mergeCell ref="A918:D918"/>
    <mergeCell ref="A928:B928"/>
    <mergeCell ref="C928:D928"/>
    <mergeCell ref="C927:D927"/>
    <mergeCell ref="A920:B920"/>
    <mergeCell ref="C920:D920"/>
    <mergeCell ref="C921:D921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9:D929"/>
    <mergeCell ref="A930:D930"/>
    <mergeCell ref="A931:D931"/>
    <mergeCell ref="A932:D932"/>
    <mergeCell ref="A933:D933"/>
    <mergeCell ref="A934:B934"/>
    <mergeCell ref="C934:D934"/>
    <mergeCell ref="C935:D935"/>
    <mergeCell ref="A937:B937"/>
    <mergeCell ref="C937:D937"/>
    <mergeCell ref="A938:B938"/>
    <mergeCell ref="C938:D938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D943"/>
    <mergeCell ref="A945:D945"/>
    <mergeCell ref="A946:D946"/>
    <mergeCell ref="A950:B950"/>
    <mergeCell ref="C950:D950"/>
    <mergeCell ref="A951:B951"/>
    <mergeCell ref="C951:D951"/>
    <mergeCell ref="A952:B952"/>
    <mergeCell ref="C952:D952"/>
    <mergeCell ref="C978:D978"/>
    <mergeCell ref="A979:B979"/>
    <mergeCell ref="C979:D979"/>
    <mergeCell ref="C1004:D1004"/>
    <mergeCell ref="A1006:B1006"/>
    <mergeCell ref="C1006:D1006"/>
    <mergeCell ref="A1000:D1000"/>
    <mergeCell ref="A993:B993"/>
    <mergeCell ref="C993:D993"/>
    <mergeCell ref="A994:B994"/>
    <mergeCell ref="C994:D994"/>
    <mergeCell ref="A985:D985"/>
    <mergeCell ref="A986:D986"/>
    <mergeCell ref="C989:D989"/>
    <mergeCell ref="A992:B992"/>
    <mergeCell ref="C992:D992"/>
    <mergeCell ref="A995:B995"/>
    <mergeCell ref="C995:D995"/>
    <mergeCell ref="A996:B996"/>
    <mergeCell ref="C996:D996"/>
    <mergeCell ref="A997:D997"/>
    <mergeCell ref="C975:D975"/>
    <mergeCell ref="A977:B977"/>
    <mergeCell ref="C977:D977"/>
    <mergeCell ref="A980:B980"/>
    <mergeCell ref="C980:D980"/>
    <mergeCell ref="A981:B981"/>
    <mergeCell ref="C981:D981"/>
    <mergeCell ref="A982:B982"/>
    <mergeCell ref="C982:D982"/>
    <mergeCell ref="A983:D983"/>
    <mergeCell ref="A984:D984"/>
    <mergeCell ref="A987:D987"/>
    <mergeCell ref="A988:B988"/>
    <mergeCell ref="C988:D988"/>
    <mergeCell ref="A991:B991"/>
    <mergeCell ref="C991:D991"/>
    <mergeCell ref="A978:B978"/>
    <mergeCell ref="A998:D998"/>
    <mergeCell ref="A999:D999"/>
    <mergeCell ref="A1037:D1037"/>
    <mergeCell ref="A1025:D1025"/>
    <mergeCell ref="A1026:D1026"/>
    <mergeCell ref="A1027:D1027"/>
    <mergeCell ref="A1028:B1028"/>
    <mergeCell ref="C1028:D1028"/>
    <mergeCell ref="C1029:D1029"/>
    <mergeCell ref="A1130:B1130"/>
    <mergeCell ref="C1130:D1130"/>
    <mergeCell ref="A1115:B1115"/>
    <mergeCell ref="C1115:D1115"/>
    <mergeCell ref="A1116:B1116"/>
    <mergeCell ref="C1116:D1116"/>
    <mergeCell ref="A1118:D1118"/>
    <mergeCell ref="A1119:D1119"/>
    <mergeCell ref="A1120:D1120"/>
    <mergeCell ref="A1121:D1121"/>
    <mergeCell ref="A1122:D1122"/>
    <mergeCell ref="A1123:B1123"/>
    <mergeCell ref="C1123:D1123"/>
    <mergeCell ref="C1124:D1124"/>
    <mergeCell ref="A1126:B1126"/>
    <mergeCell ref="A1001:B1001"/>
    <mergeCell ref="C1001:D1001"/>
    <mergeCell ref="C1002:D1002"/>
    <mergeCell ref="A1004:B1004"/>
    <mergeCell ref="A1061:B1061"/>
    <mergeCell ref="C1061:D1061"/>
    <mergeCell ref="A1062:B1062"/>
    <mergeCell ref="C1062:D1062"/>
    <mergeCell ref="A1063:B1063"/>
    <mergeCell ref="C1063:D1063"/>
    <mergeCell ref="A1064:D1064"/>
    <mergeCell ref="A1065:D1065"/>
    <mergeCell ref="A1066:D1066"/>
    <mergeCell ref="A1067:D1067"/>
    <mergeCell ref="A1069:B1069"/>
    <mergeCell ref="C1069:D1069"/>
    <mergeCell ref="C1070:D1070"/>
    <mergeCell ref="C1113:D1113"/>
    <mergeCell ref="A1055:B1055"/>
    <mergeCell ref="C1055:D1055"/>
    <mergeCell ref="C1056:D1056"/>
    <mergeCell ref="A1053:D1053"/>
    <mergeCell ref="A1054:D1054"/>
    <mergeCell ref="A1058:B1058"/>
    <mergeCell ref="C1058:D1058"/>
    <mergeCell ref="A1059:B1059"/>
    <mergeCell ref="C1059:D1059"/>
    <mergeCell ref="A1060:B1060"/>
    <mergeCell ref="C1060:D1060"/>
    <mergeCell ref="A1092:D1092"/>
    <mergeCell ref="A1095:D1095"/>
    <mergeCell ref="A1096:B1096"/>
    <mergeCell ref="C1096:D1096"/>
    <mergeCell ref="C1097:D1097"/>
    <mergeCell ref="A1099:B1099"/>
    <mergeCell ref="C1099:D1099"/>
    <mergeCell ref="A1082:B1082"/>
    <mergeCell ref="C1082:D1082"/>
    <mergeCell ref="A1086:B1086"/>
    <mergeCell ref="C1086:D1086"/>
    <mergeCell ref="A1127:B1127"/>
    <mergeCell ref="C1127:D1127"/>
    <mergeCell ref="A1128:B1128"/>
    <mergeCell ref="C1128:D1128"/>
    <mergeCell ref="A1102:B1102"/>
    <mergeCell ref="C1102:D1102"/>
    <mergeCell ref="A1103:B1103"/>
    <mergeCell ref="C1103:D1103"/>
    <mergeCell ref="A1093:D1093"/>
    <mergeCell ref="A1094:D1094"/>
    <mergeCell ref="A1087:B1087"/>
    <mergeCell ref="C1087:D1087"/>
    <mergeCell ref="A1088:B1088"/>
    <mergeCell ref="C1088:D1088"/>
    <mergeCell ref="A1089:B1089"/>
    <mergeCell ref="C1089:D1089"/>
    <mergeCell ref="A1090:B1090"/>
    <mergeCell ref="C1090:D1090"/>
    <mergeCell ref="A1091:D1091"/>
    <mergeCell ref="A1131:B1131"/>
    <mergeCell ref="C1131:D1131"/>
    <mergeCell ref="A1132:D1132"/>
    <mergeCell ref="A1133:D1133"/>
    <mergeCell ref="A1134:D1134"/>
    <mergeCell ref="A1135:D1135"/>
    <mergeCell ref="A1136:B1136"/>
    <mergeCell ref="C1136:D1136"/>
    <mergeCell ref="C1137:D1137"/>
    <mergeCell ref="A1139:B1139"/>
    <mergeCell ref="C1139:D1139"/>
    <mergeCell ref="A1100:B1100"/>
    <mergeCell ref="C1100:D1100"/>
    <mergeCell ref="A1101:B1101"/>
    <mergeCell ref="C1101:D1101"/>
    <mergeCell ref="A1104:B1104"/>
    <mergeCell ref="C1104:D1104"/>
    <mergeCell ref="A1105:D1105"/>
    <mergeCell ref="A1106:D1106"/>
    <mergeCell ref="A1107:D1107"/>
    <mergeCell ref="A1108:D1108"/>
    <mergeCell ref="A1109:B1109"/>
    <mergeCell ref="C1109:D1109"/>
    <mergeCell ref="C1110:D1110"/>
    <mergeCell ref="A1112:B1112"/>
    <mergeCell ref="C1112:D1112"/>
    <mergeCell ref="A1114:B1114"/>
    <mergeCell ref="C1114:D1114"/>
    <mergeCell ref="A1117:B1117"/>
    <mergeCell ref="C1117:D1117"/>
    <mergeCell ref="A1113:B1113"/>
    <mergeCell ref="C1126:D1126"/>
    <mergeCell ref="A1160:D1160"/>
    <mergeCell ref="A1162:D1162"/>
    <mergeCell ref="A1163:B1163"/>
    <mergeCell ref="C1163:D1163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C1224:D1224"/>
    <mergeCell ref="A1225:B1225"/>
    <mergeCell ref="C1225:D1225"/>
    <mergeCell ref="A1187:D1187"/>
    <mergeCell ref="A1175:D1175"/>
    <mergeCell ref="A1177:B1177"/>
    <mergeCell ref="C1177:D1177"/>
    <mergeCell ref="C1178:D1178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C1232:D1232"/>
    <mergeCell ref="A1234:B1234"/>
    <mergeCell ref="C1234:D1234"/>
    <mergeCell ref="A1235:B1235"/>
    <mergeCell ref="C1235:D1235"/>
    <mergeCell ref="A1236:B1236"/>
    <mergeCell ref="C1236:D1236"/>
    <mergeCell ref="A1237:B1237"/>
    <mergeCell ref="A1188:D1188"/>
    <mergeCell ref="A1189:D1189"/>
    <mergeCell ref="A1190:B1190"/>
    <mergeCell ref="C1190:D1190"/>
    <mergeCell ref="A1193:B1193"/>
    <mergeCell ref="C1193:D1193"/>
    <mergeCell ref="A1194:B1194"/>
    <mergeCell ref="C1194:D1194"/>
    <mergeCell ref="A1197:B1197"/>
    <mergeCell ref="C1197:D1197"/>
    <mergeCell ref="A1198:B1198"/>
    <mergeCell ref="C1198:D1198"/>
    <mergeCell ref="A1211:B1211"/>
    <mergeCell ref="C1211:D1211"/>
    <mergeCell ref="A1212:B1212"/>
    <mergeCell ref="C1212:D1212"/>
    <mergeCell ref="A1213:D1213"/>
    <mergeCell ref="A1214:D1214"/>
    <mergeCell ref="A1312:B1312"/>
    <mergeCell ref="C1312:D1312"/>
    <mergeCell ref="A1258:B1258"/>
    <mergeCell ref="C1258:D1258"/>
    <mergeCell ref="C1259:D1259"/>
    <mergeCell ref="A1262:B1262"/>
    <mergeCell ref="C1262:D1262"/>
    <mergeCell ref="A1263:B1263"/>
    <mergeCell ref="C1263:D1263"/>
    <mergeCell ref="A1264:B1264"/>
    <mergeCell ref="C1264:D1264"/>
    <mergeCell ref="A1267:D1267"/>
    <mergeCell ref="A1268:D1268"/>
    <mergeCell ref="A1241:D1241"/>
    <mergeCell ref="A1242:D1242"/>
    <mergeCell ref="A1228:D1228"/>
    <mergeCell ref="A1216:D1216"/>
    <mergeCell ref="A1217:B1217"/>
    <mergeCell ref="C1217:D1217"/>
    <mergeCell ref="C1218:D1218"/>
    <mergeCell ref="A1227:D1227"/>
    <mergeCell ref="A1231:B1231"/>
    <mergeCell ref="C1231:D1231"/>
    <mergeCell ref="A1220:B1220"/>
    <mergeCell ref="C1220:D1220"/>
    <mergeCell ref="A1221:B1221"/>
    <mergeCell ref="C1221:D1221"/>
    <mergeCell ref="A1222:B1222"/>
    <mergeCell ref="C1222:D1222"/>
    <mergeCell ref="A1223:B1223"/>
    <mergeCell ref="C1223:D1223"/>
    <mergeCell ref="A1224:B1224"/>
    <mergeCell ref="A1323:D1323"/>
    <mergeCell ref="A1325:B1325"/>
    <mergeCell ref="C1325:D1325"/>
    <mergeCell ref="C1326:D1326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291:B1291"/>
    <mergeCell ref="C1291:D1291"/>
    <mergeCell ref="A1309:D1309"/>
    <mergeCell ref="A1310:D1310"/>
    <mergeCell ref="A1311:D1311"/>
    <mergeCell ref="C1313:D1313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279:B1279"/>
    <mergeCell ref="C1279:D1279"/>
    <mergeCell ref="A1280:D1280"/>
    <mergeCell ref="A1281:D1281"/>
    <mergeCell ref="A1282:D1282"/>
    <mergeCell ref="A1283:D1283"/>
    <mergeCell ref="A1284:D1284"/>
    <mergeCell ref="A1285:B1285"/>
    <mergeCell ref="C1285:D1285"/>
    <mergeCell ref="C1286:D1286"/>
    <mergeCell ref="A1288:B1288"/>
    <mergeCell ref="C1288:D1288"/>
    <mergeCell ref="A1289:B1289"/>
    <mergeCell ref="C1289:D1289"/>
    <mergeCell ref="A1290:B1290"/>
    <mergeCell ref="C1290:D1290"/>
    <mergeCell ref="A1322:D1322"/>
    <mergeCell ref="A1296:D1296"/>
    <mergeCell ref="A1297:D1297"/>
    <mergeCell ref="A1298:B1298"/>
    <mergeCell ref="C1298:D1298"/>
    <mergeCell ref="C1299:D1299"/>
    <mergeCell ref="A1308:D1308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321:D1321"/>
    <mergeCell ref="A1336:D1336"/>
    <mergeCell ref="A1337:D1337"/>
    <mergeCell ref="A1334:D1334"/>
    <mergeCell ref="A1335:D1335"/>
    <mergeCell ref="A1324:D1324"/>
    <mergeCell ref="A1328:B1328"/>
    <mergeCell ref="C1398:D1398"/>
    <mergeCell ref="A1399:B1399"/>
    <mergeCell ref="C1399:D1399"/>
    <mergeCell ref="A1401:B1401"/>
    <mergeCell ref="C1401:D1401"/>
    <mergeCell ref="C1328:D1328"/>
    <mergeCell ref="A1338:D1338"/>
    <mergeCell ref="A1339:B1339"/>
    <mergeCell ref="C1339:D1339"/>
    <mergeCell ref="C1340:D1340"/>
    <mergeCell ref="A1358:B1358"/>
    <mergeCell ref="C1358:D1358"/>
    <mergeCell ref="A1359:B1359"/>
    <mergeCell ref="C1359:D1359"/>
    <mergeCell ref="A1349:D1349"/>
    <mergeCell ref="A1350:D1350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D1348"/>
    <mergeCell ref="A1351:D1351"/>
    <mergeCell ref="A1342:B1342"/>
    <mergeCell ref="C1342:D1342"/>
    <mergeCell ref="C1355:D1355"/>
    <mergeCell ref="A1356:B1356"/>
    <mergeCell ref="A1384:B1384"/>
    <mergeCell ref="C1384:D1384"/>
    <mergeCell ref="A1386:B1386"/>
    <mergeCell ref="C1386:D1386"/>
    <mergeCell ref="A1387:B1387"/>
    <mergeCell ref="C1387:D1387"/>
    <mergeCell ref="A1388:D1388"/>
    <mergeCell ref="A1389:D1389"/>
    <mergeCell ref="A1390:D1390"/>
    <mergeCell ref="A1391:D1391"/>
    <mergeCell ref="A1392:D1392"/>
    <mergeCell ref="C1371:D1371"/>
    <mergeCell ref="A1352:B1352"/>
    <mergeCell ref="C1352:D1352"/>
    <mergeCell ref="C1353:D1353"/>
    <mergeCell ref="A1355:B1355"/>
    <mergeCell ref="A1373:B1373"/>
    <mergeCell ref="C1373:D1373"/>
    <mergeCell ref="A1374:B1374"/>
    <mergeCell ref="C1374:D1374"/>
    <mergeCell ref="A1365:D1365"/>
    <mergeCell ref="A1369:B1369"/>
    <mergeCell ref="C1369:D1369"/>
    <mergeCell ref="A1372:B1372"/>
    <mergeCell ref="C1372:D1372"/>
    <mergeCell ref="A1375:D1375"/>
    <mergeCell ref="A1393:B1393"/>
    <mergeCell ref="C1393:D1393"/>
    <mergeCell ref="C1394:D1394"/>
    <mergeCell ref="A1396:B1396"/>
    <mergeCell ref="C1396:D1396"/>
    <mergeCell ref="A1397:B1397"/>
    <mergeCell ref="C1397:D1397"/>
    <mergeCell ref="A1480:B1480"/>
    <mergeCell ref="A1493:B1493"/>
    <mergeCell ref="C1493:D1493"/>
    <mergeCell ref="A1402:D1402"/>
    <mergeCell ref="A1403:D1403"/>
    <mergeCell ref="A1404:D1404"/>
    <mergeCell ref="A1420:B1420"/>
    <mergeCell ref="C1420:D1420"/>
    <mergeCell ref="C1421:D1421"/>
    <mergeCell ref="A1417:D1417"/>
    <mergeCell ref="A1405:D1405"/>
    <mergeCell ref="A1406:B1406"/>
    <mergeCell ref="C1406:D1406"/>
    <mergeCell ref="C1407:D1407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A1416:D1416"/>
    <mergeCell ref="A1418:D1418"/>
    <mergeCell ref="A1419:D1419"/>
    <mergeCell ref="C1413:D1413"/>
    <mergeCell ref="A1414:B1414"/>
    <mergeCell ref="C1414:D1414"/>
    <mergeCell ref="C1464:D1464"/>
    <mergeCell ref="A1465:B1465"/>
    <mergeCell ref="C1465:D1465"/>
    <mergeCell ref="A1453:B1453"/>
    <mergeCell ref="C1453:D1453"/>
    <mergeCell ref="A1454:B1454"/>
    <mergeCell ref="C1454:D1454"/>
    <mergeCell ref="A1455:B1455"/>
    <mergeCell ref="C1455:D1455"/>
    <mergeCell ref="A1456:D1456"/>
    <mergeCell ref="A1457:D1457"/>
    <mergeCell ref="A1442:D1442"/>
    <mergeCell ref="A1443:D1443"/>
    <mergeCell ref="C1428:D1428"/>
    <mergeCell ref="A1415:D1415"/>
    <mergeCell ref="A1437:B1437"/>
    <mergeCell ref="C1437:D1437"/>
    <mergeCell ref="A1438:B1438"/>
    <mergeCell ref="C1438:D1438"/>
    <mergeCell ref="A1439:B1439"/>
    <mergeCell ref="C1439:D1439"/>
    <mergeCell ref="A1440:B1440"/>
    <mergeCell ref="A1545:B1545"/>
    <mergeCell ref="C1545:D1545"/>
    <mergeCell ref="A1544:B1544"/>
    <mergeCell ref="A1473:D1473"/>
    <mergeCell ref="A1478:B1478"/>
    <mergeCell ref="C1478:D1478"/>
    <mergeCell ref="A1467:B1467"/>
    <mergeCell ref="C1467:D1467"/>
    <mergeCell ref="A1468:B1468"/>
    <mergeCell ref="C1468:D1468"/>
    <mergeCell ref="A1469:D1469"/>
    <mergeCell ref="A1470:D1470"/>
    <mergeCell ref="A1471:D1471"/>
    <mergeCell ref="A1472:D1472"/>
    <mergeCell ref="A1474:B1474"/>
    <mergeCell ref="C1474:D1474"/>
    <mergeCell ref="C1475:D1475"/>
    <mergeCell ref="A1477:B1477"/>
    <mergeCell ref="C1477:D1477"/>
    <mergeCell ref="A1479:B1479"/>
    <mergeCell ref="C1479:D1479"/>
    <mergeCell ref="C1480:D1480"/>
    <mergeCell ref="A1481:B1481"/>
    <mergeCell ref="C1481:D1481"/>
    <mergeCell ref="A1483:D1483"/>
    <mergeCell ref="A1484:D1484"/>
    <mergeCell ref="A1485:D1485"/>
    <mergeCell ref="A1486:D1486"/>
    <mergeCell ref="A1487:B1487"/>
    <mergeCell ref="C1487:D1487"/>
    <mergeCell ref="C1488:D1488"/>
    <mergeCell ref="A1490:B1490"/>
    <mergeCell ref="C1505:D1505"/>
    <mergeCell ref="A1506:B1506"/>
    <mergeCell ref="C1506:D1506"/>
    <mergeCell ref="A1507:B1507"/>
    <mergeCell ref="C1507:D1507"/>
    <mergeCell ref="A1508:B1508"/>
    <mergeCell ref="C1508:D1508"/>
    <mergeCell ref="C1490:D1490"/>
    <mergeCell ref="A1491:B1491"/>
    <mergeCell ref="C1491:D1491"/>
    <mergeCell ref="A1492:B1492"/>
    <mergeCell ref="C1492:D1492"/>
    <mergeCell ref="A1494:B1494"/>
    <mergeCell ref="C1494:D1494"/>
    <mergeCell ref="A1482:B1482"/>
    <mergeCell ref="C1482:D1482"/>
    <mergeCell ref="A1511:D1511"/>
    <mergeCell ref="A1512:D1512"/>
    <mergeCell ref="A1513:D1513"/>
    <mergeCell ref="C1515:D1515"/>
    <mergeCell ref="A1517:B1517"/>
    <mergeCell ref="C1517:D1517"/>
    <mergeCell ref="A1518:B1518"/>
    <mergeCell ref="C1518:D1518"/>
    <mergeCell ref="A1519:B1519"/>
    <mergeCell ref="C1519:D1519"/>
    <mergeCell ref="C1613:D1613"/>
    <mergeCell ref="A1614:B1614"/>
    <mergeCell ref="C1614:D1614"/>
    <mergeCell ref="A1615:B1615"/>
    <mergeCell ref="C1615:D1615"/>
    <mergeCell ref="A1616:B1616"/>
    <mergeCell ref="C1616:D1616"/>
    <mergeCell ref="A1595:B1595"/>
    <mergeCell ref="C1595:D1595"/>
    <mergeCell ref="C1596:D1596"/>
    <mergeCell ref="A1598:B1598"/>
    <mergeCell ref="C1598:D1598"/>
    <mergeCell ref="A1602:B1602"/>
    <mergeCell ref="C1602:D1602"/>
    <mergeCell ref="A1599:B1599"/>
    <mergeCell ref="C1599:D1599"/>
    <mergeCell ref="A1603:B1603"/>
    <mergeCell ref="C1603:D1603"/>
    <mergeCell ref="A1604:D1604"/>
    <mergeCell ref="A1605:D1605"/>
    <mergeCell ref="A1606:D1606"/>
    <mergeCell ref="A1600:B1600"/>
    <mergeCell ref="C1600:D1600"/>
    <mergeCell ref="A1619:D1619"/>
    <mergeCell ref="A1607:D1607"/>
    <mergeCell ref="A1608:D1608"/>
    <mergeCell ref="A1609:B1609"/>
    <mergeCell ref="A1618:D1618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D1550"/>
    <mergeCell ref="A1553:D1553"/>
    <mergeCell ref="A1554:D1554"/>
    <mergeCell ref="C1556:D1556"/>
    <mergeCell ref="A1568:B1568"/>
    <mergeCell ref="C1568:D1568"/>
    <mergeCell ref="C1569:D1569"/>
    <mergeCell ref="A1586:B1586"/>
    <mergeCell ref="C1586:D1586"/>
    <mergeCell ref="A1590:B1590"/>
    <mergeCell ref="C1590:D1590"/>
    <mergeCell ref="A1571:B1571"/>
    <mergeCell ref="C1588:D1588"/>
    <mergeCell ref="A1589:B1589"/>
    <mergeCell ref="C1589:D1589"/>
    <mergeCell ref="A1591:D1591"/>
    <mergeCell ref="A1592:D1592"/>
    <mergeCell ref="A1593:D1593"/>
    <mergeCell ref="A1594:D1594"/>
    <mergeCell ref="A1601:B1601"/>
    <mergeCell ref="C1601:D1601"/>
    <mergeCell ref="C1609:D1609"/>
    <mergeCell ref="C1610:D1610"/>
    <mergeCell ref="A1612:B1612"/>
    <mergeCell ref="C1612:D1612"/>
    <mergeCell ref="A1613:B1613"/>
    <mergeCell ref="A1622:B1622"/>
    <mergeCell ref="C1622:D1622"/>
    <mergeCell ref="A1617:B1617"/>
    <mergeCell ref="C1617:D1617"/>
    <mergeCell ref="A1686:D1686"/>
    <mergeCell ref="A1687:D1687"/>
    <mergeCell ref="A1620:D1620"/>
    <mergeCell ref="A1621:D1621"/>
    <mergeCell ref="C1623:D1623"/>
    <mergeCell ref="A1625:B1625"/>
    <mergeCell ref="C1625:D1625"/>
    <mergeCell ref="A1668:B1668"/>
    <mergeCell ref="C1668:D1668"/>
    <mergeCell ref="A1669:B1669"/>
    <mergeCell ref="C1669:D1669"/>
    <mergeCell ref="A1659:D1659"/>
    <mergeCell ref="A1660:D1660"/>
    <mergeCell ref="C1664:D1664"/>
    <mergeCell ref="A1653:B1653"/>
    <mergeCell ref="C1653:D1653"/>
    <mergeCell ref="A1658:D1658"/>
    <mergeCell ref="C1643:D1643"/>
    <mergeCell ref="A1644:B1644"/>
    <mergeCell ref="C1644:D1644"/>
    <mergeCell ref="A1648:D1648"/>
    <mergeCell ref="C1649:D1649"/>
    <mergeCell ref="C1650:D1650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80:B1680"/>
    <mergeCell ref="C1680:D1680"/>
    <mergeCell ref="A1681:B1681"/>
    <mergeCell ref="C1681:D1681"/>
    <mergeCell ref="A1682:B1682"/>
    <mergeCell ref="C1682:D1682"/>
    <mergeCell ref="A1743:D1743"/>
    <mergeCell ref="C1709:D1709"/>
    <mergeCell ref="A1711:B1711"/>
    <mergeCell ref="C1711:D1711"/>
    <mergeCell ref="A1712:D1712"/>
    <mergeCell ref="A1713:D1713"/>
    <mergeCell ref="A1714:D1714"/>
    <mergeCell ref="A1715:D1715"/>
    <mergeCell ref="A1716:D1716"/>
    <mergeCell ref="A1717:B1717"/>
    <mergeCell ref="C1717:D1717"/>
    <mergeCell ref="C1718:D1718"/>
    <mergeCell ref="A1720:B1720"/>
    <mergeCell ref="C1720:D1720"/>
    <mergeCell ref="A1721:B1721"/>
    <mergeCell ref="C1721:D1721"/>
    <mergeCell ref="A1710:B1710"/>
    <mergeCell ref="C1710:D1710"/>
    <mergeCell ref="A1675:D1675"/>
    <mergeCell ref="A1679:B1679"/>
    <mergeCell ref="C1679:D1679"/>
    <mergeCell ref="A1672:D1672"/>
    <mergeCell ref="A1673:D1673"/>
    <mergeCell ref="A1674:D1674"/>
    <mergeCell ref="A1676:B1676"/>
    <mergeCell ref="C1676:D1676"/>
    <mergeCell ref="C1677:D1677"/>
    <mergeCell ref="A1723:B1723"/>
    <mergeCell ref="C1723:D1723"/>
    <mergeCell ref="C1749:D1749"/>
    <mergeCell ref="A1690:B1690"/>
    <mergeCell ref="C1690:D1690"/>
    <mergeCell ref="C1691:D1691"/>
    <mergeCell ref="A1693:B1693"/>
    <mergeCell ref="C1693:D1693"/>
    <mergeCell ref="A1694:B1694"/>
    <mergeCell ref="C1694:D1694"/>
    <mergeCell ref="A1696:B1696"/>
    <mergeCell ref="C1696:D1696"/>
    <mergeCell ref="A1697:B1697"/>
    <mergeCell ref="C1697:D1697"/>
    <mergeCell ref="A1698:B1698"/>
    <mergeCell ref="C1698:D1698"/>
    <mergeCell ref="A1688:D1688"/>
    <mergeCell ref="A1709:B1709"/>
    <mergeCell ref="A1724:B1724"/>
    <mergeCell ref="C1724:D1724"/>
    <mergeCell ref="A1725:B1725"/>
    <mergeCell ref="A1722:B1722"/>
    <mergeCell ref="C1752:D1752"/>
    <mergeCell ref="A1754:D1754"/>
    <mergeCell ref="A1755:D1755"/>
    <mergeCell ref="A1753:D1753"/>
    <mergeCell ref="A1756:D1756"/>
    <mergeCell ref="C1758:D1758"/>
    <mergeCell ref="A1760:B1760"/>
    <mergeCell ref="C1760:D1760"/>
    <mergeCell ref="A1763:B1763"/>
    <mergeCell ref="C1763:D1763"/>
    <mergeCell ref="A1764:B1764"/>
    <mergeCell ref="C1764:D1764"/>
    <mergeCell ref="A1765:B1765"/>
    <mergeCell ref="C1765:D1765"/>
    <mergeCell ref="A1766:D1766"/>
    <mergeCell ref="A1767:D1767"/>
    <mergeCell ref="A1744:B1744"/>
    <mergeCell ref="C1744:D1744"/>
    <mergeCell ref="C1722:D1722"/>
    <mergeCell ref="C1725:D1725"/>
    <mergeCell ref="A1726:D1726"/>
    <mergeCell ref="A1728:D1728"/>
    <mergeCell ref="A1729:D1729"/>
    <mergeCell ref="A1733:B1733"/>
    <mergeCell ref="C1733:D1733"/>
    <mergeCell ref="A1748:B1748"/>
    <mergeCell ref="C1748:D1748"/>
    <mergeCell ref="A1749:B1749"/>
    <mergeCell ref="A1770:D1770"/>
    <mergeCell ref="A1771:B1771"/>
    <mergeCell ref="C1771:D1771"/>
    <mergeCell ref="A1774:B1774"/>
    <mergeCell ref="C1774:D1774"/>
    <mergeCell ref="C1772:D1772"/>
    <mergeCell ref="A1776:B1776"/>
    <mergeCell ref="C1776:D1776"/>
    <mergeCell ref="A1768:D1768"/>
    <mergeCell ref="A1769:D1769"/>
    <mergeCell ref="A1757:B1757"/>
    <mergeCell ref="C1757:D1757"/>
    <mergeCell ref="A1761:B1761"/>
    <mergeCell ref="C1761:D1761"/>
    <mergeCell ref="A1762:B1762"/>
    <mergeCell ref="C1762:D1762"/>
    <mergeCell ref="A1775:B1775"/>
    <mergeCell ref="C1775:D1775"/>
    <mergeCell ref="C1792:D1792"/>
    <mergeCell ref="A1783:D1783"/>
    <mergeCell ref="A1788:B1788"/>
    <mergeCell ref="C1788:D1788"/>
    <mergeCell ref="A1777:B1777"/>
    <mergeCell ref="C1777:D1777"/>
    <mergeCell ref="A1778:B1778"/>
    <mergeCell ref="C1778:D1778"/>
    <mergeCell ref="A1779:B1779"/>
    <mergeCell ref="C1779:D1779"/>
    <mergeCell ref="A1780:D1780"/>
    <mergeCell ref="A1781:D1781"/>
    <mergeCell ref="A1782:D1782"/>
    <mergeCell ref="A1784:B1784"/>
    <mergeCell ref="C1784:D1784"/>
    <mergeCell ref="A1790:B1790"/>
    <mergeCell ref="C1790:D1790"/>
    <mergeCell ref="A1791:B1791"/>
    <mergeCell ref="C1791:D1791"/>
    <mergeCell ref="C1785:D1785"/>
    <mergeCell ref="A1787:B1787"/>
    <mergeCell ref="C1787:D1787"/>
    <mergeCell ref="A1789:B1789"/>
    <mergeCell ref="C1789:D1789"/>
    <mergeCell ref="A1792:B1792"/>
    <mergeCell ref="A1849:D1849"/>
    <mergeCell ref="A1850:D1850"/>
    <mergeCell ref="A1852:B1852"/>
    <mergeCell ref="C1852:D1852"/>
    <mergeCell ref="C1853:D1853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3:D1863"/>
    <mergeCell ref="A1864:D1864"/>
    <mergeCell ref="A1855:B1855"/>
    <mergeCell ref="C1855:D1855"/>
    <mergeCell ref="A1851:D1851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21:D1821"/>
    <mergeCell ref="A1822:D1822"/>
    <mergeCell ref="A1823:D1823"/>
    <mergeCell ref="A1824:D1824"/>
    <mergeCell ref="A1825:B1825"/>
    <mergeCell ref="C1825:D1825"/>
    <mergeCell ref="C1826:D1826"/>
    <mergeCell ref="A1828:B1828"/>
    <mergeCell ref="C1828:D1828"/>
    <mergeCell ref="C1839:D1839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D1847"/>
    <mergeCell ref="A1848:D1848"/>
    <mergeCell ref="A1913:B1913"/>
    <mergeCell ref="C1913:D1913"/>
    <mergeCell ref="A1912:B1912"/>
    <mergeCell ref="C1912:D1912"/>
    <mergeCell ref="A1901:D1901"/>
    <mergeCell ref="A1902:D1902"/>
    <mergeCell ref="A1903:D1903"/>
    <mergeCell ref="A1904:D1904"/>
    <mergeCell ref="A1905:D1905"/>
    <mergeCell ref="A1906:B1906"/>
    <mergeCell ref="C1906:D1906"/>
    <mergeCell ref="C1907:D1907"/>
    <mergeCell ref="A1909:B1909"/>
    <mergeCell ref="C1909:D1909"/>
    <mergeCell ref="A1910:B1910"/>
    <mergeCell ref="C1910:D1910"/>
    <mergeCell ref="A1911:B1911"/>
    <mergeCell ref="A1892:B1892"/>
    <mergeCell ref="C1892:D1892"/>
    <mergeCell ref="C1893:D1893"/>
    <mergeCell ref="A1945:D1945"/>
    <mergeCell ref="A1946:B1946"/>
    <mergeCell ref="A1914:B1914"/>
    <mergeCell ref="C1914:D1914"/>
    <mergeCell ref="A1915:D1915"/>
    <mergeCell ref="A1916:D1916"/>
    <mergeCell ref="A1917:D1917"/>
    <mergeCell ref="A1918:D1918"/>
    <mergeCell ref="A1919:B1919"/>
    <mergeCell ref="C1919:D1919"/>
    <mergeCell ref="C1920:D1920"/>
    <mergeCell ref="A1922:B1922"/>
    <mergeCell ref="C1922:D1922"/>
    <mergeCell ref="A1923:B1923"/>
    <mergeCell ref="C1923:D1923"/>
    <mergeCell ref="A1924:B1924"/>
    <mergeCell ref="C1924:D1924"/>
    <mergeCell ref="A1928:D1928"/>
    <mergeCell ref="A1927:B1927"/>
    <mergeCell ref="C1927:D1927"/>
    <mergeCell ref="A1925:B1925"/>
    <mergeCell ref="C1925:D1925"/>
    <mergeCell ref="A1926:B1926"/>
    <mergeCell ref="C1926:D1926"/>
    <mergeCell ref="A1929:D1929"/>
    <mergeCell ref="A1930:D1930"/>
    <mergeCell ref="A1931:D1931"/>
    <mergeCell ref="A1932:D1932"/>
    <mergeCell ref="A1933:B1933"/>
    <mergeCell ref="C1933:D1933"/>
    <mergeCell ref="C1934:D1934"/>
    <mergeCell ref="A1936:B1936"/>
    <mergeCell ref="C2006:D2006"/>
    <mergeCell ref="A2007:B2007"/>
    <mergeCell ref="C1911:D1911"/>
    <mergeCell ref="A1960:B1960"/>
    <mergeCell ref="C1960:D1960"/>
    <mergeCell ref="C1961:D1961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68:B1968"/>
    <mergeCell ref="C1968:D1968"/>
    <mergeCell ref="A1971:D1971"/>
    <mergeCell ref="A1972:D1972"/>
    <mergeCell ref="A1973:B1973"/>
    <mergeCell ref="C1973:D1973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A2049:B2049"/>
    <mergeCell ref="C2049:D2049"/>
    <mergeCell ref="A2050:D2050"/>
    <mergeCell ref="A2033:B2033"/>
    <mergeCell ref="C2033:D2033"/>
    <mergeCell ref="A2034:B2034"/>
    <mergeCell ref="C2034:D2034"/>
    <mergeCell ref="A2035:B2035"/>
    <mergeCell ref="C2035:D2035"/>
    <mergeCell ref="A2036:D2036"/>
    <mergeCell ref="A2038:D2038"/>
    <mergeCell ref="A2039:D2039"/>
    <mergeCell ref="A2040:D2040"/>
    <mergeCell ref="C2042:D2042"/>
    <mergeCell ref="A2021:B2021"/>
    <mergeCell ref="C2022:D2022"/>
    <mergeCell ref="A2023:D2023"/>
    <mergeCell ref="A2024:D2024"/>
    <mergeCell ref="A2025:D2025"/>
    <mergeCell ref="A2026:D2026"/>
    <mergeCell ref="A2027:B2027"/>
    <mergeCell ref="C2027:D2027"/>
    <mergeCell ref="C2028:D2028"/>
    <mergeCell ref="A2030:B2030"/>
    <mergeCell ref="C2030:D2030"/>
    <mergeCell ref="A2031:B2031"/>
    <mergeCell ref="C2031:D2031"/>
    <mergeCell ref="A2032:B2032"/>
    <mergeCell ref="C2032:D2032"/>
    <mergeCell ref="C2046:D2046"/>
    <mergeCell ref="A2047:B2047"/>
    <mergeCell ref="C2047:D2047"/>
    <mergeCell ref="A2080:D2080"/>
    <mergeCell ref="A2081:B2081"/>
    <mergeCell ref="C2081:D2081"/>
    <mergeCell ref="A2084:B2084"/>
    <mergeCell ref="C2084:D2084"/>
    <mergeCell ref="C2082:D2082"/>
    <mergeCell ref="A2086:B2086"/>
    <mergeCell ref="A2051:D2051"/>
    <mergeCell ref="C2086:D2086"/>
    <mergeCell ref="A2093:D2093"/>
    <mergeCell ref="A2094:D2094"/>
    <mergeCell ref="A2098:B2098"/>
    <mergeCell ref="A2085:B2085"/>
    <mergeCell ref="C2085:D2085"/>
    <mergeCell ref="A2053:D2053"/>
    <mergeCell ref="A2054:B2054"/>
    <mergeCell ref="C2098:D2098"/>
    <mergeCell ref="A2087:B2087"/>
    <mergeCell ref="C2087:D2087"/>
    <mergeCell ref="A2088:B2088"/>
    <mergeCell ref="C2088:D2088"/>
    <mergeCell ref="A2089:B2089"/>
    <mergeCell ref="C2089:D2089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134:D2134"/>
    <mergeCell ref="A2135:B2135"/>
    <mergeCell ref="C2135:D2135"/>
    <mergeCell ref="C2136:D2136"/>
    <mergeCell ref="A2138:B2138"/>
    <mergeCell ref="C2138:D2138"/>
    <mergeCell ref="A2147:D2147"/>
    <mergeCell ref="A2101:B2101"/>
    <mergeCell ref="C2101:D2101"/>
    <mergeCell ref="A2104:D2104"/>
    <mergeCell ref="A2105:D2105"/>
    <mergeCell ref="A2106:D2106"/>
    <mergeCell ref="A2102:B2102"/>
    <mergeCell ref="C2102:D2102"/>
    <mergeCell ref="A2103:B2103"/>
    <mergeCell ref="A2132:D2132"/>
    <mergeCell ref="A2133:D2133"/>
    <mergeCell ref="C2111:D2111"/>
    <mergeCell ref="A2122:B2122"/>
    <mergeCell ref="C2122:D2122"/>
    <mergeCell ref="C2123:D2123"/>
    <mergeCell ref="A2125:B2125"/>
    <mergeCell ref="C2125:D2125"/>
    <mergeCell ref="A2139:B2139"/>
    <mergeCell ref="C2139:D2139"/>
    <mergeCell ref="A2140:B2140"/>
    <mergeCell ref="C2140:D2140"/>
    <mergeCell ref="A2143:B2143"/>
    <mergeCell ref="C2143:D2143"/>
    <mergeCell ref="A2144:D2144"/>
    <mergeCell ref="A2145:D2145"/>
    <mergeCell ref="A2146:D2146"/>
    <mergeCell ref="A2261:B2261"/>
    <mergeCell ref="C2261:D2261"/>
    <mergeCell ref="C2258:D2258"/>
    <mergeCell ref="A2152:B2152"/>
    <mergeCell ref="C2152:D2152"/>
    <mergeCell ref="A2153:B2153"/>
    <mergeCell ref="C2153:D2153"/>
    <mergeCell ref="A2148:D2148"/>
    <mergeCell ref="A2149:B2149"/>
    <mergeCell ref="C2149:D2149"/>
    <mergeCell ref="C2150:D2150"/>
    <mergeCell ref="A2154:B2154"/>
    <mergeCell ref="C2154:D2154"/>
    <mergeCell ref="A2155:B2155"/>
    <mergeCell ref="C2155:D2155"/>
    <mergeCell ref="A2156:B2156"/>
    <mergeCell ref="C2156:D2156"/>
    <mergeCell ref="A2199:D2199"/>
    <mergeCell ref="A2200:D2200"/>
    <mergeCell ref="A2201:D2201"/>
    <mergeCell ref="A2202:D2202"/>
    <mergeCell ref="A2203:B2203"/>
    <mergeCell ref="C2203:D2203"/>
    <mergeCell ref="A2166:B2166"/>
    <mergeCell ref="C2166:D2166"/>
    <mergeCell ref="A2167:B2167"/>
    <mergeCell ref="C2167:D2167"/>
    <mergeCell ref="A2168:B2168"/>
    <mergeCell ref="C2168:D2168"/>
    <mergeCell ref="A2169:B2169"/>
    <mergeCell ref="C2169:D2169"/>
    <mergeCell ref="A2170:B2170"/>
    <mergeCell ref="C2222:D2222"/>
    <mergeCell ref="A2157:B2157"/>
    <mergeCell ref="C2157:D2157"/>
    <mergeCell ref="A2158:D2158"/>
    <mergeCell ref="A2159:D2159"/>
    <mergeCell ref="A2160:D2160"/>
    <mergeCell ref="A2215:D2215"/>
    <mergeCell ref="A2216:B2216"/>
    <mergeCell ref="C2216:D2216"/>
    <mergeCell ref="C2217:D2217"/>
    <mergeCell ref="A2219:B2219"/>
    <mergeCell ref="C2219:D2219"/>
    <mergeCell ref="A2220:B2220"/>
    <mergeCell ref="C2220:D2220"/>
    <mergeCell ref="A2221:B2221"/>
    <mergeCell ref="A2260:B2260"/>
    <mergeCell ref="C2260:D2260"/>
    <mergeCell ref="C2221:D2221"/>
    <mergeCell ref="A2209:B2209"/>
    <mergeCell ref="C2209:D2209"/>
    <mergeCell ref="A2210:B2210"/>
    <mergeCell ref="C2210:D2210"/>
    <mergeCell ref="A2211:B2211"/>
    <mergeCell ref="C2211:D2211"/>
    <mergeCell ref="A2212:D2212"/>
    <mergeCell ref="A2213:D2213"/>
    <mergeCell ref="A2214:D2214"/>
    <mergeCell ref="A2196:B2196"/>
    <mergeCell ref="C2196:D2196"/>
    <mergeCell ref="A2197:B2197"/>
    <mergeCell ref="C2197:D2197"/>
    <mergeCell ref="A2198:D2198"/>
    <mergeCell ref="A2225:D2225"/>
    <mergeCell ref="A2226:D2226"/>
    <mergeCell ref="A2227:D2227"/>
    <mergeCell ref="A2228:D2228"/>
    <mergeCell ref="A2229:D2229"/>
    <mergeCell ref="A2230:B2230"/>
    <mergeCell ref="C2230:D2230"/>
    <mergeCell ref="C2231:D2231"/>
    <mergeCell ref="A2233:B2233"/>
    <mergeCell ref="C2233:D2233"/>
    <mergeCell ref="A2234:B2234"/>
    <mergeCell ref="C2234:D2234"/>
    <mergeCell ref="A2235:B2235"/>
    <mergeCell ref="C2235:D2235"/>
    <mergeCell ref="A2223:B2223"/>
    <mergeCell ref="A2237:B2237"/>
    <mergeCell ref="C2237:D2237"/>
    <mergeCell ref="A2236:B2236"/>
    <mergeCell ref="C2236:D2236"/>
    <mergeCell ref="C2223:D2223"/>
    <mergeCell ref="A2224:B2224"/>
    <mergeCell ref="C2224:D2224"/>
    <mergeCell ref="A2238:B2238"/>
    <mergeCell ref="C2238:D2238"/>
    <mergeCell ref="A2239:D2239"/>
    <mergeCell ref="A2240:D2240"/>
    <mergeCell ref="A2241:D2241"/>
    <mergeCell ref="A2242:D2242"/>
    <mergeCell ref="A2243:B2243"/>
    <mergeCell ref="C2243:D2243"/>
    <mergeCell ref="C2244:D2244"/>
    <mergeCell ref="A2246:B2246"/>
    <mergeCell ref="C2246:D2246"/>
    <mergeCell ref="A2254:D2254"/>
    <mergeCell ref="A2257:B2257"/>
    <mergeCell ref="C2257:D2257"/>
    <mergeCell ref="A2247:B2247"/>
    <mergeCell ref="C2247:D2247"/>
    <mergeCell ref="A2248:B2248"/>
    <mergeCell ref="C2248:D2248"/>
    <mergeCell ref="A2249:B2249"/>
    <mergeCell ref="C2249:D2249"/>
    <mergeCell ref="A2250:B2250"/>
    <mergeCell ref="C2250:D2250"/>
    <mergeCell ref="A2251:B2251"/>
    <mergeCell ref="C2251:D2251"/>
    <mergeCell ref="A2252:D2252"/>
    <mergeCell ref="A2253:D2253"/>
    <mergeCell ref="A2255:D2255"/>
    <mergeCell ref="A2256:D2256"/>
    <mergeCell ref="A2280:D2280"/>
    <mergeCell ref="A2281:D2281"/>
    <mergeCell ref="A2282:D2282"/>
    <mergeCell ref="A2283:D2283"/>
    <mergeCell ref="A2284:B2284"/>
    <mergeCell ref="C2284:D2284"/>
    <mergeCell ref="C2285:D2285"/>
    <mergeCell ref="A2287:B2287"/>
    <mergeCell ref="C2287:D2287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68:D2268"/>
    <mergeCell ref="A2270:B2270"/>
    <mergeCell ref="C2270:D2270"/>
    <mergeCell ref="C2271:D2271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D2279"/>
    <mergeCell ref="A2269:D2269"/>
    <mergeCell ref="A2304:B2304"/>
    <mergeCell ref="C2304:D2304"/>
    <mergeCell ref="A2305:B2305"/>
    <mergeCell ref="C2305:D2305"/>
    <mergeCell ref="A2306:D2306"/>
    <mergeCell ref="A2307:D2307"/>
    <mergeCell ref="A2308:D2308"/>
    <mergeCell ref="A2309:D2309"/>
    <mergeCell ref="A2310:D2310"/>
    <mergeCell ref="A2311:B2311"/>
    <mergeCell ref="C2311:D2311"/>
    <mergeCell ref="C2312:D2312"/>
    <mergeCell ref="A2314:B2314"/>
    <mergeCell ref="C2314:D2314"/>
    <mergeCell ref="A2315:B2315"/>
    <mergeCell ref="C2315:D2315"/>
    <mergeCell ref="A2316:B2316"/>
    <mergeCell ref="C2316:D2316"/>
    <mergeCell ref="A2292:B2292"/>
    <mergeCell ref="C2292:D2292"/>
    <mergeCell ref="A2293:D2293"/>
    <mergeCell ref="A2294:D2294"/>
    <mergeCell ref="A2295:D2295"/>
    <mergeCell ref="A2296:D2296"/>
    <mergeCell ref="A2297:B2297"/>
    <mergeCell ref="C2297:D2297"/>
    <mergeCell ref="C2298:D2298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D2333"/>
    <mergeCell ref="A2334:D2334"/>
    <mergeCell ref="A2335:D2335"/>
    <mergeCell ref="A2336:D2336"/>
    <mergeCell ref="A2337:D2337"/>
    <mergeCell ref="A2338:B2338"/>
    <mergeCell ref="C2338:D2338"/>
    <mergeCell ref="C2339:D2339"/>
    <mergeCell ref="A2341:B2341"/>
    <mergeCell ref="C2341:D2341"/>
    <mergeCell ref="A2317:B2317"/>
    <mergeCell ref="C2317:D2317"/>
    <mergeCell ref="A2318:B2318"/>
    <mergeCell ref="C2318:D2318"/>
    <mergeCell ref="A2319:B2319"/>
    <mergeCell ref="C2319:D2319"/>
    <mergeCell ref="A2320:D2320"/>
    <mergeCell ref="A2321:D2321"/>
    <mergeCell ref="A2322:D2322"/>
    <mergeCell ref="A2323:D2323"/>
    <mergeCell ref="A2324:B2324"/>
    <mergeCell ref="C2324:D2324"/>
    <mergeCell ref="C2325:D2325"/>
    <mergeCell ref="A2327:B2327"/>
    <mergeCell ref="C2327:D2327"/>
    <mergeCell ref="A2328:B2328"/>
    <mergeCell ref="C2328:D2328"/>
    <mergeCell ref="A2354:B2354"/>
    <mergeCell ref="C2354:D2354"/>
    <mergeCell ref="A2355:B2355"/>
    <mergeCell ref="C2355:D2355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D2360"/>
    <mergeCell ref="A2361:D2361"/>
    <mergeCell ref="A2362:D2362"/>
    <mergeCell ref="A2363:D2363"/>
    <mergeCell ref="A2364:D2364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D2347"/>
    <mergeCell ref="A2348:D2348"/>
    <mergeCell ref="A2349:D2349"/>
    <mergeCell ref="A2350:D2350"/>
    <mergeCell ref="A2351:B2351"/>
    <mergeCell ref="C2351:D2351"/>
    <mergeCell ref="C2352:D2352"/>
    <mergeCell ref="A2376:D2376"/>
    <mergeCell ref="A2377:D2377"/>
    <mergeCell ref="A2378:B2378"/>
    <mergeCell ref="C2378:D2378"/>
    <mergeCell ref="C2379:D2379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65:B2365"/>
    <mergeCell ref="C2365:D2365"/>
    <mergeCell ref="C2366:D2366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73:B2373"/>
    <mergeCell ref="C2373:D2373"/>
    <mergeCell ref="A2374:D2374"/>
    <mergeCell ref="A2375:D2375"/>
    <mergeCell ref="A2400:B2400"/>
    <mergeCell ref="C2400:D2400"/>
    <mergeCell ref="A2401:D2401"/>
    <mergeCell ref="A2402:D2402"/>
    <mergeCell ref="A2403:D2403"/>
    <mergeCell ref="A2404:D2404"/>
    <mergeCell ref="A2405:B2405"/>
    <mergeCell ref="C2405:D2405"/>
    <mergeCell ref="C2406:D2406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387:D2387"/>
    <mergeCell ref="A2388:D2388"/>
    <mergeCell ref="A2389:D2389"/>
    <mergeCell ref="A2390:D2390"/>
    <mergeCell ref="A2391:D2391"/>
    <mergeCell ref="A2392:B2392"/>
    <mergeCell ref="C2392:D2392"/>
    <mergeCell ref="C2393:D2393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25:B2425"/>
    <mergeCell ref="C2425:D2425"/>
    <mergeCell ref="A2426:B2426"/>
    <mergeCell ref="C2426:D2426"/>
    <mergeCell ref="A2427:B2427"/>
    <mergeCell ref="C2427:D2427"/>
    <mergeCell ref="A2428:D2428"/>
    <mergeCell ref="A2429:D2429"/>
    <mergeCell ref="A2430:D2430"/>
    <mergeCell ref="A2431:D2431"/>
    <mergeCell ref="A2432:B2432"/>
    <mergeCell ref="C2432:D2432"/>
    <mergeCell ref="C2433:D2433"/>
    <mergeCell ref="A2435:B2435"/>
    <mergeCell ref="C2435:D2435"/>
    <mergeCell ref="A2436:B2436"/>
    <mergeCell ref="C2436:D2436"/>
    <mergeCell ref="A2412:B2412"/>
    <mergeCell ref="C2412:D2412"/>
    <mergeCell ref="A2413:B2413"/>
    <mergeCell ref="C2413:D2413"/>
    <mergeCell ref="A2414:D2414"/>
    <mergeCell ref="A2415:D2415"/>
    <mergeCell ref="A2416:D2416"/>
    <mergeCell ref="A2417:D2417"/>
    <mergeCell ref="A2418:D2418"/>
    <mergeCell ref="A2419:B2419"/>
    <mergeCell ref="C2419:D2419"/>
    <mergeCell ref="C2420:D2420"/>
    <mergeCell ref="A2422:B2422"/>
    <mergeCell ref="C2422:D2422"/>
    <mergeCell ref="A2423:B2423"/>
    <mergeCell ref="C2423:D2423"/>
    <mergeCell ref="A2424:B2424"/>
    <mergeCell ref="C2424:D2424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D2455"/>
    <mergeCell ref="A2456:D2456"/>
    <mergeCell ref="A2457:D2457"/>
    <mergeCell ref="A2458:D2458"/>
    <mergeCell ref="A2459:B2459"/>
    <mergeCell ref="C2459:D2459"/>
    <mergeCell ref="C2460:D2460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41:D2441"/>
    <mergeCell ref="A2442:D2442"/>
    <mergeCell ref="A2443:D2443"/>
    <mergeCell ref="A2444:D2444"/>
    <mergeCell ref="A2445:D2445"/>
    <mergeCell ref="A2446:B2446"/>
    <mergeCell ref="C2446:D2446"/>
    <mergeCell ref="C2447:D2447"/>
    <mergeCell ref="A2449:B2449"/>
    <mergeCell ref="C2449:D2449"/>
    <mergeCell ref="A2473:B2473"/>
    <mergeCell ref="C2473:D2473"/>
    <mergeCell ref="C2474:D2474"/>
    <mergeCell ref="A2476:B2476"/>
    <mergeCell ref="C2476:D2476"/>
    <mergeCell ref="A2477:B2477"/>
    <mergeCell ref="C2477:D2477"/>
    <mergeCell ref="A2478:B2478"/>
    <mergeCell ref="C2478:D2478"/>
    <mergeCell ref="A2479:B2479"/>
    <mergeCell ref="C2479:D2479"/>
    <mergeCell ref="A2480:B2480"/>
    <mergeCell ref="C2480:D2480"/>
    <mergeCell ref="A2481:B2481"/>
    <mergeCell ref="C2481:D2481"/>
    <mergeCell ref="A2482:D2482"/>
    <mergeCell ref="A2483:D2483"/>
    <mergeCell ref="A2462:B2462"/>
    <mergeCell ref="C2462:D2462"/>
    <mergeCell ref="A2463:B2463"/>
    <mergeCell ref="C2463:D2463"/>
    <mergeCell ref="A2464:B2464"/>
    <mergeCell ref="C2464:D2464"/>
    <mergeCell ref="A2465:B2465"/>
    <mergeCell ref="C2465:D2465"/>
    <mergeCell ref="A2466:B2466"/>
    <mergeCell ref="C2466:D2466"/>
    <mergeCell ref="A2467:B2467"/>
    <mergeCell ref="C2467:D2467"/>
    <mergeCell ref="A2468:D2468"/>
    <mergeCell ref="A2469:D2469"/>
    <mergeCell ref="A2470:D2470"/>
    <mergeCell ref="A2471:D2471"/>
    <mergeCell ref="A2472:D2472"/>
    <mergeCell ref="A2495:D2495"/>
    <mergeCell ref="A2496:D2496"/>
    <mergeCell ref="A2497:D2497"/>
    <mergeCell ref="A2498:D2498"/>
    <mergeCell ref="A2499:D2499"/>
    <mergeCell ref="A2500:B2500"/>
    <mergeCell ref="C2500:D2500"/>
    <mergeCell ref="C2501:D2501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484:D2484"/>
    <mergeCell ref="A2485:D2485"/>
    <mergeCell ref="A2486:B2486"/>
    <mergeCell ref="C2486:D2486"/>
    <mergeCell ref="C2487:D2487"/>
    <mergeCell ref="A2489:B2489"/>
    <mergeCell ref="C2489:D2489"/>
    <mergeCell ref="A2490:B2490"/>
    <mergeCell ref="C2490:D2490"/>
    <mergeCell ref="A2491:B2491"/>
    <mergeCell ref="C2491:D2491"/>
    <mergeCell ref="A2492:B2492"/>
    <mergeCell ref="C2492:D2492"/>
    <mergeCell ref="A2493:B2493"/>
    <mergeCell ref="C2493:D2493"/>
    <mergeCell ref="A2494:B2494"/>
    <mergeCell ref="C2494:D2494"/>
    <mergeCell ref="A2520:B2520"/>
    <mergeCell ref="C2520:D2520"/>
    <mergeCell ref="A2521:B2521"/>
    <mergeCell ref="C2521:D2521"/>
    <mergeCell ref="A2522:D2522"/>
    <mergeCell ref="A2523:D2523"/>
    <mergeCell ref="A2524:D2524"/>
    <mergeCell ref="A2525:D2525"/>
    <mergeCell ref="A2526:D2526"/>
    <mergeCell ref="A2527:B2527"/>
    <mergeCell ref="C2527:D2527"/>
    <mergeCell ref="C2528:D2528"/>
    <mergeCell ref="A2530:B2530"/>
    <mergeCell ref="C2530:D2530"/>
    <mergeCell ref="A2531:B2531"/>
    <mergeCell ref="C2531:D2531"/>
    <mergeCell ref="A2532:B2532"/>
    <mergeCell ref="C2532:D2532"/>
    <mergeCell ref="A2508:B2508"/>
    <mergeCell ref="C2508:D2508"/>
    <mergeCell ref="A2509:D2509"/>
    <mergeCell ref="A2510:D2510"/>
    <mergeCell ref="A2511:D2511"/>
    <mergeCell ref="A2512:D2512"/>
    <mergeCell ref="A2513:B2513"/>
    <mergeCell ref="C2513:D2513"/>
    <mergeCell ref="C2514:D2514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D2549"/>
    <mergeCell ref="A2550:D2550"/>
    <mergeCell ref="A2551:D2551"/>
    <mergeCell ref="A2552:D2552"/>
    <mergeCell ref="A2553:D2553"/>
    <mergeCell ref="A2554:B2554"/>
    <mergeCell ref="C2554:D2554"/>
    <mergeCell ref="C2555:D2555"/>
    <mergeCell ref="A2557:B2557"/>
    <mergeCell ref="C2557:D2557"/>
    <mergeCell ref="A2533:B2533"/>
    <mergeCell ref="C2533:D2533"/>
    <mergeCell ref="A2534:B2534"/>
    <mergeCell ref="C2534:D2534"/>
    <mergeCell ref="A2535:B2535"/>
    <mergeCell ref="C2535:D2535"/>
    <mergeCell ref="A2536:D2536"/>
    <mergeCell ref="A2537:D2537"/>
    <mergeCell ref="A2538:D2538"/>
    <mergeCell ref="A2539:D2539"/>
    <mergeCell ref="A2540:B2540"/>
    <mergeCell ref="C2540:D2540"/>
    <mergeCell ref="C2541:D2541"/>
    <mergeCell ref="A2543:B2543"/>
    <mergeCell ref="C2543:D2543"/>
    <mergeCell ref="A2544:B2544"/>
    <mergeCell ref="C2544:D2544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B2574"/>
    <mergeCell ref="C2574:D2574"/>
    <mergeCell ref="A2575:B2575"/>
    <mergeCell ref="C2575:D2575"/>
    <mergeCell ref="A2576:D2576"/>
    <mergeCell ref="A2577:D2577"/>
    <mergeCell ref="A2578:D2578"/>
    <mergeCell ref="A2579:D2579"/>
    <mergeCell ref="A2580:D2580"/>
    <mergeCell ref="A2558:B2558"/>
    <mergeCell ref="C2558:D2558"/>
    <mergeCell ref="A2559:B2559"/>
    <mergeCell ref="C2559:D2559"/>
    <mergeCell ref="A2560:B2560"/>
    <mergeCell ref="C2560:D2560"/>
    <mergeCell ref="A2561:B2561"/>
    <mergeCell ref="C2561:D2561"/>
    <mergeCell ref="A2562:B2562"/>
    <mergeCell ref="C2562:D2562"/>
    <mergeCell ref="A2563:D2563"/>
    <mergeCell ref="A2564:D2564"/>
    <mergeCell ref="A2565:D2565"/>
    <mergeCell ref="A2566:D2566"/>
    <mergeCell ref="A2567:B2567"/>
    <mergeCell ref="C2567:D2567"/>
    <mergeCell ref="C2568:D2568"/>
    <mergeCell ref="A2592:D2592"/>
    <mergeCell ref="A2593:D2593"/>
    <mergeCell ref="A2594:B2594"/>
    <mergeCell ref="C2594:D2594"/>
    <mergeCell ref="C2595:D2595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A2602:B2602"/>
    <mergeCell ref="C2602:D2602"/>
    <mergeCell ref="A2581:B2581"/>
    <mergeCell ref="C2581:D2581"/>
    <mergeCell ref="C2582:D2582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B2589"/>
    <mergeCell ref="C2589:D2589"/>
    <mergeCell ref="A2590:D2590"/>
    <mergeCell ref="A2591:D2591"/>
    <mergeCell ref="A2616:B2616"/>
    <mergeCell ref="C2616:D2616"/>
    <mergeCell ref="A2617:D2617"/>
    <mergeCell ref="A2618:D2618"/>
    <mergeCell ref="A2619:D2619"/>
    <mergeCell ref="A2620:D2620"/>
    <mergeCell ref="A2621:B2621"/>
    <mergeCell ref="C2621:D2621"/>
    <mergeCell ref="C2622:D2622"/>
    <mergeCell ref="A2624:B2624"/>
    <mergeCell ref="C2624:D2624"/>
    <mergeCell ref="A2625:B2625"/>
    <mergeCell ref="C2625:D2625"/>
    <mergeCell ref="A2626:B2626"/>
    <mergeCell ref="C2626:D2626"/>
    <mergeCell ref="A2627:B2627"/>
    <mergeCell ref="C2627:D2627"/>
    <mergeCell ref="A2603:D2603"/>
    <mergeCell ref="A2604:D2604"/>
    <mergeCell ref="A2605:D2605"/>
    <mergeCell ref="A2606:D2606"/>
    <mergeCell ref="A2607:D2607"/>
    <mergeCell ref="A2608:B2608"/>
    <mergeCell ref="C2608:D2608"/>
    <mergeCell ref="C2609:D2609"/>
    <mergeCell ref="A2611:B2611"/>
    <mergeCell ref="C2611:D2611"/>
    <mergeCell ref="A2612:B2612"/>
    <mergeCell ref="C2612:D2612"/>
    <mergeCell ref="A2613:B2613"/>
    <mergeCell ref="C2613:D2613"/>
    <mergeCell ref="A2614:B2614"/>
    <mergeCell ref="C2614:D2614"/>
    <mergeCell ref="A2615:B2615"/>
    <mergeCell ref="C2615:D2615"/>
    <mergeCell ref="A2641:B2641"/>
    <mergeCell ref="C2641:D2641"/>
    <mergeCell ref="A2642:B2642"/>
    <mergeCell ref="C2642:D2642"/>
    <mergeCell ref="A2643:B2643"/>
    <mergeCell ref="C2643:D2643"/>
    <mergeCell ref="A2644:D2644"/>
    <mergeCell ref="A2645:D2645"/>
    <mergeCell ref="A2646:D2646"/>
    <mergeCell ref="A2674:D2674"/>
    <mergeCell ref="A2675:B2675"/>
    <mergeCell ref="C2675:D2675"/>
    <mergeCell ref="C2676:D2676"/>
    <mergeCell ref="A2678:B2678"/>
    <mergeCell ref="C2678:D2678"/>
    <mergeCell ref="A2679:B2679"/>
    <mergeCell ref="C2679:D2679"/>
    <mergeCell ref="A2647:D2647"/>
    <mergeCell ref="A2648:B2648"/>
    <mergeCell ref="C2648:D2648"/>
    <mergeCell ref="C2649:D2649"/>
    <mergeCell ref="A2651:B2651"/>
    <mergeCell ref="C2651:D2651"/>
    <mergeCell ref="A2652:B2652"/>
    <mergeCell ref="C2652:D2652"/>
    <mergeCell ref="A2653:B2653"/>
    <mergeCell ref="C2653:D2653"/>
    <mergeCell ref="A2654:B2654"/>
    <mergeCell ref="C2654:D2654"/>
    <mergeCell ref="A2655:B2655"/>
    <mergeCell ref="C2655:D2655"/>
    <mergeCell ref="A2656:B2656"/>
    <mergeCell ref="A2628:B2628"/>
    <mergeCell ref="C2628:D2628"/>
    <mergeCell ref="A2629:B2629"/>
    <mergeCell ref="C2629:D2629"/>
    <mergeCell ref="A2630:D2630"/>
    <mergeCell ref="A2631:D2631"/>
    <mergeCell ref="A2632:D2632"/>
    <mergeCell ref="A2633:D2633"/>
    <mergeCell ref="A2634:D2634"/>
    <mergeCell ref="A2635:B2635"/>
    <mergeCell ref="C2635:D2635"/>
    <mergeCell ref="C2636:D2636"/>
    <mergeCell ref="A2638:B2638"/>
    <mergeCell ref="C2638:D2638"/>
    <mergeCell ref="A2639:B2639"/>
    <mergeCell ref="C2639:D2639"/>
    <mergeCell ref="A2640:B2640"/>
    <mergeCell ref="C2640:D2640"/>
    <mergeCell ref="A2693:B2693"/>
    <mergeCell ref="C2693:D2693"/>
    <mergeCell ref="A2694:B2694"/>
    <mergeCell ref="C2694:D2694"/>
    <mergeCell ref="A2695:B2695"/>
    <mergeCell ref="C2695:D2695"/>
    <mergeCell ref="A2696:B2696"/>
    <mergeCell ref="C2696:D2696"/>
    <mergeCell ref="A2697:B2697"/>
    <mergeCell ref="C2697:D2697"/>
    <mergeCell ref="A2698:D2698"/>
    <mergeCell ref="A2699:D2699"/>
    <mergeCell ref="A2700:D2700"/>
    <mergeCell ref="A2701:D2701"/>
    <mergeCell ref="A2702:B2702"/>
    <mergeCell ref="C2702:D2702"/>
    <mergeCell ref="C2703:D2703"/>
    <mergeCell ref="A2680:B2680"/>
    <mergeCell ref="C2680:D2680"/>
    <mergeCell ref="A2681:B2681"/>
    <mergeCell ref="C2681:D2681"/>
    <mergeCell ref="A2682:B2682"/>
    <mergeCell ref="C2682:D2682"/>
    <mergeCell ref="A2683:B2683"/>
    <mergeCell ref="C2683:D2683"/>
    <mergeCell ref="A2684:D2684"/>
    <mergeCell ref="A2685:D2685"/>
    <mergeCell ref="A2686:D2686"/>
    <mergeCell ref="A2687:D2687"/>
    <mergeCell ref="A2688:D2688"/>
    <mergeCell ref="A2689:B2689"/>
    <mergeCell ref="C2689:D2689"/>
    <mergeCell ref="C2690:D2690"/>
    <mergeCell ref="A2692:B2692"/>
    <mergeCell ref="C2692:D2692"/>
    <mergeCell ref="A2716:B2716"/>
    <mergeCell ref="C2716:D2716"/>
    <mergeCell ref="C2717:D2717"/>
    <mergeCell ref="A2719:B2719"/>
    <mergeCell ref="C2719:D2719"/>
    <mergeCell ref="A2720:B2720"/>
    <mergeCell ref="C2720:D2720"/>
    <mergeCell ref="A2721:B2721"/>
    <mergeCell ref="C2721:D2721"/>
    <mergeCell ref="A2722:B2722"/>
    <mergeCell ref="C2722:D2722"/>
    <mergeCell ref="A2723:B2723"/>
    <mergeCell ref="C2723:D2723"/>
    <mergeCell ref="A2724:B2724"/>
    <mergeCell ref="C2724:D2724"/>
    <mergeCell ref="A2725:D2725"/>
    <mergeCell ref="A2726:D2726"/>
    <mergeCell ref="A2705:B2705"/>
    <mergeCell ref="C2705:D2705"/>
    <mergeCell ref="A2706:B2706"/>
    <mergeCell ref="C2706:D2706"/>
    <mergeCell ref="A2707:B2707"/>
    <mergeCell ref="C2707:D2707"/>
    <mergeCell ref="A2708:B2708"/>
    <mergeCell ref="C2708:D2708"/>
    <mergeCell ref="A2709:B2709"/>
    <mergeCell ref="C2709:D2709"/>
    <mergeCell ref="A2710:B2710"/>
    <mergeCell ref="C2710:D2710"/>
    <mergeCell ref="A2711:D2711"/>
    <mergeCell ref="A2712:D2712"/>
    <mergeCell ref="A2713:D2713"/>
    <mergeCell ref="A2714:D2714"/>
    <mergeCell ref="A2715:D2715"/>
    <mergeCell ref="A2738:D2738"/>
    <mergeCell ref="A2739:D2739"/>
    <mergeCell ref="A2740:D2740"/>
    <mergeCell ref="A2741:D2741"/>
    <mergeCell ref="A2742:D2742"/>
    <mergeCell ref="A2743:B2743"/>
    <mergeCell ref="C2743:D2743"/>
    <mergeCell ref="C2744:D2744"/>
    <mergeCell ref="A2746:B2746"/>
    <mergeCell ref="C2746:D2746"/>
    <mergeCell ref="A2747:B2747"/>
    <mergeCell ref="C2747:D2747"/>
    <mergeCell ref="A2748:B2748"/>
    <mergeCell ref="C2748:D2748"/>
    <mergeCell ref="A2749:B2749"/>
    <mergeCell ref="C2749:D2749"/>
    <mergeCell ref="A2750:B2750"/>
    <mergeCell ref="C2750:D2750"/>
    <mergeCell ref="A2727:D2727"/>
    <mergeCell ref="A2728:D2728"/>
    <mergeCell ref="A2729:B2729"/>
    <mergeCell ref="C2729:D2729"/>
    <mergeCell ref="C2730:D2730"/>
    <mergeCell ref="A2732:B2732"/>
    <mergeCell ref="C2732:D2732"/>
    <mergeCell ref="A2733:B2733"/>
    <mergeCell ref="C2733:D2733"/>
    <mergeCell ref="A2734:B2734"/>
    <mergeCell ref="C2734:D2734"/>
    <mergeCell ref="A2735:B2735"/>
    <mergeCell ref="C2735:D2735"/>
    <mergeCell ref="A2736:B2736"/>
    <mergeCell ref="C2736:D2736"/>
    <mergeCell ref="A2737:B2737"/>
    <mergeCell ref="C2737:D2737"/>
    <mergeCell ref="A2763:B2763"/>
    <mergeCell ref="C2763:D2763"/>
    <mergeCell ref="A2764:B2764"/>
    <mergeCell ref="C2764:D2764"/>
    <mergeCell ref="A2765:D2765"/>
    <mergeCell ref="A2766:D2766"/>
    <mergeCell ref="A2767:D2767"/>
    <mergeCell ref="A2768:D2768"/>
    <mergeCell ref="A2769:D2769"/>
    <mergeCell ref="A2770:B2770"/>
    <mergeCell ref="C2770:D2770"/>
    <mergeCell ref="C2771:D2771"/>
    <mergeCell ref="A2773:B2773"/>
    <mergeCell ref="C2773:D2773"/>
    <mergeCell ref="A2774:B2774"/>
    <mergeCell ref="C2774:D2774"/>
    <mergeCell ref="A2775:B2775"/>
    <mergeCell ref="C2775:D2775"/>
    <mergeCell ref="A2751:B2751"/>
    <mergeCell ref="C2751:D2751"/>
    <mergeCell ref="A2752:D2752"/>
    <mergeCell ref="A2753:D2753"/>
    <mergeCell ref="A2754:D2754"/>
    <mergeCell ref="A2755:D2755"/>
    <mergeCell ref="A2756:B2756"/>
    <mergeCell ref="C2756:D2756"/>
    <mergeCell ref="C2757:D2757"/>
    <mergeCell ref="A2759:B2759"/>
    <mergeCell ref="C2759:D2759"/>
    <mergeCell ref="A2760:B2760"/>
    <mergeCell ref="C2760:D2760"/>
    <mergeCell ref="A2761:B2761"/>
    <mergeCell ref="C2761:D2761"/>
    <mergeCell ref="A2762:B2762"/>
    <mergeCell ref="C2762:D2762"/>
    <mergeCell ref="A2788:B2788"/>
    <mergeCell ref="C2788:D2788"/>
    <mergeCell ref="A2789:B2789"/>
    <mergeCell ref="C2789:D2789"/>
    <mergeCell ref="A2790:B2790"/>
    <mergeCell ref="C2790:D2790"/>
    <mergeCell ref="A2791:B2791"/>
    <mergeCell ref="C2791:D2791"/>
    <mergeCell ref="A2792:D2792"/>
    <mergeCell ref="A2793:D2793"/>
    <mergeCell ref="A2794:D2794"/>
    <mergeCell ref="A2795:D2795"/>
    <mergeCell ref="A2796:D2796"/>
    <mergeCell ref="A2797:B2797"/>
    <mergeCell ref="C2797:D2797"/>
    <mergeCell ref="C2798:D2798"/>
    <mergeCell ref="A2800:B2800"/>
    <mergeCell ref="C2800:D2800"/>
    <mergeCell ref="A2776:B2776"/>
    <mergeCell ref="C2776:D2776"/>
    <mergeCell ref="A2777:B2777"/>
    <mergeCell ref="C2777:D2777"/>
    <mergeCell ref="A2778:B2778"/>
    <mergeCell ref="C2778:D2778"/>
    <mergeCell ref="A2779:D2779"/>
    <mergeCell ref="A2780:D2780"/>
    <mergeCell ref="A2781:D2781"/>
    <mergeCell ref="A2782:D2782"/>
    <mergeCell ref="A2783:B2783"/>
    <mergeCell ref="C2783:D2783"/>
    <mergeCell ref="C2784:D2784"/>
    <mergeCell ref="A2786:B2786"/>
    <mergeCell ref="C2786:D2786"/>
    <mergeCell ref="A2787:B2787"/>
    <mergeCell ref="C2787:D2787"/>
    <mergeCell ref="A2813:B2813"/>
    <mergeCell ref="C2813:D2813"/>
    <mergeCell ref="A2814:B2814"/>
    <mergeCell ref="C2814:D2814"/>
    <mergeCell ref="A2815:B2815"/>
    <mergeCell ref="C2815:D2815"/>
    <mergeCell ref="A2816:B2816"/>
    <mergeCell ref="C2816:D2816"/>
    <mergeCell ref="A2817:B2817"/>
    <mergeCell ref="C2817:D2817"/>
    <mergeCell ref="A2818:B2818"/>
    <mergeCell ref="C2818:D2818"/>
    <mergeCell ref="A2819:D2819"/>
    <mergeCell ref="A2820:D2820"/>
    <mergeCell ref="A2821:D2821"/>
    <mergeCell ref="A2822:D2822"/>
    <mergeCell ref="A2823:D2823"/>
    <mergeCell ref="A2801:B2801"/>
    <mergeCell ref="C2801:D2801"/>
    <mergeCell ref="A2802:B2802"/>
    <mergeCell ref="C2802:D2802"/>
    <mergeCell ref="A2803:B2803"/>
    <mergeCell ref="C2803:D2803"/>
    <mergeCell ref="A2804:B2804"/>
    <mergeCell ref="C2804:D2804"/>
    <mergeCell ref="A2805:B2805"/>
    <mergeCell ref="C2805:D2805"/>
    <mergeCell ref="A2806:D2806"/>
    <mergeCell ref="A2807:D2807"/>
    <mergeCell ref="A2808:D2808"/>
    <mergeCell ref="A2809:D2809"/>
    <mergeCell ref="A2810:B2810"/>
    <mergeCell ref="C2810:D2810"/>
    <mergeCell ref="C2811:D2811"/>
    <mergeCell ref="A2835:D2835"/>
    <mergeCell ref="A2836:D2836"/>
    <mergeCell ref="A2837:B2837"/>
    <mergeCell ref="C2837:D2837"/>
    <mergeCell ref="C2838:D2838"/>
    <mergeCell ref="A2840:B2840"/>
    <mergeCell ref="C2840:D2840"/>
    <mergeCell ref="A2841:B2841"/>
    <mergeCell ref="C2841:D2841"/>
    <mergeCell ref="A2842:B2842"/>
    <mergeCell ref="C2842:D2842"/>
    <mergeCell ref="A2843:B2843"/>
    <mergeCell ref="C2843:D2843"/>
    <mergeCell ref="A2844:B2844"/>
    <mergeCell ref="C2844:D2844"/>
    <mergeCell ref="A2845:B2845"/>
    <mergeCell ref="C2845:D2845"/>
    <mergeCell ref="A2824:B2824"/>
    <mergeCell ref="C2824:D2824"/>
    <mergeCell ref="C2825:D2825"/>
    <mergeCell ref="A2827:B2827"/>
    <mergeCell ref="C2827:D2827"/>
    <mergeCell ref="A2828:B2828"/>
    <mergeCell ref="C2828:D2828"/>
    <mergeCell ref="A2829:B2829"/>
    <mergeCell ref="C2829:D2829"/>
    <mergeCell ref="A2830:B2830"/>
    <mergeCell ref="C2830:D2830"/>
    <mergeCell ref="A2831:B2831"/>
    <mergeCell ref="C2831:D2831"/>
    <mergeCell ref="A2832:B2832"/>
    <mergeCell ref="C2832:D2832"/>
    <mergeCell ref="A2833:D2833"/>
    <mergeCell ref="A2834:D2834"/>
    <mergeCell ref="A2859:B2859"/>
    <mergeCell ref="C2859:D2859"/>
    <mergeCell ref="A2860:D2860"/>
    <mergeCell ref="A2861:D2861"/>
    <mergeCell ref="A2862:D2862"/>
    <mergeCell ref="A2863:D2863"/>
    <mergeCell ref="A2864:B2864"/>
    <mergeCell ref="C2864:D2864"/>
    <mergeCell ref="C2865:D2865"/>
    <mergeCell ref="A2867:B2867"/>
    <mergeCell ref="C2867:D2867"/>
    <mergeCell ref="A2868:B2868"/>
    <mergeCell ref="C2868:D2868"/>
    <mergeCell ref="A2869:B2869"/>
    <mergeCell ref="C2869:D2869"/>
    <mergeCell ref="A2870:B2870"/>
    <mergeCell ref="C2870:D2870"/>
    <mergeCell ref="A2846:D2846"/>
    <mergeCell ref="A2847:D2847"/>
    <mergeCell ref="A2848:D2848"/>
    <mergeCell ref="A2849:D2849"/>
    <mergeCell ref="A2850:D2850"/>
    <mergeCell ref="A2851:B2851"/>
    <mergeCell ref="C2851:D2851"/>
    <mergeCell ref="C2852:D2852"/>
    <mergeCell ref="A2854:B2854"/>
    <mergeCell ref="C2854:D2854"/>
    <mergeCell ref="A2855:B2855"/>
    <mergeCell ref="C2855:D2855"/>
    <mergeCell ref="A2856:B2856"/>
    <mergeCell ref="C2856:D2856"/>
    <mergeCell ref="A2857:B2857"/>
    <mergeCell ref="C2857:D2857"/>
    <mergeCell ref="A2858:B2858"/>
    <mergeCell ref="C2858:D2858"/>
    <mergeCell ref="A2884:B2884"/>
    <mergeCell ref="C2884:D2884"/>
    <mergeCell ref="A2885:B2885"/>
    <mergeCell ref="C2885:D2885"/>
    <mergeCell ref="A2886:B2886"/>
    <mergeCell ref="C2886:D2886"/>
    <mergeCell ref="A2887:D2887"/>
    <mergeCell ref="A2888:D2888"/>
    <mergeCell ref="A2889:D2889"/>
    <mergeCell ref="A2890:D2890"/>
    <mergeCell ref="A2891:B2891"/>
    <mergeCell ref="C2891:D2891"/>
    <mergeCell ref="C2892:D2892"/>
    <mergeCell ref="A2894:B2894"/>
    <mergeCell ref="C2894:D2894"/>
    <mergeCell ref="A2895:B2895"/>
    <mergeCell ref="C2895:D2895"/>
    <mergeCell ref="A2871:B2871"/>
    <mergeCell ref="C2871:D2871"/>
    <mergeCell ref="A2872:B2872"/>
    <mergeCell ref="C2872:D2872"/>
    <mergeCell ref="A2873:D2873"/>
    <mergeCell ref="A2874:D2874"/>
    <mergeCell ref="A2875:D2875"/>
    <mergeCell ref="A2876:D2876"/>
    <mergeCell ref="A2877:D2877"/>
    <mergeCell ref="A2878:B2878"/>
    <mergeCell ref="C2878:D2878"/>
    <mergeCell ref="C2879:D2879"/>
    <mergeCell ref="A2881:B2881"/>
    <mergeCell ref="C2881:D2881"/>
    <mergeCell ref="A2882:B2882"/>
    <mergeCell ref="C2882:D2882"/>
    <mergeCell ref="A2883:B2883"/>
    <mergeCell ref="C2883:D2883"/>
    <mergeCell ref="A2909:B2909"/>
    <mergeCell ref="C2909:D2909"/>
    <mergeCell ref="A2910:B2910"/>
    <mergeCell ref="C2910:D2910"/>
    <mergeCell ref="A2911:B2911"/>
    <mergeCell ref="C2911:D2911"/>
    <mergeCell ref="A2912:B2912"/>
    <mergeCell ref="C2912:D2912"/>
    <mergeCell ref="A2913:B2913"/>
    <mergeCell ref="C2913:D2913"/>
    <mergeCell ref="A2914:D2914"/>
    <mergeCell ref="A2915:D2915"/>
    <mergeCell ref="A2916:D2916"/>
    <mergeCell ref="A2917:D2917"/>
    <mergeCell ref="A2918:B2918"/>
    <mergeCell ref="C2918:D2918"/>
    <mergeCell ref="C2919:D2919"/>
    <mergeCell ref="A2896:B2896"/>
    <mergeCell ref="C2896:D2896"/>
    <mergeCell ref="A2897:B2897"/>
    <mergeCell ref="C2897:D2897"/>
    <mergeCell ref="A2898:B2898"/>
    <mergeCell ref="C2898:D2898"/>
    <mergeCell ref="A2899:B2899"/>
    <mergeCell ref="C2899:D2899"/>
    <mergeCell ref="A2900:D2900"/>
    <mergeCell ref="A2901:D2901"/>
    <mergeCell ref="A2902:D2902"/>
    <mergeCell ref="A2903:D2903"/>
    <mergeCell ref="A2904:D2904"/>
    <mergeCell ref="A2905:B2905"/>
    <mergeCell ref="C2905:D2905"/>
    <mergeCell ref="C2906:D2906"/>
    <mergeCell ref="A2908:B2908"/>
    <mergeCell ref="C2908:D2908"/>
    <mergeCell ref="A2932:B2932"/>
    <mergeCell ref="C2932:D2932"/>
    <mergeCell ref="C2933:D2933"/>
    <mergeCell ref="A2935:B2935"/>
    <mergeCell ref="C2935:D2935"/>
    <mergeCell ref="A2936:B2936"/>
    <mergeCell ref="C2936:D2936"/>
    <mergeCell ref="A2937:B2937"/>
    <mergeCell ref="C2937:D2937"/>
    <mergeCell ref="A2938:B2938"/>
    <mergeCell ref="C2938:D2938"/>
    <mergeCell ref="A2939:B2939"/>
    <mergeCell ref="C2939:D2939"/>
    <mergeCell ref="A2940:B2940"/>
    <mergeCell ref="C2940:D2940"/>
    <mergeCell ref="A2941:D2941"/>
    <mergeCell ref="A2942:D2942"/>
    <mergeCell ref="A2957:D2957"/>
    <mergeCell ref="A2958:D2958"/>
    <mergeCell ref="A2959:B2959"/>
    <mergeCell ref="C2959:D2959"/>
    <mergeCell ref="C2960:D2960"/>
    <mergeCell ref="A2962:B2962"/>
    <mergeCell ref="C2962:D2962"/>
    <mergeCell ref="A2963:B2963"/>
    <mergeCell ref="C2963:D2963"/>
    <mergeCell ref="A2964:B2964"/>
    <mergeCell ref="C2964:D2964"/>
    <mergeCell ref="A2965:B2965"/>
    <mergeCell ref="C2965:D2965"/>
    <mergeCell ref="A2966:B2966"/>
    <mergeCell ref="C2966:D2966"/>
    <mergeCell ref="A2921:B2921"/>
    <mergeCell ref="C2921:D2921"/>
    <mergeCell ref="A2922:B2922"/>
    <mergeCell ref="C2922:D2922"/>
    <mergeCell ref="A2923:B2923"/>
    <mergeCell ref="C2923:D2923"/>
    <mergeCell ref="A2924:B2924"/>
    <mergeCell ref="C2924:D2924"/>
    <mergeCell ref="A2925:B2925"/>
    <mergeCell ref="C2925:D2925"/>
    <mergeCell ref="A2926:B2926"/>
    <mergeCell ref="C2926:D2926"/>
    <mergeCell ref="A2927:D2927"/>
    <mergeCell ref="A2928:D2928"/>
    <mergeCell ref="A2929:D2929"/>
    <mergeCell ref="A2930:D2930"/>
    <mergeCell ref="A2931:D2931"/>
    <mergeCell ref="A2983:D2983"/>
    <mergeCell ref="A2984:D2984"/>
    <mergeCell ref="A2985:D2985"/>
    <mergeCell ref="A2986:B2986"/>
    <mergeCell ref="C2986:D2986"/>
    <mergeCell ref="C2987:D2987"/>
    <mergeCell ref="A2989:B2989"/>
    <mergeCell ref="C2989:D2989"/>
    <mergeCell ref="A2990:B2990"/>
    <mergeCell ref="C2990:D2990"/>
    <mergeCell ref="A2991:B2991"/>
    <mergeCell ref="C2991:D2991"/>
    <mergeCell ref="A2943:D2943"/>
    <mergeCell ref="A2944:D2944"/>
    <mergeCell ref="A2945:B2945"/>
    <mergeCell ref="C2945:D2945"/>
    <mergeCell ref="C2946:D2946"/>
    <mergeCell ref="A2948:B2948"/>
    <mergeCell ref="C2948:D2948"/>
    <mergeCell ref="A2949:B2949"/>
    <mergeCell ref="C2949:D2949"/>
    <mergeCell ref="A2950:B2950"/>
    <mergeCell ref="C2950:D2950"/>
    <mergeCell ref="A2951:B2951"/>
    <mergeCell ref="C2951:D2951"/>
    <mergeCell ref="A2952:B2952"/>
    <mergeCell ref="C2952:D2952"/>
    <mergeCell ref="A2953:B2953"/>
    <mergeCell ref="C2953:D2953"/>
    <mergeCell ref="A2954:D2954"/>
    <mergeCell ref="A2955:D2955"/>
    <mergeCell ref="A2956:D2956"/>
    <mergeCell ref="A2992:B2992"/>
    <mergeCell ref="C2992:D2992"/>
    <mergeCell ref="A2993:B2993"/>
    <mergeCell ref="C2993:D2993"/>
    <mergeCell ref="A2994:B2994"/>
    <mergeCell ref="C2994:D2994"/>
    <mergeCell ref="A2995:D2995"/>
    <mergeCell ref="A2996:D2996"/>
    <mergeCell ref="A2997:D2997"/>
    <mergeCell ref="A2967:B2967"/>
    <mergeCell ref="C2967:D2967"/>
    <mergeCell ref="A2968:D2968"/>
    <mergeCell ref="A2969:D2969"/>
    <mergeCell ref="A2970:D2970"/>
    <mergeCell ref="A2971:D2971"/>
    <mergeCell ref="A2972:B2972"/>
    <mergeCell ref="C2972:D2972"/>
    <mergeCell ref="C2973:D2973"/>
    <mergeCell ref="A2975:B2975"/>
    <mergeCell ref="C2975:D2975"/>
    <mergeCell ref="A2976:B2976"/>
    <mergeCell ref="C2976:D2976"/>
    <mergeCell ref="A2977:B2977"/>
    <mergeCell ref="C2977:D2977"/>
    <mergeCell ref="A2978:B2978"/>
    <mergeCell ref="C2978:D2978"/>
    <mergeCell ref="A2979:B2979"/>
    <mergeCell ref="C2979:D2979"/>
    <mergeCell ref="A2980:B2980"/>
    <mergeCell ref="C2980:D2980"/>
    <mergeCell ref="A2981:D2981"/>
    <mergeCell ref="A2982:D2982"/>
    <mergeCell ref="A3033:B3033"/>
    <mergeCell ref="C3033:D3033"/>
    <mergeCell ref="A3034:B3034"/>
    <mergeCell ref="C3034:D3034"/>
    <mergeCell ref="A2998:D2998"/>
    <mergeCell ref="A2999:B2999"/>
    <mergeCell ref="C2999:D2999"/>
    <mergeCell ref="C3000:D3000"/>
    <mergeCell ref="A3002:B3002"/>
    <mergeCell ref="C3002:D3002"/>
    <mergeCell ref="A3003:B3003"/>
    <mergeCell ref="C3003:D3003"/>
    <mergeCell ref="A3004:B3004"/>
    <mergeCell ref="C3004:D3004"/>
    <mergeCell ref="A3005:B3005"/>
    <mergeCell ref="C3005:D3005"/>
    <mergeCell ref="A3006:B3006"/>
    <mergeCell ref="C3006:D3006"/>
    <mergeCell ref="A3007:B3007"/>
    <mergeCell ref="C3007:D3007"/>
    <mergeCell ref="A3008:D3008"/>
    <mergeCell ref="A3009:D3009"/>
    <mergeCell ref="A3010:D3010"/>
    <mergeCell ref="A3011:D3011"/>
    <mergeCell ref="A3012:D3012"/>
    <mergeCell ref="A3059:B3059"/>
    <mergeCell ref="C3059:D3059"/>
    <mergeCell ref="A3013:B3013"/>
    <mergeCell ref="C3013:D3013"/>
    <mergeCell ref="C3014:D3014"/>
    <mergeCell ref="A3016:B3016"/>
    <mergeCell ref="C3016:D3016"/>
    <mergeCell ref="A3017:B3017"/>
    <mergeCell ref="C3017:D3017"/>
    <mergeCell ref="A3018:B3018"/>
    <mergeCell ref="C3018:D3018"/>
    <mergeCell ref="A3019:B3019"/>
    <mergeCell ref="C3019:D3019"/>
    <mergeCell ref="A3020:B3020"/>
    <mergeCell ref="C3020:D3020"/>
    <mergeCell ref="A3021:B3021"/>
    <mergeCell ref="C3021:D3021"/>
    <mergeCell ref="A3022:D3022"/>
    <mergeCell ref="A3023:D3023"/>
    <mergeCell ref="A3024:D3024"/>
    <mergeCell ref="A3025:D3025"/>
    <mergeCell ref="A3026:B3026"/>
    <mergeCell ref="C3026:D3026"/>
    <mergeCell ref="C3027:D3027"/>
    <mergeCell ref="A3029:B3029"/>
    <mergeCell ref="C3029:D3029"/>
    <mergeCell ref="A3030:B3030"/>
    <mergeCell ref="C3030:D3030"/>
    <mergeCell ref="A3031:B3031"/>
    <mergeCell ref="C3031:D3031"/>
    <mergeCell ref="A3032:B3032"/>
    <mergeCell ref="C3032:D3032"/>
    <mergeCell ref="A3047:B3047"/>
    <mergeCell ref="C3047:D3047"/>
    <mergeCell ref="A3048:B3048"/>
    <mergeCell ref="C3048:D3048"/>
    <mergeCell ref="A3049:D3049"/>
    <mergeCell ref="A3050:D3050"/>
    <mergeCell ref="A3051:D3051"/>
    <mergeCell ref="A3052:D3052"/>
    <mergeCell ref="A3053:B3053"/>
    <mergeCell ref="C3053:D3053"/>
    <mergeCell ref="C3054:D3054"/>
    <mergeCell ref="A3056:B3056"/>
    <mergeCell ref="C3056:D3056"/>
    <mergeCell ref="A3057:B3057"/>
    <mergeCell ref="C3057:D3057"/>
    <mergeCell ref="A3058:B3058"/>
    <mergeCell ref="C3058:D3058"/>
    <mergeCell ref="C3073:D3073"/>
    <mergeCell ref="A3074:B3074"/>
    <mergeCell ref="C3074:D3074"/>
    <mergeCell ref="A3075:B3075"/>
    <mergeCell ref="C3075:D3075"/>
    <mergeCell ref="A3076:D3076"/>
    <mergeCell ref="A3077:D3077"/>
    <mergeCell ref="A3078:D3078"/>
    <mergeCell ref="A3079:D3079"/>
    <mergeCell ref="A3080:B3080"/>
    <mergeCell ref="C3080:D3080"/>
    <mergeCell ref="C3081:D3081"/>
    <mergeCell ref="A3083:B3083"/>
    <mergeCell ref="C3083:D3083"/>
    <mergeCell ref="A3084:B3084"/>
    <mergeCell ref="C3084:D3084"/>
    <mergeCell ref="A3035:D3035"/>
    <mergeCell ref="A3036:D3036"/>
    <mergeCell ref="A3037:D3037"/>
    <mergeCell ref="A3038:D3038"/>
    <mergeCell ref="A3039:D3039"/>
    <mergeCell ref="A3040:B3040"/>
    <mergeCell ref="C3040:D3040"/>
    <mergeCell ref="C3041:D3041"/>
    <mergeCell ref="A3043:B3043"/>
    <mergeCell ref="C3043:D3043"/>
    <mergeCell ref="A3044:B3044"/>
    <mergeCell ref="C3044:D3044"/>
    <mergeCell ref="A3045:B3045"/>
    <mergeCell ref="C3045:D3045"/>
    <mergeCell ref="A3046:B3046"/>
    <mergeCell ref="C3046:D3046"/>
    <mergeCell ref="A3100:B3100"/>
    <mergeCell ref="C3100:D3100"/>
    <mergeCell ref="A3101:B3101"/>
    <mergeCell ref="C3101:D3101"/>
    <mergeCell ref="A3102:B3102"/>
    <mergeCell ref="C3102:D3102"/>
    <mergeCell ref="A3103:D3103"/>
    <mergeCell ref="A3104:D3104"/>
    <mergeCell ref="A3105:D3105"/>
    <mergeCell ref="A3106:D3106"/>
    <mergeCell ref="A3107:B3107"/>
    <mergeCell ref="C3107:D3107"/>
    <mergeCell ref="C3108:D3108"/>
    <mergeCell ref="A3060:B3060"/>
    <mergeCell ref="C3060:D3060"/>
    <mergeCell ref="A3061:B3061"/>
    <mergeCell ref="C3061:D3061"/>
    <mergeCell ref="A3062:D3062"/>
    <mergeCell ref="A3063:D3063"/>
    <mergeCell ref="A3064:D3064"/>
    <mergeCell ref="A3065:D3065"/>
    <mergeCell ref="A3066:D3066"/>
    <mergeCell ref="A3067:B3067"/>
    <mergeCell ref="C3067:D3067"/>
    <mergeCell ref="C3068:D3068"/>
    <mergeCell ref="A3070:B3070"/>
    <mergeCell ref="C3070:D3070"/>
    <mergeCell ref="A3071:B3071"/>
    <mergeCell ref="C3071:D3071"/>
    <mergeCell ref="A3072:B3072"/>
    <mergeCell ref="C3072:D3072"/>
    <mergeCell ref="A3073:B3073"/>
    <mergeCell ref="A3126:B3126"/>
    <mergeCell ref="C3126:D3126"/>
    <mergeCell ref="A3127:B3127"/>
    <mergeCell ref="C3127:D3127"/>
    <mergeCell ref="A3128:B3128"/>
    <mergeCell ref="C3128:D3128"/>
    <mergeCell ref="A3129:B3129"/>
    <mergeCell ref="C3129:D3129"/>
    <mergeCell ref="A3130:D3130"/>
    <mergeCell ref="A3131:D3131"/>
    <mergeCell ref="A3085:B3085"/>
    <mergeCell ref="C3085:D3085"/>
    <mergeCell ref="A3086:B3086"/>
    <mergeCell ref="C3086:D3086"/>
    <mergeCell ref="A3087:B3087"/>
    <mergeCell ref="C3087:D3087"/>
    <mergeCell ref="A3088:B3088"/>
    <mergeCell ref="C3088:D3088"/>
    <mergeCell ref="A3089:D3089"/>
    <mergeCell ref="A3090:D3090"/>
    <mergeCell ref="A3091:D3091"/>
    <mergeCell ref="A3092:D3092"/>
    <mergeCell ref="A3093:D3093"/>
    <mergeCell ref="A3094:B3094"/>
    <mergeCell ref="C3094:D3094"/>
    <mergeCell ref="C3095:D3095"/>
    <mergeCell ref="A3097:B3097"/>
    <mergeCell ref="C3097:D3097"/>
    <mergeCell ref="A3098:B3098"/>
    <mergeCell ref="C3098:D3098"/>
    <mergeCell ref="A3099:B3099"/>
    <mergeCell ref="C3099:D3099"/>
    <mergeCell ref="A3152:B3152"/>
    <mergeCell ref="C3152:D3152"/>
    <mergeCell ref="A3153:B3153"/>
    <mergeCell ref="C3153:D3153"/>
    <mergeCell ref="A3154:B3154"/>
    <mergeCell ref="C3154:D3154"/>
    <mergeCell ref="A3155:B3155"/>
    <mergeCell ref="C3155:D3155"/>
    <mergeCell ref="A3110:B3110"/>
    <mergeCell ref="C3110:D3110"/>
    <mergeCell ref="A3111:B3111"/>
    <mergeCell ref="C3111:D3111"/>
    <mergeCell ref="A3112:B3112"/>
    <mergeCell ref="C3112:D3112"/>
    <mergeCell ref="A3113:B3113"/>
    <mergeCell ref="C3113:D3113"/>
    <mergeCell ref="A3114:B3114"/>
    <mergeCell ref="C3114:D3114"/>
    <mergeCell ref="A3115:B3115"/>
    <mergeCell ref="C3115:D3115"/>
    <mergeCell ref="A3116:D3116"/>
    <mergeCell ref="A3117:D3117"/>
    <mergeCell ref="A3118:D3118"/>
    <mergeCell ref="A3119:D3119"/>
    <mergeCell ref="A3120:D3120"/>
    <mergeCell ref="A3121:B3121"/>
    <mergeCell ref="C3121:D3121"/>
    <mergeCell ref="C3122:D3122"/>
    <mergeCell ref="A3124:B3124"/>
    <mergeCell ref="C3124:D3124"/>
    <mergeCell ref="A3125:B3125"/>
    <mergeCell ref="C3125:D3125"/>
    <mergeCell ref="C3178:D3178"/>
    <mergeCell ref="A3179:B3179"/>
    <mergeCell ref="C3179:D3179"/>
    <mergeCell ref="A3180:B3180"/>
    <mergeCell ref="C3180:D3180"/>
    <mergeCell ref="A3132:D3132"/>
    <mergeCell ref="A3133:D3133"/>
    <mergeCell ref="A3134:B3134"/>
    <mergeCell ref="C3134:D3134"/>
    <mergeCell ref="C3135:D3135"/>
    <mergeCell ref="A3137:B3137"/>
    <mergeCell ref="C3137:D3137"/>
    <mergeCell ref="A3138:B3138"/>
    <mergeCell ref="C3138:D3138"/>
    <mergeCell ref="A3139:B3139"/>
    <mergeCell ref="C3139:D3139"/>
    <mergeCell ref="A3140:B3140"/>
    <mergeCell ref="C3140:D3140"/>
    <mergeCell ref="A3141:B3141"/>
    <mergeCell ref="C3141:D3141"/>
    <mergeCell ref="A3142:B3142"/>
    <mergeCell ref="C3142:D3142"/>
    <mergeCell ref="A3143:D3143"/>
    <mergeCell ref="A3144:D3144"/>
    <mergeCell ref="A3145:D3145"/>
    <mergeCell ref="A3146:D3146"/>
    <mergeCell ref="A3147:D3147"/>
    <mergeCell ref="A3148:B3148"/>
    <mergeCell ref="C3148:D3148"/>
    <mergeCell ref="C3149:D3149"/>
    <mergeCell ref="A3151:B3151"/>
    <mergeCell ref="C3151:D3151"/>
    <mergeCell ref="A3205:B3205"/>
    <mergeCell ref="C3205:D3205"/>
    <mergeCell ref="A3156:B3156"/>
    <mergeCell ref="C3156:D3156"/>
    <mergeCell ref="A3157:D3157"/>
    <mergeCell ref="A3158:D3158"/>
    <mergeCell ref="A3159:D3159"/>
    <mergeCell ref="A3160:D3160"/>
    <mergeCell ref="A3161:B3161"/>
    <mergeCell ref="C3161:D3161"/>
    <mergeCell ref="C3162:D3162"/>
    <mergeCell ref="A3164:B3164"/>
    <mergeCell ref="C3164:D3164"/>
    <mergeCell ref="A3165:B3165"/>
    <mergeCell ref="C3165:D3165"/>
    <mergeCell ref="A3166:B3166"/>
    <mergeCell ref="C3166:D3166"/>
    <mergeCell ref="A3167:B3167"/>
    <mergeCell ref="C3167:D3167"/>
    <mergeCell ref="A3168:B3168"/>
    <mergeCell ref="C3168:D3168"/>
    <mergeCell ref="A3169:B3169"/>
    <mergeCell ref="C3169:D3169"/>
    <mergeCell ref="A3170:D3170"/>
    <mergeCell ref="A3171:D3171"/>
    <mergeCell ref="A3172:D3172"/>
    <mergeCell ref="A3173:D3173"/>
    <mergeCell ref="A3174:D3174"/>
    <mergeCell ref="A3175:B3175"/>
    <mergeCell ref="C3175:D3175"/>
    <mergeCell ref="C3176:D3176"/>
    <mergeCell ref="A3178:B3178"/>
    <mergeCell ref="C3192:D3192"/>
    <mergeCell ref="A3193:B3193"/>
    <mergeCell ref="C3193:D3193"/>
    <mergeCell ref="A3194:B3194"/>
    <mergeCell ref="C3194:D3194"/>
    <mergeCell ref="A3195:B3195"/>
    <mergeCell ref="C3195:D3195"/>
    <mergeCell ref="A3196:B3196"/>
    <mergeCell ref="C3196:D3196"/>
    <mergeCell ref="A3197:D3197"/>
    <mergeCell ref="A3198:D3198"/>
    <mergeCell ref="A3199:D3199"/>
    <mergeCell ref="A3200:D3200"/>
    <mergeCell ref="A3201:D3201"/>
    <mergeCell ref="A3202:B3202"/>
    <mergeCell ref="C3202:D3202"/>
    <mergeCell ref="C3203:D3203"/>
    <mergeCell ref="C3218:D3218"/>
    <mergeCell ref="A3219:B3219"/>
    <mergeCell ref="C3219:D3219"/>
    <mergeCell ref="A3220:B3220"/>
    <mergeCell ref="C3220:D3220"/>
    <mergeCell ref="A3221:B3221"/>
    <mergeCell ref="C3221:D3221"/>
    <mergeCell ref="A3222:B3222"/>
    <mergeCell ref="C3222:D3222"/>
    <mergeCell ref="A3223:B3223"/>
    <mergeCell ref="C3223:D3223"/>
    <mergeCell ref="A3224:D3224"/>
    <mergeCell ref="A3225:D3225"/>
    <mergeCell ref="A3226:D3226"/>
    <mergeCell ref="A3227:D3227"/>
    <mergeCell ref="A3228:D3228"/>
    <mergeCell ref="A3181:B3181"/>
    <mergeCell ref="C3181:D3181"/>
    <mergeCell ref="A3182:B3182"/>
    <mergeCell ref="C3182:D3182"/>
    <mergeCell ref="A3183:B3183"/>
    <mergeCell ref="C3183:D3183"/>
    <mergeCell ref="A3184:D3184"/>
    <mergeCell ref="A3185:D3185"/>
    <mergeCell ref="A3186:D3186"/>
    <mergeCell ref="A3187:D3187"/>
    <mergeCell ref="A3188:B3188"/>
    <mergeCell ref="C3188:D3188"/>
    <mergeCell ref="C3189:D3189"/>
    <mergeCell ref="A3191:B3191"/>
    <mergeCell ref="C3191:D3191"/>
    <mergeCell ref="A3192:B3192"/>
    <mergeCell ref="C3242:D3242"/>
    <mergeCell ref="C3243:D3243"/>
    <mergeCell ref="A3245:B3245"/>
    <mergeCell ref="C3245:D3245"/>
    <mergeCell ref="A3246:B3246"/>
    <mergeCell ref="C3246:D3246"/>
    <mergeCell ref="A3247:B3247"/>
    <mergeCell ref="C3247:D3247"/>
    <mergeCell ref="A3248:B3248"/>
    <mergeCell ref="C3248:D3248"/>
    <mergeCell ref="A3249:B3249"/>
    <mergeCell ref="C3249:D3249"/>
    <mergeCell ref="A3250:B3250"/>
    <mergeCell ref="C3250:D3250"/>
    <mergeCell ref="A3206:B3206"/>
    <mergeCell ref="C3206:D3206"/>
    <mergeCell ref="A3207:B3207"/>
    <mergeCell ref="C3207:D3207"/>
    <mergeCell ref="A3208:B3208"/>
    <mergeCell ref="C3208:D3208"/>
    <mergeCell ref="A3209:B3209"/>
    <mergeCell ref="C3209:D3209"/>
    <mergeCell ref="A3210:B3210"/>
    <mergeCell ref="C3210:D3210"/>
    <mergeCell ref="A3211:D3211"/>
    <mergeCell ref="A3212:D3212"/>
    <mergeCell ref="A3213:D3213"/>
    <mergeCell ref="A3214:D3214"/>
    <mergeCell ref="A3215:B3215"/>
    <mergeCell ref="C3215:D3215"/>
    <mergeCell ref="C3216:D3216"/>
    <mergeCell ref="A3218:B3218"/>
    <mergeCell ref="A3268:D3268"/>
    <mergeCell ref="A3269:B3269"/>
    <mergeCell ref="C3269:D3269"/>
    <mergeCell ref="C3270:D3270"/>
    <mergeCell ref="A3272:B3272"/>
    <mergeCell ref="C3272:D3272"/>
    <mergeCell ref="A3273:B3273"/>
    <mergeCell ref="C3273:D3273"/>
    <mergeCell ref="A3274:B3274"/>
    <mergeCell ref="C3274:D3274"/>
    <mergeCell ref="A3275:B3275"/>
    <mergeCell ref="C3275:D3275"/>
    <mergeCell ref="A3229:B3229"/>
    <mergeCell ref="C3229:D3229"/>
    <mergeCell ref="C3230:D3230"/>
    <mergeCell ref="A3232:B3232"/>
    <mergeCell ref="C3232:D3232"/>
    <mergeCell ref="A3233:B3233"/>
    <mergeCell ref="C3233:D3233"/>
    <mergeCell ref="A3234:B3234"/>
    <mergeCell ref="C3234:D3234"/>
    <mergeCell ref="A3235:B3235"/>
    <mergeCell ref="C3235:D3235"/>
    <mergeCell ref="A3236:B3236"/>
    <mergeCell ref="C3236:D3236"/>
    <mergeCell ref="A3237:B3237"/>
    <mergeCell ref="C3237:D3237"/>
    <mergeCell ref="A3238:D3238"/>
    <mergeCell ref="A3239:D3239"/>
    <mergeCell ref="A3240:D3240"/>
    <mergeCell ref="A3241:D3241"/>
    <mergeCell ref="A3242:B3242"/>
    <mergeCell ref="A3289:B3289"/>
    <mergeCell ref="C3289:D3289"/>
    <mergeCell ref="A3290:B3290"/>
    <mergeCell ref="C3290:D3290"/>
    <mergeCell ref="A3291:B3291"/>
    <mergeCell ref="C3291:D3291"/>
    <mergeCell ref="A3292:D3292"/>
    <mergeCell ref="A3293:D3293"/>
    <mergeCell ref="A3294:D3294"/>
    <mergeCell ref="A3251:D3251"/>
    <mergeCell ref="A3252:D3252"/>
    <mergeCell ref="A3253:D3253"/>
    <mergeCell ref="A3254:D3254"/>
    <mergeCell ref="A3255:D3255"/>
    <mergeCell ref="A3256:B3256"/>
    <mergeCell ref="C3256:D3256"/>
    <mergeCell ref="C3257:D3257"/>
    <mergeCell ref="A3259:B3259"/>
    <mergeCell ref="C3259:D3259"/>
    <mergeCell ref="A3260:B3260"/>
    <mergeCell ref="C3260:D3260"/>
    <mergeCell ref="A3261:B3261"/>
    <mergeCell ref="C3261:D3261"/>
    <mergeCell ref="A3262:B3262"/>
    <mergeCell ref="C3262:D3262"/>
    <mergeCell ref="A3263:B3263"/>
    <mergeCell ref="C3263:D3263"/>
    <mergeCell ref="A3264:B3264"/>
    <mergeCell ref="C3264:D3264"/>
    <mergeCell ref="A3265:D3265"/>
    <mergeCell ref="A3266:D3266"/>
    <mergeCell ref="A3267:D3267"/>
    <mergeCell ref="A3276:B3276"/>
    <mergeCell ref="C3276:D3276"/>
    <mergeCell ref="A3277:B3277"/>
    <mergeCell ref="C3277:D3277"/>
    <mergeCell ref="A3278:D3278"/>
    <mergeCell ref="A3279:D3279"/>
    <mergeCell ref="A3280:D3280"/>
    <mergeCell ref="A3281:D3281"/>
    <mergeCell ref="A3282:D3282"/>
    <mergeCell ref="A3283:B3283"/>
    <mergeCell ref="C3283:D3283"/>
    <mergeCell ref="C3284:D3284"/>
    <mergeCell ref="A3286:B3286"/>
    <mergeCell ref="C3286:D3286"/>
    <mergeCell ref="A3287:B3287"/>
    <mergeCell ref="C3287:D3287"/>
    <mergeCell ref="A3288:B3288"/>
    <mergeCell ref="C3288:D3288"/>
    <mergeCell ref="A3309:D3309"/>
    <mergeCell ref="A3310:B3310"/>
    <mergeCell ref="C3310:D3310"/>
    <mergeCell ref="C3311:D3311"/>
    <mergeCell ref="A3313:B3313"/>
    <mergeCell ref="C3313:D3313"/>
    <mergeCell ref="A3314:B3314"/>
    <mergeCell ref="A3322:D3322"/>
    <mergeCell ref="A3323:B3323"/>
    <mergeCell ref="C3323:D3323"/>
    <mergeCell ref="C3324:D3324"/>
    <mergeCell ref="A3303:B3303"/>
    <mergeCell ref="C3303:D3303"/>
    <mergeCell ref="A3304:B3304"/>
    <mergeCell ref="C3304:D3304"/>
    <mergeCell ref="A3305:D3305"/>
    <mergeCell ref="A3306:D3306"/>
    <mergeCell ref="A3307:D3307"/>
    <mergeCell ref="A3308:D3308"/>
    <mergeCell ref="C3314:D3314"/>
    <mergeCell ref="A3315:B3315"/>
    <mergeCell ref="C3315:D3315"/>
    <mergeCell ref="A3316:B3316"/>
    <mergeCell ref="C3316:D3316"/>
    <mergeCell ref="A3317:B3317"/>
    <mergeCell ref="C3317:D3317"/>
    <mergeCell ref="A3318:B3318"/>
    <mergeCell ref="C3318:D3318"/>
    <mergeCell ref="A3319:D3319"/>
    <mergeCell ref="A3320:D3320"/>
    <mergeCell ref="A3321:D3321"/>
    <mergeCell ref="A3337:B3337"/>
    <mergeCell ref="C3337:D3337"/>
    <mergeCell ref="C3338:D3338"/>
    <mergeCell ref="A3340:B3340"/>
    <mergeCell ref="C3340:D3340"/>
    <mergeCell ref="A3341:B3341"/>
    <mergeCell ref="C3341:D3341"/>
    <mergeCell ref="A3342:B3342"/>
    <mergeCell ref="C3342:D3342"/>
    <mergeCell ref="A3343:B3343"/>
    <mergeCell ref="C3343:D3343"/>
    <mergeCell ref="A3344:B3344"/>
    <mergeCell ref="C3344:D3344"/>
    <mergeCell ref="A3345:B3345"/>
    <mergeCell ref="C3345:D3345"/>
    <mergeCell ref="A3346:D3346"/>
    <mergeCell ref="A3347:D3347"/>
    <mergeCell ref="A3326:B3326"/>
    <mergeCell ref="C3326:D3326"/>
    <mergeCell ref="A3327:B3327"/>
    <mergeCell ref="C3327:D3327"/>
    <mergeCell ref="A3328:B3328"/>
    <mergeCell ref="C3328:D3328"/>
    <mergeCell ref="A3329:B3329"/>
    <mergeCell ref="C3329:D3329"/>
    <mergeCell ref="A3330:B3330"/>
    <mergeCell ref="C3330:D3330"/>
    <mergeCell ref="A3331:B3331"/>
    <mergeCell ref="C3331:D3331"/>
    <mergeCell ref="A3332:D3332"/>
    <mergeCell ref="A3333:D3333"/>
    <mergeCell ref="A3334:D3334"/>
    <mergeCell ref="A3335:D3335"/>
    <mergeCell ref="A3336:D3336"/>
    <mergeCell ref="A3359:D3359"/>
    <mergeCell ref="A3360:D3360"/>
    <mergeCell ref="A3361:D3361"/>
    <mergeCell ref="A3362:D3362"/>
    <mergeCell ref="A3363:D3363"/>
    <mergeCell ref="A3364:B3364"/>
    <mergeCell ref="C3364:D3364"/>
    <mergeCell ref="C3365:D3365"/>
    <mergeCell ref="A3367:B3367"/>
    <mergeCell ref="C3367:D3367"/>
    <mergeCell ref="A3368:B3368"/>
    <mergeCell ref="C3368:D3368"/>
    <mergeCell ref="A3369:B3369"/>
    <mergeCell ref="C3369:D3369"/>
    <mergeCell ref="A3370:B3370"/>
    <mergeCell ref="C3370:D3370"/>
    <mergeCell ref="A3371:B3371"/>
    <mergeCell ref="C3371:D3371"/>
    <mergeCell ref="A3348:D3348"/>
    <mergeCell ref="A3349:D3349"/>
    <mergeCell ref="A3350:B3350"/>
    <mergeCell ref="C3350:D3350"/>
    <mergeCell ref="C3351:D3351"/>
    <mergeCell ref="A3353:B3353"/>
    <mergeCell ref="C3353:D3353"/>
    <mergeCell ref="A3354:B3354"/>
    <mergeCell ref="C3354:D3354"/>
    <mergeCell ref="A3355:B3355"/>
    <mergeCell ref="C3355:D3355"/>
    <mergeCell ref="A3356:B3356"/>
    <mergeCell ref="C3356:D3356"/>
    <mergeCell ref="A3357:B3357"/>
    <mergeCell ref="C3357:D3357"/>
    <mergeCell ref="A3358:B3358"/>
    <mergeCell ref="C3358:D3358"/>
    <mergeCell ref="A3384:B3384"/>
    <mergeCell ref="C3384:D3384"/>
    <mergeCell ref="A3385:B3385"/>
    <mergeCell ref="C3385:D3385"/>
    <mergeCell ref="A3386:D3386"/>
    <mergeCell ref="A3387:D3387"/>
    <mergeCell ref="A3388:D3388"/>
    <mergeCell ref="A3389:D3389"/>
    <mergeCell ref="A3390:D3390"/>
    <mergeCell ref="A3391:B3391"/>
    <mergeCell ref="C3391:D3391"/>
    <mergeCell ref="C3392:D3392"/>
    <mergeCell ref="A3394:B3394"/>
    <mergeCell ref="C3394:D3394"/>
    <mergeCell ref="A3395:B3395"/>
    <mergeCell ref="C3395:D3395"/>
    <mergeCell ref="A3396:B3396"/>
    <mergeCell ref="C3396:D3396"/>
    <mergeCell ref="A3372:B3372"/>
    <mergeCell ref="C3372:D3372"/>
    <mergeCell ref="A3373:D3373"/>
    <mergeCell ref="A3374:D3374"/>
    <mergeCell ref="A3375:D3375"/>
    <mergeCell ref="A3376:D3376"/>
    <mergeCell ref="A3377:B3377"/>
    <mergeCell ref="C3377:D3377"/>
    <mergeCell ref="C3378:D3378"/>
    <mergeCell ref="A3380:B3380"/>
    <mergeCell ref="C3380:D3380"/>
    <mergeCell ref="A3381:B3381"/>
    <mergeCell ref="C3381:D3381"/>
    <mergeCell ref="A3382:B3382"/>
    <mergeCell ref="C3382:D3382"/>
    <mergeCell ref="A3383:B3383"/>
    <mergeCell ref="C3383:D3383"/>
    <mergeCell ref="A3409:B3409"/>
    <mergeCell ref="C3409:D3409"/>
    <mergeCell ref="A3410:B3410"/>
    <mergeCell ref="C3410:D3410"/>
    <mergeCell ref="A3411:B3411"/>
    <mergeCell ref="C3411:D3411"/>
    <mergeCell ref="A3412:B3412"/>
    <mergeCell ref="C3412:D3412"/>
    <mergeCell ref="A3413:D3413"/>
    <mergeCell ref="A3414:D3414"/>
    <mergeCell ref="A3415:D3415"/>
    <mergeCell ref="A3416:D3416"/>
    <mergeCell ref="A3417:D3417"/>
    <mergeCell ref="A3418:B3418"/>
    <mergeCell ref="C3418:D3418"/>
    <mergeCell ref="C3419:D3419"/>
    <mergeCell ref="A3421:B3421"/>
    <mergeCell ref="C3421:D3421"/>
    <mergeCell ref="A3397:B3397"/>
    <mergeCell ref="C3397:D3397"/>
    <mergeCell ref="A3398:B3398"/>
    <mergeCell ref="C3398:D3398"/>
    <mergeCell ref="A3399:B3399"/>
    <mergeCell ref="C3399:D3399"/>
    <mergeCell ref="A3400:D3400"/>
    <mergeCell ref="A3401:D3401"/>
    <mergeCell ref="A3402:D3402"/>
    <mergeCell ref="A3403:D3403"/>
    <mergeCell ref="A3404:B3404"/>
    <mergeCell ref="C3404:D3404"/>
    <mergeCell ref="C3405:D3405"/>
    <mergeCell ref="A3407:B3407"/>
    <mergeCell ref="C3407:D3407"/>
    <mergeCell ref="A3408:B3408"/>
    <mergeCell ref="C3408:D3408"/>
    <mergeCell ref="A3434:B3434"/>
    <mergeCell ref="C3434:D3434"/>
    <mergeCell ref="A3435:B3435"/>
    <mergeCell ref="C3435:D3435"/>
    <mergeCell ref="A3436:B3436"/>
    <mergeCell ref="C3436:D3436"/>
    <mergeCell ref="A3437:B3437"/>
    <mergeCell ref="C3437:D3437"/>
    <mergeCell ref="A3438:B3438"/>
    <mergeCell ref="C3438:D3438"/>
    <mergeCell ref="A3439:B3439"/>
    <mergeCell ref="C3439:D3439"/>
    <mergeCell ref="A3440:D3440"/>
    <mergeCell ref="A3441:D3441"/>
    <mergeCell ref="A3442:D3442"/>
    <mergeCell ref="A3443:D3443"/>
    <mergeCell ref="A3444:D3444"/>
    <mergeCell ref="A3422:B3422"/>
    <mergeCell ref="C3422:D3422"/>
    <mergeCell ref="A3423:B3423"/>
    <mergeCell ref="C3423:D3423"/>
    <mergeCell ref="A3424:B3424"/>
    <mergeCell ref="C3424:D3424"/>
    <mergeCell ref="A3425:B3425"/>
    <mergeCell ref="C3425:D3425"/>
    <mergeCell ref="A3426:B3426"/>
    <mergeCell ref="C3426:D3426"/>
    <mergeCell ref="A3427:D3427"/>
    <mergeCell ref="A3428:D3428"/>
    <mergeCell ref="A3429:D3429"/>
    <mergeCell ref="A3430:D3430"/>
    <mergeCell ref="A3431:B3431"/>
    <mergeCell ref="C3431:D3431"/>
    <mergeCell ref="C3432:D3432"/>
    <mergeCell ref="A3456:D3456"/>
    <mergeCell ref="A3457:D3457"/>
    <mergeCell ref="A3458:B3458"/>
    <mergeCell ref="C3458:D3458"/>
    <mergeCell ref="C3459:D3459"/>
    <mergeCell ref="A3461:B3461"/>
    <mergeCell ref="C3461:D3461"/>
    <mergeCell ref="A3462:B3462"/>
    <mergeCell ref="C3462:D3462"/>
    <mergeCell ref="A3463:B3463"/>
    <mergeCell ref="C3463:D3463"/>
    <mergeCell ref="A3464:B3464"/>
    <mergeCell ref="C3464:D3464"/>
    <mergeCell ref="A3465:B3465"/>
    <mergeCell ref="C3465:D3465"/>
    <mergeCell ref="A3466:B3466"/>
    <mergeCell ref="C3466:D3466"/>
    <mergeCell ref="A3445:B3445"/>
    <mergeCell ref="C3445:D3445"/>
    <mergeCell ref="C3446:D3446"/>
    <mergeCell ref="A3448:B3448"/>
    <mergeCell ref="C3448:D3448"/>
    <mergeCell ref="A3449:B3449"/>
    <mergeCell ref="C3449:D3449"/>
    <mergeCell ref="A3450:B3450"/>
    <mergeCell ref="C3450:D3450"/>
    <mergeCell ref="A3451:B3451"/>
    <mergeCell ref="C3451:D3451"/>
    <mergeCell ref="A3452:B3452"/>
    <mergeCell ref="C3452:D3452"/>
    <mergeCell ref="A3453:B3453"/>
    <mergeCell ref="C3453:D3453"/>
    <mergeCell ref="A3454:D3454"/>
    <mergeCell ref="A3455:D3455"/>
    <mergeCell ref="A3480:B3480"/>
    <mergeCell ref="C3480:D3480"/>
    <mergeCell ref="A3481:D3481"/>
    <mergeCell ref="A3482:D3482"/>
    <mergeCell ref="A3483:D3483"/>
    <mergeCell ref="A3484:D3484"/>
    <mergeCell ref="A3485:B3485"/>
    <mergeCell ref="C3485:D3485"/>
    <mergeCell ref="C3486:D3486"/>
    <mergeCell ref="A3488:B3488"/>
    <mergeCell ref="C3488:D3488"/>
    <mergeCell ref="A3489:B3489"/>
    <mergeCell ref="C3489:D3489"/>
    <mergeCell ref="A3490:B3490"/>
    <mergeCell ref="C3490:D3490"/>
    <mergeCell ref="A3491:B3491"/>
    <mergeCell ref="C3491:D3491"/>
    <mergeCell ref="A3467:D3467"/>
    <mergeCell ref="A3468:D3468"/>
    <mergeCell ref="A3469:D3469"/>
    <mergeCell ref="A3470:D3470"/>
    <mergeCell ref="A3471:D3471"/>
    <mergeCell ref="A3472:B3472"/>
    <mergeCell ref="C3472:D3472"/>
    <mergeCell ref="C3473:D3473"/>
    <mergeCell ref="A3475:B3475"/>
    <mergeCell ref="C3475:D3475"/>
    <mergeCell ref="A3476:B3476"/>
    <mergeCell ref="C3476:D3476"/>
    <mergeCell ref="A3477:B3477"/>
    <mergeCell ref="C3477:D3477"/>
    <mergeCell ref="A3478:B3478"/>
    <mergeCell ref="C3478:D3478"/>
    <mergeCell ref="A3479:B3479"/>
    <mergeCell ref="C3479:D3479"/>
    <mergeCell ref="A3505:B3505"/>
    <mergeCell ref="C3505:D3505"/>
    <mergeCell ref="A3506:B3506"/>
    <mergeCell ref="C3506:D3506"/>
    <mergeCell ref="A3507:B3507"/>
    <mergeCell ref="C3507:D3507"/>
    <mergeCell ref="A3508:D3508"/>
    <mergeCell ref="A3509:D3509"/>
    <mergeCell ref="A3510:D3510"/>
    <mergeCell ref="A3511:D3511"/>
    <mergeCell ref="A3512:B3512"/>
    <mergeCell ref="C3512:D3512"/>
    <mergeCell ref="C3513:D3513"/>
    <mergeCell ref="A3515:B3515"/>
    <mergeCell ref="C3515:D3515"/>
    <mergeCell ref="A3516:B3516"/>
    <mergeCell ref="C3516:D3516"/>
    <mergeCell ref="A3492:B3492"/>
    <mergeCell ref="C3492:D3492"/>
    <mergeCell ref="A3493:B3493"/>
    <mergeCell ref="C3493:D3493"/>
    <mergeCell ref="A3494:D3494"/>
    <mergeCell ref="A3495:D3495"/>
    <mergeCell ref="A3496:D3496"/>
    <mergeCell ref="A3497:D3497"/>
    <mergeCell ref="A3498:D3498"/>
    <mergeCell ref="A3499:B3499"/>
    <mergeCell ref="C3499:D3499"/>
    <mergeCell ref="C3500:D3500"/>
    <mergeCell ref="A3502:B3502"/>
    <mergeCell ref="C3502:D3502"/>
    <mergeCell ref="A3503:B3503"/>
    <mergeCell ref="C3503:D3503"/>
    <mergeCell ref="A3504:B3504"/>
    <mergeCell ref="C3504:D3504"/>
    <mergeCell ref="A3530:B3530"/>
    <mergeCell ref="C3530:D3530"/>
    <mergeCell ref="A3531:B3531"/>
    <mergeCell ref="C3531:D3531"/>
    <mergeCell ref="A3532:B3532"/>
    <mergeCell ref="C3532:D3532"/>
    <mergeCell ref="A3533:B3533"/>
    <mergeCell ref="C3533:D3533"/>
    <mergeCell ref="A3534:B3534"/>
    <mergeCell ref="C3534:D3534"/>
    <mergeCell ref="A3535:D3535"/>
    <mergeCell ref="A3536:D3536"/>
    <mergeCell ref="A3537:D3537"/>
    <mergeCell ref="A3538:D3538"/>
    <mergeCell ref="A3539:B3539"/>
    <mergeCell ref="C3539:D3539"/>
    <mergeCell ref="C3540:D3540"/>
    <mergeCell ref="A3517:B3517"/>
    <mergeCell ref="C3517:D3517"/>
    <mergeCell ref="A3518:B3518"/>
    <mergeCell ref="C3518:D3518"/>
    <mergeCell ref="A3519:B3519"/>
    <mergeCell ref="C3519:D3519"/>
    <mergeCell ref="A3520:B3520"/>
    <mergeCell ref="C3520:D3520"/>
    <mergeCell ref="A3521:D3521"/>
    <mergeCell ref="A3522:D3522"/>
    <mergeCell ref="A3523:D3523"/>
    <mergeCell ref="A3524:D3524"/>
    <mergeCell ref="A3525:D3525"/>
    <mergeCell ref="A3526:B3526"/>
    <mergeCell ref="C3526:D3526"/>
    <mergeCell ref="C3527:D3527"/>
    <mergeCell ref="A3529:B3529"/>
    <mergeCell ref="C3529:D3529"/>
    <mergeCell ref="A3553:B3553"/>
    <mergeCell ref="C3553:D3553"/>
    <mergeCell ref="C3554:D3554"/>
    <mergeCell ref="A3556:B3556"/>
    <mergeCell ref="C3556:D3556"/>
    <mergeCell ref="A3557:B3557"/>
    <mergeCell ref="C3557:D3557"/>
    <mergeCell ref="A3558:B3558"/>
    <mergeCell ref="C3558:D3558"/>
    <mergeCell ref="A3559:B3559"/>
    <mergeCell ref="C3559:D3559"/>
    <mergeCell ref="A3560:B3560"/>
    <mergeCell ref="C3560:D3560"/>
    <mergeCell ref="A3561:B3561"/>
    <mergeCell ref="C3561:D3561"/>
    <mergeCell ref="A3562:D3562"/>
    <mergeCell ref="A3563:D3563"/>
    <mergeCell ref="A3542:B3542"/>
    <mergeCell ref="C3542:D3542"/>
    <mergeCell ref="A3543:B3543"/>
    <mergeCell ref="C3543:D3543"/>
    <mergeCell ref="A3544:B3544"/>
    <mergeCell ref="C3544:D3544"/>
    <mergeCell ref="A3545:B3545"/>
    <mergeCell ref="C3545:D3545"/>
    <mergeCell ref="A3546:B3546"/>
    <mergeCell ref="C3546:D3546"/>
    <mergeCell ref="A3547:B3547"/>
    <mergeCell ref="C3547:D3547"/>
    <mergeCell ref="A3548:D3548"/>
    <mergeCell ref="A3549:D3549"/>
    <mergeCell ref="A3550:D3550"/>
    <mergeCell ref="A3551:D3551"/>
    <mergeCell ref="A3552:D3552"/>
    <mergeCell ref="A3575:D3575"/>
    <mergeCell ref="A3576:D3576"/>
    <mergeCell ref="A3577:D3577"/>
    <mergeCell ref="A3578:D3578"/>
    <mergeCell ref="A3579:D3579"/>
    <mergeCell ref="A3580:B3580"/>
    <mergeCell ref="C3580:D3580"/>
    <mergeCell ref="C3581:D3581"/>
    <mergeCell ref="A3583:B3583"/>
    <mergeCell ref="C3583:D3583"/>
    <mergeCell ref="A3584:B3584"/>
    <mergeCell ref="C3584:D3584"/>
    <mergeCell ref="A3585:B3585"/>
    <mergeCell ref="C3585:D3585"/>
    <mergeCell ref="A3586:B3586"/>
    <mergeCell ref="C3586:D3586"/>
    <mergeCell ref="A3587:B3587"/>
    <mergeCell ref="C3587:D3587"/>
    <mergeCell ref="A3564:D3564"/>
    <mergeCell ref="A3565:D3565"/>
    <mergeCell ref="A3566:B3566"/>
    <mergeCell ref="C3566:D3566"/>
    <mergeCell ref="C3567:D3567"/>
    <mergeCell ref="A3569:B3569"/>
    <mergeCell ref="C3569:D3569"/>
    <mergeCell ref="A3570:B3570"/>
    <mergeCell ref="C3570:D3570"/>
    <mergeCell ref="A3571:B3571"/>
    <mergeCell ref="C3571:D3571"/>
    <mergeCell ref="A3572:B3572"/>
    <mergeCell ref="C3572:D3572"/>
    <mergeCell ref="A3573:B3573"/>
    <mergeCell ref="C3573:D3573"/>
    <mergeCell ref="A3574:B3574"/>
    <mergeCell ref="C3574:D3574"/>
    <mergeCell ref="A3600:B3600"/>
    <mergeCell ref="C3600:D3600"/>
    <mergeCell ref="A3601:B3601"/>
    <mergeCell ref="C3601:D3601"/>
    <mergeCell ref="A3602:D3602"/>
    <mergeCell ref="A3603:D3603"/>
    <mergeCell ref="A3604:D3604"/>
    <mergeCell ref="A3605:D3605"/>
    <mergeCell ref="A3606:D3606"/>
    <mergeCell ref="A3607:B3607"/>
    <mergeCell ref="C3607:D3607"/>
    <mergeCell ref="C3608:D3608"/>
    <mergeCell ref="A3610:B3610"/>
    <mergeCell ref="C3610:D3610"/>
    <mergeCell ref="A3611:B3611"/>
    <mergeCell ref="C3611:D3611"/>
    <mergeCell ref="A3612:B3612"/>
    <mergeCell ref="C3612:D3612"/>
    <mergeCell ref="A3588:B3588"/>
    <mergeCell ref="C3588:D3588"/>
    <mergeCell ref="A3589:D3589"/>
    <mergeCell ref="A3590:D3590"/>
    <mergeCell ref="A3591:D3591"/>
    <mergeCell ref="A3592:D3592"/>
    <mergeCell ref="A3593:B3593"/>
    <mergeCell ref="C3593:D3593"/>
    <mergeCell ref="C3594:D3594"/>
    <mergeCell ref="A3596:B3596"/>
    <mergeCell ref="C3596:D3596"/>
    <mergeCell ref="A3597:B3597"/>
    <mergeCell ref="C3597:D3597"/>
    <mergeCell ref="A3598:B3598"/>
    <mergeCell ref="C3598:D3598"/>
    <mergeCell ref="A3599:B3599"/>
    <mergeCell ref="C3599:D3599"/>
    <mergeCell ref="A3625:B3625"/>
    <mergeCell ref="C3625:D3625"/>
    <mergeCell ref="A3626:B3626"/>
    <mergeCell ref="C3626:D3626"/>
    <mergeCell ref="A3627:B3627"/>
    <mergeCell ref="C3627:D3627"/>
    <mergeCell ref="A3628:B3628"/>
    <mergeCell ref="C3628:D3628"/>
    <mergeCell ref="A3629:D3629"/>
    <mergeCell ref="A3630:D3630"/>
    <mergeCell ref="A3631:D3631"/>
    <mergeCell ref="A3632:D3632"/>
    <mergeCell ref="A3633:D3633"/>
    <mergeCell ref="A3634:B3634"/>
    <mergeCell ref="C3634:D3634"/>
    <mergeCell ref="C3635:D3635"/>
    <mergeCell ref="A3637:B3637"/>
    <mergeCell ref="C3637:D3637"/>
    <mergeCell ref="A3613:B3613"/>
    <mergeCell ref="C3613:D3613"/>
    <mergeCell ref="A3614:B3614"/>
    <mergeCell ref="C3614:D3614"/>
    <mergeCell ref="A3615:B3615"/>
    <mergeCell ref="C3615:D3615"/>
    <mergeCell ref="A3616:D3616"/>
    <mergeCell ref="A3617:D3617"/>
    <mergeCell ref="A3618:D3618"/>
    <mergeCell ref="A3619:D3619"/>
    <mergeCell ref="A3620:B3620"/>
    <mergeCell ref="C3620:D3620"/>
    <mergeCell ref="C3621:D3621"/>
    <mergeCell ref="A3623:B3623"/>
    <mergeCell ref="C3623:D3623"/>
    <mergeCell ref="A3624:B3624"/>
    <mergeCell ref="C3624:D3624"/>
    <mergeCell ref="A3650:B3650"/>
    <mergeCell ref="C3650:D3650"/>
    <mergeCell ref="A3651:B3651"/>
    <mergeCell ref="C3651:D3651"/>
    <mergeCell ref="A3652:B3652"/>
    <mergeCell ref="C3652:D3652"/>
    <mergeCell ref="A3653:B3653"/>
    <mergeCell ref="C3653:D3653"/>
    <mergeCell ref="A3654:B3654"/>
    <mergeCell ref="C3654:D3654"/>
    <mergeCell ref="A3655:B3655"/>
    <mergeCell ref="C3655:D3655"/>
    <mergeCell ref="A3656:D3656"/>
    <mergeCell ref="A3657:D3657"/>
    <mergeCell ref="A3658:D3658"/>
    <mergeCell ref="A3659:D3659"/>
    <mergeCell ref="A3660:D3660"/>
    <mergeCell ref="A3638:B3638"/>
    <mergeCell ref="C3638:D3638"/>
    <mergeCell ref="A3639:B3639"/>
    <mergeCell ref="C3639:D3639"/>
    <mergeCell ref="A3640:B3640"/>
    <mergeCell ref="C3640:D3640"/>
    <mergeCell ref="A3641:B3641"/>
    <mergeCell ref="C3641:D3641"/>
    <mergeCell ref="A3642:B3642"/>
    <mergeCell ref="C3642:D3642"/>
    <mergeCell ref="A3643:D3643"/>
    <mergeCell ref="A3644:D3644"/>
    <mergeCell ref="A3645:D3645"/>
    <mergeCell ref="A3646:D3646"/>
    <mergeCell ref="A3647:B3647"/>
    <mergeCell ref="C3647:D3647"/>
    <mergeCell ref="C3648:D3648"/>
    <mergeCell ref="A3672:D3672"/>
    <mergeCell ref="A3673:D3673"/>
    <mergeCell ref="A3674:B3674"/>
    <mergeCell ref="C3674:D3674"/>
    <mergeCell ref="C3675:D3675"/>
    <mergeCell ref="A3677:B3677"/>
    <mergeCell ref="C3677:D3677"/>
    <mergeCell ref="A3678:B3678"/>
    <mergeCell ref="C3678:D3678"/>
    <mergeCell ref="A3679:B3679"/>
    <mergeCell ref="C3679:D3679"/>
    <mergeCell ref="A3680:B3680"/>
    <mergeCell ref="C3680:D3680"/>
    <mergeCell ref="A3681:B3681"/>
    <mergeCell ref="C3681:D3681"/>
    <mergeCell ref="A3682:B3682"/>
    <mergeCell ref="C3682:D3682"/>
    <mergeCell ref="A3661:B3661"/>
    <mergeCell ref="C3661:D3661"/>
    <mergeCell ref="C3662:D3662"/>
    <mergeCell ref="A3664:B3664"/>
    <mergeCell ref="C3664:D3664"/>
    <mergeCell ref="A3665:B3665"/>
    <mergeCell ref="C3665:D3665"/>
    <mergeCell ref="A3666:B3666"/>
    <mergeCell ref="C3666:D3666"/>
    <mergeCell ref="A3667:B3667"/>
    <mergeCell ref="C3667:D3667"/>
    <mergeCell ref="A3668:B3668"/>
    <mergeCell ref="C3668:D3668"/>
    <mergeCell ref="A3669:B3669"/>
    <mergeCell ref="C3669:D3669"/>
    <mergeCell ref="A3670:D3670"/>
    <mergeCell ref="A3671:D3671"/>
    <mergeCell ref="A3696:B3696"/>
    <mergeCell ref="C3696:D3696"/>
    <mergeCell ref="A3697:D3697"/>
    <mergeCell ref="A3698:D3698"/>
    <mergeCell ref="A3699:D3699"/>
    <mergeCell ref="A3700:D3700"/>
    <mergeCell ref="A3701:B3701"/>
    <mergeCell ref="C3701:D3701"/>
    <mergeCell ref="C3702:D3702"/>
    <mergeCell ref="A3704:B3704"/>
    <mergeCell ref="C3704:D3704"/>
    <mergeCell ref="A3705:B3705"/>
    <mergeCell ref="C3705:D3705"/>
    <mergeCell ref="A3706:B3706"/>
    <mergeCell ref="C3706:D3706"/>
    <mergeCell ref="A3707:B3707"/>
    <mergeCell ref="C3707:D3707"/>
    <mergeCell ref="A3683:D3683"/>
    <mergeCell ref="A3684:D3684"/>
    <mergeCell ref="A3685:D3685"/>
    <mergeCell ref="A3686:D3686"/>
    <mergeCell ref="A3687:D3687"/>
    <mergeCell ref="A3688:B3688"/>
    <mergeCell ref="C3688:D3688"/>
    <mergeCell ref="C3689:D3689"/>
    <mergeCell ref="A3691:B3691"/>
    <mergeCell ref="C3691:D3691"/>
    <mergeCell ref="A3692:B3692"/>
    <mergeCell ref="C3692:D3692"/>
    <mergeCell ref="A3693:B3693"/>
    <mergeCell ref="C3693:D3693"/>
    <mergeCell ref="A3694:B3694"/>
    <mergeCell ref="C3694:D3694"/>
    <mergeCell ref="A3695:B3695"/>
    <mergeCell ref="C3695:D3695"/>
    <mergeCell ref="A3721:B3721"/>
    <mergeCell ref="C3721:D3721"/>
    <mergeCell ref="A3722:B3722"/>
    <mergeCell ref="C3722:D3722"/>
    <mergeCell ref="A3723:B3723"/>
    <mergeCell ref="C3723:D3723"/>
    <mergeCell ref="A3724:D3724"/>
    <mergeCell ref="A3725:D3725"/>
    <mergeCell ref="A3726:D3726"/>
    <mergeCell ref="A3727:D3727"/>
    <mergeCell ref="A3728:B3728"/>
    <mergeCell ref="C3728:D3728"/>
    <mergeCell ref="C3729:D3729"/>
    <mergeCell ref="A3731:B3731"/>
    <mergeCell ref="C3731:D3731"/>
    <mergeCell ref="A3732:B3732"/>
    <mergeCell ref="C3732:D3732"/>
    <mergeCell ref="A3708:B3708"/>
    <mergeCell ref="C3708:D3708"/>
    <mergeCell ref="A3709:B3709"/>
    <mergeCell ref="C3709:D3709"/>
    <mergeCell ref="A3710:D3710"/>
    <mergeCell ref="A3711:D3711"/>
    <mergeCell ref="A3712:D3712"/>
    <mergeCell ref="A3713:D3713"/>
    <mergeCell ref="A3714:D3714"/>
    <mergeCell ref="A3715:B3715"/>
    <mergeCell ref="C3715:D3715"/>
    <mergeCell ref="C3716:D3716"/>
    <mergeCell ref="A3718:B3718"/>
    <mergeCell ref="C3718:D3718"/>
    <mergeCell ref="A3719:B3719"/>
    <mergeCell ref="C3719:D3719"/>
    <mergeCell ref="A3720:B3720"/>
    <mergeCell ref="C3720:D3720"/>
    <mergeCell ref="A3746:B3746"/>
    <mergeCell ref="C3746:D3746"/>
    <mergeCell ref="A3747:B3747"/>
    <mergeCell ref="C3747:D3747"/>
    <mergeCell ref="A3748:B3748"/>
    <mergeCell ref="C3748:D3748"/>
    <mergeCell ref="A3749:B3749"/>
    <mergeCell ref="C3749:D3749"/>
    <mergeCell ref="A3750:B3750"/>
    <mergeCell ref="C3750:D3750"/>
    <mergeCell ref="A3751:D3751"/>
    <mergeCell ref="A3752:D3752"/>
    <mergeCell ref="A3753:D3753"/>
    <mergeCell ref="A3754:D3754"/>
    <mergeCell ref="A3755:B3755"/>
    <mergeCell ref="C3755:D3755"/>
    <mergeCell ref="C3756:D3756"/>
    <mergeCell ref="A3733:B3733"/>
    <mergeCell ref="C3733:D3733"/>
    <mergeCell ref="A3734:B3734"/>
    <mergeCell ref="C3734:D3734"/>
    <mergeCell ref="A3735:B3735"/>
    <mergeCell ref="C3735:D3735"/>
    <mergeCell ref="A3736:B3736"/>
    <mergeCell ref="C3736:D3736"/>
    <mergeCell ref="A3737:D3737"/>
    <mergeCell ref="A3738:D3738"/>
    <mergeCell ref="A3739:D3739"/>
    <mergeCell ref="A3740:D3740"/>
    <mergeCell ref="A3741:D3741"/>
    <mergeCell ref="A3742:B3742"/>
    <mergeCell ref="C3742:D3742"/>
    <mergeCell ref="C3743:D3743"/>
    <mergeCell ref="A3745:B3745"/>
    <mergeCell ref="C3745:D3745"/>
    <mergeCell ref="A3769:B3769"/>
    <mergeCell ref="C3769:D3769"/>
    <mergeCell ref="C3770:D3770"/>
    <mergeCell ref="A3772:B3772"/>
    <mergeCell ref="C3772:D3772"/>
    <mergeCell ref="A3773:B3773"/>
    <mergeCell ref="C3773:D3773"/>
    <mergeCell ref="A3774:B3774"/>
    <mergeCell ref="C3774:D3774"/>
    <mergeCell ref="A3775:B3775"/>
    <mergeCell ref="C3775:D3775"/>
    <mergeCell ref="A3776:B3776"/>
    <mergeCell ref="C3776:D3776"/>
    <mergeCell ref="A3777:B3777"/>
    <mergeCell ref="C3777:D3777"/>
    <mergeCell ref="A3778:D3778"/>
    <mergeCell ref="A3779:D3779"/>
    <mergeCell ref="A3758:B3758"/>
    <mergeCell ref="C3758:D3758"/>
    <mergeCell ref="A3759:B3759"/>
    <mergeCell ref="C3759:D3759"/>
    <mergeCell ref="A3760:B3760"/>
    <mergeCell ref="C3760:D3760"/>
    <mergeCell ref="A3761:B3761"/>
    <mergeCell ref="C3761:D3761"/>
    <mergeCell ref="A3762:B3762"/>
    <mergeCell ref="C3762:D3762"/>
    <mergeCell ref="A3763:B3763"/>
    <mergeCell ref="C3763:D3763"/>
    <mergeCell ref="A3764:D3764"/>
    <mergeCell ref="A3765:D3765"/>
    <mergeCell ref="A3766:D3766"/>
    <mergeCell ref="A3767:D3767"/>
    <mergeCell ref="A3768:D3768"/>
    <mergeCell ref="A3791:D3791"/>
    <mergeCell ref="A3792:D3792"/>
    <mergeCell ref="A3793:D3793"/>
    <mergeCell ref="A3794:D3794"/>
    <mergeCell ref="A3795:D3795"/>
    <mergeCell ref="A3796:B3796"/>
    <mergeCell ref="C3796:D3796"/>
    <mergeCell ref="C3797:D3797"/>
    <mergeCell ref="A3799:B3799"/>
    <mergeCell ref="C3799:D3799"/>
    <mergeCell ref="A3800:B3800"/>
    <mergeCell ref="C3800:D3800"/>
    <mergeCell ref="A3801:B3801"/>
    <mergeCell ref="C3801:D3801"/>
    <mergeCell ref="A3802:B3802"/>
    <mergeCell ref="C3802:D3802"/>
    <mergeCell ref="A3803:B3803"/>
    <mergeCell ref="C3803:D3803"/>
    <mergeCell ref="A3780:D3780"/>
    <mergeCell ref="A3781:D3781"/>
    <mergeCell ref="A3782:B3782"/>
    <mergeCell ref="C3782:D3782"/>
    <mergeCell ref="C3783:D3783"/>
    <mergeCell ref="A3785:B3785"/>
    <mergeCell ref="C3785:D3785"/>
    <mergeCell ref="A3786:B3786"/>
    <mergeCell ref="C3786:D3786"/>
    <mergeCell ref="A3787:B3787"/>
    <mergeCell ref="C3787:D3787"/>
    <mergeCell ref="A3788:B3788"/>
    <mergeCell ref="C3788:D3788"/>
    <mergeCell ref="A3789:B3789"/>
    <mergeCell ref="C3789:D3789"/>
    <mergeCell ref="A3790:B3790"/>
    <mergeCell ref="C3790:D3790"/>
    <mergeCell ref="A3816:B3816"/>
    <mergeCell ref="C3816:D3816"/>
    <mergeCell ref="A3817:B3817"/>
    <mergeCell ref="C3817:D3817"/>
    <mergeCell ref="A3818:D3818"/>
    <mergeCell ref="A3819:D3819"/>
    <mergeCell ref="A3820:D3820"/>
    <mergeCell ref="A3821:D3821"/>
    <mergeCell ref="A3822:D3822"/>
    <mergeCell ref="A3823:B3823"/>
    <mergeCell ref="C3823:D3823"/>
    <mergeCell ref="C3824:D3824"/>
    <mergeCell ref="A3826:B3826"/>
    <mergeCell ref="C3826:D3826"/>
    <mergeCell ref="A3827:B3827"/>
    <mergeCell ref="C3827:D3827"/>
    <mergeCell ref="A3828:B3828"/>
    <mergeCell ref="C3828:D3828"/>
    <mergeCell ref="A3804:B3804"/>
    <mergeCell ref="C3804:D3804"/>
    <mergeCell ref="A3805:D3805"/>
    <mergeCell ref="A3806:D3806"/>
    <mergeCell ref="A3807:D3807"/>
    <mergeCell ref="A3808:D3808"/>
    <mergeCell ref="A3809:B3809"/>
    <mergeCell ref="C3809:D3809"/>
    <mergeCell ref="C3810:D3810"/>
    <mergeCell ref="A3812:B3812"/>
    <mergeCell ref="C3812:D3812"/>
    <mergeCell ref="A3813:B3813"/>
    <mergeCell ref="C3813:D3813"/>
    <mergeCell ref="A3814:B3814"/>
    <mergeCell ref="C3814:D3814"/>
    <mergeCell ref="A3815:B3815"/>
    <mergeCell ref="C3815:D3815"/>
    <mergeCell ref="A3841:B3841"/>
    <mergeCell ref="C3841:D3841"/>
    <mergeCell ref="A3842:B3842"/>
    <mergeCell ref="C3842:D3842"/>
    <mergeCell ref="A3843:B3843"/>
    <mergeCell ref="C3843:D3843"/>
    <mergeCell ref="A3844:B3844"/>
    <mergeCell ref="C3844:D3844"/>
    <mergeCell ref="A3845:D3845"/>
    <mergeCell ref="A3846:D3846"/>
    <mergeCell ref="A3847:D3847"/>
    <mergeCell ref="A3848:D3848"/>
    <mergeCell ref="A3849:D3849"/>
    <mergeCell ref="A3850:B3850"/>
    <mergeCell ref="C3850:D3850"/>
    <mergeCell ref="C3851:D3851"/>
    <mergeCell ref="A3853:B3853"/>
    <mergeCell ref="C3853:D3853"/>
    <mergeCell ref="A3829:B3829"/>
    <mergeCell ref="C3829:D3829"/>
    <mergeCell ref="A3830:B3830"/>
    <mergeCell ref="C3830:D3830"/>
    <mergeCell ref="A3831:B3831"/>
    <mergeCell ref="C3831:D3831"/>
    <mergeCell ref="A3832:D3832"/>
    <mergeCell ref="A3833:D3833"/>
    <mergeCell ref="A3834:D3834"/>
    <mergeCell ref="A3835:D3835"/>
    <mergeCell ref="A3836:B3836"/>
    <mergeCell ref="C3836:D3836"/>
    <mergeCell ref="C3837:D3837"/>
    <mergeCell ref="A3839:B3839"/>
    <mergeCell ref="C3839:D3839"/>
    <mergeCell ref="A3840:B3840"/>
    <mergeCell ref="C3840:D3840"/>
    <mergeCell ref="A3866:B3866"/>
    <mergeCell ref="C3866:D3866"/>
    <mergeCell ref="A3867:B3867"/>
    <mergeCell ref="C3867:D3867"/>
    <mergeCell ref="A3868:B3868"/>
    <mergeCell ref="C3868:D3868"/>
    <mergeCell ref="A3869:B3869"/>
    <mergeCell ref="C3869:D3869"/>
    <mergeCell ref="A3870:B3870"/>
    <mergeCell ref="C3870:D3870"/>
    <mergeCell ref="A3871:B3871"/>
    <mergeCell ref="C3871:D3871"/>
    <mergeCell ref="A3872:D3872"/>
    <mergeCell ref="A3873:D3873"/>
    <mergeCell ref="A3874:D3874"/>
    <mergeCell ref="A3875:D3875"/>
    <mergeCell ref="A3876:D3876"/>
    <mergeCell ref="A3854:B3854"/>
    <mergeCell ref="C3854:D3854"/>
    <mergeCell ref="A3855:B3855"/>
    <mergeCell ref="C3855:D3855"/>
    <mergeCell ref="A3856:B3856"/>
    <mergeCell ref="C3856:D3856"/>
    <mergeCell ref="A3857:B3857"/>
    <mergeCell ref="C3857:D3857"/>
    <mergeCell ref="A3858:B3858"/>
    <mergeCell ref="C3858:D3858"/>
    <mergeCell ref="A3859:D3859"/>
    <mergeCell ref="A3860:D3860"/>
    <mergeCell ref="A3861:D3861"/>
    <mergeCell ref="A3862:D3862"/>
    <mergeCell ref="A3863:B3863"/>
    <mergeCell ref="C3863:D3863"/>
    <mergeCell ref="C3864:D3864"/>
    <mergeCell ref="A3888:D3888"/>
    <mergeCell ref="A3889:D3889"/>
    <mergeCell ref="A3890:B3890"/>
    <mergeCell ref="C3890:D3890"/>
    <mergeCell ref="C3891:D3891"/>
    <mergeCell ref="A3893:B3893"/>
    <mergeCell ref="C3893:D3893"/>
    <mergeCell ref="A3894:B3894"/>
    <mergeCell ref="C3894:D3894"/>
    <mergeCell ref="A3895:B3895"/>
    <mergeCell ref="C3895:D3895"/>
    <mergeCell ref="A3896:B3896"/>
    <mergeCell ref="C3896:D3896"/>
    <mergeCell ref="A3897:B3897"/>
    <mergeCell ref="C3897:D3897"/>
    <mergeCell ref="A3898:B3898"/>
    <mergeCell ref="C3898:D3898"/>
    <mergeCell ref="A3877:B3877"/>
    <mergeCell ref="C3877:D3877"/>
    <mergeCell ref="C3878:D3878"/>
    <mergeCell ref="A3880:B3880"/>
    <mergeCell ref="C3880:D3880"/>
    <mergeCell ref="A3881:B3881"/>
    <mergeCell ref="C3881:D3881"/>
    <mergeCell ref="A3882:B3882"/>
    <mergeCell ref="C3882:D3882"/>
    <mergeCell ref="A3883:B3883"/>
    <mergeCell ref="C3883:D3883"/>
    <mergeCell ref="A3884:B3884"/>
    <mergeCell ref="C3884:D3884"/>
    <mergeCell ref="A3885:B3885"/>
    <mergeCell ref="C3885:D3885"/>
    <mergeCell ref="A3886:D3886"/>
    <mergeCell ref="A3887:D3887"/>
    <mergeCell ref="A3912:B3912"/>
    <mergeCell ref="C3912:D3912"/>
    <mergeCell ref="A3913:D3913"/>
    <mergeCell ref="A3914:D3914"/>
    <mergeCell ref="A3915:D3915"/>
    <mergeCell ref="A3916:D3916"/>
    <mergeCell ref="A3917:B3917"/>
    <mergeCell ref="C3917:D3917"/>
    <mergeCell ref="C3918:D3918"/>
    <mergeCell ref="A3920:B3920"/>
    <mergeCell ref="C3920:D3920"/>
    <mergeCell ref="A3921:B3921"/>
    <mergeCell ref="C3921:D3921"/>
    <mergeCell ref="A3922:B3922"/>
    <mergeCell ref="C3922:D3922"/>
    <mergeCell ref="A3923:B3923"/>
    <mergeCell ref="C3923:D3923"/>
    <mergeCell ref="A3899:D3899"/>
    <mergeCell ref="A3900:D3900"/>
    <mergeCell ref="A3901:D3901"/>
    <mergeCell ref="A3902:D3902"/>
    <mergeCell ref="A3903:D3903"/>
    <mergeCell ref="A3904:B3904"/>
    <mergeCell ref="C3904:D3904"/>
    <mergeCell ref="C3905:D3905"/>
    <mergeCell ref="A3907:B3907"/>
    <mergeCell ref="C3907:D3907"/>
    <mergeCell ref="A3908:B3908"/>
    <mergeCell ref="C3908:D3908"/>
    <mergeCell ref="A3909:B3909"/>
    <mergeCell ref="C3909:D3909"/>
    <mergeCell ref="A3910:B3910"/>
    <mergeCell ref="C3910:D3910"/>
    <mergeCell ref="A3911:B3911"/>
    <mergeCell ref="C3911:D3911"/>
    <mergeCell ref="A3937:B3937"/>
    <mergeCell ref="C3937:D3937"/>
    <mergeCell ref="A3938:B3938"/>
    <mergeCell ref="C3938:D3938"/>
    <mergeCell ref="A3939:B3939"/>
    <mergeCell ref="C3939:D3939"/>
    <mergeCell ref="A3940:D3940"/>
    <mergeCell ref="A3941:D3941"/>
    <mergeCell ref="A3942:D3942"/>
    <mergeCell ref="A3943:D3943"/>
    <mergeCell ref="A3944:B3944"/>
    <mergeCell ref="C3944:D3944"/>
    <mergeCell ref="C3945:D3945"/>
    <mergeCell ref="A3947:B3947"/>
    <mergeCell ref="C3947:D3947"/>
    <mergeCell ref="A3948:B3948"/>
    <mergeCell ref="C3948:D3948"/>
    <mergeCell ref="A3924:B3924"/>
    <mergeCell ref="C3924:D3924"/>
    <mergeCell ref="A3925:B3925"/>
    <mergeCell ref="C3925:D3925"/>
    <mergeCell ref="A3926:D3926"/>
    <mergeCell ref="A3927:D3927"/>
    <mergeCell ref="A3928:D3928"/>
    <mergeCell ref="A3929:D3929"/>
    <mergeCell ref="A3930:D3930"/>
    <mergeCell ref="A3931:B3931"/>
    <mergeCell ref="C3931:D3931"/>
    <mergeCell ref="C3932:D3932"/>
    <mergeCell ref="A3934:B3934"/>
    <mergeCell ref="C3934:D3934"/>
    <mergeCell ref="A3935:B3935"/>
    <mergeCell ref="C3935:D3935"/>
    <mergeCell ref="A3936:B3936"/>
    <mergeCell ref="C3936:D3936"/>
    <mergeCell ref="A3962:B3962"/>
    <mergeCell ref="C3962:D3962"/>
    <mergeCell ref="A3963:B3963"/>
    <mergeCell ref="C3963:D3963"/>
    <mergeCell ref="A3964:B3964"/>
    <mergeCell ref="C3964:D3964"/>
    <mergeCell ref="A3965:B3965"/>
    <mergeCell ref="C3965:D3965"/>
    <mergeCell ref="A3966:B3966"/>
    <mergeCell ref="C3966:D3966"/>
    <mergeCell ref="A3967:D3967"/>
    <mergeCell ref="A3968:D3968"/>
    <mergeCell ref="A3969:D3969"/>
    <mergeCell ref="A3970:D3970"/>
    <mergeCell ref="A3971:B3971"/>
    <mergeCell ref="C3971:D3971"/>
    <mergeCell ref="C3972:D3972"/>
    <mergeCell ref="A3949:B3949"/>
    <mergeCell ref="C3949:D3949"/>
    <mergeCell ref="A3950:B3950"/>
    <mergeCell ref="C3950:D3950"/>
    <mergeCell ref="A3951:B3951"/>
    <mergeCell ref="C3951:D3951"/>
    <mergeCell ref="A3952:B3952"/>
    <mergeCell ref="C3952:D3952"/>
    <mergeCell ref="A3953:D3953"/>
    <mergeCell ref="A3954:D3954"/>
    <mergeCell ref="A3955:D3955"/>
    <mergeCell ref="A3956:D3956"/>
    <mergeCell ref="A3957:D3957"/>
    <mergeCell ref="A3958:B3958"/>
    <mergeCell ref="C3958:D3958"/>
    <mergeCell ref="C3959:D3959"/>
    <mergeCell ref="A3961:B3961"/>
    <mergeCell ref="C3961:D3961"/>
    <mergeCell ref="A3985:B3985"/>
    <mergeCell ref="C3985:D3985"/>
    <mergeCell ref="C3986:D3986"/>
    <mergeCell ref="A3988:B3988"/>
    <mergeCell ref="C3988:D3988"/>
    <mergeCell ref="A3989:B3989"/>
    <mergeCell ref="C3989:D3989"/>
    <mergeCell ref="A3990:B3990"/>
    <mergeCell ref="C3990:D3990"/>
    <mergeCell ref="A3991:B3991"/>
    <mergeCell ref="C3991:D3991"/>
    <mergeCell ref="A3992:B3992"/>
    <mergeCell ref="C3992:D3992"/>
    <mergeCell ref="A3993:B3993"/>
    <mergeCell ref="C3993:D3993"/>
    <mergeCell ref="A3994:D3994"/>
    <mergeCell ref="A3995:D3995"/>
    <mergeCell ref="A3974:B3974"/>
    <mergeCell ref="C3974:D3974"/>
    <mergeCell ref="A3975:B3975"/>
    <mergeCell ref="C3975:D3975"/>
    <mergeCell ref="A3976:B3976"/>
    <mergeCell ref="C3976:D3976"/>
    <mergeCell ref="A3977:B3977"/>
    <mergeCell ref="C3977:D3977"/>
    <mergeCell ref="A3978:B3978"/>
    <mergeCell ref="C3978:D3978"/>
    <mergeCell ref="A3979:B3979"/>
    <mergeCell ref="C3979:D3979"/>
    <mergeCell ref="A3980:D3980"/>
    <mergeCell ref="A3981:D3981"/>
    <mergeCell ref="A3982:D3982"/>
    <mergeCell ref="A3983:D3983"/>
    <mergeCell ref="A3984:D3984"/>
    <mergeCell ref="A4007:D4007"/>
    <mergeCell ref="A4008:D4008"/>
    <mergeCell ref="A4009:D4009"/>
    <mergeCell ref="A4010:D4010"/>
    <mergeCell ref="A4011:D4011"/>
    <mergeCell ref="A4012:B4012"/>
    <mergeCell ref="C4012:D4012"/>
    <mergeCell ref="C4013:D4013"/>
    <mergeCell ref="A4015:B4015"/>
    <mergeCell ref="C4015:D4015"/>
    <mergeCell ref="A4016:B4016"/>
    <mergeCell ref="C4016:D4016"/>
    <mergeCell ref="A4017:B4017"/>
    <mergeCell ref="C4017:D4017"/>
    <mergeCell ref="A4018:B4018"/>
    <mergeCell ref="C4018:D4018"/>
    <mergeCell ref="A4019:B4019"/>
    <mergeCell ref="C4019:D4019"/>
    <mergeCell ref="A3996:D3996"/>
    <mergeCell ref="A3997:D3997"/>
    <mergeCell ref="A3998:B3998"/>
    <mergeCell ref="C3998:D3998"/>
    <mergeCell ref="C3999:D3999"/>
    <mergeCell ref="A4001:B4001"/>
    <mergeCell ref="C4001:D4001"/>
    <mergeCell ref="A4002:B4002"/>
    <mergeCell ref="C4002:D4002"/>
    <mergeCell ref="A4003:B4003"/>
    <mergeCell ref="C4003:D4003"/>
    <mergeCell ref="A4004:B4004"/>
    <mergeCell ref="C4004:D4004"/>
    <mergeCell ref="A4005:B4005"/>
    <mergeCell ref="C4005:D4005"/>
    <mergeCell ref="A4006:B4006"/>
    <mergeCell ref="C4006:D4006"/>
    <mergeCell ref="A4032:B4032"/>
    <mergeCell ref="C4032:D4032"/>
    <mergeCell ref="A4033:B4033"/>
    <mergeCell ref="C4033:D4033"/>
    <mergeCell ref="A4034:D4034"/>
    <mergeCell ref="A4035:D4035"/>
    <mergeCell ref="A4036:D4036"/>
    <mergeCell ref="A4037:D4037"/>
    <mergeCell ref="A4038:D4038"/>
    <mergeCell ref="A4039:B4039"/>
    <mergeCell ref="C4039:D4039"/>
    <mergeCell ref="C4040:D4040"/>
    <mergeCell ref="A4042:B4042"/>
    <mergeCell ref="C4042:D4042"/>
    <mergeCell ref="A4043:B4043"/>
    <mergeCell ref="C4043:D4043"/>
    <mergeCell ref="A4044:B4044"/>
    <mergeCell ref="C4044:D4044"/>
    <mergeCell ref="A4020:B4020"/>
    <mergeCell ref="C4020:D4020"/>
    <mergeCell ref="A4021:D4021"/>
    <mergeCell ref="A4022:D4022"/>
    <mergeCell ref="A4023:D4023"/>
    <mergeCell ref="A4024:D4024"/>
    <mergeCell ref="A4025:B4025"/>
    <mergeCell ref="C4025:D4025"/>
    <mergeCell ref="C4026:D4026"/>
    <mergeCell ref="A4028:B4028"/>
    <mergeCell ref="C4028:D4028"/>
    <mergeCell ref="A4029:B4029"/>
    <mergeCell ref="C4029:D4029"/>
    <mergeCell ref="A4030:B4030"/>
    <mergeCell ref="C4030:D4030"/>
    <mergeCell ref="A4031:B4031"/>
    <mergeCell ref="C4031:D4031"/>
    <mergeCell ref="A4057:B4057"/>
    <mergeCell ref="C4057:D4057"/>
    <mergeCell ref="A4058:B4058"/>
    <mergeCell ref="C4058:D4058"/>
    <mergeCell ref="A4059:B4059"/>
    <mergeCell ref="C4059:D4059"/>
    <mergeCell ref="A4060:B4060"/>
    <mergeCell ref="C4060:D4060"/>
    <mergeCell ref="A4061:D4061"/>
    <mergeCell ref="A4062:D4062"/>
    <mergeCell ref="A4063:D4063"/>
    <mergeCell ref="A4064:D4064"/>
    <mergeCell ref="A4065:D4065"/>
    <mergeCell ref="A4066:B4066"/>
    <mergeCell ref="C4066:D4066"/>
    <mergeCell ref="C4067:D4067"/>
    <mergeCell ref="A4069:B4069"/>
    <mergeCell ref="C4069:D4069"/>
    <mergeCell ref="A4045:B4045"/>
    <mergeCell ref="C4045:D4045"/>
    <mergeCell ref="A4046:B4046"/>
    <mergeCell ref="C4046:D4046"/>
    <mergeCell ref="A4047:B4047"/>
    <mergeCell ref="C4047:D4047"/>
    <mergeCell ref="A4048:D4048"/>
    <mergeCell ref="A4049:D4049"/>
    <mergeCell ref="A4050:D4050"/>
    <mergeCell ref="A4051:D4051"/>
    <mergeCell ref="A4052:B4052"/>
    <mergeCell ref="C4052:D4052"/>
    <mergeCell ref="C4053:D4053"/>
    <mergeCell ref="A4055:B4055"/>
    <mergeCell ref="C4055:D4055"/>
    <mergeCell ref="A4056:B4056"/>
    <mergeCell ref="C4056:D4056"/>
    <mergeCell ref="A4082:B4082"/>
    <mergeCell ref="C4082:D4082"/>
    <mergeCell ref="A4083:B4083"/>
    <mergeCell ref="C4083:D4083"/>
    <mergeCell ref="A4084:B4084"/>
    <mergeCell ref="C4084:D4084"/>
    <mergeCell ref="A4085:B4085"/>
    <mergeCell ref="C4085:D4085"/>
    <mergeCell ref="A4086:B4086"/>
    <mergeCell ref="C4086:D4086"/>
    <mergeCell ref="A4087:B4087"/>
    <mergeCell ref="C4087:D4087"/>
    <mergeCell ref="A4088:D4088"/>
    <mergeCell ref="A4089:D4089"/>
    <mergeCell ref="A4090:D4090"/>
    <mergeCell ref="A4091:D4091"/>
    <mergeCell ref="A4092:D4092"/>
    <mergeCell ref="A4070:B4070"/>
    <mergeCell ref="C4070:D4070"/>
    <mergeCell ref="A4071:B4071"/>
    <mergeCell ref="C4071:D4071"/>
    <mergeCell ref="A4072:B4072"/>
    <mergeCell ref="C4072:D4072"/>
    <mergeCell ref="A4073:B4073"/>
    <mergeCell ref="C4073:D4073"/>
    <mergeCell ref="A4074:B4074"/>
    <mergeCell ref="C4074:D4074"/>
    <mergeCell ref="A4075:D4075"/>
    <mergeCell ref="A4076:D4076"/>
    <mergeCell ref="A4077:D4077"/>
    <mergeCell ref="A4078:D4078"/>
    <mergeCell ref="A4079:B4079"/>
    <mergeCell ref="C4079:D4079"/>
    <mergeCell ref="C4080:D4080"/>
    <mergeCell ref="A4104:D4104"/>
    <mergeCell ref="A4105:D4105"/>
    <mergeCell ref="A4106:B4106"/>
    <mergeCell ref="C4106:D4106"/>
    <mergeCell ref="C4107:D4107"/>
    <mergeCell ref="A4109:B4109"/>
    <mergeCell ref="C4109:D4109"/>
    <mergeCell ref="A4110:B4110"/>
    <mergeCell ref="C4110:D4110"/>
    <mergeCell ref="A4111:B4111"/>
    <mergeCell ref="C4111:D4111"/>
    <mergeCell ref="A4112:B4112"/>
    <mergeCell ref="C4112:D4112"/>
    <mergeCell ref="A4113:B4113"/>
    <mergeCell ref="C4113:D4113"/>
    <mergeCell ref="A4114:B4114"/>
    <mergeCell ref="C4114:D4114"/>
    <mergeCell ref="A4093:B4093"/>
    <mergeCell ref="C4093:D4093"/>
    <mergeCell ref="C4094:D4094"/>
    <mergeCell ref="A4096:B4096"/>
    <mergeCell ref="C4096:D4096"/>
    <mergeCell ref="A4097:B4097"/>
    <mergeCell ref="C4097:D4097"/>
    <mergeCell ref="A4098:B4098"/>
    <mergeCell ref="C4098:D4098"/>
    <mergeCell ref="A4099:B4099"/>
    <mergeCell ref="C4099:D4099"/>
    <mergeCell ref="A4100:B4100"/>
    <mergeCell ref="C4100:D4100"/>
    <mergeCell ref="A4101:B4101"/>
    <mergeCell ref="C4101:D4101"/>
    <mergeCell ref="A4102:D4102"/>
    <mergeCell ref="A4103:D4103"/>
    <mergeCell ref="A4128:B4128"/>
    <mergeCell ref="C4128:D4128"/>
    <mergeCell ref="A4129:D4129"/>
    <mergeCell ref="A4130:D4130"/>
    <mergeCell ref="A4131:D4131"/>
    <mergeCell ref="A4132:D4132"/>
    <mergeCell ref="A4133:B4133"/>
    <mergeCell ref="C4133:D4133"/>
    <mergeCell ref="C4134:D4134"/>
    <mergeCell ref="A4136:B4136"/>
    <mergeCell ref="C4136:D4136"/>
    <mergeCell ref="A4137:B4137"/>
    <mergeCell ref="C4137:D4137"/>
    <mergeCell ref="A4138:B4138"/>
    <mergeCell ref="C4138:D4138"/>
    <mergeCell ref="A4139:B4139"/>
    <mergeCell ref="C4139:D4139"/>
    <mergeCell ref="A4115:D4115"/>
    <mergeCell ref="A4116:D4116"/>
    <mergeCell ref="A4117:D4117"/>
    <mergeCell ref="A4118:D4118"/>
    <mergeCell ref="A4119:D4119"/>
    <mergeCell ref="A4120:B4120"/>
    <mergeCell ref="C4120:D4120"/>
    <mergeCell ref="C4121:D4121"/>
    <mergeCell ref="A4123:B4123"/>
    <mergeCell ref="C4123:D4123"/>
    <mergeCell ref="A4124:B4124"/>
    <mergeCell ref="C4124:D4124"/>
    <mergeCell ref="A4125:B4125"/>
    <mergeCell ref="C4125:D4125"/>
    <mergeCell ref="A4126:B4126"/>
    <mergeCell ref="C4126:D4126"/>
    <mergeCell ref="A4127:B4127"/>
    <mergeCell ref="C4127:D4127"/>
    <mergeCell ref="A4153:B4153"/>
    <mergeCell ref="C4153:D4153"/>
    <mergeCell ref="A4154:B4154"/>
    <mergeCell ref="C4154:D4154"/>
    <mergeCell ref="A4155:B4155"/>
    <mergeCell ref="C4155:D4155"/>
    <mergeCell ref="A4156:D4156"/>
    <mergeCell ref="A4157:D4157"/>
    <mergeCell ref="A4158:D4158"/>
    <mergeCell ref="A4159:D4159"/>
    <mergeCell ref="A4160:B4160"/>
    <mergeCell ref="C4160:D4160"/>
    <mergeCell ref="C4161:D4161"/>
    <mergeCell ref="A4163:B4163"/>
    <mergeCell ref="C4163:D4163"/>
    <mergeCell ref="A4164:B4164"/>
    <mergeCell ref="C4164:D4164"/>
    <mergeCell ref="A4140:B4140"/>
    <mergeCell ref="C4140:D4140"/>
    <mergeCell ref="A4141:B4141"/>
    <mergeCell ref="C4141:D4141"/>
    <mergeCell ref="A4142:D4142"/>
    <mergeCell ref="A4143:D4143"/>
    <mergeCell ref="A4144:D4144"/>
    <mergeCell ref="A4145:D4145"/>
    <mergeCell ref="A4146:D4146"/>
    <mergeCell ref="A4147:B4147"/>
    <mergeCell ref="C4147:D4147"/>
    <mergeCell ref="C4148:D4148"/>
    <mergeCell ref="A4150:B4150"/>
    <mergeCell ref="C4150:D4150"/>
    <mergeCell ref="A4151:B4151"/>
    <mergeCell ref="C4151:D4151"/>
    <mergeCell ref="A4152:B4152"/>
    <mergeCell ref="C4152:D4152"/>
    <mergeCell ref="A4178:B4178"/>
    <mergeCell ref="C4178:D4178"/>
    <mergeCell ref="A4179:B4179"/>
    <mergeCell ref="C4179:D4179"/>
    <mergeCell ref="A4180:B4180"/>
    <mergeCell ref="C4180:D4180"/>
    <mergeCell ref="A4181:B4181"/>
    <mergeCell ref="C4181:D4181"/>
    <mergeCell ref="A4182:B4182"/>
    <mergeCell ref="C4182:D4182"/>
    <mergeCell ref="A4183:D4183"/>
    <mergeCell ref="A4184:D4184"/>
    <mergeCell ref="A4185:D4185"/>
    <mergeCell ref="A4186:D4186"/>
    <mergeCell ref="A4187:B4187"/>
    <mergeCell ref="C4187:D4187"/>
    <mergeCell ref="C4188:D4188"/>
    <mergeCell ref="A4165:B4165"/>
    <mergeCell ref="C4165:D4165"/>
    <mergeCell ref="A4166:B4166"/>
    <mergeCell ref="C4166:D4166"/>
    <mergeCell ref="A4167:B4167"/>
    <mergeCell ref="C4167:D4167"/>
    <mergeCell ref="A4168:B4168"/>
    <mergeCell ref="C4168:D4168"/>
    <mergeCell ref="A4169:D4169"/>
    <mergeCell ref="A4170:D4170"/>
    <mergeCell ref="A4171:D4171"/>
    <mergeCell ref="A4172:D4172"/>
    <mergeCell ref="A4173:D4173"/>
    <mergeCell ref="A4174:B4174"/>
    <mergeCell ref="C4174:D4174"/>
    <mergeCell ref="C4175:D4175"/>
    <mergeCell ref="A4177:B4177"/>
    <mergeCell ref="C4177:D4177"/>
    <mergeCell ref="A4201:B4201"/>
    <mergeCell ref="C4201:D4201"/>
    <mergeCell ref="C4202:D4202"/>
    <mergeCell ref="A4204:B4204"/>
    <mergeCell ref="C4204:D4204"/>
    <mergeCell ref="A4205:B4205"/>
    <mergeCell ref="C4205:D4205"/>
    <mergeCell ref="A4206:B4206"/>
    <mergeCell ref="C4206:D4206"/>
    <mergeCell ref="A4207:B4207"/>
    <mergeCell ref="C4207:D4207"/>
    <mergeCell ref="A4208:B4208"/>
    <mergeCell ref="C4208:D4208"/>
    <mergeCell ref="A4209:B4209"/>
    <mergeCell ref="C4209:D4209"/>
    <mergeCell ref="A4210:D4210"/>
    <mergeCell ref="A4211:D4211"/>
    <mergeCell ref="A4190:B4190"/>
    <mergeCell ref="C4190:D4190"/>
    <mergeCell ref="A4191:B4191"/>
    <mergeCell ref="C4191:D4191"/>
    <mergeCell ref="A4192:B4192"/>
    <mergeCell ref="C4192:D4192"/>
    <mergeCell ref="A4193:B4193"/>
    <mergeCell ref="C4193:D4193"/>
    <mergeCell ref="A4194:B4194"/>
    <mergeCell ref="C4194:D4194"/>
    <mergeCell ref="A4195:B4195"/>
    <mergeCell ref="C4195:D4195"/>
    <mergeCell ref="A4196:D4196"/>
    <mergeCell ref="A4197:D4197"/>
    <mergeCell ref="A4198:D4198"/>
    <mergeCell ref="A4199:D4199"/>
    <mergeCell ref="A4200:D4200"/>
    <mergeCell ref="A4223:D4223"/>
    <mergeCell ref="A4224:D4224"/>
    <mergeCell ref="A4225:D4225"/>
    <mergeCell ref="A4226:D4226"/>
    <mergeCell ref="A4227:D4227"/>
    <mergeCell ref="A4228:B4228"/>
    <mergeCell ref="C4228:D4228"/>
    <mergeCell ref="C4229:D4229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35:B4235"/>
    <mergeCell ref="C4235:D4235"/>
    <mergeCell ref="A4212:D4212"/>
    <mergeCell ref="A4213:D4213"/>
    <mergeCell ref="A4214:B4214"/>
    <mergeCell ref="C4214:D4214"/>
    <mergeCell ref="C4215:D4215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A4248:B4248"/>
    <mergeCell ref="C4248:D4248"/>
    <mergeCell ref="A4249:B4249"/>
    <mergeCell ref="C4249:D4249"/>
    <mergeCell ref="A4250:D4250"/>
    <mergeCell ref="A4251:D4251"/>
    <mergeCell ref="A4252:D4252"/>
    <mergeCell ref="A4253:D4253"/>
    <mergeCell ref="A4254:D4254"/>
    <mergeCell ref="A4255:B4255"/>
    <mergeCell ref="C4255:D4255"/>
    <mergeCell ref="C4256:D4256"/>
    <mergeCell ref="A4258:B4258"/>
    <mergeCell ref="C4258:D4258"/>
    <mergeCell ref="A4259:B4259"/>
    <mergeCell ref="C4259:D4259"/>
    <mergeCell ref="A4260:B4260"/>
    <mergeCell ref="C4260:D4260"/>
    <mergeCell ref="A4236:B4236"/>
    <mergeCell ref="C4236:D4236"/>
    <mergeCell ref="A4237:D4237"/>
    <mergeCell ref="A4238:D4238"/>
    <mergeCell ref="A4239:D4239"/>
    <mergeCell ref="A4240:D4240"/>
    <mergeCell ref="A4241:B4241"/>
    <mergeCell ref="C4241:D4241"/>
    <mergeCell ref="C4242:D4242"/>
    <mergeCell ref="A4244:B4244"/>
    <mergeCell ref="C4244:D4244"/>
    <mergeCell ref="A4245:B4245"/>
    <mergeCell ref="C4245:D4245"/>
    <mergeCell ref="A4246:B4246"/>
    <mergeCell ref="C4246:D4246"/>
    <mergeCell ref="A4247:B4247"/>
    <mergeCell ref="C4247:D4247"/>
    <mergeCell ref="A4273:B4273"/>
    <mergeCell ref="C4273:D4273"/>
    <mergeCell ref="A4274:B4274"/>
    <mergeCell ref="C4274:D4274"/>
    <mergeCell ref="A4275:B4275"/>
    <mergeCell ref="C4275:D4275"/>
    <mergeCell ref="A4276:B4276"/>
    <mergeCell ref="C4276:D4276"/>
    <mergeCell ref="A4277:D4277"/>
    <mergeCell ref="A4278:D4278"/>
    <mergeCell ref="A4279:D4279"/>
    <mergeCell ref="A4280:D4280"/>
    <mergeCell ref="A4281:D4281"/>
    <mergeCell ref="A4282:B4282"/>
    <mergeCell ref="C4282:D4282"/>
    <mergeCell ref="C4283:D4283"/>
    <mergeCell ref="A4285:B4285"/>
    <mergeCell ref="C4285:D4285"/>
    <mergeCell ref="A4261:B4261"/>
    <mergeCell ref="C4261:D4261"/>
    <mergeCell ref="A4262:B4262"/>
    <mergeCell ref="C4262:D4262"/>
    <mergeCell ref="A4263:B4263"/>
    <mergeCell ref="C4263:D4263"/>
    <mergeCell ref="A4264:D4264"/>
    <mergeCell ref="A4265:D4265"/>
    <mergeCell ref="A4266:D4266"/>
    <mergeCell ref="A4267:D4267"/>
    <mergeCell ref="A4268:B4268"/>
    <mergeCell ref="C4268:D4268"/>
    <mergeCell ref="C4269:D4269"/>
    <mergeCell ref="A4271:B4271"/>
    <mergeCell ref="C4271:D4271"/>
    <mergeCell ref="A4272:B4272"/>
    <mergeCell ref="C4272:D4272"/>
    <mergeCell ref="A4298:B4298"/>
    <mergeCell ref="C4298:D4298"/>
    <mergeCell ref="A4299:B4299"/>
    <mergeCell ref="C4299:D4299"/>
    <mergeCell ref="A4300:B4300"/>
    <mergeCell ref="C4300:D4300"/>
    <mergeCell ref="A4301:B4301"/>
    <mergeCell ref="C4301:D4301"/>
    <mergeCell ref="A4302:B4302"/>
    <mergeCell ref="C4302:D4302"/>
    <mergeCell ref="A4303:B4303"/>
    <mergeCell ref="C4303:D4303"/>
    <mergeCell ref="A4304:D4304"/>
    <mergeCell ref="A4305:D4305"/>
    <mergeCell ref="A4306:D4306"/>
    <mergeCell ref="A4307:D4307"/>
    <mergeCell ref="A4308:D4308"/>
    <mergeCell ref="A4286:B4286"/>
    <mergeCell ref="C4286:D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D4291"/>
    <mergeCell ref="A4292:D4292"/>
    <mergeCell ref="A4293:D4293"/>
    <mergeCell ref="A4294:D4294"/>
    <mergeCell ref="A4295:B4295"/>
    <mergeCell ref="C4295:D4295"/>
    <mergeCell ref="C4296:D4296"/>
    <mergeCell ref="A4320:D4320"/>
    <mergeCell ref="A4321:D4321"/>
    <mergeCell ref="A4322:B4322"/>
    <mergeCell ref="C4322:D4322"/>
    <mergeCell ref="C4323:D4323"/>
    <mergeCell ref="A4325:B4325"/>
    <mergeCell ref="C4325:D4325"/>
    <mergeCell ref="A4326:B4326"/>
    <mergeCell ref="C4326:D4326"/>
    <mergeCell ref="A4327:B4327"/>
    <mergeCell ref="C4327:D4327"/>
    <mergeCell ref="A4328:B4328"/>
    <mergeCell ref="C4328:D4328"/>
    <mergeCell ref="A4329:B4329"/>
    <mergeCell ref="C4329:D4329"/>
    <mergeCell ref="A4330:B4330"/>
    <mergeCell ref="C4330:D4330"/>
    <mergeCell ref="A4345:D4345"/>
    <mergeCell ref="A4346:D4346"/>
    <mergeCell ref="A4347:D4347"/>
    <mergeCell ref="A4348:D4348"/>
    <mergeCell ref="A4349:B4349"/>
    <mergeCell ref="C4349:D4349"/>
    <mergeCell ref="C4350:D4350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09:B4309"/>
    <mergeCell ref="C4309:D4309"/>
    <mergeCell ref="C4310:D4310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17:B4317"/>
    <mergeCell ref="C4317:D4317"/>
    <mergeCell ref="A4318:D4318"/>
    <mergeCell ref="A4319:D4319"/>
    <mergeCell ref="C4371:D4371"/>
    <mergeCell ref="A4372:D4372"/>
    <mergeCell ref="A4373:D4373"/>
    <mergeCell ref="A4374:D4374"/>
    <mergeCell ref="A4375:D4375"/>
    <mergeCell ref="A4376:B4376"/>
    <mergeCell ref="C4376:D4376"/>
    <mergeCell ref="C4377:D4377"/>
    <mergeCell ref="A4379:B4379"/>
    <mergeCell ref="C4379:D4379"/>
    <mergeCell ref="A4380:B4380"/>
    <mergeCell ref="C4380:D4380"/>
    <mergeCell ref="A4331:D4331"/>
    <mergeCell ref="A4332:D4332"/>
    <mergeCell ref="A4333:D4333"/>
    <mergeCell ref="A4334:D4334"/>
    <mergeCell ref="A4335:D4335"/>
    <mergeCell ref="A4336:B4336"/>
    <mergeCell ref="C4336:D4336"/>
    <mergeCell ref="C4337:D4337"/>
    <mergeCell ref="A4339:B4339"/>
    <mergeCell ref="C4339:D4339"/>
    <mergeCell ref="A4340:B4340"/>
    <mergeCell ref="C4340:D4340"/>
    <mergeCell ref="A4341:B4341"/>
    <mergeCell ref="C4341:D4341"/>
    <mergeCell ref="A4342:B4342"/>
    <mergeCell ref="C4342:D4342"/>
    <mergeCell ref="A4343:B4343"/>
    <mergeCell ref="C4343:D4343"/>
    <mergeCell ref="A4344:B4344"/>
    <mergeCell ref="C4344:D4344"/>
    <mergeCell ref="A4398:B4398"/>
    <mergeCell ref="C4398:D4398"/>
    <mergeCell ref="A4399:D4399"/>
    <mergeCell ref="A4400:D4400"/>
    <mergeCell ref="A4401:D4401"/>
    <mergeCell ref="A4402:D4402"/>
    <mergeCell ref="A4403:B4403"/>
    <mergeCell ref="C4403:D4403"/>
    <mergeCell ref="C4404:D4404"/>
    <mergeCell ref="A4356:B4356"/>
    <mergeCell ref="C4356:D4356"/>
    <mergeCell ref="A4357:B4357"/>
    <mergeCell ref="C4357:D4357"/>
    <mergeCell ref="A4358:D4358"/>
    <mergeCell ref="A4359:D4359"/>
    <mergeCell ref="A4360:D4360"/>
    <mergeCell ref="A4361:D4361"/>
    <mergeCell ref="A4362:D4362"/>
    <mergeCell ref="A4363:B4363"/>
    <mergeCell ref="C4363:D4363"/>
    <mergeCell ref="C4364:D4364"/>
    <mergeCell ref="A4366:B4366"/>
    <mergeCell ref="C4366:D4366"/>
    <mergeCell ref="A4367:B4367"/>
    <mergeCell ref="C4367:D4367"/>
    <mergeCell ref="A4368:B4368"/>
    <mergeCell ref="C4368:D4368"/>
    <mergeCell ref="A4369:B4369"/>
    <mergeCell ref="C4369:D4369"/>
    <mergeCell ref="A4370:B4370"/>
    <mergeCell ref="C4370:D4370"/>
    <mergeCell ref="A4371:B4371"/>
    <mergeCell ref="A4424:B4424"/>
    <mergeCell ref="C4424:D4424"/>
    <mergeCell ref="A4425:B4425"/>
    <mergeCell ref="C4425:D4425"/>
    <mergeCell ref="A4426:D4426"/>
    <mergeCell ref="A4427:D4427"/>
    <mergeCell ref="A4381:B4381"/>
    <mergeCell ref="C4381:D4381"/>
    <mergeCell ref="A4382:B4382"/>
    <mergeCell ref="C4382:D4382"/>
    <mergeCell ref="A4383:B4383"/>
    <mergeCell ref="C4383:D4383"/>
    <mergeCell ref="A4384:B4384"/>
    <mergeCell ref="C4384:D4384"/>
    <mergeCell ref="A4385:D4385"/>
    <mergeCell ref="A4386:D4386"/>
    <mergeCell ref="A4387:D4387"/>
    <mergeCell ref="A4388:D4388"/>
    <mergeCell ref="A4389:D4389"/>
    <mergeCell ref="A4390:B4390"/>
    <mergeCell ref="C4390:D4390"/>
    <mergeCell ref="C4391:D4391"/>
    <mergeCell ref="A4393:B4393"/>
    <mergeCell ref="C4393:D4393"/>
    <mergeCell ref="A4394:B4394"/>
    <mergeCell ref="C4394:D4394"/>
    <mergeCell ref="A4395:B4395"/>
    <mergeCell ref="C4395:D4395"/>
    <mergeCell ref="A4396:B4396"/>
    <mergeCell ref="C4396:D4396"/>
    <mergeCell ref="A4397:B4397"/>
    <mergeCell ref="C4397:D4397"/>
    <mergeCell ref="A4435:B4435"/>
    <mergeCell ref="C4435:D4435"/>
    <mergeCell ref="A4436:B4436"/>
    <mergeCell ref="C4436:D4436"/>
    <mergeCell ref="A4406:B4406"/>
    <mergeCell ref="C4406:D4406"/>
    <mergeCell ref="A4407:B4407"/>
    <mergeCell ref="C4407:D4407"/>
    <mergeCell ref="A4408:B4408"/>
    <mergeCell ref="C4408:D4408"/>
    <mergeCell ref="A4409:B4409"/>
    <mergeCell ref="C4409:D4409"/>
    <mergeCell ref="A4410:B4410"/>
    <mergeCell ref="C4410:D4410"/>
    <mergeCell ref="A4411:B4411"/>
    <mergeCell ref="C4411:D4411"/>
    <mergeCell ref="A4412:D4412"/>
    <mergeCell ref="A4413:D4413"/>
    <mergeCell ref="A4414:D4414"/>
    <mergeCell ref="A4415:D4415"/>
    <mergeCell ref="A4416:D4416"/>
    <mergeCell ref="A4417:B4417"/>
    <mergeCell ref="C4417:D4417"/>
    <mergeCell ref="C4418:D4418"/>
    <mergeCell ref="A4420:B4420"/>
    <mergeCell ref="C4420:D4420"/>
    <mergeCell ref="A4421:B4421"/>
    <mergeCell ref="C4421:D4421"/>
    <mergeCell ref="A4422:B4422"/>
    <mergeCell ref="C4422:D4422"/>
    <mergeCell ref="A4423:B4423"/>
    <mergeCell ref="C4423:D4423"/>
    <mergeCell ref="C4471:D4471"/>
    <mergeCell ref="A4443:D4443"/>
    <mergeCell ref="A4444:B4444"/>
    <mergeCell ref="C4444:D4444"/>
    <mergeCell ref="C4445:D4445"/>
    <mergeCell ref="A4447:B4447"/>
    <mergeCell ref="C4447:D4447"/>
    <mergeCell ref="A4448:B4448"/>
    <mergeCell ref="C4448:D4448"/>
    <mergeCell ref="A4449:B4449"/>
    <mergeCell ref="C4449:D4449"/>
    <mergeCell ref="A4450:B4450"/>
    <mergeCell ref="C4450:D4450"/>
    <mergeCell ref="A4451:B4451"/>
    <mergeCell ref="C4451:D4451"/>
    <mergeCell ref="A4428:D4428"/>
    <mergeCell ref="A4437:B4437"/>
    <mergeCell ref="C4437:D4437"/>
    <mergeCell ref="A4438:B4438"/>
    <mergeCell ref="C4438:D4438"/>
    <mergeCell ref="A4439:D4439"/>
    <mergeCell ref="A4440:D4440"/>
    <mergeCell ref="A4441:D4441"/>
    <mergeCell ref="A4442:D4442"/>
    <mergeCell ref="A4429:D4429"/>
    <mergeCell ref="A4430:B4430"/>
    <mergeCell ref="C4430:D4430"/>
    <mergeCell ref="C4431:D4431"/>
    <mergeCell ref="A4433:B4433"/>
    <mergeCell ref="C4433:D4433"/>
    <mergeCell ref="A4434:B4434"/>
    <mergeCell ref="C4434:D4434"/>
    <mergeCell ref="C4472:D4472"/>
    <mergeCell ref="A4474:B4474"/>
    <mergeCell ref="C4474:D4474"/>
    <mergeCell ref="A4452:B4452"/>
    <mergeCell ref="C4452:D4452"/>
    <mergeCell ref="A4453:D4453"/>
    <mergeCell ref="A4454:D4454"/>
    <mergeCell ref="A4455:D4455"/>
    <mergeCell ref="A4456:D4456"/>
    <mergeCell ref="A4457:B4457"/>
    <mergeCell ref="C4457:D4457"/>
    <mergeCell ref="C4458:D4458"/>
    <mergeCell ref="A4460:B4460"/>
    <mergeCell ref="C4460:D4460"/>
    <mergeCell ref="A4461:B4461"/>
    <mergeCell ref="C4461:D4461"/>
    <mergeCell ref="A4487:B4487"/>
    <mergeCell ref="C4487:D4487"/>
    <mergeCell ref="A4462:B4462"/>
    <mergeCell ref="C4462:D4462"/>
    <mergeCell ref="A4463:B4463"/>
    <mergeCell ref="C4463:D4463"/>
    <mergeCell ref="A4464:B4464"/>
    <mergeCell ref="C4464:D4464"/>
    <mergeCell ref="A4465:B4465"/>
    <mergeCell ref="C4465:D4465"/>
    <mergeCell ref="A4466:D4466"/>
    <mergeCell ref="A4467:D4467"/>
    <mergeCell ref="A4468:D4468"/>
    <mergeCell ref="A4469:D4469"/>
    <mergeCell ref="A4470:D4470"/>
    <mergeCell ref="A4471:B4471"/>
    <mergeCell ref="A4475:B4475"/>
    <mergeCell ref="C4475:D4475"/>
    <mergeCell ref="A4476:B4476"/>
    <mergeCell ref="C4476:D4476"/>
    <mergeCell ref="A4477:B4477"/>
    <mergeCell ref="C4477:D4477"/>
    <mergeCell ref="A4478:B4478"/>
    <mergeCell ref="C4478:D4478"/>
    <mergeCell ref="A4479:B4479"/>
    <mergeCell ref="C4479:D4479"/>
    <mergeCell ref="A4480:D4480"/>
    <mergeCell ref="A4481:D4481"/>
    <mergeCell ref="A4482:D4482"/>
    <mergeCell ref="A4483:D4483"/>
    <mergeCell ref="A4484:B4484"/>
    <mergeCell ref="C4484:D4484"/>
    <mergeCell ref="C4485:D4485"/>
    <mergeCell ref="C4515:D4515"/>
    <mergeCell ref="A4516:B4516"/>
    <mergeCell ref="C4516:D4516"/>
    <mergeCell ref="A4517:B4517"/>
    <mergeCell ref="C4517:D4517"/>
    <mergeCell ref="A4518:B4518"/>
    <mergeCell ref="C4518:D4518"/>
    <mergeCell ref="A4519:B4519"/>
    <mergeCell ref="C4519:D4519"/>
    <mergeCell ref="A4488:B4488"/>
    <mergeCell ref="C4488:D4488"/>
    <mergeCell ref="A4489:B4489"/>
    <mergeCell ref="C4489:D4489"/>
    <mergeCell ref="A4490:B4490"/>
    <mergeCell ref="C4490:D4490"/>
    <mergeCell ref="A4491:B4491"/>
    <mergeCell ref="C4491:D4491"/>
    <mergeCell ref="A4492:B4492"/>
    <mergeCell ref="C4492:D4492"/>
    <mergeCell ref="A4493:D4493"/>
    <mergeCell ref="A4494:D4494"/>
    <mergeCell ref="A4495:D4495"/>
    <mergeCell ref="A4496:D4496"/>
    <mergeCell ref="A4497:D4497"/>
    <mergeCell ref="C4541:D4541"/>
    <mergeCell ref="A4542:B4542"/>
    <mergeCell ref="C4542:D4542"/>
    <mergeCell ref="A4543:B4543"/>
    <mergeCell ref="C4543:D4543"/>
    <mergeCell ref="A4544:B4544"/>
    <mergeCell ref="C4544:D4544"/>
    <mergeCell ref="A4498:B4498"/>
    <mergeCell ref="C4498:D4498"/>
    <mergeCell ref="C4499:D4499"/>
    <mergeCell ref="A4501:B4501"/>
    <mergeCell ref="C4501:D4501"/>
    <mergeCell ref="A4502:B4502"/>
    <mergeCell ref="C4502:D4502"/>
    <mergeCell ref="A4503:B4503"/>
    <mergeCell ref="C4503:D4503"/>
    <mergeCell ref="A4504:B4504"/>
    <mergeCell ref="C4504:D4504"/>
    <mergeCell ref="A4505:B4505"/>
    <mergeCell ref="C4505:D4505"/>
    <mergeCell ref="A4506:B4506"/>
    <mergeCell ref="C4506:D4506"/>
    <mergeCell ref="A4507:D4507"/>
    <mergeCell ref="A4508:D4508"/>
    <mergeCell ref="A4509:D4509"/>
    <mergeCell ref="A4510:D4510"/>
    <mergeCell ref="A4511:B4511"/>
    <mergeCell ref="C4511:D4511"/>
    <mergeCell ref="C4512:D4512"/>
    <mergeCell ref="A4514:B4514"/>
    <mergeCell ref="C4514:D4514"/>
    <mergeCell ref="A4515:B4515"/>
    <mergeCell ref="A4568:B4568"/>
    <mergeCell ref="C4568:D4568"/>
    <mergeCell ref="A4569:B4569"/>
    <mergeCell ref="C4569:D4569"/>
    <mergeCell ref="A4520:D4520"/>
    <mergeCell ref="A4521:D4521"/>
    <mergeCell ref="A4522:D4522"/>
    <mergeCell ref="A4523:D4523"/>
    <mergeCell ref="A4524:D4524"/>
    <mergeCell ref="A4525:B4525"/>
    <mergeCell ref="C4525:D4525"/>
    <mergeCell ref="C4526:D4526"/>
    <mergeCell ref="A4528:B4528"/>
    <mergeCell ref="C4528:D4528"/>
    <mergeCell ref="A4529:B4529"/>
    <mergeCell ref="C4529:D4529"/>
    <mergeCell ref="A4530:B4530"/>
    <mergeCell ref="C4530:D4530"/>
    <mergeCell ref="A4531:B4531"/>
    <mergeCell ref="C4531:D4531"/>
    <mergeCell ref="A4532:B4532"/>
    <mergeCell ref="C4532:D4532"/>
    <mergeCell ref="A4533:B4533"/>
    <mergeCell ref="C4533:D4533"/>
    <mergeCell ref="A4534:D4534"/>
    <mergeCell ref="A4535:D4535"/>
    <mergeCell ref="A4536:D4536"/>
    <mergeCell ref="A4537:D4537"/>
    <mergeCell ref="A4538:B4538"/>
    <mergeCell ref="C4538:D4538"/>
    <mergeCell ref="C4539:D4539"/>
    <mergeCell ref="A4541:B4541"/>
    <mergeCell ref="C4593:D4593"/>
    <mergeCell ref="A4545:B4545"/>
    <mergeCell ref="C4545:D4545"/>
    <mergeCell ref="A4546:B4546"/>
    <mergeCell ref="C4546:D4546"/>
    <mergeCell ref="A4547:D4547"/>
    <mergeCell ref="A4548:D4548"/>
    <mergeCell ref="A4549:D4549"/>
    <mergeCell ref="A4550:D4550"/>
    <mergeCell ref="A4551:D4551"/>
    <mergeCell ref="A4552:B4552"/>
    <mergeCell ref="C4552:D4552"/>
    <mergeCell ref="C4553:D4553"/>
    <mergeCell ref="A4555:B4555"/>
    <mergeCell ref="C4555:D4555"/>
    <mergeCell ref="A4556:B4556"/>
    <mergeCell ref="C4556:D4556"/>
    <mergeCell ref="A4557:B4557"/>
    <mergeCell ref="C4557:D4557"/>
    <mergeCell ref="A4558:B4558"/>
    <mergeCell ref="C4558:D4558"/>
    <mergeCell ref="A4559:B4559"/>
    <mergeCell ref="C4559:D4559"/>
    <mergeCell ref="A4560:B4560"/>
    <mergeCell ref="C4560:D4560"/>
    <mergeCell ref="A4561:D4561"/>
    <mergeCell ref="A4562:D4562"/>
    <mergeCell ref="A4563:D4563"/>
    <mergeCell ref="A4564:D4564"/>
    <mergeCell ref="A4565:B4565"/>
    <mergeCell ref="C4565:D4565"/>
    <mergeCell ref="C4566:D4566"/>
    <mergeCell ref="A4582:B4582"/>
    <mergeCell ref="C4582:D4582"/>
    <mergeCell ref="A4583:B4583"/>
    <mergeCell ref="C4583:D4583"/>
    <mergeCell ref="A4584:B4584"/>
    <mergeCell ref="C4584:D4584"/>
    <mergeCell ref="A4585:B4585"/>
    <mergeCell ref="C4585:D4585"/>
    <mergeCell ref="A4586:B4586"/>
    <mergeCell ref="C4586:D4586"/>
    <mergeCell ref="A4587:B4587"/>
    <mergeCell ref="C4587:D4587"/>
    <mergeCell ref="A4588:D4588"/>
    <mergeCell ref="A4589:D4589"/>
    <mergeCell ref="A4590:D4590"/>
    <mergeCell ref="A4591:D4591"/>
    <mergeCell ref="A4592:B4592"/>
    <mergeCell ref="C4592:D4592"/>
    <mergeCell ref="C4606:D4606"/>
    <mergeCell ref="C4607:D4607"/>
    <mergeCell ref="A4609:B4609"/>
    <mergeCell ref="C4609:D4609"/>
    <mergeCell ref="A4610:B4610"/>
    <mergeCell ref="C4610:D4610"/>
    <mergeCell ref="A4611:B4611"/>
    <mergeCell ref="C4611:D4611"/>
    <mergeCell ref="A4612:B4612"/>
    <mergeCell ref="C4612:D4612"/>
    <mergeCell ref="A4613:B4613"/>
    <mergeCell ref="C4613:D4613"/>
    <mergeCell ref="A4614:B4614"/>
    <mergeCell ref="C4614:D4614"/>
    <mergeCell ref="A4615:D4615"/>
    <mergeCell ref="A4616:D4616"/>
    <mergeCell ref="A4570:B4570"/>
    <mergeCell ref="C4570:D4570"/>
    <mergeCell ref="A4571:B4571"/>
    <mergeCell ref="C4571:D4571"/>
    <mergeCell ref="A4572:B4572"/>
    <mergeCell ref="C4572:D4572"/>
    <mergeCell ref="A4573:B4573"/>
    <mergeCell ref="C4573:D4573"/>
    <mergeCell ref="A4574:D4574"/>
    <mergeCell ref="A4575:D4575"/>
    <mergeCell ref="A4576:D4576"/>
    <mergeCell ref="A4577:D4577"/>
    <mergeCell ref="A4578:D4578"/>
    <mergeCell ref="A4579:B4579"/>
    <mergeCell ref="C4579:D4579"/>
    <mergeCell ref="C4580:D4580"/>
    <mergeCell ref="A4629:D4629"/>
    <mergeCell ref="A4630:D4630"/>
    <mergeCell ref="A4631:D4631"/>
    <mergeCell ref="A4632:D4632"/>
    <mergeCell ref="A4633:B4633"/>
    <mergeCell ref="C4633:D4633"/>
    <mergeCell ref="C4634:D4634"/>
    <mergeCell ref="A4636:B4636"/>
    <mergeCell ref="C4636:D4636"/>
    <mergeCell ref="A4637:B4637"/>
    <mergeCell ref="C4637:D4637"/>
    <mergeCell ref="A4638:B4638"/>
    <mergeCell ref="C4638:D4638"/>
    <mergeCell ref="A4617:D4617"/>
    <mergeCell ref="A4595:B4595"/>
    <mergeCell ref="C4595:D4595"/>
    <mergeCell ref="A4596:B4596"/>
    <mergeCell ref="C4596:D4596"/>
    <mergeCell ref="A4597:B4597"/>
    <mergeCell ref="C4597:D4597"/>
    <mergeCell ref="A4598:B4598"/>
    <mergeCell ref="C4598:D4598"/>
    <mergeCell ref="A4599:B4599"/>
    <mergeCell ref="C4599:D4599"/>
    <mergeCell ref="A4600:B4600"/>
    <mergeCell ref="C4600:D4600"/>
    <mergeCell ref="A4601:D4601"/>
    <mergeCell ref="A4602:D4602"/>
    <mergeCell ref="A4603:D4603"/>
    <mergeCell ref="A4604:D4604"/>
    <mergeCell ref="A4605:D4605"/>
    <mergeCell ref="A4606:B4606"/>
    <mergeCell ref="A4618:D4618"/>
    <mergeCell ref="A4619:B4619"/>
    <mergeCell ref="C4619:D4619"/>
    <mergeCell ref="C4620:D4620"/>
    <mergeCell ref="A4622:B4622"/>
    <mergeCell ref="C4622:D4622"/>
    <mergeCell ref="A4623:B4623"/>
    <mergeCell ref="C4623:D4623"/>
    <mergeCell ref="A4624:B4624"/>
    <mergeCell ref="C4624:D4624"/>
    <mergeCell ref="A4625:B4625"/>
    <mergeCell ref="C4625:D4625"/>
    <mergeCell ref="A4626:B4626"/>
    <mergeCell ref="C4626:D4626"/>
    <mergeCell ref="A4627:B4627"/>
    <mergeCell ref="C4627:D4627"/>
    <mergeCell ref="A4628:D4628"/>
    <mergeCell ref="A4651:B4651"/>
    <mergeCell ref="C4651:D4651"/>
    <mergeCell ref="A4652:B4652"/>
    <mergeCell ref="C4652:D4652"/>
    <mergeCell ref="A4653:B4653"/>
    <mergeCell ref="C4653:D4653"/>
    <mergeCell ref="A4654:B4654"/>
    <mergeCell ref="C4654:D4654"/>
    <mergeCell ref="A4655:D4655"/>
    <mergeCell ref="A4656:D4656"/>
    <mergeCell ref="A4657:D4657"/>
    <mergeCell ref="A4658:D4658"/>
    <mergeCell ref="A4659:D4659"/>
    <mergeCell ref="A4660:B4660"/>
    <mergeCell ref="C4660:D4660"/>
    <mergeCell ref="C4661:D4661"/>
    <mergeCell ref="A4663:B4663"/>
    <mergeCell ref="C4663:D4663"/>
    <mergeCell ref="A4639:B4639"/>
    <mergeCell ref="C4639:D4639"/>
    <mergeCell ref="A4640:B4640"/>
    <mergeCell ref="C4640:D4640"/>
    <mergeCell ref="A4641:B4641"/>
    <mergeCell ref="C4641:D4641"/>
    <mergeCell ref="A4642:D4642"/>
    <mergeCell ref="A4643:D4643"/>
    <mergeCell ref="A4644:D4644"/>
    <mergeCell ref="A4645:D4645"/>
    <mergeCell ref="A4646:B4646"/>
    <mergeCell ref="C4646:D4646"/>
    <mergeCell ref="C4647:D4647"/>
    <mergeCell ref="A4649:B4649"/>
    <mergeCell ref="C4649:D4649"/>
    <mergeCell ref="A4650:B4650"/>
    <mergeCell ref="C4650:D4650"/>
    <mergeCell ref="A4676:B4676"/>
    <mergeCell ref="C4676:D4676"/>
    <mergeCell ref="A4677:B4677"/>
    <mergeCell ref="C4677:D4677"/>
    <mergeCell ref="A4678:B4678"/>
    <mergeCell ref="C4678:D4678"/>
    <mergeCell ref="A4679:B4679"/>
    <mergeCell ref="C4679:D4679"/>
    <mergeCell ref="A4680:B4680"/>
    <mergeCell ref="C4680:D4680"/>
    <mergeCell ref="A4681:B4681"/>
    <mergeCell ref="C4681:D4681"/>
    <mergeCell ref="A4682:D4682"/>
    <mergeCell ref="A4683:D4683"/>
    <mergeCell ref="A4684:D4684"/>
    <mergeCell ref="A4685:D4685"/>
    <mergeCell ref="A4686:D4686"/>
    <mergeCell ref="A4664:B4664"/>
    <mergeCell ref="C4664:D4664"/>
    <mergeCell ref="A4665:B4665"/>
    <mergeCell ref="C4665:D4665"/>
    <mergeCell ref="A4666:B4666"/>
    <mergeCell ref="C4666:D4666"/>
    <mergeCell ref="A4667:B4667"/>
    <mergeCell ref="C4667:D4667"/>
    <mergeCell ref="A4668:B4668"/>
    <mergeCell ref="C4668:D4668"/>
    <mergeCell ref="A4669:D4669"/>
    <mergeCell ref="A4670:D4670"/>
    <mergeCell ref="A4671:D4671"/>
    <mergeCell ref="A4672:D4672"/>
    <mergeCell ref="A4673:B4673"/>
    <mergeCell ref="C4673:D4673"/>
    <mergeCell ref="C4674:D4674"/>
    <mergeCell ref="A4698:D4698"/>
    <mergeCell ref="A4699:D4699"/>
    <mergeCell ref="A4700:B4700"/>
    <mergeCell ref="C4700:D4700"/>
    <mergeCell ref="C4701:D4701"/>
    <mergeCell ref="A4703:B4703"/>
    <mergeCell ref="C4703:D4703"/>
    <mergeCell ref="A4704:B4704"/>
    <mergeCell ref="C4704:D4704"/>
    <mergeCell ref="A4705:B4705"/>
    <mergeCell ref="C4705:D4705"/>
    <mergeCell ref="A4706:B4706"/>
    <mergeCell ref="C4706:D4706"/>
    <mergeCell ref="A4707:B4707"/>
    <mergeCell ref="C4707:D4707"/>
    <mergeCell ref="A4708:B4708"/>
    <mergeCell ref="C4708:D4708"/>
    <mergeCell ref="A4687:B4687"/>
    <mergeCell ref="C4687:D4687"/>
    <mergeCell ref="C4688:D4688"/>
    <mergeCell ref="A4690:B4690"/>
    <mergeCell ref="C4690:D4690"/>
    <mergeCell ref="A4691:B4691"/>
    <mergeCell ref="C4691:D4691"/>
    <mergeCell ref="A4692:B4692"/>
    <mergeCell ref="C4692:D4692"/>
    <mergeCell ref="A4693:B4693"/>
    <mergeCell ref="C4693:D4693"/>
    <mergeCell ref="A4694:B4694"/>
    <mergeCell ref="C4694:D4694"/>
    <mergeCell ref="A4695:B4695"/>
    <mergeCell ref="C4695:D4695"/>
    <mergeCell ref="A4696:D4696"/>
    <mergeCell ref="A4697:D4697"/>
    <mergeCell ref="A4722:B4722"/>
    <mergeCell ref="C4722:D4722"/>
    <mergeCell ref="A4723:D4723"/>
    <mergeCell ref="A4724:D4724"/>
    <mergeCell ref="A4725:D4725"/>
    <mergeCell ref="A4726:D4726"/>
    <mergeCell ref="A4727:B4727"/>
    <mergeCell ref="C4727:D4727"/>
    <mergeCell ref="C4728:D4728"/>
    <mergeCell ref="A4730:B4730"/>
    <mergeCell ref="C4730:D4730"/>
    <mergeCell ref="A4731:B4731"/>
    <mergeCell ref="C4731:D4731"/>
    <mergeCell ref="A4732:B4732"/>
    <mergeCell ref="C4732:D4732"/>
    <mergeCell ref="A4733:B4733"/>
    <mergeCell ref="C4733:D4733"/>
    <mergeCell ref="A4709:D4709"/>
    <mergeCell ref="A4710:D4710"/>
    <mergeCell ref="A4711:D4711"/>
    <mergeCell ref="A4712:D4712"/>
    <mergeCell ref="A4713:D4713"/>
    <mergeCell ref="A4714:B4714"/>
    <mergeCell ref="C4714:D4714"/>
    <mergeCell ref="C4715:D4715"/>
    <mergeCell ref="A4717:B4717"/>
    <mergeCell ref="C4717:D4717"/>
    <mergeCell ref="A4718:B4718"/>
    <mergeCell ref="C4718:D4718"/>
    <mergeCell ref="A4719:B4719"/>
    <mergeCell ref="C4719:D4719"/>
    <mergeCell ref="A4720:B4720"/>
    <mergeCell ref="C4720:D4720"/>
    <mergeCell ref="A4721:B4721"/>
    <mergeCell ref="C4721:D4721"/>
    <mergeCell ref="A4747:B4747"/>
    <mergeCell ref="C4747:D4747"/>
    <mergeCell ref="A4748:B4748"/>
    <mergeCell ref="C4748:D4748"/>
    <mergeCell ref="A4749:B4749"/>
    <mergeCell ref="C4749:D4749"/>
    <mergeCell ref="A4750:D4750"/>
    <mergeCell ref="A4751:D4751"/>
    <mergeCell ref="A4752:D4752"/>
    <mergeCell ref="A4753:D4753"/>
    <mergeCell ref="A4754:B4754"/>
    <mergeCell ref="C4754:D4754"/>
    <mergeCell ref="C4755:D4755"/>
    <mergeCell ref="A4757:B4757"/>
    <mergeCell ref="C4757:D4757"/>
    <mergeCell ref="A4758:B4758"/>
    <mergeCell ref="C4758:D4758"/>
    <mergeCell ref="A4734:B4734"/>
    <mergeCell ref="C4734:D4734"/>
    <mergeCell ref="A4735:B4735"/>
    <mergeCell ref="C4735:D4735"/>
    <mergeCell ref="A4736:D4736"/>
    <mergeCell ref="A4737:D4737"/>
    <mergeCell ref="A4738:D4738"/>
    <mergeCell ref="A4739:D4739"/>
    <mergeCell ref="A4740:D4740"/>
    <mergeCell ref="A4741:B4741"/>
    <mergeCell ref="C4741:D4741"/>
    <mergeCell ref="C4742:D4742"/>
    <mergeCell ref="A4744:B4744"/>
    <mergeCell ref="C4744:D4744"/>
    <mergeCell ref="A4745:B4745"/>
    <mergeCell ref="C4745:D4745"/>
    <mergeCell ref="A4746:B4746"/>
    <mergeCell ref="C4746:D4746"/>
    <mergeCell ref="A4772:B4772"/>
    <mergeCell ref="C4772:D4772"/>
    <mergeCell ref="A4773:B4773"/>
    <mergeCell ref="C4773:D4773"/>
    <mergeCell ref="A4774:B4774"/>
    <mergeCell ref="C4774:D4774"/>
    <mergeCell ref="A4775:B4775"/>
    <mergeCell ref="C4775:D4775"/>
    <mergeCell ref="A4776:B4776"/>
    <mergeCell ref="C4776:D4776"/>
    <mergeCell ref="A4777:D4777"/>
    <mergeCell ref="A4778:D4778"/>
    <mergeCell ref="A4779:D4779"/>
    <mergeCell ref="A4780:D4780"/>
    <mergeCell ref="A4781:B4781"/>
    <mergeCell ref="C4781:D4781"/>
    <mergeCell ref="C4782:D4782"/>
    <mergeCell ref="A4759:B4759"/>
    <mergeCell ref="C4759:D4759"/>
    <mergeCell ref="A4760:B4760"/>
    <mergeCell ref="C4760:D4760"/>
    <mergeCell ref="A4761:B4761"/>
    <mergeCell ref="C4761:D4761"/>
    <mergeCell ref="A4762:B4762"/>
    <mergeCell ref="C4762:D4762"/>
    <mergeCell ref="A4763:D4763"/>
    <mergeCell ref="A4764:D4764"/>
    <mergeCell ref="A4765:D4765"/>
    <mergeCell ref="A4766:D4766"/>
    <mergeCell ref="A4767:D4767"/>
    <mergeCell ref="A4768:B4768"/>
    <mergeCell ref="C4768:D4768"/>
    <mergeCell ref="C4769:D4769"/>
    <mergeCell ref="A4771:B4771"/>
    <mergeCell ref="C4771:D4771"/>
    <mergeCell ref="A4795:B4795"/>
    <mergeCell ref="C4795:D4795"/>
    <mergeCell ref="C4796:D4796"/>
    <mergeCell ref="A4798:B4798"/>
    <mergeCell ref="C4798:D4798"/>
    <mergeCell ref="A4799:B4799"/>
    <mergeCell ref="C4799:D4799"/>
    <mergeCell ref="A4800:B4800"/>
    <mergeCell ref="C4800:D4800"/>
    <mergeCell ref="A4801:B4801"/>
    <mergeCell ref="C4801:D4801"/>
    <mergeCell ref="A4802:B4802"/>
    <mergeCell ref="C4802:D4802"/>
    <mergeCell ref="A4803:B4803"/>
    <mergeCell ref="C4803:D4803"/>
    <mergeCell ref="A4804:D4804"/>
    <mergeCell ref="A4805:D4805"/>
    <mergeCell ref="A4784:B4784"/>
    <mergeCell ref="C4784:D4784"/>
    <mergeCell ref="A4785:B4785"/>
    <mergeCell ref="C4785:D4785"/>
    <mergeCell ref="A4786:B4786"/>
    <mergeCell ref="C4786:D4786"/>
    <mergeCell ref="A4787:B4787"/>
    <mergeCell ref="C4787:D4787"/>
    <mergeCell ref="A4788:B4788"/>
    <mergeCell ref="C4788:D4788"/>
    <mergeCell ref="A4789:B4789"/>
    <mergeCell ref="C4789:D4789"/>
    <mergeCell ref="A4790:D4790"/>
    <mergeCell ref="A4791:D4791"/>
    <mergeCell ref="A4792:D4792"/>
    <mergeCell ref="A4793:D4793"/>
    <mergeCell ref="A4794:D4794"/>
    <mergeCell ref="A4818:D4818"/>
    <mergeCell ref="A4819:D4819"/>
    <mergeCell ref="A4820:D4820"/>
    <mergeCell ref="A4821:D4821"/>
    <mergeCell ref="A4822:B4822"/>
    <mergeCell ref="C4822:D4822"/>
    <mergeCell ref="C4823:D4823"/>
    <mergeCell ref="A4825:B4825"/>
    <mergeCell ref="C4825:D4825"/>
    <mergeCell ref="A4826:B4826"/>
    <mergeCell ref="C4826:D4826"/>
    <mergeCell ref="A4827:B4827"/>
    <mergeCell ref="C4827:D4827"/>
    <mergeCell ref="A4828:B4828"/>
    <mergeCell ref="C4828:D4828"/>
    <mergeCell ref="A4829:B4829"/>
    <mergeCell ref="C4829:D4829"/>
    <mergeCell ref="A4845:D4845"/>
    <mergeCell ref="A4846:D4846"/>
    <mergeCell ref="A4847:D4847"/>
    <mergeCell ref="A4848:D4848"/>
    <mergeCell ref="A4849:B4849"/>
    <mergeCell ref="C4849:D4849"/>
    <mergeCell ref="C4850:D4850"/>
    <mergeCell ref="A4852:B4852"/>
    <mergeCell ref="C4852:D4852"/>
    <mergeCell ref="A4830:B4830"/>
    <mergeCell ref="C4830:D4830"/>
    <mergeCell ref="A4831:D4831"/>
    <mergeCell ref="A4832:D4832"/>
    <mergeCell ref="A4833:D4833"/>
    <mergeCell ref="A4806:D4806"/>
    <mergeCell ref="A4807:D4807"/>
    <mergeCell ref="A4808:B4808"/>
    <mergeCell ref="C4808:D4808"/>
    <mergeCell ref="C4809:D4809"/>
    <mergeCell ref="A4811:B4811"/>
    <mergeCell ref="C4811:D4811"/>
    <mergeCell ref="A4812:B4812"/>
    <mergeCell ref="C4812:D4812"/>
    <mergeCell ref="A4813:B4813"/>
    <mergeCell ref="C4813:D4813"/>
    <mergeCell ref="A4814:B4814"/>
    <mergeCell ref="C4814:D4814"/>
    <mergeCell ref="A4815:B4815"/>
    <mergeCell ref="C4815:D4815"/>
    <mergeCell ref="A4816:B4816"/>
    <mergeCell ref="C4816:D4816"/>
    <mergeCell ref="A4817:D4817"/>
    <mergeCell ref="A4834:D4834"/>
    <mergeCell ref="A4835:B4835"/>
    <mergeCell ref="C4835:D4835"/>
    <mergeCell ref="C4836:D4836"/>
    <mergeCell ref="A4838:B4838"/>
    <mergeCell ref="C4838:D4838"/>
    <mergeCell ref="A4839:B4839"/>
    <mergeCell ref="C4839:D4839"/>
    <mergeCell ref="A4840:B4840"/>
    <mergeCell ref="C4840:D4840"/>
    <mergeCell ref="A4841:B4841"/>
    <mergeCell ref="C4841:D4841"/>
    <mergeCell ref="A4842:B4842"/>
    <mergeCell ref="C4842:D4842"/>
    <mergeCell ref="A4843:B4843"/>
    <mergeCell ref="C4843:D4843"/>
    <mergeCell ref="A4844:D4844"/>
    <mergeCell ref="A4865:B4865"/>
    <mergeCell ref="C4865:D4865"/>
    <mergeCell ref="A4866:B4866"/>
    <mergeCell ref="C4866:D4866"/>
    <mergeCell ref="A4867:B4867"/>
    <mergeCell ref="C4867:D4867"/>
    <mergeCell ref="A4868:B4868"/>
    <mergeCell ref="C4868:D4868"/>
    <mergeCell ref="A4869:B4869"/>
    <mergeCell ref="C4869:D4869"/>
    <mergeCell ref="A4870:B4870"/>
    <mergeCell ref="C4870:D4870"/>
    <mergeCell ref="A4871:D4871"/>
    <mergeCell ref="A4872:D4872"/>
    <mergeCell ref="A4873:D4873"/>
    <mergeCell ref="A4874:D4874"/>
    <mergeCell ref="A4875:D4875"/>
    <mergeCell ref="A4853:B4853"/>
    <mergeCell ref="C4853:D4853"/>
    <mergeCell ref="A4854:B4854"/>
    <mergeCell ref="C4854:D4854"/>
    <mergeCell ref="A4855:B4855"/>
    <mergeCell ref="C4855:D4855"/>
    <mergeCell ref="A4856:B4856"/>
    <mergeCell ref="C4856:D4856"/>
    <mergeCell ref="A4857:B4857"/>
    <mergeCell ref="C4857:D4857"/>
    <mergeCell ref="A4858:D4858"/>
    <mergeCell ref="A4859:D4859"/>
    <mergeCell ref="A4860:D4860"/>
    <mergeCell ref="A4861:D4861"/>
    <mergeCell ref="A4862:B4862"/>
    <mergeCell ref="C4862:D4862"/>
    <mergeCell ref="C4863:D4863"/>
    <mergeCell ref="A4887:D4887"/>
    <mergeCell ref="A4888:D4888"/>
    <mergeCell ref="A4889:B4889"/>
    <mergeCell ref="C4889:D4889"/>
    <mergeCell ref="C4890:D4890"/>
    <mergeCell ref="A4892:B4892"/>
    <mergeCell ref="C4892:D4892"/>
    <mergeCell ref="A4893:B4893"/>
    <mergeCell ref="C4893:D4893"/>
    <mergeCell ref="A4894:B4894"/>
    <mergeCell ref="C4894:D4894"/>
    <mergeCell ref="A4895:B4895"/>
    <mergeCell ref="C4895:D4895"/>
    <mergeCell ref="A4896:B4896"/>
    <mergeCell ref="C4896:D4896"/>
    <mergeCell ref="A4897:B4897"/>
    <mergeCell ref="C4897:D4897"/>
    <mergeCell ref="A4876:B4876"/>
    <mergeCell ref="C4876:D4876"/>
    <mergeCell ref="C4877:D4877"/>
    <mergeCell ref="A4879:B4879"/>
    <mergeCell ref="C4879:D4879"/>
    <mergeCell ref="A4880:B4880"/>
    <mergeCell ref="C4880:D4880"/>
    <mergeCell ref="A4881:B4881"/>
    <mergeCell ref="C4881:D4881"/>
    <mergeCell ref="A4882:B4882"/>
    <mergeCell ref="C4882:D4882"/>
    <mergeCell ref="A4883:B4883"/>
    <mergeCell ref="C4883:D4883"/>
    <mergeCell ref="A4884:B4884"/>
    <mergeCell ref="C4884:D4884"/>
    <mergeCell ref="A4885:D4885"/>
    <mergeCell ref="A4886:D4886"/>
    <mergeCell ref="A4911:B4911"/>
    <mergeCell ref="C4911:D4911"/>
    <mergeCell ref="A4912:D4912"/>
    <mergeCell ref="A4913:D4913"/>
    <mergeCell ref="A4914:D4914"/>
    <mergeCell ref="A4915:D4915"/>
    <mergeCell ref="A4916:B4916"/>
    <mergeCell ref="C4916:D4916"/>
    <mergeCell ref="C4917:D4917"/>
    <mergeCell ref="A4919:B4919"/>
    <mergeCell ref="C4919:D4919"/>
    <mergeCell ref="A4920:B4920"/>
    <mergeCell ref="C4920:D4920"/>
    <mergeCell ref="A4921:B4921"/>
    <mergeCell ref="C4921:D4921"/>
    <mergeCell ref="A4922:B4922"/>
    <mergeCell ref="C4922:D4922"/>
    <mergeCell ref="A4898:D4898"/>
    <mergeCell ref="A4899:D4899"/>
    <mergeCell ref="A4900:D4900"/>
    <mergeCell ref="A4901:D4901"/>
    <mergeCell ref="A4902:D4902"/>
    <mergeCell ref="A4903:B4903"/>
    <mergeCell ref="C4903:D4903"/>
    <mergeCell ref="C4904:D4904"/>
    <mergeCell ref="A4906:B4906"/>
    <mergeCell ref="C4906:D4906"/>
    <mergeCell ref="A4907:B4907"/>
    <mergeCell ref="C4907:D4907"/>
    <mergeCell ref="A4908:B4908"/>
    <mergeCell ref="C4908:D4908"/>
    <mergeCell ref="A4909:B4909"/>
    <mergeCell ref="C4909:D4909"/>
    <mergeCell ref="A4910:B4910"/>
    <mergeCell ref="C4910:D4910"/>
    <mergeCell ref="A4936:B4936"/>
    <mergeCell ref="C4936:D4936"/>
    <mergeCell ref="A4937:B4937"/>
    <mergeCell ref="C4937:D4937"/>
    <mergeCell ref="A4938:B4938"/>
    <mergeCell ref="C4938:D4938"/>
    <mergeCell ref="A4939:D4939"/>
    <mergeCell ref="A4940:D4940"/>
    <mergeCell ref="A4941:D4941"/>
    <mergeCell ref="A4942:D4942"/>
    <mergeCell ref="A4943:B4943"/>
    <mergeCell ref="C4943:D4943"/>
    <mergeCell ref="C4944:D4944"/>
    <mergeCell ref="A4946:B4946"/>
    <mergeCell ref="C4946:D4946"/>
    <mergeCell ref="A4947:B4947"/>
    <mergeCell ref="C4947:D4947"/>
    <mergeCell ref="A4923:B4923"/>
    <mergeCell ref="C4923:D4923"/>
    <mergeCell ref="A4924:B4924"/>
    <mergeCell ref="C4924:D4924"/>
    <mergeCell ref="A4925:D4925"/>
    <mergeCell ref="A4926:D4926"/>
    <mergeCell ref="A4927:D4927"/>
    <mergeCell ref="A4928:D4928"/>
    <mergeCell ref="A4929:D4929"/>
    <mergeCell ref="A4930:B4930"/>
    <mergeCell ref="C4930:D4930"/>
    <mergeCell ref="C4931:D4931"/>
    <mergeCell ref="A4933:B4933"/>
    <mergeCell ref="C4933:D4933"/>
    <mergeCell ref="A4934:B4934"/>
    <mergeCell ref="C4934:D4934"/>
    <mergeCell ref="A4935:B4935"/>
    <mergeCell ref="C4935:D4935"/>
    <mergeCell ref="A4961:B4961"/>
    <mergeCell ref="C4961:D4961"/>
    <mergeCell ref="A4962:B4962"/>
    <mergeCell ref="C4962:D4962"/>
    <mergeCell ref="A4963:B4963"/>
    <mergeCell ref="C4963:D4963"/>
    <mergeCell ref="A4964:B4964"/>
    <mergeCell ref="C4964:D4964"/>
    <mergeCell ref="A4965:B4965"/>
    <mergeCell ref="C4965:D4965"/>
    <mergeCell ref="A4966:D4966"/>
    <mergeCell ref="A4967:D4967"/>
    <mergeCell ref="A4968:D4968"/>
    <mergeCell ref="A4969:D4969"/>
    <mergeCell ref="A4970:B4970"/>
    <mergeCell ref="C4970:D4970"/>
    <mergeCell ref="C4971:D4971"/>
    <mergeCell ref="A4948:B4948"/>
    <mergeCell ref="C4948:D4948"/>
    <mergeCell ref="A4949:B4949"/>
    <mergeCell ref="C4949:D4949"/>
    <mergeCell ref="A4950:B4950"/>
    <mergeCell ref="C4950:D4950"/>
    <mergeCell ref="A4951:B4951"/>
    <mergeCell ref="C4951:D4951"/>
    <mergeCell ref="A4952:D4952"/>
    <mergeCell ref="A4953:D4953"/>
    <mergeCell ref="A4954:D4954"/>
    <mergeCell ref="A4955:D4955"/>
    <mergeCell ref="A4956:D4956"/>
    <mergeCell ref="A4957:B4957"/>
    <mergeCell ref="C4957:D4957"/>
    <mergeCell ref="C4958:D4958"/>
    <mergeCell ref="A4960:B4960"/>
    <mergeCell ref="C4960:D4960"/>
    <mergeCell ref="A4984:B4984"/>
    <mergeCell ref="C4984:D4984"/>
    <mergeCell ref="C4985:D4985"/>
    <mergeCell ref="A4987:B4987"/>
    <mergeCell ref="C4987:D4987"/>
    <mergeCell ref="A4988:B4988"/>
    <mergeCell ref="C4988:D4988"/>
    <mergeCell ref="A4989:B4989"/>
    <mergeCell ref="C4989:D4989"/>
    <mergeCell ref="A4990:B4990"/>
    <mergeCell ref="C4990:D4990"/>
    <mergeCell ref="A4991:B4991"/>
    <mergeCell ref="C4991:D4991"/>
    <mergeCell ref="A4992:B4992"/>
    <mergeCell ref="C4992:D4992"/>
    <mergeCell ref="A4993:D4993"/>
    <mergeCell ref="A4994:D4994"/>
    <mergeCell ref="A4973:B4973"/>
    <mergeCell ref="C4973:D4973"/>
    <mergeCell ref="A4974:B4974"/>
    <mergeCell ref="C4974:D4974"/>
    <mergeCell ref="A4975:B4975"/>
    <mergeCell ref="C4975:D4975"/>
    <mergeCell ref="A4976:B4976"/>
    <mergeCell ref="C4976:D4976"/>
    <mergeCell ref="A4977:B4977"/>
    <mergeCell ref="C4977:D4977"/>
    <mergeCell ref="A4978:B4978"/>
    <mergeCell ref="C4978:D4978"/>
    <mergeCell ref="A4979:D4979"/>
    <mergeCell ref="A4980:D4980"/>
    <mergeCell ref="A4981:D4981"/>
    <mergeCell ref="A4982:D4982"/>
    <mergeCell ref="A4983:D4983"/>
    <mergeCell ref="A5006:D5006"/>
    <mergeCell ref="A5007:D5007"/>
    <mergeCell ref="A5008:D5008"/>
    <mergeCell ref="A5009:D5009"/>
    <mergeCell ref="A5010:D5010"/>
    <mergeCell ref="A5011:B5011"/>
    <mergeCell ref="C5011:D5011"/>
    <mergeCell ref="C5012:D5012"/>
    <mergeCell ref="A5014:B5014"/>
    <mergeCell ref="C5014:D5014"/>
    <mergeCell ref="A5015:B5015"/>
    <mergeCell ref="C5015:D5015"/>
    <mergeCell ref="A5016:B5016"/>
    <mergeCell ref="C5016:D5016"/>
    <mergeCell ref="A5017:B5017"/>
    <mergeCell ref="C5017:D5017"/>
    <mergeCell ref="A5018:B5018"/>
    <mergeCell ref="C5018:D5018"/>
    <mergeCell ref="A4995:D4995"/>
    <mergeCell ref="A4996:D4996"/>
    <mergeCell ref="A4997:B4997"/>
    <mergeCell ref="C4997:D4997"/>
    <mergeCell ref="C4998:D4998"/>
    <mergeCell ref="A5000:B5000"/>
    <mergeCell ref="C5000:D5000"/>
    <mergeCell ref="A5001:B5001"/>
    <mergeCell ref="C5001:D5001"/>
    <mergeCell ref="A5002:B5002"/>
    <mergeCell ref="C5002:D5002"/>
    <mergeCell ref="A5003:B5003"/>
    <mergeCell ref="C5003:D5003"/>
    <mergeCell ref="A5004:B5004"/>
    <mergeCell ref="C5004:D5004"/>
    <mergeCell ref="A5005:B5005"/>
    <mergeCell ref="C5005:D5005"/>
    <mergeCell ref="A5031:B5031"/>
    <mergeCell ref="C5031:D5031"/>
    <mergeCell ref="A5032:B5032"/>
    <mergeCell ref="C5032:D5032"/>
    <mergeCell ref="A5033:D5033"/>
    <mergeCell ref="A5034:D5034"/>
    <mergeCell ref="A5035:D5035"/>
    <mergeCell ref="A5036:D5036"/>
    <mergeCell ref="A5037:D5037"/>
    <mergeCell ref="A5038:B5038"/>
    <mergeCell ref="C5038:D5038"/>
    <mergeCell ref="C5039:D5039"/>
    <mergeCell ref="A5041:B5041"/>
    <mergeCell ref="C5041:D5041"/>
    <mergeCell ref="A5042:B5042"/>
    <mergeCell ref="C5042:D5042"/>
    <mergeCell ref="A5043:B5043"/>
    <mergeCell ref="C5043:D5043"/>
    <mergeCell ref="A5019:B5019"/>
    <mergeCell ref="C5019:D5019"/>
    <mergeCell ref="A5020:D5020"/>
    <mergeCell ref="A5021:D5021"/>
    <mergeCell ref="A5022:D5022"/>
    <mergeCell ref="A5023:D5023"/>
    <mergeCell ref="A5024:B5024"/>
    <mergeCell ref="C5024:D5024"/>
    <mergeCell ref="C5025:D5025"/>
    <mergeCell ref="A5027:B5027"/>
    <mergeCell ref="C5027:D5027"/>
    <mergeCell ref="A5028:B5028"/>
    <mergeCell ref="C5028:D5028"/>
    <mergeCell ref="A5029:B5029"/>
    <mergeCell ref="C5029:D5029"/>
    <mergeCell ref="A5030:B5030"/>
    <mergeCell ref="C5030:D5030"/>
    <mergeCell ref="A5056:B5056"/>
    <mergeCell ref="C5056:D5056"/>
    <mergeCell ref="A5057:B5057"/>
    <mergeCell ref="C5057:D5057"/>
    <mergeCell ref="A5058:B5058"/>
    <mergeCell ref="C5058:D5058"/>
    <mergeCell ref="A5059:B5059"/>
    <mergeCell ref="C5059:D5059"/>
    <mergeCell ref="A5060:D5060"/>
    <mergeCell ref="A5061:D5061"/>
    <mergeCell ref="A5062:D5062"/>
    <mergeCell ref="A5063:D5063"/>
    <mergeCell ref="A5064:D5064"/>
    <mergeCell ref="A5065:B5065"/>
    <mergeCell ref="C5065:D5065"/>
    <mergeCell ref="C5066:D5066"/>
    <mergeCell ref="A5068:B5068"/>
    <mergeCell ref="C5068:D5068"/>
    <mergeCell ref="A5044:B5044"/>
    <mergeCell ref="C5044:D5044"/>
    <mergeCell ref="A5045:B5045"/>
    <mergeCell ref="C5045:D5045"/>
    <mergeCell ref="A5046:B5046"/>
    <mergeCell ref="C5046:D5046"/>
    <mergeCell ref="A5047:D5047"/>
    <mergeCell ref="A5048:D5048"/>
    <mergeCell ref="A5049:D5049"/>
    <mergeCell ref="A5050:D5050"/>
    <mergeCell ref="A5051:B5051"/>
    <mergeCell ref="C5051:D5051"/>
    <mergeCell ref="C5052:D5052"/>
    <mergeCell ref="A5054:B5054"/>
    <mergeCell ref="C5054:D5054"/>
    <mergeCell ref="A5055:B5055"/>
    <mergeCell ref="C5055:D5055"/>
    <mergeCell ref="A5081:B5081"/>
    <mergeCell ref="C5081:D5081"/>
    <mergeCell ref="A5082:B5082"/>
    <mergeCell ref="C5082:D5082"/>
    <mergeCell ref="A5083:B5083"/>
    <mergeCell ref="C5083:D5083"/>
    <mergeCell ref="A5084:B5084"/>
    <mergeCell ref="C5084:D5084"/>
    <mergeCell ref="A5085:B5085"/>
    <mergeCell ref="C5085:D5085"/>
    <mergeCell ref="A5086:B5086"/>
    <mergeCell ref="C5086:D5086"/>
    <mergeCell ref="A5087:D5087"/>
    <mergeCell ref="A5088:D5088"/>
    <mergeCell ref="A5089:D5089"/>
    <mergeCell ref="A5090:D5090"/>
    <mergeCell ref="A5091:D5091"/>
    <mergeCell ref="A5069:B5069"/>
    <mergeCell ref="C5069:D5069"/>
    <mergeCell ref="A5070:B5070"/>
    <mergeCell ref="C5070:D5070"/>
    <mergeCell ref="A5071:B5071"/>
    <mergeCell ref="C5071:D5071"/>
    <mergeCell ref="A5072:B5072"/>
    <mergeCell ref="C5072:D5072"/>
    <mergeCell ref="A5073:B5073"/>
    <mergeCell ref="C5073:D5073"/>
    <mergeCell ref="A5074:D5074"/>
    <mergeCell ref="A5075:D5075"/>
    <mergeCell ref="A5076:D5076"/>
    <mergeCell ref="A5077:D5077"/>
    <mergeCell ref="A5078:B5078"/>
    <mergeCell ref="C5078:D5078"/>
    <mergeCell ref="C5079:D5079"/>
    <mergeCell ref="A5103:D5103"/>
    <mergeCell ref="A5104:D5104"/>
    <mergeCell ref="A5105:B5105"/>
    <mergeCell ref="C5105:D5105"/>
    <mergeCell ref="C5106:D5106"/>
    <mergeCell ref="A5108:B5108"/>
    <mergeCell ref="C5108:D5108"/>
    <mergeCell ref="A5109:B5109"/>
    <mergeCell ref="C5109:D5109"/>
    <mergeCell ref="A5110:B5110"/>
    <mergeCell ref="C5110:D5110"/>
    <mergeCell ref="A5111:B5111"/>
    <mergeCell ref="C5111:D5111"/>
    <mergeCell ref="A5112:B5112"/>
    <mergeCell ref="C5112:D5112"/>
    <mergeCell ref="A5113:B5113"/>
    <mergeCell ref="C5113:D5113"/>
    <mergeCell ref="A5092:B5092"/>
    <mergeCell ref="C5092:D5092"/>
    <mergeCell ref="C5093:D5093"/>
    <mergeCell ref="A5095:B5095"/>
    <mergeCell ref="C5095:D5095"/>
    <mergeCell ref="A5096:B5096"/>
    <mergeCell ref="C5096:D5096"/>
    <mergeCell ref="A5097:B5097"/>
    <mergeCell ref="C5097:D5097"/>
    <mergeCell ref="A5098:B5098"/>
    <mergeCell ref="C5098:D5098"/>
    <mergeCell ref="A5099:B5099"/>
    <mergeCell ref="C5099:D5099"/>
    <mergeCell ref="A5100:B5100"/>
    <mergeCell ref="C5100:D5100"/>
    <mergeCell ref="A5101:D5101"/>
    <mergeCell ref="A5102:D5102"/>
    <mergeCell ref="A5127:B5127"/>
    <mergeCell ref="C5127:D5127"/>
    <mergeCell ref="A5128:D5128"/>
    <mergeCell ref="A5129:D5129"/>
    <mergeCell ref="A5130:D5130"/>
    <mergeCell ref="A5131:D5131"/>
    <mergeCell ref="A5132:B5132"/>
    <mergeCell ref="C5132:D5132"/>
    <mergeCell ref="C5133:D5133"/>
    <mergeCell ref="A5135:B5135"/>
    <mergeCell ref="C5135:D5135"/>
    <mergeCell ref="A5136:B5136"/>
    <mergeCell ref="C5136:D5136"/>
    <mergeCell ref="A5137:B5137"/>
    <mergeCell ref="C5137:D5137"/>
    <mergeCell ref="A5138:B5138"/>
    <mergeCell ref="C5138:D5138"/>
    <mergeCell ref="A5114:D5114"/>
    <mergeCell ref="A5115:D5115"/>
    <mergeCell ref="A5116:D5116"/>
    <mergeCell ref="A5117:D5117"/>
    <mergeCell ref="A5118:D5118"/>
    <mergeCell ref="A5119:B5119"/>
    <mergeCell ref="C5119:D5119"/>
    <mergeCell ref="C5120:D5120"/>
    <mergeCell ref="A5122:B5122"/>
    <mergeCell ref="C5122:D5122"/>
    <mergeCell ref="A5123:B5123"/>
    <mergeCell ref="C5123:D5123"/>
    <mergeCell ref="A5124:B5124"/>
    <mergeCell ref="C5124:D5124"/>
    <mergeCell ref="A5125:B5125"/>
    <mergeCell ref="C5125:D5125"/>
    <mergeCell ref="A5126:B5126"/>
    <mergeCell ref="C5126:D5126"/>
    <mergeCell ref="A5152:B5152"/>
    <mergeCell ref="C5152:D5152"/>
    <mergeCell ref="A5153:B5153"/>
    <mergeCell ref="C5153:D5153"/>
    <mergeCell ref="A5154:B5154"/>
    <mergeCell ref="C5154:D5154"/>
    <mergeCell ref="A5155:D5155"/>
    <mergeCell ref="A5156:D5156"/>
    <mergeCell ref="A5157:D5157"/>
    <mergeCell ref="A5158:D5158"/>
    <mergeCell ref="A5159:B5159"/>
    <mergeCell ref="C5159:D5159"/>
    <mergeCell ref="C5160:D5160"/>
    <mergeCell ref="A5162:B5162"/>
    <mergeCell ref="C5162:D5162"/>
    <mergeCell ref="A5163:B5163"/>
    <mergeCell ref="C5163:D5163"/>
    <mergeCell ref="A5139:B5139"/>
    <mergeCell ref="C5139:D5139"/>
    <mergeCell ref="A5140:B5140"/>
    <mergeCell ref="C5140:D5140"/>
    <mergeCell ref="A5141:D5141"/>
    <mergeCell ref="A5142:D5142"/>
    <mergeCell ref="A5143:D5143"/>
    <mergeCell ref="A5144:D5144"/>
    <mergeCell ref="A5145:D5145"/>
    <mergeCell ref="A5146:B5146"/>
    <mergeCell ref="C5146:D5146"/>
    <mergeCell ref="C5147:D5147"/>
    <mergeCell ref="A5149:B5149"/>
    <mergeCell ref="C5149:D5149"/>
    <mergeCell ref="A5150:B5150"/>
    <mergeCell ref="C5150:D5150"/>
    <mergeCell ref="A5151:B5151"/>
    <mergeCell ref="C5151:D5151"/>
    <mergeCell ref="A5177:B5177"/>
    <mergeCell ref="C5177:D5177"/>
    <mergeCell ref="A5178:B5178"/>
    <mergeCell ref="C5178:D5178"/>
    <mergeCell ref="A5179:B5179"/>
    <mergeCell ref="C5179:D5179"/>
    <mergeCell ref="A5180:B5180"/>
    <mergeCell ref="C5180:D5180"/>
    <mergeCell ref="A5181:B5181"/>
    <mergeCell ref="C5181:D5181"/>
    <mergeCell ref="A5182:D5182"/>
    <mergeCell ref="A5183:D5183"/>
    <mergeCell ref="A5184:D5184"/>
    <mergeCell ref="A5185:D5185"/>
    <mergeCell ref="A5186:B5186"/>
    <mergeCell ref="C5186:D5186"/>
    <mergeCell ref="C5187:D5187"/>
    <mergeCell ref="A5164:B5164"/>
    <mergeCell ref="C5164:D5164"/>
    <mergeCell ref="A5165:B5165"/>
    <mergeCell ref="C5165:D5165"/>
    <mergeCell ref="A5166:B5166"/>
    <mergeCell ref="C5166:D5166"/>
    <mergeCell ref="A5167:B5167"/>
    <mergeCell ref="C5167:D5167"/>
    <mergeCell ref="A5168:D5168"/>
    <mergeCell ref="A5169:D5169"/>
    <mergeCell ref="A5170:D5170"/>
    <mergeCell ref="A5171:D5171"/>
    <mergeCell ref="A5172:D5172"/>
    <mergeCell ref="A5173:B5173"/>
    <mergeCell ref="C5173:D5173"/>
    <mergeCell ref="C5174:D5174"/>
    <mergeCell ref="A5176:B5176"/>
    <mergeCell ref="C5176:D5176"/>
    <mergeCell ref="A5200:B5200"/>
    <mergeCell ref="C5200:D5200"/>
    <mergeCell ref="C5201:D5201"/>
    <mergeCell ref="A5203:B5203"/>
    <mergeCell ref="C5203:D5203"/>
    <mergeCell ref="A5204:B5204"/>
    <mergeCell ref="C5204:D5204"/>
    <mergeCell ref="A5205:B5205"/>
    <mergeCell ref="C5205:D5205"/>
    <mergeCell ref="A5206:B5206"/>
    <mergeCell ref="C5206:D5206"/>
    <mergeCell ref="A5207:B5207"/>
    <mergeCell ref="C5207:D5207"/>
    <mergeCell ref="A5208:B5208"/>
    <mergeCell ref="C5208:D5208"/>
    <mergeCell ref="A5209:D5209"/>
    <mergeCell ref="A5210:D5210"/>
    <mergeCell ref="A5189:B5189"/>
    <mergeCell ref="C5189:D5189"/>
    <mergeCell ref="A5190:B5190"/>
    <mergeCell ref="C5190:D5190"/>
    <mergeCell ref="A5191:B5191"/>
    <mergeCell ref="C5191:D5191"/>
    <mergeCell ref="A5192:B5192"/>
    <mergeCell ref="C5192:D5192"/>
    <mergeCell ref="A5193:B5193"/>
    <mergeCell ref="C5193:D5193"/>
    <mergeCell ref="A5194:B5194"/>
    <mergeCell ref="C5194:D5194"/>
    <mergeCell ref="A5195:D5195"/>
    <mergeCell ref="A5196:D5196"/>
    <mergeCell ref="A5197:D5197"/>
    <mergeCell ref="A5198:D5198"/>
    <mergeCell ref="A5199:D5199"/>
    <mergeCell ref="A5222:D5222"/>
    <mergeCell ref="A5223:D5223"/>
    <mergeCell ref="A5224:D5224"/>
    <mergeCell ref="A5225:D5225"/>
    <mergeCell ref="A5226:D5226"/>
    <mergeCell ref="A5227:B5227"/>
    <mergeCell ref="C5227:D5227"/>
    <mergeCell ref="C5228:D5228"/>
    <mergeCell ref="A5230:B5230"/>
    <mergeCell ref="C5230:D5230"/>
    <mergeCell ref="A5231:B5231"/>
    <mergeCell ref="C5231:D5231"/>
    <mergeCell ref="A5232:B5232"/>
    <mergeCell ref="C5232:D5232"/>
    <mergeCell ref="A5233:B5233"/>
    <mergeCell ref="C5233:D5233"/>
    <mergeCell ref="A5234:B5234"/>
    <mergeCell ref="C5234:D5234"/>
    <mergeCell ref="A5211:D5211"/>
    <mergeCell ref="A5212:D5212"/>
    <mergeCell ref="A5213:B5213"/>
    <mergeCell ref="C5213:D5213"/>
    <mergeCell ref="C5214:D5214"/>
    <mergeCell ref="A5216:B5216"/>
    <mergeCell ref="C5216:D5216"/>
    <mergeCell ref="A5217:B5217"/>
    <mergeCell ref="C5217:D5217"/>
    <mergeCell ref="A5218:B5218"/>
    <mergeCell ref="C5218:D5218"/>
    <mergeCell ref="A5219:B5219"/>
    <mergeCell ref="C5219:D5219"/>
    <mergeCell ref="A5220:B5220"/>
    <mergeCell ref="C5220:D5220"/>
    <mergeCell ref="A5221:B5221"/>
    <mergeCell ref="C5221:D5221"/>
    <mergeCell ref="A5247:B5247"/>
    <mergeCell ref="C5247:D5247"/>
    <mergeCell ref="A5248:B5248"/>
    <mergeCell ref="C5248:D5248"/>
    <mergeCell ref="A5249:D5249"/>
    <mergeCell ref="A5250:D5250"/>
    <mergeCell ref="A5251:D5251"/>
    <mergeCell ref="A5252:D5252"/>
    <mergeCell ref="A5253:D5253"/>
    <mergeCell ref="A5254:B5254"/>
    <mergeCell ref="C5254:D5254"/>
    <mergeCell ref="C5255:D5255"/>
    <mergeCell ref="A5257:B5257"/>
    <mergeCell ref="C5257:D5257"/>
    <mergeCell ref="A5258:B5258"/>
    <mergeCell ref="C5258:D5258"/>
    <mergeCell ref="A5259:B5259"/>
    <mergeCell ref="C5259:D5259"/>
    <mergeCell ref="A5235:B5235"/>
    <mergeCell ref="C5235:D5235"/>
    <mergeCell ref="A5236:D5236"/>
    <mergeCell ref="A5237:D5237"/>
    <mergeCell ref="A5238:D5238"/>
    <mergeCell ref="A5239:D5239"/>
    <mergeCell ref="A5240:B5240"/>
    <mergeCell ref="C5240:D5240"/>
    <mergeCell ref="C5241:D5241"/>
    <mergeCell ref="A5243:B5243"/>
    <mergeCell ref="C5243:D5243"/>
    <mergeCell ref="A5244:B5244"/>
    <mergeCell ref="C5244:D5244"/>
    <mergeCell ref="A5245:B5245"/>
    <mergeCell ref="C5245:D5245"/>
    <mergeCell ref="A5246:B5246"/>
    <mergeCell ref="C5246:D5246"/>
    <mergeCell ref="A5272:B5272"/>
    <mergeCell ref="C5272:D5272"/>
    <mergeCell ref="A5273:B5273"/>
    <mergeCell ref="C5273:D5273"/>
    <mergeCell ref="A5274:B5274"/>
    <mergeCell ref="C5274:D5274"/>
    <mergeCell ref="A5275:B5275"/>
    <mergeCell ref="C5275:D5275"/>
    <mergeCell ref="A5276:D5276"/>
    <mergeCell ref="A5277:D5277"/>
    <mergeCell ref="A5278:D5278"/>
    <mergeCell ref="A5279:D5279"/>
    <mergeCell ref="A5280:D5280"/>
    <mergeCell ref="A5281:B5281"/>
    <mergeCell ref="C5281:D5281"/>
    <mergeCell ref="C5282:D5282"/>
    <mergeCell ref="A5284:B5284"/>
    <mergeCell ref="C5284:D5284"/>
    <mergeCell ref="A5260:B5260"/>
    <mergeCell ref="C5260:D5260"/>
    <mergeCell ref="A5261:B5261"/>
    <mergeCell ref="C5261:D5261"/>
    <mergeCell ref="A5262:B5262"/>
    <mergeCell ref="C5262:D5262"/>
    <mergeCell ref="A5263:D5263"/>
    <mergeCell ref="A5264:D5264"/>
    <mergeCell ref="A5265:D5265"/>
    <mergeCell ref="A5266:D5266"/>
    <mergeCell ref="A5267:B5267"/>
    <mergeCell ref="C5267:D5267"/>
    <mergeCell ref="C5268:D5268"/>
    <mergeCell ref="A5270:B5270"/>
    <mergeCell ref="C5270:D5270"/>
    <mergeCell ref="A5271:B5271"/>
    <mergeCell ref="C5271:D5271"/>
    <mergeCell ref="A5297:B5297"/>
    <mergeCell ref="C5297:D5297"/>
    <mergeCell ref="A5298:B5298"/>
    <mergeCell ref="C5298:D5298"/>
    <mergeCell ref="A5299:B5299"/>
    <mergeCell ref="C5299:D5299"/>
    <mergeCell ref="A5300:B5300"/>
    <mergeCell ref="C5300:D5300"/>
    <mergeCell ref="A5301:B5301"/>
    <mergeCell ref="C5301:D5301"/>
    <mergeCell ref="A5302:B5302"/>
    <mergeCell ref="C5302:D5302"/>
    <mergeCell ref="A5303:D5303"/>
    <mergeCell ref="A5304:D5304"/>
    <mergeCell ref="A5305:D5305"/>
    <mergeCell ref="A5306:D5306"/>
    <mergeCell ref="A5307:D5307"/>
    <mergeCell ref="A5285:B5285"/>
    <mergeCell ref="C5285:D5285"/>
    <mergeCell ref="A5286:B5286"/>
    <mergeCell ref="C5286:D5286"/>
    <mergeCell ref="A5287:B5287"/>
    <mergeCell ref="C5287:D5287"/>
    <mergeCell ref="A5288:B5288"/>
    <mergeCell ref="C5288:D5288"/>
    <mergeCell ref="A5289:B5289"/>
    <mergeCell ref="C5289:D5289"/>
    <mergeCell ref="A5290:D5290"/>
    <mergeCell ref="A5291:D5291"/>
    <mergeCell ref="A5292:D5292"/>
    <mergeCell ref="A5293:D5293"/>
    <mergeCell ref="A5294:B5294"/>
    <mergeCell ref="C5294:D5294"/>
    <mergeCell ref="C5295:D5295"/>
    <mergeCell ref="A5319:D5319"/>
    <mergeCell ref="A5320:D5320"/>
    <mergeCell ref="A5321:B5321"/>
    <mergeCell ref="C5321:D5321"/>
    <mergeCell ref="C5322:D5322"/>
    <mergeCell ref="A5324:B5324"/>
    <mergeCell ref="C5324:D5324"/>
    <mergeCell ref="A5325:B5325"/>
    <mergeCell ref="C5325:D5325"/>
    <mergeCell ref="A5326:B5326"/>
    <mergeCell ref="C5326:D5326"/>
    <mergeCell ref="A5327:B5327"/>
    <mergeCell ref="C5327:D5327"/>
    <mergeCell ref="A5328:B5328"/>
    <mergeCell ref="C5328:D5328"/>
    <mergeCell ref="A5329:B5329"/>
    <mergeCell ref="C5329:D5329"/>
    <mergeCell ref="A5308:B5308"/>
    <mergeCell ref="C5308:D5308"/>
    <mergeCell ref="C5309:D5309"/>
    <mergeCell ref="A5311:B5311"/>
    <mergeCell ref="C5311:D5311"/>
    <mergeCell ref="A5312:B5312"/>
    <mergeCell ref="C5312:D5312"/>
    <mergeCell ref="A5313:B5313"/>
    <mergeCell ref="C5313:D5313"/>
    <mergeCell ref="A5314:B5314"/>
    <mergeCell ref="C5314:D5314"/>
    <mergeCell ref="A5315:B5315"/>
    <mergeCell ref="C5315:D5315"/>
    <mergeCell ref="A5316:B5316"/>
    <mergeCell ref="C5316:D5316"/>
    <mergeCell ref="A5317:D5317"/>
    <mergeCell ref="A5318:D5318"/>
    <mergeCell ref="A5343:B5343"/>
    <mergeCell ref="C5343:D5343"/>
    <mergeCell ref="A5344:D5344"/>
    <mergeCell ref="A5345:D5345"/>
    <mergeCell ref="A5346:D5346"/>
    <mergeCell ref="A5347:D5347"/>
    <mergeCell ref="A5348:B5348"/>
    <mergeCell ref="C5348:D5348"/>
    <mergeCell ref="C5349:D5349"/>
    <mergeCell ref="A5351:B5351"/>
    <mergeCell ref="C5351:D5351"/>
    <mergeCell ref="A5352:B5352"/>
    <mergeCell ref="C5352:D5352"/>
    <mergeCell ref="A5353:B5353"/>
    <mergeCell ref="C5353:D5353"/>
    <mergeCell ref="A5354:B5354"/>
    <mergeCell ref="C5354:D5354"/>
    <mergeCell ref="A5330:D5330"/>
    <mergeCell ref="A5331:D5331"/>
    <mergeCell ref="A5332:D5332"/>
    <mergeCell ref="A5333:D5333"/>
    <mergeCell ref="A5334:D5334"/>
    <mergeCell ref="A5335:B5335"/>
    <mergeCell ref="C5335:D5335"/>
    <mergeCell ref="C5336:D5336"/>
    <mergeCell ref="A5338:B5338"/>
    <mergeCell ref="C5338:D5338"/>
    <mergeCell ref="A5339:B5339"/>
    <mergeCell ref="C5339:D5339"/>
    <mergeCell ref="A5340:B5340"/>
    <mergeCell ref="C5340:D5340"/>
    <mergeCell ref="A5341:B5341"/>
    <mergeCell ref="C5341:D5341"/>
    <mergeCell ref="A5342:B5342"/>
    <mergeCell ref="C5342:D5342"/>
    <mergeCell ref="A5368:B5368"/>
    <mergeCell ref="C5368:D5368"/>
    <mergeCell ref="A5369:B5369"/>
    <mergeCell ref="C5369:D5369"/>
    <mergeCell ref="A5370:B5370"/>
    <mergeCell ref="C5370:D5370"/>
    <mergeCell ref="A5371:D5371"/>
    <mergeCell ref="A5372:D5372"/>
    <mergeCell ref="A5373:D5373"/>
    <mergeCell ref="A5374:D5374"/>
    <mergeCell ref="A5375:B5375"/>
    <mergeCell ref="C5375:D5375"/>
    <mergeCell ref="C5376:D5376"/>
    <mergeCell ref="A5378:B5378"/>
    <mergeCell ref="C5378:D5378"/>
    <mergeCell ref="A5379:B5379"/>
    <mergeCell ref="C5379:D5379"/>
    <mergeCell ref="A5355:B5355"/>
    <mergeCell ref="C5355:D5355"/>
    <mergeCell ref="A5356:B5356"/>
    <mergeCell ref="C5356:D5356"/>
    <mergeCell ref="A5357:D5357"/>
    <mergeCell ref="A5358:D5358"/>
    <mergeCell ref="A5359:D5359"/>
    <mergeCell ref="A5360:D5360"/>
    <mergeCell ref="A5361:D5361"/>
    <mergeCell ref="A5362:B5362"/>
    <mergeCell ref="C5362:D5362"/>
    <mergeCell ref="C5363:D5363"/>
    <mergeCell ref="A5365:B5365"/>
    <mergeCell ref="C5365:D5365"/>
    <mergeCell ref="A5366:B5366"/>
    <mergeCell ref="C5366:D5366"/>
    <mergeCell ref="A5367:B5367"/>
    <mergeCell ref="C5367:D5367"/>
    <mergeCell ref="A5393:B5393"/>
    <mergeCell ref="C5393:D5393"/>
    <mergeCell ref="A5394:B5394"/>
    <mergeCell ref="C5394:D5394"/>
    <mergeCell ref="A5395:B5395"/>
    <mergeCell ref="C5395:D5395"/>
    <mergeCell ref="A5396:B5396"/>
    <mergeCell ref="C5396:D5396"/>
    <mergeCell ref="A5397:B5397"/>
    <mergeCell ref="C5397:D5397"/>
    <mergeCell ref="A5398:D5398"/>
    <mergeCell ref="A5399:D5399"/>
    <mergeCell ref="A5400:D5400"/>
    <mergeCell ref="A5401:D5401"/>
    <mergeCell ref="A5402:B5402"/>
    <mergeCell ref="C5402:D5402"/>
    <mergeCell ref="C5403:D5403"/>
    <mergeCell ref="A5380:B5380"/>
    <mergeCell ref="C5380:D5380"/>
    <mergeCell ref="A5381:B5381"/>
    <mergeCell ref="C5381:D5381"/>
    <mergeCell ref="A5382:B5382"/>
    <mergeCell ref="C5382:D5382"/>
    <mergeCell ref="A5383:B5383"/>
    <mergeCell ref="C5383:D5383"/>
    <mergeCell ref="A5384:D5384"/>
    <mergeCell ref="A5385:D5385"/>
    <mergeCell ref="A5386:D5386"/>
    <mergeCell ref="A5387:D5387"/>
    <mergeCell ref="A5388:D5388"/>
    <mergeCell ref="A5389:B5389"/>
    <mergeCell ref="C5389:D5389"/>
    <mergeCell ref="C5390:D5390"/>
    <mergeCell ref="A5392:B5392"/>
    <mergeCell ref="C5392:D5392"/>
    <mergeCell ref="A5416:B5416"/>
    <mergeCell ref="C5416:D5416"/>
    <mergeCell ref="C5417:D5417"/>
    <mergeCell ref="A5419:B5419"/>
    <mergeCell ref="C5419:D5419"/>
    <mergeCell ref="A5420:B5420"/>
    <mergeCell ref="C5420:D5420"/>
    <mergeCell ref="A5421:B5421"/>
    <mergeCell ref="C5421:D5421"/>
    <mergeCell ref="A5422:B5422"/>
    <mergeCell ref="C5422:D5422"/>
    <mergeCell ref="A5423:B5423"/>
    <mergeCell ref="C5423:D5423"/>
    <mergeCell ref="A5424:B5424"/>
    <mergeCell ref="C5424:D5424"/>
    <mergeCell ref="A5425:D5425"/>
    <mergeCell ref="A5426:D5426"/>
    <mergeCell ref="A5405:B5405"/>
    <mergeCell ref="C5405:D5405"/>
    <mergeCell ref="A5406:B5406"/>
    <mergeCell ref="C5406:D5406"/>
    <mergeCell ref="A5407:B5407"/>
    <mergeCell ref="C5407:D5407"/>
    <mergeCell ref="A5408:B5408"/>
    <mergeCell ref="C5408:D5408"/>
    <mergeCell ref="A5409:B5409"/>
    <mergeCell ref="C5409:D5409"/>
    <mergeCell ref="A5410:B5410"/>
    <mergeCell ref="C5410:D5410"/>
    <mergeCell ref="A5411:D5411"/>
    <mergeCell ref="A5412:D5412"/>
    <mergeCell ref="A5413:D5413"/>
    <mergeCell ref="A5414:D5414"/>
    <mergeCell ref="A5415:D5415"/>
    <mergeCell ref="A5438:D5438"/>
    <mergeCell ref="A5439:D5439"/>
    <mergeCell ref="A5440:D5440"/>
    <mergeCell ref="A5441:D5441"/>
    <mergeCell ref="A5442:D5442"/>
    <mergeCell ref="A5443:B5443"/>
    <mergeCell ref="C5443:D5443"/>
    <mergeCell ref="C5444:D5444"/>
    <mergeCell ref="A5446:B5446"/>
    <mergeCell ref="C5446:D5446"/>
    <mergeCell ref="A5447:B5447"/>
    <mergeCell ref="C5447:D5447"/>
    <mergeCell ref="A5448:B5448"/>
    <mergeCell ref="C5448:D5448"/>
    <mergeCell ref="A5449:B5449"/>
    <mergeCell ref="C5449:D5449"/>
    <mergeCell ref="A5450:B5450"/>
    <mergeCell ref="C5450:D5450"/>
    <mergeCell ref="A5427:D5427"/>
    <mergeCell ref="A5428:D5428"/>
    <mergeCell ref="A5429:B5429"/>
    <mergeCell ref="C5429:D5429"/>
    <mergeCell ref="C5430:D5430"/>
    <mergeCell ref="A5432:B5432"/>
    <mergeCell ref="C5432:D5432"/>
    <mergeCell ref="A5433:B5433"/>
    <mergeCell ref="C5433:D5433"/>
    <mergeCell ref="A5434:B5434"/>
    <mergeCell ref="C5434:D5434"/>
    <mergeCell ref="A5435:B5435"/>
    <mergeCell ref="C5435:D5435"/>
    <mergeCell ref="A5436:B5436"/>
    <mergeCell ref="C5436:D5436"/>
    <mergeCell ref="A5437:B5437"/>
    <mergeCell ref="C5437:D5437"/>
    <mergeCell ref="A5463:B5463"/>
    <mergeCell ref="C5463:D5463"/>
    <mergeCell ref="A5464:B5464"/>
    <mergeCell ref="C5464:D5464"/>
    <mergeCell ref="A5465:D5465"/>
    <mergeCell ref="A5466:D5466"/>
    <mergeCell ref="A5467:D5467"/>
    <mergeCell ref="A5468:D5468"/>
    <mergeCell ref="A5469:D5469"/>
    <mergeCell ref="A5470:B5470"/>
    <mergeCell ref="C5470:D5470"/>
    <mergeCell ref="C5471:D5471"/>
    <mergeCell ref="A5473:B5473"/>
    <mergeCell ref="C5473:D5473"/>
    <mergeCell ref="A5474:B5474"/>
    <mergeCell ref="C5474:D5474"/>
    <mergeCell ref="A5475:B5475"/>
    <mergeCell ref="C5475:D5475"/>
    <mergeCell ref="A5451:B5451"/>
    <mergeCell ref="C5451:D5451"/>
    <mergeCell ref="A5452:D5452"/>
    <mergeCell ref="A5453:D5453"/>
    <mergeCell ref="A5454:D5454"/>
    <mergeCell ref="A5455:D5455"/>
    <mergeCell ref="A5456:B5456"/>
    <mergeCell ref="C5456:D5456"/>
    <mergeCell ref="C5457:D5457"/>
    <mergeCell ref="A5459:B5459"/>
    <mergeCell ref="C5459:D5459"/>
    <mergeCell ref="A5460:B5460"/>
    <mergeCell ref="C5460:D5460"/>
    <mergeCell ref="A5461:B5461"/>
    <mergeCell ref="C5461:D5461"/>
    <mergeCell ref="A5462:B5462"/>
    <mergeCell ref="C5462:D5462"/>
    <mergeCell ref="A5488:B5488"/>
    <mergeCell ref="C5488:D5488"/>
    <mergeCell ref="A5489:B5489"/>
    <mergeCell ref="C5489:D5489"/>
    <mergeCell ref="A5490:B5490"/>
    <mergeCell ref="C5490:D5490"/>
    <mergeCell ref="A5491:B5491"/>
    <mergeCell ref="C5491:D5491"/>
    <mergeCell ref="A5492:D5492"/>
    <mergeCell ref="A5493:D5493"/>
    <mergeCell ref="A5494:D5494"/>
    <mergeCell ref="A5495:D5495"/>
    <mergeCell ref="A5496:D5496"/>
    <mergeCell ref="A5497:B5497"/>
    <mergeCell ref="C5497:D5497"/>
    <mergeCell ref="C5498:D5498"/>
    <mergeCell ref="A5500:B5500"/>
    <mergeCell ref="C5500:D5500"/>
    <mergeCell ref="A5476:B5476"/>
    <mergeCell ref="C5476:D5476"/>
    <mergeCell ref="A5477:B5477"/>
    <mergeCell ref="C5477:D5477"/>
    <mergeCell ref="A5478:B5478"/>
    <mergeCell ref="C5478:D5478"/>
    <mergeCell ref="A5479:D5479"/>
    <mergeCell ref="A5480:D5480"/>
    <mergeCell ref="A5481:D5481"/>
    <mergeCell ref="A5482:D5482"/>
    <mergeCell ref="A5483:B5483"/>
    <mergeCell ref="C5483:D5483"/>
    <mergeCell ref="C5484:D5484"/>
    <mergeCell ref="A5486:B5486"/>
    <mergeCell ref="C5486:D5486"/>
    <mergeCell ref="A5487:B5487"/>
    <mergeCell ref="C5487:D5487"/>
    <mergeCell ref="A5513:B5513"/>
    <mergeCell ref="C5513:D5513"/>
    <mergeCell ref="A5514:B5514"/>
    <mergeCell ref="C5514:D5514"/>
    <mergeCell ref="A5515:B5515"/>
    <mergeCell ref="C5515:D5515"/>
    <mergeCell ref="A5516:B5516"/>
    <mergeCell ref="C5516:D5516"/>
    <mergeCell ref="A5517:B5517"/>
    <mergeCell ref="C5517:D5517"/>
    <mergeCell ref="A5518:B5518"/>
    <mergeCell ref="C5518:D5518"/>
    <mergeCell ref="A5519:D5519"/>
    <mergeCell ref="A5520:D5520"/>
    <mergeCell ref="A5521:D5521"/>
    <mergeCell ref="A5522:D5522"/>
    <mergeCell ref="A5523:D5523"/>
    <mergeCell ref="A5501:B5501"/>
    <mergeCell ref="C5501:D5501"/>
    <mergeCell ref="A5502:B5502"/>
    <mergeCell ref="C5502:D5502"/>
    <mergeCell ref="A5503:B5503"/>
    <mergeCell ref="C5503:D5503"/>
    <mergeCell ref="A5504:B5504"/>
    <mergeCell ref="C5504:D5504"/>
    <mergeCell ref="A5505:B5505"/>
    <mergeCell ref="C5505:D5505"/>
    <mergeCell ref="A5506:D5506"/>
    <mergeCell ref="A5507:D5507"/>
    <mergeCell ref="A5508:D5508"/>
    <mergeCell ref="A5509:D5509"/>
    <mergeCell ref="A5510:B5510"/>
    <mergeCell ref="C5510:D5510"/>
    <mergeCell ref="C5511:D5511"/>
    <mergeCell ref="A5535:D5535"/>
    <mergeCell ref="A5536:D5536"/>
    <mergeCell ref="A5537:B5537"/>
    <mergeCell ref="C5537:D5537"/>
    <mergeCell ref="C5538:D5538"/>
    <mergeCell ref="A5540:B5540"/>
    <mergeCell ref="C5540:D5540"/>
    <mergeCell ref="A5541:B5541"/>
    <mergeCell ref="C5541:D5541"/>
    <mergeCell ref="A5542:B5542"/>
    <mergeCell ref="C5542:D5542"/>
    <mergeCell ref="A5543:B5543"/>
    <mergeCell ref="C5543:D5543"/>
    <mergeCell ref="A5544:B5544"/>
    <mergeCell ref="C5544:D5544"/>
    <mergeCell ref="A5545:B5545"/>
    <mergeCell ref="C5545:D5545"/>
    <mergeCell ref="A5524:B5524"/>
    <mergeCell ref="C5524:D5524"/>
    <mergeCell ref="C5525:D5525"/>
    <mergeCell ref="A5527:B5527"/>
    <mergeCell ref="C5527:D5527"/>
    <mergeCell ref="A5528:B5528"/>
    <mergeCell ref="C5528:D5528"/>
    <mergeCell ref="A5529:B5529"/>
    <mergeCell ref="C5529:D5529"/>
    <mergeCell ref="A5530:B5530"/>
    <mergeCell ref="C5530:D5530"/>
    <mergeCell ref="A5531:B5531"/>
    <mergeCell ref="C5531:D5531"/>
    <mergeCell ref="A5532:B5532"/>
    <mergeCell ref="C5532:D5532"/>
    <mergeCell ref="A5533:D5533"/>
    <mergeCell ref="A5534:D5534"/>
    <mergeCell ref="A5559:B5559"/>
    <mergeCell ref="C5559:D5559"/>
    <mergeCell ref="A5560:D5560"/>
    <mergeCell ref="A5561:D5561"/>
    <mergeCell ref="A5562:D5562"/>
    <mergeCell ref="A5563:D5563"/>
    <mergeCell ref="A5564:B5564"/>
    <mergeCell ref="C5564:D5564"/>
    <mergeCell ref="C5565:D5565"/>
    <mergeCell ref="A5567:B5567"/>
    <mergeCell ref="C5567:D5567"/>
    <mergeCell ref="A5568:B5568"/>
    <mergeCell ref="C5568:D5568"/>
    <mergeCell ref="A5569:B5569"/>
    <mergeCell ref="C5569:D5569"/>
    <mergeCell ref="A5570:B5570"/>
    <mergeCell ref="C5570:D5570"/>
    <mergeCell ref="A5546:D5546"/>
    <mergeCell ref="A5547:D5547"/>
    <mergeCell ref="A5548:D5548"/>
    <mergeCell ref="A5549:D5549"/>
    <mergeCell ref="A5550:D5550"/>
    <mergeCell ref="A5551:B5551"/>
    <mergeCell ref="C5551:D5551"/>
    <mergeCell ref="C5552:D5552"/>
    <mergeCell ref="A5554:B5554"/>
    <mergeCell ref="C5554:D5554"/>
    <mergeCell ref="A5555:B5555"/>
    <mergeCell ref="C5555:D5555"/>
    <mergeCell ref="A5556:B5556"/>
    <mergeCell ref="C5556:D5556"/>
    <mergeCell ref="A5557:B5557"/>
    <mergeCell ref="C5557:D5557"/>
    <mergeCell ref="A5558:B5558"/>
    <mergeCell ref="C5558:D5558"/>
    <mergeCell ref="A5584:B5584"/>
    <mergeCell ref="C5584:D5584"/>
    <mergeCell ref="A5585:B5585"/>
    <mergeCell ref="C5585:D5585"/>
    <mergeCell ref="A5586:B5586"/>
    <mergeCell ref="C5586:D5586"/>
    <mergeCell ref="A5587:D5587"/>
    <mergeCell ref="A5588:D5588"/>
    <mergeCell ref="A5589:D5589"/>
    <mergeCell ref="A5590:D5590"/>
    <mergeCell ref="A5591:B5591"/>
    <mergeCell ref="C5591:D5591"/>
    <mergeCell ref="C5592:D5592"/>
    <mergeCell ref="A5594:B5594"/>
    <mergeCell ref="C5594:D5594"/>
    <mergeCell ref="A5595:B5595"/>
    <mergeCell ref="C5595:D5595"/>
    <mergeCell ref="A5571:B5571"/>
    <mergeCell ref="C5571:D5571"/>
    <mergeCell ref="A5572:B5572"/>
    <mergeCell ref="C5572:D5572"/>
    <mergeCell ref="A5573:D5573"/>
    <mergeCell ref="A5574:D5574"/>
    <mergeCell ref="A5575:D5575"/>
    <mergeCell ref="A5576:D5576"/>
    <mergeCell ref="A5577:D5577"/>
    <mergeCell ref="A5578:B5578"/>
    <mergeCell ref="C5578:D5578"/>
    <mergeCell ref="C5579:D5579"/>
    <mergeCell ref="A5581:B5581"/>
    <mergeCell ref="C5581:D5581"/>
    <mergeCell ref="A5582:B5582"/>
    <mergeCell ref="C5582:D5582"/>
    <mergeCell ref="A5583:B5583"/>
    <mergeCell ref="C5583:D5583"/>
    <mergeCell ref="A5609:B5609"/>
    <mergeCell ref="C5609:D5609"/>
    <mergeCell ref="A5610:B5610"/>
    <mergeCell ref="C5610:D5610"/>
    <mergeCell ref="A5611:B5611"/>
    <mergeCell ref="C5611:D5611"/>
    <mergeCell ref="A5612:B5612"/>
    <mergeCell ref="C5612:D5612"/>
    <mergeCell ref="A5613:B5613"/>
    <mergeCell ref="C5613:D5613"/>
    <mergeCell ref="A5614:D5614"/>
    <mergeCell ref="A5615:D5615"/>
    <mergeCell ref="A5616:D5616"/>
    <mergeCell ref="A5617:D5617"/>
    <mergeCell ref="A5618:B5618"/>
    <mergeCell ref="C5618:D5618"/>
    <mergeCell ref="C5619:D5619"/>
    <mergeCell ref="A5596:B5596"/>
    <mergeCell ref="C5596:D5596"/>
    <mergeCell ref="A5597:B5597"/>
    <mergeCell ref="C5597:D5597"/>
    <mergeCell ref="A5598:B5598"/>
    <mergeCell ref="C5598:D5598"/>
    <mergeCell ref="A5599:B5599"/>
    <mergeCell ref="C5599:D5599"/>
    <mergeCell ref="A5600:D5600"/>
    <mergeCell ref="A5601:D5601"/>
    <mergeCell ref="A5602:D5602"/>
    <mergeCell ref="A5603:D5603"/>
    <mergeCell ref="A5604:D5604"/>
    <mergeCell ref="A5605:B5605"/>
    <mergeCell ref="C5605:D5605"/>
    <mergeCell ref="C5606:D5606"/>
    <mergeCell ref="A5608:B5608"/>
    <mergeCell ref="C5608:D5608"/>
    <mergeCell ref="A5632:B5632"/>
    <mergeCell ref="C5632:D5632"/>
    <mergeCell ref="C5633:D5633"/>
    <mergeCell ref="A5635:B5635"/>
    <mergeCell ref="C5635:D5635"/>
    <mergeCell ref="A5636:B5636"/>
    <mergeCell ref="C5636:D5636"/>
    <mergeCell ref="A5637:B5637"/>
    <mergeCell ref="C5637:D5637"/>
    <mergeCell ref="A5638:B5638"/>
    <mergeCell ref="C5638:D5638"/>
    <mergeCell ref="A5639:B5639"/>
    <mergeCell ref="C5639:D5639"/>
    <mergeCell ref="A5640:B5640"/>
    <mergeCell ref="C5640:D5640"/>
    <mergeCell ref="A5641:D5641"/>
    <mergeCell ref="A5642:D5642"/>
    <mergeCell ref="A5621:B5621"/>
    <mergeCell ref="C5621:D5621"/>
    <mergeCell ref="A5622:B5622"/>
    <mergeCell ref="C5622:D5622"/>
    <mergeCell ref="A5623:B5623"/>
    <mergeCell ref="C5623:D5623"/>
    <mergeCell ref="A5624:B5624"/>
    <mergeCell ref="C5624:D5624"/>
    <mergeCell ref="A5625:B5625"/>
    <mergeCell ref="C5625:D5625"/>
    <mergeCell ref="A5626:B5626"/>
    <mergeCell ref="C5626:D5626"/>
    <mergeCell ref="A5627:D5627"/>
    <mergeCell ref="A5628:D5628"/>
    <mergeCell ref="A5629:D5629"/>
    <mergeCell ref="A5630:D5630"/>
    <mergeCell ref="A5631:D5631"/>
    <mergeCell ref="A5654:D5654"/>
    <mergeCell ref="A5655:D5655"/>
    <mergeCell ref="A5656:D5656"/>
    <mergeCell ref="A5657:D5657"/>
    <mergeCell ref="A5658:D5658"/>
    <mergeCell ref="A5659:B5659"/>
    <mergeCell ref="C5659:D5659"/>
    <mergeCell ref="C5660:D5660"/>
    <mergeCell ref="A5662:B5662"/>
    <mergeCell ref="C5662:D5662"/>
    <mergeCell ref="A5663:B5663"/>
    <mergeCell ref="C5663:D5663"/>
    <mergeCell ref="A5664:B5664"/>
    <mergeCell ref="C5664:D5664"/>
    <mergeCell ref="A5665:B5665"/>
    <mergeCell ref="C5665:D5665"/>
    <mergeCell ref="A5666:B5666"/>
    <mergeCell ref="C5666:D5666"/>
    <mergeCell ref="A5643:D5643"/>
    <mergeCell ref="A5644:D5644"/>
    <mergeCell ref="A5645:B5645"/>
    <mergeCell ref="C5645:D5645"/>
    <mergeCell ref="C5646:D5646"/>
    <mergeCell ref="A5648:B5648"/>
    <mergeCell ref="C5648:D5648"/>
    <mergeCell ref="A5649:B5649"/>
    <mergeCell ref="C5649:D5649"/>
    <mergeCell ref="A5650:B5650"/>
    <mergeCell ref="C5650:D5650"/>
    <mergeCell ref="A5651:B5651"/>
    <mergeCell ref="C5651:D5651"/>
    <mergeCell ref="A5652:B5652"/>
    <mergeCell ref="C5652:D5652"/>
    <mergeCell ref="A5653:B5653"/>
    <mergeCell ref="C5653:D5653"/>
    <mergeCell ref="A5679:B5679"/>
    <mergeCell ref="C5679:D5679"/>
    <mergeCell ref="A5680:B5680"/>
    <mergeCell ref="C5680:D5680"/>
    <mergeCell ref="A5681:D5681"/>
    <mergeCell ref="A5682:D5682"/>
    <mergeCell ref="A5683:D5683"/>
    <mergeCell ref="A5684:D5684"/>
    <mergeCell ref="A5685:D5685"/>
    <mergeCell ref="A5686:B5686"/>
    <mergeCell ref="C5686:D5686"/>
    <mergeCell ref="C5687:D5687"/>
    <mergeCell ref="A5689:B5689"/>
    <mergeCell ref="C5689:D5689"/>
    <mergeCell ref="A5690:B5690"/>
    <mergeCell ref="C5690:D5690"/>
    <mergeCell ref="A5691:B5691"/>
    <mergeCell ref="C5691:D5691"/>
    <mergeCell ref="A5667:B5667"/>
    <mergeCell ref="C5667:D5667"/>
    <mergeCell ref="A5668:D5668"/>
    <mergeCell ref="A5669:D5669"/>
    <mergeCell ref="A5670:D5670"/>
    <mergeCell ref="A5671:D5671"/>
    <mergeCell ref="A5672:B5672"/>
    <mergeCell ref="C5672:D5672"/>
    <mergeCell ref="C5673:D5673"/>
    <mergeCell ref="A5675:B5675"/>
    <mergeCell ref="C5675:D5675"/>
    <mergeCell ref="A5676:B5676"/>
    <mergeCell ref="C5676:D5676"/>
    <mergeCell ref="A5677:B5677"/>
    <mergeCell ref="C5677:D5677"/>
    <mergeCell ref="A5678:B5678"/>
    <mergeCell ref="C5678:D5678"/>
    <mergeCell ref="A5704:B5704"/>
    <mergeCell ref="C5704:D5704"/>
    <mergeCell ref="A5705:B5705"/>
    <mergeCell ref="C5705:D5705"/>
    <mergeCell ref="A5706:B5706"/>
    <mergeCell ref="C5706:D5706"/>
    <mergeCell ref="A5707:B5707"/>
    <mergeCell ref="C5707:D5707"/>
    <mergeCell ref="A5708:D5708"/>
    <mergeCell ref="A5709:D5709"/>
    <mergeCell ref="A5710:D5710"/>
    <mergeCell ref="A5711:D5711"/>
    <mergeCell ref="A5712:D5712"/>
    <mergeCell ref="A5713:B5713"/>
    <mergeCell ref="C5713:D5713"/>
    <mergeCell ref="C5714:D5714"/>
    <mergeCell ref="A5716:B5716"/>
    <mergeCell ref="C5716:D5716"/>
    <mergeCell ref="A5692:B5692"/>
    <mergeCell ref="C5692:D5692"/>
    <mergeCell ref="A5693:B5693"/>
    <mergeCell ref="C5693:D5693"/>
    <mergeCell ref="A5694:B5694"/>
    <mergeCell ref="C5694:D5694"/>
    <mergeCell ref="A5695:D5695"/>
    <mergeCell ref="A5696:D5696"/>
    <mergeCell ref="A5697:D5697"/>
    <mergeCell ref="A5698:D5698"/>
    <mergeCell ref="A5699:B5699"/>
    <mergeCell ref="C5699:D5699"/>
    <mergeCell ref="C5700:D5700"/>
    <mergeCell ref="A5702:B5702"/>
    <mergeCell ref="C5702:D5702"/>
    <mergeCell ref="A5703:B5703"/>
    <mergeCell ref="C5703:D5703"/>
    <mergeCell ref="A5729:B5729"/>
    <mergeCell ref="C5729:D5729"/>
    <mergeCell ref="A5730:B5730"/>
    <mergeCell ref="C5730:D5730"/>
    <mergeCell ref="A5731:B5731"/>
    <mergeCell ref="C5731:D5731"/>
    <mergeCell ref="A5732:B5732"/>
    <mergeCell ref="C5732:D5732"/>
    <mergeCell ref="A5733:B5733"/>
    <mergeCell ref="C5733:D5733"/>
    <mergeCell ref="A5734:B5734"/>
    <mergeCell ref="C5734:D5734"/>
    <mergeCell ref="A5735:D5735"/>
    <mergeCell ref="A5736:D5736"/>
    <mergeCell ref="A5737:D5737"/>
    <mergeCell ref="A5738:D5738"/>
    <mergeCell ref="A5739:D5739"/>
    <mergeCell ref="A5717:B5717"/>
    <mergeCell ref="C5717:D5717"/>
    <mergeCell ref="A5718:B5718"/>
    <mergeCell ref="C5718:D5718"/>
    <mergeCell ref="A5719:B5719"/>
    <mergeCell ref="C5719:D5719"/>
    <mergeCell ref="A5720:B5720"/>
    <mergeCell ref="C5720:D5720"/>
    <mergeCell ref="A5721:B5721"/>
    <mergeCell ref="C5721:D5721"/>
    <mergeCell ref="A5722:D5722"/>
    <mergeCell ref="A5723:D5723"/>
    <mergeCell ref="A5724:D5724"/>
    <mergeCell ref="A5725:D5725"/>
    <mergeCell ref="A5726:B5726"/>
    <mergeCell ref="C5726:D5726"/>
    <mergeCell ref="C5727:D5727"/>
    <mergeCell ref="A5752:D5752"/>
    <mergeCell ref="A5753:B5753"/>
    <mergeCell ref="C5753:D5753"/>
    <mergeCell ref="C5754:D5754"/>
    <mergeCell ref="A5756:B5756"/>
    <mergeCell ref="C5756:D5756"/>
    <mergeCell ref="A5757:B5757"/>
    <mergeCell ref="C5757:D5757"/>
    <mergeCell ref="A5740:B5740"/>
    <mergeCell ref="C5740:D5740"/>
    <mergeCell ref="C5741:D5741"/>
    <mergeCell ref="A5743:B5743"/>
    <mergeCell ref="C5743:D5743"/>
    <mergeCell ref="A5744:B5744"/>
    <mergeCell ref="C5744:D5744"/>
    <mergeCell ref="A5745:B5745"/>
    <mergeCell ref="C5745:D5745"/>
    <mergeCell ref="A5746:B5746"/>
    <mergeCell ref="C5746:D5746"/>
    <mergeCell ref="A5747:B5747"/>
    <mergeCell ref="C5747:D5747"/>
    <mergeCell ref="A5748:B5748"/>
    <mergeCell ref="C5748:D5748"/>
    <mergeCell ref="A5749:D5749"/>
    <mergeCell ref="A5750:D5750"/>
    <mergeCell ref="A5751:D5751"/>
    <mergeCell ref="A5771:B5771"/>
    <mergeCell ref="C5771:D5771"/>
    <mergeCell ref="A5772:B5772"/>
    <mergeCell ref="C5772:D5772"/>
    <mergeCell ref="A5773:B5773"/>
    <mergeCell ref="C5773:D5773"/>
    <mergeCell ref="A5774:B5774"/>
    <mergeCell ref="C5774:D5774"/>
    <mergeCell ref="A5775:B5775"/>
    <mergeCell ref="C5775:D5775"/>
    <mergeCell ref="A5776:D5776"/>
    <mergeCell ref="A5777:D5777"/>
    <mergeCell ref="A5778:D5778"/>
    <mergeCell ref="A5779:D5779"/>
    <mergeCell ref="A5780:B5780"/>
    <mergeCell ref="C5780:D5780"/>
    <mergeCell ref="C5781:D5781"/>
    <mergeCell ref="A5758:B5758"/>
    <mergeCell ref="C5758:D5758"/>
    <mergeCell ref="A5759:B5759"/>
    <mergeCell ref="C5759:D5759"/>
    <mergeCell ref="A5760:B5760"/>
    <mergeCell ref="C5760:D5760"/>
    <mergeCell ref="A5761:B5761"/>
    <mergeCell ref="C5761:D5761"/>
    <mergeCell ref="A5762:D5762"/>
    <mergeCell ref="A5763:D5763"/>
    <mergeCell ref="A5764:D5764"/>
    <mergeCell ref="A5765:D5765"/>
    <mergeCell ref="A5766:D5766"/>
    <mergeCell ref="A5767:B5767"/>
    <mergeCell ref="C5767:D5767"/>
    <mergeCell ref="C5768:D5768"/>
    <mergeCell ref="A5770:B5770"/>
    <mergeCell ref="C5770:D5770"/>
    <mergeCell ref="A5794:B5794"/>
    <mergeCell ref="C5794:D5794"/>
    <mergeCell ref="C5795:D5795"/>
    <mergeCell ref="A5797:B5797"/>
    <mergeCell ref="C5797:D5797"/>
    <mergeCell ref="A5798:B5798"/>
    <mergeCell ref="C5798:D5798"/>
    <mergeCell ref="A5799:B5799"/>
    <mergeCell ref="C5799:D5799"/>
    <mergeCell ref="A5800:B5800"/>
    <mergeCell ref="C5800:D5800"/>
    <mergeCell ref="A5801:B5801"/>
    <mergeCell ref="C5801:D5801"/>
    <mergeCell ref="A5802:B5802"/>
    <mergeCell ref="C5802:D5802"/>
    <mergeCell ref="A5803:D5803"/>
    <mergeCell ref="A5804:D5804"/>
    <mergeCell ref="A5783:B5783"/>
    <mergeCell ref="C5783:D5783"/>
    <mergeCell ref="A5784:B5784"/>
    <mergeCell ref="C5784:D5784"/>
    <mergeCell ref="A5785:B5785"/>
    <mergeCell ref="C5785:D5785"/>
    <mergeCell ref="A5786:B5786"/>
    <mergeCell ref="C5786:D5786"/>
    <mergeCell ref="A5787:B5787"/>
    <mergeCell ref="C5787:D5787"/>
    <mergeCell ref="A5788:B5788"/>
    <mergeCell ref="C5788:D5788"/>
    <mergeCell ref="A5789:D5789"/>
    <mergeCell ref="A5790:D5790"/>
    <mergeCell ref="A5791:D5791"/>
    <mergeCell ref="A5792:D5792"/>
    <mergeCell ref="A5793:D5793"/>
    <mergeCell ref="A5816:D5816"/>
    <mergeCell ref="A5817:D5817"/>
    <mergeCell ref="A5818:D5818"/>
    <mergeCell ref="A5819:D5819"/>
    <mergeCell ref="A5820:D5820"/>
    <mergeCell ref="A5821:B5821"/>
    <mergeCell ref="C5821:D5821"/>
    <mergeCell ref="C5822:D5822"/>
    <mergeCell ref="A5824:B5824"/>
    <mergeCell ref="C5824:D5824"/>
    <mergeCell ref="A5825:B5825"/>
    <mergeCell ref="C5825:D5825"/>
    <mergeCell ref="A5826:B5826"/>
    <mergeCell ref="C5826:D5826"/>
    <mergeCell ref="A5827:B5827"/>
    <mergeCell ref="C5827:D5827"/>
    <mergeCell ref="A5828:B5828"/>
    <mergeCell ref="C5828:D5828"/>
    <mergeCell ref="A5805:D5805"/>
    <mergeCell ref="A5806:D5806"/>
    <mergeCell ref="A5807:B5807"/>
    <mergeCell ref="C5807:D5807"/>
    <mergeCell ref="C5808:D5808"/>
    <mergeCell ref="A5810:B5810"/>
    <mergeCell ref="C5810:D5810"/>
    <mergeCell ref="A5811:B5811"/>
    <mergeCell ref="C5811:D5811"/>
    <mergeCell ref="A5812:B5812"/>
    <mergeCell ref="C5812:D5812"/>
    <mergeCell ref="A5813:B5813"/>
    <mergeCell ref="C5813:D5813"/>
    <mergeCell ref="A5814:B5814"/>
    <mergeCell ref="C5814:D5814"/>
    <mergeCell ref="A5815:B5815"/>
    <mergeCell ref="C5815:D5815"/>
    <mergeCell ref="A5841:B5841"/>
    <mergeCell ref="C5841:D5841"/>
    <mergeCell ref="A5842:B5842"/>
    <mergeCell ref="C5842:D5842"/>
    <mergeCell ref="A5843:D5843"/>
    <mergeCell ref="A5844:D5844"/>
    <mergeCell ref="A5845:D5845"/>
    <mergeCell ref="A5846:D5846"/>
    <mergeCell ref="A5847:D5847"/>
    <mergeCell ref="A5848:B5848"/>
    <mergeCell ref="C5848:D5848"/>
    <mergeCell ref="C5849:D5849"/>
    <mergeCell ref="A5851:B5851"/>
    <mergeCell ref="C5851:D5851"/>
    <mergeCell ref="A5852:B5852"/>
    <mergeCell ref="C5852:D5852"/>
    <mergeCell ref="A5853:B5853"/>
    <mergeCell ref="C5853:D5853"/>
    <mergeCell ref="A5829:B5829"/>
    <mergeCell ref="C5829:D5829"/>
    <mergeCell ref="A5830:D5830"/>
    <mergeCell ref="A5831:D5831"/>
    <mergeCell ref="A5832:D5832"/>
    <mergeCell ref="A5833:D5833"/>
    <mergeCell ref="A5834:B5834"/>
    <mergeCell ref="C5834:D5834"/>
    <mergeCell ref="C5835:D5835"/>
    <mergeCell ref="A5837:B5837"/>
    <mergeCell ref="C5837:D5837"/>
    <mergeCell ref="A5838:B5838"/>
    <mergeCell ref="C5838:D5838"/>
    <mergeCell ref="A5839:B5839"/>
    <mergeCell ref="C5839:D5839"/>
    <mergeCell ref="A5840:B5840"/>
    <mergeCell ref="C5840:D5840"/>
    <mergeCell ref="A5866:B5866"/>
    <mergeCell ref="C5866:D5866"/>
    <mergeCell ref="A5867:B5867"/>
    <mergeCell ref="C5867:D5867"/>
    <mergeCell ref="A5868:B5868"/>
    <mergeCell ref="C5868:D5868"/>
    <mergeCell ref="A5869:B5869"/>
    <mergeCell ref="C5869:D5869"/>
    <mergeCell ref="A5870:D5870"/>
    <mergeCell ref="A5871:D5871"/>
    <mergeCell ref="A5872:D5872"/>
    <mergeCell ref="A5873:D5873"/>
    <mergeCell ref="A5874:D5874"/>
    <mergeCell ref="A5875:B5875"/>
    <mergeCell ref="C5875:D5875"/>
    <mergeCell ref="C5876:D5876"/>
    <mergeCell ref="A5878:B5878"/>
    <mergeCell ref="C5878:D5878"/>
    <mergeCell ref="A5854:B5854"/>
    <mergeCell ref="C5854:D5854"/>
    <mergeCell ref="A5855:B5855"/>
    <mergeCell ref="C5855:D5855"/>
    <mergeCell ref="A5856:B5856"/>
    <mergeCell ref="C5856:D5856"/>
    <mergeCell ref="A5857:D5857"/>
    <mergeCell ref="A5858:D5858"/>
    <mergeCell ref="A5859:D5859"/>
    <mergeCell ref="A5860:D5860"/>
    <mergeCell ref="A5861:B5861"/>
    <mergeCell ref="C5861:D5861"/>
    <mergeCell ref="C5862:D5862"/>
    <mergeCell ref="A5864:B5864"/>
    <mergeCell ref="C5864:D5864"/>
    <mergeCell ref="A5865:B5865"/>
    <mergeCell ref="C5865:D5865"/>
    <mergeCell ref="A5891:B5891"/>
    <mergeCell ref="C5891:D5891"/>
    <mergeCell ref="A5892:B5892"/>
    <mergeCell ref="C5892:D5892"/>
    <mergeCell ref="A5893:B5893"/>
    <mergeCell ref="C5893:D5893"/>
    <mergeCell ref="A5894:B5894"/>
    <mergeCell ref="C5894:D5894"/>
    <mergeCell ref="A5895:B5895"/>
    <mergeCell ref="C5895:D5895"/>
    <mergeCell ref="A5896:B5896"/>
    <mergeCell ref="C5896:D5896"/>
    <mergeCell ref="A5897:D5897"/>
    <mergeCell ref="A5898:D5898"/>
    <mergeCell ref="A5899:D5899"/>
    <mergeCell ref="A5900:D5900"/>
    <mergeCell ref="A5901:D5901"/>
    <mergeCell ref="A5879:B5879"/>
    <mergeCell ref="C5879:D5879"/>
    <mergeCell ref="A5880:B5880"/>
    <mergeCell ref="C5880:D5880"/>
    <mergeCell ref="A5881:B5881"/>
    <mergeCell ref="C5881:D5881"/>
    <mergeCell ref="A5882:B5882"/>
    <mergeCell ref="C5882:D5882"/>
    <mergeCell ref="A5883:B5883"/>
    <mergeCell ref="C5883:D5883"/>
    <mergeCell ref="A5884:D5884"/>
    <mergeCell ref="A5885:D5885"/>
    <mergeCell ref="A5886:D5886"/>
    <mergeCell ref="A5887:D5887"/>
    <mergeCell ref="A5888:B5888"/>
    <mergeCell ref="C5888:D5888"/>
    <mergeCell ref="C5889:D5889"/>
    <mergeCell ref="A5913:D5913"/>
    <mergeCell ref="A5914:D5914"/>
    <mergeCell ref="A5915:B5915"/>
    <mergeCell ref="C5915:D5915"/>
    <mergeCell ref="C5916:D5916"/>
    <mergeCell ref="A5918:B5918"/>
    <mergeCell ref="C5918:D5918"/>
    <mergeCell ref="A5919:B5919"/>
    <mergeCell ref="C5919:D5919"/>
    <mergeCell ref="A5920:B5920"/>
    <mergeCell ref="C5920:D5920"/>
    <mergeCell ref="A5921:B5921"/>
    <mergeCell ref="C5921:D5921"/>
    <mergeCell ref="A5922:B5922"/>
    <mergeCell ref="C5922:D5922"/>
    <mergeCell ref="A5923:B5923"/>
    <mergeCell ref="C5923:D5923"/>
    <mergeCell ref="A5902:B5902"/>
    <mergeCell ref="C5902:D5902"/>
    <mergeCell ref="C5903:D5903"/>
    <mergeCell ref="A5905:B5905"/>
    <mergeCell ref="C5905:D5905"/>
    <mergeCell ref="A5906:B5906"/>
    <mergeCell ref="C5906:D5906"/>
    <mergeCell ref="A5907:B5907"/>
    <mergeCell ref="C5907:D5907"/>
    <mergeCell ref="A5908:B5908"/>
    <mergeCell ref="C5908:D5908"/>
    <mergeCell ref="A5909:B5909"/>
    <mergeCell ref="C5909:D5909"/>
    <mergeCell ref="A5910:B5910"/>
    <mergeCell ref="C5910:D5910"/>
    <mergeCell ref="A5911:D5911"/>
    <mergeCell ref="A5912:D5912"/>
    <mergeCell ref="A5937:B5937"/>
    <mergeCell ref="C5937:D5937"/>
    <mergeCell ref="A5938:D5938"/>
    <mergeCell ref="A5939:D5939"/>
    <mergeCell ref="A5940:D5940"/>
    <mergeCell ref="A5941:D5941"/>
    <mergeCell ref="A5942:B5942"/>
    <mergeCell ref="C5942:D5942"/>
    <mergeCell ref="C5943:D5943"/>
    <mergeCell ref="A5945:B5945"/>
    <mergeCell ref="C5945:D5945"/>
    <mergeCell ref="A5946:B5946"/>
    <mergeCell ref="C5946:D5946"/>
    <mergeCell ref="A5947:B5947"/>
    <mergeCell ref="C5947:D5947"/>
    <mergeCell ref="A5948:B5948"/>
    <mergeCell ref="C5948:D5948"/>
    <mergeCell ref="A5924:D5924"/>
    <mergeCell ref="A5925:D5925"/>
    <mergeCell ref="A5926:D5926"/>
    <mergeCell ref="A5927:D5927"/>
    <mergeCell ref="A5928:D5928"/>
    <mergeCell ref="A5929:B5929"/>
    <mergeCell ref="C5929:D5929"/>
    <mergeCell ref="C5930:D5930"/>
    <mergeCell ref="A5932:B5932"/>
    <mergeCell ref="C5932:D5932"/>
    <mergeCell ref="A5933:B5933"/>
    <mergeCell ref="C5933:D5933"/>
    <mergeCell ref="A5934:B5934"/>
    <mergeCell ref="C5934:D5934"/>
    <mergeCell ref="A5935:B5935"/>
    <mergeCell ref="C5935:D5935"/>
    <mergeCell ref="A5936:B5936"/>
    <mergeCell ref="C5936:D5936"/>
    <mergeCell ref="A5962:B5962"/>
    <mergeCell ref="C5962:D5962"/>
    <mergeCell ref="A5963:B5963"/>
    <mergeCell ref="C5963:D5963"/>
    <mergeCell ref="A5964:B5964"/>
    <mergeCell ref="C5964:D5964"/>
    <mergeCell ref="A5965:D5965"/>
    <mergeCell ref="A5966:D5966"/>
    <mergeCell ref="A5967:D5967"/>
    <mergeCell ref="A5968:D5968"/>
    <mergeCell ref="A5969:B5969"/>
    <mergeCell ref="C5969:D5969"/>
    <mergeCell ref="C5970:D5970"/>
    <mergeCell ref="A5972:B5972"/>
    <mergeCell ref="C5972:D5972"/>
    <mergeCell ref="A5973:B5973"/>
    <mergeCell ref="C5973:D5973"/>
    <mergeCell ref="A5949:B5949"/>
    <mergeCell ref="C5949:D5949"/>
    <mergeCell ref="A5950:B5950"/>
    <mergeCell ref="C5950:D5950"/>
    <mergeCell ref="A5951:D5951"/>
    <mergeCell ref="A5952:D5952"/>
    <mergeCell ref="A5953:D5953"/>
    <mergeCell ref="A5954:D5954"/>
    <mergeCell ref="A5955:D5955"/>
    <mergeCell ref="A5956:B5956"/>
    <mergeCell ref="C5956:D5956"/>
    <mergeCell ref="C5957:D5957"/>
    <mergeCell ref="A5959:B5959"/>
    <mergeCell ref="C5959:D5959"/>
    <mergeCell ref="A5960:B5960"/>
    <mergeCell ref="C5960:D5960"/>
    <mergeCell ref="A5961:B5961"/>
    <mergeCell ref="C5961:D5961"/>
    <mergeCell ref="A5987:B5987"/>
    <mergeCell ref="C5987:D5987"/>
    <mergeCell ref="A5988:B5988"/>
    <mergeCell ref="C5988:D5988"/>
    <mergeCell ref="A5989:B5989"/>
    <mergeCell ref="C5989:D5989"/>
    <mergeCell ref="A5990:B5990"/>
    <mergeCell ref="C5990:D5990"/>
    <mergeCell ref="A5991:B5991"/>
    <mergeCell ref="C5991:D5991"/>
    <mergeCell ref="A5992:D5992"/>
    <mergeCell ref="A5993:D5993"/>
    <mergeCell ref="A5994:D5994"/>
    <mergeCell ref="A5995:D5995"/>
    <mergeCell ref="A5996:B5996"/>
    <mergeCell ref="C5996:D5996"/>
    <mergeCell ref="C5997:D5997"/>
    <mergeCell ref="A5974:B5974"/>
    <mergeCell ref="C5974:D5974"/>
    <mergeCell ref="A5975:B5975"/>
    <mergeCell ref="C5975:D5975"/>
    <mergeCell ref="A5976:B5976"/>
    <mergeCell ref="C5976:D5976"/>
    <mergeCell ref="A5977:B5977"/>
    <mergeCell ref="C5977:D5977"/>
    <mergeCell ref="A5978:D5978"/>
    <mergeCell ref="A5979:D5979"/>
    <mergeCell ref="A5980:D5980"/>
    <mergeCell ref="A5981:D5981"/>
    <mergeCell ref="A5982:D5982"/>
    <mergeCell ref="A5983:B5983"/>
    <mergeCell ref="C5983:D5983"/>
    <mergeCell ref="C5984:D5984"/>
    <mergeCell ref="A5986:B5986"/>
    <mergeCell ref="C5986:D5986"/>
    <mergeCell ref="A6010:B6010"/>
    <mergeCell ref="C6010:D6010"/>
    <mergeCell ref="C6011:D6011"/>
    <mergeCell ref="A6013:B6013"/>
    <mergeCell ref="C6013:D6013"/>
    <mergeCell ref="A6014:B6014"/>
    <mergeCell ref="C6014:D6014"/>
    <mergeCell ref="A6015:B6015"/>
    <mergeCell ref="C6015:D6015"/>
    <mergeCell ref="A6016:B6016"/>
    <mergeCell ref="C6016:D6016"/>
    <mergeCell ref="A6017:B6017"/>
    <mergeCell ref="C6017:D6017"/>
    <mergeCell ref="A6018:B6018"/>
    <mergeCell ref="C6018:D6018"/>
    <mergeCell ref="A6019:D6019"/>
    <mergeCell ref="A6020:D6020"/>
    <mergeCell ref="A5999:B5999"/>
    <mergeCell ref="C5999:D5999"/>
    <mergeCell ref="A6000:B6000"/>
    <mergeCell ref="C6000:D6000"/>
    <mergeCell ref="A6001:B6001"/>
    <mergeCell ref="C6001:D6001"/>
    <mergeCell ref="A6002:B6002"/>
    <mergeCell ref="C6002:D6002"/>
    <mergeCell ref="A6003:B6003"/>
    <mergeCell ref="C6003:D6003"/>
    <mergeCell ref="A6004:B6004"/>
    <mergeCell ref="C6004:D6004"/>
    <mergeCell ref="A6005:D6005"/>
    <mergeCell ref="A6006:D6006"/>
    <mergeCell ref="A6007:D6007"/>
    <mergeCell ref="A6008:D6008"/>
    <mergeCell ref="A6009:D6009"/>
    <mergeCell ref="A6032:D6032"/>
    <mergeCell ref="A6033:D6033"/>
    <mergeCell ref="A6034:D6034"/>
    <mergeCell ref="A6035:D6035"/>
    <mergeCell ref="A6036:D6036"/>
    <mergeCell ref="A6037:B6037"/>
    <mergeCell ref="C6037:D6037"/>
    <mergeCell ref="C6038:D6038"/>
    <mergeCell ref="A6040:B6040"/>
    <mergeCell ref="C6040:D6040"/>
    <mergeCell ref="A6041:B6041"/>
    <mergeCell ref="C6041:D6041"/>
    <mergeCell ref="A6042:B6042"/>
    <mergeCell ref="C6042:D6042"/>
    <mergeCell ref="A6043:B6043"/>
    <mergeCell ref="C6043:D6043"/>
    <mergeCell ref="A6044:B6044"/>
    <mergeCell ref="C6044:D6044"/>
    <mergeCell ref="A6021:D6021"/>
    <mergeCell ref="A6022:D6022"/>
    <mergeCell ref="A6023:B6023"/>
    <mergeCell ref="C6023:D6023"/>
    <mergeCell ref="C6024:D6024"/>
    <mergeCell ref="A6026:B6026"/>
    <mergeCell ref="C6026:D6026"/>
    <mergeCell ref="A6027:B6027"/>
    <mergeCell ref="C6027:D6027"/>
    <mergeCell ref="A6028:B6028"/>
    <mergeCell ref="C6028:D6028"/>
    <mergeCell ref="A6029:B6029"/>
    <mergeCell ref="C6029:D6029"/>
    <mergeCell ref="A6030:B6030"/>
    <mergeCell ref="C6030:D6030"/>
    <mergeCell ref="A6031:B6031"/>
    <mergeCell ref="C6031:D6031"/>
    <mergeCell ref="A6057:B6057"/>
    <mergeCell ref="C6057:D6057"/>
    <mergeCell ref="A6058:B6058"/>
    <mergeCell ref="C6058:D6058"/>
    <mergeCell ref="A6059:D6059"/>
    <mergeCell ref="A6060:D6060"/>
    <mergeCell ref="A6061:D6061"/>
    <mergeCell ref="A6062:D6062"/>
    <mergeCell ref="A6063:D6063"/>
    <mergeCell ref="A6064:B6064"/>
    <mergeCell ref="C6064:D6064"/>
    <mergeCell ref="C6065:D6065"/>
    <mergeCell ref="A6067:B6067"/>
    <mergeCell ref="C6067:D6067"/>
    <mergeCell ref="A6068:B6068"/>
    <mergeCell ref="C6068:D6068"/>
    <mergeCell ref="A6069:B6069"/>
    <mergeCell ref="C6069:D6069"/>
    <mergeCell ref="A6045:B6045"/>
    <mergeCell ref="C6045:D6045"/>
    <mergeCell ref="A6046:D6046"/>
    <mergeCell ref="A6047:D6047"/>
    <mergeCell ref="A6048:D6048"/>
    <mergeCell ref="A6049:D6049"/>
    <mergeCell ref="A6050:B6050"/>
    <mergeCell ref="C6050:D6050"/>
    <mergeCell ref="C6051:D6051"/>
    <mergeCell ref="A6053:B6053"/>
    <mergeCell ref="C6053:D6053"/>
    <mergeCell ref="A6054:B6054"/>
    <mergeCell ref="C6054:D6054"/>
    <mergeCell ref="A6055:B6055"/>
    <mergeCell ref="C6055:D6055"/>
    <mergeCell ref="A6056:B6056"/>
    <mergeCell ref="C6056:D6056"/>
    <mergeCell ref="A6082:B6082"/>
    <mergeCell ref="C6082:D6082"/>
    <mergeCell ref="A6083:B6083"/>
    <mergeCell ref="C6083:D6083"/>
    <mergeCell ref="A6084:B6084"/>
    <mergeCell ref="C6084:D6084"/>
    <mergeCell ref="A6085:B6085"/>
    <mergeCell ref="C6085:D6085"/>
    <mergeCell ref="A6086:D6086"/>
    <mergeCell ref="A6087:D6087"/>
    <mergeCell ref="A6088:D6088"/>
    <mergeCell ref="A6089:D6089"/>
    <mergeCell ref="A6090:D6090"/>
    <mergeCell ref="A6091:B6091"/>
    <mergeCell ref="C6091:D6091"/>
    <mergeCell ref="C6092:D6092"/>
    <mergeCell ref="A6094:B6094"/>
    <mergeCell ref="C6094:D6094"/>
    <mergeCell ref="A6070:B6070"/>
    <mergeCell ref="C6070:D6070"/>
    <mergeCell ref="A6071:B6071"/>
    <mergeCell ref="C6071:D6071"/>
    <mergeCell ref="A6072:B6072"/>
    <mergeCell ref="C6072:D6072"/>
    <mergeCell ref="A6073:D6073"/>
    <mergeCell ref="A6074:D6074"/>
    <mergeCell ref="A6075:D6075"/>
    <mergeCell ref="A6076:D6076"/>
    <mergeCell ref="A6077:B6077"/>
    <mergeCell ref="C6077:D6077"/>
    <mergeCell ref="C6078:D6078"/>
    <mergeCell ref="A6080:B6080"/>
    <mergeCell ref="C6080:D6080"/>
    <mergeCell ref="A6081:B6081"/>
    <mergeCell ref="C6081:D6081"/>
    <mergeCell ref="A6103:D6103"/>
    <mergeCell ref="A6104:B6104"/>
    <mergeCell ref="C6104:D6104"/>
    <mergeCell ref="C6105:D6105"/>
    <mergeCell ref="A6107:B6107"/>
    <mergeCell ref="C6107:D6107"/>
    <mergeCell ref="A6108:B6108"/>
    <mergeCell ref="C6108:D6108"/>
    <mergeCell ref="A6109:B6109"/>
    <mergeCell ref="C6109:D6109"/>
    <mergeCell ref="A6110:B6110"/>
    <mergeCell ref="C6110:D6110"/>
    <mergeCell ref="A6111:B6111"/>
    <mergeCell ref="C6111:D6111"/>
    <mergeCell ref="A6112:B6112"/>
    <mergeCell ref="C6112:D6112"/>
    <mergeCell ref="A6095:B6095"/>
    <mergeCell ref="C6095:D6095"/>
    <mergeCell ref="A6096:B6096"/>
    <mergeCell ref="C6096:D6096"/>
    <mergeCell ref="A6097:B6097"/>
    <mergeCell ref="C6097:D6097"/>
    <mergeCell ref="A6098:B6098"/>
    <mergeCell ref="C6098:D6098"/>
    <mergeCell ref="A6099:B6099"/>
    <mergeCell ref="C6099:D6099"/>
    <mergeCell ref="A6100:D6100"/>
    <mergeCell ref="A6101:D6101"/>
    <mergeCell ref="A6102:D6102"/>
    <mergeCell ref="A6126:B6126"/>
    <mergeCell ref="C6126:D6126"/>
    <mergeCell ref="A6127:D6127"/>
    <mergeCell ref="A6128:D6128"/>
    <mergeCell ref="A6129:D6129"/>
    <mergeCell ref="A6130:D6130"/>
    <mergeCell ref="A6131:B6131"/>
    <mergeCell ref="C6131:D6131"/>
    <mergeCell ref="C6132:D6132"/>
    <mergeCell ref="A6134:B6134"/>
    <mergeCell ref="C6134:D6134"/>
    <mergeCell ref="A6135:B6135"/>
    <mergeCell ref="C6135:D6135"/>
    <mergeCell ref="A6136:B6136"/>
    <mergeCell ref="C6136:D6136"/>
    <mergeCell ref="A6137:B6137"/>
    <mergeCell ref="C6137:D6137"/>
    <mergeCell ref="A6113:D6113"/>
    <mergeCell ref="A6114:D6114"/>
    <mergeCell ref="A6115:D6115"/>
    <mergeCell ref="A6116:D6116"/>
    <mergeCell ref="A6117:D6117"/>
    <mergeCell ref="A6118:B6118"/>
    <mergeCell ref="C6118:D6118"/>
    <mergeCell ref="C6119:D6119"/>
    <mergeCell ref="A6121:B6121"/>
    <mergeCell ref="C6121:D6121"/>
    <mergeCell ref="A6122:B6122"/>
    <mergeCell ref="C6122:D6122"/>
    <mergeCell ref="A6123:B6123"/>
    <mergeCell ref="C6123:D6123"/>
    <mergeCell ref="A6124:B6124"/>
    <mergeCell ref="C6124:D6124"/>
    <mergeCell ref="A6125:B6125"/>
    <mergeCell ref="C6125:D6125"/>
    <mergeCell ref="A6151:B6151"/>
    <mergeCell ref="C6151:D6151"/>
    <mergeCell ref="A6152:B6152"/>
    <mergeCell ref="C6152:D6152"/>
    <mergeCell ref="A6153:B6153"/>
    <mergeCell ref="C6153:D6153"/>
    <mergeCell ref="A6154:D6154"/>
    <mergeCell ref="A6155:D6155"/>
    <mergeCell ref="A6156:D6156"/>
    <mergeCell ref="A6157:D6157"/>
    <mergeCell ref="A6158:B6158"/>
    <mergeCell ref="C6158:D6158"/>
    <mergeCell ref="C6159:D6159"/>
    <mergeCell ref="A6161:B6161"/>
    <mergeCell ref="C6161:D6161"/>
    <mergeCell ref="A6162:B6162"/>
    <mergeCell ref="C6162:D6162"/>
    <mergeCell ref="A6138:B6138"/>
    <mergeCell ref="C6138:D6138"/>
    <mergeCell ref="A6139:B6139"/>
    <mergeCell ref="C6139:D6139"/>
    <mergeCell ref="A6140:D6140"/>
    <mergeCell ref="A6141:D6141"/>
    <mergeCell ref="A6142:D6142"/>
    <mergeCell ref="A6143:D6143"/>
    <mergeCell ref="A6144:D6144"/>
    <mergeCell ref="A6145:B6145"/>
    <mergeCell ref="C6145:D6145"/>
    <mergeCell ref="C6146:D6146"/>
    <mergeCell ref="A6148:B6148"/>
    <mergeCell ref="C6148:D6148"/>
    <mergeCell ref="A6149:B6149"/>
    <mergeCell ref="C6149:D6149"/>
    <mergeCell ref="A6150:B6150"/>
    <mergeCell ref="C6150:D6150"/>
    <mergeCell ref="A6163:B6163"/>
    <mergeCell ref="C6163:D6163"/>
    <mergeCell ref="A6164:B6164"/>
    <mergeCell ref="C6164:D6164"/>
    <mergeCell ref="A6165:B6165"/>
    <mergeCell ref="C6165:D6165"/>
    <mergeCell ref="A6166:B6166"/>
    <mergeCell ref="C6166:D6166"/>
    <mergeCell ref="A6167:D6167"/>
    <mergeCell ref="A6168:D6168"/>
    <mergeCell ref="A6169:D6169"/>
    <mergeCell ref="A6170:D6170"/>
    <mergeCell ref="A6171:D6171"/>
    <mergeCell ref="A6172:B6172"/>
    <mergeCell ref="C6172:D6172"/>
    <mergeCell ref="C6173:D6173"/>
    <mergeCell ref="A6175:B6175"/>
    <mergeCell ref="C6175:D6175"/>
    <mergeCell ref="C6204:D6204"/>
    <mergeCell ref="A6205:B6205"/>
    <mergeCell ref="C6205:D6205"/>
    <mergeCell ref="A6206:B6206"/>
    <mergeCell ref="C6206:D6206"/>
    <mergeCell ref="A6207:B6207"/>
    <mergeCell ref="C6207:D6207"/>
    <mergeCell ref="A6208:D6208"/>
    <mergeCell ref="A6198:D6198"/>
    <mergeCell ref="A6176:B6176"/>
    <mergeCell ref="C6176:D6176"/>
    <mergeCell ref="A6177:B6177"/>
    <mergeCell ref="C6177:D6177"/>
    <mergeCell ref="A6178:B6178"/>
    <mergeCell ref="C6178:D6178"/>
    <mergeCell ref="A6179:B6179"/>
    <mergeCell ref="C6179:D6179"/>
    <mergeCell ref="A6180:B6180"/>
    <mergeCell ref="C6180:D6180"/>
    <mergeCell ref="A6181:D6181"/>
    <mergeCell ref="A6182:D6182"/>
    <mergeCell ref="A6183:D6183"/>
    <mergeCell ref="A6230:B6230"/>
    <mergeCell ref="C6230:D6230"/>
    <mergeCell ref="A6231:B6231"/>
    <mergeCell ref="C6231:D6231"/>
    <mergeCell ref="A6194:D6194"/>
    <mergeCell ref="A6195:D6195"/>
    <mergeCell ref="A6196:D6196"/>
    <mergeCell ref="A6197:D6197"/>
    <mergeCell ref="A6184:D6184"/>
    <mergeCell ref="A6185:B6185"/>
    <mergeCell ref="C6185:D6185"/>
    <mergeCell ref="C6186:D6186"/>
    <mergeCell ref="A6188:B6188"/>
    <mergeCell ref="C6188:D6188"/>
    <mergeCell ref="A6189:B6189"/>
    <mergeCell ref="C6189:D6189"/>
    <mergeCell ref="A6190:B6190"/>
    <mergeCell ref="C6190:D6190"/>
    <mergeCell ref="A6191:B6191"/>
    <mergeCell ref="C6191:D6191"/>
    <mergeCell ref="A6192:B6192"/>
    <mergeCell ref="C6192:D6192"/>
    <mergeCell ref="A6193:B6193"/>
    <mergeCell ref="C6193:D6193"/>
    <mergeCell ref="A6199:B6199"/>
    <mergeCell ref="C6199:D6199"/>
    <mergeCell ref="C6200:D6200"/>
    <mergeCell ref="A6202:B6202"/>
    <mergeCell ref="C6202:D6202"/>
    <mergeCell ref="A6203:B6203"/>
    <mergeCell ref="C6203:D6203"/>
    <mergeCell ref="A6204:B6204"/>
    <mergeCell ref="A6209:D6209"/>
    <mergeCell ref="A6210:D6210"/>
    <mergeCell ref="A6211:D6211"/>
    <mergeCell ref="A6212:B6212"/>
    <mergeCell ref="C6212:D6212"/>
    <mergeCell ref="C6213:D6213"/>
    <mergeCell ref="A6215:B6215"/>
    <mergeCell ref="C6215:D6215"/>
    <mergeCell ref="A6216:B6216"/>
    <mergeCell ref="C6216:D6216"/>
    <mergeCell ref="A6217:B6217"/>
    <mergeCell ref="C6217:D6217"/>
    <mergeCell ref="A6218:B6218"/>
    <mergeCell ref="C6218:D6218"/>
    <mergeCell ref="A6244:B6244"/>
    <mergeCell ref="C6244:D6244"/>
    <mergeCell ref="A6245:B6245"/>
    <mergeCell ref="C6245:D6245"/>
    <mergeCell ref="A6219:B6219"/>
    <mergeCell ref="C6219:D6219"/>
    <mergeCell ref="A6220:B6220"/>
    <mergeCell ref="C6220:D6220"/>
    <mergeCell ref="A6221:D6221"/>
    <mergeCell ref="A6222:D6222"/>
    <mergeCell ref="A6223:D6223"/>
    <mergeCell ref="A6224:D6224"/>
    <mergeCell ref="A6225:D6225"/>
    <mergeCell ref="A6226:B6226"/>
    <mergeCell ref="C6226:D6226"/>
    <mergeCell ref="C6227:D6227"/>
    <mergeCell ref="A6229:B6229"/>
    <mergeCell ref="C6229:D6229"/>
    <mergeCell ref="A6246:B6246"/>
    <mergeCell ref="C6246:D6246"/>
    <mergeCell ref="A6247:B6247"/>
    <mergeCell ref="C6247:D6247"/>
    <mergeCell ref="A6248:D6248"/>
    <mergeCell ref="A6249:D6249"/>
    <mergeCell ref="A6250:D6250"/>
    <mergeCell ref="A6251:D6251"/>
    <mergeCell ref="A6252:D6252"/>
    <mergeCell ref="A6253:B6253"/>
    <mergeCell ref="C6253:D6253"/>
    <mergeCell ref="C6254:D6254"/>
    <mergeCell ref="A6256:B6256"/>
    <mergeCell ref="C6256:D6256"/>
    <mergeCell ref="A6232:B6232"/>
    <mergeCell ref="C6232:D6232"/>
    <mergeCell ref="A6233:B6233"/>
    <mergeCell ref="C6233:D6233"/>
    <mergeCell ref="A6234:B6234"/>
    <mergeCell ref="C6234:D6234"/>
    <mergeCell ref="A6235:D6235"/>
    <mergeCell ref="A6236:D6236"/>
    <mergeCell ref="A6237:D6237"/>
    <mergeCell ref="A6238:D6238"/>
    <mergeCell ref="A6239:B6239"/>
    <mergeCell ref="C6239:D6239"/>
    <mergeCell ref="C6240:D6240"/>
    <mergeCell ref="A6242:B6242"/>
    <mergeCell ref="C6242:D6242"/>
    <mergeCell ref="A6243:B6243"/>
    <mergeCell ref="C6243:D6243"/>
    <mergeCell ref="A6269:B6269"/>
    <mergeCell ref="C6269:D6269"/>
    <mergeCell ref="A6270:B6270"/>
    <mergeCell ref="C6270:D6270"/>
    <mergeCell ref="A6271:B6271"/>
    <mergeCell ref="C6271:D6271"/>
    <mergeCell ref="A6272:B6272"/>
    <mergeCell ref="C6272:D6272"/>
    <mergeCell ref="A6273:B6273"/>
    <mergeCell ref="C6273:D6273"/>
    <mergeCell ref="A6274:B6274"/>
    <mergeCell ref="C6274:D6274"/>
    <mergeCell ref="A6275:D6275"/>
    <mergeCell ref="A6276:D6276"/>
    <mergeCell ref="A6277:D6277"/>
    <mergeCell ref="A6278:D6278"/>
    <mergeCell ref="A6279:D6279"/>
    <mergeCell ref="A6257:B6257"/>
    <mergeCell ref="C6257:D6257"/>
    <mergeCell ref="A6258:B6258"/>
    <mergeCell ref="C6258:D6258"/>
    <mergeCell ref="A6259:B6259"/>
    <mergeCell ref="C6259:D6259"/>
    <mergeCell ref="A6260:B6260"/>
    <mergeCell ref="C6260:D6260"/>
    <mergeCell ref="A6261:B6261"/>
    <mergeCell ref="C6261:D6261"/>
    <mergeCell ref="A6262:D6262"/>
    <mergeCell ref="A6263:D6263"/>
    <mergeCell ref="A6264:D6264"/>
    <mergeCell ref="A6265:D6265"/>
    <mergeCell ref="A6266:B6266"/>
    <mergeCell ref="C6266:D6266"/>
    <mergeCell ref="C6267:D6267"/>
    <mergeCell ref="A6291:D6291"/>
    <mergeCell ref="A6292:D6292"/>
    <mergeCell ref="A6293:B6293"/>
    <mergeCell ref="C6293:D6293"/>
    <mergeCell ref="C6294:D6294"/>
    <mergeCell ref="A6296:B6296"/>
    <mergeCell ref="C6296:D6296"/>
    <mergeCell ref="A6297:B6297"/>
    <mergeCell ref="C6297:D6297"/>
    <mergeCell ref="A6298:B6298"/>
    <mergeCell ref="C6298:D6298"/>
    <mergeCell ref="A6299:B6299"/>
    <mergeCell ref="C6299:D6299"/>
    <mergeCell ref="A6300:B6300"/>
    <mergeCell ref="C6300:D6300"/>
    <mergeCell ref="A6301:B6301"/>
    <mergeCell ref="C6301:D6301"/>
    <mergeCell ref="A6280:B6280"/>
    <mergeCell ref="C6280:D6280"/>
    <mergeCell ref="C6281:D6281"/>
    <mergeCell ref="A6283:B6283"/>
    <mergeCell ref="C6283:D6283"/>
    <mergeCell ref="A6284:B6284"/>
    <mergeCell ref="C6284:D6284"/>
    <mergeCell ref="A6285:B6285"/>
    <mergeCell ref="C6285:D6285"/>
    <mergeCell ref="A6286:B6286"/>
    <mergeCell ref="C6286:D6286"/>
    <mergeCell ref="A6287:B6287"/>
    <mergeCell ref="C6287:D6287"/>
    <mergeCell ref="A6288:B6288"/>
    <mergeCell ref="C6288:D6288"/>
    <mergeCell ref="A6289:D6289"/>
    <mergeCell ref="A6290:D6290"/>
    <mergeCell ref="A6315:B6315"/>
    <mergeCell ref="C6315:D6315"/>
    <mergeCell ref="A6316:D6316"/>
    <mergeCell ref="A6317:D6317"/>
    <mergeCell ref="A6318:D6318"/>
    <mergeCell ref="A6319:D6319"/>
    <mergeCell ref="A6320:B6320"/>
    <mergeCell ref="C6320:D6320"/>
    <mergeCell ref="C6321:D6321"/>
    <mergeCell ref="A6323:B6323"/>
    <mergeCell ref="C6323:D6323"/>
    <mergeCell ref="A6324:B6324"/>
    <mergeCell ref="C6324:D6324"/>
    <mergeCell ref="A6325:B6325"/>
    <mergeCell ref="C6325:D6325"/>
    <mergeCell ref="A6326:B6326"/>
    <mergeCell ref="C6326:D6326"/>
    <mergeCell ref="A6302:D6302"/>
    <mergeCell ref="A6303:D6303"/>
    <mergeCell ref="A6304:D6304"/>
    <mergeCell ref="A6305:D6305"/>
    <mergeCell ref="A6306:D6306"/>
    <mergeCell ref="A6307:B6307"/>
    <mergeCell ref="C6307:D6307"/>
    <mergeCell ref="C6308:D6308"/>
    <mergeCell ref="A6310:B6310"/>
    <mergeCell ref="C6310:D6310"/>
    <mergeCell ref="A6311:B6311"/>
    <mergeCell ref="C6311:D6311"/>
    <mergeCell ref="A6312:B6312"/>
    <mergeCell ref="C6312:D6312"/>
    <mergeCell ref="A6313:B6313"/>
    <mergeCell ref="C6313:D6313"/>
    <mergeCell ref="A6314:B6314"/>
    <mergeCell ref="C6314:D6314"/>
    <mergeCell ref="A6340:B6340"/>
    <mergeCell ref="C6340:D6340"/>
    <mergeCell ref="A6341:B6341"/>
    <mergeCell ref="C6341:D6341"/>
    <mergeCell ref="A6342:B6342"/>
    <mergeCell ref="C6342:D6342"/>
    <mergeCell ref="A6343:D6343"/>
    <mergeCell ref="A6344:D6344"/>
    <mergeCell ref="A6345:D6345"/>
    <mergeCell ref="A6346:D6346"/>
    <mergeCell ref="A6347:B6347"/>
    <mergeCell ref="C6347:D6347"/>
    <mergeCell ref="C6348:D6348"/>
    <mergeCell ref="A6350:B6350"/>
    <mergeCell ref="C6350:D6350"/>
    <mergeCell ref="A6351:B6351"/>
    <mergeCell ref="C6351:D6351"/>
    <mergeCell ref="A6327:B6327"/>
    <mergeCell ref="C6327:D6327"/>
    <mergeCell ref="A6328:B6328"/>
    <mergeCell ref="C6328:D6328"/>
    <mergeCell ref="A6329:D6329"/>
    <mergeCell ref="A6330:D6330"/>
    <mergeCell ref="A6331:D6331"/>
    <mergeCell ref="A6332:D6332"/>
    <mergeCell ref="A6333:D6333"/>
    <mergeCell ref="A6334:B6334"/>
    <mergeCell ref="C6334:D6334"/>
    <mergeCell ref="C6335:D6335"/>
    <mergeCell ref="A6337:B6337"/>
    <mergeCell ref="C6337:D6337"/>
    <mergeCell ref="A6338:B6338"/>
    <mergeCell ref="C6338:D6338"/>
    <mergeCell ref="A6339:B6339"/>
    <mergeCell ref="C6339:D6339"/>
    <mergeCell ref="A6365:B6365"/>
    <mergeCell ref="C6365:D6365"/>
    <mergeCell ref="A6366:B6366"/>
    <mergeCell ref="C6366:D6366"/>
    <mergeCell ref="A6367:B6367"/>
    <mergeCell ref="C6367:D6367"/>
    <mergeCell ref="A6368:B6368"/>
    <mergeCell ref="C6368:D6368"/>
    <mergeCell ref="A6369:B6369"/>
    <mergeCell ref="C6369:D6369"/>
    <mergeCell ref="A6370:D6370"/>
    <mergeCell ref="A6371:D6371"/>
    <mergeCell ref="A6372:D6372"/>
    <mergeCell ref="A6373:D6373"/>
    <mergeCell ref="A6374:B6374"/>
    <mergeCell ref="C6374:D6374"/>
    <mergeCell ref="C6375:D6375"/>
    <mergeCell ref="A6352:B6352"/>
    <mergeCell ref="C6352:D6352"/>
    <mergeCell ref="A6353:B6353"/>
    <mergeCell ref="C6353:D6353"/>
    <mergeCell ref="A6354:B6354"/>
    <mergeCell ref="C6354:D6354"/>
    <mergeCell ref="A6355:B6355"/>
    <mergeCell ref="C6355:D6355"/>
    <mergeCell ref="A6356:D6356"/>
    <mergeCell ref="A6357:D6357"/>
    <mergeCell ref="A6358:D6358"/>
    <mergeCell ref="A6359:D6359"/>
    <mergeCell ref="A6360:D6360"/>
    <mergeCell ref="A6361:B6361"/>
    <mergeCell ref="C6361:D6361"/>
    <mergeCell ref="C6362:D6362"/>
    <mergeCell ref="A6364:B6364"/>
    <mergeCell ref="C6364:D6364"/>
    <mergeCell ref="A6388:B6388"/>
    <mergeCell ref="C6388:D6388"/>
    <mergeCell ref="C6389:D6389"/>
    <mergeCell ref="A6391:B6391"/>
    <mergeCell ref="C6391:D6391"/>
    <mergeCell ref="A6392:B6392"/>
    <mergeCell ref="C6392:D6392"/>
    <mergeCell ref="A6393:B6393"/>
    <mergeCell ref="C6393:D6393"/>
    <mergeCell ref="A6394:B6394"/>
    <mergeCell ref="C6394:D6394"/>
    <mergeCell ref="A6395:B6395"/>
    <mergeCell ref="C6395:D6395"/>
    <mergeCell ref="A6396:B6396"/>
    <mergeCell ref="C6396:D6396"/>
    <mergeCell ref="A6397:D6397"/>
    <mergeCell ref="A6398:D6398"/>
    <mergeCell ref="A6377:B6377"/>
    <mergeCell ref="C6377:D6377"/>
    <mergeCell ref="A6378:B6378"/>
    <mergeCell ref="C6378:D6378"/>
    <mergeCell ref="A6379:B6379"/>
    <mergeCell ref="C6379:D6379"/>
    <mergeCell ref="A6380:B6380"/>
    <mergeCell ref="C6380:D6380"/>
    <mergeCell ref="A6381:B6381"/>
    <mergeCell ref="C6381:D6381"/>
    <mergeCell ref="A6382:B6382"/>
    <mergeCell ref="C6382:D6382"/>
    <mergeCell ref="A6383:D6383"/>
    <mergeCell ref="A6384:D6384"/>
    <mergeCell ref="A6385:D6385"/>
    <mergeCell ref="A6386:D6386"/>
    <mergeCell ref="A6387:D6387"/>
    <mergeCell ref="A6410:D6410"/>
    <mergeCell ref="A6411:D6411"/>
    <mergeCell ref="A6412:D6412"/>
    <mergeCell ref="A6413:D6413"/>
    <mergeCell ref="A6414:D6414"/>
    <mergeCell ref="A6415:B6415"/>
    <mergeCell ref="C6415:D6415"/>
    <mergeCell ref="C6416:D6416"/>
    <mergeCell ref="A6418:B6418"/>
    <mergeCell ref="C6418:D6418"/>
    <mergeCell ref="A6419:B6419"/>
    <mergeCell ref="C6419:D6419"/>
    <mergeCell ref="A6420:B6420"/>
    <mergeCell ref="C6420:D6420"/>
    <mergeCell ref="A6421:B6421"/>
    <mergeCell ref="C6421:D6421"/>
    <mergeCell ref="A6422:B6422"/>
    <mergeCell ref="C6422:D6422"/>
    <mergeCell ref="A6399:D6399"/>
    <mergeCell ref="A6400:D6400"/>
    <mergeCell ref="A6401:B6401"/>
    <mergeCell ref="C6401:D6401"/>
    <mergeCell ref="C6402:D6402"/>
    <mergeCell ref="A6404:B6404"/>
    <mergeCell ref="C6404:D6404"/>
    <mergeCell ref="A6405:B6405"/>
    <mergeCell ref="C6405:D6405"/>
    <mergeCell ref="A6406:B6406"/>
    <mergeCell ref="C6406:D6406"/>
    <mergeCell ref="A6407:B6407"/>
    <mergeCell ref="C6407:D6407"/>
    <mergeCell ref="A6408:B6408"/>
    <mergeCell ref="C6408:D6408"/>
    <mergeCell ref="A6409:B6409"/>
    <mergeCell ref="C6409:D6409"/>
    <mergeCell ref="A6435:B6435"/>
    <mergeCell ref="C6435:D6435"/>
    <mergeCell ref="A6436:B6436"/>
    <mergeCell ref="C6436:D6436"/>
    <mergeCell ref="A6437:D6437"/>
    <mergeCell ref="A6438:D6438"/>
    <mergeCell ref="A6439:D6439"/>
    <mergeCell ref="A6440:D6440"/>
    <mergeCell ref="A6441:D6441"/>
    <mergeCell ref="A6442:B6442"/>
    <mergeCell ref="C6442:D6442"/>
    <mergeCell ref="C6443:D6443"/>
    <mergeCell ref="A6445:B6445"/>
    <mergeCell ref="C6445:D6445"/>
    <mergeCell ref="A6446:B6446"/>
    <mergeCell ref="C6446:D6446"/>
    <mergeCell ref="A6447:B6447"/>
    <mergeCell ref="C6447:D6447"/>
    <mergeCell ref="C6461:D6461"/>
    <mergeCell ref="A6462:B6462"/>
    <mergeCell ref="C6462:D6462"/>
    <mergeCell ref="A6463:B6463"/>
    <mergeCell ref="C6463:D6463"/>
    <mergeCell ref="A6464:D6464"/>
    <mergeCell ref="A6465:D6465"/>
    <mergeCell ref="A6466:D6466"/>
    <mergeCell ref="A6467:D6467"/>
    <mergeCell ref="A6468:D6468"/>
    <mergeCell ref="A6469:B6469"/>
    <mergeCell ref="C6469:D6469"/>
    <mergeCell ref="C6470:D6470"/>
    <mergeCell ref="A6472:B6472"/>
    <mergeCell ref="C6472:D6472"/>
    <mergeCell ref="A6423:B6423"/>
    <mergeCell ref="C6423:D6423"/>
    <mergeCell ref="A6424:D6424"/>
    <mergeCell ref="A6425:D6425"/>
    <mergeCell ref="A6426:D6426"/>
    <mergeCell ref="A6427:D6427"/>
    <mergeCell ref="A6428:B6428"/>
    <mergeCell ref="C6428:D6428"/>
    <mergeCell ref="C6429:D6429"/>
    <mergeCell ref="A6431:B6431"/>
    <mergeCell ref="C6431:D6431"/>
    <mergeCell ref="A6432:B6432"/>
    <mergeCell ref="C6432:D6432"/>
    <mergeCell ref="A6433:B6433"/>
    <mergeCell ref="C6433:D6433"/>
    <mergeCell ref="A6434:B6434"/>
    <mergeCell ref="C6434:D6434"/>
    <mergeCell ref="C6487:D6487"/>
    <mergeCell ref="A6488:B6488"/>
    <mergeCell ref="C6488:D6488"/>
    <mergeCell ref="A6489:B6489"/>
    <mergeCell ref="C6489:D6489"/>
    <mergeCell ref="A6490:B6490"/>
    <mergeCell ref="C6490:D6490"/>
    <mergeCell ref="A6491:D6491"/>
    <mergeCell ref="A6492:D6492"/>
    <mergeCell ref="A6493:D6493"/>
    <mergeCell ref="A6494:D6494"/>
    <mergeCell ref="A6495:D6495"/>
    <mergeCell ref="A6448:B6448"/>
    <mergeCell ref="C6448:D6448"/>
    <mergeCell ref="A6449:B6449"/>
    <mergeCell ref="C6449:D6449"/>
    <mergeCell ref="A6450:B6450"/>
    <mergeCell ref="C6450:D6450"/>
    <mergeCell ref="A6451:D6451"/>
    <mergeCell ref="A6452:D6452"/>
    <mergeCell ref="A6453:D6453"/>
    <mergeCell ref="A6454:D6454"/>
    <mergeCell ref="A6455:B6455"/>
    <mergeCell ref="C6455:D6455"/>
    <mergeCell ref="C6456:D6456"/>
    <mergeCell ref="A6458:B6458"/>
    <mergeCell ref="C6458:D6458"/>
    <mergeCell ref="A6459:B6459"/>
    <mergeCell ref="C6459:D6459"/>
    <mergeCell ref="A6460:B6460"/>
    <mergeCell ref="C6460:D6460"/>
    <mergeCell ref="A6461:B6461"/>
    <mergeCell ref="A6513:B6513"/>
    <mergeCell ref="C6513:D6513"/>
    <mergeCell ref="A6514:B6514"/>
    <mergeCell ref="C6514:D6514"/>
    <mergeCell ref="A6515:B6515"/>
    <mergeCell ref="C6515:D6515"/>
    <mergeCell ref="A6516:B6516"/>
    <mergeCell ref="C6516:D6516"/>
    <mergeCell ref="A6517:B6517"/>
    <mergeCell ref="C6517:D6517"/>
    <mergeCell ref="A6473:B6473"/>
    <mergeCell ref="C6473:D6473"/>
    <mergeCell ref="A6474:B6474"/>
    <mergeCell ref="C6474:D6474"/>
    <mergeCell ref="A6475:B6475"/>
    <mergeCell ref="C6475:D6475"/>
    <mergeCell ref="A6476:B6476"/>
    <mergeCell ref="C6476:D6476"/>
    <mergeCell ref="A6477:B6477"/>
    <mergeCell ref="C6477:D6477"/>
    <mergeCell ref="A6478:D6478"/>
    <mergeCell ref="A6479:D6479"/>
    <mergeCell ref="A6480:D6480"/>
    <mergeCell ref="A6481:D6481"/>
    <mergeCell ref="A6482:B6482"/>
    <mergeCell ref="C6482:D6482"/>
    <mergeCell ref="C6483:D6483"/>
    <mergeCell ref="A6485:B6485"/>
    <mergeCell ref="C6485:D6485"/>
    <mergeCell ref="A6486:B6486"/>
    <mergeCell ref="C6486:D6486"/>
    <mergeCell ref="A6487:B6487"/>
    <mergeCell ref="A6539:B6539"/>
    <mergeCell ref="C6539:D6539"/>
    <mergeCell ref="A6540:B6540"/>
    <mergeCell ref="C6540:D6540"/>
    <mergeCell ref="A6541:B6541"/>
    <mergeCell ref="C6541:D6541"/>
    <mergeCell ref="A6542:B6542"/>
    <mergeCell ref="C6542:D6542"/>
    <mergeCell ref="A6496:B6496"/>
    <mergeCell ref="C6496:D6496"/>
    <mergeCell ref="C6497:D6497"/>
    <mergeCell ref="A6499:B6499"/>
    <mergeCell ref="C6499:D6499"/>
    <mergeCell ref="A6500:B6500"/>
    <mergeCell ref="C6500:D6500"/>
    <mergeCell ref="A6501:B6501"/>
    <mergeCell ref="C6501:D6501"/>
    <mergeCell ref="A6502:B6502"/>
    <mergeCell ref="C6502:D6502"/>
    <mergeCell ref="A6503:B6503"/>
    <mergeCell ref="C6503:D6503"/>
    <mergeCell ref="A6504:B6504"/>
    <mergeCell ref="C6504:D6504"/>
    <mergeCell ref="A6505:D6505"/>
    <mergeCell ref="A6506:D6506"/>
    <mergeCell ref="A6507:D6507"/>
    <mergeCell ref="A6508:D6508"/>
    <mergeCell ref="A6509:B6509"/>
    <mergeCell ref="C6509:D6509"/>
    <mergeCell ref="C6510:D6510"/>
    <mergeCell ref="A6512:B6512"/>
    <mergeCell ref="C6512:D6512"/>
    <mergeCell ref="C6564:D6564"/>
    <mergeCell ref="A6566:B6566"/>
    <mergeCell ref="C6566:D6566"/>
    <mergeCell ref="A6567:B6567"/>
    <mergeCell ref="C6567:D6567"/>
    <mergeCell ref="A6518:D6518"/>
    <mergeCell ref="A6519:D6519"/>
    <mergeCell ref="A6520:D6520"/>
    <mergeCell ref="A6521:D6521"/>
    <mergeCell ref="A6522:D6522"/>
    <mergeCell ref="A6523:B6523"/>
    <mergeCell ref="C6523:D6523"/>
    <mergeCell ref="C6524:D6524"/>
    <mergeCell ref="A6526:B6526"/>
    <mergeCell ref="C6526:D6526"/>
    <mergeCell ref="A6527:B6527"/>
    <mergeCell ref="C6527:D6527"/>
    <mergeCell ref="A6528:B6528"/>
    <mergeCell ref="C6528:D6528"/>
    <mergeCell ref="A6529:B6529"/>
    <mergeCell ref="C6529:D6529"/>
    <mergeCell ref="A6530:B6530"/>
    <mergeCell ref="C6530:D6530"/>
    <mergeCell ref="A6531:B6531"/>
    <mergeCell ref="C6531:D6531"/>
    <mergeCell ref="A6532:D6532"/>
    <mergeCell ref="A6533:D6533"/>
    <mergeCell ref="A6534:D6534"/>
    <mergeCell ref="A6535:D6535"/>
    <mergeCell ref="A6536:B6536"/>
    <mergeCell ref="C6536:D6536"/>
    <mergeCell ref="C6537:D6537"/>
    <mergeCell ref="A6583:B6583"/>
    <mergeCell ref="C6583:D6583"/>
    <mergeCell ref="A6584:B6584"/>
    <mergeCell ref="C6584:D6584"/>
    <mergeCell ref="A6585:B6585"/>
    <mergeCell ref="C6585:D6585"/>
    <mergeCell ref="A6586:D6586"/>
    <mergeCell ref="A6587:D6587"/>
    <mergeCell ref="A6588:D6588"/>
    <mergeCell ref="A6568:B6568"/>
    <mergeCell ref="C6568:D6568"/>
    <mergeCell ref="A6569:B6569"/>
    <mergeCell ref="C6569:D6569"/>
    <mergeCell ref="A6570:B6570"/>
    <mergeCell ref="C6570:D6570"/>
    <mergeCell ref="A6571:B6571"/>
    <mergeCell ref="C6571:D6571"/>
    <mergeCell ref="A6572:D6572"/>
    <mergeCell ref="A6573:D6573"/>
    <mergeCell ref="A6574:D6574"/>
    <mergeCell ref="A6575:D6575"/>
    <mergeCell ref="A6576:D6576"/>
    <mergeCell ref="A6577:B6577"/>
    <mergeCell ref="C6577:D6577"/>
    <mergeCell ref="C6578:D6578"/>
    <mergeCell ref="A6580:B6580"/>
    <mergeCell ref="C6580:D6580"/>
    <mergeCell ref="C6581:D6581"/>
    <mergeCell ref="A6543:B6543"/>
    <mergeCell ref="C6543:D6543"/>
    <mergeCell ref="A6544:B6544"/>
    <mergeCell ref="C6544:D6544"/>
    <mergeCell ref="A6545:D6545"/>
    <mergeCell ref="A6546:D6546"/>
    <mergeCell ref="A6547:D6547"/>
    <mergeCell ref="A6548:D6548"/>
    <mergeCell ref="A6549:D6549"/>
    <mergeCell ref="A6550:B6550"/>
    <mergeCell ref="C6550:D6550"/>
    <mergeCell ref="C6551:D6551"/>
    <mergeCell ref="A6553:B6553"/>
    <mergeCell ref="C6553:D6553"/>
    <mergeCell ref="A6554:B6554"/>
    <mergeCell ref="A6582:B6582"/>
    <mergeCell ref="C6582:D6582"/>
    <mergeCell ref="C6554:D6554"/>
    <mergeCell ref="A6555:B6555"/>
    <mergeCell ref="C6555:D6555"/>
    <mergeCell ref="A6556:B6556"/>
    <mergeCell ref="C6556:D6556"/>
    <mergeCell ref="A6557:B6557"/>
    <mergeCell ref="C6557:D6557"/>
    <mergeCell ref="A6558:B6558"/>
    <mergeCell ref="C6558:D6558"/>
    <mergeCell ref="A6559:D6559"/>
    <mergeCell ref="A6560:D6560"/>
    <mergeCell ref="A6561:D6561"/>
    <mergeCell ref="A6562:D6562"/>
    <mergeCell ref="A6563:B6563"/>
    <mergeCell ref="C6563:D6563"/>
    <mergeCell ref="A6589:D6589"/>
    <mergeCell ref="A6590:B6590"/>
    <mergeCell ref="C6590:D6590"/>
    <mergeCell ref="C6591:D6591"/>
    <mergeCell ref="A6593:B6593"/>
    <mergeCell ref="C6593:D6593"/>
    <mergeCell ref="A6594:B6594"/>
    <mergeCell ref="C6594:D6594"/>
    <mergeCell ref="A6595:B6595"/>
    <mergeCell ref="C6595:D6595"/>
    <mergeCell ref="A6596:B6596"/>
    <mergeCell ref="C6596:D6596"/>
    <mergeCell ref="A6597:B6597"/>
    <mergeCell ref="C6597:D6597"/>
    <mergeCell ref="A6598:B6598"/>
    <mergeCell ref="C6598:D6598"/>
    <mergeCell ref="A583:B583"/>
    <mergeCell ref="C583:D583"/>
    <mergeCell ref="C584:D584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6581:B6581"/>
    <mergeCell ref="A6599:D6599"/>
    <mergeCell ref="A6600:D6600"/>
    <mergeCell ref="A6601:D6601"/>
    <mergeCell ref="A6602:D6602"/>
    <mergeCell ref="A6603:D6603"/>
    <mergeCell ref="A6604:B6604"/>
    <mergeCell ref="C6604:D6604"/>
    <mergeCell ref="C6605:D6605"/>
    <mergeCell ref="A6607:B6607"/>
    <mergeCell ref="C6607:D6607"/>
    <mergeCell ref="A6608:B6608"/>
    <mergeCell ref="C6608:D6608"/>
    <mergeCell ref="A6609:B6609"/>
    <mergeCell ref="C6609:D6609"/>
    <mergeCell ref="A6610:B6610"/>
    <mergeCell ref="C6610:D6610"/>
    <mergeCell ref="A6611:B6611"/>
    <mergeCell ref="C6611:D6611"/>
    <mergeCell ref="A6628:D6628"/>
    <mergeCell ref="A6629:D6629"/>
    <mergeCell ref="A6630:D6630"/>
    <mergeCell ref="A6631:B6631"/>
    <mergeCell ref="C6631:D6631"/>
    <mergeCell ref="C6632:D6632"/>
    <mergeCell ref="A6634:B6634"/>
    <mergeCell ref="C6634:D6634"/>
    <mergeCell ref="A6635:B6635"/>
    <mergeCell ref="C6635:D6635"/>
    <mergeCell ref="A6636:B6636"/>
    <mergeCell ref="C6636:D6636"/>
    <mergeCell ref="A6612:B6612"/>
    <mergeCell ref="C6612:D6612"/>
    <mergeCell ref="A6613:D6613"/>
    <mergeCell ref="A6614:D6614"/>
    <mergeCell ref="A6615:D6615"/>
    <mergeCell ref="A6616:D6616"/>
    <mergeCell ref="A6617:B6617"/>
    <mergeCell ref="C6617:D6617"/>
    <mergeCell ref="C6618:D6618"/>
    <mergeCell ref="A6620:B6620"/>
    <mergeCell ref="C6620:D6620"/>
    <mergeCell ref="A6621:B6621"/>
    <mergeCell ref="C6621:D6621"/>
    <mergeCell ref="A6622:B6622"/>
    <mergeCell ref="C6622:D6622"/>
    <mergeCell ref="A6623:B6623"/>
    <mergeCell ref="C6623:D6623"/>
    <mergeCell ref="C2656:D2656"/>
    <mergeCell ref="A2657:D2657"/>
    <mergeCell ref="A2658:D2658"/>
    <mergeCell ref="A2659:D2659"/>
    <mergeCell ref="A2660:D2660"/>
    <mergeCell ref="A2661:D2661"/>
    <mergeCell ref="A2662:B2662"/>
    <mergeCell ref="C2662:D2662"/>
    <mergeCell ref="C2663:D2663"/>
    <mergeCell ref="A2665:B2665"/>
    <mergeCell ref="C2665:D2665"/>
    <mergeCell ref="A2666:B2666"/>
    <mergeCell ref="C2666:D2666"/>
    <mergeCell ref="A2667:B2667"/>
    <mergeCell ref="C2667:D2667"/>
    <mergeCell ref="A2668:B2668"/>
    <mergeCell ref="C2668:D2668"/>
    <mergeCell ref="A2669:B2669"/>
    <mergeCell ref="C2669:D2669"/>
    <mergeCell ref="A2670:B2670"/>
    <mergeCell ref="C2670:D2670"/>
    <mergeCell ref="A2671:D2671"/>
    <mergeCell ref="A2672:D2672"/>
    <mergeCell ref="A2673:D2673"/>
    <mergeCell ref="A6643:D6643"/>
    <mergeCell ref="A6644:B6644"/>
    <mergeCell ref="C6644:D6644"/>
    <mergeCell ref="C6645:D6645"/>
    <mergeCell ref="A6647:B6647"/>
    <mergeCell ref="C6647:D6647"/>
    <mergeCell ref="A6648:B6648"/>
    <mergeCell ref="C6648:D6648"/>
    <mergeCell ref="A6649:B6649"/>
    <mergeCell ref="C6649:D6649"/>
    <mergeCell ref="A6637:B6637"/>
    <mergeCell ref="C6637:D6637"/>
    <mergeCell ref="A6638:B6638"/>
    <mergeCell ref="C6638:D6638"/>
    <mergeCell ref="A6639:B6639"/>
    <mergeCell ref="C6639:D6639"/>
    <mergeCell ref="A6640:D6640"/>
    <mergeCell ref="A6641:D6641"/>
    <mergeCell ref="A6642:D6642"/>
    <mergeCell ref="A6624:B6624"/>
    <mergeCell ref="C6624:D6624"/>
    <mergeCell ref="A6625:B6625"/>
    <mergeCell ref="C6625:D6625"/>
    <mergeCell ref="A6626:D6626"/>
    <mergeCell ref="A6627:D6627"/>
    <mergeCell ref="A6650:B6650"/>
    <mergeCell ref="C6650:D6650"/>
    <mergeCell ref="A6651:B6651"/>
    <mergeCell ref="C6651:D6651"/>
    <mergeCell ref="A6652:B6652"/>
    <mergeCell ref="C6652:D6652"/>
    <mergeCell ref="A6653:D6653"/>
    <mergeCell ref="A6654:D6654"/>
    <mergeCell ref="A6655:D6655"/>
    <mergeCell ref="A6656:D6656"/>
    <mergeCell ref="A6657:D6657"/>
    <mergeCell ref="A6658:B6658"/>
    <mergeCell ref="C6658:D6658"/>
    <mergeCell ref="C6659:D6659"/>
    <mergeCell ref="A6661:B6661"/>
    <mergeCell ref="C6661:D6661"/>
    <mergeCell ref="A6662:B6662"/>
    <mergeCell ref="C6662:D6662"/>
    <mergeCell ref="C6685:D6685"/>
    <mergeCell ref="A6663:B6663"/>
    <mergeCell ref="C6663:D6663"/>
    <mergeCell ref="A6664:B6664"/>
    <mergeCell ref="C6664:D6664"/>
    <mergeCell ref="A6665:B6665"/>
    <mergeCell ref="C6665:D6665"/>
    <mergeCell ref="A6666:B6666"/>
    <mergeCell ref="C6666:D6666"/>
    <mergeCell ref="A6667:D6667"/>
    <mergeCell ref="A6668:D6668"/>
    <mergeCell ref="A6669:D6669"/>
    <mergeCell ref="A6670:D6670"/>
    <mergeCell ref="A6671:B6671"/>
    <mergeCell ref="C6671:D6671"/>
    <mergeCell ref="C6672:D6672"/>
    <mergeCell ref="A6674:B6674"/>
    <mergeCell ref="C6674:D6674"/>
    <mergeCell ref="C6686:D6686"/>
    <mergeCell ref="A6688:B6688"/>
    <mergeCell ref="C6688:D6688"/>
    <mergeCell ref="A6689:B6689"/>
    <mergeCell ref="C6689:D6689"/>
    <mergeCell ref="A6690:B6690"/>
    <mergeCell ref="C6690:D6690"/>
    <mergeCell ref="A6691:B6691"/>
    <mergeCell ref="C6691:D6691"/>
    <mergeCell ref="A6692:B6692"/>
    <mergeCell ref="C6692:D6692"/>
    <mergeCell ref="A6693:B6693"/>
    <mergeCell ref="C6693:D6693"/>
    <mergeCell ref="A6694:D6694"/>
    <mergeCell ref="A6695:D6695"/>
    <mergeCell ref="A6696:D6696"/>
    <mergeCell ref="A6675:B6675"/>
    <mergeCell ref="C6675:D6675"/>
    <mergeCell ref="A6676:B6676"/>
    <mergeCell ref="C6676:D6676"/>
    <mergeCell ref="A6677:B6677"/>
    <mergeCell ref="C6677:D6677"/>
    <mergeCell ref="A6678:B6678"/>
    <mergeCell ref="C6678:D6678"/>
    <mergeCell ref="A6679:B6679"/>
    <mergeCell ref="C6679:D6679"/>
    <mergeCell ref="A6680:D6680"/>
    <mergeCell ref="A6681:D6681"/>
    <mergeCell ref="A6682:D6682"/>
    <mergeCell ref="A6683:D6683"/>
    <mergeCell ref="A6684:D6684"/>
    <mergeCell ref="A6685:B6685"/>
  </mergeCells>
  <printOptions horizontalCentered="1" verticalCentered="1"/>
  <pageMargins left="2.29" right="2.204724409448819" top="0.11811023622047245" bottom="0.15748031496062992" header="0.11811023622047245" footer="0.15748031496062992"/>
  <pageSetup scale="68" orientation="portrait" r:id="rId1"/>
  <headerFooter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374"/>
  <sheetViews>
    <sheetView showRuler="0" view="pageLayout" topLeftCell="A4348" zoomScale="55" zoomScaleNormal="70" zoomScalePageLayoutView="55" workbookViewId="0">
      <selection activeCell="A10" sqref="A10:B10"/>
    </sheetView>
  </sheetViews>
  <sheetFormatPr defaultColWidth="10.7109375" defaultRowHeight="42.75" customHeight="1"/>
  <cols>
    <col min="1" max="1" width="15.42578125" style="23" customWidth="1"/>
    <col min="2" max="2" width="17.28515625" style="24" customWidth="1"/>
    <col min="3" max="3" width="20.85546875" style="24" customWidth="1"/>
    <col min="4" max="4" width="18.85546875" style="25" customWidth="1"/>
    <col min="5" max="5" width="24.85546875" style="7" customWidth="1"/>
    <col min="6" max="6" width="25.28515625" style="7" customWidth="1"/>
    <col min="7" max="7" width="12" style="7" customWidth="1"/>
    <col min="8" max="8" width="13.28515625" style="7" customWidth="1"/>
    <col min="9" max="9" width="31.28515625" style="7" customWidth="1"/>
    <col min="10" max="10" width="13.5703125" style="8" customWidth="1"/>
    <col min="11" max="11" width="14" style="8" customWidth="1"/>
    <col min="12" max="12" width="22.7109375" style="8" customWidth="1"/>
    <col min="13" max="16384" width="10.7109375" style="8"/>
  </cols>
  <sheetData>
    <row r="1" spans="1:16" ht="42.75" customHeight="1" thickBot="1">
      <c r="A1" s="126" t="s">
        <v>19</v>
      </c>
      <c r="B1" s="127"/>
      <c r="C1" s="127"/>
      <c r="D1" s="128"/>
      <c r="E1" s="6"/>
      <c r="K1" s="9"/>
      <c r="L1" s="10"/>
      <c r="M1" s="10"/>
      <c r="N1" s="10"/>
      <c r="O1" s="10"/>
      <c r="P1" s="11"/>
    </row>
    <row r="2" spans="1:16" ht="42.75" customHeight="1" thickBot="1">
      <c r="A2" s="123" t="s">
        <v>11</v>
      </c>
      <c r="B2" s="124"/>
      <c r="C2" s="125" t="s">
        <v>603</v>
      </c>
      <c r="D2" s="124"/>
      <c r="E2" s="12"/>
      <c r="K2" s="9"/>
      <c r="L2" s="10"/>
      <c r="M2" s="10"/>
      <c r="N2" s="10"/>
      <c r="O2" s="10"/>
      <c r="P2" s="11"/>
    </row>
    <row r="3" spans="1:16" ht="42.75" customHeight="1" thickBot="1">
      <c r="A3" s="1" t="s">
        <v>686</v>
      </c>
      <c r="B3" s="26" t="s">
        <v>1</v>
      </c>
      <c r="C3" s="90" t="s">
        <v>631</v>
      </c>
      <c r="D3" s="91"/>
      <c r="E3" s="13"/>
      <c r="F3" s="14"/>
      <c r="G3" s="14"/>
      <c r="H3" s="14"/>
      <c r="K3" s="9"/>
      <c r="L3" s="10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10"/>
      <c r="N3" s="10"/>
      <c r="O3" s="10"/>
      <c r="P3" s="11"/>
    </row>
    <row r="4" spans="1:16" ht="42.75" customHeight="1" thickBot="1">
      <c r="A4" s="26"/>
      <c r="B4" s="26" t="s">
        <v>0</v>
      </c>
      <c r="C4" s="5" t="s">
        <v>687</v>
      </c>
      <c r="D4" s="4" t="s">
        <v>2</v>
      </c>
      <c r="E4" s="15">
        <f>SUM(A10+A37+A64+A91+A118+A145+A172+A199+A226+A253+A280+A307+A334+A361+A388+A415+A442+A469+A496+A3142+A3169+A523+A550+A577+A604+A631+A658+A685+A712+A739+A766+A793+A820+A847+A874+A901+A3898+A928+A955+A982+A1009+A1036+A1063+A1090+A1117+A1144+A1171+A1198+A1225+A1252+A1279+A1306+A1333+A1360+A1387+A1414+A1441+A1468+A1495+A1522+A1549+A1576+A1603+A1630+A1657+A1684+A1711+A1738+A1765+A1792+A1819+A1846+A1873+A1900+A1927+A1954+A1981+A2008+A2035+A2062+A2089+A2116+A2143+A2170+A2197+A2224+A2251+A2278+A2305+A2332+A2359+A2386+A2413+A2440+A2467+A2494+A2521+A2548+A2575+A2602+A2629+A2656+A2683+A2710+A2737+A2764+A2791+A2818+A2845+A2872+A2899+A2926+A2953+A2980+A3007+A3034+A3061+A3088+A3115+A3196+A3223+A3250+A3277+A3304+A3331+A3358+A3385+A3412+A3439+A3466+A3493+A3520+A3547+A3574+A3601+A3628+A3655+A3682+A3709+A3736+A3763+A3790+A3817+A3844+A3871+A3925+A3952+A3979+A4006+A4033+A4060+A4087+A4114+A4141+A4168+A4195+A4222+A4249+A4276+A4303+A4330+A4357)</f>
        <v>0</v>
      </c>
      <c r="K4" s="9"/>
      <c r="L4" s="10"/>
      <c r="M4" s="10"/>
      <c r="N4" s="10"/>
      <c r="O4" s="10"/>
      <c r="P4" s="11"/>
    </row>
    <row r="5" spans="1:16" ht="42.75" customHeight="1" thickBot="1">
      <c r="A5" s="92">
        <v>1975</v>
      </c>
      <c r="B5" s="93"/>
      <c r="C5" s="94" t="s">
        <v>3</v>
      </c>
      <c r="D5" s="95"/>
      <c r="E5" s="16"/>
      <c r="K5" s="17"/>
      <c r="L5" s="18"/>
      <c r="M5" s="18"/>
      <c r="N5" s="18"/>
      <c r="O5" s="18"/>
      <c r="P5" s="19"/>
    </row>
    <row r="6" spans="1:16" ht="42.75" customHeight="1" thickBot="1">
      <c r="A6" s="92">
        <v>1975</v>
      </c>
      <c r="B6" s="93"/>
      <c r="C6" s="96" t="s">
        <v>4</v>
      </c>
      <c r="D6" s="97"/>
      <c r="E6" s="16"/>
    </row>
    <row r="7" spans="1:16" ht="42.75" customHeight="1" thickBot="1">
      <c r="A7" s="98">
        <f>A6-A5</f>
        <v>0</v>
      </c>
      <c r="B7" s="99"/>
      <c r="C7" s="100" t="s">
        <v>5</v>
      </c>
      <c r="D7" s="97"/>
      <c r="E7" s="20"/>
    </row>
    <row r="8" spans="1:16" ht="42.75" customHeight="1" thickBot="1">
      <c r="A8" s="101">
        <v>62</v>
      </c>
      <c r="B8" s="102"/>
      <c r="C8" s="96" t="s">
        <v>6</v>
      </c>
      <c r="D8" s="97"/>
      <c r="E8" s="20">
        <f>SUM(A7+A34+A61+A88+A115+A142+A169+A196+A223+A250+A277+A304+A331+A358+A385+A412+A439+A466+A493+A547+A574+A601+A628+A655+A682+A709+A736+A763+A790+A817+A844+A871+A898+A925+A952+A979+A1006+A1033+A1060+A1087+A1114+A1141+A1168+A1195+A1222+A1249+A1276+A1303+A1330+A1357+A1384+A1411+A1438+A1465+A1492+A1519+A1546+A1573+A1600+A1627+A1654+A1681+A1708+A1735+A1762+A1789+A1816+A1843+A1870+A1897+A1924+A1951+A1978+A2005+A2032+A2059+A2086+A2113+A2140+A2167+A2194+A2221+A2248+A2302+A2329+A2356+A2383+A2410+A2437+A2464+A2491+A2518+A2545+A2572+A2599+A2626+A2653+A2680+A2707+A2734+A2761+A2788+A2815+A2842+A2869+A2896+A2923+A2950+A2977+A3004+A3031+A3058+A3085+A3112+A3139+A3166+A3193+A3220+A3247+A3274+A3301+A3328+A3355+A3382+A3409+A3436+A3463+A3490+A3517+A3544+A3571+A3598+A3625+A3652+A3679+A3706+A3733+A3760+A3787+A3814+A3841+A3868+A3895+A3922+A3949+A3976+A4003+A4030+A4057+A4084+A4111+A4138+A4165+A4192+A520+A2275)</f>
        <v>0</v>
      </c>
    </row>
    <row r="9" spans="1:16" ht="42.75" customHeight="1" thickBot="1">
      <c r="A9" s="103"/>
      <c r="B9" s="104"/>
      <c r="C9" s="96" t="s">
        <v>21</v>
      </c>
      <c r="D9" s="97"/>
      <c r="E9" s="20"/>
    </row>
    <row r="10" spans="1:16" ht="42.75" customHeight="1" thickBot="1">
      <c r="A10" s="105">
        <f>A8*A7</f>
        <v>0</v>
      </c>
      <c r="B10" s="106"/>
      <c r="C10" s="96" t="s">
        <v>7</v>
      </c>
      <c r="D10" s="97"/>
      <c r="E10" s="20"/>
    </row>
    <row r="11" spans="1:16" ht="42.75" customHeight="1" thickBot="1">
      <c r="A11" s="107" t="s">
        <v>17</v>
      </c>
      <c r="B11" s="108"/>
      <c r="C11" s="108"/>
      <c r="D11" s="109"/>
      <c r="E11" s="20"/>
    </row>
    <row r="12" spans="1:16" ht="42.75" customHeight="1" thickBot="1">
      <c r="A12" s="116" t="s">
        <v>20</v>
      </c>
      <c r="B12" s="117"/>
      <c r="C12" s="117"/>
      <c r="D12" s="118"/>
      <c r="E12" s="20"/>
    </row>
    <row r="13" spans="1:16" ht="42.75" customHeight="1" thickBot="1">
      <c r="A13" s="113" t="s">
        <v>18</v>
      </c>
      <c r="B13" s="114"/>
      <c r="C13" s="114"/>
      <c r="D13" s="115"/>
      <c r="E13" s="20"/>
    </row>
    <row r="14" spans="1:16" ht="42.75" customHeight="1" thickBot="1">
      <c r="A14" s="119"/>
      <c r="B14" s="119"/>
      <c r="C14" s="119"/>
      <c r="D14" s="119"/>
      <c r="E14" s="20"/>
    </row>
    <row r="15" spans="1:16" ht="42.75" customHeight="1" thickBot="1">
      <c r="A15" s="126" t="s">
        <v>19</v>
      </c>
      <c r="B15" s="127"/>
      <c r="C15" s="127"/>
      <c r="D15" s="128"/>
      <c r="E15" s="20"/>
    </row>
    <row r="16" spans="1:16" s="7" customFormat="1" ht="42.75" customHeight="1" thickBot="1">
      <c r="A16" s="123" t="s">
        <v>11</v>
      </c>
      <c r="B16" s="124"/>
      <c r="C16" s="125" t="s">
        <v>603</v>
      </c>
      <c r="D16" s="124"/>
      <c r="E16" s="6"/>
      <c r="J16" s="8"/>
      <c r="K16" s="8"/>
      <c r="L16" s="8"/>
      <c r="M16" s="8"/>
      <c r="N16" s="8"/>
      <c r="O16" s="8"/>
      <c r="P16" s="8"/>
    </row>
    <row r="17" spans="1:16" s="7" customFormat="1" ht="42.75" customHeight="1" thickBot="1">
      <c r="A17" s="1" t="s">
        <v>686</v>
      </c>
      <c r="B17" s="26" t="s">
        <v>1</v>
      </c>
      <c r="C17" s="90" t="s">
        <v>631</v>
      </c>
      <c r="D17" s="91"/>
      <c r="E17" s="6"/>
      <c r="J17" s="8"/>
      <c r="K17" s="8"/>
      <c r="L17" s="8"/>
      <c r="M17" s="8"/>
      <c r="N17" s="8"/>
      <c r="O17" s="8"/>
      <c r="P17" s="8"/>
    </row>
    <row r="18" spans="1:16" s="7" customFormat="1" ht="42.75" customHeight="1" thickBot="1">
      <c r="A18" s="26"/>
      <c r="B18" s="26" t="s">
        <v>0</v>
      </c>
      <c r="C18" s="5" t="s">
        <v>687</v>
      </c>
      <c r="D18" s="4" t="s">
        <v>2</v>
      </c>
      <c r="E18" s="21"/>
      <c r="J18" s="8"/>
      <c r="K18" s="8"/>
      <c r="L18" s="8"/>
      <c r="M18" s="8"/>
      <c r="N18" s="8"/>
      <c r="O18" s="8"/>
      <c r="P18" s="8"/>
    </row>
    <row r="19" spans="1:16" s="7" customFormat="1" ht="42.75" customHeight="1" thickBot="1">
      <c r="A19" s="92">
        <v>1935</v>
      </c>
      <c r="B19" s="93"/>
      <c r="C19" s="94" t="s">
        <v>3</v>
      </c>
      <c r="D19" s="95"/>
      <c r="E19" s="21"/>
      <c r="J19" s="8"/>
      <c r="K19" s="8"/>
      <c r="L19" s="8"/>
      <c r="M19" s="8"/>
      <c r="N19" s="8"/>
      <c r="O19" s="8"/>
      <c r="P19" s="8"/>
    </row>
    <row r="20" spans="1:16" s="7" customFormat="1" ht="42.75" customHeight="1" thickBot="1">
      <c r="A20" s="92">
        <v>1975</v>
      </c>
      <c r="B20" s="93"/>
      <c r="C20" s="96" t="s">
        <v>4</v>
      </c>
      <c r="D20" s="97"/>
      <c r="E20" s="22"/>
      <c r="J20" s="8"/>
      <c r="K20" s="8"/>
      <c r="L20" s="8"/>
      <c r="M20" s="8"/>
      <c r="N20" s="8"/>
      <c r="O20" s="8"/>
      <c r="P20" s="8"/>
    </row>
    <row r="21" spans="1:16" s="7" customFormat="1" ht="42.75" customHeight="1" thickBot="1">
      <c r="A21" s="98">
        <f>A20-A19</f>
        <v>40</v>
      </c>
      <c r="B21" s="99"/>
      <c r="C21" s="100" t="s">
        <v>5</v>
      </c>
      <c r="D21" s="97"/>
      <c r="E21" s="20"/>
      <c r="J21" s="8"/>
      <c r="K21" s="8"/>
      <c r="L21" s="8"/>
      <c r="M21" s="8"/>
      <c r="N21" s="8"/>
      <c r="O21" s="8"/>
      <c r="P21" s="8"/>
    </row>
    <row r="22" spans="1:16" s="7" customFormat="1" ht="42.75" customHeight="1" thickBot="1">
      <c r="A22" s="101">
        <v>62</v>
      </c>
      <c r="B22" s="102"/>
      <c r="C22" s="96" t="s">
        <v>6</v>
      </c>
      <c r="D22" s="97"/>
      <c r="E22" s="20"/>
      <c r="J22" s="8"/>
      <c r="K22" s="8"/>
      <c r="L22" s="8"/>
      <c r="M22" s="8"/>
      <c r="N22" s="8"/>
      <c r="O22" s="8"/>
      <c r="P22" s="8"/>
    </row>
    <row r="23" spans="1:16" s="7" customFormat="1" ht="42.75" customHeight="1" thickBot="1">
      <c r="A23" s="103"/>
      <c r="B23" s="104"/>
      <c r="C23" s="96" t="s">
        <v>21</v>
      </c>
      <c r="D23" s="97"/>
      <c r="E23" s="20"/>
      <c r="J23" s="8"/>
      <c r="K23" s="8"/>
      <c r="L23" s="8"/>
      <c r="M23" s="8"/>
      <c r="N23" s="8"/>
      <c r="O23" s="8"/>
      <c r="P23" s="8"/>
    </row>
    <row r="24" spans="1:16" s="7" customFormat="1" ht="42.75" customHeight="1" thickBot="1">
      <c r="A24" s="105">
        <v>2500</v>
      </c>
      <c r="B24" s="106"/>
      <c r="C24" s="96" t="s">
        <v>7</v>
      </c>
      <c r="D24" s="97"/>
      <c r="E24" s="20"/>
      <c r="J24" s="8"/>
      <c r="K24" s="8"/>
      <c r="L24" s="8"/>
      <c r="M24" s="8"/>
      <c r="N24" s="8"/>
      <c r="O24" s="8"/>
      <c r="P24" s="8"/>
    </row>
    <row r="25" spans="1:16" s="7" customFormat="1" ht="42.75" customHeight="1" thickBot="1">
      <c r="A25" s="107" t="s">
        <v>17</v>
      </c>
      <c r="B25" s="108"/>
      <c r="C25" s="108"/>
      <c r="D25" s="109"/>
      <c r="E25" s="20"/>
      <c r="J25" s="8"/>
      <c r="K25" s="8"/>
      <c r="L25" s="8"/>
      <c r="M25" s="8"/>
      <c r="N25" s="8"/>
      <c r="O25" s="8"/>
      <c r="P25" s="8"/>
    </row>
    <row r="26" spans="1:16" s="7" customFormat="1" ht="42.75" customHeight="1" thickBot="1">
      <c r="A26" s="110" t="s">
        <v>20</v>
      </c>
      <c r="B26" s="111"/>
      <c r="C26" s="111"/>
      <c r="D26" s="112"/>
      <c r="E26" s="20"/>
      <c r="J26" s="8"/>
      <c r="K26" s="8"/>
      <c r="L26" s="8"/>
      <c r="M26" s="8"/>
      <c r="N26" s="8"/>
      <c r="O26" s="8"/>
      <c r="P26" s="8"/>
    </row>
    <row r="27" spans="1:16" s="7" customFormat="1" ht="42.75" customHeight="1" thickBot="1">
      <c r="A27" s="113" t="s">
        <v>18</v>
      </c>
      <c r="B27" s="114"/>
      <c r="C27" s="114"/>
      <c r="D27" s="115"/>
      <c r="E27" s="20" t="s">
        <v>10</v>
      </c>
      <c r="J27" s="8"/>
      <c r="K27" s="8"/>
      <c r="L27" s="8"/>
      <c r="M27" s="8"/>
      <c r="N27" s="8"/>
      <c r="O27" s="8"/>
      <c r="P27" s="8"/>
    </row>
    <row r="28" spans="1:16" s="7" customFormat="1" ht="42.75" customHeight="1" thickBot="1">
      <c r="A28" s="126" t="s">
        <v>19</v>
      </c>
      <c r="B28" s="127"/>
      <c r="C28" s="127"/>
      <c r="D28" s="128"/>
      <c r="E28" s="20"/>
      <c r="J28" s="8"/>
      <c r="K28" s="8"/>
      <c r="L28" s="8"/>
      <c r="M28" s="8"/>
      <c r="N28" s="8"/>
      <c r="O28" s="8"/>
      <c r="P28" s="8"/>
    </row>
    <row r="29" spans="1:16" s="7" customFormat="1" ht="42.75" customHeight="1" thickBot="1">
      <c r="A29" s="123" t="s">
        <v>11</v>
      </c>
      <c r="B29" s="124"/>
      <c r="C29" s="125" t="s">
        <v>603</v>
      </c>
      <c r="D29" s="124"/>
      <c r="E29" s="20"/>
      <c r="J29" s="8"/>
      <c r="K29" s="8"/>
      <c r="L29" s="8"/>
      <c r="M29" s="8"/>
      <c r="N29" s="8"/>
      <c r="O29" s="8"/>
      <c r="P29" s="8"/>
    </row>
    <row r="30" spans="1:16" s="7" customFormat="1" ht="42.75" customHeight="1" thickBot="1">
      <c r="A30" s="1" t="s">
        <v>686</v>
      </c>
      <c r="B30" s="26" t="s">
        <v>1</v>
      </c>
      <c r="C30" s="90" t="s">
        <v>556</v>
      </c>
      <c r="D30" s="91"/>
      <c r="E30" s="6"/>
      <c r="J30" s="8"/>
      <c r="K30" s="8"/>
      <c r="L30" s="8"/>
      <c r="M30" s="8"/>
      <c r="N30" s="8"/>
      <c r="O30" s="8"/>
      <c r="P30" s="8"/>
    </row>
    <row r="31" spans="1:16" s="7" customFormat="1" ht="42.75" customHeight="1" thickBot="1">
      <c r="A31" s="26"/>
      <c r="B31" s="26" t="s">
        <v>0</v>
      </c>
      <c r="C31" s="5" t="s">
        <v>687</v>
      </c>
      <c r="D31" s="4" t="s">
        <v>2</v>
      </c>
      <c r="E31" s="6"/>
      <c r="J31" s="8"/>
      <c r="K31" s="8"/>
      <c r="L31" s="8"/>
      <c r="M31" s="8"/>
      <c r="N31" s="8"/>
      <c r="O31" s="8"/>
      <c r="P31" s="8"/>
    </row>
    <row r="32" spans="1:16" s="7" customFormat="1" ht="42.75" customHeight="1" thickBot="1">
      <c r="A32" s="92">
        <v>1745</v>
      </c>
      <c r="B32" s="93"/>
      <c r="C32" s="94" t="s">
        <v>3</v>
      </c>
      <c r="D32" s="95"/>
      <c r="E32" s="21"/>
      <c r="J32" s="8"/>
      <c r="K32" s="8"/>
      <c r="L32" s="8"/>
      <c r="M32" s="8"/>
      <c r="N32" s="8"/>
      <c r="O32" s="8"/>
      <c r="P32" s="8"/>
    </row>
    <row r="33" spans="1:16" s="7" customFormat="1" ht="42.75" customHeight="1" thickBot="1">
      <c r="A33" s="92">
        <v>1745</v>
      </c>
      <c r="B33" s="93"/>
      <c r="C33" s="96" t="s">
        <v>4</v>
      </c>
      <c r="D33" s="97"/>
      <c r="E33" s="21"/>
      <c r="J33" s="8"/>
      <c r="K33" s="8"/>
      <c r="L33" s="8"/>
      <c r="M33" s="8"/>
      <c r="N33" s="8"/>
      <c r="O33" s="8"/>
      <c r="P33" s="8"/>
    </row>
    <row r="34" spans="1:16" s="7" customFormat="1" ht="42.75" customHeight="1" thickBot="1">
      <c r="A34" s="98">
        <f>A33-A32</f>
        <v>0</v>
      </c>
      <c r="B34" s="99"/>
      <c r="C34" s="100" t="s">
        <v>5</v>
      </c>
      <c r="D34" s="97"/>
      <c r="E34" s="22"/>
      <c r="J34" s="8"/>
      <c r="K34" s="8"/>
      <c r="L34" s="8"/>
      <c r="M34" s="8"/>
      <c r="N34" s="8"/>
      <c r="O34" s="8"/>
      <c r="P34" s="8"/>
    </row>
    <row r="35" spans="1:16" s="7" customFormat="1" ht="42.75" customHeight="1" thickBot="1">
      <c r="A35" s="101">
        <v>62</v>
      </c>
      <c r="B35" s="102"/>
      <c r="C35" s="96" t="s">
        <v>6</v>
      </c>
      <c r="D35" s="97"/>
      <c r="E35" s="20"/>
      <c r="J35" s="8"/>
      <c r="K35" s="8"/>
      <c r="L35" s="8"/>
      <c r="M35" s="8"/>
      <c r="N35" s="8"/>
      <c r="O35" s="8"/>
      <c r="P35" s="8"/>
    </row>
    <row r="36" spans="1:16" s="7" customFormat="1" ht="42.75" customHeight="1" thickBot="1">
      <c r="A36" s="103"/>
      <c r="B36" s="104"/>
      <c r="C36" s="96" t="s">
        <v>21</v>
      </c>
      <c r="D36" s="97"/>
      <c r="E36" s="20"/>
      <c r="J36" s="8"/>
      <c r="K36" s="8"/>
      <c r="L36" s="8"/>
      <c r="M36" s="8"/>
      <c r="N36" s="8"/>
      <c r="O36" s="8"/>
      <c r="P36" s="8"/>
    </row>
    <row r="37" spans="1:16" s="7" customFormat="1" ht="42.75" customHeight="1" thickBot="1">
      <c r="A37" s="105">
        <f>A35*A34</f>
        <v>0</v>
      </c>
      <c r="B37" s="106"/>
      <c r="C37" s="96" t="s">
        <v>7</v>
      </c>
      <c r="D37" s="97"/>
      <c r="E37" s="20"/>
      <c r="J37" s="8"/>
      <c r="K37" s="8"/>
      <c r="L37" s="8"/>
      <c r="M37" s="8"/>
      <c r="N37" s="8"/>
      <c r="O37" s="8"/>
      <c r="P37" s="8"/>
    </row>
    <row r="38" spans="1:16" s="7" customFormat="1" ht="42.75" customHeight="1" thickBot="1">
      <c r="A38" s="107" t="s">
        <v>17</v>
      </c>
      <c r="B38" s="108"/>
      <c r="C38" s="108"/>
      <c r="D38" s="109"/>
      <c r="E38" s="20"/>
      <c r="J38" s="8"/>
      <c r="K38" s="8"/>
      <c r="L38" s="8"/>
      <c r="M38" s="8"/>
      <c r="N38" s="8"/>
      <c r="O38" s="8"/>
      <c r="P38" s="8"/>
    </row>
    <row r="39" spans="1:16" s="7" customFormat="1" ht="42.75" customHeight="1" thickBot="1">
      <c r="A39" s="116" t="s">
        <v>20</v>
      </c>
      <c r="B39" s="117"/>
      <c r="C39" s="117"/>
      <c r="D39" s="118"/>
      <c r="E39" s="20"/>
      <c r="J39" s="8"/>
      <c r="K39" s="8"/>
      <c r="L39" s="8"/>
      <c r="M39" s="8"/>
      <c r="N39" s="8"/>
      <c r="O39" s="8"/>
      <c r="P39" s="8"/>
    </row>
    <row r="40" spans="1:16" s="7" customFormat="1" ht="42.75" customHeight="1" thickBot="1">
      <c r="A40" s="113" t="s">
        <v>18</v>
      </c>
      <c r="B40" s="114"/>
      <c r="C40" s="114"/>
      <c r="D40" s="115"/>
      <c r="E40" s="20"/>
      <c r="J40" s="8"/>
      <c r="K40" s="8"/>
      <c r="L40" s="8"/>
      <c r="M40" s="8"/>
      <c r="N40" s="8"/>
      <c r="O40" s="8"/>
      <c r="P40" s="8"/>
    </row>
    <row r="41" spans="1:16" s="7" customFormat="1" ht="42.75" customHeight="1" thickBot="1">
      <c r="A41" s="119"/>
      <c r="B41" s="119"/>
      <c r="C41" s="119"/>
      <c r="D41" s="119"/>
      <c r="E41" s="20"/>
      <c r="J41" s="8"/>
      <c r="K41" s="8"/>
      <c r="L41" s="8"/>
      <c r="M41" s="8"/>
      <c r="N41" s="8"/>
      <c r="O41" s="8"/>
      <c r="P41" s="8"/>
    </row>
    <row r="42" spans="1:16" s="7" customFormat="1" ht="42.75" customHeight="1" thickBot="1">
      <c r="A42" s="126" t="s">
        <v>19</v>
      </c>
      <c r="B42" s="127"/>
      <c r="C42" s="127"/>
      <c r="D42" s="128"/>
      <c r="E42" s="20"/>
      <c r="J42" s="8"/>
      <c r="K42" s="8"/>
      <c r="L42" s="8"/>
      <c r="M42" s="8"/>
      <c r="N42" s="8"/>
      <c r="O42" s="8"/>
      <c r="P42" s="8"/>
    </row>
    <row r="43" spans="1:16" s="7" customFormat="1" ht="42.75" customHeight="1" thickBot="1">
      <c r="A43" s="123" t="s">
        <v>11</v>
      </c>
      <c r="B43" s="124"/>
      <c r="C43" s="125" t="s">
        <v>603</v>
      </c>
      <c r="D43" s="124"/>
      <c r="E43" s="20"/>
      <c r="J43" s="8"/>
      <c r="K43" s="8"/>
      <c r="L43" s="8"/>
      <c r="M43" s="8"/>
      <c r="N43" s="8"/>
      <c r="O43" s="8"/>
      <c r="P43" s="8"/>
    </row>
    <row r="44" spans="1:16" s="7" customFormat="1" ht="42.75" customHeight="1" thickBot="1">
      <c r="A44" s="1" t="s">
        <v>686</v>
      </c>
      <c r="B44" s="26" t="s">
        <v>1</v>
      </c>
      <c r="C44" s="90" t="s">
        <v>556</v>
      </c>
      <c r="D44" s="91"/>
      <c r="E44" s="20"/>
      <c r="J44" s="8"/>
      <c r="K44" s="8"/>
      <c r="L44" s="8"/>
      <c r="M44" s="8"/>
      <c r="N44" s="8"/>
      <c r="O44" s="8"/>
      <c r="P44" s="8"/>
    </row>
    <row r="45" spans="1:16" s="7" customFormat="1" ht="42.75" customHeight="1" thickBot="1">
      <c r="A45" s="26"/>
      <c r="B45" s="26" t="s">
        <v>0</v>
      </c>
      <c r="C45" s="5" t="s">
        <v>687</v>
      </c>
      <c r="D45" s="4" t="s">
        <v>2</v>
      </c>
      <c r="E45" s="20"/>
      <c r="J45" s="8"/>
      <c r="K45" s="8"/>
      <c r="L45" s="8"/>
      <c r="M45" s="8"/>
      <c r="N45" s="8"/>
      <c r="O45" s="8"/>
      <c r="P45" s="8"/>
    </row>
    <row r="46" spans="1:16" s="7" customFormat="1" ht="42.75" customHeight="1" thickBot="1">
      <c r="A46" s="92">
        <v>1710</v>
      </c>
      <c r="B46" s="93"/>
      <c r="C46" s="94" t="s">
        <v>3</v>
      </c>
      <c r="D46" s="95"/>
      <c r="E46" s="6"/>
      <c r="J46" s="8"/>
      <c r="K46" s="8"/>
      <c r="L46" s="8"/>
      <c r="M46" s="8"/>
      <c r="N46" s="8"/>
      <c r="O46" s="8"/>
      <c r="P46" s="8"/>
    </row>
    <row r="47" spans="1:16" s="7" customFormat="1" ht="42.75" customHeight="1" thickBot="1">
      <c r="A47" s="92">
        <v>1745</v>
      </c>
      <c r="B47" s="93"/>
      <c r="C47" s="96" t="s">
        <v>4</v>
      </c>
      <c r="D47" s="97"/>
      <c r="E47" s="6"/>
      <c r="J47" s="8"/>
      <c r="K47" s="8"/>
      <c r="L47" s="8"/>
      <c r="M47" s="8"/>
      <c r="N47" s="8"/>
      <c r="O47" s="8"/>
      <c r="P47" s="8"/>
    </row>
    <row r="48" spans="1:16" s="7" customFormat="1" ht="42.75" customHeight="1" thickBot="1">
      <c r="A48" s="98">
        <f>A47-A46</f>
        <v>35</v>
      </c>
      <c r="B48" s="99"/>
      <c r="C48" s="100" t="s">
        <v>5</v>
      </c>
      <c r="D48" s="97"/>
      <c r="E48" s="21"/>
      <c r="J48" s="8"/>
      <c r="K48" s="8"/>
      <c r="L48" s="8"/>
      <c r="M48" s="8"/>
      <c r="N48" s="8"/>
      <c r="O48" s="8"/>
      <c r="P48" s="8"/>
    </row>
    <row r="49" spans="1:16" s="7" customFormat="1" ht="42.75" customHeight="1" thickBot="1">
      <c r="A49" s="101">
        <v>62</v>
      </c>
      <c r="B49" s="102"/>
      <c r="C49" s="96" t="s">
        <v>6</v>
      </c>
      <c r="D49" s="97"/>
      <c r="E49" s="21"/>
      <c r="J49" s="8"/>
      <c r="K49" s="8"/>
      <c r="L49" s="8"/>
      <c r="M49" s="8"/>
      <c r="N49" s="8"/>
      <c r="O49" s="8"/>
      <c r="P49" s="8"/>
    </row>
    <row r="50" spans="1:16" s="7" customFormat="1" ht="42.75" customHeight="1" thickBot="1">
      <c r="A50" s="103"/>
      <c r="B50" s="104"/>
      <c r="C50" s="96" t="s">
        <v>21</v>
      </c>
      <c r="D50" s="97"/>
      <c r="E50" s="22"/>
      <c r="J50" s="8"/>
      <c r="K50" s="8"/>
      <c r="L50" s="8"/>
      <c r="M50" s="8"/>
      <c r="N50" s="8"/>
      <c r="O50" s="8"/>
      <c r="P50" s="8"/>
    </row>
    <row r="51" spans="1:16" s="7" customFormat="1" ht="42.75" customHeight="1" thickBot="1">
      <c r="A51" s="105">
        <v>2200</v>
      </c>
      <c r="B51" s="106"/>
      <c r="C51" s="96" t="s">
        <v>7</v>
      </c>
      <c r="D51" s="97"/>
      <c r="E51" s="20"/>
      <c r="J51" s="8"/>
      <c r="K51" s="8"/>
      <c r="L51" s="8"/>
      <c r="M51" s="8"/>
      <c r="N51" s="8"/>
      <c r="O51" s="8"/>
      <c r="P51" s="8"/>
    </row>
    <row r="52" spans="1:16" s="7" customFormat="1" ht="42.75" customHeight="1" thickBot="1">
      <c r="A52" s="107" t="s">
        <v>17</v>
      </c>
      <c r="B52" s="108"/>
      <c r="C52" s="108"/>
      <c r="D52" s="109"/>
      <c r="E52" s="20"/>
      <c r="J52" s="8"/>
      <c r="K52" s="8"/>
      <c r="L52" s="8"/>
      <c r="M52" s="8"/>
      <c r="N52" s="8"/>
      <c r="O52" s="8"/>
      <c r="P52" s="8"/>
    </row>
    <row r="53" spans="1:16" s="7" customFormat="1" ht="42.75" customHeight="1" thickBot="1">
      <c r="A53" s="110" t="s">
        <v>20</v>
      </c>
      <c r="B53" s="111"/>
      <c r="C53" s="111"/>
      <c r="D53" s="112"/>
      <c r="E53" s="20"/>
      <c r="J53" s="8"/>
      <c r="K53" s="8"/>
      <c r="L53" s="8"/>
      <c r="M53" s="8"/>
      <c r="N53" s="8"/>
      <c r="O53" s="8"/>
      <c r="P53" s="8"/>
    </row>
    <row r="54" spans="1:16" s="7" customFormat="1" ht="42.75" customHeight="1" thickBot="1">
      <c r="A54" s="113" t="s">
        <v>18</v>
      </c>
      <c r="B54" s="114"/>
      <c r="C54" s="114"/>
      <c r="D54" s="115"/>
      <c r="E54" s="20"/>
      <c r="J54" s="8"/>
      <c r="K54" s="8"/>
      <c r="L54" s="8"/>
      <c r="M54" s="8"/>
      <c r="N54" s="8"/>
      <c r="O54" s="8"/>
      <c r="P54" s="8"/>
    </row>
    <row r="55" spans="1:16" s="7" customFormat="1" ht="42.75" customHeight="1" thickBot="1">
      <c r="A55" s="126" t="s">
        <v>19</v>
      </c>
      <c r="B55" s="127"/>
      <c r="C55" s="127"/>
      <c r="D55" s="128"/>
      <c r="E55" s="20"/>
      <c r="J55" s="8"/>
      <c r="K55" s="8"/>
      <c r="L55" s="8"/>
      <c r="M55" s="8"/>
      <c r="N55" s="8"/>
      <c r="O55" s="8"/>
      <c r="P55" s="8"/>
    </row>
    <row r="56" spans="1:16" s="7" customFormat="1" ht="42.75" customHeight="1" thickBot="1">
      <c r="A56" s="123" t="s">
        <v>11</v>
      </c>
      <c r="B56" s="124"/>
      <c r="C56" s="125" t="s">
        <v>603</v>
      </c>
      <c r="D56" s="124"/>
      <c r="E56" s="20"/>
      <c r="J56" s="8"/>
      <c r="K56" s="8"/>
      <c r="L56" s="8"/>
      <c r="M56" s="8"/>
      <c r="N56" s="8"/>
      <c r="O56" s="8"/>
      <c r="P56" s="8"/>
    </row>
    <row r="57" spans="1:16" s="7" customFormat="1" ht="42.75" customHeight="1" thickBot="1">
      <c r="A57" s="1" t="s">
        <v>686</v>
      </c>
      <c r="B57" s="26" t="s">
        <v>1</v>
      </c>
      <c r="C57" s="90" t="s">
        <v>221</v>
      </c>
      <c r="D57" s="91"/>
      <c r="E57" s="20"/>
      <c r="J57" s="8"/>
      <c r="K57" s="8"/>
      <c r="L57" s="8"/>
      <c r="M57" s="8"/>
      <c r="N57" s="8"/>
      <c r="O57" s="8"/>
      <c r="P57" s="8"/>
    </row>
    <row r="58" spans="1:16" s="7" customFormat="1" ht="42.75" customHeight="1" thickBot="1">
      <c r="A58" s="26"/>
      <c r="B58" s="26" t="s">
        <v>0</v>
      </c>
      <c r="C58" s="5" t="s">
        <v>687</v>
      </c>
      <c r="D58" s="4" t="s">
        <v>2</v>
      </c>
      <c r="E58" s="20"/>
      <c r="J58" s="8"/>
      <c r="K58" s="8"/>
      <c r="L58" s="8"/>
      <c r="M58" s="8"/>
      <c r="N58" s="8"/>
      <c r="O58" s="8"/>
      <c r="P58" s="8"/>
    </row>
    <row r="59" spans="1:16" s="7" customFormat="1" ht="42.75" customHeight="1" thickBot="1">
      <c r="A59" s="92">
        <v>2430</v>
      </c>
      <c r="B59" s="93"/>
      <c r="C59" s="94" t="s">
        <v>3</v>
      </c>
      <c r="D59" s="95"/>
      <c r="E59" s="20"/>
      <c r="J59" s="8"/>
      <c r="K59" s="8"/>
      <c r="L59" s="8"/>
      <c r="M59" s="8"/>
      <c r="N59" s="8"/>
      <c r="O59" s="8"/>
      <c r="P59" s="8"/>
    </row>
    <row r="60" spans="1:16" s="7" customFormat="1" ht="42.75" customHeight="1" thickBot="1">
      <c r="A60" s="92">
        <v>2430</v>
      </c>
      <c r="B60" s="93"/>
      <c r="C60" s="96" t="s">
        <v>4</v>
      </c>
      <c r="D60" s="97"/>
      <c r="E60" s="20"/>
      <c r="J60" s="8"/>
      <c r="K60" s="8"/>
      <c r="L60" s="8"/>
      <c r="M60" s="8"/>
      <c r="N60" s="8"/>
      <c r="O60" s="8"/>
      <c r="P60" s="8"/>
    </row>
    <row r="61" spans="1:16" s="7" customFormat="1" ht="42.75" customHeight="1" thickBot="1">
      <c r="A61" s="98">
        <f>A60-A59</f>
        <v>0</v>
      </c>
      <c r="B61" s="99"/>
      <c r="C61" s="100" t="s">
        <v>5</v>
      </c>
      <c r="D61" s="97"/>
      <c r="E61" s="6"/>
      <c r="J61" s="8"/>
      <c r="K61" s="8"/>
      <c r="L61" s="8"/>
      <c r="M61" s="8"/>
      <c r="N61" s="8"/>
      <c r="O61" s="8"/>
      <c r="P61" s="8"/>
    </row>
    <row r="62" spans="1:16" s="7" customFormat="1" ht="42.75" customHeight="1" thickBot="1">
      <c r="A62" s="101">
        <v>62</v>
      </c>
      <c r="B62" s="102"/>
      <c r="C62" s="96" t="s">
        <v>6</v>
      </c>
      <c r="D62" s="97"/>
      <c r="E62" s="6"/>
      <c r="J62" s="8"/>
      <c r="K62" s="8"/>
      <c r="L62" s="8"/>
      <c r="M62" s="8"/>
      <c r="N62" s="8"/>
      <c r="O62" s="8"/>
      <c r="P62" s="8"/>
    </row>
    <row r="63" spans="1:16" s="7" customFormat="1" ht="42.75" customHeight="1" thickBot="1">
      <c r="A63" s="103"/>
      <c r="B63" s="104"/>
      <c r="C63" s="96" t="s">
        <v>21</v>
      </c>
      <c r="D63" s="97"/>
      <c r="E63" s="21"/>
      <c r="J63" s="8"/>
      <c r="K63" s="8"/>
      <c r="L63" s="8"/>
      <c r="M63" s="8"/>
      <c r="N63" s="8"/>
      <c r="O63" s="8"/>
      <c r="P63" s="8"/>
    </row>
    <row r="64" spans="1:16" s="7" customFormat="1" ht="42.75" customHeight="1" thickBot="1">
      <c r="A64" s="105">
        <f>A62*A61</f>
        <v>0</v>
      </c>
      <c r="B64" s="106"/>
      <c r="C64" s="96" t="s">
        <v>7</v>
      </c>
      <c r="D64" s="97"/>
      <c r="E64" s="21"/>
      <c r="J64" s="8"/>
      <c r="K64" s="8"/>
      <c r="L64" s="8"/>
      <c r="M64" s="8"/>
      <c r="N64" s="8"/>
      <c r="O64" s="8"/>
      <c r="P64" s="8"/>
    </row>
    <row r="65" spans="1:16" s="7" customFormat="1" ht="42.75" customHeight="1" thickBot="1">
      <c r="A65" s="107" t="s">
        <v>17</v>
      </c>
      <c r="B65" s="108"/>
      <c r="C65" s="108"/>
      <c r="D65" s="109"/>
      <c r="E65" s="22"/>
      <c r="J65" s="8"/>
      <c r="K65" s="8"/>
      <c r="L65" s="8"/>
      <c r="M65" s="8"/>
      <c r="N65" s="8"/>
      <c r="O65" s="8"/>
      <c r="P65" s="8"/>
    </row>
    <row r="66" spans="1:16" s="7" customFormat="1" ht="42.75" customHeight="1" thickBot="1">
      <c r="A66" s="116" t="s">
        <v>20</v>
      </c>
      <c r="B66" s="117"/>
      <c r="C66" s="117"/>
      <c r="D66" s="118"/>
      <c r="E66" s="20"/>
      <c r="J66" s="8"/>
      <c r="K66" s="8"/>
      <c r="L66" s="8"/>
      <c r="M66" s="8"/>
      <c r="N66" s="8"/>
      <c r="O66" s="8"/>
      <c r="P66" s="8"/>
    </row>
    <row r="67" spans="1:16" s="7" customFormat="1" ht="42.75" customHeight="1" thickBot="1">
      <c r="A67" s="113" t="s">
        <v>18</v>
      </c>
      <c r="B67" s="114"/>
      <c r="C67" s="114"/>
      <c r="D67" s="115"/>
      <c r="E67" s="20"/>
      <c r="J67" s="8"/>
      <c r="K67" s="8"/>
      <c r="L67" s="8"/>
      <c r="M67" s="8"/>
      <c r="N67" s="8"/>
      <c r="O67" s="8"/>
      <c r="P67" s="8"/>
    </row>
    <row r="68" spans="1:16" s="7" customFormat="1" ht="42.75" customHeight="1" thickBot="1">
      <c r="A68" s="119"/>
      <c r="B68" s="119"/>
      <c r="C68" s="119"/>
      <c r="D68" s="119"/>
      <c r="E68" s="20"/>
      <c r="J68" s="8"/>
      <c r="K68" s="8"/>
      <c r="L68" s="8"/>
      <c r="M68" s="8"/>
      <c r="N68" s="8"/>
      <c r="O68" s="8"/>
      <c r="P68" s="8"/>
    </row>
    <row r="69" spans="1:16" s="7" customFormat="1" ht="42.75" customHeight="1" thickBot="1">
      <c r="A69" s="126" t="s">
        <v>19</v>
      </c>
      <c r="B69" s="127"/>
      <c r="C69" s="127"/>
      <c r="D69" s="128"/>
      <c r="E69" s="20"/>
      <c r="J69" s="8"/>
      <c r="K69" s="8"/>
      <c r="L69" s="8"/>
      <c r="M69" s="8"/>
      <c r="N69" s="8"/>
      <c r="O69" s="8"/>
      <c r="P69" s="8"/>
    </row>
    <row r="70" spans="1:16" s="7" customFormat="1" ht="42.75" customHeight="1" thickBot="1">
      <c r="A70" s="123" t="s">
        <v>11</v>
      </c>
      <c r="B70" s="124"/>
      <c r="C70" s="125" t="s">
        <v>603</v>
      </c>
      <c r="D70" s="124"/>
      <c r="E70" s="20"/>
      <c r="J70" s="8"/>
      <c r="K70" s="8"/>
      <c r="L70" s="8"/>
      <c r="M70" s="8"/>
      <c r="N70" s="8"/>
      <c r="O70" s="8"/>
      <c r="P70" s="8"/>
    </row>
    <row r="71" spans="1:16" s="7" customFormat="1" ht="42.75" customHeight="1" thickBot="1">
      <c r="A71" s="1" t="s">
        <v>686</v>
      </c>
      <c r="B71" s="26" t="s">
        <v>1</v>
      </c>
      <c r="C71" s="90" t="s">
        <v>221</v>
      </c>
      <c r="D71" s="91"/>
      <c r="E71" s="20"/>
      <c r="J71" s="8"/>
      <c r="K71" s="8"/>
      <c r="L71" s="8"/>
      <c r="M71" s="8"/>
      <c r="N71" s="8"/>
      <c r="O71" s="8"/>
      <c r="P71" s="8"/>
    </row>
    <row r="72" spans="1:16" s="7" customFormat="1" ht="42.75" customHeight="1" thickBot="1">
      <c r="A72" s="26"/>
      <c r="B72" s="26" t="s">
        <v>0</v>
      </c>
      <c r="C72" s="5" t="s">
        <v>687</v>
      </c>
      <c r="D72" s="4" t="s">
        <v>2</v>
      </c>
      <c r="E72" s="20"/>
      <c r="J72" s="8"/>
      <c r="K72" s="8"/>
      <c r="L72" s="8"/>
      <c r="M72" s="8"/>
      <c r="N72" s="8"/>
      <c r="O72" s="8"/>
      <c r="P72" s="8"/>
    </row>
    <row r="73" spans="1:16" s="7" customFormat="1" ht="42.75" customHeight="1" thickBot="1">
      <c r="A73" s="92">
        <v>2390</v>
      </c>
      <c r="B73" s="93"/>
      <c r="C73" s="94" t="s">
        <v>3</v>
      </c>
      <c r="D73" s="95"/>
      <c r="E73" s="20"/>
      <c r="J73" s="8"/>
      <c r="K73" s="8"/>
      <c r="L73" s="8"/>
      <c r="M73" s="8"/>
      <c r="N73" s="8"/>
      <c r="O73" s="8"/>
      <c r="P73" s="8"/>
    </row>
    <row r="74" spans="1:16" s="7" customFormat="1" ht="42.75" customHeight="1" thickBot="1">
      <c r="A74" s="92">
        <v>2430</v>
      </c>
      <c r="B74" s="93"/>
      <c r="C74" s="96" t="s">
        <v>4</v>
      </c>
      <c r="D74" s="97"/>
      <c r="E74" s="20"/>
      <c r="J74" s="8"/>
      <c r="K74" s="8"/>
      <c r="L74" s="8"/>
      <c r="M74" s="8"/>
      <c r="N74" s="8"/>
      <c r="O74" s="8"/>
      <c r="P74" s="8"/>
    </row>
    <row r="75" spans="1:16" s="7" customFormat="1" ht="42.75" customHeight="1" thickBot="1">
      <c r="A75" s="98">
        <f>A74-A73</f>
        <v>40</v>
      </c>
      <c r="B75" s="99"/>
      <c r="C75" s="100" t="s">
        <v>5</v>
      </c>
      <c r="D75" s="97"/>
      <c r="E75" s="20"/>
      <c r="J75" s="8"/>
      <c r="K75" s="8"/>
      <c r="L75" s="8"/>
      <c r="M75" s="8"/>
      <c r="N75" s="8"/>
      <c r="O75" s="8"/>
      <c r="P75" s="8"/>
    </row>
    <row r="76" spans="1:16" s="7" customFormat="1" ht="42.75" customHeight="1" thickBot="1">
      <c r="A76" s="101">
        <v>62</v>
      </c>
      <c r="B76" s="102"/>
      <c r="C76" s="96" t="s">
        <v>6</v>
      </c>
      <c r="D76" s="97"/>
      <c r="E76" s="20"/>
      <c r="J76" s="8"/>
      <c r="K76" s="8"/>
      <c r="L76" s="8"/>
      <c r="M76" s="8"/>
      <c r="N76" s="8"/>
      <c r="O76" s="8"/>
      <c r="P76" s="8"/>
    </row>
    <row r="77" spans="1:16" s="7" customFormat="1" ht="42.75" customHeight="1" thickBot="1">
      <c r="A77" s="103"/>
      <c r="B77" s="104"/>
      <c r="C77" s="96" t="s">
        <v>21</v>
      </c>
      <c r="D77" s="97"/>
      <c r="E77" s="6"/>
      <c r="J77" s="8"/>
      <c r="K77" s="8"/>
      <c r="L77" s="8"/>
      <c r="M77" s="8"/>
      <c r="N77" s="8"/>
      <c r="O77" s="8"/>
      <c r="P77" s="8"/>
    </row>
    <row r="78" spans="1:16" s="7" customFormat="1" ht="42.75" customHeight="1" thickBot="1">
      <c r="A78" s="105">
        <v>2500</v>
      </c>
      <c r="B78" s="106"/>
      <c r="C78" s="96" t="s">
        <v>7</v>
      </c>
      <c r="D78" s="97"/>
      <c r="E78" s="6"/>
      <c r="J78" s="8"/>
      <c r="K78" s="8"/>
      <c r="L78" s="8"/>
      <c r="M78" s="8"/>
      <c r="N78" s="8"/>
      <c r="O78" s="8"/>
      <c r="P78" s="8"/>
    </row>
    <row r="79" spans="1:16" s="7" customFormat="1" ht="42.75" customHeight="1" thickBot="1">
      <c r="A79" s="107" t="s">
        <v>17</v>
      </c>
      <c r="B79" s="108"/>
      <c r="C79" s="108"/>
      <c r="D79" s="109"/>
      <c r="E79" s="21"/>
      <c r="J79" s="8"/>
      <c r="K79" s="8"/>
      <c r="L79" s="8"/>
      <c r="M79" s="8"/>
      <c r="N79" s="8"/>
      <c r="O79" s="8"/>
      <c r="P79" s="8"/>
    </row>
    <row r="80" spans="1:16" s="7" customFormat="1" ht="42.75" customHeight="1" thickBot="1">
      <c r="A80" s="110" t="s">
        <v>20</v>
      </c>
      <c r="B80" s="111"/>
      <c r="C80" s="111"/>
      <c r="D80" s="112"/>
      <c r="E80" s="21"/>
      <c r="J80" s="8"/>
      <c r="K80" s="8"/>
      <c r="L80" s="8"/>
      <c r="M80" s="8"/>
      <c r="N80" s="8"/>
      <c r="O80" s="8"/>
      <c r="P80" s="8"/>
    </row>
    <row r="81" spans="1:16" s="7" customFormat="1" ht="42.75" customHeight="1" thickBot="1">
      <c r="A81" s="113" t="s">
        <v>18</v>
      </c>
      <c r="B81" s="114"/>
      <c r="C81" s="114"/>
      <c r="D81" s="115"/>
      <c r="E81" s="22"/>
      <c r="J81" s="8"/>
      <c r="K81" s="8"/>
      <c r="L81" s="8"/>
      <c r="M81" s="8"/>
      <c r="N81" s="8"/>
      <c r="O81" s="8"/>
      <c r="P81" s="8"/>
    </row>
    <row r="82" spans="1:16" ht="42.75" customHeight="1" thickBot="1">
      <c r="A82" s="126" t="s">
        <v>19</v>
      </c>
      <c r="B82" s="127"/>
      <c r="C82" s="127"/>
      <c r="D82" s="128"/>
    </row>
    <row r="83" spans="1:16" ht="42.75" customHeight="1" thickBot="1">
      <c r="A83" s="123" t="s">
        <v>11</v>
      </c>
      <c r="B83" s="124"/>
      <c r="C83" s="125" t="s">
        <v>603</v>
      </c>
      <c r="D83" s="124"/>
    </row>
    <row r="84" spans="1:16" ht="42.75" customHeight="1" thickBot="1">
      <c r="A84" s="1" t="s">
        <v>686</v>
      </c>
      <c r="B84" s="26" t="s">
        <v>1</v>
      </c>
      <c r="C84" s="90" t="s">
        <v>557</v>
      </c>
      <c r="D84" s="91"/>
    </row>
    <row r="85" spans="1:16" ht="42.75" customHeight="1" thickBot="1">
      <c r="A85" s="26"/>
      <c r="B85" s="26" t="s">
        <v>0</v>
      </c>
      <c r="C85" s="5" t="s">
        <v>687</v>
      </c>
      <c r="D85" s="4" t="s">
        <v>2</v>
      </c>
    </row>
    <row r="86" spans="1:16" ht="42.75" customHeight="1" thickBot="1">
      <c r="A86" s="92">
        <v>10350</v>
      </c>
      <c r="B86" s="93"/>
      <c r="C86" s="94" t="s">
        <v>3</v>
      </c>
      <c r="D86" s="95"/>
    </row>
    <row r="87" spans="1:16" ht="42.75" customHeight="1" thickBot="1">
      <c r="A87" s="92">
        <v>10350</v>
      </c>
      <c r="B87" s="93"/>
      <c r="C87" s="96" t="s">
        <v>4</v>
      </c>
      <c r="D87" s="97"/>
    </row>
    <row r="88" spans="1:16" ht="42.75" customHeight="1" thickBot="1">
      <c r="A88" s="98">
        <f>A87-A86</f>
        <v>0</v>
      </c>
      <c r="B88" s="99"/>
      <c r="C88" s="100" t="s">
        <v>5</v>
      </c>
      <c r="D88" s="97"/>
    </row>
    <row r="89" spans="1:16" ht="42.75" customHeight="1" thickBot="1">
      <c r="A89" s="101">
        <v>62</v>
      </c>
      <c r="B89" s="102"/>
      <c r="C89" s="96" t="s">
        <v>6</v>
      </c>
      <c r="D89" s="97"/>
    </row>
    <row r="90" spans="1:16" ht="42.75" customHeight="1" thickBot="1">
      <c r="A90" s="103"/>
      <c r="B90" s="104"/>
      <c r="C90" s="96" t="s">
        <v>21</v>
      </c>
      <c r="D90" s="97"/>
    </row>
    <row r="91" spans="1:16" ht="42.75" customHeight="1" thickBot="1">
      <c r="A91" s="105">
        <f>A89*A88</f>
        <v>0</v>
      </c>
      <c r="B91" s="106"/>
      <c r="C91" s="96" t="s">
        <v>7</v>
      </c>
      <c r="D91" s="97"/>
    </row>
    <row r="92" spans="1:16" ht="42.75" customHeight="1" thickBot="1">
      <c r="A92" s="107" t="s">
        <v>17</v>
      </c>
      <c r="B92" s="108"/>
      <c r="C92" s="108"/>
      <c r="D92" s="109"/>
    </row>
    <row r="93" spans="1:16" ht="42.75" customHeight="1" thickBot="1">
      <c r="A93" s="116" t="s">
        <v>20</v>
      </c>
      <c r="B93" s="117"/>
      <c r="C93" s="117"/>
      <c r="D93" s="118"/>
    </row>
    <row r="94" spans="1:16" ht="42.75" customHeight="1" thickBot="1">
      <c r="A94" s="113" t="s">
        <v>18</v>
      </c>
      <c r="B94" s="114"/>
      <c r="C94" s="114"/>
      <c r="D94" s="115"/>
    </row>
    <row r="95" spans="1:16" ht="42.75" customHeight="1" thickBot="1">
      <c r="A95" s="119"/>
      <c r="B95" s="119"/>
      <c r="C95" s="119"/>
      <c r="D95" s="119"/>
    </row>
    <row r="96" spans="1:16" ht="42.75" customHeight="1" thickBot="1">
      <c r="A96" s="126" t="s">
        <v>19</v>
      </c>
      <c r="B96" s="127"/>
      <c r="C96" s="127"/>
      <c r="D96" s="128"/>
    </row>
    <row r="97" spans="1:4" ht="42.75" customHeight="1" thickBot="1">
      <c r="A97" s="123" t="s">
        <v>11</v>
      </c>
      <c r="B97" s="124"/>
      <c r="C97" s="125" t="s">
        <v>603</v>
      </c>
      <c r="D97" s="124"/>
    </row>
    <row r="98" spans="1:4" ht="42.75" customHeight="1" thickBot="1">
      <c r="A98" s="1" t="s">
        <v>686</v>
      </c>
      <c r="B98" s="26" t="s">
        <v>1</v>
      </c>
      <c r="C98" s="90" t="s">
        <v>557</v>
      </c>
      <c r="D98" s="91"/>
    </row>
    <row r="99" spans="1:4" ht="42.75" customHeight="1" thickBot="1">
      <c r="A99" s="26"/>
      <c r="B99" s="26" t="s">
        <v>0</v>
      </c>
      <c r="C99" s="5" t="s">
        <v>687</v>
      </c>
      <c r="D99" s="4" t="s">
        <v>2</v>
      </c>
    </row>
    <row r="100" spans="1:4" ht="42.75" customHeight="1" thickBot="1">
      <c r="A100" s="92">
        <v>10330</v>
      </c>
      <c r="B100" s="93"/>
      <c r="C100" s="94" t="s">
        <v>3</v>
      </c>
      <c r="D100" s="95"/>
    </row>
    <row r="101" spans="1:4" ht="42.75" customHeight="1" thickBot="1">
      <c r="A101" s="92">
        <v>10350</v>
      </c>
      <c r="B101" s="93"/>
      <c r="C101" s="96" t="s">
        <v>4</v>
      </c>
      <c r="D101" s="97"/>
    </row>
    <row r="102" spans="1:4" ht="42.75" customHeight="1" thickBot="1">
      <c r="A102" s="98">
        <f>A101-A100</f>
        <v>20</v>
      </c>
      <c r="B102" s="99"/>
      <c r="C102" s="100" t="s">
        <v>5</v>
      </c>
      <c r="D102" s="97"/>
    </row>
    <row r="103" spans="1:4" ht="42.75" customHeight="1" thickBot="1">
      <c r="A103" s="101">
        <v>62</v>
      </c>
      <c r="B103" s="102"/>
      <c r="C103" s="96" t="s">
        <v>6</v>
      </c>
      <c r="D103" s="97"/>
    </row>
    <row r="104" spans="1:4" ht="42.75" customHeight="1" thickBot="1">
      <c r="A104" s="103"/>
      <c r="B104" s="104"/>
      <c r="C104" s="96" t="s">
        <v>21</v>
      </c>
      <c r="D104" s="97"/>
    </row>
    <row r="105" spans="1:4" ht="42.75" customHeight="1" thickBot="1">
      <c r="A105" s="105">
        <v>1250</v>
      </c>
      <c r="B105" s="106"/>
      <c r="C105" s="96" t="s">
        <v>7</v>
      </c>
      <c r="D105" s="97"/>
    </row>
    <row r="106" spans="1:4" ht="42.75" customHeight="1" thickBot="1">
      <c r="A106" s="107" t="s">
        <v>17</v>
      </c>
      <c r="B106" s="108"/>
      <c r="C106" s="108"/>
      <c r="D106" s="109"/>
    </row>
    <row r="107" spans="1:4" ht="42.75" customHeight="1" thickBot="1">
      <c r="A107" s="110" t="s">
        <v>20</v>
      </c>
      <c r="B107" s="111"/>
      <c r="C107" s="111"/>
      <c r="D107" s="112"/>
    </row>
    <row r="108" spans="1:4" ht="42.75" customHeight="1" thickBot="1">
      <c r="A108" s="113" t="s">
        <v>18</v>
      </c>
      <c r="B108" s="114"/>
      <c r="C108" s="114"/>
      <c r="D108" s="115"/>
    </row>
    <row r="109" spans="1:4" ht="42.75" customHeight="1" thickBot="1">
      <c r="A109" s="126" t="s">
        <v>19</v>
      </c>
      <c r="B109" s="127"/>
      <c r="C109" s="127"/>
      <c r="D109" s="128"/>
    </row>
    <row r="110" spans="1:4" ht="42.75" customHeight="1" thickBot="1">
      <c r="A110" s="123" t="s">
        <v>11</v>
      </c>
      <c r="B110" s="124"/>
      <c r="C110" s="125" t="s">
        <v>603</v>
      </c>
      <c r="D110" s="124"/>
    </row>
    <row r="111" spans="1:4" ht="42.75" customHeight="1" thickBot="1">
      <c r="A111" s="1" t="s">
        <v>686</v>
      </c>
      <c r="B111" s="26" t="s">
        <v>1</v>
      </c>
      <c r="C111" s="90" t="s">
        <v>203</v>
      </c>
      <c r="D111" s="91"/>
    </row>
    <row r="112" spans="1:4" ht="42.75" customHeight="1" thickBot="1">
      <c r="A112" s="26"/>
      <c r="B112" s="26" t="s">
        <v>0</v>
      </c>
      <c r="C112" s="5" t="s">
        <v>687</v>
      </c>
      <c r="D112" s="4" t="s">
        <v>2</v>
      </c>
    </row>
    <row r="113" spans="1:4" ht="42.75" customHeight="1" thickBot="1">
      <c r="A113" s="92">
        <v>6410</v>
      </c>
      <c r="B113" s="93"/>
      <c r="C113" s="94" t="s">
        <v>3</v>
      </c>
      <c r="D113" s="95"/>
    </row>
    <row r="114" spans="1:4" ht="42.75" customHeight="1" thickBot="1">
      <c r="A114" s="92">
        <v>6410</v>
      </c>
      <c r="B114" s="93"/>
      <c r="C114" s="96" t="s">
        <v>4</v>
      </c>
      <c r="D114" s="97"/>
    </row>
    <row r="115" spans="1:4" ht="42.75" customHeight="1" thickBot="1">
      <c r="A115" s="98">
        <f>A114-A113</f>
        <v>0</v>
      </c>
      <c r="B115" s="99"/>
      <c r="C115" s="100" t="s">
        <v>5</v>
      </c>
      <c r="D115" s="97"/>
    </row>
    <row r="116" spans="1:4" ht="42.75" customHeight="1" thickBot="1">
      <c r="A116" s="101">
        <v>62</v>
      </c>
      <c r="B116" s="102"/>
      <c r="C116" s="96" t="s">
        <v>6</v>
      </c>
      <c r="D116" s="97"/>
    </row>
    <row r="117" spans="1:4" ht="42.75" customHeight="1" thickBot="1">
      <c r="A117" s="103"/>
      <c r="B117" s="104"/>
      <c r="C117" s="96" t="s">
        <v>21</v>
      </c>
      <c r="D117" s="97"/>
    </row>
    <row r="118" spans="1:4" ht="42.75" customHeight="1" thickBot="1">
      <c r="A118" s="105">
        <f>A116*A115</f>
        <v>0</v>
      </c>
      <c r="B118" s="106"/>
      <c r="C118" s="96" t="s">
        <v>7</v>
      </c>
      <c r="D118" s="97"/>
    </row>
    <row r="119" spans="1:4" ht="42.75" customHeight="1" thickBot="1">
      <c r="A119" s="107" t="s">
        <v>17</v>
      </c>
      <c r="B119" s="108"/>
      <c r="C119" s="108"/>
      <c r="D119" s="109"/>
    </row>
    <row r="120" spans="1:4" ht="42.75" customHeight="1" thickBot="1">
      <c r="A120" s="116" t="s">
        <v>20</v>
      </c>
      <c r="B120" s="117"/>
      <c r="C120" s="117"/>
      <c r="D120" s="118"/>
    </row>
    <row r="121" spans="1:4" ht="42.75" customHeight="1" thickBot="1">
      <c r="A121" s="113" t="s">
        <v>18</v>
      </c>
      <c r="B121" s="114"/>
      <c r="C121" s="114"/>
      <c r="D121" s="115"/>
    </row>
    <row r="122" spans="1:4" ht="42.75" customHeight="1" thickBot="1">
      <c r="A122" s="119"/>
      <c r="B122" s="119"/>
      <c r="C122" s="119"/>
      <c r="D122" s="119"/>
    </row>
    <row r="123" spans="1:4" ht="42.75" customHeight="1" thickBot="1">
      <c r="A123" s="126" t="s">
        <v>19</v>
      </c>
      <c r="B123" s="127"/>
      <c r="C123" s="127"/>
      <c r="D123" s="128"/>
    </row>
    <row r="124" spans="1:4" ht="42.75" customHeight="1" thickBot="1">
      <c r="A124" s="123" t="s">
        <v>11</v>
      </c>
      <c r="B124" s="124"/>
      <c r="C124" s="125" t="s">
        <v>603</v>
      </c>
      <c r="D124" s="124"/>
    </row>
    <row r="125" spans="1:4" ht="42.75" customHeight="1" thickBot="1">
      <c r="A125" s="1" t="s">
        <v>686</v>
      </c>
      <c r="B125" s="26" t="s">
        <v>1</v>
      </c>
      <c r="C125" s="90" t="s">
        <v>203</v>
      </c>
      <c r="D125" s="91"/>
    </row>
    <row r="126" spans="1:4" ht="42.75" customHeight="1" thickBot="1">
      <c r="A126" s="26"/>
      <c r="B126" s="26" t="s">
        <v>0</v>
      </c>
      <c r="C126" s="5" t="s">
        <v>687</v>
      </c>
      <c r="D126" s="4" t="s">
        <v>2</v>
      </c>
    </row>
    <row r="127" spans="1:4" ht="42.75" customHeight="1" thickBot="1">
      <c r="A127" s="92">
        <v>6395</v>
      </c>
      <c r="B127" s="93"/>
      <c r="C127" s="94" t="s">
        <v>3</v>
      </c>
      <c r="D127" s="95"/>
    </row>
    <row r="128" spans="1:4" ht="42.75" customHeight="1" thickBot="1">
      <c r="A128" s="92">
        <v>6410</v>
      </c>
      <c r="B128" s="93"/>
      <c r="C128" s="96" t="s">
        <v>4</v>
      </c>
      <c r="D128" s="97"/>
    </row>
    <row r="129" spans="1:4" ht="42.75" customHeight="1" thickBot="1">
      <c r="A129" s="98">
        <f>A128-A127</f>
        <v>15</v>
      </c>
      <c r="B129" s="99"/>
      <c r="C129" s="100" t="s">
        <v>5</v>
      </c>
      <c r="D129" s="97"/>
    </row>
    <row r="130" spans="1:4" ht="42.75" customHeight="1" thickBot="1">
      <c r="A130" s="101">
        <v>62</v>
      </c>
      <c r="B130" s="102"/>
      <c r="C130" s="96" t="s">
        <v>6</v>
      </c>
      <c r="D130" s="97"/>
    </row>
    <row r="131" spans="1:4" ht="42.75" customHeight="1" thickBot="1">
      <c r="A131" s="103"/>
      <c r="B131" s="104"/>
      <c r="C131" s="96" t="s">
        <v>21</v>
      </c>
      <c r="D131" s="97"/>
    </row>
    <row r="132" spans="1:4" ht="42.75" customHeight="1" thickBot="1">
      <c r="A132" s="105">
        <v>950</v>
      </c>
      <c r="B132" s="106"/>
      <c r="C132" s="96" t="s">
        <v>7</v>
      </c>
      <c r="D132" s="97"/>
    </row>
    <row r="133" spans="1:4" ht="42.75" customHeight="1" thickBot="1">
      <c r="A133" s="107" t="s">
        <v>17</v>
      </c>
      <c r="B133" s="108"/>
      <c r="C133" s="108"/>
      <c r="D133" s="109"/>
    </row>
    <row r="134" spans="1:4" ht="42.75" customHeight="1" thickBot="1">
      <c r="A134" s="110" t="s">
        <v>20</v>
      </c>
      <c r="B134" s="111"/>
      <c r="C134" s="111"/>
      <c r="D134" s="112"/>
    </row>
    <row r="135" spans="1:4" ht="42.75" customHeight="1" thickBot="1">
      <c r="A135" s="113" t="s">
        <v>18</v>
      </c>
      <c r="B135" s="114"/>
      <c r="C135" s="114"/>
      <c r="D135" s="115"/>
    </row>
    <row r="136" spans="1:4" ht="42.75" customHeight="1" thickBot="1">
      <c r="A136" s="126" t="s">
        <v>19</v>
      </c>
      <c r="B136" s="127"/>
      <c r="C136" s="127"/>
      <c r="D136" s="128"/>
    </row>
    <row r="137" spans="1:4" ht="42.75" customHeight="1" thickBot="1">
      <c r="A137" s="123" t="s">
        <v>11</v>
      </c>
      <c r="B137" s="124"/>
      <c r="C137" s="125" t="s">
        <v>603</v>
      </c>
      <c r="D137" s="124"/>
    </row>
    <row r="138" spans="1:4" ht="42.75" customHeight="1" thickBot="1">
      <c r="A138" s="1" t="s">
        <v>686</v>
      </c>
      <c r="B138" s="26" t="s">
        <v>1</v>
      </c>
      <c r="C138" s="90" t="s">
        <v>222</v>
      </c>
      <c r="D138" s="91"/>
    </row>
    <row r="139" spans="1:4" ht="42.75" customHeight="1" thickBot="1">
      <c r="A139" s="26"/>
      <c r="B139" s="26" t="s">
        <v>0</v>
      </c>
      <c r="C139" s="5" t="s">
        <v>687</v>
      </c>
      <c r="D139" s="4" t="s">
        <v>2</v>
      </c>
    </row>
    <row r="140" spans="1:4" ht="42.75" customHeight="1" thickBot="1">
      <c r="A140" s="92">
        <v>5550</v>
      </c>
      <c r="B140" s="93"/>
      <c r="C140" s="94" t="s">
        <v>3</v>
      </c>
      <c r="D140" s="95"/>
    </row>
    <row r="141" spans="1:4" ht="42.75" customHeight="1" thickBot="1">
      <c r="A141" s="92">
        <v>5550</v>
      </c>
      <c r="B141" s="93"/>
      <c r="C141" s="96" t="s">
        <v>4</v>
      </c>
      <c r="D141" s="97"/>
    </row>
    <row r="142" spans="1:4" ht="42.75" customHeight="1" thickBot="1">
      <c r="A142" s="98">
        <f>A141-A140</f>
        <v>0</v>
      </c>
      <c r="B142" s="99"/>
      <c r="C142" s="100" t="s">
        <v>5</v>
      </c>
      <c r="D142" s="97"/>
    </row>
    <row r="143" spans="1:4" ht="42.75" customHeight="1" thickBot="1">
      <c r="A143" s="101">
        <v>62</v>
      </c>
      <c r="B143" s="102"/>
      <c r="C143" s="96" t="s">
        <v>6</v>
      </c>
      <c r="D143" s="97"/>
    </row>
    <row r="144" spans="1:4" ht="42.75" customHeight="1" thickBot="1">
      <c r="A144" s="103"/>
      <c r="B144" s="104"/>
      <c r="C144" s="96" t="s">
        <v>21</v>
      </c>
      <c r="D144" s="97"/>
    </row>
    <row r="145" spans="1:4" ht="42.75" customHeight="1" thickBot="1">
      <c r="A145" s="105">
        <f>A143*A142</f>
        <v>0</v>
      </c>
      <c r="B145" s="106"/>
      <c r="C145" s="96" t="s">
        <v>7</v>
      </c>
      <c r="D145" s="97"/>
    </row>
    <row r="146" spans="1:4" ht="42.75" customHeight="1" thickBot="1">
      <c r="A146" s="107" t="s">
        <v>17</v>
      </c>
      <c r="B146" s="108"/>
      <c r="C146" s="108"/>
      <c r="D146" s="109"/>
    </row>
    <row r="147" spans="1:4" ht="42.75" customHeight="1" thickBot="1">
      <c r="A147" s="116" t="s">
        <v>20</v>
      </c>
      <c r="B147" s="117"/>
      <c r="C147" s="117"/>
      <c r="D147" s="118"/>
    </row>
    <row r="148" spans="1:4" ht="42.75" customHeight="1" thickBot="1">
      <c r="A148" s="113" t="s">
        <v>18</v>
      </c>
      <c r="B148" s="114"/>
      <c r="C148" s="114"/>
      <c r="D148" s="115"/>
    </row>
    <row r="149" spans="1:4" ht="42.75" customHeight="1" thickBot="1">
      <c r="A149" s="119"/>
      <c r="B149" s="119"/>
      <c r="C149" s="119"/>
      <c r="D149" s="119"/>
    </row>
    <row r="150" spans="1:4" ht="42.75" customHeight="1" thickBot="1">
      <c r="A150" s="126" t="s">
        <v>19</v>
      </c>
      <c r="B150" s="127"/>
      <c r="C150" s="127"/>
      <c r="D150" s="128"/>
    </row>
    <row r="151" spans="1:4" ht="42.75" customHeight="1" thickBot="1">
      <c r="A151" s="123" t="s">
        <v>11</v>
      </c>
      <c r="B151" s="124"/>
      <c r="C151" s="125" t="s">
        <v>603</v>
      </c>
      <c r="D151" s="124"/>
    </row>
    <row r="152" spans="1:4" ht="42.75" customHeight="1" thickBot="1">
      <c r="A152" s="1" t="s">
        <v>686</v>
      </c>
      <c r="B152" s="26" t="s">
        <v>1</v>
      </c>
      <c r="C152" s="90" t="s">
        <v>222</v>
      </c>
      <c r="D152" s="91"/>
    </row>
    <row r="153" spans="1:4" ht="42.75" customHeight="1" thickBot="1">
      <c r="A153" s="26"/>
      <c r="B153" s="26" t="s">
        <v>0</v>
      </c>
      <c r="C153" s="5" t="s">
        <v>687</v>
      </c>
      <c r="D153" s="4" t="s">
        <v>2</v>
      </c>
    </row>
    <row r="154" spans="1:4" ht="42.75" customHeight="1" thickBot="1">
      <c r="A154" s="92">
        <v>5470</v>
      </c>
      <c r="B154" s="93"/>
      <c r="C154" s="94" t="s">
        <v>3</v>
      </c>
      <c r="D154" s="95"/>
    </row>
    <row r="155" spans="1:4" ht="42.75" customHeight="1" thickBot="1">
      <c r="A155" s="92">
        <v>5550</v>
      </c>
      <c r="B155" s="93"/>
      <c r="C155" s="96" t="s">
        <v>4</v>
      </c>
      <c r="D155" s="97"/>
    </row>
    <row r="156" spans="1:4" ht="42.75" customHeight="1" thickBot="1">
      <c r="A156" s="98">
        <f>A155-A154</f>
        <v>80</v>
      </c>
      <c r="B156" s="99"/>
      <c r="C156" s="100" t="s">
        <v>5</v>
      </c>
      <c r="D156" s="97"/>
    </row>
    <row r="157" spans="1:4" ht="42.75" customHeight="1" thickBot="1">
      <c r="A157" s="101">
        <v>62</v>
      </c>
      <c r="B157" s="102"/>
      <c r="C157" s="96" t="s">
        <v>6</v>
      </c>
      <c r="D157" s="97"/>
    </row>
    <row r="158" spans="1:4" ht="42.75" customHeight="1" thickBot="1">
      <c r="A158" s="103"/>
      <c r="B158" s="104"/>
      <c r="C158" s="96" t="s">
        <v>21</v>
      </c>
      <c r="D158" s="97"/>
    </row>
    <row r="159" spans="1:4" ht="42.75" customHeight="1" thickBot="1">
      <c r="A159" s="105">
        <v>4950</v>
      </c>
      <c r="B159" s="106"/>
      <c r="C159" s="96" t="s">
        <v>7</v>
      </c>
      <c r="D159" s="97"/>
    </row>
    <row r="160" spans="1:4" ht="42.75" customHeight="1" thickBot="1">
      <c r="A160" s="107" t="s">
        <v>17</v>
      </c>
      <c r="B160" s="108"/>
      <c r="C160" s="108"/>
      <c r="D160" s="109"/>
    </row>
    <row r="161" spans="1:4" ht="42.75" customHeight="1" thickBot="1">
      <c r="A161" s="110" t="s">
        <v>20</v>
      </c>
      <c r="B161" s="111"/>
      <c r="C161" s="111"/>
      <c r="D161" s="112"/>
    </row>
    <row r="162" spans="1:4" ht="42.75" customHeight="1" thickBot="1">
      <c r="A162" s="113" t="s">
        <v>18</v>
      </c>
      <c r="B162" s="114"/>
      <c r="C162" s="114"/>
      <c r="D162" s="115"/>
    </row>
    <row r="163" spans="1:4" ht="42.75" customHeight="1" thickBot="1">
      <c r="A163" s="126" t="s">
        <v>19</v>
      </c>
      <c r="B163" s="127"/>
      <c r="C163" s="127"/>
      <c r="D163" s="128"/>
    </row>
    <row r="164" spans="1:4" ht="42.75" customHeight="1" thickBot="1">
      <c r="A164" s="123" t="s">
        <v>11</v>
      </c>
      <c r="B164" s="124"/>
      <c r="C164" s="125" t="s">
        <v>603</v>
      </c>
      <c r="D164" s="124"/>
    </row>
    <row r="165" spans="1:4" ht="42.75" customHeight="1" thickBot="1">
      <c r="A165" s="1" t="s">
        <v>686</v>
      </c>
      <c r="B165" s="26" t="s">
        <v>1</v>
      </c>
      <c r="C165" s="90" t="s">
        <v>223</v>
      </c>
      <c r="D165" s="91"/>
    </row>
    <row r="166" spans="1:4" ht="42.75" customHeight="1" thickBot="1">
      <c r="A166" s="26"/>
      <c r="B166" s="26" t="s">
        <v>0</v>
      </c>
      <c r="C166" s="5" t="s">
        <v>687</v>
      </c>
      <c r="D166" s="4" t="s">
        <v>2</v>
      </c>
    </row>
    <row r="167" spans="1:4" ht="42.75" customHeight="1" thickBot="1">
      <c r="A167" s="92">
        <v>11470</v>
      </c>
      <c r="B167" s="93"/>
      <c r="C167" s="94" t="s">
        <v>3</v>
      </c>
      <c r="D167" s="95"/>
    </row>
    <row r="168" spans="1:4" ht="42.75" customHeight="1" thickBot="1">
      <c r="A168" s="92">
        <v>11470</v>
      </c>
      <c r="B168" s="93"/>
      <c r="C168" s="96" t="s">
        <v>4</v>
      </c>
      <c r="D168" s="97"/>
    </row>
    <row r="169" spans="1:4" ht="42.75" customHeight="1" thickBot="1">
      <c r="A169" s="98">
        <f>A168-A167</f>
        <v>0</v>
      </c>
      <c r="B169" s="99"/>
      <c r="C169" s="100" t="s">
        <v>5</v>
      </c>
      <c r="D169" s="97"/>
    </row>
    <row r="170" spans="1:4" ht="42.75" customHeight="1" thickBot="1">
      <c r="A170" s="101">
        <v>55</v>
      </c>
      <c r="B170" s="102"/>
      <c r="C170" s="96" t="s">
        <v>6</v>
      </c>
      <c r="D170" s="97"/>
    </row>
    <row r="171" spans="1:4" ht="42.75" customHeight="1" thickBot="1">
      <c r="A171" s="103"/>
      <c r="B171" s="104"/>
      <c r="C171" s="96" t="s">
        <v>21</v>
      </c>
      <c r="D171" s="97"/>
    </row>
    <row r="172" spans="1:4" ht="42.75" customHeight="1" thickBot="1">
      <c r="A172" s="105">
        <f>A170*A169</f>
        <v>0</v>
      </c>
      <c r="B172" s="106"/>
      <c r="C172" s="96" t="s">
        <v>7</v>
      </c>
      <c r="D172" s="97"/>
    </row>
    <row r="173" spans="1:4" ht="42.75" customHeight="1" thickBot="1">
      <c r="A173" s="107" t="s">
        <v>17</v>
      </c>
      <c r="B173" s="108"/>
      <c r="C173" s="108"/>
      <c r="D173" s="109"/>
    </row>
    <row r="174" spans="1:4" ht="42.75" customHeight="1" thickBot="1">
      <c r="A174" s="116" t="s">
        <v>20</v>
      </c>
      <c r="B174" s="117"/>
      <c r="C174" s="117"/>
      <c r="D174" s="118"/>
    </row>
    <row r="175" spans="1:4" ht="42.75" customHeight="1" thickBot="1">
      <c r="A175" s="113" t="s">
        <v>18</v>
      </c>
      <c r="B175" s="114"/>
      <c r="C175" s="114"/>
      <c r="D175" s="115"/>
    </row>
    <row r="176" spans="1:4" ht="42.75" customHeight="1" thickBot="1">
      <c r="A176" s="119"/>
      <c r="B176" s="119"/>
      <c r="C176" s="119"/>
      <c r="D176" s="119"/>
    </row>
    <row r="177" spans="1:4" ht="42.75" customHeight="1" thickBot="1">
      <c r="A177" s="126" t="s">
        <v>19</v>
      </c>
      <c r="B177" s="127"/>
      <c r="C177" s="127"/>
      <c r="D177" s="128"/>
    </row>
    <row r="178" spans="1:4" ht="42.75" customHeight="1" thickBot="1">
      <c r="A178" s="123" t="s">
        <v>11</v>
      </c>
      <c r="B178" s="124"/>
      <c r="C178" s="125" t="s">
        <v>603</v>
      </c>
      <c r="D178" s="124"/>
    </row>
    <row r="179" spans="1:4" ht="42.75" customHeight="1" thickBot="1">
      <c r="A179" s="1" t="s">
        <v>686</v>
      </c>
      <c r="B179" s="26" t="s">
        <v>1</v>
      </c>
      <c r="C179" s="90" t="s">
        <v>223</v>
      </c>
      <c r="D179" s="91"/>
    </row>
    <row r="180" spans="1:4" ht="42.75" customHeight="1" thickBot="1">
      <c r="A180" s="26"/>
      <c r="B180" s="26" t="s">
        <v>0</v>
      </c>
      <c r="C180" s="5" t="s">
        <v>687</v>
      </c>
      <c r="D180" s="4" t="s">
        <v>2</v>
      </c>
    </row>
    <row r="181" spans="1:4" ht="42.75" customHeight="1" thickBot="1">
      <c r="A181" s="92">
        <v>11395</v>
      </c>
      <c r="B181" s="93"/>
      <c r="C181" s="94" t="s">
        <v>3</v>
      </c>
      <c r="D181" s="95"/>
    </row>
    <row r="182" spans="1:4" ht="42.75" customHeight="1" thickBot="1">
      <c r="A182" s="92">
        <v>11470</v>
      </c>
      <c r="B182" s="93"/>
      <c r="C182" s="96" t="s">
        <v>4</v>
      </c>
      <c r="D182" s="97"/>
    </row>
    <row r="183" spans="1:4" ht="42.75" customHeight="1" thickBot="1">
      <c r="A183" s="98">
        <f>A182-A181</f>
        <v>75</v>
      </c>
      <c r="B183" s="99"/>
      <c r="C183" s="100" t="s">
        <v>5</v>
      </c>
      <c r="D183" s="97"/>
    </row>
    <row r="184" spans="1:4" ht="42.75" customHeight="1" thickBot="1">
      <c r="A184" s="101">
        <v>62</v>
      </c>
      <c r="B184" s="102"/>
      <c r="C184" s="96" t="s">
        <v>6</v>
      </c>
      <c r="D184" s="97"/>
    </row>
    <row r="185" spans="1:4" ht="42.75" customHeight="1" thickBot="1">
      <c r="A185" s="103"/>
      <c r="B185" s="104"/>
      <c r="C185" s="96" t="s">
        <v>21</v>
      </c>
      <c r="D185" s="97"/>
    </row>
    <row r="186" spans="1:4" ht="42.75" customHeight="1" thickBot="1">
      <c r="A186" s="105">
        <f>A184*A183</f>
        <v>4650</v>
      </c>
      <c r="B186" s="106"/>
      <c r="C186" s="96" t="s">
        <v>7</v>
      </c>
      <c r="D186" s="97"/>
    </row>
    <row r="187" spans="1:4" ht="42.75" customHeight="1" thickBot="1">
      <c r="A187" s="107" t="s">
        <v>17</v>
      </c>
      <c r="B187" s="108"/>
      <c r="C187" s="108"/>
      <c r="D187" s="109"/>
    </row>
    <row r="188" spans="1:4" ht="42.75" customHeight="1" thickBot="1">
      <c r="A188" s="110" t="s">
        <v>20</v>
      </c>
      <c r="B188" s="111"/>
      <c r="C188" s="111"/>
      <c r="D188" s="112"/>
    </row>
    <row r="189" spans="1:4" ht="42.75" customHeight="1" thickBot="1">
      <c r="A189" s="113" t="s">
        <v>18</v>
      </c>
      <c r="B189" s="114"/>
      <c r="C189" s="114"/>
      <c r="D189" s="115"/>
    </row>
    <row r="190" spans="1:4" ht="42.75" customHeight="1" thickBot="1">
      <c r="A190" s="126" t="s">
        <v>19</v>
      </c>
      <c r="B190" s="127"/>
      <c r="C190" s="127"/>
      <c r="D190" s="128"/>
    </row>
    <row r="191" spans="1:4" ht="42.75" customHeight="1" thickBot="1">
      <c r="A191" s="123" t="s">
        <v>11</v>
      </c>
      <c r="B191" s="124"/>
      <c r="C191" s="125" t="s">
        <v>603</v>
      </c>
      <c r="D191" s="124"/>
    </row>
    <row r="192" spans="1:4" ht="42.75" customHeight="1" thickBot="1">
      <c r="A192" s="1" t="s">
        <v>686</v>
      </c>
      <c r="B192" s="26" t="s">
        <v>1</v>
      </c>
      <c r="C192" s="90" t="s">
        <v>224</v>
      </c>
      <c r="D192" s="91"/>
    </row>
    <row r="193" spans="1:4" ht="42.75" customHeight="1" thickBot="1">
      <c r="A193" s="26"/>
      <c r="B193" s="26" t="s">
        <v>0</v>
      </c>
      <c r="C193" s="5" t="s">
        <v>687</v>
      </c>
      <c r="D193" s="4" t="s">
        <v>2</v>
      </c>
    </row>
    <row r="194" spans="1:4" ht="42.75" customHeight="1" thickBot="1">
      <c r="A194" s="92">
        <v>893</v>
      </c>
      <c r="B194" s="93"/>
      <c r="C194" s="94" t="s">
        <v>3</v>
      </c>
      <c r="D194" s="95"/>
    </row>
    <row r="195" spans="1:4" ht="42.75" customHeight="1" thickBot="1">
      <c r="A195" s="92">
        <v>893</v>
      </c>
      <c r="B195" s="93"/>
      <c r="C195" s="96" t="s">
        <v>4</v>
      </c>
      <c r="D195" s="97"/>
    </row>
    <row r="196" spans="1:4" ht="42.75" customHeight="1" thickBot="1">
      <c r="A196" s="98">
        <f>A195-A194</f>
        <v>0</v>
      </c>
      <c r="B196" s="99"/>
      <c r="C196" s="100" t="s">
        <v>5</v>
      </c>
      <c r="D196" s="97"/>
    </row>
    <row r="197" spans="1:4" ht="42.75" customHeight="1" thickBot="1">
      <c r="A197" s="101">
        <v>63</v>
      </c>
      <c r="B197" s="102"/>
      <c r="C197" s="96" t="s">
        <v>6</v>
      </c>
      <c r="D197" s="97"/>
    </row>
    <row r="198" spans="1:4" ht="42.75" customHeight="1" thickBot="1">
      <c r="A198" s="103"/>
      <c r="B198" s="104"/>
      <c r="C198" s="96" t="s">
        <v>21</v>
      </c>
      <c r="D198" s="97"/>
    </row>
    <row r="199" spans="1:4" ht="42.75" customHeight="1" thickBot="1">
      <c r="A199" s="105">
        <f>A197*A196</f>
        <v>0</v>
      </c>
      <c r="B199" s="106"/>
      <c r="C199" s="96" t="s">
        <v>7</v>
      </c>
      <c r="D199" s="97"/>
    </row>
    <row r="200" spans="1:4" ht="42.75" customHeight="1" thickBot="1">
      <c r="A200" s="107" t="s">
        <v>17</v>
      </c>
      <c r="B200" s="108"/>
      <c r="C200" s="108"/>
      <c r="D200" s="109"/>
    </row>
    <row r="201" spans="1:4" ht="42.75" customHeight="1" thickBot="1">
      <c r="A201" s="116" t="s">
        <v>20</v>
      </c>
      <c r="B201" s="117"/>
      <c r="C201" s="117"/>
      <c r="D201" s="118"/>
    </row>
    <row r="202" spans="1:4" ht="42.75" customHeight="1" thickBot="1">
      <c r="A202" s="113" t="s">
        <v>18</v>
      </c>
      <c r="B202" s="114"/>
      <c r="C202" s="114"/>
      <c r="D202" s="115"/>
    </row>
    <row r="203" spans="1:4" ht="42.75" customHeight="1" thickBot="1">
      <c r="A203" s="119"/>
      <c r="B203" s="119"/>
      <c r="C203" s="119"/>
      <c r="D203" s="119"/>
    </row>
    <row r="204" spans="1:4" ht="42.75" customHeight="1" thickBot="1">
      <c r="A204" s="126" t="s">
        <v>19</v>
      </c>
      <c r="B204" s="127"/>
      <c r="C204" s="127"/>
      <c r="D204" s="128"/>
    </row>
    <row r="205" spans="1:4" ht="42.75" customHeight="1" thickBot="1">
      <c r="A205" s="123" t="s">
        <v>11</v>
      </c>
      <c r="B205" s="124"/>
      <c r="C205" s="125" t="s">
        <v>603</v>
      </c>
      <c r="D205" s="124"/>
    </row>
    <row r="206" spans="1:4" ht="42.75" customHeight="1" thickBot="1">
      <c r="A206" s="1" t="s">
        <v>686</v>
      </c>
      <c r="B206" s="26" t="s">
        <v>1</v>
      </c>
      <c r="C206" s="90" t="s">
        <v>224</v>
      </c>
      <c r="D206" s="91"/>
    </row>
    <row r="207" spans="1:4" ht="42.75" customHeight="1" thickBot="1">
      <c r="A207" s="26"/>
      <c r="B207" s="26" t="s">
        <v>0</v>
      </c>
      <c r="C207" s="5" t="s">
        <v>687</v>
      </c>
      <c r="D207" s="4" t="s">
        <v>2</v>
      </c>
    </row>
    <row r="208" spans="1:4" ht="42.75" customHeight="1" thickBot="1">
      <c r="A208" s="92">
        <v>889</v>
      </c>
      <c r="B208" s="93"/>
      <c r="C208" s="94" t="s">
        <v>3</v>
      </c>
      <c r="D208" s="95"/>
    </row>
    <row r="209" spans="1:4" ht="42.75" customHeight="1" thickBot="1">
      <c r="A209" s="92">
        <v>893</v>
      </c>
      <c r="B209" s="93"/>
      <c r="C209" s="96" t="s">
        <v>4</v>
      </c>
      <c r="D209" s="97"/>
    </row>
    <row r="210" spans="1:4" ht="42.75" customHeight="1" thickBot="1">
      <c r="A210" s="98">
        <v>5</v>
      </c>
      <c r="B210" s="99"/>
      <c r="C210" s="100" t="s">
        <v>5</v>
      </c>
      <c r="D210" s="97"/>
    </row>
    <row r="211" spans="1:4" ht="42.75" customHeight="1" thickBot="1">
      <c r="A211" s="101">
        <v>63</v>
      </c>
      <c r="B211" s="102"/>
      <c r="C211" s="96" t="s">
        <v>6</v>
      </c>
      <c r="D211" s="97"/>
    </row>
    <row r="212" spans="1:4" ht="42.75" customHeight="1" thickBot="1">
      <c r="A212" s="103"/>
      <c r="B212" s="104"/>
      <c r="C212" s="96" t="s">
        <v>21</v>
      </c>
      <c r="D212" s="97"/>
    </row>
    <row r="213" spans="1:4" ht="42.75" customHeight="1" thickBot="1">
      <c r="A213" s="105">
        <v>300</v>
      </c>
      <c r="B213" s="106"/>
      <c r="C213" s="96" t="s">
        <v>7</v>
      </c>
      <c r="D213" s="97"/>
    </row>
    <row r="214" spans="1:4" ht="42.75" customHeight="1" thickBot="1">
      <c r="A214" s="107" t="s">
        <v>17</v>
      </c>
      <c r="B214" s="108"/>
      <c r="C214" s="108"/>
      <c r="D214" s="109"/>
    </row>
    <row r="215" spans="1:4" ht="42.75" customHeight="1" thickBot="1">
      <c r="A215" s="110" t="s">
        <v>20</v>
      </c>
      <c r="B215" s="111"/>
      <c r="C215" s="111"/>
      <c r="D215" s="112"/>
    </row>
    <row r="216" spans="1:4" ht="42.75" customHeight="1" thickBot="1">
      <c r="A216" s="113" t="s">
        <v>18</v>
      </c>
      <c r="B216" s="114"/>
      <c r="C216" s="114"/>
      <c r="D216" s="115"/>
    </row>
    <row r="217" spans="1:4" ht="42.75" customHeight="1" thickBot="1">
      <c r="A217" s="126" t="s">
        <v>19</v>
      </c>
      <c r="B217" s="127"/>
      <c r="C217" s="127"/>
      <c r="D217" s="128"/>
    </row>
    <row r="218" spans="1:4" ht="42.75" customHeight="1" thickBot="1">
      <c r="A218" s="123" t="s">
        <v>11</v>
      </c>
      <c r="B218" s="124"/>
      <c r="C218" s="125" t="s">
        <v>603</v>
      </c>
      <c r="D218" s="124"/>
    </row>
    <row r="219" spans="1:4" ht="42.75" customHeight="1" thickBot="1">
      <c r="A219" s="1" t="s">
        <v>686</v>
      </c>
      <c r="B219" s="26" t="s">
        <v>1</v>
      </c>
      <c r="C219" s="90" t="s">
        <v>225</v>
      </c>
      <c r="D219" s="91"/>
    </row>
    <row r="220" spans="1:4" ht="42.75" customHeight="1" thickBot="1">
      <c r="A220" s="26"/>
      <c r="B220" s="26" t="s">
        <v>0</v>
      </c>
      <c r="C220" s="5" t="s">
        <v>687</v>
      </c>
      <c r="D220" s="4" t="s">
        <v>2</v>
      </c>
    </row>
    <row r="221" spans="1:4" ht="42.75" customHeight="1" thickBot="1">
      <c r="A221" s="92">
        <v>6965</v>
      </c>
      <c r="B221" s="93"/>
      <c r="C221" s="94" t="s">
        <v>3</v>
      </c>
      <c r="D221" s="95"/>
    </row>
    <row r="222" spans="1:4" ht="42.75" customHeight="1" thickBot="1">
      <c r="A222" s="92">
        <v>6965</v>
      </c>
      <c r="B222" s="93"/>
      <c r="C222" s="96" t="s">
        <v>4</v>
      </c>
      <c r="D222" s="97"/>
    </row>
    <row r="223" spans="1:4" ht="42.75" customHeight="1" thickBot="1">
      <c r="A223" s="98">
        <f>A222-A221</f>
        <v>0</v>
      </c>
      <c r="B223" s="99"/>
      <c r="C223" s="100" t="s">
        <v>5</v>
      </c>
      <c r="D223" s="97"/>
    </row>
    <row r="224" spans="1:4" ht="42.75" customHeight="1" thickBot="1">
      <c r="A224" s="101">
        <v>62</v>
      </c>
      <c r="B224" s="102"/>
      <c r="C224" s="96" t="s">
        <v>6</v>
      </c>
      <c r="D224" s="97"/>
    </row>
    <row r="225" spans="1:4" ht="42.75" customHeight="1" thickBot="1">
      <c r="A225" s="103"/>
      <c r="B225" s="104"/>
      <c r="C225" s="96" t="s">
        <v>21</v>
      </c>
      <c r="D225" s="97"/>
    </row>
    <row r="226" spans="1:4" ht="42.75" customHeight="1" thickBot="1">
      <c r="A226" s="105">
        <f>A224*A223</f>
        <v>0</v>
      </c>
      <c r="B226" s="106"/>
      <c r="C226" s="96" t="s">
        <v>7</v>
      </c>
      <c r="D226" s="97"/>
    </row>
    <row r="227" spans="1:4" ht="42.75" customHeight="1" thickBot="1">
      <c r="A227" s="107" t="s">
        <v>17</v>
      </c>
      <c r="B227" s="108"/>
      <c r="C227" s="108"/>
      <c r="D227" s="109"/>
    </row>
    <row r="228" spans="1:4" ht="42.75" customHeight="1" thickBot="1">
      <c r="A228" s="116" t="s">
        <v>20</v>
      </c>
      <c r="B228" s="117"/>
      <c r="C228" s="117"/>
      <c r="D228" s="118"/>
    </row>
    <row r="229" spans="1:4" ht="42.75" customHeight="1" thickBot="1">
      <c r="A229" s="113" t="s">
        <v>18</v>
      </c>
      <c r="B229" s="114"/>
      <c r="C229" s="114"/>
      <c r="D229" s="115"/>
    </row>
    <row r="230" spans="1:4" ht="42.75" customHeight="1" thickBot="1">
      <c r="A230" s="119"/>
      <c r="B230" s="119"/>
      <c r="C230" s="119"/>
      <c r="D230" s="119"/>
    </row>
    <row r="231" spans="1:4" ht="42.75" customHeight="1" thickBot="1">
      <c r="A231" s="126" t="s">
        <v>19</v>
      </c>
      <c r="B231" s="127"/>
      <c r="C231" s="127"/>
      <c r="D231" s="128"/>
    </row>
    <row r="232" spans="1:4" ht="42.75" customHeight="1" thickBot="1">
      <c r="A232" s="123" t="s">
        <v>11</v>
      </c>
      <c r="B232" s="124"/>
      <c r="C232" s="125" t="s">
        <v>603</v>
      </c>
      <c r="D232" s="124"/>
    </row>
    <row r="233" spans="1:4" ht="42.75" customHeight="1" thickBot="1">
      <c r="A233" s="1" t="s">
        <v>686</v>
      </c>
      <c r="B233" s="26" t="s">
        <v>1</v>
      </c>
      <c r="C233" s="90" t="s">
        <v>225</v>
      </c>
      <c r="D233" s="91"/>
    </row>
    <row r="234" spans="1:4" ht="42.75" customHeight="1" thickBot="1">
      <c r="A234" s="26"/>
      <c r="B234" s="26" t="s">
        <v>0</v>
      </c>
      <c r="C234" s="5" t="s">
        <v>687</v>
      </c>
      <c r="D234" s="4" t="s">
        <v>2</v>
      </c>
    </row>
    <row r="235" spans="1:4" ht="42.75" customHeight="1" thickBot="1">
      <c r="A235" s="92">
        <v>6900</v>
      </c>
      <c r="B235" s="93"/>
      <c r="C235" s="94" t="s">
        <v>3</v>
      </c>
      <c r="D235" s="95"/>
    </row>
    <row r="236" spans="1:4" ht="42.75" customHeight="1" thickBot="1">
      <c r="A236" s="92">
        <v>6965</v>
      </c>
      <c r="B236" s="93"/>
      <c r="C236" s="96" t="s">
        <v>4</v>
      </c>
      <c r="D236" s="97"/>
    </row>
    <row r="237" spans="1:4" ht="42.75" customHeight="1" thickBot="1">
      <c r="A237" s="98">
        <f>A236-A235</f>
        <v>65</v>
      </c>
      <c r="B237" s="99"/>
      <c r="C237" s="100" t="s">
        <v>5</v>
      </c>
      <c r="D237" s="97"/>
    </row>
    <row r="238" spans="1:4" ht="42.75" customHeight="1" thickBot="1">
      <c r="A238" s="101">
        <v>62</v>
      </c>
      <c r="B238" s="102"/>
      <c r="C238" s="96" t="s">
        <v>6</v>
      </c>
      <c r="D238" s="97"/>
    </row>
    <row r="239" spans="1:4" ht="42.75" customHeight="1" thickBot="1">
      <c r="A239" s="103"/>
      <c r="B239" s="104"/>
      <c r="C239" s="96" t="s">
        <v>21</v>
      </c>
      <c r="D239" s="97"/>
    </row>
    <row r="240" spans="1:4" ht="42.75" customHeight="1" thickBot="1">
      <c r="A240" s="105">
        <v>4000</v>
      </c>
      <c r="B240" s="106"/>
      <c r="C240" s="96" t="s">
        <v>7</v>
      </c>
      <c r="D240" s="97"/>
    </row>
    <row r="241" spans="1:4" ht="42.75" customHeight="1" thickBot="1">
      <c r="A241" s="107" t="s">
        <v>17</v>
      </c>
      <c r="B241" s="108"/>
      <c r="C241" s="108"/>
      <c r="D241" s="109"/>
    </row>
    <row r="242" spans="1:4" ht="42.75" customHeight="1" thickBot="1">
      <c r="A242" s="110" t="s">
        <v>20</v>
      </c>
      <c r="B242" s="111"/>
      <c r="C242" s="111"/>
      <c r="D242" s="112"/>
    </row>
    <row r="243" spans="1:4" ht="42.75" customHeight="1" thickBot="1">
      <c r="A243" s="113" t="s">
        <v>18</v>
      </c>
      <c r="B243" s="114"/>
      <c r="C243" s="114"/>
      <c r="D243" s="115"/>
    </row>
    <row r="244" spans="1:4" ht="42.75" customHeight="1" thickBot="1">
      <c r="A244" s="126" t="s">
        <v>19</v>
      </c>
      <c r="B244" s="127"/>
      <c r="C244" s="127"/>
      <c r="D244" s="128"/>
    </row>
    <row r="245" spans="1:4" ht="42.75" customHeight="1" thickBot="1">
      <c r="A245" s="123" t="s">
        <v>11</v>
      </c>
      <c r="B245" s="124"/>
      <c r="C245" s="125" t="s">
        <v>603</v>
      </c>
      <c r="D245" s="124"/>
    </row>
    <row r="246" spans="1:4" ht="42.75" customHeight="1" thickBot="1">
      <c r="A246" s="1" t="s">
        <v>686</v>
      </c>
      <c r="B246" s="26" t="s">
        <v>1</v>
      </c>
      <c r="C246" s="90" t="s">
        <v>357</v>
      </c>
      <c r="D246" s="91"/>
    </row>
    <row r="247" spans="1:4" ht="42.75" customHeight="1" thickBot="1">
      <c r="A247" s="26"/>
      <c r="B247" s="26" t="s">
        <v>0</v>
      </c>
      <c r="C247" s="5" t="s">
        <v>687</v>
      </c>
      <c r="D247" s="4" t="s">
        <v>2</v>
      </c>
    </row>
    <row r="248" spans="1:4" ht="42.75" customHeight="1" thickBot="1">
      <c r="A248" s="92">
        <v>3525</v>
      </c>
      <c r="B248" s="93"/>
      <c r="C248" s="94" t="s">
        <v>3</v>
      </c>
      <c r="D248" s="95"/>
    </row>
    <row r="249" spans="1:4" ht="42.75" customHeight="1" thickBot="1">
      <c r="A249" s="92">
        <v>3525</v>
      </c>
      <c r="B249" s="93"/>
      <c r="C249" s="96" t="s">
        <v>4</v>
      </c>
      <c r="D249" s="97"/>
    </row>
    <row r="250" spans="1:4" ht="42.75" customHeight="1" thickBot="1">
      <c r="A250" s="98">
        <f>A249-A248</f>
        <v>0</v>
      </c>
      <c r="B250" s="99"/>
      <c r="C250" s="100" t="s">
        <v>5</v>
      </c>
      <c r="D250" s="97"/>
    </row>
    <row r="251" spans="1:4" ht="42.75" customHeight="1" thickBot="1">
      <c r="A251" s="101">
        <v>62</v>
      </c>
      <c r="B251" s="102"/>
      <c r="C251" s="96" t="s">
        <v>6</v>
      </c>
      <c r="D251" s="97"/>
    </row>
    <row r="252" spans="1:4" ht="42.75" customHeight="1" thickBot="1">
      <c r="A252" s="103"/>
      <c r="B252" s="104"/>
      <c r="C252" s="96" t="s">
        <v>21</v>
      </c>
      <c r="D252" s="97"/>
    </row>
    <row r="253" spans="1:4" ht="42.75" customHeight="1" thickBot="1">
      <c r="A253" s="105">
        <f>A251*A250</f>
        <v>0</v>
      </c>
      <c r="B253" s="106"/>
      <c r="C253" s="96" t="s">
        <v>7</v>
      </c>
      <c r="D253" s="97"/>
    </row>
    <row r="254" spans="1:4" ht="42.75" customHeight="1" thickBot="1">
      <c r="A254" s="107" t="s">
        <v>17</v>
      </c>
      <c r="B254" s="108"/>
      <c r="C254" s="108"/>
      <c r="D254" s="109"/>
    </row>
    <row r="255" spans="1:4" ht="42.75" customHeight="1" thickBot="1">
      <c r="A255" s="116" t="s">
        <v>20</v>
      </c>
      <c r="B255" s="117"/>
      <c r="C255" s="117"/>
      <c r="D255" s="118"/>
    </row>
    <row r="256" spans="1:4" ht="42.75" customHeight="1" thickBot="1">
      <c r="A256" s="113" t="s">
        <v>18</v>
      </c>
      <c r="B256" s="114"/>
      <c r="C256" s="114"/>
      <c r="D256" s="115"/>
    </row>
    <row r="257" spans="1:4" ht="42.75" customHeight="1" thickBot="1">
      <c r="A257" s="119"/>
      <c r="B257" s="119"/>
      <c r="C257" s="119"/>
      <c r="D257" s="119"/>
    </row>
    <row r="258" spans="1:4" ht="42.75" customHeight="1" thickBot="1">
      <c r="A258" s="126" t="s">
        <v>19</v>
      </c>
      <c r="B258" s="127"/>
      <c r="C258" s="127"/>
      <c r="D258" s="128"/>
    </row>
    <row r="259" spans="1:4" ht="42.75" customHeight="1" thickBot="1">
      <c r="A259" s="123" t="s">
        <v>11</v>
      </c>
      <c r="B259" s="124"/>
      <c r="C259" s="125" t="s">
        <v>603</v>
      </c>
      <c r="D259" s="124"/>
    </row>
    <row r="260" spans="1:4" ht="42.75" customHeight="1" thickBot="1">
      <c r="A260" s="1" t="s">
        <v>686</v>
      </c>
      <c r="B260" s="26" t="s">
        <v>1</v>
      </c>
      <c r="C260" s="90" t="s">
        <v>357</v>
      </c>
      <c r="D260" s="91"/>
    </row>
    <row r="261" spans="1:4" ht="42.75" customHeight="1" thickBot="1">
      <c r="A261" s="26"/>
      <c r="B261" s="26" t="s">
        <v>0</v>
      </c>
      <c r="C261" s="5" t="s">
        <v>687</v>
      </c>
      <c r="D261" s="4" t="s">
        <v>2</v>
      </c>
    </row>
    <row r="262" spans="1:4" ht="42.75" customHeight="1" thickBot="1">
      <c r="A262" s="92">
        <v>3495</v>
      </c>
      <c r="B262" s="93"/>
      <c r="C262" s="94" t="s">
        <v>3</v>
      </c>
      <c r="D262" s="95"/>
    </row>
    <row r="263" spans="1:4" ht="42.75" customHeight="1" thickBot="1">
      <c r="A263" s="92">
        <v>3525</v>
      </c>
      <c r="B263" s="93"/>
      <c r="C263" s="96" t="s">
        <v>4</v>
      </c>
      <c r="D263" s="97"/>
    </row>
    <row r="264" spans="1:4" ht="42.75" customHeight="1" thickBot="1">
      <c r="A264" s="98">
        <f>A263-A262</f>
        <v>30</v>
      </c>
      <c r="B264" s="99"/>
      <c r="C264" s="100" t="s">
        <v>5</v>
      </c>
      <c r="D264" s="97"/>
    </row>
    <row r="265" spans="1:4" ht="42.75" customHeight="1" thickBot="1">
      <c r="A265" s="101">
        <v>62</v>
      </c>
      <c r="B265" s="102"/>
      <c r="C265" s="96" t="s">
        <v>6</v>
      </c>
      <c r="D265" s="97"/>
    </row>
    <row r="266" spans="1:4" ht="42.75" customHeight="1" thickBot="1">
      <c r="A266" s="103"/>
      <c r="B266" s="104"/>
      <c r="C266" s="96" t="s">
        <v>21</v>
      </c>
      <c r="D266" s="97"/>
    </row>
    <row r="267" spans="1:4" ht="42.75" customHeight="1" thickBot="1">
      <c r="A267" s="105">
        <v>1850</v>
      </c>
      <c r="B267" s="106"/>
      <c r="C267" s="96" t="s">
        <v>7</v>
      </c>
      <c r="D267" s="97"/>
    </row>
    <row r="268" spans="1:4" ht="42.75" customHeight="1" thickBot="1">
      <c r="A268" s="107" t="s">
        <v>17</v>
      </c>
      <c r="B268" s="108"/>
      <c r="C268" s="108"/>
      <c r="D268" s="109"/>
    </row>
    <row r="269" spans="1:4" ht="42.75" customHeight="1" thickBot="1">
      <c r="A269" s="110" t="s">
        <v>20</v>
      </c>
      <c r="B269" s="111"/>
      <c r="C269" s="111"/>
      <c r="D269" s="112"/>
    </row>
    <row r="270" spans="1:4" ht="42.75" customHeight="1" thickBot="1">
      <c r="A270" s="113" t="s">
        <v>18</v>
      </c>
      <c r="B270" s="114"/>
      <c r="C270" s="114"/>
      <c r="D270" s="115"/>
    </row>
    <row r="271" spans="1:4" ht="42.75" customHeight="1" thickBot="1">
      <c r="A271" s="126" t="s">
        <v>19</v>
      </c>
      <c r="B271" s="127"/>
      <c r="C271" s="127"/>
      <c r="D271" s="128"/>
    </row>
    <row r="272" spans="1:4" ht="42.75" customHeight="1" thickBot="1">
      <c r="A272" s="123" t="s">
        <v>11</v>
      </c>
      <c r="B272" s="124"/>
      <c r="C272" s="125" t="s">
        <v>603</v>
      </c>
      <c r="D272" s="124"/>
    </row>
    <row r="273" spans="1:4" ht="42.75" customHeight="1" thickBot="1">
      <c r="A273" s="1" t="s">
        <v>686</v>
      </c>
      <c r="B273" s="26" t="s">
        <v>1</v>
      </c>
      <c r="C273" s="90" t="s">
        <v>226</v>
      </c>
      <c r="D273" s="91"/>
    </row>
    <row r="274" spans="1:4" ht="42.75" customHeight="1" thickBot="1">
      <c r="A274" s="26"/>
      <c r="B274" s="26" t="s">
        <v>0</v>
      </c>
      <c r="C274" s="5" t="s">
        <v>687</v>
      </c>
      <c r="D274" s="4" t="s">
        <v>2</v>
      </c>
    </row>
    <row r="275" spans="1:4" ht="42.75" customHeight="1" thickBot="1">
      <c r="A275" s="92">
        <v>5540</v>
      </c>
      <c r="B275" s="93"/>
      <c r="C275" s="94" t="s">
        <v>3</v>
      </c>
      <c r="D275" s="95"/>
    </row>
    <row r="276" spans="1:4" ht="42.75" customHeight="1" thickBot="1">
      <c r="A276" s="92">
        <v>5540</v>
      </c>
      <c r="B276" s="93"/>
      <c r="C276" s="96" t="s">
        <v>4</v>
      </c>
      <c r="D276" s="97"/>
    </row>
    <row r="277" spans="1:4" ht="42.75" customHeight="1" thickBot="1">
      <c r="A277" s="98">
        <f>A276-A275</f>
        <v>0</v>
      </c>
      <c r="B277" s="99"/>
      <c r="C277" s="100" t="s">
        <v>5</v>
      </c>
      <c r="D277" s="97"/>
    </row>
    <row r="278" spans="1:4" ht="42.75" customHeight="1" thickBot="1">
      <c r="A278" s="101">
        <v>62</v>
      </c>
      <c r="B278" s="102"/>
      <c r="C278" s="96" t="s">
        <v>6</v>
      </c>
      <c r="D278" s="97"/>
    </row>
    <row r="279" spans="1:4" ht="42.75" customHeight="1" thickBot="1">
      <c r="A279" s="103"/>
      <c r="B279" s="104"/>
      <c r="C279" s="96" t="s">
        <v>21</v>
      </c>
      <c r="D279" s="97"/>
    </row>
    <row r="280" spans="1:4" ht="42.75" customHeight="1" thickBot="1">
      <c r="A280" s="105">
        <f>A278*A277</f>
        <v>0</v>
      </c>
      <c r="B280" s="106"/>
      <c r="C280" s="96" t="s">
        <v>7</v>
      </c>
      <c r="D280" s="97"/>
    </row>
    <row r="281" spans="1:4" ht="42.75" customHeight="1" thickBot="1">
      <c r="A281" s="107" t="s">
        <v>17</v>
      </c>
      <c r="B281" s="108"/>
      <c r="C281" s="108"/>
      <c r="D281" s="109"/>
    </row>
    <row r="282" spans="1:4" ht="42.75" customHeight="1" thickBot="1">
      <c r="A282" s="116" t="s">
        <v>20</v>
      </c>
      <c r="B282" s="117"/>
      <c r="C282" s="117"/>
      <c r="D282" s="118"/>
    </row>
    <row r="283" spans="1:4" ht="42.75" customHeight="1" thickBot="1">
      <c r="A283" s="113" t="s">
        <v>18</v>
      </c>
      <c r="B283" s="114"/>
      <c r="C283" s="114"/>
      <c r="D283" s="115"/>
    </row>
    <row r="284" spans="1:4" ht="42.75" customHeight="1" thickBot="1">
      <c r="A284" s="119"/>
      <c r="B284" s="119"/>
      <c r="C284" s="119"/>
      <c r="D284" s="119"/>
    </row>
    <row r="285" spans="1:4" ht="42.75" customHeight="1" thickBot="1">
      <c r="A285" s="126" t="s">
        <v>19</v>
      </c>
      <c r="B285" s="127"/>
      <c r="C285" s="127"/>
      <c r="D285" s="128"/>
    </row>
    <row r="286" spans="1:4" ht="42.75" customHeight="1" thickBot="1">
      <c r="A286" s="123" t="s">
        <v>11</v>
      </c>
      <c r="B286" s="124"/>
      <c r="C286" s="125" t="s">
        <v>603</v>
      </c>
      <c r="D286" s="124"/>
    </row>
    <row r="287" spans="1:4" ht="42.75" customHeight="1" thickBot="1">
      <c r="A287" s="1" t="s">
        <v>686</v>
      </c>
      <c r="B287" s="26" t="s">
        <v>1</v>
      </c>
      <c r="C287" s="90" t="s">
        <v>226</v>
      </c>
      <c r="D287" s="91"/>
    </row>
    <row r="288" spans="1:4" ht="42.75" customHeight="1" thickBot="1">
      <c r="A288" s="26"/>
      <c r="B288" s="26" t="s">
        <v>0</v>
      </c>
      <c r="C288" s="5" t="s">
        <v>687</v>
      </c>
      <c r="D288" s="4" t="s">
        <v>2</v>
      </c>
    </row>
    <row r="289" spans="1:4" ht="42.75" customHeight="1" thickBot="1">
      <c r="A289" s="92">
        <v>5455</v>
      </c>
      <c r="B289" s="93"/>
      <c r="C289" s="94" t="s">
        <v>3</v>
      </c>
      <c r="D289" s="95"/>
    </row>
    <row r="290" spans="1:4" ht="42.75" customHeight="1" thickBot="1">
      <c r="A290" s="92">
        <v>5540</v>
      </c>
      <c r="B290" s="93"/>
      <c r="C290" s="96" t="s">
        <v>4</v>
      </c>
      <c r="D290" s="97"/>
    </row>
    <row r="291" spans="1:4" ht="42.75" customHeight="1" thickBot="1">
      <c r="A291" s="98">
        <f>A290-A289</f>
        <v>85</v>
      </c>
      <c r="B291" s="99"/>
      <c r="C291" s="100" t="s">
        <v>5</v>
      </c>
      <c r="D291" s="97"/>
    </row>
    <row r="292" spans="1:4" ht="42.75" customHeight="1" thickBot="1">
      <c r="A292" s="101">
        <v>62</v>
      </c>
      <c r="B292" s="102"/>
      <c r="C292" s="96" t="s">
        <v>6</v>
      </c>
      <c r="D292" s="97"/>
    </row>
    <row r="293" spans="1:4" ht="42.75" customHeight="1" thickBot="1">
      <c r="A293" s="103"/>
      <c r="B293" s="104"/>
      <c r="C293" s="96" t="s">
        <v>21</v>
      </c>
      <c r="D293" s="97"/>
    </row>
    <row r="294" spans="1:4" ht="42.75" customHeight="1" thickBot="1">
      <c r="A294" s="105">
        <v>5300</v>
      </c>
      <c r="B294" s="106"/>
      <c r="C294" s="96" t="s">
        <v>7</v>
      </c>
      <c r="D294" s="97"/>
    </row>
    <row r="295" spans="1:4" ht="42.75" customHeight="1" thickBot="1">
      <c r="A295" s="107" t="s">
        <v>17</v>
      </c>
      <c r="B295" s="108"/>
      <c r="C295" s="108"/>
      <c r="D295" s="109"/>
    </row>
    <row r="296" spans="1:4" ht="42.75" customHeight="1" thickBot="1">
      <c r="A296" s="110" t="s">
        <v>20</v>
      </c>
      <c r="B296" s="111"/>
      <c r="C296" s="111"/>
      <c r="D296" s="112"/>
    </row>
    <row r="297" spans="1:4" ht="42.75" customHeight="1" thickBot="1">
      <c r="A297" s="113" t="s">
        <v>18</v>
      </c>
      <c r="B297" s="114"/>
      <c r="C297" s="114"/>
      <c r="D297" s="115"/>
    </row>
    <row r="298" spans="1:4" ht="42.75" customHeight="1" thickBot="1">
      <c r="A298" s="126" t="s">
        <v>19</v>
      </c>
      <c r="B298" s="127"/>
      <c r="C298" s="127"/>
      <c r="D298" s="128"/>
    </row>
    <row r="299" spans="1:4" ht="42.75" customHeight="1" thickBot="1">
      <c r="A299" s="123" t="s">
        <v>11</v>
      </c>
      <c r="B299" s="124"/>
      <c r="C299" s="125" t="s">
        <v>603</v>
      </c>
      <c r="D299" s="124"/>
    </row>
    <row r="300" spans="1:4" ht="42.75" customHeight="1" thickBot="1">
      <c r="A300" s="1" t="s">
        <v>686</v>
      </c>
      <c r="B300" s="26" t="s">
        <v>1</v>
      </c>
      <c r="C300" s="90" t="s">
        <v>678</v>
      </c>
      <c r="D300" s="91"/>
    </row>
    <row r="301" spans="1:4" ht="42.75" customHeight="1" thickBot="1">
      <c r="A301" s="26"/>
      <c r="B301" s="26" t="s">
        <v>0</v>
      </c>
      <c r="C301" s="5" t="s">
        <v>687</v>
      </c>
      <c r="D301" s="4" t="s">
        <v>2</v>
      </c>
    </row>
    <row r="302" spans="1:4" ht="42.75" customHeight="1" thickBot="1">
      <c r="A302" s="92">
        <v>6795</v>
      </c>
      <c r="B302" s="93"/>
      <c r="C302" s="94" t="s">
        <v>3</v>
      </c>
      <c r="D302" s="95"/>
    </row>
    <row r="303" spans="1:4" ht="42.75" customHeight="1" thickBot="1">
      <c r="A303" s="92">
        <v>6795</v>
      </c>
      <c r="B303" s="93"/>
      <c r="C303" s="96" t="s">
        <v>4</v>
      </c>
      <c r="D303" s="97"/>
    </row>
    <row r="304" spans="1:4" ht="42.75" customHeight="1" thickBot="1">
      <c r="A304" s="98">
        <f>A303-A302</f>
        <v>0</v>
      </c>
      <c r="B304" s="99"/>
      <c r="C304" s="100" t="s">
        <v>5</v>
      </c>
      <c r="D304" s="97"/>
    </row>
    <row r="305" spans="1:4" ht="42.75" customHeight="1" thickBot="1">
      <c r="A305" s="101">
        <v>62</v>
      </c>
      <c r="B305" s="102"/>
      <c r="C305" s="96" t="s">
        <v>6</v>
      </c>
      <c r="D305" s="97"/>
    </row>
    <row r="306" spans="1:4" ht="42.75" customHeight="1" thickBot="1">
      <c r="A306" s="103"/>
      <c r="B306" s="104"/>
      <c r="C306" s="96" t="s">
        <v>21</v>
      </c>
      <c r="D306" s="97"/>
    </row>
    <row r="307" spans="1:4" ht="42.75" customHeight="1" thickBot="1">
      <c r="A307" s="105">
        <f>A305*A304</f>
        <v>0</v>
      </c>
      <c r="B307" s="106"/>
      <c r="C307" s="96" t="s">
        <v>7</v>
      </c>
      <c r="D307" s="97"/>
    </row>
    <row r="308" spans="1:4" ht="42.75" customHeight="1" thickBot="1">
      <c r="A308" s="107" t="s">
        <v>17</v>
      </c>
      <c r="B308" s="108"/>
      <c r="C308" s="108"/>
      <c r="D308" s="109"/>
    </row>
    <row r="309" spans="1:4" ht="42.75" customHeight="1" thickBot="1">
      <c r="A309" s="116" t="s">
        <v>20</v>
      </c>
      <c r="B309" s="117"/>
      <c r="C309" s="117"/>
      <c r="D309" s="118"/>
    </row>
    <row r="310" spans="1:4" ht="42.75" customHeight="1" thickBot="1">
      <c r="A310" s="113" t="s">
        <v>18</v>
      </c>
      <c r="B310" s="114"/>
      <c r="C310" s="114"/>
      <c r="D310" s="115"/>
    </row>
    <row r="311" spans="1:4" ht="42.75" customHeight="1" thickBot="1">
      <c r="A311" s="119"/>
      <c r="B311" s="119"/>
      <c r="C311" s="119"/>
      <c r="D311" s="119"/>
    </row>
    <row r="312" spans="1:4" ht="42.75" customHeight="1" thickBot="1">
      <c r="A312" s="126" t="s">
        <v>19</v>
      </c>
      <c r="B312" s="127"/>
      <c r="C312" s="127"/>
      <c r="D312" s="128"/>
    </row>
    <row r="313" spans="1:4" ht="42.75" customHeight="1" thickBot="1">
      <c r="A313" s="123" t="s">
        <v>11</v>
      </c>
      <c r="B313" s="124"/>
      <c r="C313" s="125" t="s">
        <v>603</v>
      </c>
      <c r="D313" s="124"/>
    </row>
    <row r="314" spans="1:4" ht="42.75" customHeight="1" thickBot="1">
      <c r="A314" s="1" t="s">
        <v>686</v>
      </c>
      <c r="B314" s="26" t="s">
        <v>1</v>
      </c>
      <c r="C314" s="90" t="s">
        <v>678</v>
      </c>
      <c r="D314" s="91"/>
    </row>
    <row r="315" spans="1:4" ht="42.75" customHeight="1" thickBot="1">
      <c r="A315" s="26"/>
      <c r="B315" s="26" t="s">
        <v>0</v>
      </c>
      <c r="C315" s="5" t="s">
        <v>687</v>
      </c>
      <c r="D315" s="4" t="s">
        <v>2</v>
      </c>
    </row>
    <row r="316" spans="1:4" ht="42.75" customHeight="1" thickBot="1">
      <c r="A316" s="92">
        <v>6735</v>
      </c>
      <c r="B316" s="93"/>
      <c r="C316" s="94" t="s">
        <v>3</v>
      </c>
      <c r="D316" s="95"/>
    </row>
    <row r="317" spans="1:4" ht="42.75" customHeight="1" thickBot="1">
      <c r="A317" s="92">
        <v>6795</v>
      </c>
      <c r="B317" s="93"/>
      <c r="C317" s="96" t="s">
        <v>4</v>
      </c>
      <c r="D317" s="97"/>
    </row>
    <row r="318" spans="1:4" ht="42.75" customHeight="1" thickBot="1">
      <c r="A318" s="98">
        <f>A317-A316</f>
        <v>60</v>
      </c>
      <c r="B318" s="99"/>
      <c r="C318" s="100" t="s">
        <v>5</v>
      </c>
      <c r="D318" s="97"/>
    </row>
    <row r="319" spans="1:4" ht="42.75" customHeight="1" thickBot="1">
      <c r="A319" s="101">
        <v>62</v>
      </c>
      <c r="B319" s="102"/>
      <c r="C319" s="96" t="s">
        <v>6</v>
      </c>
      <c r="D319" s="97"/>
    </row>
    <row r="320" spans="1:4" ht="42.75" customHeight="1" thickBot="1">
      <c r="A320" s="103"/>
      <c r="B320" s="104"/>
      <c r="C320" s="96" t="s">
        <v>21</v>
      </c>
      <c r="D320" s="97"/>
    </row>
    <row r="321" spans="1:4" ht="42.75" customHeight="1" thickBot="1">
      <c r="A321" s="105">
        <v>3700</v>
      </c>
      <c r="B321" s="106"/>
      <c r="C321" s="96" t="s">
        <v>7</v>
      </c>
      <c r="D321" s="97"/>
    </row>
    <row r="322" spans="1:4" ht="42.75" customHeight="1" thickBot="1">
      <c r="A322" s="107" t="s">
        <v>17</v>
      </c>
      <c r="B322" s="108"/>
      <c r="C322" s="108"/>
      <c r="D322" s="109"/>
    </row>
    <row r="323" spans="1:4" ht="42.75" customHeight="1" thickBot="1">
      <c r="A323" s="110" t="s">
        <v>20</v>
      </c>
      <c r="B323" s="111"/>
      <c r="C323" s="111"/>
      <c r="D323" s="112"/>
    </row>
    <row r="324" spans="1:4" ht="42.75" customHeight="1" thickBot="1">
      <c r="A324" s="113" t="s">
        <v>18</v>
      </c>
      <c r="B324" s="114"/>
      <c r="C324" s="114"/>
      <c r="D324" s="115"/>
    </row>
    <row r="325" spans="1:4" ht="42.75" customHeight="1" thickBot="1">
      <c r="A325" s="126" t="s">
        <v>19</v>
      </c>
      <c r="B325" s="127"/>
      <c r="C325" s="127"/>
      <c r="D325" s="128"/>
    </row>
    <row r="326" spans="1:4" ht="42.75" customHeight="1" thickBot="1">
      <c r="A326" s="123" t="s">
        <v>11</v>
      </c>
      <c r="B326" s="124"/>
      <c r="C326" s="125" t="s">
        <v>603</v>
      </c>
      <c r="D326" s="124"/>
    </row>
    <row r="327" spans="1:4" ht="42.75" customHeight="1" thickBot="1">
      <c r="A327" s="1" t="s">
        <v>686</v>
      </c>
      <c r="B327" s="26" t="s">
        <v>1</v>
      </c>
      <c r="C327" s="90" t="s">
        <v>228</v>
      </c>
      <c r="D327" s="91"/>
    </row>
    <row r="328" spans="1:4" ht="42.75" customHeight="1" thickBot="1">
      <c r="A328" s="26"/>
      <c r="B328" s="26" t="s">
        <v>0</v>
      </c>
      <c r="C328" s="5" t="s">
        <v>687</v>
      </c>
      <c r="D328" s="4" t="s">
        <v>2</v>
      </c>
    </row>
    <row r="329" spans="1:4" ht="42.75" customHeight="1" thickBot="1">
      <c r="A329" s="92">
        <v>4045</v>
      </c>
      <c r="B329" s="93"/>
      <c r="C329" s="94" t="s">
        <v>3</v>
      </c>
      <c r="D329" s="95"/>
    </row>
    <row r="330" spans="1:4" ht="42.75" customHeight="1" thickBot="1">
      <c r="A330" s="92">
        <v>4045</v>
      </c>
      <c r="B330" s="93"/>
      <c r="C330" s="96" t="s">
        <v>4</v>
      </c>
      <c r="D330" s="97"/>
    </row>
    <row r="331" spans="1:4" ht="42.75" customHeight="1" thickBot="1">
      <c r="A331" s="98">
        <f>A330-A329</f>
        <v>0</v>
      </c>
      <c r="B331" s="99"/>
      <c r="C331" s="100" t="s">
        <v>5</v>
      </c>
      <c r="D331" s="97"/>
    </row>
    <row r="332" spans="1:4" ht="42.75" customHeight="1" thickBot="1">
      <c r="A332" s="101">
        <v>62</v>
      </c>
      <c r="B332" s="102"/>
      <c r="C332" s="96" t="s">
        <v>6</v>
      </c>
      <c r="D332" s="97"/>
    </row>
    <row r="333" spans="1:4" ht="42.75" customHeight="1" thickBot="1">
      <c r="A333" s="103"/>
      <c r="B333" s="104"/>
      <c r="C333" s="96" t="s">
        <v>21</v>
      </c>
      <c r="D333" s="97"/>
    </row>
    <row r="334" spans="1:4" ht="42.75" customHeight="1" thickBot="1">
      <c r="A334" s="105">
        <f>A332*A331</f>
        <v>0</v>
      </c>
      <c r="B334" s="106"/>
      <c r="C334" s="96" t="s">
        <v>7</v>
      </c>
      <c r="D334" s="97"/>
    </row>
    <row r="335" spans="1:4" ht="42.75" customHeight="1" thickBot="1">
      <c r="A335" s="107" t="s">
        <v>17</v>
      </c>
      <c r="B335" s="108"/>
      <c r="C335" s="108"/>
      <c r="D335" s="109"/>
    </row>
    <row r="336" spans="1:4" ht="42.75" customHeight="1" thickBot="1">
      <c r="A336" s="116" t="s">
        <v>20</v>
      </c>
      <c r="B336" s="117"/>
      <c r="C336" s="117"/>
      <c r="D336" s="118"/>
    </row>
    <row r="337" spans="1:4" ht="42.75" customHeight="1" thickBot="1">
      <c r="A337" s="113" t="s">
        <v>18</v>
      </c>
      <c r="B337" s="114"/>
      <c r="C337" s="114"/>
      <c r="D337" s="115"/>
    </row>
    <row r="338" spans="1:4" ht="42.75" customHeight="1" thickBot="1">
      <c r="A338" s="119"/>
      <c r="B338" s="119"/>
      <c r="C338" s="119"/>
      <c r="D338" s="119"/>
    </row>
    <row r="339" spans="1:4" ht="42.75" customHeight="1" thickBot="1">
      <c r="A339" s="126" t="s">
        <v>19</v>
      </c>
      <c r="B339" s="127"/>
      <c r="C339" s="127"/>
      <c r="D339" s="128"/>
    </row>
    <row r="340" spans="1:4" ht="42.75" customHeight="1" thickBot="1">
      <c r="A340" s="123" t="s">
        <v>11</v>
      </c>
      <c r="B340" s="124"/>
      <c r="C340" s="125" t="s">
        <v>603</v>
      </c>
      <c r="D340" s="124"/>
    </row>
    <row r="341" spans="1:4" ht="42.75" customHeight="1" thickBot="1">
      <c r="A341" s="1" t="s">
        <v>686</v>
      </c>
      <c r="B341" s="26" t="s">
        <v>1</v>
      </c>
      <c r="C341" s="90" t="s">
        <v>228</v>
      </c>
      <c r="D341" s="91"/>
    </row>
    <row r="342" spans="1:4" ht="42.75" customHeight="1" thickBot="1">
      <c r="A342" s="26"/>
      <c r="B342" s="26" t="s">
        <v>0</v>
      </c>
      <c r="C342" s="5" t="s">
        <v>687</v>
      </c>
      <c r="D342" s="4" t="s">
        <v>2</v>
      </c>
    </row>
    <row r="343" spans="1:4" ht="42.75" customHeight="1" thickBot="1">
      <c r="A343" s="92">
        <v>4030</v>
      </c>
      <c r="B343" s="93"/>
      <c r="C343" s="94" t="s">
        <v>3</v>
      </c>
      <c r="D343" s="95"/>
    </row>
    <row r="344" spans="1:4" ht="42.75" customHeight="1" thickBot="1">
      <c r="A344" s="92">
        <v>4045</v>
      </c>
      <c r="B344" s="93"/>
      <c r="C344" s="96" t="s">
        <v>4</v>
      </c>
      <c r="D344" s="97"/>
    </row>
    <row r="345" spans="1:4" ht="42.75" customHeight="1" thickBot="1">
      <c r="A345" s="98">
        <f>A344-A343</f>
        <v>15</v>
      </c>
      <c r="B345" s="99"/>
      <c r="C345" s="100" t="s">
        <v>5</v>
      </c>
      <c r="D345" s="97"/>
    </row>
    <row r="346" spans="1:4" ht="42.75" customHeight="1" thickBot="1">
      <c r="A346" s="101">
        <v>62</v>
      </c>
      <c r="B346" s="102"/>
      <c r="C346" s="96" t="s">
        <v>6</v>
      </c>
      <c r="D346" s="97"/>
    </row>
    <row r="347" spans="1:4" ht="42.75" customHeight="1" thickBot="1">
      <c r="A347" s="103"/>
      <c r="B347" s="104"/>
      <c r="C347" s="96" t="s">
        <v>21</v>
      </c>
      <c r="D347" s="97"/>
    </row>
    <row r="348" spans="1:4" ht="42.75" customHeight="1" thickBot="1">
      <c r="A348" s="105">
        <v>950</v>
      </c>
      <c r="B348" s="106"/>
      <c r="C348" s="96" t="s">
        <v>7</v>
      </c>
      <c r="D348" s="97"/>
    </row>
    <row r="349" spans="1:4" ht="42.75" customHeight="1" thickBot="1">
      <c r="A349" s="107" t="s">
        <v>17</v>
      </c>
      <c r="B349" s="108"/>
      <c r="C349" s="108"/>
      <c r="D349" s="109"/>
    </row>
    <row r="350" spans="1:4" ht="42.75" customHeight="1" thickBot="1">
      <c r="A350" s="110" t="s">
        <v>20</v>
      </c>
      <c r="B350" s="111"/>
      <c r="C350" s="111"/>
      <c r="D350" s="112"/>
    </row>
    <row r="351" spans="1:4" ht="42.75" customHeight="1" thickBot="1">
      <c r="A351" s="113" t="s">
        <v>18</v>
      </c>
      <c r="B351" s="114"/>
      <c r="C351" s="114"/>
      <c r="D351" s="115"/>
    </row>
    <row r="352" spans="1:4" ht="42.75" customHeight="1" thickBot="1">
      <c r="A352" s="126" t="s">
        <v>19</v>
      </c>
      <c r="B352" s="127"/>
      <c r="C352" s="127"/>
      <c r="D352" s="128"/>
    </row>
    <row r="353" spans="1:4" ht="42.75" customHeight="1" thickBot="1">
      <c r="A353" s="123" t="s">
        <v>11</v>
      </c>
      <c r="B353" s="124"/>
      <c r="C353" s="125" t="s">
        <v>603</v>
      </c>
      <c r="D353" s="124"/>
    </row>
    <row r="354" spans="1:4" ht="42.75" customHeight="1" thickBot="1">
      <c r="A354" s="1" t="s">
        <v>686</v>
      </c>
      <c r="B354" s="26" t="s">
        <v>1</v>
      </c>
      <c r="C354" s="90" t="s">
        <v>229</v>
      </c>
      <c r="D354" s="91"/>
    </row>
    <row r="355" spans="1:4" ht="42.75" customHeight="1" thickBot="1">
      <c r="A355" s="26"/>
      <c r="B355" s="26" t="s">
        <v>0</v>
      </c>
      <c r="C355" s="5" t="s">
        <v>687</v>
      </c>
      <c r="D355" s="4" t="s">
        <v>2</v>
      </c>
    </row>
    <row r="356" spans="1:4" ht="42.75" customHeight="1" thickBot="1">
      <c r="A356" s="92">
        <v>7475</v>
      </c>
      <c r="B356" s="93"/>
      <c r="C356" s="94" t="s">
        <v>3</v>
      </c>
      <c r="D356" s="95"/>
    </row>
    <row r="357" spans="1:4" ht="42.75" customHeight="1" thickBot="1">
      <c r="A357" s="92">
        <v>7475</v>
      </c>
      <c r="B357" s="93"/>
      <c r="C357" s="96" t="s">
        <v>4</v>
      </c>
      <c r="D357" s="97"/>
    </row>
    <row r="358" spans="1:4" ht="42.75" customHeight="1" thickBot="1">
      <c r="A358" s="98">
        <f>A357-A356</f>
        <v>0</v>
      </c>
      <c r="B358" s="99"/>
      <c r="C358" s="100" t="s">
        <v>5</v>
      </c>
      <c r="D358" s="97"/>
    </row>
    <row r="359" spans="1:4" ht="42.75" customHeight="1" thickBot="1">
      <c r="A359" s="101">
        <v>62</v>
      </c>
      <c r="B359" s="102"/>
      <c r="C359" s="96" t="s">
        <v>6</v>
      </c>
      <c r="D359" s="97"/>
    </row>
    <row r="360" spans="1:4" ht="42.75" customHeight="1" thickBot="1">
      <c r="A360" s="103"/>
      <c r="B360" s="104"/>
      <c r="C360" s="96" t="s">
        <v>21</v>
      </c>
      <c r="D360" s="97"/>
    </row>
    <row r="361" spans="1:4" ht="42.75" customHeight="1" thickBot="1">
      <c r="A361" s="105">
        <f>A359*A358</f>
        <v>0</v>
      </c>
      <c r="B361" s="106"/>
      <c r="C361" s="96" t="s">
        <v>7</v>
      </c>
      <c r="D361" s="97"/>
    </row>
    <row r="362" spans="1:4" ht="42.75" customHeight="1" thickBot="1">
      <c r="A362" s="107" t="s">
        <v>17</v>
      </c>
      <c r="B362" s="108"/>
      <c r="C362" s="108"/>
      <c r="D362" s="109"/>
    </row>
    <row r="363" spans="1:4" ht="42.75" customHeight="1" thickBot="1">
      <c r="A363" s="116" t="s">
        <v>20</v>
      </c>
      <c r="B363" s="117"/>
      <c r="C363" s="117"/>
      <c r="D363" s="118"/>
    </row>
    <row r="364" spans="1:4" ht="42.75" customHeight="1" thickBot="1">
      <c r="A364" s="113" t="s">
        <v>18</v>
      </c>
      <c r="B364" s="114"/>
      <c r="C364" s="114"/>
      <c r="D364" s="115"/>
    </row>
    <row r="365" spans="1:4" ht="42.75" customHeight="1" thickBot="1">
      <c r="A365" s="119"/>
      <c r="B365" s="119"/>
      <c r="C365" s="119"/>
      <c r="D365" s="119"/>
    </row>
    <row r="366" spans="1:4" ht="42.75" customHeight="1" thickBot="1">
      <c r="A366" s="126" t="s">
        <v>19</v>
      </c>
      <c r="B366" s="127"/>
      <c r="C366" s="127"/>
      <c r="D366" s="128"/>
    </row>
    <row r="367" spans="1:4" ht="42.75" customHeight="1" thickBot="1">
      <c r="A367" s="123" t="s">
        <v>11</v>
      </c>
      <c r="B367" s="124"/>
      <c r="C367" s="125" t="s">
        <v>603</v>
      </c>
      <c r="D367" s="124"/>
    </row>
    <row r="368" spans="1:4" ht="42.75" customHeight="1" thickBot="1">
      <c r="A368" s="1" t="s">
        <v>686</v>
      </c>
      <c r="B368" s="26" t="s">
        <v>1</v>
      </c>
      <c r="C368" s="90" t="s">
        <v>229</v>
      </c>
      <c r="D368" s="91"/>
    </row>
    <row r="369" spans="1:4" ht="42.75" customHeight="1" thickBot="1">
      <c r="A369" s="26"/>
      <c r="B369" s="26" t="s">
        <v>0</v>
      </c>
      <c r="C369" s="5" t="s">
        <v>687</v>
      </c>
      <c r="D369" s="4" t="s">
        <v>2</v>
      </c>
    </row>
    <row r="370" spans="1:4" ht="42.75" customHeight="1" thickBot="1">
      <c r="A370" s="92">
        <v>7355</v>
      </c>
      <c r="B370" s="93"/>
      <c r="C370" s="94" t="s">
        <v>3</v>
      </c>
      <c r="D370" s="95"/>
    </row>
    <row r="371" spans="1:4" ht="42.75" customHeight="1" thickBot="1">
      <c r="A371" s="92">
        <v>7475</v>
      </c>
      <c r="B371" s="93"/>
      <c r="C371" s="96" t="s">
        <v>4</v>
      </c>
      <c r="D371" s="97"/>
    </row>
    <row r="372" spans="1:4" ht="42.75" customHeight="1" thickBot="1">
      <c r="A372" s="98">
        <f>A371-A370</f>
        <v>120</v>
      </c>
      <c r="B372" s="99"/>
      <c r="C372" s="100" t="s">
        <v>5</v>
      </c>
      <c r="D372" s="97"/>
    </row>
    <row r="373" spans="1:4" ht="42.75" customHeight="1" thickBot="1">
      <c r="A373" s="101">
        <v>62</v>
      </c>
      <c r="B373" s="102"/>
      <c r="C373" s="96" t="s">
        <v>6</v>
      </c>
      <c r="D373" s="97"/>
    </row>
    <row r="374" spans="1:4" ht="42.75" customHeight="1" thickBot="1">
      <c r="A374" s="103"/>
      <c r="B374" s="104"/>
      <c r="C374" s="96" t="s">
        <v>21</v>
      </c>
      <c r="D374" s="97"/>
    </row>
    <row r="375" spans="1:4" ht="42.75" customHeight="1" thickBot="1">
      <c r="A375" s="105">
        <v>7450</v>
      </c>
      <c r="B375" s="106"/>
      <c r="C375" s="96" t="s">
        <v>7</v>
      </c>
      <c r="D375" s="97"/>
    </row>
    <row r="376" spans="1:4" ht="42.75" customHeight="1" thickBot="1">
      <c r="A376" s="107" t="s">
        <v>17</v>
      </c>
      <c r="B376" s="108"/>
      <c r="C376" s="108"/>
      <c r="D376" s="109"/>
    </row>
    <row r="377" spans="1:4" ht="42.75" customHeight="1" thickBot="1">
      <c r="A377" s="110" t="s">
        <v>20</v>
      </c>
      <c r="B377" s="111"/>
      <c r="C377" s="111"/>
      <c r="D377" s="112"/>
    </row>
    <row r="378" spans="1:4" ht="42.75" customHeight="1" thickBot="1">
      <c r="A378" s="113" t="s">
        <v>18</v>
      </c>
      <c r="B378" s="114"/>
      <c r="C378" s="114"/>
      <c r="D378" s="115"/>
    </row>
    <row r="379" spans="1:4" ht="42.75" customHeight="1" thickBot="1">
      <c r="A379" s="126" t="s">
        <v>19</v>
      </c>
      <c r="B379" s="127"/>
      <c r="C379" s="127"/>
      <c r="D379" s="128"/>
    </row>
    <row r="380" spans="1:4" ht="42.75" customHeight="1" thickBot="1">
      <c r="A380" s="123" t="s">
        <v>11</v>
      </c>
      <c r="B380" s="124"/>
      <c r="C380" s="125" t="s">
        <v>603</v>
      </c>
      <c r="D380" s="124"/>
    </row>
    <row r="381" spans="1:4" ht="42.75" customHeight="1" thickBot="1">
      <c r="A381" s="1" t="s">
        <v>686</v>
      </c>
      <c r="B381" s="26" t="s">
        <v>1</v>
      </c>
      <c r="C381" s="90" t="s">
        <v>230</v>
      </c>
      <c r="D381" s="91"/>
    </row>
    <row r="382" spans="1:4" ht="42.75" customHeight="1" thickBot="1">
      <c r="A382" s="26"/>
      <c r="B382" s="26" t="s">
        <v>0</v>
      </c>
      <c r="C382" s="5" t="s">
        <v>687</v>
      </c>
      <c r="D382" s="4" t="s">
        <v>2</v>
      </c>
    </row>
    <row r="383" spans="1:4" ht="42.75" customHeight="1" thickBot="1">
      <c r="A383" s="92">
        <v>5235</v>
      </c>
      <c r="B383" s="93"/>
      <c r="C383" s="94" t="s">
        <v>3</v>
      </c>
      <c r="D383" s="95"/>
    </row>
    <row r="384" spans="1:4" ht="42.75" customHeight="1" thickBot="1">
      <c r="A384" s="92">
        <v>5235</v>
      </c>
      <c r="B384" s="93"/>
      <c r="C384" s="96" t="s">
        <v>4</v>
      </c>
      <c r="D384" s="97"/>
    </row>
    <row r="385" spans="1:4" ht="42.75" customHeight="1" thickBot="1">
      <c r="A385" s="98">
        <f>A384-A383</f>
        <v>0</v>
      </c>
      <c r="B385" s="99"/>
      <c r="C385" s="100" t="s">
        <v>5</v>
      </c>
      <c r="D385" s="97"/>
    </row>
    <row r="386" spans="1:4" ht="42.75" customHeight="1" thickBot="1">
      <c r="A386" s="101">
        <v>62</v>
      </c>
      <c r="B386" s="102"/>
      <c r="C386" s="96" t="s">
        <v>6</v>
      </c>
      <c r="D386" s="97"/>
    </row>
    <row r="387" spans="1:4" ht="42.75" customHeight="1" thickBot="1">
      <c r="A387" s="103"/>
      <c r="B387" s="104"/>
      <c r="C387" s="96" t="s">
        <v>21</v>
      </c>
      <c r="D387" s="97"/>
    </row>
    <row r="388" spans="1:4" ht="42.75" customHeight="1" thickBot="1">
      <c r="A388" s="105">
        <f>A386*A385</f>
        <v>0</v>
      </c>
      <c r="B388" s="106"/>
      <c r="C388" s="96" t="s">
        <v>7</v>
      </c>
      <c r="D388" s="97"/>
    </row>
    <row r="389" spans="1:4" ht="42.75" customHeight="1" thickBot="1">
      <c r="A389" s="107" t="s">
        <v>17</v>
      </c>
      <c r="B389" s="108"/>
      <c r="C389" s="108"/>
      <c r="D389" s="109"/>
    </row>
    <row r="390" spans="1:4" ht="42.75" customHeight="1" thickBot="1">
      <c r="A390" s="116" t="s">
        <v>20</v>
      </c>
      <c r="B390" s="117"/>
      <c r="C390" s="117"/>
      <c r="D390" s="118"/>
    </row>
    <row r="391" spans="1:4" ht="42.75" customHeight="1" thickBot="1">
      <c r="A391" s="113" t="s">
        <v>18</v>
      </c>
      <c r="B391" s="114"/>
      <c r="C391" s="114"/>
      <c r="D391" s="115"/>
    </row>
    <row r="392" spans="1:4" ht="42.75" customHeight="1" thickBot="1">
      <c r="A392" s="119"/>
      <c r="B392" s="119"/>
      <c r="C392" s="119"/>
      <c r="D392" s="119"/>
    </row>
    <row r="393" spans="1:4" ht="42.75" customHeight="1" thickBot="1">
      <c r="A393" s="126" t="s">
        <v>19</v>
      </c>
      <c r="B393" s="127"/>
      <c r="C393" s="127"/>
      <c r="D393" s="128"/>
    </row>
    <row r="394" spans="1:4" ht="42.75" customHeight="1" thickBot="1">
      <c r="A394" s="123" t="s">
        <v>11</v>
      </c>
      <c r="B394" s="124"/>
      <c r="C394" s="125" t="s">
        <v>603</v>
      </c>
      <c r="D394" s="124"/>
    </row>
    <row r="395" spans="1:4" ht="42.75" customHeight="1" thickBot="1">
      <c r="A395" s="1" t="s">
        <v>686</v>
      </c>
      <c r="B395" s="26" t="s">
        <v>1</v>
      </c>
      <c r="C395" s="90" t="s">
        <v>230</v>
      </c>
      <c r="D395" s="91"/>
    </row>
    <row r="396" spans="1:4" ht="42.75" customHeight="1" thickBot="1">
      <c r="A396" s="26"/>
      <c r="B396" s="26" t="s">
        <v>0</v>
      </c>
      <c r="C396" s="5" t="s">
        <v>687</v>
      </c>
      <c r="D396" s="4" t="s">
        <v>2</v>
      </c>
    </row>
    <row r="397" spans="1:4" ht="42.75" customHeight="1" thickBot="1">
      <c r="A397" s="92">
        <v>5180</v>
      </c>
      <c r="B397" s="93"/>
      <c r="C397" s="94" t="s">
        <v>3</v>
      </c>
      <c r="D397" s="95"/>
    </row>
    <row r="398" spans="1:4" ht="42.75" customHeight="1" thickBot="1">
      <c r="A398" s="92">
        <v>5235</v>
      </c>
      <c r="B398" s="93"/>
      <c r="C398" s="96" t="s">
        <v>4</v>
      </c>
      <c r="D398" s="97"/>
    </row>
    <row r="399" spans="1:4" ht="42.75" customHeight="1" thickBot="1">
      <c r="A399" s="98">
        <f>A398-A397</f>
        <v>55</v>
      </c>
      <c r="B399" s="99"/>
      <c r="C399" s="100" t="s">
        <v>5</v>
      </c>
      <c r="D399" s="97"/>
    </row>
    <row r="400" spans="1:4" ht="42.75" customHeight="1" thickBot="1">
      <c r="A400" s="101">
        <v>62</v>
      </c>
      <c r="B400" s="102"/>
      <c r="C400" s="96" t="s">
        <v>6</v>
      </c>
      <c r="D400" s="97"/>
    </row>
    <row r="401" spans="1:4" ht="42.75" customHeight="1" thickBot="1">
      <c r="A401" s="103"/>
      <c r="B401" s="104"/>
      <c r="C401" s="96" t="s">
        <v>21</v>
      </c>
      <c r="D401" s="97"/>
    </row>
    <row r="402" spans="1:4" ht="42.75" customHeight="1" thickBot="1">
      <c r="A402" s="105">
        <f>A400*A399</f>
        <v>3410</v>
      </c>
      <c r="B402" s="106"/>
      <c r="C402" s="96" t="s">
        <v>7</v>
      </c>
      <c r="D402" s="97"/>
    </row>
    <row r="403" spans="1:4" ht="42.75" customHeight="1" thickBot="1">
      <c r="A403" s="107" t="s">
        <v>17</v>
      </c>
      <c r="B403" s="108"/>
      <c r="C403" s="108"/>
      <c r="D403" s="109"/>
    </row>
    <row r="404" spans="1:4" ht="42.75" customHeight="1" thickBot="1">
      <c r="A404" s="110" t="s">
        <v>20</v>
      </c>
      <c r="B404" s="111"/>
      <c r="C404" s="111"/>
      <c r="D404" s="112"/>
    </row>
    <row r="405" spans="1:4" ht="42.75" customHeight="1" thickBot="1">
      <c r="A405" s="113" t="s">
        <v>18</v>
      </c>
      <c r="B405" s="114"/>
      <c r="C405" s="114"/>
      <c r="D405" s="115"/>
    </row>
    <row r="406" spans="1:4" ht="42.75" customHeight="1" thickBot="1">
      <c r="A406" s="126" t="s">
        <v>19</v>
      </c>
      <c r="B406" s="127"/>
      <c r="C406" s="127"/>
      <c r="D406" s="128"/>
    </row>
    <row r="407" spans="1:4" ht="42.75" customHeight="1" thickBot="1">
      <c r="A407" s="123" t="s">
        <v>11</v>
      </c>
      <c r="B407" s="124"/>
      <c r="C407" s="125" t="s">
        <v>603</v>
      </c>
      <c r="D407" s="124"/>
    </row>
    <row r="408" spans="1:4" ht="42.75" customHeight="1" thickBot="1">
      <c r="A408" s="1" t="s">
        <v>686</v>
      </c>
      <c r="B408" s="26" t="s">
        <v>1</v>
      </c>
      <c r="C408" s="90" t="s">
        <v>231</v>
      </c>
      <c r="D408" s="91"/>
    </row>
    <row r="409" spans="1:4" ht="42.75" customHeight="1" thickBot="1">
      <c r="A409" s="26"/>
      <c r="B409" s="26" t="s">
        <v>0</v>
      </c>
      <c r="C409" s="5" t="s">
        <v>687</v>
      </c>
      <c r="D409" s="4" t="s">
        <v>2</v>
      </c>
    </row>
    <row r="410" spans="1:4" ht="42.75" customHeight="1" thickBot="1">
      <c r="A410" s="92">
        <v>1070</v>
      </c>
      <c r="B410" s="93"/>
      <c r="C410" s="94" t="s">
        <v>3</v>
      </c>
      <c r="D410" s="95"/>
    </row>
    <row r="411" spans="1:4" ht="42.75" customHeight="1" thickBot="1">
      <c r="A411" s="92">
        <v>1070</v>
      </c>
      <c r="B411" s="93"/>
      <c r="C411" s="96" t="s">
        <v>4</v>
      </c>
      <c r="D411" s="97"/>
    </row>
    <row r="412" spans="1:4" ht="42.75" customHeight="1" thickBot="1">
      <c r="A412" s="98">
        <f>A411-A410</f>
        <v>0</v>
      </c>
      <c r="B412" s="99"/>
      <c r="C412" s="100" t="s">
        <v>5</v>
      </c>
      <c r="D412" s="97"/>
    </row>
    <row r="413" spans="1:4" ht="42.75" customHeight="1" thickBot="1">
      <c r="A413" s="101">
        <v>62</v>
      </c>
      <c r="B413" s="102"/>
      <c r="C413" s="96" t="s">
        <v>6</v>
      </c>
      <c r="D413" s="97"/>
    </row>
    <row r="414" spans="1:4" ht="42.75" customHeight="1" thickBot="1">
      <c r="A414" s="103"/>
      <c r="B414" s="104"/>
      <c r="C414" s="96" t="s">
        <v>21</v>
      </c>
      <c r="D414" s="97"/>
    </row>
    <row r="415" spans="1:4" ht="42.75" customHeight="1" thickBot="1">
      <c r="A415" s="105">
        <f>A413*A412</f>
        <v>0</v>
      </c>
      <c r="B415" s="106"/>
      <c r="C415" s="96" t="s">
        <v>7</v>
      </c>
      <c r="D415" s="97"/>
    </row>
    <row r="416" spans="1:4" ht="42.75" customHeight="1" thickBot="1">
      <c r="A416" s="107" t="s">
        <v>17</v>
      </c>
      <c r="B416" s="108"/>
      <c r="C416" s="108"/>
      <c r="D416" s="109"/>
    </row>
    <row r="417" spans="1:4" ht="42.75" customHeight="1" thickBot="1">
      <c r="A417" s="116" t="s">
        <v>20</v>
      </c>
      <c r="B417" s="117"/>
      <c r="C417" s="117"/>
      <c r="D417" s="118"/>
    </row>
    <row r="418" spans="1:4" ht="42.75" customHeight="1" thickBot="1">
      <c r="A418" s="113" t="s">
        <v>18</v>
      </c>
      <c r="B418" s="114"/>
      <c r="C418" s="114"/>
      <c r="D418" s="115"/>
    </row>
    <row r="419" spans="1:4" ht="42.75" customHeight="1" thickBot="1">
      <c r="A419" s="119"/>
      <c r="B419" s="119"/>
      <c r="C419" s="119"/>
      <c r="D419" s="119"/>
    </row>
    <row r="420" spans="1:4" ht="42.75" customHeight="1" thickBot="1">
      <c r="A420" s="126" t="s">
        <v>19</v>
      </c>
      <c r="B420" s="127"/>
      <c r="C420" s="127"/>
      <c r="D420" s="128"/>
    </row>
    <row r="421" spans="1:4" ht="42.75" customHeight="1" thickBot="1">
      <c r="A421" s="123" t="s">
        <v>11</v>
      </c>
      <c r="B421" s="124"/>
      <c r="C421" s="125" t="s">
        <v>603</v>
      </c>
      <c r="D421" s="124"/>
    </row>
    <row r="422" spans="1:4" ht="42.75" customHeight="1" thickBot="1">
      <c r="A422" s="1" t="s">
        <v>686</v>
      </c>
      <c r="B422" s="26" t="s">
        <v>1</v>
      </c>
      <c r="C422" s="90" t="s">
        <v>231</v>
      </c>
      <c r="D422" s="91"/>
    </row>
    <row r="423" spans="1:4" ht="42.75" customHeight="1" thickBot="1">
      <c r="A423" s="26"/>
      <c r="B423" s="26" t="s">
        <v>0</v>
      </c>
      <c r="C423" s="5" t="s">
        <v>687</v>
      </c>
      <c r="D423" s="4" t="s">
        <v>2</v>
      </c>
    </row>
    <row r="424" spans="1:4" ht="42.75" customHeight="1" thickBot="1">
      <c r="A424" s="92">
        <v>1045</v>
      </c>
      <c r="B424" s="93"/>
      <c r="C424" s="94" t="s">
        <v>3</v>
      </c>
      <c r="D424" s="95"/>
    </row>
    <row r="425" spans="1:4" ht="42.75" customHeight="1" thickBot="1">
      <c r="A425" s="92">
        <v>1070</v>
      </c>
      <c r="B425" s="93"/>
      <c r="C425" s="96" t="s">
        <v>4</v>
      </c>
      <c r="D425" s="97"/>
    </row>
    <row r="426" spans="1:4" ht="42.75" customHeight="1" thickBot="1">
      <c r="A426" s="98">
        <f>A425-A424</f>
        <v>25</v>
      </c>
      <c r="B426" s="99"/>
      <c r="C426" s="100" t="s">
        <v>5</v>
      </c>
      <c r="D426" s="97"/>
    </row>
    <row r="427" spans="1:4" ht="42.75" customHeight="1" thickBot="1">
      <c r="A427" s="101">
        <v>62</v>
      </c>
      <c r="B427" s="102"/>
      <c r="C427" s="96" t="s">
        <v>6</v>
      </c>
      <c r="D427" s="97"/>
    </row>
    <row r="428" spans="1:4" ht="42.75" customHeight="1" thickBot="1">
      <c r="A428" s="103"/>
      <c r="B428" s="104"/>
      <c r="C428" s="96" t="s">
        <v>21</v>
      </c>
      <c r="D428" s="97"/>
    </row>
    <row r="429" spans="1:4" ht="42.75" customHeight="1" thickBot="1">
      <c r="A429" s="105">
        <f>A427*A426</f>
        <v>1550</v>
      </c>
      <c r="B429" s="106"/>
      <c r="C429" s="96" t="s">
        <v>7</v>
      </c>
      <c r="D429" s="97"/>
    </row>
    <row r="430" spans="1:4" ht="42.75" customHeight="1" thickBot="1">
      <c r="A430" s="107" t="s">
        <v>17</v>
      </c>
      <c r="B430" s="108"/>
      <c r="C430" s="108"/>
      <c r="D430" s="109"/>
    </row>
    <row r="431" spans="1:4" ht="42.75" customHeight="1" thickBot="1">
      <c r="A431" s="110" t="s">
        <v>20</v>
      </c>
      <c r="B431" s="111"/>
      <c r="C431" s="111"/>
      <c r="D431" s="112"/>
    </row>
    <row r="432" spans="1:4" ht="42.75" customHeight="1" thickBot="1">
      <c r="A432" s="113" t="s">
        <v>18</v>
      </c>
      <c r="B432" s="114"/>
      <c r="C432" s="114"/>
      <c r="D432" s="115"/>
    </row>
    <row r="433" spans="1:4" ht="42.75" customHeight="1" thickBot="1">
      <c r="A433" s="126" t="s">
        <v>19</v>
      </c>
      <c r="B433" s="127"/>
      <c r="C433" s="127"/>
      <c r="D433" s="128"/>
    </row>
    <row r="434" spans="1:4" ht="42.75" customHeight="1" thickBot="1">
      <c r="A434" s="123" t="s">
        <v>11</v>
      </c>
      <c r="B434" s="124"/>
      <c r="C434" s="125" t="s">
        <v>603</v>
      </c>
      <c r="D434" s="124"/>
    </row>
    <row r="435" spans="1:4" ht="42.75" customHeight="1" thickBot="1">
      <c r="A435" s="1" t="s">
        <v>686</v>
      </c>
      <c r="B435" s="26" t="s">
        <v>1</v>
      </c>
      <c r="C435" s="90" t="s">
        <v>558</v>
      </c>
      <c r="D435" s="91"/>
    </row>
    <row r="436" spans="1:4" ht="42.75" customHeight="1" thickBot="1">
      <c r="A436" s="26"/>
      <c r="B436" s="26" t="s">
        <v>0</v>
      </c>
      <c r="C436" s="5" t="s">
        <v>687</v>
      </c>
      <c r="D436" s="4" t="s">
        <v>2</v>
      </c>
    </row>
    <row r="437" spans="1:4" ht="42.75" customHeight="1" thickBot="1">
      <c r="A437" s="92">
        <v>5015</v>
      </c>
      <c r="B437" s="93"/>
      <c r="C437" s="94" t="s">
        <v>3</v>
      </c>
      <c r="D437" s="95"/>
    </row>
    <row r="438" spans="1:4" ht="42.75" customHeight="1" thickBot="1">
      <c r="A438" s="92">
        <v>5015</v>
      </c>
      <c r="B438" s="93"/>
      <c r="C438" s="96" t="s">
        <v>4</v>
      </c>
      <c r="D438" s="97"/>
    </row>
    <row r="439" spans="1:4" ht="42.75" customHeight="1" thickBot="1">
      <c r="A439" s="98">
        <f>A438-A437</f>
        <v>0</v>
      </c>
      <c r="B439" s="99"/>
      <c r="C439" s="100" t="s">
        <v>5</v>
      </c>
      <c r="D439" s="97"/>
    </row>
    <row r="440" spans="1:4" ht="42.75" customHeight="1" thickBot="1">
      <c r="A440" s="101">
        <v>62</v>
      </c>
      <c r="B440" s="102"/>
      <c r="C440" s="96" t="s">
        <v>6</v>
      </c>
      <c r="D440" s="97"/>
    </row>
    <row r="441" spans="1:4" ht="42.75" customHeight="1" thickBot="1">
      <c r="A441" s="103"/>
      <c r="B441" s="104"/>
      <c r="C441" s="96" t="s">
        <v>21</v>
      </c>
      <c r="D441" s="97"/>
    </row>
    <row r="442" spans="1:4" ht="42.75" customHeight="1" thickBot="1">
      <c r="A442" s="105">
        <f>A440*A439</f>
        <v>0</v>
      </c>
      <c r="B442" s="106"/>
      <c r="C442" s="96" t="s">
        <v>7</v>
      </c>
      <c r="D442" s="97"/>
    </row>
    <row r="443" spans="1:4" ht="42.75" customHeight="1" thickBot="1">
      <c r="A443" s="107" t="s">
        <v>17</v>
      </c>
      <c r="B443" s="108"/>
      <c r="C443" s="108"/>
      <c r="D443" s="109"/>
    </row>
    <row r="444" spans="1:4" ht="42.75" customHeight="1" thickBot="1">
      <c r="A444" s="116" t="s">
        <v>20</v>
      </c>
      <c r="B444" s="117"/>
      <c r="C444" s="117"/>
      <c r="D444" s="118"/>
    </row>
    <row r="445" spans="1:4" ht="42.75" customHeight="1" thickBot="1">
      <c r="A445" s="113" t="s">
        <v>18</v>
      </c>
      <c r="B445" s="114"/>
      <c r="C445" s="114"/>
      <c r="D445" s="115"/>
    </row>
    <row r="446" spans="1:4" ht="42.75" customHeight="1" thickBot="1">
      <c r="A446" s="119"/>
      <c r="B446" s="119"/>
      <c r="C446" s="119"/>
      <c r="D446" s="119"/>
    </row>
    <row r="447" spans="1:4" ht="42.75" customHeight="1" thickBot="1">
      <c r="A447" s="126" t="s">
        <v>19</v>
      </c>
      <c r="B447" s="127"/>
      <c r="C447" s="127"/>
      <c r="D447" s="128"/>
    </row>
    <row r="448" spans="1:4" ht="42.75" customHeight="1" thickBot="1">
      <c r="A448" s="123" t="s">
        <v>11</v>
      </c>
      <c r="B448" s="124"/>
      <c r="C448" s="125" t="s">
        <v>603</v>
      </c>
      <c r="D448" s="124"/>
    </row>
    <row r="449" spans="1:4" ht="42.75" customHeight="1" thickBot="1">
      <c r="A449" s="1" t="s">
        <v>686</v>
      </c>
      <c r="B449" s="26" t="s">
        <v>1</v>
      </c>
      <c r="C449" s="90" t="s">
        <v>558</v>
      </c>
      <c r="D449" s="91"/>
    </row>
    <row r="450" spans="1:4" ht="42.75" customHeight="1" thickBot="1">
      <c r="A450" s="26"/>
      <c r="B450" s="26" t="s">
        <v>0</v>
      </c>
      <c r="C450" s="5" t="s">
        <v>687</v>
      </c>
      <c r="D450" s="4" t="s">
        <v>2</v>
      </c>
    </row>
    <row r="451" spans="1:4" ht="42.75" customHeight="1" thickBot="1">
      <c r="A451" s="92">
        <v>4960</v>
      </c>
      <c r="B451" s="93"/>
      <c r="C451" s="94" t="s">
        <v>3</v>
      </c>
      <c r="D451" s="95"/>
    </row>
    <row r="452" spans="1:4" ht="42.75" customHeight="1" thickBot="1">
      <c r="A452" s="92">
        <v>5015</v>
      </c>
      <c r="B452" s="93"/>
      <c r="C452" s="96" t="s">
        <v>4</v>
      </c>
      <c r="D452" s="97"/>
    </row>
    <row r="453" spans="1:4" ht="42.75" customHeight="1" thickBot="1">
      <c r="A453" s="98">
        <f>A452-A451</f>
        <v>55</v>
      </c>
      <c r="B453" s="99"/>
      <c r="C453" s="100" t="s">
        <v>5</v>
      </c>
      <c r="D453" s="97"/>
    </row>
    <row r="454" spans="1:4" ht="42.75" customHeight="1" thickBot="1">
      <c r="A454" s="101">
        <v>62</v>
      </c>
      <c r="B454" s="102"/>
      <c r="C454" s="96" t="s">
        <v>6</v>
      </c>
      <c r="D454" s="97"/>
    </row>
    <row r="455" spans="1:4" ht="42.75" customHeight="1" thickBot="1">
      <c r="A455" s="103"/>
      <c r="B455" s="104"/>
      <c r="C455" s="96" t="s">
        <v>21</v>
      </c>
      <c r="D455" s="97"/>
    </row>
    <row r="456" spans="1:4" ht="42.75" customHeight="1" thickBot="1">
      <c r="A456" s="105">
        <v>3400</v>
      </c>
      <c r="B456" s="106"/>
      <c r="C456" s="96" t="s">
        <v>7</v>
      </c>
      <c r="D456" s="97"/>
    </row>
    <row r="457" spans="1:4" ht="42.75" customHeight="1" thickBot="1">
      <c r="A457" s="107" t="s">
        <v>17</v>
      </c>
      <c r="B457" s="108"/>
      <c r="C457" s="108"/>
      <c r="D457" s="109"/>
    </row>
    <row r="458" spans="1:4" ht="42.75" customHeight="1" thickBot="1">
      <c r="A458" s="110" t="s">
        <v>20</v>
      </c>
      <c r="B458" s="111"/>
      <c r="C458" s="111"/>
      <c r="D458" s="112"/>
    </row>
    <row r="459" spans="1:4" ht="42.75" customHeight="1" thickBot="1">
      <c r="A459" s="113" t="s">
        <v>18</v>
      </c>
      <c r="B459" s="114"/>
      <c r="C459" s="114"/>
      <c r="D459" s="115"/>
    </row>
    <row r="460" spans="1:4" ht="42.75" customHeight="1" thickBot="1">
      <c r="A460" s="126" t="s">
        <v>19</v>
      </c>
      <c r="B460" s="127"/>
      <c r="C460" s="127"/>
      <c r="D460" s="128"/>
    </row>
    <row r="461" spans="1:4" ht="42.75" customHeight="1" thickBot="1">
      <c r="A461" s="123" t="s">
        <v>11</v>
      </c>
      <c r="B461" s="124"/>
      <c r="C461" s="125" t="s">
        <v>603</v>
      </c>
      <c r="D461" s="124"/>
    </row>
    <row r="462" spans="1:4" ht="42.75" customHeight="1" thickBot="1">
      <c r="A462" s="1" t="s">
        <v>686</v>
      </c>
      <c r="B462" s="26" t="s">
        <v>1</v>
      </c>
      <c r="C462" s="90" t="s">
        <v>232</v>
      </c>
      <c r="D462" s="91"/>
    </row>
    <row r="463" spans="1:4" ht="42.75" customHeight="1" thickBot="1">
      <c r="A463" s="26"/>
      <c r="B463" s="26" t="s">
        <v>0</v>
      </c>
      <c r="C463" s="5" t="s">
        <v>687</v>
      </c>
      <c r="D463" s="4" t="s">
        <v>2</v>
      </c>
    </row>
    <row r="464" spans="1:4" ht="42.75" customHeight="1" thickBot="1">
      <c r="A464" s="92">
        <v>10570</v>
      </c>
      <c r="B464" s="93"/>
      <c r="C464" s="94" t="s">
        <v>3</v>
      </c>
      <c r="D464" s="95"/>
    </row>
    <row r="465" spans="1:4" ht="42.75" customHeight="1" thickBot="1">
      <c r="A465" s="92">
        <v>10570</v>
      </c>
      <c r="B465" s="93"/>
      <c r="C465" s="96" t="s">
        <v>4</v>
      </c>
      <c r="D465" s="97"/>
    </row>
    <row r="466" spans="1:4" ht="42.75" customHeight="1" thickBot="1">
      <c r="A466" s="98">
        <f>A465-A464</f>
        <v>0</v>
      </c>
      <c r="B466" s="99"/>
      <c r="C466" s="100" t="s">
        <v>5</v>
      </c>
      <c r="D466" s="97"/>
    </row>
    <row r="467" spans="1:4" ht="42.75" customHeight="1" thickBot="1">
      <c r="A467" s="101">
        <v>62</v>
      </c>
      <c r="B467" s="102"/>
      <c r="C467" s="96" t="s">
        <v>6</v>
      </c>
      <c r="D467" s="97"/>
    </row>
    <row r="468" spans="1:4" ht="42.75" customHeight="1" thickBot="1">
      <c r="A468" s="103"/>
      <c r="B468" s="104"/>
      <c r="C468" s="96" t="s">
        <v>21</v>
      </c>
      <c r="D468" s="97"/>
    </row>
    <row r="469" spans="1:4" ht="42.75" customHeight="1" thickBot="1">
      <c r="A469" s="105">
        <f>A467*A466</f>
        <v>0</v>
      </c>
      <c r="B469" s="106"/>
      <c r="C469" s="96" t="s">
        <v>7</v>
      </c>
      <c r="D469" s="97"/>
    </row>
    <row r="470" spans="1:4" ht="42.75" customHeight="1" thickBot="1">
      <c r="A470" s="107" t="s">
        <v>17</v>
      </c>
      <c r="B470" s="108"/>
      <c r="C470" s="108"/>
      <c r="D470" s="109"/>
    </row>
    <row r="471" spans="1:4" ht="42.75" customHeight="1" thickBot="1">
      <c r="A471" s="116" t="s">
        <v>20</v>
      </c>
      <c r="B471" s="117"/>
      <c r="C471" s="117"/>
      <c r="D471" s="118"/>
    </row>
    <row r="472" spans="1:4" ht="42.75" customHeight="1" thickBot="1">
      <c r="A472" s="113" t="s">
        <v>18</v>
      </c>
      <c r="B472" s="114"/>
      <c r="C472" s="114"/>
      <c r="D472" s="115"/>
    </row>
    <row r="473" spans="1:4" ht="42.75" customHeight="1" thickBot="1">
      <c r="A473" s="119"/>
      <c r="B473" s="119"/>
      <c r="C473" s="119"/>
      <c r="D473" s="119"/>
    </row>
    <row r="474" spans="1:4" ht="42.75" customHeight="1" thickBot="1">
      <c r="A474" s="126" t="s">
        <v>19</v>
      </c>
      <c r="B474" s="127"/>
      <c r="C474" s="127"/>
      <c r="D474" s="128"/>
    </row>
    <row r="475" spans="1:4" ht="42.75" customHeight="1" thickBot="1">
      <c r="A475" s="123" t="s">
        <v>11</v>
      </c>
      <c r="B475" s="124"/>
      <c r="C475" s="125" t="s">
        <v>603</v>
      </c>
      <c r="D475" s="124"/>
    </row>
    <row r="476" spans="1:4" ht="42.75" customHeight="1" thickBot="1">
      <c r="A476" s="1" t="s">
        <v>686</v>
      </c>
      <c r="B476" s="26" t="s">
        <v>1</v>
      </c>
      <c r="C476" s="90" t="s">
        <v>232</v>
      </c>
      <c r="D476" s="91"/>
    </row>
    <row r="477" spans="1:4" ht="42.75" customHeight="1" thickBot="1">
      <c r="A477" s="26"/>
      <c r="B477" s="26" t="s">
        <v>0</v>
      </c>
      <c r="C477" s="5" t="s">
        <v>687</v>
      </c>
      <c r="D477" s="4" t="s">
        <v>2</v>
      </c>
    </row>
    <row r="478" spans="1:4" ht="42.75" customHeight="1" thickBot="1">
      <c r="A478" s="92">
        <v>10475</v>
      </c>
      <c r="B478" s="93"/>
      <c r="C478" s="94" t="s">
        <v>3</v>
      </c>
      <c r="D478" s="95"/>
    </row>
    <row r="479" spans="1:4" ht="42.75" customHeight="1" thickBot="1">
      <c r="A479" s="92">
        <v>10570</v>
      </c>
      <c r="B479" s="93"/>
      <c r="C479" s="96" t="s">
        <v>4</v>
      </c>
      <c r="D479" s="97"/>
    </row>
    <row r="480" spans="1:4" ht="42.75" customHeight="1" thickBot="1">
      <c r="A480" s="98">
        <f>A479-A478</f>
        <v>95</v>
      </c>
      <c r="B480" s="99"/>
      <c r="C480" s="100" t="s">
        <v>5</v>
      </c>
      <c r="D480" s="97"/>
    </row>
    <row r="481" spans="1:4" ht="42.75" customHeight="1" thickBot="1">
      <c r="A481" s="101">
        <v>62</v>
      </c>
      <c r="B481" s="102"/>
      <c r="C481" s="96" t="s">
        <v>6</v>
      </c>
      <c r="D481" s="97"/>
    </row>
    <row r="482" spans="1:4" ht="42.75" customHeight="1" thickBot="1">
      <c r="A482" s="103"/>
      <c r="B482" s="104"/>
      <c r="C482" s="96" t="s">
        <v>21</v>
      </c>
      <c r="D482" s="97"/>
    </row>
    <row r="483" spans="1:4" ht="42.75" customHeight="1" thickBot="1">
      <c r="A483" s="105">
        <v>5900</v>
      </c>
      <c r="B483" s="106"/>
      <c r="C483" s="96" t="s">
        <v>7</v>
      </c>
      <c r="D483" s="97"/>
    </row>
    <row r="484" spans="1:4" ht="42.75" customHeight="1" thickBot="1">
      <c r="A484" s="107" t="s">
        <v>17</v>
      </c>
      <c r="B484" s="108"/>
      <c r="C484" s="108"/>
      <c r="D484" s="109"/>
    </row>
    <row r="485" spans="1:4" ht="42.75" customHeight="1" thickBot="1">
      <c r="A485" s="110" t="s">
        <v>20</v>
      </c>
      <c r="B485" s="111"/>
      <c r="C485" s="111"/>
      <c r="D485" s="112"/>
    </row>
    <row r="486" spans="1:4" ht="42.75" customHeight="1" thickBot="1">
      <c r="A486" s="113" t="s">
        <v>18</v>
      </c>
      <c r="B486" s="114"/>
      <c r="C486" s="114"/>
      <c r="D486" s="115"/>
    </row>
    <row r="487" spans="1:4" ht="42.75" customHeight="1" thickBot="1">
      <c r="A487" s="126" t="s">
        <v>19</v>
      </c>
      <c r="B487" s="127"/>
      <c r="C487" s="127"/>
      <c r="D487" s="128"/>
    </row>
    <row r="488" spans="1:4" ht="42.75" customHeight="1" thickBot="1">
      <c r="A488" s="123" t="s">
        <v>11</v>
      </c>
      <c r="B488" s="124"/>
      <c r="C488" s="125" t="s">
        <v>603</v>
      </c>
      <c r="D488" s="124"/>
    </row>
    <row r="489" spans="1:4" ht="42.75" customHeight="1" thickBot="1">
      <c r="A489" s="1" t="s">
        <v>686</v>
      </c>
      <c r="B489" s="26" t="s">
        <v>1</v>
      </c>
      <c r="C489" s="90" t="s">
        <v>195</v>
      </c>
      <c r="D489" s="91"/>
    </row>
    <row r="490" spans="1:4" ht="42.75" customHeight="1" thickBot="1">
      <c r="A490" s="26"/>
      <c r="B490" s="26" t="s">
        <v>0</v>
      </c>
      <c r="C490" s="5" t="s">
        <v>687</v>
      </c>
      <c r="D490" s="4" t="s">
        <v>2</v>
      </c>
    </row>
    <row r="491" spans="1:4" ht="42.75" customHeight="1" thickBot="1">
      <c r="A491" s="92">
        <v>6970</v>
      </c>
      <c r="B491" s="93"/>
      <c r="C491" s="94" t="s">
        <v>3</v>
      </c>
      <c r="D491" s="95"/>
    </row>
    <row r="492" spans="1:4" ht="42.75" customHeight="1" thickBot="1">
      <c r="A492" s="92">
        <v>6970</v>
      </c>
      <c r="B492" s="93"/>
      <c r="C492" s="96" t="s">
        <v>4</v>
      </c>
      <c r="D492" s="97"/>
    </row>
    <row r="493" spans="1:4" ht="42.75" customHeight="1" thickBot="1">
      <c r="A493" s="98">
        <f>A492-A491</f>
        <v>0</v>
      </c>
      <c r="B493" s="99"/>
      <c r="C493" s="100" t="s">
        <v>5</v>
      </c>
      <c r="D493" s="97"/>
    </row>
    <row r="494" spans="1:4" ht="42.75" customHeight="1" thickBot="1">
      <c r="A494" s="101">
        <v>62</v>
      </c>
      <c r="B494" s="102"/>
      <c r="C494" s="96" t="s">
        <v>6</v>
      </c>
      <c r="D494" s="97"/>
    </row>
    <row r="495" spans="1:4" ht="42.75" customHeight="1" thickBot="1">
      <c r="A495" s="103"/>
      <c r="B495" s="104"/>
      <c r="C495" s="96" t="s">
        <v>21</v>
      </c>
      <c r="D495" s="97"/>
    </row>
    <row r="496" spans="1:4" ht="42.75" customHeight="1" thickBot="1">
      <c r="A496" s="105">
        <f>A494*A493</f>
        <v>0</v>
      </c>
      <c r="B496" s="106"/>
      <c r="C496" s="96" t="s">
        <v>7</v>
      </c>
      <c r="D496" s="97"/>
    </row>
    <row r="497" spans="1:4" ht="42.75" customHeight="1" thickBot="1">
      <c r="A497" s="107" t="s">
        <v>17</v>
      </c>
      <c r="B497" s="108"/>
      <c r="C497" s="108"/>
      <c r="D497" s="109"/>
    </row>
    <row r="498" spans="1:4" ht="42.75" customHeight="1" thickBot="1">
      <c r="A498" s="116" t="s">
        <v>20</v>
      </c>
      <c r="B498" s="117"/>
      <c r="C498" s="117"/>
      <c r="D498" s="118"/>
    </row>
    <row r="499" spans="1:4" ht="42.75" customHeight="1" thickBot="1">
      <c r="A499" s="113" t="s">
        <v>18</v>
      </c>
      <c r="B499" s="114"/>
      <c r="C499" s="114"/>
      <c r="D499" s="115"/>
    </row>
    <row r="500" spans="1:4" ht="42.75" customHeight="1" thickBot="1">
      <c r="A500" s="119"/>
      <c r="B500" s="119"/>
      <c r="C500" s="119"/>
      <c r="D500" s="119"/>
    </row>
    <row r="501" spans="1:4" ht="42.75" customHeight="1" thickBot="1">
      <c r="A501" s="126" t="s">
        <v>19</v>
      </c>
      <c r="B501" s="127"/>
      <c r="C501" s="127"/>
      <c r="D501" s="128"/>
    </row>
    <row r="502" spans="1:4" ht="42.75" customHeight="1" thickBot="1">
      <c r="A502" s="123" t="s">
        <v>11</v>
      </c>
      <c r="B502" s="124"/>
      <c r="C502" s="125" t="s">
        <v>603</v>
      </c>
      <c r="D502" s="124"/>
    </row>
    <row r="503" spans="1:4" ht="42.75" customHeight="1" thickBot="1">
      <c r="A503" s="1" t="s">
        <v>686</v>
      </c>
      <c r="B503" s="26" t="s">
        <v>1</v>
      </c>
      <c r="C503" s="90" t="s">
        <v>195</v>
      </c>
      <c r="D503" s="91"/>
    </row>
    <row r="504" spans="1:4" ht="42.75" customHeight="1" thickBot="1">
      <c r="A504" s="26"/>
      <c r="B504" s="26" t="s">
        <v>0</v>
      </c>
      <c r="C504" s="5" t="s">
        <v>687</v>
      </c>
      <c r="D504" s="4" t="s">
        <v>2</v>
      </c>
    </row>
    <row r="505" spans="1:4" ht="42.75" customHeight="1" thickBot="1">
      <c r="A505" s="92">
        <v>6925</v>
      </c>
      <c r="B505" s="93"/>
      <c r="C505" s="94" t="s">
        <v>3</v>
      </c>
      <c r="D505" s="95"/>
    </row>
    <row r="506" spans="1:4" ht="42.75" customHeight="1" thickBot="1">
      <c r="A506" s="92">
        <v>6970</v>
      </c>
      <c r="B506" s="93"/>
      <c r="C506" s="96" t="s">
        <v>4</v>
      </c>
      <c r="D506" s="97"/>
    </row>
    <row r="507" spans="1:4" ht="42.75" customHeight="1" thickBot="1">
      <c r="A507" s="98">
        <f>A506-A505</f>
        <v>45</v>
      </c>
      <c r="B507" s="99"/>
      <c r="C507" s="100" t="s">
        <v>5</v>
      </c>
      <c r="D507" s="97"/>
    </row>
    <row r="508" spans="1:4" ht="42.75" customHeight="1" thickBot="1">
      <c r="A508" s="101">
        <v>62</v>
      </c>
      <c r="B508" s="102"/>
      <c r="C508" s="96" t="s">
        <v>6</v>
      </c>
      <c r="D508" s="97"/>
    </row>
    <row r="509" spans="1:4" ht="42.75" customHeight="1" thickBot="1">
      <c r="A509" s="103"/>
      <c r="B509" s="104"/>
      <c r="C509" s="96" t="s">
        <v>21</v>
      </c>
      <c r="D509" s="97"/>
    </row>
    <row r="510" spans="1:4" ht="42.75" customHeight="1" thickBot="1">
      <c r="A510" s="105">
        <v>2800</v>
      </c>
      <c r="B510" s="106"/>
      <c r="C510" s="96" t="s">
        <v>7</v>
      </c>
      <c r="D510" s="97"/>
    </row>
    <row r="511" spans="1:4" ht="42.75" customHeight="1" thickBot="1">
      <c r="A511" s="107" t="s">
        <v>17</v>
      </c>
      <c r="B511" s="108"/>
      <c r="C511" s="108"/>
      <c r="D511" s="109"/>
    </row>
    <row r="512" spans="1:4" ht="42.75" customHeight="1" thickBot="1">
      <c r="A512" s="110" t="s">
        <v>20</v>
      </c>
      <c r="B512" s="111"/>
      <c r="C512" s="111"/>
      <c r="D512" s="112"/>
    </row>
    <row r="513" spans="1:4" ht="42.75" customHeight="1" thickBot="1">
      <c r="A513" s="113" t="s">
        <v>18</v>
      </c>
      <c r="B513" s="114"/>
      <c r="C513" s="114"/>
      <c r="D513" s="115"/>
    </row>
    <row r="514" spans="1:4" ht="42.75" customHeight="1" thickBot="1">
      <c r="A514" s="126" t="s">
        <v>19</v>
      </c>
      <c r="B514" s="127"/>
      <c r="C514" s="127"/>
      <c r="D514" s="128"/>
    </row>
    <row r="515" spans="1:4" ht="42.75" customHeight="1" thickBot="1">
      <c r="A515" s="123" t="s">
        <v>11</v>
      </c>
      <c r="B515" s="124"/>
      <c r="C515" s="125" t="s">
        <v>603</v>
      </c>
      <c r="D515" s="124"/>
    </row>
    <row r="516" spans="1:4" ht="42.75" customHeight="1" thickBot="1">
      <c r="A516" s="1" t="s">
        <v>686</v>
      </c>
      <c r="B516" s="26" t="s">
        <v>1</v>
      </c>
      <c r="C516" s="90" t="s">
        <v>643</v>
      </c>
      <c r="D516" s="91"/>
    </row>
    <row r="517" spans="1:4" ht="42.75" customHeight="1" thickBot="1">
      <c r="A517" s="26"/>
      <c r="B517" s="26" t="s">
        <v>0</v>
      </c>
      <c r="C517" s="5" t="s">
        <v>687</v>
      </c>
      <c r="D517" s="4" t="s">
        <v>2</v>
      </c>
    </row>
    <row r="518" spans="1:4" ht="42.75" customHeight="1" thickBot="1">
      <c r="A518" s="92">
        <v>2700</v>
      </c>
      <c r="B518" s="93"/>
      <c r="C518" s="94" t="s">
        <v>3</v>
      </c>
      <c r="D518" s="95"/>
    </row>
    <row r="519" spans="1:4" ht="42.75" customHeight="1" thickBot="1">
      <c r="A519" s="92">
        <v>2700</v>
      </c>
      <c r="B519" s="93"/>
      <c r="C519" s="96" t="s">
        <v>4</v>
      </c>
      <c r="D519" s="97"/>
    </row>
    <row r="520" spans="1:4" ht="42.75" customHeight="1" thickBot="1">
      <c r="A520" s="98">
        <f>A519-A518</f>
        <v>0</v>
      </c>
      <c r="B520" s="99"/>
      <c r="C520" s="100" t="s">
        <v>5</v>
      </c>
      <c r="D520" s="97"/>
    </row>
    <row r="521" spans="1:4" ht="42.75" customHeight="1" thickBot="1">
      <c r="A521" s="101">
        <v>62</v>
      </c>
      <c r="B521" s="102"/>
      <c r="C521" s="96" t="s">
        <v>6</v>
      </c>
      <c r="D521" s="97"/>
    </row>
    <row r="522" spans="1:4" ht="42.75" customHeight="1" thickBot="1">
      <c r="A522" s="103"/>
      <c r="B522" s="104"/>
      <c r="C522" s="96" t="s">
        <v>21</v>
      </c>
      <c r="D522" s="97"/>
    </row>
    <row r="523" spans="1:4" ht="42.75" customHeight="1" thickBot="1">
      <c r="A523" s="105">
        <f>A521*A520</f>
        <v>0</v>
      </c>
      <c r="B523" s="106"/>
      <c r="C523" s="96" t="s">
        <v>7</v>
      </c>
      <c r="D523" s="97"/>
    </row>
    <row r="524" spans="1:4" ht="42.75" customHeight="1" thickBot="1">
      <c r="A524" s="107" t="s">
        <v>17</v>
      </c>
      <c r="B524" s="108"/>
      <c r="C524" s="108"/>
      <c r="D524" s="109"/>
    </row>
    <row r="525" spans="1:4" ht="42.75" customHeight="1" thickBot="1">
      <c r="A525" s="116" t="s">
        <v>20</v>
      </c>
      <c r="B525" s="117"/>
      <c r="C525" s="117"/>
      <c r="D525" s="118"/>
    </row>
    <row r="526" spans="1:4" ht="42.75" customHeight="1" thickBot="1">
      <c r="A526" s="113" t="s">
        <v>18</v>
      </c>
      <c r="B526" s="114"/>
      <c r="C526" s="114"/>
      <c r="D526" s="115"/>
    </row>
    <row r="527" spans="1:4" ht="42.75" customHeight="1" thickBot="1">
      <c r="A527" s="119"/>
      <c r="B527" s="119"/>
      <c r="C527" s="119"/>
      <c r="D527" s="119"/>
    </row>
    <row r="528" spans="1:4" ht="42.75" customHeight="1" thickBot="1">
      <c r="A528" s="126" t="s">
        <v>19</v>
      </c>
      <c r="B528" s="127"/>
      <c r="C528" s="127"/>
      <c r="D528" s="128"/>
    </row>
    <row r="529" spans="1:4" ht="42.75" customHeight="1" thickBot="1">
      <c r="A529" s="123" t="s">
        <v>11</v>
      </c>
      <c r="B529" s="124"/>
      <c r="C529" s="125" t="s">
        <v>603</v>
      </c>
      <c r="D529" s="124"/>
    </row>
    <row r="530" spans="1:4" ht="42.75" customHeight="1" thickBot="1">
      <c r="A530" s="1" t="s">
        <v>686</v>
      </c>
      <c r="B530" s="26" t="s">
        <v>1</v>
      </c>
      <c r="C530" s="90" t="s">
        <v>643</v>
      </c>
      <c r="D530" s="91"/>
    </row>
    <row r="531" spans="1:4" ht="42.75" customHeight="1" thickBot="1">
      <c r="A531" s="26"/>
      <c r="B531" s="26" t="s">
        <v>0</v>
      </c>
      <c r="C531" s="5" t="s">
        <v>687</v>
      </c>
      <c r="D531" s="4" t="s">
        <v>2</v>
      </c>
    </row>
    <row r="532" spans="1:4" ht="42.75" customHeight="1" thickBot="1">
      <c r="A532" s="92">
        <v>2650</v>
      </c>
      <c r="B532" s="93"/>
      <c r="C532" s="94" t="s">
        <v>3</v>
      </c>
      <c r="D532" s="95"/>
    </row>
    <row r="533" spans="1:4" ht="42.75" customHeight="1" thickBot="1">
      <c r="A533" s="92">
        <v>2700</v>
      </c>
      <c r="B533" s="93"/>
      <c r="C533" s="96" t="s">
        <v>4</v>
      </c>
      <c r="D533" s="97"/>
    </row>
    <row r="534" spans="1:4" ht="42.75" customHeight="1" thickBot="1">
      <c r="A534" s="98">
        <f>A533-A532</f>
        <v>50</v>
      </c>
      <c r="B534" s="99"/>
      <c r="C534" s="100" t="s">
        <v>5</v>
      </c>
      <c r="D534" s="97"/>
    </row>
    <row r="535" spans="1:4" ht="42.75" customHeight="1" thickBot="1">
      <c r="A535" s="101">
        <v>62</v>
      </c>
      <c r="B535" s="102"/>
      <c r="C535" s="96" t="s">
        <v>6</v>
      </c>
      <c r="D535" s="97"/>
    </row>
    <row r="536" spans="1:4" ht="42.75" customHeight="1" thickBot="1">
      <c r="A536" s="103"/>
      <c r="B536" s="104"/>
      <c r="C536" s="96" t="s">
        <v>21</v>
      </c>
      <c r="D536" s="97"/>
    </row>
    <row r="537" spans="1:4" ht="42.75" customHeight="1" thickBot="1">
      <c r="A537" s="105">
        <f>A535*A534</f>
        <v>3100</v>
      </c>
      <c r="B537" s="106"/>
      <c r="C537" s="96" t="s">
        <v>7</v>
      </c>
      <c r="D537" s="97"/>
    </row>
    <row r="538" spans="1:4" ht="42.75" customHeight="1" thickBot="1">
      <c r="A538" s="107" t="s">
        <v>17</v>
      </c>
      <c r="B538" s="108"/>
      <c r="C538" s="108"/>
      <c r="D538" s="109"/>
    </row>
    <row r="539" spans="1:4" ht="42.75" customHeight="1" thickBot="1">
      <c r="A539" s="110" t="s">
        <v>20</v>
      </c>
      <c r="B539" s="111"/>
      <c r="C539" s="111"/>
      <c r="D539" s="112"/>
    </row>
    <row r="540" spans="1:4" ht="42.75" customHeight="1" thickBot="1">
      <c r="A540" s="113" t="s">
        <v>18</v>
      </c>
      <c r="B540" s="114"/>
      <c r="C540" s="114"/>
      <c r="D540" s="115"/>
    </row>
    <row r="541" spans="1:4" ht="42.75" customHeight="1" thickBot="1">
      <c r="A541" s="126" t="s">
        <v>19</v>
      </c>
      <c r="B541" s="127"/>
      <c r="C541" s="127"/>
      <c r="D541" s="128"/>
    </row>
    <row r="542" spans="1:4" ht="42.75" customHeight="1" thickBot="1">
      <c r="A542" s="123" t="s">
        <v>11</v>
      </c>
      <c r="B542" s="124"/>
      <c r="C542" s="125" t="s">
        <v>603</v>
      </c>
      <c r="D542" s="124"/>
    </row>
    <row r="543" spans="1:4" ht="42.75" customHeight="1" thickBot="1">
      <c r="A543" s="1" t="s">
        <v>686</v>
      </c>
      <c r="B543" s="26" t="s">
        <v>1</v>
      </c>
      <c r="C543" s="90" t="s">
        <v>632</v>
      </c>
      <c r="D543" s="91"/>
    </row>
    <row r="544" spans="1:4" ht="42.75" customHeight="1" thickBot="1">
      <c r="A544" s="26"/>
      <c r="B544" s="26" t="s">
        <v>0</v>
      </c>
      <c r="C544" s="5" t="s">
        <v>687</v>
      </c>
      <c r="D544" s="4" t="s">
        <v>2</v>
      </c>
    </row>
    <row r="545" spans="1:4" ht="42.75" customHeight="1" thickBot="1">
      <c r="A545" s="92">
        <v>980</v>
      </c>
      <c r="B545" s="93"/>
      <c r="C545" s="94" t="s">
        <v>3</v>
      </c>
      <c r="D545" s="95"/>
    </row>
    <row r="546" spans="1:4" ht="42.75" customHeight="1" thickBot="1">
      <c r="A546" s="92">
        <v>980</v>
      </c>
      <c r="B546" s="93"/>
      <c r="C546" s="96" t="s">
        <v>4</v>
      </c>
      <c r="D546" s="97"/>
    </row>
    <row r="547" spans="1:4" ht="42.75" customHeight="1" thickBot="1">
      <c r="A547" s="98">
        <f>A546-A545</f>
        <v>0</v>
      </c>
      <c r="B547" s="99"/>
      <c r="C547" s="100" t="s">
        <v>5</v>
      </c>
      <c r="D547" s="97"/>
    </row>
    <row r="548" spans="1:4" ht="42.75" customHeight="1" thickBot="1">
      <c r="A548" s="101">
        <v>62</v>
      </c>
      <c r="B548" s="102"/>
      <c r="C548" s="96" t="s">
        <v>6</v>
      </c>
      <c r="D548" s="97"/>
    </row>
    <row r="549" spans="1:4" ht="42.75" customHeight="1" thickBot="1">
      <c r="A549" s="103"/>
      <c r="B549" s="104"/>
      <c r="C549" s="96" t="s">
        <v>21</v>
      </c>
      <c r="D549" s="97"/>
    </row>
    <row r="550" spans="1:4" ht="42.75" customHeight="1" thickBot="1">
      <c r="A550" s="105">
        <f>A548*A547</f>
        <v>0</v>
      </c>
      <c r="B550" s="106"/>
      <c r="C550" s="96" t="s">
        <v>7</v>
      </c>
      <c r="D550" s="97"/>
    </row>
    <row r="551" spans="1:4" ht="42.75" customHeight="1" thickBot="1">
      <c r="A551" s="107" t="s">
        <v>17</v>
      </c>
      <c r="B551" s="108"/>
      <c r="C551" s="108"/>
      <c r="D551" s="109"/>
    </row>
    <row r="552" spans="1:4" ht="42.75" customHeight="1" thickBot="1">
      <c r="A552" s="116" t="s">
        <v>20</v>
      </c>
      <c r="B552" s="117"/>
      <c r="C552" s="117"/>
      <c r="D552" s="118"/>
    </row>
    <row r="553" spans="1:4" ht="42.75" customHeight="1" thickBot="1">
      <c r="A553" s="113" t="s">
        <v>18</v>
      </c>
      <c r="B553" s="114"/>
      <c r="C553" s="114"/>
      <c r="D553" s="115"/>
    </row>
    <row r="554" spans="1:4" ht="42.75" customHeight="1" thickBot="1">
      <c r="A554" s="119"/>
      <c r="B554" s="119"/>
      <c r="C554" s="119"/>
      <c r="D554" s="119"/>
    </row>
    <row r="555" spans="1:4" ht="42.75" customHeight="1" thickBot="1">
      <c r="A555" s="126" t="s">
        <v>19</v>
      </c>
      <c r="B555" s="127"/>
      <c r="C555" s="127"/>
      <c r="D555" s="128"/>
    </row>
    <row r="556" spans="1:4" ht="42.75" customHeight="1" thickBot="1">
      <c r="A556" s="123" t="s">
        <v>11</v>
      </c>
      <c r="B556" s="124"/>
      <c r="C556" s="125" t="s">
        <v>603</v>
      </c>
      <c r="D556" s="124"/>
    </row>
    <row r="557" spans="1:4" ht="42.75" customHeight="1" thickBot="1">
      <c r="A557" s="1" t="s">
        <v>686</v>
      </c>
      <c r="B557" s="26" t="s">
        <v>1</v>
      </c>
      <c r="C557" s="90" t="s">
        <v>632</v>
      </c>
      <c r="D557" s="91"/>
    </row>
    <row r="558" spans="1:4" ht="42.75" customHeight="1" thickBot="1">
      <c r="A558" s="26"/>
      <c r="B558" s="26" t="s">
        <v>0</v>
      </c>
      <c r="C558" s="5" t="s">
        <v>687</v>
      </c>
      <c r="D558" s="4" t="s">
        <v>2</v>
      </c>
    </row>
    <row r="559" spans="1:4" ht="42.75" customHeight="1" thickBot="1">
      <c r="A559" s="92">
        <v>930</v>
      </c>
      <c r="B559" s="93"/>
      <c r="C559" s="94" t="s">
        <v>3</v>
      </c>
      <c r="D559" s="95"/>
    </row>
    <row r="560" spans="1:4" ht="42.75" customHeight="1" thickBot="1">
      <c r="A560" s="92">
        <v>980</v>
      </c>
      <c r="B560" s="93"/>
      <c r="C560" s="96" t="s">
        <v>4</v>
      </c>
      <c r="D560" s="97"/>
    </row>
    <row r="561" spans="1:4" ht="42.75" customHeight="1" thickBot="1">
      <c r="A561" s="98">
        <f>A560-A559</f>
        <v>50</v>
      </c>
      <c r="B561" s="99"/>
      <c r="C561" s="100" t="s">
        <v>5</v>
      </c>
      <c r="D561" s="97"/>
    </row>
    <row r="562" spans="1:4" ht="42.75" customHeight="1" thickBot="1">
      <c r="A562" s="101">
        <v>62</v>
      </c>
      <c r="B562" s="102"/>
      <c r="C562" s="96" t="s">
        <v>6</v>
      </c>
      <c r="D562" s="97"/>
    </row>
    <row r="563" spans="1:4" ht="42.75" customHeight="1" thickBot="1">
      <c r="A563" s="103"/>
      <c r="B563" s="104"/>
      <c r="C563" s="96" t="s">
        <v>21</v>
      </c>
      <c r="D563" s="97"/>
    </row>
    <row r="564" spans="1:4" ht="42.75" customHeight="1" thickBot="1">
      <c r="A564" s="105">
        <f>A562*A561</f>
        <v>3100</v>
      </c>
      <c r="B564" s="106"/>
      <c r="C564" s="96" t="s">
        <v>7</v>
      </c>
      <c r="D564" s="97"/>
    </row>
    <row r="565" spans="1:4" ht="42.75" customHeight="1" thickBot="1">
      <c r="A565" s="107" t="s">
        <v>17</v>
      </c>
      <c r="B565" s="108"/>
      <c r="C565" s="108"/>
      <c r="D565" s="109"/>
    </row>
    <row r="566" spans="1:4" ht="42.75" customHeight="1" thickBot="1">
      <c r="A566" s="110" t="s">
        <v>20</v>
      </c>
      <c r="B566" s="111"/>
      <c r="C566" s="111"/>
      <c r="D566" s="112"/>
    </row>
    <row r="567" spans="1:4" ht="42.75" customHeight="1" thickBot="1">
      <c r="A567" s="113" t="s">
        <v>18</v>
      </c>
      <c r="B567" s="114"/>
      <c r="C567" s="114"/>
      <c r="D567" s="115"/>
    </row>
    <row r="568" spans="1:4" ht="42.75" customHeight="1" thickBot="1">
      <c r="A568" s="126" t="s">
        <v>19</v>
      </c>
      <c r="B568" s="127"/>
      <c r="C568" s="127"/>
      <c r="D568" s="128"/>
    </row>
    <row r="569" spans="1:4" ht="42.75" customHeight="1" thickBot="1">
      <c r="A569" s="123" t="s">
        <v>11</v>
      </c>
      <c r="B569" s="124"/>
      <c r="C569" s="125" t="s">
        <v>603</v>
      </c>
      <c r="D569" s="124"/>
    </row>
    <row r="570" spans="1:4" ht="42.75" customHeight="1" thickBot="1">
      <c r="A570" s="1" t="s">
        <v>686</v>
      </c>
      <c r="B570" s="26" t="s">
        <v>1</v>
      </c>
      <c r="C570" s="90" t="s">
        <v>633</v>
      </c>
      <c r="D570" s="91"/>
    </row>
    <row r="571" spans="1:4" ht="42.75" customHeight="1" thickBot="1">
      <c r="A571" s="26"/>
      <c r="B571" s="26" t="s">
        <v>0</v>
      </c>
      <c r="C571" s="5" t="s">
        <v>687</v>
      </c>
      <c r="D571" s="4" t="s">
        <v>2</v>
      </c>
    </row>
    <row r="572" spans="1:4" ht="42.75" customHeight="1" thickBot="1">
      <c r="A572" s="92">
        <v>1130</v>
      </c>
      <c r="B572" s="93"/>
      <c r="C572" s="94" t="s">
        <v>3</v>
      </c>
      <c r="D572" s="95"/>
    </row>
    <row r="573" spans="1:4" ht="42.75" customHeight="1" thickBot="1">
      <c r="A573" s="92">
        <v>1130</v>
      </c>
      <c r="B573" s="93"/>
      <c r="C573" s="96" t="s">
        <v>4</v>
      </c>
      <c r="D573" s="97"/>
    </row>
    <row r="574" spans="1:4" ht="42.75" customHeight="1" thickBot="1">
      <c r="A574" s="98">
        <f>A573-A572</f>
        <v>0</v>
      </c>
      <c r="B574" s="99"/>
      <c r="C574" s="100" t="s">
        <v>5</v>
      </c>
      <c r="D574" s="97"/>
    </row>
    <row r="575" spans="1:4" ht="42.75" customHeight="1" thickBot="1">
      <c r="A575" s="101">
        <v>62</v>
      </c>
      <c r="B575" s="102"/>
      <c r="C575" s="96" t="s">
        <v>6</v>
      </c>
      <c r="D575" s="97"/>
    </row>
    <row r="576" spans="1:4" ht="42.75" customHeight="1" thickBot="1">
      <c r="A576" s="103"/>
      <c r="B576" s="104"/>
      <c r="C576" s="96" t="s">
        <v>21</v>
      </c>
      <c r="D576" s="97"/>
    </row>
    <row r="577" spans="1:4" ht="42.75" customHeight="1" thickBot="1">
      <c r="A577" s="105">
        <f>A575*A574</f>
        <v>0</v>
      </c>
      <c r="B577" s="106"/>
      <c r="C577" s="96" t="s">
        <v>7</v>
      </c>
      <c r="D577" s="97"/>
    </row>
    <row r="578" spans="1:4" ht="42.75" customHeight="1" thickBot="1">
      <c r="A578" s="107" t="s">
        <v>17</v>
      </c>
      <c r="B578" s="108"/>
      <c r="C578" s="108"/>
      <c r="D578" s="109"/>
    </row>
    <row r="579" spans="1:4" ht="42.75" customHeight="1" thickBot="1">
      <c r="A579" s="116" t="s">
        <v>20</v>
      </c>
      <c r="B579" s="117"/>
      <c r="C579" s="117"/>
      <c r="D579" s="118"/>
    </row>
    <row r="580" spans="1:4" ht="42.75" customHeight="1" thickBot="1">
      <c r="A580" s="113" t="s">
        <v>18</v>
      </c>
      <c r="B580" s="114"/>
      <c r="C580" s="114"/>
      <c r="D580" s="115"/>
    </row>
    <row r="581" spans="1:4" ht="42.75" customHeight="1" thickBot="1">
      <c r="A581" s="119"/>
      <c r="B581" s="119"/>
      <c r="C581" s="119"/>
      <c r="D581" s="119"/>
    </row>
    <row r="582" spans="1:4" ht="42.75" customHeight="1" thickBot="1">
      <c r="A582" s="126" t="s">
        <v>19</v>
      </c>
      <c r="B582" s="127"/>
      <c r="C582" s="127"/>
      <c r="D582" s="128"/>
    </row>
    <row r="583" spans="1:4" ht="42.75" customHeight="1" thickBot="1">
      <c r="A583" s="123" t="s">
        <v>11</v>
      </c>
      <c r="B583" s="124"/>
      <c r="C583" s="125" t="s">
        <v>603</v>
      </c>
      <c r="D583" s="124"/>
    </row>
    <row r="584" spans="1:4" ht="42.75" customHeight="1" thickBot="1">
      <c r="A584" s="1" t="s">
        <v>686</v>
      </c>
      <c r="B584" s="26" t="s">
        <v>1</v>
      </c>
      <c r="C584" s="90" t="s">
        <v>633</v>
      </c>
      <c r="D584" s="91"/>
    </row>
    <row r="585" spans="1:4" ht="42.75" customHeight="1" thickBot="1">
      <c r="A585" s="26"/>
      <c r="B585" s="26" t="s">
        <v>0</v>
      </c>
      <c r="C585" s="5" t="s">
        <v>687</v>
      </c>
      <c r="D585" s="4" t="s">
        <v>2</v>
      </c>
    </row>
    <row r="586" spans="1:4" ht="42.75" customHeight="1" thickBot="1">
      <c r="A586" s="92">
        <v>1065</v>
      </c>
      <c r="B586" s="93"/>
      <c r="C586" s="94" t="s">
        <v>3</v>
      </c>
      <c r="D586" s="95"/>
    </row>
    <row r="587" spans="1:4" ht="42.75" customHeight="1" thickBot="1">
      <c r="A587" s="92">
        <v>1130</v>
      </c>
      <c r="B587" s="93"/>
      <c r="C587" s="96" t="s">
        <v>4</v>
      </c>
      <c r="D587" s="97"/>
    </row>
    <row r="588" spans="1:4" ht="42.75" customHeight="1" thickBot="1">
      <c r="A588" s="98">
        <f>A587-A586</f>
        <v>65</v>
      </c>
      <c r="B588" s="99"/>
      <c r="C588" s="100" t="s">
        <v>5</v>
      </c>
      <c r="D588" s="97"/>
    </row>
    <row r="589" spans="1:4" ht="42.75" customHeight="1" thickBot="1">
      <c r="A589" s="101">
        <v>62</v>
      </c>
      <c r="B589" s="102"/>
      <c r="C589" s="96" t="s">
        <v>6</v>
      </c>
      <c r="D589" s="97"/>
    </row>
    <row r="590" spans="1:4" ht="42.75" customHeight="1" thickBot="1">
      <c r="A590" s="103"/>
      <c r="B590" s="104"/>
      <c r="C590" s="96" t="s">
        <v>21</v>
      </c>
      <c r="D590" s="97"/>
    </row>
    <row r="591" spans="1:4" ht="42.75" customHeight="1" thickBot="1">
      <c r="A591" s="105">
        <v>4000</v>
      </c>
      <c r="B591" s="106"/>
      <c r="C591" s="96" t="s">
        <v>7</v>
      </c>
      <c r="D591" s="97"/>
    </row>
    <row r="592" spans="1:4" ht="42.75" customHeight="1" thickBot="1">
      <c r="A592" s="107" t="s">
        <v>17</v>
      </c>
      <c r="B592" s="108"/>
      <c r="C592" s="108"/>
      <c r="D592" s="109"/>
    </row>
    <row r="593" spans="1:4" ht="42.75" customHeight="1" thickBot="1">
      <c r="A593" s="110" t="s">
        <v>20</v>
      </c>
      <c r="B593" s="111"/>
      <c r="C593" s="111"/>
      <c r="D593" s="112"/>
    </row>
    <row r="594" spans="1:4" ht="42.75" customHeight="1" thickBot="1">
      <c r="A594" s="113" t="s">
        <v>18</v>
      </c>
      <c r="B594" s="114"/>
      <c r="C594" s="114"/>
      <c r="D594" s="115"/>
    </row>
    <row r="595" spans="1:4" ht="42.75" customHeight="1" thickBot="1">
      <c r="A595" s="126" t="s">
        <v>19</v>
      </c>
      <c r="B595" s="127"/>
      <c r="C595" s="127"/>
      <c r="D595" s="128"/>
    </row>
    <row r="596" spans="1:4" ht="42.75" customHeight="1" thickBot="1">
      <c r="A596" s="123" t="s">
        <v>11</v>
      </c>
      <c r="B596" s="124"/>
      <c r="C596" s="125" t="s">
        <v>603</v>
      </c>
      <c r="D596" s="124"/>
    </row>
    <row r="597" spans="1:4" ht="42.75" customHeight="1" thickBot="1">
      <c r="A597" s="1" t="s">
        <v>686</v>
      </c>
      <c r="B597" s="26" t="s">
        <v>1</v>
      </c>
      <c r="C597" s="90" t="s">
        <v>234</v>
      </c>
      <c r="D597" s="91"/>
    </row>
    <row r="598" spans="1:4" ht="42.75" customHeight="1" thickBot="1">
      <c r="A598" s="26"/>
      <c r="B598" s="26" t="s">
        <v>0</v>
      </c>
      <c r="C598" s="5" t="s">
        <v>687</v>
      </c>
      <c r="D598" s="4" t="s">
        <v>2</v>
      </c>
    </row>
    <row r="599" spans="1:4" ht="42.75" customHeight="1" thickBot="1">
      <c r="A599" s="92">
        <v>2275</v>
      </c>
      <c r="B599" s="93"/>
      <c r="C599" s="94" t="s">
        <v>3</v>
      </c>
      <c r="D599" s="95"/>
    </row>
    <row r="600" spans="1:4" ht="42.75" customHeight="1" thickBot="1">
      <c r="A600" s="92">
        <v>2275</v>
      </c>
      <c r="B600" s="93"/>
      <c r="C600" s="96" t="s">
        <v>4</v>
      </c>
      <c r="D600" s="97"/>
    </row>
    <row r="601" spans="1:4" ht="42.75" customHeight="1" thickBot="1">
      <c r="A601" s="98">
        <f>A600-A599</f>
        <v>0</v>
      </c>
      <c r="B601" s="99"/>
      <c r="C601" s="100" t="s">
        <v>5</v>
      </c>
      <c r="D601" s="97"/>
    </row>
    <row r="602" spans="1:4" ht="42.75" customHeight="1" thickBot="1">
      <c r="A602" s="101">
        <v>62</v>
      </c>
      <c r="B602" s="102"/>
      <c r="C602" s="96" t="s">
        <v>6</v>
      </c>
      <c r="D602" s="97"/>
    </row>
    <row r="603" spans="1:4" ht="42.75" customHeight="1" thickBot="1">
      <c r="A603" s="103"/>
      <c r="B603" s="104"/>
      <c r="C603" s="96" t="s">
        <v>21</v>
      </c>
      <c r="D603" s="97"/>
    </row>
    <row r="604" spans="1:4" ht="42.75" customHeight="1" thickBot="1">
      <c r="A604" s="105">
        <f>A602*A601</f>
        <v>0</v>
      </c>
      <c r="B604" s="106"/>
      <c r="C604" s="96" t="s">
        <v>7</v>
      </c>
      <c r="D604" s="97"/>
    </row>
    <row r="605" spans="1:4" ht="42.75" customHeight="1" thickBot="1">
      <c r="A605" s="107" t="s">
        <v>17</v>
      </c>
      <c r="B605" s="108"/>
      <c r="C605" s="108"/>
      <c r="D605" s="109"/>
    </row>
    <row r="606" spans="1:4" ht="42.75" customHeight="1" thickBot="1">
      <c r="A606" s="116" t="s">
        <v>20</v>
      </c>
      <c r="B606" s="117"/>
      <c r="C606" s="117"/>
      <c r="D606" s="118"/>
    </row>
    <row r="607" spans="1:4" ht="42.75" customHeight="1" thickBot="1">
      <c r="A607" s="113" t="s">
        <v>18</v>
      </c>
      <c r="B607" s="114"/>
      <c r="C607" s="114"/>
      <c r="D607" s="115"/>
    </row>
    <row r="608" spans="1:4" ht="42.75" customHeight="1" thickBot="1">
      <c r="A608" s="119"/>
      <c r="B608" s="119"/>
      <c r="C608" s="119"/>
      <c r="D608" s="119"/>
    </row>
    <row r="609" spans="1:4" ht="42.75" customHeight="1" thickBot="1">
      <c r="A609" s="126" t="s">
        <v>19</v>
      </c>
      <c r="B609" s="127"/>
      <c r="C609" s="127"/>
      <c r="D609" s="128"/>
    </row>
    <row r="610" spans="1:4" ht="42.75" customHeight="1" thickBot="1">
      <c r="A610" s="123" t="s">
        <v>11</v>
      </c>
      <c r="B610" s="124"/>
      <c r="C610" s="125" t="s">
        <v>603</v>
      </c>
      <c r="D610" s="124"/>
    </row>
    <row r="611" spans="1:4" ht="42.75" customHeight="1" thickBot="1">
      <c r="A611" s="1" t="s">
        <v>686</v>
      </c>
      <c r="B611" s="26" t="s">
        <v>1</v>
      </c>
      <c r="C611" s="90" t="s">
        <v>234</v>
      </c>
      <c r="D611" s="91"/>
    </row>
    <row r="612" spans="1:4" ht="42.75" customHeight="1" thickBot="1">
      <c r="A612" s="26"/>
      <c r="B612" s="26" t="s">
        <v>0</v>
      </c>
      <c r="C612" s="5" t="s">
        <v>687</v>
      </c>
      <c r="D612" s="4" t="s">
        <v>2</v>
      </c>
    </row>
    <row r="613" spans="1:4" ht="42.75" customHeight="1" thickBot="1">
      <c r="A613" s="92">
        <v>2243</v>
      </c>
      <c r="B613" s="93"/>
      <c r="C613" s="94" t="s">
        <v>3</v>
      </c>
      <c r="D613" s="95"/>
    </row>
    <row r="614" spans="1:4" ht="42.75" customHeight="1" thickBot="1">
      <c r="A614" s="92">
        <v>2275</v>
      </c>
      <c r="B614" s="93"/>
      <c r="C614" s="96" t="s">
        <v>4</v>
      </c>
      <c r="D614" s="97"/>
    </row>
    <row r="615" spans="1:4" ht="42.75" customHeight="1" thickBot="1">
      <c r="A615" s="98">
        <f>A614-A613</f>
        <v>32</v>
      </c>
      <c r="B615" s="99"/>
      <c r="C615" s="100" t="s">
        <v>5</v>
      </c>
      <c r="D615" s="97"/>
    </row>
    <row r="616" spans="1:4" ht="42.75" customHeight="1" thickBot="1">
      <c r="A616" s="101">
        <v>62</v>
      </c>
      <c r="B616" s="102"/>
      <c r="C616" s="96" t="s">
        <v>6</v>
      </c>
      <c r="D616" s="97"/>
    </row>
    <row r="617" spans="1:4" ht="42.75" customHeight="1" thickBot="1">
      <c r="A617" s="103"/>
      <c r="B617" s="104"/>
      <c r="C617" s="96" t="s">
        <v>21</v>
      </c>
      <c r="D617" s="97"/>
    </row>
    <row r="618" spans="1:4" ht="42.75" customHeight="1" thickBot="1">
      <c r="A618" s="105">
        <v>2000</v>
      </c>
      <c r="B618" s="106"/>
      <c r="C618" s="96" t="s">
        <v>7</v>
      </c>
      <c r="D618" s="97"/>
    </row>
    <row r="619" spans="1:4" ht="42.75" customHeight="1" thickBot="1">
      <c r="A619" s="107" t="s">
        <v>17</v>
      </c>
      <c r="B619" s="108"/>
      <c r="C619" s="108"/>
      <c r="D619" s="109"/>
    </row>
    <row r="620" spans="1:4" ht="42.75" customHeight="1" thickBot="1">
      <c r="A620" s="110" t="s">
        <v>20</v>
      </c>
      <c r="B620" s="111"/>
      <c r="C620" s="111"/>
      <c r="D620" s="112"/>
    </row>
    <row r="621" spans="1:4" ht="42.75" customHeight="1" thickBot="1">
      <c r="A621" s="113" t="s">
        <v>18</v>
      </c>
      <c r="B621" s="114"/>
      <c r="C621" s="114"/>
      <c r="D621" s="115"/>
    </row>
    <row r="622" spans="1:4" ht="42.75" customHeight="1" thickBot="1">
      <c r="A622" s="126" t="s">
        <v>19</v>
      </c>
      <c r="B622" s="127"/>
      <c r="C622" s="127"/>
      <c r="D622" s="128"/>
    </row>
    <row r="623" spans="1:4" ht="42.75" customHeight="1" thickBot="1">
      <c r="A623" s="123" t="s">
        <v>11</v>
      </c>
      <c r="B623" s="124"/>
      <c r="C623" s="125" t="s">
        <v>603</v>
      </c>
      <c r="D623" s="124"/>
    </row>
    <row r="624" spans="1:4" ht="42.75" customHeight="1" thickBot="1">
      <c r="A624" s="1" t="s">
        <v>686</v>
      </c>
      <c r="B624" s="26" t="s">
        <v>1</v>
      </c>
      <c r="C624" s="90" t="s">
        <v>235</v>
      </c>
      <c r="D624" s="91"/>
    </row>
    <row r="625" spans="1:4" ht="42.75" customHeight="1" thickBot="1">
      <c r="A625" s="26"/>
      <c r="B625" s="26" t="s">
        <v>0</v>
      </c>
      <c r="C625" s="5" t="s">
        <v>687</v>
      </c>
      <c r="D625" s="4" t="s">
        <v>2</v>
      </c>
    </row>
    <row r="626" spans="1:4" ht="42.75" customHeight="1" thickBot="1">
      <c r="A626" s="92">
        <v>4660</v>
      </c>
      <c r="B626" s="93"/>
      <c r="C626" s="94" t="s">
        <v>3</v>
      </c>
      <c r="D626" s="95"/>
    </row>
    <row r="627" spans="1:4" ht="42.75" customHeight="1" thickBot="1">
      <c r="A627" s="92">
        <v>4660</v>
      </c>
      <c r="B627" s="93"/>
      <c r="C627" s="96" t="s">
        <v>4</v>
      </c>
      <c r="D627" s="97"/>
    </row>
    <row r="628" spans="1:4" ht="42.75" customHeight="1" thickBot="1">
      <c r="A628" s="98">
        <f>A627-A626</f>
        <v>0</v>
      </c>
      <c r="B628" s="99"/>
      <c r="C628" s="100" t="s">
        <v>5</v>
      </c>
      <c r="D628" s="97"/>
    </row>
    <row r="629" spans="1:4" ht="42.75" customHeight="1" thickBot="1">
      <c r="A629" s="101">
        <v>62</v>
      </c>
      <c r="B629" s="102"/>
      <c r="C629" s="96" t="s">
        <v>6</v>
      </c>
      <c r="D629" s="97"/>
    </row>
    <row r="630" spans="1:4" ht="42.75" customHeight="1" thickBot="1">
      <c r="A630" s="103"/>
      <c r="B630" s="104"/>
      <c r="C630" s="96" t="s">
        <v>21</v>
      </c>
      <c r="D630" s="97"/>
    </row>
    <row r="631" spans="1:4" ht="42.75" customHeight="1" thickBot="1">
      <c r="A631" s="105">
        <f>A629*A628</f>
        <v>0</v>
      </c>
      <c r="B631" s="106"/>
      <c r="C631" s="96" t="s">
        <v>7</v>
      </c>
      <c r="D631" s="97"/>
    </row>
    <row r="632" spans="1:4" ht="42.75" customHeight="1" thickBot="1">
      <c r="A632" s="107" t="s">
        <v>17</v>
      </c>
      <c r="B632" s="108"/>
      <c r="C632" s="108"/>
      <c r="D632" s="109"/>
    </row>
    <row r="633" spans="1:4" ht="42.75" customHeight="1" thickBot="1">
      <c r="A633" s="116" t="s">
        <v>20</v>
      </c>
      <c r="B633" s="117"/>
      <c r="C633" s="117"/>
      <c r="D633" s="118"/>
    </row>
    <row r="634" spans="1:4" ht="42.75" customHeight="1" thickBot="1">
      <c r="A634" s="113" t="s">
        <v>18</v>
      </c>
      <c r="B634" s="114"/>
      <c r="C634" s="114"/>
      <c r="D634" s="115"/>
    </row>
    <row r="635" spans="1:4" ht="42.75" customHeight="1" thickBot="1">
      <c r="A635" s="119"/>
      <c r="B635" s="119"/>
      <c r="C635" s="119"/>
      <c r="D635" s="119"/>
    </row>
    <row r="636" spans="1:4" ht="42.75" customHeight="1" thickBot="1">
      <c r="A636" s="126" t="s">
        <v>19</v>
      </c>
      <c r="B636" s="127"/>
      <c r="C636" s="127"/>
      <c r="D636" s="128"/>
    </row>
    <row r="637" spans="1:4" ht="42.75" customHeight="1" thickBot="1">
      <c r="A637" s="123" t="s">
        <v>11</v>
      </c>
      <c r="B637" s="124"/>
      <c r="C637" s="125" t="s">
        <v>603</v>
      </c>
      <c r="D637" s="124"/>
    </row>
    <row r="638" spans="1:4" ht="42.75" customHeight="1" thickBot="1">
      <c r="A638" s="1" t="s">
        <v>686</v>
      </c>
      <c r="B638" s="26" t="s">
        <v>1</v>
      </c>
      <c r="C638" s="90" t="s">
        <v>235</v>
      </c>
      <c r="D638" s="91"/>
    </row>
    <row r="639" spans="1:4" ht="42.75" customHeight="1" thickBot="1">
      <c r="A639" s="26"/>
      <c r="B639" s="26" t="s">
        <v>0</v>
      </c>
      <c r="C639" s="5" t="s">
        <v>687</v>
      </c>
      <c r="D639" s="4" t="s">
        <v>2</v>
      </c>
    </row>
    <row r="640" spans="1:4" ht="42.75" customHeight="1" thickBot="1">
      <c r="A640" s="92">
        <v>4525</v>
      </c>
      <c r="B640" s="93"/>
      <c r="C640" s="94" t="s">
        <v>3</v>
      </c>
      <c r="D640" s="95"/>
    </row>
    <row r="641" spans="1:4" ht="42.75" customHeight="1" thickBot="1">
      <c r="A641" s="92">
        <v>4660</v>
      </c>
      <c r="B641" s="93"/>
      <c r="C641" s="96" t="s">
        <v>4</v>
      </c>
      <c r="D641" s="97"/>
    </row>
    <row r="642" spans="1:4" ht="42.75" customHeight="1" thickBot="1">
      <c r="A642" s="98">
        <f>A641-A640</f>
        <v>135</v>
      </c>
      <c r="B642" s="99"/>
      <c r="C642" s="100" t="s">
        <v>5</v>
      </c>
      <c r="D642" s="97"/>
    </row>
    <row r="643" spans="1:4" ht="42.75" customHeight="1" thickBot="1">
      <c r="A643" s="101">
        <v>62</v>
      </c>
      <c r="B643" s="102"/>
      <c r="C643" s="96" t="s">
        <v>6</v>
      </c>
      <c r="D643" s="97"/>
    </row>
    <row r="644" spans="1:4" ht="42.75" customHeight="1" thickBot="1">
      <c r="A644" s="103"/>
      <c r="B644" s="104"/>
      <c r="C644" s="96" t="s">
        <v>21</v>
      </c>
      <c r="D644" s="97"/>
    </row>
    <row r="645" spans="1:4" ht="42.75" customHeight="1" thickBot="1">
      <c r="A645" s="105">
        <v>8400</v>
      </c>
      <c r="B645" s="106"/>
      <c r="C645" s="96" t="s">
        <v>7</v>
      </c>
      <c r="D645" s="97"/>
    </row>
    <row r="646" spans="1:4" ht="42.75" customHeight="1" thickBot="1">
      <c r="A646" s="107" t="s">
        <v>17</v>
      </c>
      <c r="B646" s="108"/>
      <c r="C646" s="108"/>
      <c r="D646" s="109"/>
    </row>
    <row r="647" spans="1:4" ht="42.75" customHeight="1" thickBot="1">
      <c r="A647" s="110" t="s">
        <v>20</v>
      </c>
      <c r="B647" s="111"/>
      <c r="C647" s="111"/>
      <c r="D647" s="112"/>
    </row>
    <row r="648" spans="1:4" ht="42.75" customHeight="1" thickBot="1">
      <c r="A648" s="113" t="s">
        <v>18</v>
      </c>
      <c r="B648" s="114"/>
      <c r="C648" s="114"/>
      <c r="D648" s="115"/>
    </row>
    <row r="649" spans="1:4" ht="42.75" customHeight="1" thickBot="1">
      <c r="A649" s="126" t="s">
        <v>19</v>
      </c>
      <c r="B649" s="127"/>
      <c r="C649" s="127"/>
      <c r="D649" s="128"/>
    </row>
    <row r="650" spans="1:4" ht="42.75" customHeight="1" thickBot="1">
      <c r="A650" s="123" t="s">
        <v>11</v>
      </c>
      <c r="B650" s="124"/>
      <c r="C650" s="125" t="s">
        <v>603</v>
      </c>
      <c r="D650" s="124"/>
    </row>
    <row r="651" spans="1:4" ht="42.75" customHeight="1" thickBot="1">
      <c r="A651" s="1" t="s">
        <v>686</v>
      </c>
      <c r="B651" s="26" t="s">
        <v>1</v>
      </c>
      <c r="C651" s="90" t="s">
        <v>236</v>
      </c>
      <c r="D651" s="91"/>
    </row>
    <row r="652" spans="1:4" ht="42.75" customHeight="1" thickBot="1">
      <c r="A652" s="26"/>
      <c r="B652" s="26" t="s">
        <v>0</v>
      </c>
      <c r="C652" s="5" t="s">
        <v>687</v>
      </c>
      <c r="D652" s="4" t="s">
        <v>2</v>
      </c>
    </row>
    <row r="653" spans="1:4" ht="42.75" customHeight="1" thickBot="1">
      <c r="A653" s="92">
        <v>4415</v>
      </c>
      <c r="B653" s="93"/>
      <c r="C653" s="94" t="s">
        <v>3</v>
      </c>
      <c r="D653" s="95"/>
    </row>
    <row r="654" spans="1:4" ht="42.75" customHeight="1" thickBot="1">
      <c r="A654" s="92">
        <v>4415</v>
      </c>
      <c r="B654" s="93"/>
      <c r="C654" s="96" t="s">
        <v>4</v>
      </c>
      <c r="D654" s="97"/>
    </row>
    <row r="655" spans="1:4" ht="42.75" customHeight="1" thickBot="1">
      <c r="A655" s="98">
        <f>A654-A653</f>
        <v>0</v>
      </c>
      <c r="B655" s="99"/>
      <c r="C655" s="100" t="s">
        <v>5</v>
      </c>
      <c r="D655" s="97"/>
    </row>
    <row r="656" spans="1:4" ht="42.75" customHeight="1" thickBot="1">
      <c r="A656" s="101">
        <v>62</v>
      </c>
      <c r="B656" s="102"/>
      <c r="C656" s="96" t="s">
        <v>6</v>
      </c>
      <c r="D656" s="97"/>
    </row>
    <row r="657" spans="1:4" ht="42.75" customHeight="1" thickBot="1">
      <c r="A657" s="103"/>
      <c r="B657" s="104"/>
      <c r="C657" s="96" t="s">
        <v>21</v>
      </c>
      <c r="D657" s="97"/>
    </row>
    <row r="658" spans="1:4" ht="42.75" customHeight="1" thickBot="1">
      <c r="A658" s="105">
        <f>A656*A655</f>
        <v>0</v>
      </c>
      <c r="B658" s="106"/>
      <c r="C658" s="96" t="s">
        <v>7</v>
      </c>
      <c r="D658" s="97"/>
    </row>
    <row r="659" spans="1:4" ht="42.75" customHeight="1" thickBot="1">
      <c r="A659" s="107" t="s">
        <v>17</v>
      </c>
      <c r="B659" s="108"/>
      <c r="C659" s="108"/>
      <c r="D659" s="109"/>
    </row>
    <row r="660" spans="1:4" ht="42.75" customHeight="1" thickBot="1">
      <c r="A660" s="116" t="s">
        <v>20</v>
      </c>
      <c r="B660" s="117"/>
      <c r="C660" s="117"/>
      <c r="D660" s="118"/>
    </row>
    <row r="661" spans="1:4" ht="42.75" customHeight="1" thickBot="1">
      <c r="A661" s="113" t="s">
        <v>18</v>
      </c>
      <c r="B661" s="114"/>
      <c r="C661" s="114"/>
      <c r="D661" s="115"/>
    </row>
    <row r="662" spans="1:4" ht="42.75" customHeight="1" thickBot="1">
      <c r="A662" s="119"/>
      <c r="B662" s="119"/>
      <c r="C662" s="119"/>
      <c r="D662" s="119"/>
    </row>
    <row r="663" spans="1:4" ht="42.75" customHeight="1" thickBot="1">
      <c r="A663" s="126" t="s">
        <v>19</v>
      </c>
      <c r="B663" s="127"/>
      <c r="C663" s="127"/>
      <c r="D663" s="128"/>
    </row>
    <row r="664" spans="1:4" ht="42.75" customHeight="1" thickBot="1">
      <c r="A664" s="123" t="s">
        <v>11</v>
      </c>
      <c r="B664" s="124"/>
      <c r="C664" s="125" t="s">
        <v>603</v>
      </c>
      <c r="D664" s="124"/>
    </row>
    <row r="665" spans="1:4" ht="42.75" customHeight="1" thickBot="1">
      <c r="A665" s="1" t="s">
        <v>686</v>
      </c>
      <c r="B665" s="26" t="s">
        <v>1</v>
      </c>
      <c r="C665" s="90" t="s">
        <v>236</v>
      </c>
      <c r="D665" s="91"/>
    </row>
    <row r="666" spans="1:4" ht="42.75" customHeight="1" thickBot="1">
      <c r="A666" s="26"/>
      <c r="B666" s="26" t="s">
        <v>0</v>
      </c>
      <c r="C666" s="5" t="s">
        <v>687</v>
      </c>
      <c r="D666" s="4" t="s">
        <v>2</v>
      </c>
    </row>
    <row r="667" spans="1:4" ht="42.75" customHeight="1" thickBot="1">
      <c r="A667" s="92">
        <v>4380</v>
      </c>
      <c r="B667" s="93"/>
      <c r="C667" s="94" t="s">
        <v>3</v>
      </c>
      <c r="D667" s="95"/>
    </row>
    <row r="668" spans="1:4" ht="42.75" customHeight="1" thickBot="1">
      <c r="A668" s="92">
        <v>4415</v>
      </c>
      <c r="B668" s="93"/>
      <c r="C668" s="96" t="s">
        <v>4</v>
      </c>
      <c r="D668" s="97"/>
    </row>
    <row r="669" spans="1:4" ht="42.75" customHeight="1" thickBot="1">
      <c r="A669" s="98">
        <f>A668-A667</f>
        <v>35</v>
      </c>
      <c r="B669" s="99"/>
      <c r="C669" s="100" t="s">
        <v>5</v>
      </c>
      <c r="D669" s="97"/>
    </row>
    <row r="670" spans="1:4" ht="42.75" customHeight="1" thickBot="1">
      <c r="A670" s="101">
        <v>62</v>
      </c>
      <c r="B670" s="102"/>
      <c r="C670" s="96" t="s">
        <v>6</v>
      </c>
      <c r="D670" s="97"/>
    </row>
    <row r="671" spans="1:4" ht="42.75" customHeight="1" thickBot="1">
      <c r="A671" s="103"/>
      <c r="B671" s="104"/>
      <c r="C671" s="96" t="s">
        <v>21</v>
      </c>
      <c r="D671" s="97"/>
    </row>
    <row r="672" spans="1:4" ht="42.75" customHeight="1" thickBot="1">
      <c r="A672" s="105">
        <v>2200</v>
      </c>
      <c r="B672" s="106"/>
      <c r="C672" s="96" t="s">
        <v>7</v>
      </c>
      <c r="D672" s="97"/>
    </row>
    <row r="673" spans="1:4" ht="42.75" customHeight="1" thickBot="1">
      <c r="A673" s="107" t="s">
        <v>17</v>
      </c>
      <c r="B673" s="108"/>
      <c r="C673" s="108"/>
      <c r="D673" s="109"/>
    </row>
    <row r="674" spans="1:4" ht="42.75" customHeight="1" thickBot="1">
      <c r="A674" s="110" t="s">
        <v>20</v>
      </c>
      <c r="B674" s="111"/>
      <c r="C674" s="111"/>
      <c r="D674" s="112"/>
    </row>
    <row r="675" spans="1:4" ht="42.75" customHeight="1" thickBot="1">
      <c r="A675" s="113" t="s">
        <v>18</v>
      </c>
      <c r="B675" s="114"/>
      <c r="C675" s="114"/>
      <c r="D675" s="115"/>
    </row>
    <row r="676" spans="1:4" ht="42.75" customHeight="1" thickBot="1">
      <c r="A676" s="126" t="s">
        <v>19</v>
      </c>
      <c r="B676" s="127"/>
      <c r="C676" s="127"/>
      <c r="D676" s="128"/>
    </row>
    <row r="677" spans="1:4" ht="42.75" customHeight="1" thickBot="1">
      <c r="A677" s="123" t="s">
        <v>11</v>
      </c>
      <c r="B677" s="124"/>
      <c r="C677" s="125" t="s">
        <v>603</v>
      </c>
      <c r="D677" s="124"/>
    </row>
    <row r="678" spans="1:4" ht="42.75" customHeight="1" thickBot="1">
      <c r="A678" s="1" t="s">
        <v>686</v>
      </c>
      <c r="B678" s="26" t="s">
        <v>1</v>
      </c>
      <c r="C678" s="90" t="s">
        <v>237</v>
      </c>
      <c r="D678" s="91"/>
    </row>
    <row r="679" spans="1:4" ht="42.75" customHeight="1" thickBot="1">
      <c r="A679" s="26"/>
      <c r="B679" s="26" t="s">
        <v>0</v>
      </c>
      <c r="C679" s="5" t="s">
        <v>687</v>
      </c>
      <c r="D679" s="4" t="s">
        <v>2</v>
      </c>
    </row>
    <row r="680" spans="1:4" ht="42.75" customHeight="1" thickBot="1">
      <c r="A680" s="92">
        <v>1900</v>
      </c>
      <c r="B680" s="93"/>
      <c r="C680" s="94" t="s">
        <v>3</v>
      </c>
      <c r="D680" s="95"/>
    </row>
    <row r="681" spans="1:4" ht="42.75" customHeight="1" thickBot="1">
      <c r="A681" s="92">
        <v>1900</v>
      </c>
      <c r="B681" s="93"/>
      <c r="C681" s="96" t="s">
        <v>4</v>
      </c>
      <c r="D681" s="97"/>
    </row>
    <row r="682" spans="1:4" ht="42.75" customHeight="1" thickBot="1">
      <c r="A682" s="98">
        <f>A681-A680</f>
        <v>0</v>
      </c>
      <c r="B682" s="99"/>
      <c r="C682" s="100" t="s">
        <v>5</v>
      </c>
      <c r="D682" s="97"/>
    </row>
    <row r="683" spans="1:4" ht="42.75" customHeight="1" thickBot="1">
      <c r="A683" s="101">
        <v>62</v>
      </c>
      <c r="B683" s="102"/>
      <c r="C683" s="96" t="s">
        <v>6</v>
      </c>
      <c r="D683" s="97"/>
    </row>
    <row r="684" spans="1:4" ht="42.75" customHeight="1" thickBot="1">
      <c r="A684" s="103"/>
      <c r="B684" s="104"/>
      <c r="C684" s="96" t="s">
        <v>21</v>
      </c>
      <c r="D684" s="97"/>
    </row>
    <row r="685" spans="1:4" ht="42.75" customHeight="1" thickBot="1">
      <c r="A685" s="105">
        <f>A683*A682</f>
        <v>0</v>
      </c>
      <c r="B685" s="106"/>
      <c r="C685" s="96" t="s">
        <v>7</v>
      </c>
      <c r="D685" s="97"/>
    </row>
    <row r="686" spans="1:4" ht="42.75" customHeight="1" thickBot="1">
      <c r="A686" s="107" t="s">
        <v>17</v>
      </c>
      <c r="B686" s="108"/>
      <c r="C686" s="108"/>
      <c r="D686" s="109"/>
    </row>
    <row r="687" spans="1:4" ht="42.75" customHeight="1" thickBot="1">
      <c r="A687" s="116" t="s">
        <v>20</v>
      </c>
      <c r="B687" s="117"/>
      <c r="C687" s="117"/>
      <c r="D687" s="118"/>
    </row>
    <row r="688" spans="1:4" ht="42.75" customHeight="1" thickBot="1">
      <c r="A688" s="113" t="s">
        <v>18</v>
      </c>
      <c r="B688" s="114"/>
      <c r="C688" s="114"/>
      <c r="D688" s="115"/>
    </row>
    <row r="689" spans="1:4" ht="42.75" customHeight="1" thickBot="1">
      <c r="A689" s="119"/>
      <c r="B689" s="119"/>
      <c r="C689" s="119"/>
      <c r="D689" s="119"/>
    </row>
    <row r="690" spans="1:4" ht="42.75" customHeight="1" thickBot="1">
      <c r="A690" s="126" t="s">
        <v>19</v>
      </c>
      <c r="B690" s="127"/>
      <c r="C690" s="127"/>
      <c r="D690" s="128"/>
    </row>
    <row r="691" spans="1:4" ht="42.75" customHeight="1" thickBot="1">
      <c r="A691" s="123" t="s">
        <v>11</v>
      </c>
      <c r="B691" s="124"/>
      <c r="C691" s="125" t="s">
        <v>603</v>
      </c>
      <c r="D691" s="124"/>
    </row>
    <row r="692" spans="1:4" ht="42.75" customHeight="1" thickBot="1">
      <c r="A692" s="1" t="s">
        <v>686</v>
      </c>
      <c r="B692" s="26" t="s">
        <v>1</v>
      </c>
      <c r="C692" s="90" t="s">
        <v>237</v>
      </c>
      <c r="D692" s="91"/>
    </row>
    <row r="693" spans="1:4" ht="42.75" customHeight="1" thickBot="1">
      <c r="A693" s="26"/>
      <c r="B693" s="26" t="s">
        <v>0</v>
      </c>
      <c r="C693" s="5" t="s">
        <v>687</v>
      </c>
      <c r="D693" s="4" t="s">
        <v>2</v>
      </c>
    </row>
    <row r="694" spans="1:4" ht="42.75" customHeight="1" thickBot="1">
      <c r="A694" s="92">
        <v>1880</v>
      </c>
      <c r="B694" s="93"/>
      <c r="C694" s="94" t="s">
        <v>3</v>
      </c>
      <c r="D694" s="95"/>
    </row>
    <row r="695" spans="1:4" ht="42.75" customHeight="1" thickBot="1">
      <c r="A695" s="92">
        <v>1900</v>
      </c>
      <c r="B695" s="93"/>
      <c r="C695" s="96" t="s">
        <v>4</v>
      </c>
      <c r="D695" s="97"/>
    </row>
    <row r="696" spans="1:4" ht="42.75" customHeight="1" thickBot="1">
      <c r="A696" s="98">
        <f>A695-A694</f>
        <v>20</v>
      </c>
      <c r="B696" s="99"/>
      <c r="C696" s="100" t="s">
        <v>5</v>
      </c>
      <c r="D696" s="97"/>
    </row>
    <row r="697" spans="1:4" ht="42.75" customHeight="1" thickBot="1">
      <c r="A697" s="101">
        <v>62</v>
      </c>
      <c r="B697" s="102"/>
      <c r="C697" s="96" t="s">
        <v>6</v>
      </c>
      <c r="D697" s="97"/>
    </row>
    <row r="698" spans="1:4" ht="42.75" customHeight="1" thickBot="1">
      <c r="A698" s="103"/>
      <c r="B698" s="104"/>
      <c r="C698" s="96" t="s">
        <v>21</v>
      </c>
      <c r="D698" s="97"/>
    </row>
    <row r="699" spans="1:4" ht="42.75" customHeight="1" thickBot="1">
      <c r="A699" s="105">
        <v>1250</v>
      </c>
      <c r="B699" s="106"/>
      <c r="C699" s="96" t="s">
        <v>7</v>
      </c>
      <c r="D699" s="97"/>
    </row>
    <row r="700" spans="1:4" ht="42.75" customHeight="1" thickBot="1">
      <c r="A700" s="107" t="s">
        <v>17</v>
      </c>
      <c r="B700" s="108"/>
      <c r="C700" s="108"/>
      <c r="D700" s="109"/>
    </row>
    <row r="701" spans="1:4" ht="42.75" customHeight="1" thickBot="1">
      <c r="A701" s="110" t="s">
        <v>20</v>
      </c>
      <c r="B701" s="111"/>
      <c r="C701" s="111"/>
      <c r="D701" s="112"/>
    </row>
    <row r="702" spans="1:4" ht="42.75" customHeight="1" thickBot="1">
      <c r="A702" s="113" t="s">
        <v>18</v>
      </c>
      <c r="B702" s="114"/>
      <c r="C702" s="114"/>
      <c r="D702" s="115"/>
    </row>
    <row r="703" spans="1:4" ht="42.75" customHeight="1" thickBot="1">
      <c r="A703" s="126" t="s">
        <v>19</v>
      </c>
      <c r="B703" s="127"/>
      <c r="C703" s="127"/>
      <c r="D703" s="128"/>
    </row>
    <row r="704" spans="1:4" ht="42.75" customHeight="1" thickBot="1">
      <c r="A704" s="123" t="s">
        <v>11</v>
      </c>
      <c r="B704" s="124"/>
      <c r="C704" s="125" t="s">
        <v>603</v>
      </c>
      <c r="D704" s="124"/>
    </row>
    <row r="705" spans="1:4" ht="42.75" customHeight="1" thickBot="1">
      <c r="A705" s="1" t="s">
        <v>686</v>
      </c>
      <c r="B705" s="26" t="s">
        <v>1</v>
      </c>
      <c r="C705" s="90" t="s">
        <v>169</v>
      </c>
      <c r="D705" s="91"/>
    </row>
    <row r="706" spans="1:4" ht="42.75" customHeight="1" thickBot="1">
      <c r="A706" s="26"/>
      <c r="B706" s="26" t="s">
        <v>0</v>
      </c>
      <c r="C706" s="5" t="s">
        <v>687</v>
      </c>
      <c r="D706" s="4" t="s">
        <v>2</v>
      </c>
    </row>
    <row r="707" spans="1:4" ht="42.75" customHeight="1" thickBot="1">
      <c r="A707" s="92">
        <v>1080</v>
      </c>
      <c r="B707" s="93"/>
      <c r="C707" s="94" t="s">
        <v>3</v>
      </c>
      <c r="D707" s="95"/>
    </row>
    <row r="708" spans="1:4" ht="42.75" customHeight="1" thickBot="1">
      <c r="A708" s="92">
        <v>1080</v>
      </c>
      <c r="B708" s="93"/>
      <c r="C708" s="96" t="s">
        <v>4</v>
      </c>
      <c r="D708" s="97"/>
    </row>
    <row r="709" spans="1:4" ht="42.75" customHeight="1" thickBot="1">
      <c r="A709" s="98">
        <f>A708-A707</f>
        <v>0</v>
      </c>
      <c r="B709" s="99"/>
      <c r="C709" s="100" t="s">
        <v>5</v>
      </c>
      <c r="D709" s="97"/>
    </row>
    <row r="710" spans="1:4" ht="42.75" customHeight="1" thickBot="1">
      <c r="A710" s="101">
        <v>62</v>
      </c>
      <c r="B710" s="102"/>
      <c r="C710" s="96" t="s">
        <v>6</v>
      </c>
      <c r="D710" s="97"/>
    </row>
    <row r="711" spans="1:4" ht="42.75" customHeight="1" thickBot="1">
      <c r="A711" s="103"/>
      <c r="B711" s="104"/>
      <c r="C711" s="96" t="s">
        <v>21</v>
      </c>
      <c r="D711" s="97"/>
    </row>
    <row r="712" spans="1:4" ht="42.75" customHeight="1" thickBot="1">
      <c r="A712" s="105">
        <f>A710*A709</f>
        <v>0</v>
      </c>
      <c r="B712" s="106"/>
      <c r="C712" s="96" t="s">
        <v>7</v>
      </c>
      <c r="D712" s="97"/>
    </row>
    <row r="713" spans="1:4" ht="42.75" customHeight="1" thickBot="1">
      <c r="A713" s="107" t="s">
        <v>17</v>
      </c>
      <c r="B713" s="108"/>
      <c r="C713" s="108"/>
      <c r="D713" s="109"/>
    </row>
    <row r="714" spans="1:4" ht="42.75" customHeight="1" thickBot="1">
      <c r="A714" s="116" t="s">
        <v>20</v>
      </c>
      <c r="B714" s="117"/>
      <c r="C714" s="117"/>
      <c r="D714" s="118"/>
    </row>
    <row r="715" spans="1:4" ht="42.75" customHeight="1" thickBot="1">
      <c r="A715" s="113" t="s">
        <v>18</v>
      </c>
      <c r="B715" s="114"/>
      <c r="C715" s="114"/>
      <c r="D715" s="115"/>
    </row>
    <row r="716" spans="1:4" ht="42.75" customHeight="1" thickBot="1">
      <c r="A716" s="119"/>
      <c r="B716" s="119"/>
      <c r="C716" s="119"/>
      <c r="D716" s="119"/>
    </row>
    <row r="717" spans="1:4" ht="42.75" customHeight="1" thickBot="1">
      <c r="A717" s="126" t="s">
        <v>19</v>
      </c>
      <c r="B717" s="127"/>
      <c r="C717" s="127"/>
      <c r="D717" s="128"/>
    </row>
    <row r="718" spans="1:4" ht="42.75" customHeight="1" thickBot="1">
      <c r="A718" s="123" t="s">
        <v>11</v>
      </c>
      <c r="B718" s="124"/>
      <c r="C718" s="125" t="s">
        <v>603</v>
      </c>
      <c r="D718" s="124"/>
    </row>
    <row r="719" spans="1:4" ht="42.75" customHeight="1" thickBot="1">
      <c r="A719" s="1" t="s">
        <v>686</v>
      </c>
      <c r="B719" s="26" t="s">
        <v>1</v>
      </c>
      <c r="C719" s="90" t="s">
        <v>169</v>
      </c>
      <c r="D719" s="91"/>
    </row>
    <row r="720" spans="1:4" ht="42.75" customHeight="1" thickBot="1">
      <c r="A720" s="26"/>
      <c r="B720" s="26" t="s">
        <v>0</v>
      </c>
      <c r="C720" s="5" t="s">
        <v>687</v>
      </c>
      <c r="D720" s="4" t="s">
        <v>2</v>
      </c>
    </row>
    <row r="721" spans="1:4" ht="42.75" customHeight="1" thickBot="1">
      <c r="A721" s="92">
        <v>1050</v>
      </c>
      <c r="B721" s="93"/>
      <c r="C721" s="94" t="s">
        <v>3</v>
      </c>
      <c r="D721" s="95"/>
    </row>
    <row r="722" spans="1:4" ht="42.75" customHeight="1" thickBot="1">
      <c r="A722" s="92">
        <v>1080</v>
      </c>
      <c r="B722" s="93"/>
      <c r="C722" s="96" t="s">
        <v>4</v>
      </c>
      <c r="D722" s="97"/>
    </row>
    <row r="723" spans="1:4" ht="42.75" customHeight="1" thickBot="1">
      <c r="A723" s="98">
        <f>A722-A721</f>
        <v>30</v>
      </c>
      <c r="B723" s="99"/>
      <c r="C723" s="100" t="s">
        <v>5</v>
      </c>
      <c r="D723" s="97"/>
    </row>
    <row r="724" spans="1:4" ht="42.75" customHeight="1" thickBot="1">
      <c r="A724" s="101">
        <v>62</v>
      </c>
      <c r="B724" s="102"/>
      <c r="C724" s="96" t="s">
        <v>6</v>
      </c>
      <c r="D724" s="97"/>
    </row>
    <row r="725" spans="1:4" ht="42.75" customHeight="1" thickBot="1">
      <c r="A725" s="103"/>
      <c r="B725" s="104"/>
      <c r="C725" s="96" t="s">
        <v>21</v>
      </c>
      <c r="D725" s="97"/>
    </row>
    <row r="726" spans="1:4" ht="42.75" customHeight="1" thickBot="1">
      <c r="A726" s="105">
        <f>A724*A723</f>
        <v>1860</v>
      </c>
      <c r="B726" s="106"/>
      <c r="C726" s="96" t="s">
        <v>7</v>
      </c>
      <c r="D726" s="97"/>
    </row>
    <row r="727" spans="1:4" ht="42.75" customHeight="1" thickBot="1">
      <c r="A727" s="107" t="s">
        <v>17</v>
      </c>
      <c r="B727" s="108"/>
      <c r="C727" s="108"/>
      <c r="D727" s="109"/>
    </row>
    <row r="728" spans="1:4" ht="42.75" customHeight="1" thickBot="1">
      <c r="A728" s="110" t="s">
        <v>20</v>
      </c>
      <c r="B728" s="111"/>
      <c r="C728" s="111"/>
      <c r="D728" s="112"/>
    </row>
    <row r="729" spans="1:4" ht="42.75" customHeight="1" thickBot="1">
      <c r="A729" s="113" t="s">
        <v>18</v>
      </c>
      <c r="B729" s="114"/>
      <c r="C729" s="114"/>
      <c r="D729" s="115"/>
    </row>
    <row r="730" spans="1:4" ht="42.75" customHeight="1" thickBot="1">
      <c r="A730" s="126" t="s">
        <v>19</v>
      </c>
      <c r="B730" s="127"/>
      <c r="C730" s="127"/>
      <c r="D730" s="128"/>
    </row>
    <row r="731" spans="1:4" ht="42.75" customHeight="1" thickBot="1">
      <c r="A731" s="123" t="s">
        <v>11</v>
      </c>
      <c r="B731" s="124"/>
      <c r="C731" s="125" t="s">
        <v>603</v>
      </c>
      <c r="D731" s="124"/>
    </row>
    <row r="732" spans="1:4" ht="42.75" customHeight="1" thickBot="1">
      <c r="A732" s="1" t="s">
        <v>686</v>
      </c>
      <c r="B732" s="26" t="s">
        <v>1</v>
      </c>
      <c r="C732" s="90" t="s">
        <v>238</v>
      </c>
      <c r="D732" s="91"/>
    </row>
    <row r="733" spans="1:4" ht="42.75" customHeight="1" thickBot="1">
      <c r="A733" s="26"/>
      <c r="B733" s="26" t="s">
        <v>0</v>
      </c>
      <c r="C733" s="5" t="s">
        <v>687</v>
      </c>
      <c r="D733" s="4" t="s">
        <v>2</v>
      </c>
    </row>
    <row r="734" spans="1:4" ht="42.75" customHeight="1" thickBot="1">
      <c r="A734" s="92">
        <v>3520</v>
      </c>
      <c r="B734" s="93"/>
      <c r="C734" s="94" t="s">
        <v>3</v>
      </c>
      <c r="D734" s="95"/>
    </row>
    <row r="735" spans="1:4" ht="42.75" customHeight="1" thickBot="1">
      <c r="A735" s="92">
        <v>3520</v>
      </c>
      <c r="B735" s="93"/>
      <c r="C735" s="96" t="s">
        <v>4</v>
      </c>
      <c r="D735" s="97"/>
    </row>
    <row r="736" spans="1:4" ht="42.75" customHeight="1" thickBot="1">
      <c r="A736" s="98">
        <f>A735-A734</f>
        <v>0</v>
      </c>
      <c r="B736" s="99"/>
      <c r="C736" s="100" t="s">
        <v>5</v>
      </c>
      <c r="D736" s="97"/>
    </row>
    <row r="737" spans="1:4" ht="42.75" customHeight="1" thickBot="1">
      <c r="A737" s="101">
        <v>62</v>
      </c>
      <c r="B737" s="102"/>
      <c r="C737" s="96" t="s">
        <v>6</v>
      </c>
      <c r="D737" s="97"/>
    </row>
    <row r="738" spans="1:4" ht="42.75" customHeight="1" thickBot="1">
      <c r="A738" s="103"/>
      <c r="B738" s="104"/>
      <c r="C738" s="96" t="s">
        <v>21</v>
      </c>
      <c r="D738" s="97"/>
    </row>
    <row r="739" spans="1:4" ht="42.75" customHeight="1" thickBot="1">
      <c r="A739" s="105">
        <f>A737*A736</f>
        <v>0</v>
      </c>
      <c r="B739" s="106"/>
      <c r="C739" s="96" t="s">
        <v>7</v>
      </c>
      <c r="D739" s="97"/>
    </row>
    <row r="740" spans="1:4" ht="42.75" customHeight="1" thickBot="1">
      <c r="A740" s="107" t="s">
        <v>17</v>
      </c>
      <c r="B740" s="108"/>
      <c r="C740" s="108"/>
      <c r="D740" s="109"/>
    </row>
    <row r="741" spans="1:4" ht="42.75" customHeight="1" thickBot="1">
      <c r="A741" s="116" t="s">
        <v>20</v>
      </c>
      <c r="B741" s="117"/>
      <c r="C741" s="117"/>
      <c r="D741" s="118"/>
    </row>
    <row r="742" spans="1:4" ht="42.75" customHeight="1" thickBot="1">
      <c r="A742" s="113" t="s">
        <v>18</v>
      </c>
      <c r="B742" s="114"/>
      <c r="C742" s="114"/>
      <c r="D742" s="115"/>
    </row>
    <row r="743" spans="1:4" ht="42.75" customHeight="1" thickBot="1">
      <c r="A743" s="119"/>
      <c r="B743" s="119"/>
      <c r="C743" s="119"/>
      <c r="D743" s="119"/>
    </row>
    <row r="744" spans="1:4" ht="42.75" customHeight="1" thickBot="1">
      <c r="A744" s="126" t="s">
        <v>19</v>
      </c>
      <c r="B744" s="127"/>
      <c r="C744" s="127"/>
      <c r="D744" s="128"/>
    </row>
    <row r="745" spans="1:4" ht="42.75" customHeight="1" thickBot="1">
      <c r="A745" s="123" t="s">
        <v>11</v>
      </c>
      <c r="B745" s="124"/>
      <c r="C745" s="125" t="s">
        <v>603</v>
      </c>
      <c r="D745" s="124"/>
    </row>
    <row r="746" spans="1:4" ht="42.75" customHeight="1" thickBot="1">
      <c r="A746" s="1" t="s">
        <v>686</v>
      </c>
      <c r="B746" s="26" t="s">
        <v>1</v>
      </c>
      <c r="C746" s="90" t="s">
        <v>238</v>
      </c>
      <c r="D746" s="91"/>
    </row>
    <row r="747" spans="1:4" ht="42.75" customHeight="1" thickBot="1">
      <c r="A747" s="26"/>
      <c r="B747" s="26" t="s">
        <v>0</v>
      </c>
      <c r="C747" s="5" t="s">
        <v>687</v>
      </c>
      <c r="D747" s="4" t="s">
        <v>2</v>
      </c>
    </row>
    <row r="748" spans="1:4" ht="42.75" customHeight="1" thickBot="1">
      <c r="A748" s="92">
        <v>3505</v>
      </c>
      <c r="B748" s="93"/>
      <c r="C748" s="94" t="s">
        <v>3</v>
      </c>
      <c r="D748" s="95"/>
    </row>
    <row r="749" spans="1:4" ht="42.75" customHeight="1" thickBot="1">
      <c r="A749" s="92">
        <v>3520</v>
      </c>
      <c r="B749" s="93"/>
      <c r="C749" s="96" t="s">
        <v>4</v>
      </c>
      <c r="D749" s="97"/>
    </row>
    <row r="750" spans="1:4" ht="42.75" customHeight="1" thickBot="1">
      <c r="A750" s="98">
        <f>A749-A748</f>
        <v>15</v>
      </c>
      <c r="B750" s="99"/>
      <c r="C750" s="100" t="s">
        <v>5</v>
      </c>
      <c r="D750" s="97"/>
    </row>
    <row r="751" spans="1:4" ht="42.75" customHeight="1" thickBot="1">
      <c r="A751" s="101">
        <v>62</v>
      </c>
      <c r="B751" s="102"/>
      <c r="C751" s="96" t="s">
        <v>6</v>
      </c>
      <c r="D751" s="97"/>
    </row>
    <row r="752" spans="1:4" ht="42.75" customHeight="1" thickBot="1">
      <c r="A752" s="103"/>
      <c r="B752" s="104"/>
      <c r="C752" s="96" t="s">
        <v>21</v>
      </c>
      <c r="D752" s="97"/>
    </row>
    <row r="753" spans="1:4" ht="42.75" customHeight="1" thickBot="1">
      <c r="A753" s="105">
        <v>950</v>
      </c>
      <c r="B753" s="106"/>
      <c r="C753" s="96" t="s">
        <v>7</v>
      </c>
      <c r="D753" s="97"/>
    </row>
    <row r="754" spans="1:4" ht="42.75" customHeight="1" thickBot="1">
      <c r="A754" s="107" t="s">
        <v>17</v>
      </c>
      <c r="B754" s="108"/>
      <c r="C754" s="108"/>
      <c r="D754" s="109"/>
    </row>
    <row r="755" spans="1:4" ht="42.75" customHeight="1" thickBot="1">
      <c r="A755" s="110" t="s">
        <v>20</v>
      </c>
      <c r="B755" s="111"/>
      <c r="C755" s="111"/>
      <c r="D755" s="112"/>
    </row>
    <row r="756" spans="1:4" ht="42.75" customHeight="1" thickBot="1">
      <c r="A756" s="113" t="s">
        <v>18</v>
      </c>
      <c r="B756" s="114"/>
      <c r="C756" s="114"/>
      <c r="D756" s="115"/>
    </row>
    <row r="757" spans="1:4" ht="42.75" customHeight="1" thickBot="1">
      <c r="A757" s="126" t="s">
        <v>19</v>
      </c>
      <c r="B757" s="127"/>
      <c r="C757" s="127"/>
      <c r="D757" s="128"/>
    </row>
    <row r="758" spans="1:4" ht="42.75" customHeight="1" thickBot="1">
      <c r="A758" s="123" t="s">
        <v>11</v>
      </c>
      <c r="B758" s="124"/>
      <c r="C758" s="125" t="s">
        <v>603</v>
      </c>
      <c r="D758" s="124"/>
    </row>
    <row r="759" spans="1:4" ht="42.75" customHeight="1" thickBot="1">
      <c r="A759" s="1" t="s">
        <v>686</v>
      </c>
      <c r="B759" s="26" t="s">
        <v>1</v>
      </c>
      <c r="C759" s="90" t="s">
        <v>239</v>
      </c>
      <c r="D759" s="91"/>
    </row>
    <row r="760" spans="1:4" ht="42.75" customHeight="1" thickBot="1">
      <c r="A760" s="26"/>
      <c r="B760" s="26" t="s">
        <v>0</v>
      </c>
      <c r="C760" s="5" t="s">
        <v>687</v>
      </c>
      <c r="D760" s="4" t="s">
        <v>2</v>
      </c>
    </row>
    <row r="761" spans="1:4" ht="42.75" customHeight="1" thickBot="1">
      <c r="A761" s="92">
        <v>1665</v>
      </c>
      <c r="B761" s="93"/>
      <c r="C761" s="94" t="s">
        <v>3</v>
      </c>
      <c r="D761" s="95"/>
    </row>
    <row r="762" spans="1:4" ht="42.75" customHeight="1" thickBot="1">
      <c r="A762" s="92">
        <v>1665</v>
      </c>
      <c r="B762" s="93"/>
      <c r="C762" s="96" t="s">
        <v>4</v>
      </c>
      <c r="D762" s="97"/>
    </row>
    <row r="763" spans="1:4" ht="42.75" customHeight="1" thickBot="1">
      <c r="A763" s="98">
        <f>A762-A761</f>
        <v>0</v>
      </c>
      <c r="B763" s="99"/>
      <c r="C763" s="100" t="s">
        <v>5</v>
      </c>
      <c r="D763" s="97"/>
    </row>
    <row r="764" spans="1:4" ht="42.75" customHeight="1" thickBot="1">
      <c r="A764" s="101">
        <v>62</v>
      </c>
      <c r="B764" s="102"/>
      <c r="C764" s="96" t="s">
        <v>6</v>
      </c>
      <c r="D764" s="97"/>
    </row>
    <row r="765" spans="1:4" ht="42.75" customHeight="1" thickBot="1">
      <c r="A765" s="103"/>
      <c r="B765" s="104"/>
      <c r="C765" s="96" t="s">
        <v>21</v>
      </c>
      <c r="D765" s="97"/>
    </row>
    <row r="766" spans="1:4" ht="42.75" customHeight="1" thickBot="1">
      <c r="A766" s="105">
        <f>A764*A763</f>
        <v>0</v>
      </c>
      <c r="B766" s="106"/>
      <c r="C766" s="96" t="s">
        <v>7</v>
      </c>
      <c r="D766" s="97"/>
    </row>
    <row r="767" spans="1:4" ht="42.75" customHeight="1" thickBot="1">
      <c r="A767" s="107" t="s">
        <v>17</v>
      </c>
      <c r="B767" s="108"/>
      <c r="C767" s="108"/>
      <c r="D767" s="109"/>
    </row>
    <row r="768" spans="1:4" ht="42.75" customHeight="1" thickBot="1">
      <c r="A768" s="116" t="s">
        <v>20</v>
      </c>
      <c r="B768" s="117"/>
      <c r="C768" s="117"/>
      <c r="D768" s="118"/>
    </row>
    <row r="769" spans="1:4" ht="42.75" customHeight="1" thickBot="1">
      <c r="A769" s="113" t="s">
        <v>18</v>
      </c>
      <c r="B769" s="114"/>
      <c r="C769" s="114"/>
      <c r="D769" s="115"/>
    </row>
    <row r="770" spans="1:4" ht="42.75" customHeight="1" thickBot="1">
      <c r="A770" s="119"/>
      <c r="B770" s="119"/>
      <c r="C770" s="119"/>
      <c r="D770" s="119"/>
    </row>
    <row r="771" spans="1:4" ht="42.75" customHeight="1" thickBot="1">
      <c r="A771" s="126" t="s">
        <v>19</v>
      </c>
      <c r="B771" s="127"/>
      <c r="C771" s="127"/>
      <c r="D771" s="128"/>
    </row>
    <row r="772" spans="1:4" ht="42.75" customHeight="1" thickBot="1">
      <c r="A772" s="123" t="s">
        <v>11</v>
      </c>
      <c r="B772" s="124"/>
      <c r="C772" s="125" t="s">
        <v>603</v>
      </c>
      <c r="D772" s="124"/>
    </row>
    <row r="773" spans="1:4" ht="42.75" customHeight="1" thickBot="1">
      <c r="A773" s="1" t="s">
        <v>686</v>
      </c>
      <c r="B773" s="26" t="s">
        <v>1</v>
      </c>
      <c r="C773" s="90" t="s">
        <v>608</v>
      </c>
      <c r="D773" s="91"/>
    </row>
    <row r="774" spans="1:4" ht="42.75" customHeight="1" thickBot="1">
      <c r="A774" s="26"/>
      <c r="B774" s="26" t="s">
        <v>0</v>
      </c>
      <c r="C774" s="5" t="s">
        <v>687</v>
      </c>
      <c r="D774" s="4" t="s">
        <v>2</v>
      </c>
    </row>
    <row r="775" spans="1:4" ht="42.75" customHeight="1" thickBot="1">
      <c r="A775" s="92">
        <v>1940</v>
      </c>
      <c r="B775" s="93"/>
      <c r="C775" s="94" t="s">
        <v>3</v>
      </c>
      <c r="D775" s="95"/>
    </row>
    <row r="776" spans="1:4" ht="42.75" customHeight="1" thickBot="1">
      <c r="A776" s="92">
        <v>1980</v>
      </c>
      <c r="B776" s="93"/>
      <c r="C776" s="96" t="s">
        <v>4</v>
      </c>
      <c r="D776" s="97"/>
    </row>
    <row r="777" spans="1:4" ht="42.75" customHeight="1" thickBot="1">
      <c r="A777" s="98">
        <f>A776-A775</f>
        <v>40</v>
      </c>
      <c r="B777" s="99"/>
      <c r="C777" s="100" t="s">
        <v>5</v>
      </c>
      <c r="D777" s="97"/>
    </row>
    <row r="778" spans="1:4" ht="42.75" customHeight="1" thickBot="1">
      <c r="A778" s="101">
        <v>62</v>
      </c>
      <c r="B778" s="102"/>
      <c r="C778" s="96" t="s">
        <v>6</v>
      </c>
      <c r="D778" s="97"/>
    </row>
    <row r="779" spans="1:4" ht="42.75" customHeight="1" thickBot="1">
      <c r="A779" s="103"/>
      <c r="B779" s="104"/>
      <c r="C779" s="96" t="s">
        <v>21</v>
      </c>
      <c r="D779" s="97"/>
    </row>
    <row r="780" spans="1:4" ht="42.75" customHeight="1" thickBot="1">
      <c r="A780" s="105">
        <v>2500</v>
      </c>
      <c r="B780" s="106"/>
      <c r="C780" s="96" t="s">
        <v>7</v>
      </c>
      <c r="D780" s="97"/>
    </row>
    <row r="781" spans="1:4" ht="42.75" customHeight="1" thickBot="1">
      <c r="A781" s="107" t="s">
        <v>17</v>
      </c>
      <c r="B781" s="108"/>
      <c r="C781" s="108"/>
      <c r="D781" s="109"/>
    </row>
    <row r="782" spans="1:4" ht="42.75" customHeight="1" thickBot="1">
      <c r="A782" s="110" t="s">
        <v>20</v>
      </c>
      <c r="B782" s="111"/>
      <c r="C782" s="111"/>
      <c r="D782" s="112"/>
    </row>
    <row r="783" spans="1:4" ht="42.75" customHeight="1" thickBot="1">
      <c r="A783" s="113" t="s">
        <v>18</v>
      </c>
      <c r="B783" s="114"/>
      <c r="C783" s="114"/>
      <c r="D783" s="115"/>
    </row>
    <row r="784" spans="1:4" ht="42.75" customHeight="1" thickBot="1">
      <c r="A784" s="126" t="s">
        <v>19</v>
      </c>
      <c r="B784" s="127"/>
      <c r="C784" s="127"/>
      <c r="D784" s="128"/>
    </row>
    <row r="785" spans="1:4" ht="42.75" customHeight="1" thickBot="1">
      <c r="A785" s="123" t="s">
        <v>11</v>
      </c>
      <c r="B785" s="124"/>
      <c r="C785" s="125" t="s">
        <v>603</v>
      </c>
      <c r="D785" s="124"/>
    </row>
    <row r="786" spans="1:4" ht="42.75" customHeight="1" thickBot="1">
      <c r="A786" s="1" t="s">
        <v>686</v>
      </c>
      <c r="B786" s="26" t="s">
        <v>1</v>
      </c>
      <c r="C786" s="90" t="s">
        <v>608</v>
      </c>
      <c r="D786" s="91"/>
    </row>
    <row r="787" spans="1:4" ht="42.75" customHeight="1" thickBot="1">
      <c r="A787" s="26"/>
      <c r="B787" s="26" t="s">
        <v>0</v>
      </c>
      <c r="C787" s="5" t="s">
        <v>687</v>
      </c>
      <c r="D787" s="4" t="s">
        <v>2</v>
      </c>
    </row>
    <row r="788" spans="1:4" ht="42.75" customHeight="1" thickBot="1">
      <c r="A788" s="92">
        <v>1980</v>
      </c>
      <c r="B788" s="93"/>
      <c r="C788" s="94" t="s">
        <v>3</v>
      </c>
      <c r="D788" s="95"/>
    </row>
    <row r="789" spans="1:4" ht="42.75" customHeight="1" thickBot="1">
      <c r="A789" s="92">
        <v>1980</v>
      </c>
      <c r="B789" s="93"/>
      <c r="C789" s="96" t="s">
        <v>4</v>
      </c>
      <c r="D789" s="97"/>
    </row>
    <row r="790" spans="1:4" ht="42.75" customHeight="1" thickBot="1">
      <c r="A790" s="98">
        <f>A789-A788</f>
        <v>0</v>
      </c>
      <c r="B790" s="99"/>
      <c r="C790" s="100" t="s">
        <v>5</v>
      </c>
      <c r="D790" s="97"/>
    </row>
    <row r="791" spans="1:4" ht="42.75" customHeight="1" thickBot="1">
      <c r="A791" s="101">
        <v>62</v>
      </c>
      <c r="B791" s="102"/>
      <c r="C791" s="96" t="s">
        <v>6</v>
      </c>
      <c r="D791" s="97"/>
    </row>
    <row r="792" spans="1:4" ht="42.75" customHeight="1" thickBot="1">
      <c r="A792" s="103"/>
      <c r="B792" s="104"/>
      <c r="C792" s="96" t="s">
        <v>21</v>
      </c>
      <c r="D792" s="97"/>
    </row>
    <row r="793" spans="1:4" ht="42.75" customHeight="1" thickBot="1">
      <c r="A793" s="105">
        <f>A791*A790</f>
        <v>0</v>
      </c>
      <c r="B793" s="106"/>
      <c r="C793" s="96" t="s">
        <v>7</v>
      </c>
      <c r="D793" s="97"/>
    </row>
    <row r="794" spans="1:4" ht="42.75" customHeight="1" thickBot="1">
      <c r="A794" s="107" t="s">
        <v>17</v>
      </c>
      <c r="B794" s="108"/>
      <c r="C794" s="108"/>
      <c r="D794" s="109"/>
    </row>
    <row r="795" spans="1:4" ht="42.75" customHeight="1" thickBot="1">
      <c r="A795" s="116" t="s">
        <v>20</v>
      </c>
      <c r="B795" s="117"/>
      <c r="C795" s="117"/>
      <c r="D795" s="118"/>
    </row>
    <row r="796" spans="1:4" ht="42.75" customHeight="1" thickBot="1">
      <c r="A796" s="113" t="s">
        <v>18</v>
      </c>
      <c r="B796" s="114"/>
      <c r="C796" s="114"/>
      <c r="D796" s="115"/>
    </row>
    <row r="797" spans="1:4" ht="42.75" customHeight="1" thickBot="1">
      <c r="A797" s="119"/>
      <c r="B797" s="119"/>
      <c r="C797" s="119"/>
      <c r="D797" s="119"/>
    </row>
    <row r="798" spans="1:4" ht="42.75" customHeight="1" thickBot="1">
      <c r="A798" s="126" t="s">
        <v>19</v>
      </c>
      <c r="B798" s="127"/>
      <c r="C798" s="127"/>
      <c r="D798" s="128"/>
    </row>
    <row r="799" spans="1:4" ht="42.75" customHeight="1" thickBot="1">
      <c r="A799" s="123" t="s">
        <v>11</v>
      </c>
      <c r="B799" s="124"/>
      <c r="C799" s="125" t="s">
        <v>603</v>
      </c>
      <c r="D799" s="124"/>
    </row>
    <row r="800" spans="1:4" ht="42.75" customHeight="1" thickBot="1">
      <c r="A800" s="1" t="s">
        <v>686</v>
      </c>
      <c r="B800" s="26" t="s">
        <v>1</v>
      </c>
      <c r="C800" s="90" t="s">
        <v>608</v>
      </c>
      <c r="D800" s="91"/>
    </row>
    <row r="801" spans="1:4" ht="42.75" customHeight="1" thickBot="1">
      <c r="A801" s="26"/>
      <c r="B801" s="26" t="s">
        <v>0</v>
      </c>
      <c r="C801" s="5" t="s">
        <v>687</v>
      </c>
      <c r="D801" s="4" t="s">
        <v>2</v>
      </c>
    </row>
    <row r="802" spans="1:4" ht="42.75" customHeight="1" thickBot="1">
      <c r="A802" s="92">
        <v>1898</v>
      </c>
      <c r="B802" s="93"/>
      <c r="C802" s="94" t="s">
        <v>3</v>
      </c>
      <c r="D802" s="95"/>
    </row>
    <row r="803" spans="1:4" ht="42.75" customHeight="1" thickBot="1">
      <c r="A803" s="92">
        <v>1940</v>
      </c>
      <c r="B803" s="93"/>
      <c r="C803" s="96" t="s">
        <v>4</v>
      </c>
      <c r="D803" s="97"/>
    </row>
    <row r="804" spans="1:4" ht="42.75" customHeight="1" thickBot="1">
      <c r="A804" s="98">
        <f>A803-A802</f>
        <v>42</v>
      </c>
      <c r="B804" s="99"/>
      <c r="C804" s="100" t="s">
        <v>5</v>
      </c>
      <c r="D804" s="97"/>
    </row>
    <row r="805" spans="1:4" ht="42.75" customHeight="1" thickBot="1">
      <c r="A805" s="101">
        <v>62</v>
      </c>
      <c r="B805" s="102"/>
      <c r="C805" s="96" t="s">
        <v>6</v>
      </c>
      <c r="D805" s="97"/>
    </row>
    <row r="806" spans="1:4" ht="42.75" customHeight="1" thickBot="1">
      <c r="A806" s="103"/>
      <c r="B806" s="104"/>
      <c r="C806" s="96" t="s">
        <v>21</v>
      </c>
      <c r="D806" s="97"/>
    </row>
    <row r="807" spans="1:4" ht="42.75" customHeight="1" thickBot="1">
      <c r="A807" s="105">
        <f>A805*A804</f>
        <v>2604</v>
      </c>
      <c r="B807" s="106"/>
      <c r="C807" s="96" t="s">
        <v>7</v>
      </c>
      <c r="D807" s="97"/>
    </row>
    <row r="808" spans="1:4" ht="42.75" customHeight="1" thickBot="1">
      <c r="A808" s="107" t="s">
        <v>17</v>
      </c>
      <c r="B808" s="108"/>
      <c r="C808" s="108"/>
      <c r="D808" s="109"/>
    </row>
    <row r="809" spans="1:4" ht="42.75" customHeight="1" thickBot="1">
      <c r="A809" s="110" t="s">
        <v>20</v>
      </c>
      <c r="B809" s="111"/>
      <c r="C809" s="111"/>
      <c r="D809" s="112"/>
    </row>
    <row r="810" spans="1:4" ht="42.75" customHeight="1" thickBot="1">
      <c r="A810" s="113" t="s">
        <v>18</v>
      </c>
      <c r="B810" s="114"/>
      <c r="C810" s="114"/>
      <c r="D810" s="115"/>
    </row>
    <row r="811" spans="1:4" ht="42.75" customHeight="1" thickBot="1">
      <c r="A811" s="126" t="s">
        <v>19</v>
      </c>
      <c r="B811" s="127"/>
      <c r="C811" s="127"/>
      <c r="D811" s="128"/>
    </row>
    <row r="812" spans="1:4" ht="42.75" customHeight="1" thickBot="1">
      <c r="A812" s="123" t="s">
        <v>11</v>
      </c>
      <c r="B812" s="124"/>
      <c r="C812" s="125" t="s">
        <v>603</v>
      </c>
      <c r="D812" s="124"/>
    </row>
    <row r="813" spans="1:4" ht="42.75" customHeight="1" thickBot="1">
      <c r="A813" s="1" t="s">
        <v>686</v>
      </c>
      <c r="B813" s="26" t="s">
        <v>1</v>
      </c>
      <c r="C813" s="90" t="s">
        <v>634</v>
      </c>
      <c r="D813" s="91"/>
    </row>
    <row r="814" spans="1:4" ht="42.75" customHeight="1" thickBot="1">
      <c r="A814" s="26"/>
      <c r="B814" s="26" t="s">
        <v>0</v>
      </c>
      <c r="C814" s="5" t="s">
        <v>687</v>
      </c>
      <c r="D814" s="4" t="s">
        <v>2</v>
      </c>
    </row>
    <row r="815" spans="1:4" ht="42.75" customHeight="1" thickBot="1">
      <c r="A815" s="92">
        <v>1606</v>
      </c>
      <c r="B815" s="93"/>
      <c r="C815" s="94" t="s">
        <v>3</v>
      </c>
      <c r="D815" s="95"/>
    </row>
    <row r="816" spans="1:4" ht="42.75" customHeight="1" thickBot="1">
      <c r="A816" s="92">
        <v>1606</v>
      </c>
      <c r="B816" s="93"/>
      <c r="C816" s="96" t="s">
        <v>4</v>
      </c>
      <c r="D816" s="97"/>
    </row>
    <row r="817" spans="1:4" ht="42.75" customHeight="1" thickBot="1">
      <c r="A817" s="98">
        <f>A816-A815</f>
        <v>0</v>
      </c>
      <c r="B817" s="99"/>
      <c r="C817" s="100" t="s">
        <v>5</v>
      </c>
      <c r="D817" s="97"/>
    </row>
    <row r="818" spans="1:4" ht="42.75" customHeight="1" thickBot="1">
      <c r="A818" s="101">
        <v>62</v>
      </c>
      <c r="B818" s="102"/>
      <c r="C818" s="96" t="s">
        <v>6</v>
      </c>
      <c r="D818" s="97"/>
    </row>
    <row r="819" spans="1:4" ht="42.75" customHeight="1" thickBot="1">
      <c r="A819" s="103"/>
      <c r="B819" s="104"/>
      <c r="C819" s="96" t="s">
        <v>21</v>
      </c>
      <c r="D819" s="97"/>
    </row>
    <row r="820" spans="1:4" ht="42.75" customHeight="1" thickBot="1">
      <c r="A820" s="105">
        <f>A818*A817</f>
        <v>0</v>
      </c>
      <c r="B820" s="106"/>
      <c r="C820" s="96" t="s">
        <v>7</v>
      </c>
      <c r="D820" s="97"/>
    </row>
    <row r="821" spans="1:4" ht="42.75" customHeight="1" thickBot="1">
      <c r="A821" s="107" t="s">
        <v>17</v>
      </c>
      <c r="B821" s="108"/>
      <c r="C821" s="108"/>
      <c r="D821" s="109"/>
    </row>
    <row r="822" spans="1:4" ht="42.75" customHeight="1" thickBot="1">
      <c r="A822" s="116" t="s">
        <v>20</v>
      </c>
      <c r="B822" s="117"/>
      <c r="C822" s="117"/>
      <c r="D822" s="118"/>
    </row>
    <row r="823" spans="1:4" ht="42.75" customHeight="1" thickBot="1">
      <c r="A823" s="113" t="s">
        <v>18</v>
      </c>
      <c r="B823" s="114"/>
      <c r="C823" s="114"/>
      <c r="D823" s="115"/>
    </row>
    <row r="824" spans="1:4" ht="42.75" customHeight="1" thickBot="1">
      <c r="A824" s="119"/>
      <c r="B824" s="119"/>
      <c r="C824" s="119"/>
      <c r="D824" s="119"/>
    </row>
    <row r="825" spans="1:4" ht="42.75" customHeight="1" thickBot="1">
      <c r="A825" s="126" t="s">
        <v>19</v>
      </c>
      <c r="B825" s="127"/>
      <c r="C825" s="127"/>
      <c r="D825" s="128"/>
    </row>
    <row r="826" spans="1:4" ht="42.75" customHeight="1" thickBot="1">
      <c r="A826" s="123" t="s">
        <v>11</v>
      </c>
      <c r="B826" s="124"/>
      <c r="C826" s="125" t="s">
        <v>603</v>
      </c>
      <c r="D826" s="124"/>
    </row>
    <row r="827" spans="1:4" ht="42.75" customHeight="1" thickBot="1">
      <c r="A827" s="1" t="s">
        <v>686</v>
      </c>
      <c r="B827" s="26" t="s">
        <v>1</v>
      </c>
      <c r="C827" s="90" t="s">
        <v>634</v>
      </c>
      <c r="D827" s="91"/>
    </row>
    <row r="828" spans="1:4" ht="42.75" customHeight="1" thickBot="1">
      <c r="A828" s="26"/>
      <c r="B828" s="26" t="s">
        <v>0</v>
      </c>
      <c r="C828" s="5" t="s">
        <v>687</v>
      </c>
      <c r="D828" s="4" t="s">
        <v>2</v>
      </c>
    </row>
    <row r="829" spans="1:4" ht="42.75" customHeight="1" thickBot="1">
      <c r="A829" s="92">
        <v>1600</v>
      </c>
      <c r="B829" s="93"/>
      <c r="C829" s="94" t="s">
        <v>3</v>
      </c>
      <c r="D829" s="95"/>
    </row>
    <row r="830" spans="1:4" ht="42.75" customHeight="1" thickBot="1">
      <c r="A830" s="92">
        <v>1606</v>
      </c>
      <c r="B830" s="93"/>
      <c r="C830" s="96" t="s">
        <v>4</v>
      </c>
      <c r="D830" s="97"/>
    </row>
    <row r="831" spans="1:4" ht="42.75" customHeight="1" thickBot="1">
      <c r="A831" s="98">
        <v>10</v>
      </c>
      <c r="B831" s="99"/>
      <c r="C831" s="100" t="s">
        <v>5</v>
      </c>
      <c r="D831" s="97"/>
    </row>
    <row r="832" spans="1:4" ht="42.75" customHeight="1" thickBot="1">
      <c r="A832" s="101">
        <v>62</v>
      </c>
      <c r="B832" s="102"/>
      <c r="C832" s="96" t="s">
        <v>6</v>
      </c>
      <c r="D832" s="97"/>
    </row>
    <row r="833" spans="1:4" ht="42.75" customHeight="1" thickBot="1">
      <c r="A833" s="103"/>
      <c r="B833" s="104"/>
      <c r="C833" s="96" t="s">
        <v>21</v>
      </c>
      <c r="D833" s="97"/>
    </row>
    <row r="834" spans="1:4" ht="42.75" customHeight="1" thickBot="1">
      <c r="A834" s="105">
        <v>600</v>
      </c>
      <c r="B834" s="106"/>
      <c r="C834" s="96" t="s">
        <v>7</v>
      </c>
      <c r="D834" s="97"/>
    </row>
    <row r="835" spans="1:4" ht="42.75" customHeight="1" thickBot="1">
      <c r="A835" s="107" t="s">
        <v>17</v>
      </c>
      <c r="B835" s="108"/>
      <c r="C835" s="108"/>
      <c r="D835" s="109"/>
    </row>
    <row r="836" spans="1:4" ht="42.75" customHeight="1" thickBot="1">
      <c r="A836" s="110" t="s">
        <v>20</v>
      </c>
      <c r="B836" s="111"/>
      <c r="C836" s="111"/>
      <c r="D836" s="112"/>
    </row>
    <row r="837" spans="1:4" ht="42.75" customHeight="1" thickBot="1">
      <c r="A837" s="113" t="s">
        <v>18</v>
      </c>
      <c r="B837" s="114"/>
      <c r="C837" s="114"/>
      <c r="D837" s="115"/>
    </row>
    <row r="838" spans="1:4" ht="42.75" customHeight="1" thickBot="1">
      <c r="A838" s="126" t="s">
        <v>19</v>
      </c>
      <c r="B838" s="127"/>
      <c r="C838" s="127"/>
      <c r="D838" s="128"/>
    </row>
    <row r="839" spans="1:4" ht="42.75" customHeight="1" thickBot="1">
      <c r="A839" s="123" t="s">
        <v>11</v>
      </c>
      <c r="B839" s="124"/>
      <c r="C839" s="125" t="s">
        <v>603</v>
      </c>
      <c r="D839" s="124"/>
    </row>
    <row r="840" spans="1:4" ht="42.75" customHeight="1" thickBot="1">
      <c r="A840" s="1" t="s">
        <v>686</v>
      </c>
      <c r="B840" s="26" t="s">
        <v>1</v>
      </c>
      <c r="C840" s="90" t="s">
        <v>241</v>
      </c>
      <c r="D840" s="91"/>
    </row>
    <row r="841" spans="1:4" ht="42.75" customHeight="1" thickBot="1">
      <c r="A841" s="26"/>
      <c r="B841" s="26" t="s">
        <v>0</v>
      </c>
      <c r="C841" s="5" t="s">
        <v>687</v>
      </c>
      <c r="D841" s="4" t="s">
        <v>2</v>
      </c>
    </row>
    <row r="842" spans="1:4" ht="42.75" customHeight="1" thickBot="1">
      <c r="A842" s="92">
        <v>1660</v>
      </c>
      <c r="B842" s="93"/>
      <c r="C842" s="94" t="s">
        <v>3</v>
      </c>
      <c r="D842" s="95"/>
    </row>
    <row r="843" spans="1:4" ht="42.75" customHeight="1" thickBot="1">
      <c r="A843" s="92">
        <v>1660</v>
      </c>
      <c r="B843" s="93"/>
      <c r="C843" s="96" t="s">
        <v>4</v>
      </c>
      <c r="D843" s="97"/>
    </row>
    <row r="844" spans="1:4" ht="42.75" customHeight="1" thickBot="1">
      <c r="A844" s="98">
        <f>A843-A842</f>
        <v>0</v>
      </c>
      <c r="B844" s="99"/>
      <c r="C844" s="100" t="s">
        <v>5</v>
      </c>
      <c r="D844" s="97"/>
    </row>
    <row r="845" spans="1:4" ht="42.75" customHeight="1" thickBot="1">
      <c r="A845" s="101">
        <v>62</v>
      </c>
      <c r="B845" s="102"/>
      <c r="C845" s="96" t="s">
        <v>6</v>
      </c>
      <c r="D845" s="97"/>
    </row>
    <row r="846" spans="1:4" ht="42.75" customHeight="1" thickBot="1">
      <c r="A846" s="103"/>
      <c r="B846" s="104"/>
      <c r="C846" s="96" t="s">
        <v>21</v>
      </c>
      <c r="D846" s="97"/>
    </row>
    <row r="847" spans="1:4" ht="42.75" customHeight="1" thickBot="1">
      <c r="A847" s="105">
        <f>A845*A844</f>
        <v>0</v>
      </c>
      <c r="B847" s="106"/>
      <c r="C847" s="96" t="s">
        <v>7</v>
      </c>
      <c r="D847" s="97"/>
    </row>
    <row r="848" spans="1:4" ht="42.75" customHeight="1" thickBot="1">
      <c r="A848" s="107" t="s">
        <v>17</v>
      </c>
      <c r="B848" s="108"/>
      <c r="C848" s="108"/>
      <c r="D848" s="109"/>
    </row>
    <row r="849" spans="1:4" ht="42.75" customHeight="1" thickBot="1">
      <c r="A849" s="116" t="s">
        <v>20</v>
      </c>
      <c r="B849" s="117"/>
      <c r="C849" s="117"/>
      <c r="D849" s="118"/>
    </row>
    <row r="850" spans="1:4" ht="42.75" customHeight="1" thickBot="1">
      <c r="A850" s="113" t="s">
        <v>18</v>
      </c>
      <c r="B850" s="114"/>
      <c r="C850" s="114"/>
      <c r="D850" s="115"/>
    </row>
    <row r="851" spans="1:4" ht="42.75" customHeight="1" thickBot="1">
      <c r="A851" s="119"/>
      <c r="B851" s="119"/>
      <c r="C851" s="119"/>
      <c r="D851" s="119"/>
    </row>
    <row r="852" spans="1:4" ht="42.75" customHeight="1" thickBot="1">
      <c r="A852" s="126" t="s">
        <v>19</v>
      </c>
      <c r="B852" s="127"/>
      <c r="C852" s="127"/>
      <c r="D852" s="128"/>
    </row>
    <row r="853" spans="1:4" ht="42.75" customHeight="1" thickBot="1">
      <c r="A853" s="123" t="s">
        <v>11</v>
      </c>
      <c r="B853" s="124"/>
      <c r="C853" s="125" t="s">
        <v>603</v>
      </c>
      <c r="D853" s="124"/>
    </row>
    <row r="854" spans="1:4" ht="42.75" customHeight="1" thickBot="1">
      <c r="A854" s="1" t="s">
        <v>686</v>
      </c>
      <c r="B854" s="26" t="s">
        <v>1</v>
      </c>
      <c r="C854" s="90" t="s">
        <v>241</v>
      </c>
      <c r="D854" s="91"/>
    </row>
    <row r="855" spans="1:4" ht="42.75" customHeight="1" thickBot="1">
      <c r="A855" s="26"/>
      <c r="B855" s="26" t="s">
        <v>0</v>
      </c>
      <c r="C855" s="5" t="s">
        <v>687</v>
      </c>
      <c r="D855" s="4" t="s">
        <v>2</v>
      </c>
    </row>
    <row r="856" spans="1:4" ht="42.75" customHeight="1" thickBot="1">
      <c r="A856" s="92">
        <v>1625</v>
      </c>
      <c r="B856" s="93"/>
      <c r="C856" s="94" t="s">
        <v>3</v>
      </c>
      <c r="D856" s="95"/>
    </row>
    <row r="857" spans="1:4" ht="42.75" customHeight="1" thickBot="1">
      <c r="A857" s="92">
        <v>1660</v>
      </c>
      <c r="B857" s="93"/>
      <c r="C857" s="96" t="s">
        <v>4</v>
      </c>
      <c r="D857" s="97"/>
    </row>
    <row r="858" spans="1:4" ht="42.75" customHeight="1" thickBot="1">
      <c r="A858" s="98">
        <f>A857-A856</f>
        <v>35</v>
      </c>
      <c r="B858" s="99"/>
      <c r="C858" s="100" t="s">
        <v>5</v>
      </c>
      <c r="D858" s="97"/>
    </row>
    <row r="859" spans="1:4" ht="42.75" customHeight="1" thickBot="1">
      <c r="A859" s="101">
        <v>62</v>
      </c>
      <c r="B859" s="102"/>
      <c r="C859" s="96" t="s">
        <v>6</v>
      </c>
      <c r="D859" s="97"/>
    </row>
    <row r="860" spans="1:4" ht="42.75" customHeight="1" thickBot="1">
      <c r="A860" s="103"/>
      <c r="B860" s="104"/>
      <c r="C860" s="96" t="s">
        <v>21</v>
      </c>
      <c r="D860" s="97"/>
    </row>
    <row r="861" spans="1:4" ht="42.75" customHeight="1" thickBot="1">
      <c r="A861" s="105">
        <v>2200</v>
      </c>
      <c r="B861" s="106"/>
      <c r="C861" s="96" t="s">
        <v>7</v>
      </c>
      <c r="D861" s="97"/>
    </row>
    <row r="862" spans="1:4" ht="42.75" customHeight="1" thickBot="1">
      <c r="A862" s="107" t="s">
        <v>17</v>
      </c>
      <c r="B862" s="108"/>
      <c r="C862" s="108"/>
      <c r="D862" s="109"/>
    </row>
    <row r="863" spans="1:4" ht="42.75" customHeight="1" thickBot="1">
      <c r="A863" s="110" t="s">
        <v>20</v>
      </c>
      <c r="B863" s="111"/>
      <c r="C863" s="111"/>
      <c r="D863" s="112"/>
    </row>
    <row r="864" spans="1:4" ht="42.75" customHeight="1" thickBot="1">
      <c r="A864" s="113" t="s">
        <v>18</v>
      </c>
      <c r="B864" s="114"/>
      <c r="C864" s="114"/>
      <c r="D864" s="115"/>
    </row>
    <row r="865" spans="1:4" ht="42.75" customHeight="1" thickBot="1">
      <c r="A865" s="126" t="s">
        <v>19</v>
      </c>
      <c r="B865" s="127"/>
      <c r="C865" s="127"/>
      <c r="D865" s="128"/>
    </row>
    <row r="866" spans="1:4" ht="42.75" customHeight="1" thickBot="1">
      <c r="A866" s="123" t="s">
        <v>11</v>
      </c>
      <c r="B866" s="124"/>
      <c r="C866" s="125" t="s">
        <v>603</v>
      </c>
      <c r="D866" s="124"/>
    </row>
    <row r="867" spans="1:4" ht="42.75" customHeight="1" thickBot="1">
      <c r="A867" s="1" t="s">
        <v>686</v>
      </c>
      <c r="B867" s="26" t="s">
        <v>1</v>
      </c>
      <c r="C867" s="90" t="s">
        <v>242</v>
      </c>
      <c r="D867" s="91"/>
    </row>
    <row r="868" spans="1:4" ht="42.75" customHeight="1" thickBot="1">
      <c r="A868" s="26"/>
      <c r="B868" s="26" t="s">
        <v>0</v>
      </c>
      <c r="C868" s="5" t="s">
        <v>687</v>
      </c>
      <c r="D868" s="4" t="s">
        <v>2</v>
      </c>
    </row>
    <row r="869" spans="1:4" ht="42.75" customHeight="1" thickBot="1">
      <c r="A869" s="92">
        <v>1660</v>
      </c>
      <c r="B869" s="93"/>
      <c r="C869" s="94" t="s">
        <v>3</v>
      </c>
      <c r="D869" s="95"/>
    </row>
    <row r="870" spans="1:4" ht="42.75" customHeight="1" thickBot="1">
      <c r="A870" s="92">
        <v>1660</v>
      </c>
      <c r="B870" s="93"/>
      <c r="C870" s="96" t="s">
        <v>4</v>
      </c>
      <c r="D870" s="97"/>
    </row>
    <row r="871" spans="1:4" ht="42.75" customHeight="1" thickBot="1">
      <c r="A871" s="98">
        <f>A870-A869</f>
        <v>0</v>
      </c>
      <c r="B871" s="99"/>
      <c r="C871" s="100" t="s">
        <v>5</v>
      </c>
      <c r="D871" s="97"/>
    </row>
    <row r="872" spans="1:4" ht="42.75" customHeight="1" thickBot="1">
      <c r="A872" s="101">
        <v>62</v>
      </c>
      <c r="B872" s="102"/>
      <c r="C872" s="96" t="s">
        <v>6</v>
      </c>
      <c r="D872" s="97"/>
    </row>
    <row r="873" spans="1:4" ht="42.75" customHeight="1" thickBot="1">
      <c r="A873" s="103"/>
      <c r="B873" s="104"/>
      <c r="C873" s="96" t="s">
        <v>21</v>
      </c>
      <c r="D873" s="97"/>
    </row>
    <row r="874" spans="1:4" ht="42.75" customHeight="1" thickBot="1">
      <c r="A874" s="105">
        <f>A872*A871</f>
        <v>0</v>
      </c>
      <c r="B874" s="106"/>
      <c r="C874" s="96" t="s">
        <v>7</v>
      </c>
      <c r="D874" s="97"/>
    </row>
    <row r="875" spans="1:4" ht="42.75" customHeight="1" thickBot="1">
      <c r="A875" s="107" t="s">
        <v>17</v>
      </c>
      <c r="B875" s="108"/>
      <c r="C875" s="108"/>
      <c r="D875" s="109"/>
    </row>
    <row r="876" spans="1:4" ht="42.75" customHeight="1" thickBot="1">
      <c r="A876" s="116" t="s">
        <v>20</v>
      </c>
      <c r="B876" s="117"/>
      <c r="C876" s="117"/>
      <c r="D876" s="118"/>
    </row>
    <row r="877" spans="1:4" ht="42.75" customHeight="1" thickBot="1">
      <c r="A877" s="113" t="s">
        <v>18</v>
      </c>
      <c r="B877" s="114"/>
      <c r="C877" s="114"/>
      <c r="D877" s="115"/>
    </row>
    <row r="878" spans="1:4" ht="42.75" customHeight="1" thickBot="1">
      <c r="A878" s="119"/>
      <c r="B878" s="119"/>
      <c r="C878" s="119"/>
      <c r="D878" s="119"/>
    </row>
    <row r="879" spans="1:4" ht="42.75" customHeight="1" thickBot="1">
      <c r="A879" s="126" t="s">
        <v>19</v>
      </c>
      <c r="B879" s="127"/>
      <c r="C879" s="127"/>
      <c r="D879" s="128"/>
    </row>
    <row r="880" spans="1:4" ht="42.75" customHeight="1" thickBot="1">
      <c r="A880" s="123" t="s">
        <v>11</v>
      </c>
      <c r="B880" s="124"/>
      <c r="C880" s="125" t="s">
        <v>603</v>
      </c>
      <c r="D880" s="124"/>
    </row>
    <row r="881" spans="1:4" ht="42.75" customHeight="1" thickBot="1">
      <c r="A881" s="1" t="s">
        <v>686</v>
      </c>
      <c r="B881" s="26" t="s">
        <v>1</v>
      </c>
      <c r="C881" s="90" t="s">
        <v>242</v>
      </c>
      <c r="D881" s="91"/>
    </row>
    <row r="882" spans="1:4" ht="42.75" customHeight="1" thickBot="1">
      <c r="A882" s="26"/>
      <c r="B882" s="26" t="s">
        <v>0</v>
      </c>
      <c r="C882" s="5" t="s">
        <v>687</v>
      </c>
      <c r="D882" s="4" t="s">
        <v>2</v>
      </c>
    </row>
    <row r="883" spans="1:4" ht="42.75" customHeight="1" thickBot="1">
      <c r="A883" s="92">
        <v>1620</v>
      </c>
      <c r="B883" s="93"/>
      <c r="C883" s="94" t="s">
        <v>3</v>
      </c>
      <c r="D883" s="95"/>
    </row>
    <row r="884" spans="1:4" ht="42.75" customHeight="1" thickBot="1">
      <c r="A884" s="92">
        <v>1660</v>
      </c>
      <c r="B884" s="93"/>
      <c r="C884" s="96" t="s">
        <v>4</v>
      </c>
      <c r="D884" s="97"/>
    </row>
    <row r="885" spans="1:4" ht="42.75" customHeight="1" thickBot="1">
      <c r="A885" s="98">
        <f>A884-A883</f>
        <v>40</v>
      </c>
      <c r="B885" s="99"/>
      <c r="C885" s="100" t="s">
        <v>5</v>
      </c>
      <c r="D885" s="97"/>
    </row>
    <row r="886" spans="1:4" ht="42.75" customHeight="1" thickBot="1">
      <c r="A886" s="101">
        <v>62</v>
      </c>
      <c r="B886" s="102"/>
      <c r="C886" s="96" t="s">
        <v>6</v>
      </c>
      <c r="D886" s="97"/>
    </row>
    <row r="887" spans="1:4" ht="42.75" customHeight="1" thickBot="1">
      <c r="A887" s="103"/>
      <c r="B887" s="104"/>
      <c r="C887" s="96" t="s">
        <v>21</v>
      </c>
      <c r="D887" s="97"/>
    </row>
    <row r="888" spans="1:4" ht="42.75" customHeight="1" thickBot="1">
      <c r="A888" s="105">
        <v>2500</v>
      </c>
      <c r="B888" s="106"/>
      <c r="C888" s="96" t="s">
        <v>7</v>
      </c>
      <c r="D888" s="97"/>
    </row>
    <row r="889" spans="1:4" ht="42.75" customHeight="1" thickBot="1">
      <c r="A889" s="107" t="s">
        <v>17</v>
      </c>
      <c r="B889" s="108"/>
      <c r="C889" s="108"/>
      <c r="D889" s="109"/>
    </row>
    <row r="890" spans="1:4" ht="42.75" customHeight="1" thickBot="1">
      <c r="A890" s="110" t="s">
        <v>20</v>
      </c>
      <c r="B890" s="111"/>
      <c r="C890" s="111"/>
      <c r="D890" s="112"/>
    </row>
    <row r="891" spans="1:4" ht="42.75" customHeight="1" thickBot="1">
      <c r="A891" s="113" t="s">
        <v>18</v>
      </c>
      <c r="B891" s="114"/>
      <c r="C891" s="114"/>
      <c r="D891" s="115"/>
    </row>
    <row r="892" spans="1:4" ht="42.75" customHeight="1" thickBot="1">
      <c r="A892" s="126" t="s">
        <v>19</v>
      </c>
      <c r="B892" s="127"/>
      <c r="C892" s="127"/>
      <c r="D892" s="128"/>
    </row>
    <row r="893" spans="1:4" ht="42.75" customHeight="1" thickBot="1">
      <c r="A893" s="123" t="s">
        <v>11</v>
      </c>
      <c r="B893" s="124"/>
      <c r="C893" s="125" t="s">
        <v>603</v>
      </c>
      <c r="D893" s="124"/>
    </row>
    <row r="894" spans="1:4" ht="42.75" customHeight="1" thickBot="1">
      <c r="A894" s="1" t="s">
        <v>686</v>
      </c>
      <c r="B894" s="26" t="s">
        <v>1</v>
      </c>
      <c r="C894" s="90" t="s">
        <v>243</v>
      </c>
      <c r="D894" s="91"/>
    </row>
    <row r="895" spans="1:4" ht="42.75" customHeight="1" thickBot="1">
      <c r="A895" s="26"/>
      <c r="B895" s="26" t="s">
        <v>0</v>
      </c>
      <c r="C895" s="5" t="s">
        <v>687</v>
      </c>
      <c r="D895" s="4" t="s">
        <v>2</v>
      </c>
    </row>
    <row r="896" spans="1:4" ht="42.75" customHeight="1" thickBot="1">
      <c r="A896" s="92">
        <v>201</v>
      </c>
      <c r="B896" s="93"/>
      <c r="C896" s="94" t="s">
        <v>3</v>
      </c>
      <c r="D896" s="95"/>
    </row>
    <row r="897" spans="1:4" ht="42.75" customHeight="1" thickBot="1">
      <c r="A897" s="92">
        <v>201</v>
      </c>
      <c r="B897" s="93"/>
      <c r="C897" s="96" t="s">
        <v>4</v>
      </c>
      <c r="D897" s="97"/>
    </row>
    <row r="898" spans="1:4" ht="42.75" customHeight="1" thickBot="1">
      <c r="A898" s="98">
        <f>A897-A896</f>
        <v>0</v>
      </c>
      <c r="B898" s="99"/>
      <c r="C898" s="100" t="s">
        <v>5</v>
      </c>
      <c r="D898" s="97"/>
    </row>
    <row r="899" spans="1:4" ht="42.75" customHeight="1" thickBot="1">
      <c r="A899" s="101">
        <v>62</v>
      </c>
      <c r="B899" s="102"/>
      <c r="C899" s="96" t="s">
        <v>6</v>
      </c>
      <c r="D899" s="97"/>
    </row>
    <row r="900" spans="1:4" ht="42.75" customHeight="1" thickBot="1">
      <c r="A900" s="103"/>
      <c r="B900" s="104"/>
      <c r="C900" s="96" t="s">
        <v>21</v>
      </c>
      <c r="D900" s="97"/>
    </row>
    <row r="901" spans="1:4" ht="42.75" customHeight="1" thickBot="1">
      <c r="A901" s="105">
        <f>A899*A898</f>
        <v>0</v>
      </c>
      <c r="B901" s="106"/>
      <c r="C901" s="96" t="s">
        <v>7</v>
      </c>
      <c r="D901" s="97"/>
    </row>
    <row r="902" spans="1:4" ht="42.75" customHeight="1" thickBot="1">
      <c r="A902" s="107" t="s">
        <v>17</v>
      </c>
      <c r="B902" s="108"/>
      <c r="C902" s="108"/>
      <c r="D902" s="109"/>
    </row>
    <row r="903" spans="1:4" ht="42.75" customHeight="1" thickBot="1">
      <c r="A903" s="116" t="s">
        <v>20</v>
      </c>
      <c r="B903" s="117"/>
      <c r="C903" s="117"/>
      <c r="D903" s="118"/>
    </row>
    <row r="904" spans="1:4" ht="42.75" customHeight="1" thickBot="1">
      <c r="A904" s="113" t="s">
        <v>18</v>
      </c>
      <c r="B904" s="114"/>
      <c r="C904" s="114"/>
      <c r="D904" s="115"/>
    </row>
    <row r="905" spans="1:4" ht="42.75" customHeight="1" thickBot="1">
      <c r="A905" s="119"/>
      <c r="B905" s="119"/>
      <c r="C905" s="119"/>
      <c r="D905" s="119"/>
    </row>
    <row r="906" spans="1:4" ht="42.75" customHeight="1" thickBot="1">
      <c r="A906" s="126" t="s">
        <v>19</v>
      </c>
      <c r="B906" s="127"/>
      <c r="C906" s="127"/>
      <c r="D906" s="128"/>
    </row>
    <row r="907" spans="1:4" ht="42.75" customHeight="1" thickBot="1">
      <c r="A907" s="123" t="s">
        <v>11</v>
      </c>
      <c r="B907" s="124"/>
      <c r="C907" s="125" t="s">
        <v>603</v>
      </c>
      <c r="D907" s="124"/>
    </row>
    <row r="908" spans="1:4" ht="42.75" customHeight="1" thickBot="1">
      <c r="A908" s="1" t="s">
        <v>686</v>
      </c>
      <c r="B908" s="26" t="s">
        <v>1</v>
      </c>
      <c r="C908" s="90" t="s">
        <v>243</v>
      </c>
      <c r="D908" s="91"/>
    </row>
    <row r="909" spans="1:4" ht="42.75" customHeight="1" thickBot="1">
      <c r="A909" s="26"/>
      <c r="B909" s="26" t="s">
        <v>0</v>
      </c>
      <c r="C909" s="5" t="s">
        <v>687</v>
      </c>
      <c r="D909" s="4" t="s">
        <v>2</v>
      </c>
    </row>
    <row r="910" spans="1:4" ht="42.75" customHeight="1" thickBot="1">
      <c r="A910" s="92">
        <v>195</v>
      </c>
      <c r="B910" s="93"/>
      <c r="C910" s="94" t="s">
        <v>3</v>
      </c>
      <c r="D910" s="95"/>
    </row>
    <row r="911" spans="1:4" ht="42.75" customHeight="1" thickBot="1">
      <c r="A911" s="92">
        <v>201</v>
      </c>
      <c r="B911" s="93"/>
      <c r="C911" s="96" t="s">
        <v>4</v>
      </c>
      <c r="D911" s="97"/>
    </row>
    <row r="912" spans="1:4" ht="42.75" customHeight="1" thickBot="1">
      <c r="A912" s="98">
        <v>10</v>
      </c>
      <c r="B912" s="99"/>
      <c r="C912" s="100" t="s">
        <v>5</v>
      </c>
      <c r="D912" s="97"/>
    </row>
    <row r="913" spans="1:4" ht="42.75" customHeight="1" thickBot="1">
      <c r="A913" s="101">
        <v>62</v>
      </c>
      <c r="B913" s="102"/>
      <c r="C913" s="96" t="s">
        <v>6</v>
      </c>
      <c r="D913" s="97"/>
    </row>
    <row r="914" spans="1:4" ht="42.75" customHeight="1" thickBot="1">
      <c r="A914" s="103"/>
      <c r="B914" s="104"/>
      <c r="C914" s="96" t="s">
        <v>21</v>
      </c>
      <c r="D914" s="97"/>
    </row>
    <row r="915" spans="1:4" ht="42.75" customHeight="1" thickBot="1">
      <c r="A915" s="105">
        <v>600</v>
      </c>
      <c r="B915" s="106"/>
      <c r="C915" s="96" t="s">
        <v>7</v>
      </c>
      <c r="D915" s="97"/>
    </row>
    <row r="916" spans="1:4" ht="42.75" customHeight="1" thickBot="1">
      <c r="A916" s="107" t="s">
        <v>17</v>
      </c>
      <c r="B916" s="108"/>
      <c r="C916" s="108"/>
      <c r="D916" s="109"/>
    </row>
    <row r="917" spans="1:4" ht="42.75" customHeight="1" thickBot="1">
      <c r="A917" s="110" t="s">
        <v>20</v>
      </c>
      <c r="B917" s="111"/>
      <c r="C917" s="111"/>
      <c r="D917" s="112"/>
    </row>
    <row r="918" spans="1:4" ht="42.75" customHeight="1" thickBot="1">
      <c r="A918" s="113" t="s">
        <v>18</v>
      </c>
      <c r="B918" s="114"/>
      <c r="C918" s="114"/>
      <c r="D918" s="115"/>
    </row>
    <row r="919" spans="1:4" ht="42.75" customHeight="1" thickBot="1">
      <c r="A919" s="126" t="s">
        <v>19</v>
      </c>
      <c r="B919" s="127"/>
      <c r="C919" s="127"/>
      <c r="D919" s="128"/>
    </row>
    <row r="920" spans="1:4" ht="42.75" customHeight="1" thickBot="1">
      <c r="A920" s="123" t="s">
        <v>11</v>
      </c>
      <c r="B920" s="124"/>
      <c r="C920" s="125" t="s">
        <v>603</v>
      </c>
      <c r="D920" s="124"/>
    </row>
    <row r="921" spans="1:4" ht="42.75" customHeight="1" thickBot="1">
      <c r="A921" s="1" t="s">
        <v>686</v>
      </c>
      <c r="B921" s="26" t="s">
        <v>1</v>
      </c>
      <c r="C921" s="90" t="s">
        <v>559</v>
      </c>
      <c r="D921" s="91"/>
    </row>
    <row r="922" spans="1:4" ht="42.75" customHeight="1" thickBot="1">
      <c r="A922" s="26"/>
      <c r="B922" s="26" t="s">
        <v>0</v>
      </c>
      <c r="C922" s="5" t="s">
        <v>687</v>
      </c>
      <c r="D922" s="4" t="s">
        <v>2</v>
      </c>
    </row>
    <row r="923" spans="1:4" ht="42.75" customHeight="1" thickBot="1">
      <c r="A923" s="92">
        <v>410</v>
      </c>
      <c r="B923" s="93"/>
      <c r="C923" s="94" t="s">
        <v>3</v>
      </c>
      <c r="D923" s="95"/>
    </row>
    <row r="924" spans="1:4" ht="42.75" customHeight="1" thickBot="1">
      <c r="A924" s="92">
        <v>410</v>
      </c>
      <c r="B924" s="93"/>
      <c r="C924" s="96" t="s">
        <v>4</v>
      </c>
      <c r="D924" s="97"/>
    </row>
    <row r="925" spans="1:4" ht="42.75" customHeight="1" thickBot="1">
      <c r="A925" s="98">
        <f>A924-A923</f>
        <v>0</v>
      </c>
      <c r="B925" s="99"/>
      <c r="C925" s="100" t="s">
        <v>5</v>
      </c>
      <c r="D925" s="97"/>
    </row>
    <row r="926" spans="1:4" ht="42.75" customHeight="1" thickBot="1">
      <c r="A926" s="101">
        <v>62</v>
      </c>
      <c r="B926" s="102"/>
      <c r="C926" s="96" t="s">
        <v>6</v>
      </c>
      <c r="D926" s="97"/>
    </row>
    <row r="927" spans="1:4" ht="42.75" customHeight="1" thickBot="1">
      <c r="A927" s="103"/>
      <c r="B927" s="104"/>
      <c r="C927" s="96" t="s">
        <v>21</v>
      </c>
      <c r="D927" s="97"/>
    </row>
    <row r="928" spans="1:4" ht="42.75" customHeight="1" thickBot="1">
      <c r="A928" s="105">
        <f>A926*A925</f>
        <v>0</v>
      </c>
      <c r="B928" s="106"/>
      <c r="C928" s="96" t="s">
        <v>7</v>
      </c>
      <c r="D928" s="97"/>
    </row>
    <row r="929" spans="1:4" ht="42.75" customHeight="1" thickBot="1">
      <c r="A929" s="107" t="s">
        <v>17</v>
      </c>
      <c r="B929" s="108"/>
      <c r="C929" s="108"/>
      <c r="D929" s="109"/>
    </row>
    <row r="930" spans="1:4" ht="42.75" customHeight="1" thickBot="1">
      <c r="A930" s="116" t="s">
        <v>20</v>
      </c>
      <c r="B930" s="117"/>
      <c r="C930" s="117"/>
      <c r="D930" s="118"/>
    </row>
    <row r="931" spans="1:4" ht="42.75" customHeight="1" thickBot="1">
      <c r="A931" s="113" t="s">
        <v>18</v>
      </c>
      <c r="B931" s="114"/>
      <c r="C931" s="114"/>
      <c r="D931" s="115"/>
    </row>
    <row r="932" spans="1:4" ht="42.75" customHeight="1" thickBot="1">
      <c r="A932" s="119"/>
      <c r="B932" s="119"/>
      <c r="C932" s="119"/>
      <c r="D932" s="119"/>
    </row>
    <row r="933" spans="1:4" ht="42.75" customHeight="1" thickBot="1">
      <c r="A933" s="126" t="s">
        <v>19</v>
      </c>
      <c r="B933" s="127"/>
      <c r="C933" s="127"/>
      <c r="D933" s="128"/>
    </row>
    <row r="934" spans="1:4" ht="42.75" customHeight="1" thickBot="1">
      <c r="A934" s="123" t="s">
        <v>11</v>
      </c>
      <c r="B934" s="124"/>
      <c r="C934" s="125" t="s">
        <v>603</v>
      </c>
      <c r="D934" s="124"/>
    </row>
    <row r="935" spans="1:4" ht="42.75" customHeight="1" thickBot="1">
      <c r="A935" s="1" t="s">
        <v>686</v>
      </c>
      <c r="B935" s="26" t="s">
        <v>1</v>
      </c>
      <c r="C935" s="90" t="s">
        <v>559</v>
      </c>
      <c r="D935" s="91"/>
    </row>
    <row r="936" spans="1:4" ht="42.75" customHeight="1" thickBot="1">
      <c r="A936" s="26"/>
      <c r="B936" s="26" t="s">
        <v>0</v>
      </c>
      <c r="C936" s="5" t="s">
        <v>687</v>
      </c>
      <c r="D936" s="4" t="s">
        <v>2</v>
      </c>
    </row>
    <row r="937" spans="1:4" ht="42.75" customHeight="1" thickBot="1">
      <c r="A937" s="92">
        <v>390</v>
      </c>
      <c r="B937" s="93"/>
      <c r="C937" s="94" t="s">
        <v>3</v>
      </c>
      <c r="D937" s="95"/>
    </row>
    <row r="938" spans="1:4" ht="42.75" customHeight="1" thickBot="1">
      <c r="A938" s="92">
        <v>410</v>
      </c>
      <c r="B938" s="93"/>
      <c r="C938" s="96" t="s">
        <v>4</v>
      </c>
      <c r="D938" s="97"/>
    </row>
    <row r="939" spans="1:4" ht="42.75" customHeight="1" thickBot="1">
      <c r="A939" s="98">
        <f>A938-A937</f>
        <v>20</v>
      </c>
      <c r="B939" s="99"/>
      <c r="C939" s="100" t="s">
        <v>5</v>
      </c>
      <c r="D939" s="97"/>
    </row>
    <row r="940" spans="1:4" ht="42.75" customHeight="1" thickBot="1">
      <c r="A940" s="101">
        <v>62</v>
      </c>
      <c r="B940" s="102"/>
      <c r="C940" s="96" t="s">
        <v>6</v>
      </c>
      <c r="D940" s="97"/>
    </row>
    <row r="941" spans="1:4" ht="42.75" customHeight="1" thickBot="1">
      <c r="A941" s="103"/>
      <c r="B941" s="104"/>
      <c r="C941" s="96" t="s">
        <v>21</v>
      </c>
      <c r="D941" s="97"/>
    </row>
    <row r="942" spans="1:4" ht="42.75" customHeight="1" thickBot="1">
      <c r="A942" s="105">
        <v>1250</v>
      </c>
      <c r="B942" s="106"/>
      <c r="C942" s="96" t="s">
        <v>7</v>
      </c>
      <c r="D942" s="97"/>
    </row>
    <row r="943" spans="1:4" ht="42.75" customHeight="1" thickBot="1">
      <c r="A943" s="107" t="s">
        <v>17</v>
      </c>
      <c r="B943" s="108"/>
      <c r="C943" s="108"/>
      <c r="D943" s="109"/>
    </row>
    <row r="944" spans="1:4" ht="42.75" customHeight="1" thickBot="1">
      <c r="A944" s="110" t="s">
        <v>20</v>
      </c>
      <c r="B944" s="111"/>
      <c r="C944" s="111"/>
      <c r="D944" s="112"/>
    </row>
    <row r="945" spans="1:4" ht="42.75" customHeight="1" thickBot="1">
      <c r="A945" s="113" t="s">
        <v>18</v>
      </c>
      <c r="B945" s="114"/>
      <c r="C945" s="114"/>
      <c r="D945" s="115"/>
    </row>
    <row r="946" spans="1:4" ht="42.75" customHeight="1" thickBot="1">
      <c r="A946" s="126" t="s">
        <v>19</v>
      </c>
      <c r="B946" s="127"/>
      <c r="C946" s="127"/>
      <c r="D946" s="128"/>
    </row>
    <row r="947" spans="1:4" ht="42.75" customHeight="1" thickBot="1">
      <c r="A947" s="123" t="s">
        <v>11</v>
      </c>
      <c r="B947" s="124"/>
      <c r="C947" s="125" t="s">
        <v>603</v>
      </c>
      <c r="D947" s="124"/>
    </row>
    <row r="948" spans="1:4" ht="42.75" customHeight="1" thickBot="1">
      <c r="A948" s="1" t="s">
        <v>686</v>
      </c>
      <c r="B948" s="26" t="s">
        <v>1</v>
      </c>
      <c r="C948" s="90" t="s">
        <v>193</v>
      </c>
      <c r="D948" s="91"/>
    </row>
    <row r="949" spans="1:4" ht="42.75" customHeight="1" thickBot="1">
      <c r="A949" s="26"/>
      <c r="B949" s="26" t="s">
        <v>0</v>
      </c>
      <c r="C949" s="5" t="s">
        <v>687</v>
      </c>
      <c r="D949" s="4" t="s">
        <v>2</v>
      </c>
    </row>
    <row r="950" spans="1:4" ht="42.75" customHeight="1" thickBot="1">
      <c r="A950" s="92">
        <v>2145</v>
      </c>
      <c r="B950" s="93"/>
      <c r="C950" s="94" t="s">
        <v>3</v>
      </c>
      <c r="D950" s="95"/>
    </row>
    <row r="951" spans="1:4" ht="42.75" customHeight="1" thickBot="1">
      <c r="A951" s="92">
        <v>2145</v>
      </c>
      <c r="B951" s="93"/>
      <c r="C951" s="96" t="s">
        <v>4</v>
      </c>
      <c r="D951" s="97"/>
    </row>
    <row r="952" spans="1:4" ht="42.75" customHeight="1" thickBot="1">
      <c r="A952" s="98">
        <f>A951-A950</f>
        <v>0</v>
      </c>
      <c r="B952" s="99"/>
      <c r="C952" s="100" t="s">
        <v>5</v>
      </c>
      <c r="D952" s="97"/>
    </row>
    <row r="953" spans="1:4" ht="42.75" customHeight="1" thickBot="1">
      <c r="A953" s="101">
        <v>62</v>
      </c>
      <c r="B953" s="102"/>
      <c r="C953" s="96" t="s">
        <v>6</v>
      </c>
      <c r="D953" s="97"/>
    </row>
    <row r="954" spans="1:4" ht="42.75" customHeight="1" thickBot="1">
      <c r="A954" s="103"/>
      <c r="B954" s="104"/>
      <c r="C954" s="96" t="s">
        <v>21</v>
      </c>
      <c r="D954" s="97"/>
    </row>
    <row r="955" spans="1:4" ht="42.75" customHeight="1" thickBot="1">
      <c r="A955" s="105">
        <f>A953*A952</f>
        <v>0</v>
      </c>
      <c r="B955" s="106"/>
      <c r="C955" s="96" t="s">
        <v>7</v>
      </c>
      <c r="D955" s="97"/>
    </row>
    <row r="956" spans="1:4" ht="42.75" customHeight="1" thickBot="1">
      <c r="A956" s="107" t="s">
        <v>17</v>
      </c>
      <c r="B956" s="108"/>
      <c r="C956" s="108"/>
      <c r="D956" s="109"/>
    </row>
    <row r="957" spans="1:4" ht="42.75" customHeight="1" thickBot="1">
      <c r="A957" s="116" t="s">
        <v>20</v>
      </c>
      <c r="B957" s="117"/>
      <c r="C957" s="117"/>
      <c r="D957" s="118"/>
    </row>
    <row r="958" spans="1:4" ht="42.75" customHeight="1" thickBot="1">
      <c r="A958" s="113" t="s">
        <v>18</v>
      </c>
      <c r="B958" s="114"/>
      <c r="C958" s="114"/>
      <c r="D958" s="115"/>
    </row>
    <row r="959" spans="1:4" ht="42.75" customHeight="1" thickBot="1">
      <c r="A959" s="119"/>
      <c r="B959" s="119"/>
      <c r="C959" s="119"/>
      <c r="D959" s="119"/>
    </row>
    <row r="960" spans="1:4" ht="42.75" customHeight="1" thickBot="1">
      <c r="A960" s="126" t="s">
        <v>19</v>
      </c>
      <c r="B960" s="127"/>
      <c r="C960" s="127"/>
      <c r="D960" s="128"/>
    </row>
    <row r="961" spans="1:4" ht="42.75" customHeight="1" thickBot="1">
      <c r="A961" s="123" t="s">
        <v>11</v>
      </c>
      <c r="B961" s="124"/>
      <c r="C961" s="125" t="s">
        <v>603</v>
      </c>
      <c r="D961" s="124"/>
    </row>
    <row r="962" spans="1:4" ht="42.75" customHeight="1" thickBot="1">
      <c r="A962" s="1" t="s">
        <v>686</v>
      </c>
      <c r="B962" s="26" t="s">
        <v>1</v>
      </c>
      <c r="C962" s="90" t="s">
        <v>193</v>
      </c>
      <c r="D962" s="91"/>
    </row>
    <row r="963" spans="1:4" ht="42.75" customHeight="1" thickBot="1">
      <c r="A963" s="26"/>
      <c r="B963" s="26" t="s">
        <v>0</v>
      </c>
      <c r="C963" s="5" t="s">
        <v>687</v>
      </c>
      <c r="D963" s="4" t="s">
        <v>2</v>
      </c>
    </row>
    <row r="964" spans="1:4" ht="42.75" customHeight="1" thickBot="1">
      <c r="A964" s="92">
        <v>2105</v>
      </c>
      <c r="B964" s="93"/>
      <c r="C964" s="94" t="s">
        <v>3</v>
      </c>
      <c r="D964" s="95"/>
    </row>
    <row r="965" spans="1:4" ht="42.75" customHeight="1" thickBot="1">
      <c r="A965" s="92">
        <v>2145</v>
      </c>
      <c r="B965" s="93"/>
      <c r="C965" s="96" t="s">
        <v>4</v>
      </c>
      <c r="D965" s="97"/>
    </row>
    <row r="966" spans="1:4" ht="42.75" customHeight="1" thickBot="1">
      <c r="A966" s="98">
        <f>A965-A964</f>
        <v>40</v>
      </c>
      <c r="B966" s="99"/>
      <c r="C966" s="100" t="s">
        <v>5</v>
      </c>
      <c r="D966" s="97"/>
    </row>
    <row r="967" spans="1:4" ht="42.75" customHeight="1" thickBot="1">
      <c r="A967" s="101">
        <v>62</v>
      </c>
      <c r="B967" s="102"/>
      <c r="C967" s="96" t="s">
        <v>6</v>
      </c>
      <c r="D967" s="97"/>
    </row>
    <row r="968" spans="1:4" ht="42.75" customHeight="1" thickBot="1">
      <c r="A968" s="103"/>
      <c r="B968" s="104"/>
      <c r="C968" s="96" t="s">
        <v>21</v>
      </c>
      <c r="D968" s="97"/>
    </row>
    <row r="969" spans="1:4" ht="42.75" customHeight="1" thickBot="1">
      <c r="A969" s="105">
        <v>2500</v>
      </c>
      <c r="B969" s="106"/>
      <c r="C969" s="96" t="s">
        <v>7</v>
      </c>
      <c r="D969" s="97"/>
    </row>
    <row r="970" spans="1:4" ht="42.75" customHeight="1" thickBot="1">
      <c r="A970" s="107" t="s">
        <v>17</v>
      </c>
      <c r="B970" s="108"/>
      <c r="C970" s="108"/>
      <c r="D970" s="109"/>
    </row>
    <row r="971" spans="1:4" ht="42.75" customHeight="1" thickBot="1">
      <c r="A971" s="110" t="s">
        <v>20</v>
      </c>
      <c r="B971" s="111"/>
      <c r="C971" s="111"/>
      <c r="D971" s="112"/>
    </row>
    <row r="972" spans="1:4" ht="42.75" customHeight="1" thickBot="1">
      <c r="A972" s="113" t="s">
        <v>18</v>
      </c>
      <c r="B972" s="114"/>
      <c r="C972" s="114"/>
      <c r="D972" s="115"/>
    </row>
    <row r="973" spans="1:4" ht="42.75" customHeight="1" thickBot="1">
      <c r="A973" s="126" t="s">
        <v>19</v>
      </c>
      <c r="B973" s="127"/>
      <c r="C973" s="127"/>
      <c r="D973" s="128"/>
    </row>
    <row r="974" spans="1:4" ht="42.75" customHeight="1" thickBot="1">
      <c r="A974" s="123" t="s">
        <v>11</v>
      </c>
      <c r="B974" s="124"/>
      <c r="C974" s="125" t="s">
        <v>603</v>
      </c>
      <c r="D974" s="124"/>
    </row>
    <row r="975" spans="1:4" ht="42.75" customHeight="1" thickBot="1">
      <c r="A975" s="1" t="s">
        <v>686</v>
      </c>
      <c r="B975" s="26" t="s">
        <v>1</v>
      </c>
      <c r="C975" s="90" t="s">
        <v>244</v>
      </c>
      <c r="D975" s="91"/>
    </row>
    <row r="976" spans="1:4" ht="42.75" customHeight="1" thickBot="1">
      <c r="A976" s="26"/>
      <c r="B976" s="26" t="s">
        <v>0</v>
      </c>
      <c r="C976" s="5" t="s">
        <v>687</v>
      </c>
      <c r="D976" s="4" t="s">
        <v>2</v>
      </c>
    </row>
    <row r="977" spans="1:4" ht="42.75" customHeight="1" thickBot="1">
      <c r="A977" s="92">
        <v>3300</v>
      </c>
      <c r="B977" s="93"/>
      <c r="C977" s="94" t="s">
        <v>3</v>
      </c>
      <c r="D977" s="95"/>
    </row>
    <row r="978" spans="1:4" ht="42.75" customHeight="1" thickBot="1">
      <c r="A978" s="92">
        <v>3300</v>
      </c>
      <c r="B978" s="93"/>
      <c r="C978" s="96" t="s">
        <v>4</v>
      </c>
      <c r="D978" s="97"/>
    </row>
    <row r="979" spans="1:4" ht="42.75" customHeight="1" thickBot="1">
      <c r="A979" s="98">
        <f>A978-A977</f>
        <v>0</v>
      </c>
      <c r="B979" s="99"/>
      <c r="C979" s="100" t="s">
        <v>5</v>
      </c>
      <c r="D979" s="97"/>
    </row>
    <row r="980" spans="1:4" ht="42.75" customHeight="1" thickBot="1">
      <c r="A980" s="101">
        <v>62</v>
      </c>
      <c r="B980" s="102"/>
      <c r="C980" s="96" t="s">
        <v>6</v>
      </c>
      <c r="D980" s="97"/>
    </row>
    <row r="981" spans="1:4" ht="42.75" customHeight="1" thickBot="1">
      <c r="A981" s="103"/>
      <c r="B981" s="104"/>
      <c r="C981" s="96" t="s">
        <v>21</v>
      </c>
      <c r="D981" s="97"/>
    </row>
    <row r="982" spans="1:4" ht="42.75" customHeight="1" thickBot="1">
      <c r="A982" s="105">
        <f>A980*A979</f>
        <v>0</v>
      </c>
      <c r="B982" s="106"/>
      <c r="C982" s="96" t="s">
        <v>7</v>
      </c>
      <c r="D982" s="97"/>
    </row>
    <row r="983" spans="1:4" ht="42.75" customHeight="1" thickBot="1">
      <c r="A983" s="107" t="s">
        <v>17</v>
      </c>
      <c r="B983" s="108"/>
      <c r="C983" s="108"/>
      <c r="D983" s="109"/>
    </row>
    <row r="984" spans="1:4" ht="42.75" customHeight="1" thickBot="1">
      <c r="A984" s="116" t="s">
        <v>20</v>
      </c>
      <c r="B984" s="117"/>
      <c r="C984" s="117"/>
      <c r="D984" s="118"/>
    </row>
    <row r="985" spans="1:4" ht="42.75" customHeight="1" thickBot="1">
      <c r="A985" s="113" t="s">
        <v>18</v>
      </c>
      <c r="B985" s="114"/>
      <c r="C985" s="114"/>
      <c r="D985" s="115"/>
    </row>
    <row r="986" spans="1:4" ht="42.75" customHeight="1" thickBot="1">
      <c r="A986" s="119"/>
      <c r="B986" s="119"/>
      <c r="C986" s="119"/>
      <c r="D986" s="119"/>
    </row>
    <row r="987" spans="1:4" ht="42.75" customHeight="1" thickBot="1">
      <c r="A987" s="126" t="s">
        <v>19</v>
      </c>
      <c r="B987" s="127"/>
      <c r="C987" s="127"/>
      <c r="D987" s="128"/>
    </row>
    <row r="988" spans="1:4" ht="42.75" customHeight="1" thickBot="1">
      <c r="A988" s="123" t="s">
        <v>11</v>
      </c>
      <c r="B988" s="124"/>
      <c r="C988" s="125" t="s">
        <v>603</v>
      </c>
      <c r="D988" s="124"/>
    </row>
    <row r="989" spans="1:4" ht="42.75" customHeight="1" thickBot="1">
      <c r="A989" s="1" t="s">
        <v>686</v>
      </c>
      <c r="B989" s="26" t="s">
        <v>1</v>
      </c>
      <c r="C989" s="90" t="s">
        <v>244</v>
      </c>
      <c r="D989" s="91"/>
    </row>
    <row r="990" spans="1:4" ht="42.75" customHeight="1" thickBot="1">
      <c r="A990" s="26"/>
      <c r="B990" s="26" t="s">
        <v>0</v>
      </c>
      <c r="C990" s="5" t="s">
        <v>687</v>
      </c>
      <c r="D990" s="4" t="s">
        <v>2</v>
      </c>
    </row>
    <row r="991" spans="1:4" ht="42.75" customHeight="1" thickBot="1">
      <c r="A991" s="92">
        <v>3275</v>
      </c>
      <c r="B991" s="93"/>
      <c r="C991" s="94" t="s">
        <v>3</v>
      </c>
      <c r="D991" s="95"/>
    </row>
    <row r="992" spans="1:4" ht="42.75" customHeight="1" thickBot="1">
      <c r="A992" s="92">
        <v>3300</v>
      </c>
      <c r="B992" s="93"/>
      <c r="C992" s="96" t="s">
        <v>4</v>
      </c>
      <c r="D992" s="97"/>
    </row>
    <row r="993" spans="1:4" ht="42.75" customHeight="1" thickBot="1">
      <c r="A993" s="98">
        <f>A992-A991</f>
        <v>25</v>
      </c>
      <c r="B993" s="99"/>
      <c r="C993" s="100" t="s">
        <v>5</v>
      </c>
      <c r="D993" s="97"/>
    </row>
    <row r="994" spans="1:4" ht="42.75" customHeight="1" thickBot="1">
      <c r="A994" s="101">
        <v>62</v>
      </c>
      <c r="B994" s="102"/>
      <c r="C994" s="96" t="s">
        <v>6</v>
      </c>
      <c r="D994" s="97"/>
    </row>
    <row r="995" spans="1:4" ht="42.75" customHeight="1" thickBot="1">
      <c r="A995" s="103"/>
      <c r="B995" s="104"/>
      <c r="C995" s="96" t="s">
        <v>21</v>
      </c>
      <c r="D995" s="97"/>
    </row>
    <row r="996" spans="1:4" ht="42.75" customHeight="1" thickBot="1">
      <c r="A996" s="105">
        <f>A994*A993</f>
        <v>1550</v>
      </c>
      <c r="B996" s="106"/>
      <c r="C996" s="96" t="s">
        <v>7</v>
      </c>
      <c r="D996" s="97"/>
    </row>
    <row r="997" spans="1:4" ht="42.75" customHeight="1" thickBot="1">
      <c r="A997" s="107" t="s">
        <v>17</v>
      </c>
      <c r="B997" s="108"/>
      <c r="C997" s="108"/>
      <c r="D997" s="109"/>
    </row>
    <row r="998" spans="1:4" ht="42.75" customHeight="1" thickBot="1">
      <c r="A998" s="110" t="s">
        <v>20</v>
      </c>
      <c r="B998" s="111"/>
      <c r="C998" s="111"/>
      <c r="D998" s="112"/>
    </row>
    <row r="999" spans="1:4" ht="42.75" customHeight="1" thickBot="1">
      <c r="A999" s="113" t="s">
        <v>18</v>
      </c>
      <c r="B999" s="114"/>
      <c r="C999" s="114"/>
      <c r="D999" s="115"/>
    </row>
    <row r="1000" spans="1:4" ht="42.75" customHeight="1" thickBot="1">
      <c r="A1000" s="126" t="s">
        <v>19</v>
      </c>
      <c r="B1000" s="127"/>
      <c r="C1000" s="127"/>
      <c r="D1000" s="128"/>
    </row>
    <row r="1001" spans="1:4" ht="42.75" customHeight="1" thickBot="1">
      <c r="A1001" s="123" t="s">
        <v>11</v>
      </c>
      <c r="B1001" s="124"/>
      <c r="C1001" s="125" t="s">
        <v>603</v>
      </c>
      <c r="D1001" s="124"/>
    </row>
    <row r="1002" spans="1:4" ht="42.75" customHeight="1" thickBot="1">
      <c r="A1002" s="1" t="s">
        <v>686</v>
      </c>
      <c r="B1002" s="26" t="s">
        <v>1</v>
      </c>
      <c r="C1002" s="90" t="s">
        <v>245</v>
      </c>
      <c r="D1002" s="91"/>
    </row>
    <row r="1003" spans="1:4" ht="42.75" customHeight="1" thickBot="1">
      <c r="A1003" s="26"/>
      <c r="B1003" s="26" t="s">
        <v>0</v>
      </c>
      <c r="C1003" s="5" t="s">
        <v>687</v>
      </c>
      <c r="D1003" s="4" t="s">
        <v>2</v>
      </c>
    </row>
    <row r="1004" spans="1:4" ht="42.75" customHeight="1" thickBot="1">
      <c r="A1004" s="92">
        <v>2255</v>
      </c>
      <c r="B1004" s="93"/>
      <c r="C1004" s="94" t="s">
        <v>3</v>
      </c>
      <c r="D1004" s="95"/>
    </row>
    <row r="1005" spans="1:4" ht="42.75" customHeight="1" thickBot="1">
      <c r="A1005" s="92">
        <v>2255</v>
      </c>
      <c r="B1005" s="93"/>
      <c r="C1005" s="96" t="s">
        <v>4</v>
      </c>
      <c r="D1005" s="97"/>
    </row>
    <row r="1006" spans="1:4" ht="42.75" customHeight="1" thickBot="1">
      <c r="A1006" s="98">
        <f>A1005-A1004</f>
        <v>0</v>
      </c>
      <c r="B1006" s="99"/>
      <c r="C1006" s="100" t="s">
        <v>5</v>
      </c>
      <c r="D1006" s="97"/>
    </row>
    <row r="1007" spans="1:4" ht="42.75" customHeight="1" thickBot="1">
      <c r="A1007" s="101">
        <v>62</v>
      </c>
      <c r="B1007" s="102"/>
      <c r="C1007" s="96" t="s">
        <v>6</v>
      </c>
      <c r="D1007" s="97"/>
    </row>
    <row r="1008" spans="1:4" ht="42.75" customHeight="1" thickBot="1">
      <c r="A1008" s="103"/>
      <c r="B1008" s="104"/>
      <c r="C1008" s="96" t="s">
        <v>21</v>
      </c>
      <c r="D1008" s="97"/>
    </row>
    <row r="1009" spans="1:4" ht="42.75" customHeight="1" thickBot="1">
      <c r="A1009" s="105">
        <f>A1007*A1006</f>
        <v>0</v>
      </c>
      <c r="B1009" s="106"/>
      <c r="C1009" s="96" t="s">
        <v>7</v>
      </c>
      <c r="D1009" s="97"/>
    </row>
    <row r="1010" spans="1:4" ht="42.75" customHeight="1" thickBot="1">
      <c r="A1010" s="107" t="s">
        <v>17</v>
      </c>
      <c r="B1010" s="108"/>
      <c r="C1010" s="108"/>
      <c r="D1010" s="109"/>
    </row>
    <row r="1011" spans="1:4" ht="42.75" customHeight="1" thickBot="1">
      <c r="A1011" s="116" t="s">
        <v>20</v>
      </c>
      <c r="B1011" s="117"/>
      <c r="C1011" s="117"/>
      <c r="D1011" s="118"/>
    </row>
    <row r="1012" spans="1:4" ht="42.75" customHeight="1" thickBot="1">
      <c r="A1012" s="113" t="s">
        <v>18</v>
      </c>
      <c r="B1012" s="114"/>
      <c r="C1012" s="114"/>
      <c r="D1012" s="115"/>
    </row>
    <row r="1013" spans="1:4" ht="42.75" customHeight="1" thickBot="1">
      <c r="A1013" s="119"/>
      <c r="B1013" s="119"/>
      <c r="C1013" s="119"/>
      <c r="D1013" s="119"/>
    </row>
    <row r="1014" spans="1:4" ht="42.75" customHeight="1" thickBot="1">
      <c r="A1014" s="126" t="s">
        <v>19</v>
      </c>
      <c r="B1014" s="127"/>
      <c r="C1014" s="127"/>
      <c r="D1014" s="128"/>
    </row>
    <row r="1015" spans="1:4" ht="42.75" customHeight="1" thickBot="1">
      <c r="A1015" s="123" t="s">
        <v>11</v>
      </c>
      <c r="B1015" s="124"/>
      <c r="C1015" s="125" t="s">
        <v>603</v>
      </c>
      <c r="D1015" s="124"/>
    </row>
    <row r="1016" spans="1:4" ht="42.75" customHeight="1" thickBot="1">
      <c r="A1016" s="1" t="s">
        <v>686</v>
      </c>
      <c r="B1016" s="26" t="s">
        <v>1</v>
      </c>
      <c r="C1016" s="90" t="s">
        <v>245</v>
      </c>
      <c r="D1016" s="91"/>
    </row>
    <row r="1017" spans="1:4" ht="42.75" customHeight="1" thickBot="1">
      <c r="A1017" s="26"/>
      <c r="B1017" s="26" t="s">
        <v>0</v>
      </c>
      <c r="C1017" s="5" t="s">
        <v>687</v>
      </c>
      <c r="D1017" s="4" t="s">
        <v>2</v>
      </c>
    </row>
    <row r="1018" spans="1:4" ht="42.75" customHeight="1" thickBot="1">
      <c r="A1018" s="92">
        <v>2236</v>
      </c>
      <c r="B1018" s="93"/>
      <c r="C1018" s="94" t="s">
        <v>3</v>
      </c>
      <c r="D1018" s="95"/>
    </row>
    <row r="1019" spans="1:4" ht="42.75" customHeight="1" thickBot="1">
      <c r="A1019" s="92">
        <v>2255</v>
      </c>
      <c r="B1019" s="93"/>
      <c r="C1019" s="96" t="s">
        <v>4</v>
      </c>
      <c r="D1019" s="97"/>
    </row>
    <row r="1020" spans="1:4" ht="42.75" customHeight="1" thickBot="1">
      <c r="A1020" s="98">
        <f>A1019-A1018</f>
        <v>19</v>
      </c>
      <c r="B1020" s="99"/>
      <c r="C1020" s="100" t="s">
        <v>5</v>
      </c>
      <c r="D1020" s="97"/>
    </row>
    <row r="1021" spans="1:4" ht="42.75" customHeight="1" thickBot="1">
      <c r="A1021" s="101">
        <v>62</v>
      </c>
      <c r="B1021" s="102"/>
      <c r="C1021" s="96" t="s">
        <v>6</v>
      </c>
      <c r="D1021" s="97"/>
    </row>
    <row r="1022" spans="1:4" ht="42.75" customHeight="1" thickBot="1">
      <c r="A1022" s="103"/>
      <c r="B1022" s="104"/>
      <c r="C1022" s="96" t="s">
        <v>21</v>
      </c>
      <c r="D1022" s="97"/>
    </row>
    <row r="1023" spans="1:4" ht="42.75" customHeight="1" thickBot="1">
      <c r="A1023" s="105">
        <v>1200</v>
      </c>
      <c r="B1023" s="106"/>
      <c r="C1023" s="96" t="s">
        <v>7</v>
      </c>
      <c r="D1023" s="97"/>
    </row>
    <row r="1024" spans="1:4" ht="42.75" customHeight="1" thickBot="1">
      <c r="A1024" s="107" t="s">
        <v>17</v>
      </c>
      <c r="B1024" s="108"/>
      <c r="C1024" s="108"/>
      <c r="D1024" s="109"/>
    </row>
    <row r="1025" spans="1:4" ht="42.75" customHeight="1" thickBot="1">
      <c r="A1025" s="110" t="s">
        <v>20</v>
      </c>
      <c r="B1025" s="111"/>
      <c r="C1025" s="111"/>
      <c r="D1025" s="112"/>
    </row>
    <row r="1026" spans="1:4" ht="42.75" customHeight="1" thickBot="1">
      <c r="A1026" s="113" t="s">
        <v>18</v>
      </c>
      <c r="B1026" s="114"/>
      <c r="C1026" s="114"/>
      <c r="D1026" s="115"/>
    </row>
    <row r="1027" spans="1:4" ht="42.75" customHeight="1" thickBot="1">
      <c r="A1027" s="126" t="s">
        <v>19</v>
      </c>
      <c r="B1027" s="127"/>
      <c r="C1027" s="127"/>
      <c r="D1027" s="128"/>
    </row>
    <row r="1028" spans="1:4" ht="42.75" customHeight="1" thickBot="1">
      <c r="A1028" s="123" t="s">
        <v>11</v>
      </c>
      <c r="B1028" s="124"/>
      <c r="C1028" s="125" t="s">
        <v>603</v>
      </c>
      <c r="D1028" s="124"/>
    </row>
    <row r="1029" spans="1:4" ht="42.75" customHeight="1" thickBot="1">
      <c r="A1029" s="1" t="s">
        <v>686</v>
      </c>
      <c r="B1029" s="26" t="s">
        <v>1</v>
      </c>
      <c r="C1029" s="90" t="s">
        <v>560</v>
      </c>
      <c r="D1029" s="91"/>
    </row>
    <row r="1030" spans="1:4" ht="42.75" customHeight="1" thickBot="1">
      <c r="A1030" s="26"/>
      <c r="B1030" s="26" t="s">
        <v>0</v>
      </c>
      <c r="C1030" s="5" t="s">
        <v>687</v>
      </c>
      <c r="D1030" s="4" t="s">
        <v>2</v>
      </c>
    </row>
    <row r="1031" spans="1:4" ht="42.75" customHeight="1" thickBot="1">
      <c r="A1031" s="92">
        <v>822</v>
      </c>
      <c r="B1031" s="93"/>
      <c r="C1031" s="94" t="s">
        <v>3</v>
      </c>
      <c r="D1031" s="95"/>
    </row>
    <row r="1032" spans="1:4" ht="42.75" customHeight="1" thickBot="1">
      <c r="A1032" s="92">
        <v>822</v>
      </c>
      <c r="B1032" s="93"/>
      <c r="C1032" s="96" t="s">
        <v>4</v>
      </c>
      <c r="D1032" s="97"/>
    </row>
    <row r="1033" spans="1:4" ht="42.75" customHeight="1" thickBot="1">
      <c r="A1033" s="98">
        <f>A1032-A1031</f>
        <v>0</v>
      </c>
      <c r="B1033" s="99"/>
      <c r="C1033" s="100" t="s">
        <v>5</v>
      </c>
      <c r="D1033" s="97"/>
    </row>
    <row r="1034" spans="1:4" ht="42.75" customHeight="1" thickBot="1">
      <c r="A1034" s="101">
        <v>62</v>
      </c>
      <c r="B1034" s="102"/>
      <c r="C1034" s="96" t="s">
        <v>6</v>
      </c>
      <c r="D1034" s="97"/>
    </row>
    <row r="1035" spans="1:4" ht="42.75" customHeight="1" thickBot="1">
      <c r="A1035" s="103"/>
      <c r="B1035" s="104"/>
      <c r="C1035" s="96" t="s">
        <v>21</v>
      </c>
      <c r="D1035" s="97"/>
    </row>
    <row r="1036" spans="1:4" ht="42.75" customHeight="1" thickBot="1">
      <c r="A1036" s="105">
        <f>A1034*A1033</f>
        <v>0</v>
      </c>
      <c r="B1036" s="106"/>
      <c r="C1036" s="96" t="s">
        <v>7</v>
      </c>
      <c r="D1036" s="97"/>
    </row>
    <row r="1037" spans="1:4" ht="42.75" customHeight="1" thickBot="1">
      <c r="A1037" s="107" t="s">
        <v>17</v>
      </c>
      <c r="B1037" s="108"/>
      <c r="C1037" s="108"/>
      <c r="D1037" s="109"/>
    </row>
    <row r="1038" spans="1:4" ht="42.75" customHeight="1" thickBot="1">
      <c r="A1038" s="116" t="s">
        <v>20</v>
      </c>
      <c r="B1038" s="117"/>
      <c r="C1038" s="117"/>
      <c r="D1038" s="118"/>
    </row>
    <row r="1039" spans="1:4" ht="42.75" customHeight="1" thickBot="1">
      <c r="A1039" s="113" t="s">
        <v>18</v>
      </c>
      <c r="B1039" s="114"/>
      <c r="C1039" s="114"/>
      <c r="D1039" s="115"/>
    </row>
    <row r="1040" spans="1:4" ht="42.75" customHeight="1" thickBot="1">
      <c r="A1040" s="119"/>
      <c r="B1040" s="119"/>
      <c r="C1040" s="119"/>
      <c r="D1040" s="119"/>
    </row>
    <row r="1041" spans="1:4" ht="42.75" customHeight="1" thickBot="1">
      <c r="A1041" s="126" t="s">
        <v>19</v>
      </c>
      <c r="B1041" s="127"/>
      <c r="C1041" s="127"/>
      <c r="D1041" s="128"/>
    </row>
    <row r="1042" spans="1:4" ht="42.75" customHeight="1" thickBot="1">
      <c r="A1042" s="123" t="s">
        <v>11</v>
      </c>
      <c r="B1042" s="124"/>
      <c r="C1042" s="125" t="s">
        <v>603</v>
      </c>
      <c r="D1042" s="124"/>
    </row>
    <row r="1043" spans="1:4" ht="42.75" customHeight="1" thickBot="1">
      <c r="A1043" s="1" t="s">
        <v>686</v>
      </c>
      <c r="B1043" s="26" t="s">
        <v>1</v>
      </c>
      <c r="C1043" s="90" t="s">
        <v>560</v>
      </c>
      <c r="D1043" s="91"/>
    </row>
    <row r="1044" spans="1:4" ht="42.75" customHeight="1" thickBot="1">
      <c r="A1044" s="26"/>
      <c r="B1044" s="26" t="s">
        <v>0</v>
      </c>
      <c r="C1044" s="5" t="s">
        <v>687</v>
      </c>
      <c r="D1044" s="4" t="s">
        <v>2</v>
      </c>
    </row>
    <row r="1045" spans="1:4" ht="42.75" customHeight="1" thickBot="1">
      <c r="A1045" s="92">
        <v>815</v>
      </c>
      <c r="B1045" s="93"/>
      <c r="C1045" s="94" t="s">
        <v>3</v>
      </c>
      <c r="D1045" s="95"/>
    </row>
    <row r="1046" spans="1:4" ht="42.75" customHeight="1" thickBot="1">
      <c r="A1046" s="92">
        <v>822</v>
      </c>
      <c r="B1046" s="93"/>
      <c r="C1046" s="96" t="s">
        <v>4</v>
      </c>
      <c r="D1046" s="97"/>
    </row>
    <row r="1047" spans="1:4" ht="42.75" customHeight="1" thickBot="1">
      <c r="A1047" s="98">
        <v>10</v>
      </c>
      <c r="B1047" s="99"/>
      <c r="C1047" s="100" t="s">
        <v>5</v>
      </c>
      <c r="D1047" s="97"/>
    </row>
    <row r="1048" spans="1:4" ht="42.75" customHeight="1" thickBot="1">
      <c r="A1048" s="101">
        <v>62</v>
      </c>
      <c r="B1048" s="102"/>
      <c r="C1048" s="96" t="s">
        <v>6</v>
      </c>
      <c r="D1048" s="97"/>
    </row>
    <row r="1049" spans="1:4" ht="42.75" customHeight="1" thickBot="1">
      <c r="A1049" s="103"/>
      <c r="B1049" s="104"/>
      <c r="C1049" s="96" t="s">
        <v>21</v>
      </c>
      <c r="D1049" s="97"/>
    </row>
    <row r="1050" spans="1:4" ht="42.75" customHeight="1" thickBot="1">
      <c r="A1050" s="105">
        <v>600</v>
      </c>
      <c r="B1050" s="106"/>
      <c r="C1050" s="96" t="s">
        <v>7</v>
      </c>
      <c r="D1050" s="97"/>
    </row>
    <row r="1051" spans="1:4" ht="42.75" customHeight="1" thickBot="1">
      <c r="A1051" s="107" t="s">
        <v>17</v>
      </c>
      <c r="B1051" s="108"/>
      <c r="C1051" s="108"/>
      <c r="D1051" s="109"/>
    </row>
    <row r="1052" spans="1:4" ht="42.75" customHeight="1" thickBot="1">
      <c r="A1052" s="110" t="s">
        <v>20</v>
      </c>
      <c r="B1052" s="111"/>
      <c r="C1052" s="111"/>
      <c r="D1052" s="112"/>
    </row>
    <row r="1053" spans="1:4" ht="42.75" customHeight="1" thickBot="1">
      <c r="A1053" s="113" t="s">
        <v>18</v>
      </c>
      <c r="B1053" s="114"/>
      <c r="C1053" s="114"/>
      <c r="D1053" s="115"/>
    </row>
    <row r="1054" spans="1:4" ht="42.75" customHeight="1" thickBot="1">
      <c r="A1054" s="126" t="s">
        <v>19</v>
      </c>
      <c r="B1054" s="127"/>
      <c r="C1054" s="127"/>
      <c r="D1054" s="128"/>
    </row>
    <row r="1055" spans="1:4" ht="42.75" customHeight="1" thickBot="1">
      <c r="A1055" s="123" t="s">
        <v>11</v>
      </c>
      <c r="B1055" s="124"/>
      <c r="C1055" s="125" t="s">
        <v>603</v>
      </c>
      <c r="D1055" s="124"/>
    </row>
    <row r="1056" spans="1:4" ht="42.75" customHeight="1" thickBot="1">
      <c r="A1056" s="1" t="s">
        <v>686</v>
      </c>
      <c r="B1056" s="26" t="s">
        <v>1</v>
      </c>
      <c r="C1056" s="90" t="s">
        <v>246</v>
      </c>
      <c r="D1056" s="91"/>
    </row>
    <row r="1057" spans="1:4" ht="42.75" customHeight="1" thickBot="1">
      <c r="A1057" s="26"/>
      <c r="B1057" s="26" t="s">
        <v>0</v>
      </c>
      <c r="C1057" s="5" t="s">
        <v>687</v>
      </c>
      <c r="D1057" s="4" t="s">
        <v>2</v>
      </c>
    </row>
    <row r="1058" spans="1:4" ht="42.75" customHeight="1" thickBot="1">
      <c r="A1058" s="92">
        <v>1310</v>
      </c>
      <c r="B1058" s="93"/>
      <c r="C1058" s="94" t="s">
        <v>3</v>
      </c>
      <c r="D1058" s="95"/>
    </row>
    <row r="1059" spans="1:4" ht="42.75" customHeight="1" thickBot="1">
      <c r="A1059" s="92">
        <v>1310</v>
      </c>
      <c r="B1059" s="93"/>
      <c r="C1059" s="96" t="s">
        <v>4</v>
      </c>
      <c r="D1059" s="97"/>
    </row>
    <row r="1060" spans="1:4" ht="42.75" customHeight="1" thickBot="1">
      <c r="A1060" s="98">
        <f>A1059-A1058</f>
        <v>0</v>
      </c>
      <c r="B1060" s="99"/>
      <c r="C1060" s="100" t="s">
        <v>5</v>
      </c>
      <c r="D1060" s="97"/>
    </row>
    <row r="1061" spans="1:4" ht="42.75" customHeight="1" thickBot="1">
      <c r="A1061" s="101">
        <v>62</v>
      </c>
      <c r="B1061" s="102"/>
      <c r="C1061" s="96" t="s">
        <v>6</v>
      </c>
      <c r="D1061" s="97"/>
    </row>
    <row r="1062" spans="1:4" ht="42.75" customHeight="1" thickBot="1">
      <c r="A1062" s="103"/>
      <c r="B1062" s="104"/>
      <c r="C1062" s="96" t="s">
        <v>21</v>
      </c>
      <c r="D1062" s="97"/>
    </row>
    <row r="1063" spans="1:4" ht="42.75" customHeight="1" thickBot="1">
      <c r="A1063" s="105">
        <f>A1061*A1060</f>
        <v>0</v>
      </c>
      <c r="B1063" s="106"/>
      <c r="C1063" s="96" t="s">
        <v>7</v>
      </c>
      <c r="D1063" s="97"/>
    </row>
    <row r="1064" spans="1:4" ht="42.75" customHeight="1" thickBot="1">
      <c r="A1064" s="107" t="s">
        <v>17</v>
      </c>
      <c r="B1064" s="108"/>
      <c r="C1064" s="108"/>
      <c r="D1064" s="109"/>
    </row>
    <row r="1065" spans="1:4" ht="42.75" customHeight="1" thickBot="1">
      <c r="A1065" s="116" t="s">
        <v>20</v>
      </c>
      <c r="B1065" s="117"/>
      <c r="C1065" s="117"/>
      <c r="D1065" s="118"/>
    </row>
    <row r="1066" spans="1:4" ht="42.75" customHeight="1" thickBot="1">
      <c r="A1066" s="113" t="s">
        <v>18</v>
      </c>
      <c r="B1066" s="114"/>
      <c r="C1066" s="114"/>
      <c r="D1066" s="115"/>
    </row>
    <row r="1067" spans="1:4" ht="42.75" customHeight="1" thickBot="1">
      <c r="A1067" s="119"/>
      <c r="B1067" s="119"/>
      <c r="C1067" s="119"/>
      <c r="D1067" s="119"/>
    </row>
    <row r="1068" spans="1:4" ht="42.75" customHeight="1" thickBot="1">
      <c r="A1068" s="126" t="s">
        <v>19</v>
      </c>
      <c r="B1068" s="127"/>
      <c r="C1068" s="127"/>
      <c r="D1068" s="128"/>
    </row>
    <row r="1069" spans="1:4" ht="42.75" customHeight="1" thickBot="1">
      <c r="A1069" s="123" t="s">
        <v>11</v>
      </c>
      <c r="B1069" s="124"/>
      <c r="C1069" s="125" t="s">
        <v>603</v>
      </c>
      <c r="D1069" s="124"/>
    </row>
    <row r="1070" spans="1:4" ht="42.75" customHeight="1" thickBot="1">
      <c r="A1070" s="1" t="s">
        <v>686</v>
      </c>
      <c r="B1070" s="26" t="s">
        <v>1</v>
      </c>
      <c r="C1070" s="90" t="s">
        <v>246</v>
      </c>
      <c r="D1070" s="91"/>
    </row>
    <row r="1071" spans="1:4" ht="42.75" customHeight="1" thickBot="1">
      <c r="A1071" s="26"/>
      <c r="B1071" s="26" t="s">
        <v>0</v>
      </c>
      <c r="C1071" s="5" t="s">
        <v>687</v>
      </c>
      <c r="D1071" s="4" t="s">
        <v>2</v>
      </c>
    </row>
    <row r="1072" spans="1:4" ht="42.75" customHeight="1" thickBot="1">
      <c r="A1072" s="92">
        <v>1305</v>
      </c>
      <c r="B1072" s="93"/>
      <c r="C1072" s="94" t="s">
        <v>3</v>
      </c>
      <c r="D1072" s="95"/>
    </row>
    <row r="1073" spans="1:4" ht="42.75" customHeight="1" thickBot="1">
      <c r="A1073" s="92">
        <v>1310</v>
      </c>
      <c r="B1073" s="93"/>
      <c r="C1073" s="96" t="s">
        <v>4</v>
      </c>
      <c r="D1073" s="97"/>
    </row>
    <row r="1074" spans="1:4" ht="42.75" customHeight="1" thickBot="1">
      <c r="A1074" s="98">
        <v>10</v>
      </c>
      <c r="B1074" s="99"/>
      <c r="C1074" s="100" t="s">
        <v>5</v>
      </c>
      <c r="D1074" s="97"/>
    </row>
    <row r="1075" spans="1:4" ht="42.75" customHeight="1" thickBot="1">
      <c r="A1075" s="101">
        <v>62</v>
      </c>
      <c r="B1075" s="102"/>
      <c r="C1075" s="96" t="s">
        <v>6</v>
      </c>
      <c r="D1075" s="97"/>
    </row>
    <row r="1076" spans="1:4" ht="42.75" customHeight="1" thickBot="1">
      <c r="A1076" s="103"/>
      <c r="B1076" s="104"/>
      <c r="C1076" s="96" t="s">
        <v>21</v>
      </c>
      <c r="D1076" s="97"/>
    </row>
    <row r="1077" spans="1:4" ht="42.75" customHeight="1" thickBot="1">
      <c r="A1077" s="105">
        <v>600</v>
      </c>
      <c r="B1077" s="106"/>
      <c r="C1077" s="96" t="s">
        <v>7</v>
      </c>
      <c r="D1077" s="97"/>
    </row>
    <row r="1078" spans="1:4" ht="42.75" customHeight="1" thickBot="1">
      <c r="A1078" s="107" t="s">
        <v>17</v>
      </c>
      <c r="B1078" s="108"/>
      <c r="C1078" s="108"/>
      <c r="D1078" s="109"/>
    </row>
    <row r="1079" spans="1:4" ht="42.75" customHeight="1" thickBot="1">
      <c r="A1079" s="116" t="s">
        <v>20</v>
      </c>
      <c r="B1079" s="117"/>
      <c r="C1079" s="117"/>
      <c r="D1079" s="118"/>
    </row>
    <row r="1080" spans="1:4" ht="42.75" customHeight="1" thickBot="1">
      <c r="A1080" s="113" t="s">
        <v>18</v>
      </c>
      <c r="B1080" s="114"/>
      <c r="C1080" s="114"/>
      <c r="D1080" s="115"/>
    </row>
    <row r="1081" spans="1:4" ht="42.75" customHeight="1" thickBot="1">
      <c r="A1081" s="126" t="s">
        <v>19</v>
      </c>
      <c r="B1081" s="127"/>
      <c r="C1081" s="127"/>
      <c r="D1081" s="128"/>
    </row>
    <row r="1082" spans="1:4" ht="42.75" customHeight="1" thickBot="1">
      <c r="A1082" s="123" t="s">
        <v>11</v>
      </c>
      <c r="B1082" s="124"/>
      <c r="C1082" s="125" t="s">
        <v>603</v>
      </c>
      <c r="D1082" s="124"/>
    </row>
    <row r="1083" spans="1:4" ht="42.75" customHeight="1" thickBot="1">
      <c r="A1083" s="1" t="s">
        <v>686</v>
      </c>
      <c r="B1083" s="26" t="s">
        <v>1</v>
      </c>
      <c r="C1083" s="90" t="s">
        <v>247</v>
      </c>
      <c r="D1083" s="91"/>
    </row>
    <row r="1084" spans="1:4" ht="42.75" customHeight="1" thickBot="1">
      <c r="A1084" s="26"/>
      <c r="B1084" s="26" t="s">
        <v>0</v>
      </c>
      <c r="C1084" s="5" t="s">
        <v>687</v>
      </c>
      <c r="D1084" s="4" t="s">
        <v>2</v>
      </c>
    </row>
    <row r="1085" spans="1:4" ht="42.75" customHeight="1" thickBot="1">
      <c r="A1085" s="92">
        <v>727</v>
      </c>
      <c r="B1085" s="93"/>
      <c r="C1085" s="94" t="s">
        <v>3</v>
      </c>
      <c r="D1085" s="95"/>
    </row>
    <row r="1086" spans="1:4" ht="42.75" customHeight="1" thickBot="1">
      <c r="A1086" s="92">
        <v>727</v>
      </c>
      <c r="B1086" s="93"/>
      <c r="C1086" s="96" t="s">
        <v>4</v>
      </c>
      <c r="D1086" s="97"/>
    </row>
    <row r="1087" spans="1:4" ht="42.75" customHeight="1" thickBot="1">
      <c r="A1087" s="98">
        <f>A1086-A1085</f>
        <v>0</v>
      </c>
      <c r="B1087" s="99"/>
      <c r="C1087" s="100" t="s">
        <v>5</v>
      </c>
      <c r="D1087" s="97"/>
    </row>
    <row r="1088" spans="1:4" ht="42.75" customHeight="1" thickBot="1">
      <c r="A1088" s="101">
        <v>62</v>
      </c>
      <c r="B1088" s="102"/>
      <c r="C1088" s="96" t="s">
        <v>6</v>
      </c>
      <c r="D1088" s="97"/>
    </row>
    <row r="1089" spans="1:4" ht="42.75" customHeight="1" thickBot="1">
      <c r="A1089" s="103"/>
      <c r="B1089" s="104"/>
      <c r="C1089" s="96" t="s">
        <v>21</v>
      </c>
      <c r="D1089" s="97"/>
    </row>
    <row r="1090" spans="1:4" ht="42.75" customHeight="1" thickBot="1">
      <c r="A1090" s="105">
        <f>A1088*A1087</f>
        <v>0</v>
      </c>
      <c r="B1090" s="106"/>
      <c r="C1090" s="96" t="s">
        <v>7</v>
      </c>
      <c r="D1090" s="97"/>
    </row>
    <row r="1091" spans="1:4" ht="42.75" customHeight="1" thickBot="1">
      <c r="A1091" s="107" t="s">
        <v>17</v>
      </c>
      <c r="B1091" s="108"/>
      <c r="C1091" s="108"/>
      <c r="D1091" s="109"/>
    </row>
    <row r="1092" spans="1:4" ht="42.75" customHeight="1" thickBot="1">
      <c r="A1092" s="116" t="s">
        <v>20</v>
      </c>
      <c r="B1092" s="117"/>
      <c r="C1092" s="117"/>
      <c r="D1092" s="118"/>
    </row>
    <row r="1093" spans="1:4" ht="42.75" customHeight="1" thickBot="1">
      <c r="A1093" s="113" t="s">
        <v>18</v>
      </c>
      <c r="B1093" s="114"/>
      <c r="C1093" s="114"/>
      <c r="D1093" s="115"/>
    </row>
    <row r="1094" spans="1:4" ht="42.75" customHeight="1" thickBot="1">
      <c r="A1094" s="119"/>
      <c r="B1094" s="119"/>
      <c r="C1094" s="119"/>
      <c r="D1094" s="119"/>
    </row>
    <row r="1095" spans="1:4" ht="42.75" customHeight="1" thickBot="1">
      <c r="A1095" s="126" t="s">
        <v>19</v>
      </c>
      <c r="B1095" s="127"/>
      <c r="C1095" s="127"/>
      <c r="D1095" s="128"/>
    </row>
    <row r="1096" spans="1:4" ht="42.75" customHeight="1" thickBot="1">
      <c r="A1096" s="123" t="s">
        <v>11</v>
      </c>
      <c r="B1096" s="124"/>
      <c r="C1096" s="125" t="s">
        <v>603</v>
      </c>
      <c r="D1096" s="124"/>
    </row>
    <row r="1097" spans="1:4" ht="42.75" customHeight="1" thickBot="1">
      <c r="A1097" s="1" t="s">
        <v>686</v>
      </c>
      <c r="B1097" s="26" t="s">
        <v>1</v>
      </c>
      <c r="C1097" s="90" t="s">
        <v>247</v>
      </c>
      <c r="D1097" s="91"/>
    </row>
    <row r="1098" spans="1:4" ht="42.75" customHeight="1" thickBot="1">
      <c r="A1098" s="26"/>
      <c r="B1098" s="26" t="s">
        <v>0</v>
      </c>
      <c r="C1098" s="5" t="s">
        <v>687</v>
      </c>
      <c r="D1098" s="4" t="s">
        <v>2</v>
      </c>
    </row>
    <row r="1099" spans="1:4" ht="42.75" customHeight="1" thickBot="1">
      <c r="A1099" s="92">
        <v>717</v>
      </c>
      <c r="B1099" s="93"/>
      <c r="C1099" s="94" t="s">
        <v>3</v>
      </c>
      <c r="D1099" s="95"/>
    </row>
    <row r="1100" spans="1:4" ht="42.75" customHeight="1" thickBot="1">
      <c r="A1100" s="92">
        <v>727</v>
      </c>
      <c r="B1100" s="93"/>
      <c r="C1100" s="96" t="s">
        <v>4</v>
      </c>
      <c r="D1100" s="97"/>
    </row>
    <row r="1101" spans="1:4" ht="42.75" customHeight="1" thickBot="1">
      <c r="A1101" s="98">
        <f>A1100-A1099</f>
        <v>10</v>
      </c>
      <c r="B1101" s="99"/>
      <c r="C1101" s="100" t="s">
        <v>5</v>
      </c>
      <c r="D1101" s="97"/>
    </row>
    <row r="1102" spans="1:4" ht="42.75" customHeight="1" thickBot="1">
      <c r="A1102" s="101">
        <v>62</v>
      </c>
      <c r="B1102" s="102"/>
      <c r="C1102" s="96" t="s">
        <v>6</v>
      </c>
      <c r="D1102" s="97"/>
    </row>
    <row r="1103" spans="1:4" ht="42.75" customHeight="1" thickBot="1">
      <c r="A1103" s="103"/>
      <c r="B1103" s="104"/>
      <c r="C1103" s="96" t="s">
        <v>21</v>
      </c>
      <c r="D1103" s="97"/>
    </row>
    <row r="1104" spans="1:4" ht="42.75" customHeight="1" thickBot="1">
      <c r="A1104" s="105">
        <v>600</v>
      </c>
      <c r="B1104" s="106"/>
      <c r="C1104" s="96" t="s">
        <v>7</v>
      </c>
      <c r="D1104" s="97"/>
    </row>
    <row r="1105" spans="1:4" ht="42.75" customHeight="1" thickBot="1">
      <c r="A1105" s="107" t="s">
        <v>17</v>
      </c>
      <c r="B1105" s="108"/>
      <c r="C1105" s="108"/>
      <c r="D1105" s="109"/>
    </row>
    <row r="1106" spans="1:4" ht="42.75" customHeight="1" thickBot="1">
      <c r="A1106" s="110" t="s">
        <v>20</v>
      </c>
      <c r="B1106" s="111"/>
      <c r="C1106" s="111"/>
      <c r="D1106" s="112"/>
    </row>
    <row r="1107" spans="1:4" ht="42.75" customHeight="1" thickBot="1">
      <c r="A1107" s="113" t="s">
        <v>18</v>
      </c>
      <c r="B1107" s="114"/>
      <c r="C1107" s="114"/>
      <c r="D1107" s="115"/>
    </row>
    <row r="1108" spans="1:4" ht="42.75" customHeight="1" thickBot="1">
      <c r="A1108" s="126" t="s">
        <v>19</v>
      </c>
      <c r="B1108" s="127"/>
      <c r="C1108" s="127"/>
      <c r="D1108" s="128"/>
    </row>
    <row r="1109" spans="1:4" ht="42.75" customHeight="1" thickBot="1">
      <c r="A1109" s="123" t="s">
        <v>11</v>
      </c>
      <c r="B1109" s="124"/>
      <c r="C1109" s="125" t="s">
        <v>603</v>
      </c>
      <c r="D1109" s="124"/>
    </row>
    <row r="1110" spans="1:4" ht="42.75" customHeight="1" thickBot="1">
      <c r="A1110" s="1" t="s">
        <v>686</v>
      </c>
      <c r="B1110" s="26" t="s">
        <v>1</v>
      </c>
      <c r="C1110" s="90" t="s">
        <v>248</v>
      </c>
      <c r="D1110" s="91"/>
    </row>
    <row r="1111" spans="1:4" ht="42.75" customHeight="1" thickBot="1">
      <c r="A1111" s="26"/>
      <c r="B1111" s="26" t="s">
        <v>0</v>
      </c>
      <c r="C1111" s="5" t="s">
        <v>687</v>
      </c>
      <c r="D1111" s="4" t="s">
        <v>2</v>
      </c>
    </row>
    <row r="1112" spans="1:4" ht="42.75" customHeight="1" thickBot="1">
      <c r="A1112" s="92">
        <v>3375</v>
      </c>
      <c r="B1112" s="93"/>
      <c r="C1112" s="94" t="s">
        <v>3</v>
      </c>
      <c r="D1112" s="95"/>
    </row>
    <row r="1113" spans="1:4" ht="42.75" customHeight="1" thickBot="1">
      <c r="A1113" s="92">
        <v>3375</v>
      </c>
      <c r="B1113" s="93"/>
      <c r="C1113" s="96" t="s">
        <v>4</v>
      </c>
      <c r="D1113" s="97"/>
    </row>
    <row r="1114" spans="1:4" ht="42.75" customHeight="1" thickBot="1">
      <c r="A1114" s="98">
        <f>A1113-A1112</f>
        <v>0</v>
      </c>
      <c r="B1114" s="99"/>
      <c r="C1114" s="100" t="s">
        <v>5</v>
      </c>
      <c r="D1114" s="97"/>
    </row>
    <row r="1115" spans="1:4" ht="42.75" customHeight="1" thickBot="1">
      <c r="A1115" s="101">
        <v>62</v>
      </c>
      <c r="B1115" s="102"/>
      <c r="C1115" s="96" t="s">
        <v>6</v>
      </c>
      <c r="D1115" s="97"/>
    </row>
    <row r="1116" spans="1:4" ht="42.75" customHeight="1" thickBot="1">
      <c r="A1116" s="103"/>
      <c r="B1116" s="104"/>
      <c r="C1116" s="96" t="s">
        <v>21</v>
      </c>
      <c r="D1116" s="97"/>
    </row>
    <row r="1117" spans="1:4" ht="42.75" customHeight="1" thickBot="1">
      <c r="A1117" s="105">
        <f>A1115*A1114</f>
        <v>0</v>
      </c>
      <c r="B1117" s="106"/>
      <c r="C1117" s="96" t="s">
        <v>7</v>
      </c>
      <c r="D1117" s="97"/>
    </row>
    <row r="1118" spans="1:4" ht="42.75" customHeight="1" thickBot="1">
      <c r="A1118" s="107" t="s">
        <v>17</v>
      </c>
      <c r="B1118" s="108"/>
      <c r="C1118" s="108"/>
      <c r="D1118" s="109"/>
    </row>
    <row r="1119" spans="1:4" ht="42.75" customHeight="1" thickBot="1">
      <c r="A1119" s="116" t="s">
        <v>20</v>
      </c>
      <c r="B1119" s="117"/>
      <c r="C1119" s="117"/>
      <c r="D1119" s="118"/>
    </row>
    <row r="1120" spans="1:4" ht="42.75" customHeight="1" thickBot="1">
      <c r="A1120" s="113" t="s">
        <v>18</v>
      </c>
      <c r="B1120" s="114"/>
      <c r="C1120" s="114"/>
      <c r="D1120" s="115"/>
    </row>
    <row r="1121" spans="1:4" ht="42.75" customHeight="1" thickBot="1">
      <c r="A1121" s="119"/>
      <c r="B1121" s="119"/>
      <c r="C1121" s="119"/>
      <c r="D1121" s="119"/>
    </row>
    <row r="1122" spans="1:4" ht="42.75" customHeight="1" thickBot="1">
      <c r="A1122" s="126" t="s">
        <v>19</v>
      </c>
      <c r="B1122" s="127"/>
      <c r="C1122" s="127"/>
      <c r="D1122" s="128"/>
    </row>
    <row r="1123" spans="1:4" ht="42.75" customHeight="1" thickBot="1">
      <c r="A1123" s="123" t="s">
        <v>11</v>
      </c>
      <c r="B1123" s="124"/>
      <c r="C1123" s="125" t="s">
        <v>603</v>
      </c>
      <c r="D1123" s="124"/>
    </row>
    <row r="1124" spans="1:4" ht="42.75" customHeight="1" thickBot="1">
      <c r="A1124" s="1" t="s">
        <v>686</v>
      </c>
      <c r="B1124" s="26" t="s">
        <v>1</v>
      </c>
      <c r="C1124" s="90" t="s">
        <v>248</v>
      </c>
      <c r="D1124" s="91"/>
    </row>
    <row r="1125" spans="1:4" ht="42.75" customHeight="1" thickBot="1">
      <c r="A1125" s="26"/>
      <c r="B1125" s="26" t="s">
        <v>0</v>
      </c>
      <c r="C1125" s="5" t="s">
        <v>687</v>
      </c>
      <c r="D1125" s="4" t="s">
        <v>2</v>
      </c>
    </row>
    <row r="1126" spans="1:4" ht="42.75" customHeight="1" thickBot="1">
      <c r="A1126" s="92">
        <v>3360</v>
      </c>
      <c r="B1126" s="93"/>
      <c r="C1126" s="94" t="s">
        <v>3</v>
      </c>
      <c r="D1126" s="95"/>
    </row>
    <row r="1127" spans="1:4" ht="42.75" customHeight="1" thickBot="1">
      <c r="A1127" s="92">
        <v>3375</v>
      </c>
      <c r="B1127" s="93"/>
      <c r="C1127" s="96" t="s">
        <v>4</v>
      </c>
      <c r="D1127" s="97"/>
    </row>
    <row r="1128" spans="1:4" ht="42.75" customHeight="1" thickBot="1">
      <c r="A1128" s="98">
        <f>A1127-A1126</f>
        <v>15</v>
      </c>
      <c r="B1128" s="99"/>
      <c r="C1128" s="100" t="s">
        <v>5</v>
      </c>
      <c r="D1128" s="97"/>
    </row>
    <row r="1129" spans="1:4" ht="42.75" customHeight="1" thickBot="1">
      <c r="A1129" s="101">
        <v>62</v>
      </c>
      <c r="B1129" s="102"/>
      <c r="C1129" s="96" t="s">
        <v>6</v>
      </c>
      <c r="D1129" s="97"/>
    </row>
    <row r="1130" spans="1:4" ht="42.75" customHeight="1" thickBot="1">
      <c r="A1130" s="103"/>
      <c r="B1130" s="104"/>
      <c r="C1130" s="96" t="s">
        <v>21</v>
      </c>
      <c r="D1130" s="97"/>
    </row>
    <row r="1131" spans="1:4" ht="42.75" customHeight="1" thickBot="1">
      <c r="A1131" s="105">
        <v>950</v>
      </c>
      <c r="B1131" s="106"/>
      <c r="C1131" s="96" t="s">
        <v>7</v>
      </c>
      <c r="D1131" s="97"/>
    </row>
    <row r="1132" spans="1:4" ht="42.75" customHeight="1" thickBot="1">
      <c r="A1132" s="107" t="s">
        <v>17</v>
      </c>
      <c r="B1132" s="108"/>
      <c r="C1132" s="108"/>
      <c r="D1132" s="109"/>
    </row>
    <row r="1133" spans="1:4" ht="42.75" customHeight="1" thickBot="1">
      <c r="A1133" s="110" t="s">
        <v>20</v>
      </c>
      <c r="B1133" s="111"/>
      <c r="C1133" s="111"/>
      <c r="D1133" s="112"/>
    </row>
    <row r="1134" spans="1:4" ht="42.75" customHeight="1" thickBot="1">
      <c r="A1134" s="113" t="s">
        <v>18</v>
      </c>
      <c r="B1134" s="114"/>
      <c r="C1134" s="114"/>
      <c r="D1134" s="115"/>
    </row>
    <row r="1135" spans="1:4" ht="42.75" customHeight="1" thickBot="1">
      <c r="A1135" s="126" t="s">
        <v>19</v>
      </c>
      <c r="B1135" s="127"/>
      <c r="C1135" s="127"/>
      <c r="D1135" s="128"/>
    </row>
    <row r="1136" spans="1:4" ht="42.75" customHeight="1" thickBot="1">
      <c r="A1136" s="123" t="s">
        <v>11</v>
      </c>
      <c r="B1136" s="124"/>
      <c r="C1136" s="125" t="s">
        <v>603</v>
      </c>
      <c r="D1136" s="124"/>
    </row>
    <row r="1137" spans="1:4" ht="42.75" customHeight="1" thickBot="1">
      <c r="A1137" s="1" t="s">
        <v>686</v>
      </c>
      <c r="B1137" s="26" t="s">
        <v>1</v>
      </c>
      <c r="C1137" s="90" t="s">
        <v>249</v>
      </c>
      <c r="D1137" s="91"/>
    </row>
    <row r="1138" spans="1:4" ht="42.75" customHeight="1" thickBot="1">
      <c r="A1138" s="26"/>
      <c r="B1138" s="26" t="s">
        <v>0</v>
      </c>
      <c r="C1138" s="5" t="s">
        <v>687</v>
      </c>
      <c r="D1138" s="4" t="s">
        <v>2</v>
      </c>
    </row>
    <row r="1139" spans="1:4" ht="42.75" customHeight="1" thickBot="1">
      <c r="A1139" s="92">
        <v>853</v>
      </c>
      <c r="B1139" s="93"/>
      <c r="C1139" s="94" t="s">
        <v>3</v>
      </c>
      <c r="D1139" s="95"/>
    </row>
    <row r="1140" spans="1:4" ht="42.75" customHeight="1" thickBot="1">
      <c r="A1140" s="92">
        <v>853</v>
      </c>
      <c r="B1140" s="93"/>
      <c r="C1140" s="96" t="s">
        <v>4</v>
      </c>
      <c r="D1140" s="97"/>
    </row>
    <row r="1141" spans="1:4" ht="42.75" customHeight="1" thickBot="1">
      <c r="A1141" s="98">
        <f>A1140-A1139</f>
        <v>0</v>
      </c>
      <c r="B1141" s="99"/>
      <c r="C1141" s="100" t="s">
        <v>5</v>
      </c>
      <c r="D1141" s="97"/>
    </row>
    <row r="1142" spans="1:4" ht="42.75" customHeight="1" thickBot="1">
      <c r="A1142" s="101">
        <v>62</v>
      </c>
      <c r="B1142" s="102"/>
      <c r="C1142" s="96" t="s">
        <v>6</v>
      </c>
      <c r="D1142" s="97"/>
    </row>
    <row r="1143" spans="1:4" ht="42.75" customHeight="1" thickBot="1">
      <c r="A1143" s="103"/>
      <c r="B1143" s="104"/>
      <c r="C1143" s="96" t="s">
        <v>21</v>
      </c>
      <c r="D1143" s="97"/>
    </row>
    <row r="1144" spans="1:4" ht="42.75" customHeight="1" thickBot="1">
      <c r="A1144" s="105">
        <f>A1142*A1141</f>
        <v>0</v>
      </c>
      <c r="B1144" s="106"/>
      <c r="C1144" s="96" t="s">
        <v>7</v>
      </c>
      <c r="D1144" s="97"/>
    </row>
    <row r="1145" spans="1:4" ht="42.75" customHeight="1" thickBot="1">
      <c r="A1145" s="107" t="s">
        <v>17</v>
      </c>
      <c r="B1145" s="108"/>
      <c r="C1145" s="108"/>
      <c r="D1145" s="109"/>
    </row>
    <row r="1146" spans="1:4" ht="42.75" customHeight="1" thickBot="1">
      <c r="A1146" s="116" t="s">
        <v>20</v>
      </c>
      <c r="B1146" s="117"/>
      <c r="C1146" s="117"/>
      <c r="D1146" s="118"/>
    </row>
    <row r="1147" spans="1:4" ht="42.75" customHeight="1" thickBot="1">
      <c r="A1147" s="113" t="s">
        <v>18</v>
      </c>
      <c r="B1147" s="114"/>
      <c r="C1147" s="114"/>
      <c r="D1147" s="115"/>
    </row>
    <row r="1148" spans="1:4" ht="42.75" customHeight="1" thickBot="1">
      <c r="A1148" s="119"/>
      <c r="B1148" s="119"/>
      <c r="C1148" s="119"/>
      <c r="D1148" s="119"/>
    </row>
    <row r="1149" spans="1:4" ht="42.75" customHeight="1" thickBot="1">
      <c r="A1149" s="126" t="s">
        <v>19</v>
      </c>
      <c r="B1149" s="127"/>
      <c r="C1149" s="127"/>
      <c r="D1149" s="128"/>
    </row>
    <row r="1150" spans="1:4" ht="42.75" customHeight="1" thickBot="1">
      <c r="A1150" s="123" t="s">
        <v>11</v>
      </c>
      <c r="B1150" s="124"/>
      <c r="C1150" s="125" t="s">
        <v>603</v>
      </c>
      <c r="D1150" s="124"/>
    </row>
    <row r="1151" spans="1:4" ht="42.75" customHeight="1" thickBot="1">
      <c r="A1151" s="1" t="s">
        <v>686</v>
      </c>
      <c r="B1151" s="26" t="s">
        <v>1</v>
      </c>
      <c r="C1151" s="90" t="s">
        <v>249</v>
      </c>
      <c r="D1151" s="91"/>
    </row>
    <row r="1152" spans="1:4" ht="42.75" customHeight="1" thickBot="1">
      <c r="A1152" s="26"/>
      <c r="B1152" s="26" t="s">
        <v>0</v>
      </c>
      <c r="C1152" s="5" t="s">
        <v>687</v>
      </c>
      <c r="D1152" s="4" t="s">
        <v>2</v>
      </c>
    </row>
    <row r="1153" spans="1:4" ht="42.75" customHeight="1" thickBot="1">
      <c r="A1153" s="92">
        <v>842</v>
      </c>
      <c r="B1153" s="93"/>
      <c r="C1153" s="94" t="s">
        <v>3</v>
      </c>
      <c r="D1153" s="95"/>
    </row>
    <row r="1154" spans="1:4" ht="42.75" customHeight="1" thickBot="1">
      <c r="A1154" s="92">
        <v>853</v>
      </c>
      <c r="B1154" s="93"/>
      <c r="C1154" s="96" t="s">
        <v>4</v>
      </c>
      <c r="D1154" s="97"/>
    </row>
    <row r="1155" spans="1:4" ht="42.75" customHeight="1" thickBot="1">
      <c r="A1155" s="98">
        <f>A1154-A1153</f>
        <v>11</v>
      </c>
      <c r="B1155" s="99"/>
      <c r="C1155" s="100" t="s">
        <v>5</v>
      </c>
      <c r="D1155" s="97"/>
    </row>
    <row r="1156" spans="1:4" ht="42.75" customHeight="1" thickBot="1">
      <c r="A1156" s="101">
        <v>62</v>
      </c>
      <c r="B1156" s="102"/>
      <c r="C1156" s="96" t="s">
        <v>6</v>
      </c>
      <c r="D1156" s="97"/>
    </row>
    <row r="1157" spans="1:4" ht="42.75" customHeight="1" thickBot="1">
      <c r="A1157" s="103"/>
      <c r="B1157" s="104"/>
      <c r="C1157" s="96" t="s">
        <v>21</v>
      </c>
      <c r="D1157" s="97"/>
    </row>
    <row r="1158" spans="1:4" ht="42.75" customHeight="1" thickBot="1">
      <c r="A1158" s="105">
        <v>700</v>
      </c>
      <c r="B1158" s="106"/>
      <c r="C1158" s="96" t="s">
        <v>7</v>
      </c>
      <c r="D1158" s="97"/>
    </row>
    <row r="1159" spans="1:4" ht="42.75" customHeight="1" thickBot="1">
      <c r="A1159" s="107" t="s">
        <v>17</v>
      </c>
      <c r="B1159" s="108"/>
      <c r="C1159" s="108"/>
      <c r="D1159" s="109"/>
    </row>
    <row r="1160" spans="1:4" ht="42.75" customHeight="1" thickBot="1">
      <c r="A1160" s="110" t="s">
        <v>20</v>
      </c>
      <c r="B1160" s="111"/>
      <c r="C1160" s="111"/>
      <c r="D1160" s="112"/>
    </row>
    <row r="1161" spans="1:4" ht="42.75" customHeight="1" thickBot="1">
      <c r="A1161" s="113" t="s">
        <v>18</v>
      </c>
      <c r="B1161" s="114"/>
      <c r="C1161" s="114"/>
      <c r="D1161" s="115"/>
    </row>
    <row r="1162" spans="1:4" ht="42.75" customHeight="1" thickBot="1">
      <c r="A1162" s="126" t="s">
        <v>19</v>
      </c>
      <c r="B1162" s="127"/>
      <c r="C1162" s="127"/>
      <c r="D1162" s="128"/>
    </row>
    <row r="1163" spans="1:4" ht="42.75" customHeight="1" thickBot="1">
      <c r="A1163" s="123" t="s">
        <v>11</v>
      </c>
      <c r="B1163" s="124"/>
      <c r="C1163" s="125" t="s">
        <v>603</v>
      </c>
      <c r="D1163" s="124"/>
    </row>
    <row r="1164" spans="1:4" ht="42.75" customHeight="1" thickBot="1">
      <c r="A1164" s="1" t="s">
        <v>686</v>
      </c>
      <c r="B1164" s="26" t="s">
        <v>1</v>
      </c>
      <c r="C1164" s="90" t="s">
        <v>587</v>
      </c>
      <c r="D1164" s="91"/>
    </row>
    <row r="1165" spans="1:4" ht="42.75" customHeight="1" thickBot="1">
      <c r="A1165" s="26"/>
      <c r="B1165" s="26" t="s">
        <v>0</v>
      </c>
      <c r="C1165" s="5" t="s">
        <v>687</v>
      </c>
      <c r="D1165" s="4" t="s">
        <v>2</v>
      </c>
    </row>
    <row r="1166" spans="1:4" ht="42.75" customHeight="1" thickBot="1">
      <c r="A1166" s="92">
        <v>5375</v>
      </c>
      <c r="B1166" s="93"/>
      <c r="C1166" s="94" t="s">
        <v>3</v>
      </c>
      <c r="D1166" s="95"/>
    </row>
    <row r="1167" spans="1:4" ht="42.75" customHeight="1" thickBot="1">
      <c r="A1167" s="92">
        <v>5375</v>
      </c>
      <c r="B1167" s="93"/>
      <c r="C1167" s="96" t="s">
        <v>4</v>
      </c>
      <c r="D1167" s="97"/>
    </row>
    <row r="1168" spans="1:4" ht="42.75" customHeight="1" thickBot="1">
      <c r="A1168" s="98">
        <f>A1167-A1166</f>
        <v>0</v>
      </c>
      <c r="B1168" s="99"/>
      <c r="C1168" s="100" t="s">
        <v>5</v>
      </c>
      <c r="D1168" s="97"/>
    </row>
    <row r="1169" spans="1:4" ht="42.75" customHeight="1" thickBot="1">
      <c r="A1169" s="101">
        <v>62</v>
      </c>
      <c r="B1169" s="102"/>
      <c r="C1169" s="96" t="s">
        <v>6</v>
      </c>
      <c r="D1169" s="97"/>
    </row>
    <row r="1170" spans="1:4" ht="42.75" customHeight="1" thickBot="1">
      <c r="A1170" s="103"/>
      <c r="B1170" s="104"/>
      <c r="C1170" s="96" t="s">
        <v>21</v>
      </c>
      <c r="D1170" s="97"/>
    </row>
    <row r="1171" spans="1:4" ht="42.75" customHeight="1" thickBot="1">
      <c r="A1171" s="105">
        <f>A1169*A1168</f>
        <v>0</v>
      </c>
      <c r="B1171" s="106"/>
      <c r="C1171" s="96" t="s">
        <v>7</v>
      </c>
      <c r="D1171" s="97"/>
    </row>
    <row r="1172" spans="1:4" ht="42.75" customHeight="1" thickBot="1">
      <c r="A1172" s="107" t="s">
        <v>17</v>
      </c>
      <c r="B1172" s="108"/>
      <c r="C1172" s="108"/>
      <c r="D1172" s="109"/>
    </row>
    <row r="1173" spans="1:4" ht="42.75" customHeight="1" thickBot="1">
      <c r="A1173" s="116" t="s">
        <v>20</v>
      </c>
      <c r="B1173" s="117"/>
      <c r="C1173" s="117"/>
      <c r="D1173" s="118"/>
    </row>
    <row r="1174" spans="1:4" ht="42.75" customHeight="1" thickBot="1">
      <c r="A1174" s="113" t="s">
        <v>18</v>
      </c>
      <c r="B1174" s="114"/>
      <c r="C1174" s="114"/>
      <c r="D1174" s="115"/>
    </row>
    <row r="1175" spans="1:4" ht="42.75" customHeight="1" thickBot="1">
      <c r="A1175" s="119"/>
      <c r="B1175" s="119"/>
      <c r="C1175" s="119"/>
      <c r="D1175" s="119"/>
    </row>
    <row r="1176" spans="1:4" ht="42.75" customHeight="1" thickBot="1">
      <c r="A1176" s="126" t="s">
        <v>19</v>
      </c>
      <c r="B1176" s="127"/>
      <c r="C1176" s="127"/>
      <c r="D1176" s="128"/>
    </row>
    <row r="1177" spans="1:4" ht="42.75" customHeight="1" thickBot="1">
      <c r="A1177" s="123" t="s">
        <v>11</v>
      </c>
      <c r="B1177" s="124"/>
      <c r="C1177" s="125" t="s">
        <v>603</v>
      </c>
      <c r="D1177" s="124"/>
    </row>
    <row r="1178" spans="1:4" ht="42.75" customHeight="1" thickBot="1">
      <c r="A1178" s="1" t="s">
        <v>686</v>
      </c>
      <c r="B1178" s="26" t="s">
        <v>1</v>
      </c>
      <c r="C1178" s="90" t="s">
        <v>587</v>
      </c>
      <c r="D1178" s="91"/>
    </row>
    <row r="1179" spans="1:4" ht="42.75" customHeight="1" thickBot="1">
      <c r="A1179" s="26"/>
      <c r="B1179" s="26" t="s">
        <v>0</v>
      </c>
      <c r="C1179" s="5" t="s">
        <v>687</v>
      </c>
      <c r="D1179" s="4" t="s">
        <v>2</v>
      </c>
    </row>
    <row r="1180" spans="1:4" ht="42.75" customHeight="1" thickBot="1">
      <c r="A1180" s="92">
        <v>5355</v>
      </c>
      <c r="B1180" s="93"/>
      <c r="C1180" s="94" t="s">
        <v>3</v>
      </c>
      <c r="D1180" s="95"/>
    </row>
    <row r="1181" spans="1:4" ht="42.75" customHeight="1" thickBot="1">
      <c r="A1181" s="92">
        <v>5375</v>
      </c>
      <c r="B1181" s="93"/>
      <c r="C1181" s="96" t="s">
        <v>4</v>
      </c>
      <c r="D1181" s="97"/>
    </row>
    <row r="1182" spans="1:4" ht="42.75" customHeight="1" thickBot="1">
      <c r="A1182" s="98">
        <f>A1181-A1180</f>
        <v>20</v>
      </c>
      <c r="B1182" s="99"/>
      <c r="C1182" s="100" t="s">
        <v>5</v>
      </c>
      <c r="D1182" s="97"/>
    </row>
    <row r="1183" spans="1:4" ht="42.75" customHeight="1" thickBot="1">
      <c r="A1183" s="101">
        <v>62</v>
      </c>
      <c r="B1183" s="102"/>
      <c r="C1183" s="96" t="s">
        <v>6</v>
      </c>
      <c r="D1183" s="97"/>
    </row>
    <row r="1184" spans="1:4" ht="42.75" customHeight="1" thickBot="1">
      <c r="A1184" s="103"/>
      <c r="B1184" s="104"/>
      <c r="C1184" s="96" t="s">
        <v>21</v>
      </c>
      <c r="D1184" s="97"/>
    </row>
    <row r="1185" spans="1:4" ht="42.75" customHeight="1" thickBot="1">
      <c r="A1185" s="105">
        <v>1250</v>
      </c>
      <c r="B1185" s="106"/>
      <c r="C1185" s="96" t="s">
        <v>7</v>
      </c>
      <c r="D1185" s="97"/>
    </row>
    <row r="1186" spans="1:4" ht="42.75" customHeight="1" thickBot="1">
      <c r="A1186" s="107" t="s">
        <v>17</v>
      </c>
      <c r="B1186" s="108"/>
      <c r="C1186" s="108"/>
      <c r="D1186" s="109"/>
    </row>
    <row r="1187" spans="1:4" ht="42.75" customHeight="1" thickBot="1">
      <c r="A1187" s="110" t="s">
        <v>20</v>
      </c>
      <c r="B1187" s="111"/>
      <c r="C1187" s="111"/>
      <c r="D1187" s="112"/>
    </row>
    <row r="1188" spans="1:4" ht="42.75" customHeight="1" thickBot="1">
      <c r="A1188" s="113" t="s">
        <v>18</v>
      </c>
      <c r="B1188" s="114"/>
      <c r="C1188" s="114"/>
      <c r="D1188" s="115"/>
    </row>
    <row r="1189" spans="1:4" ht="42.75" customHeight="1" thickBot="1">
      <c r="A1189" s="126" t="s">
        <v>19</v>
      </c>
      <c r="B1189" s="127"/>
      <c r="C1189" s="127"/>
      <c r="D1189" s="128"/>
    </row>
    <row r="1190" spans="1:4" ht="42.75" customHeight="1" thickBot="1">
      <c r="A1190" s="123" t="s">
        <v>11</v>
      </c>
      <c r="B1190" s="124"/>
      <c r="C1190" s="125" t="s">
        <v>603</v>
      </c>
      <c r="D1190" s="124"/>
    </row>
    <row r="1191" spans="1:4" ht="42.75" customHeight="1" thickBot="1">
      <c r="A1191" s="1" t="s">
        <v>686</v>
      </c>
      <c r="B1191" s="26" t="s">
        <v>1</v>
      </c>
      <c r="C1191" s="90" t="s">
        <v>250</v>
      </c>
      <c r="D1191" s="91"/>
    </row>
    <row r="1192" spans="1:4" ht="42.75" customHeight="1" thickBot="1">
      <c r="A1192" s="26"/>
      <c r="B1192" s="26" t="s">
        <v>0</v>
      </c>
      <c r="C1192" s="5" t="s">
        <v>687</v>
      </c>
      <c r="D1192" s="4" t="s">
        <v>2</v>
      </c>
    </row>
    <row r="1193" spans="1:4" ht="42.75" customHeight="1" thickBot="1">
      <c r="A1193" s="92">
        <v>3087</v>
      </c>
      <c r="B1193" s="93"/>
      <c r="C1193" s="94" t="s">
        <v>3</v>
      </c>
      <c r="D1193" s="95"/>
    </row>
    <row r="1194" spans="1:4" ht="42.75" customHeight="1" thickBot="1">
      <c r="A1194" s="92">
        <v>3087</v>
      </c>
      <c r="B1194" s="93"/>
      <c r="C1194" s="96" t="s">
        <v>4</v>
      </c>
      <c r="D1194" s="97"/>
    </row>
    <row r="1195" spans="1:4" ht="42.75" customHeight="1" thickBot="1">
      <c r="A1195" s="98">
        <f>A1194-A1193</f>
        <v>0</v>
      </c>
      <c r="B1195" s="99"/>
      <c r="C1195" s="100" t="s">
        <v>5</v>
      </c>
      <c r="D1195" s="97"/>
    </row>
    <row r="1196" spans="1:4" ht="42.75" customHeight="1" thickBot="1">
      <c r="A1196" s="101">
        <v>60</v>
      </c>
      <c r="B1196" s="102"/>
      <c r="C1196" s="96" t="s">
        <v>6</v>
      </c>
      <c r="D1196" s="97"/>
    </row>
    <row r="1197" spans="1:4" ht="42.75" customHeight="1" thickBot="1">
      <c r="A1197" s="103"/>
      <c r="B1197" s="104"/>
      <c r="C1197" s="96" t="s">
        <v>21</v>
      </c>
      <c r="D1197" s="97"/>
    </row>
    <row r="1198" spans="1:4" ht="42.75" customHeight="1" thickBot="1">
      <c r="A1198" s="105">
        <f>A1196*A1195</f>
        <v>0</v>
      </c>
      <c r="B1198" s="106"/>
      <c r="C1198" s="96" t="s">
        <v>7</v>
      </c>
      <c r="D1198" s="97"/>
    </row>
    <row r="1199" spans="1:4" ht="42.75" customHeight="1" thickBot="1">
      <c r="A1199" s="107" t="s">
        <v>17</v>
      </c>
      <c r="B1199" s="108"/>
      <c r="C1199" s="108"/>
      <c r="D1199" s="109"/>
    </row>
    <row r="1200" spans="1:4" ht="42.75" customHeight="1" thickBot="1">
      <c r="A1200" s="116" t="s">
        <v>20</v>
      </c>
      <c r="B1200" s="117"/>
      <c r="C1200" s="117"/>
      <c r="D1200" s="118"/>
    </row>
    <row r="1201" spans="1:4" ht="42.75" customHeight="1" thickBot="1">
      <c r="A1201" s="113" t="s">
        <v>18</v>
      </c>
      <c r="B1201" s="114"/>
      <c r="C1201" s="114"/>
      <c r="D1201" s="115"/>
    </row>
    <row r="1202" spans="1:4" ht="42.75" customHeight="1" thickBot="1">
      <c r="A1202" s="119"/>
      <c r="B1202" s="119"/>
      <c r="C1202" s="119"/>
      <c r="D1202" s="119"/>
    </row>
    <row r="1203" spans="1:4" ht="42.75" customHeight="1" thickBot="1">
      <c r="A1203" s="126" t="s">
        <v>19</v>
      </c>
      <c r="B1203" s="127"/>
      <c r="C1203" s="127"/>
      <c r="D1203" s="128"/>
    </row>
    <row r="1204" spans="1:4" ht="42.75" customHeight="1" thickBot="1">
      <c r="A1204" s="123" t="s">
        <v>11</v>
      </c>
      <c r="B1204" s="124"/>
      <c r="C1204" s="125" t="s">
        <v>603</v>
      </c>
      <c r="D1204" s="124"/>
    </row>
    <row r="1205" spans="1:4" ht="42.75" customHeight="1" thickBot="1">
      <c r="A1205" s="1" t="s">
        <v>686</v>
      </c>
      <c r="B1205" s="26" t="s">
        <v>1</v>
      </c>
      <c r="C1205" s="90" t="s">
        <v>250</v>
      </c>
      <c r="D1205" s="91"/>
    </row>
    <row r="1206" spans="1:4" ht="42.75" customHeight="1" thickBot="1">
      <c r="A1206" s="26"/>
      <c r="B1206" s="26" t="s">
        <v>0</v>
      </c>
      <c r="C1206" s="5" t="s">
        <v>687</v>
      </c>
      <c r="D1206" s="4" t="s">
        <v>2</v>
      </c>
    </row>
    <row r="1207" spans="1:4" ht="42.75" customHeight="1" thickBot="1">
      <c r="A1207" s="92">
        <v>3080</v>
      </c>
      <c r="B1207" s="93"/>
      <c r="C1207" s="94" t="s">
        <v>3</v>
      </c>
      <c r="D1207" s="95"/>
    </row>
    <row r="1208" spans="1:4" ht="42.75" customHeight="1" thickBot="1">
      <c r="A1208" s="92">
        <v>3087</v>
      </c>
      <c r="B1208" s="93"/>
      <c r="C1208" s="96" t="s">
        <v>4</v>
      </c>
      <c r="D1208" s="97"/>
    </row>
    <row r="1209" spans="1:4" ht="42.75" customHeight="1" thickBot="1">
      <c r="A1209" s="98">
        <v>10</v>
      </c>
      <c r="B1209" s="99"/>
      <c r="C1209" s="100" t="s">
        <v>5</v>
      </c>
      <c r="D1209" s="97"/>
    </row>
    <row r="1210" spans="1:4" ht="42.75" customHeight="1" thickBot="1">
      <c r="A1210" s="101">
        <v>60</v>
      </c>
      <c r="B1210" s="102"/>
      <c r="C1210" s="96" t="s">
        <v>6</v>
      </c>
      <c r="D1210" s="97"/>
    </row>
    <row r="1211" spans="1:4" ht="42.75" customHeight="1" thickBot="1">
      <c r="A1211" s="103"/>
      <c r="B1211" s="104"/>
      <c r="C1211" s="96" t="s">
        <v>21</v>
      </c>
      <c r="D1211" s="97"/>
    </row>
    <row r="1212" spans="1:4" ht="42.75" customHeight="1" thickBot="1">
      <c r="A1212" s="105">
        <f>A1210*A1209</f>
        <v>600</v>
      </c>
      <c r="B1212" s="106"/>
      <c r="C1212" s="96" t="s">
        <v>7</v>
      </c>
      <c r="D1212" s="97"/>
    </row>
    <row r="1213" spans="1:4" ht="42.75" customHeight="1" thickBot="1">
      <c r="A1213" s="107" t="s">
        <v>17</v>
      </c>
      <c r="B1213" s="108"/>
      <c r="C1213" s="108"/>
      <c r="D1213" s="109"/>
    </row>
    <row r="1214" spans="1:4" ht="42.75" customHeight="1" thickBot="1">
      <c r="A1214" s="110" t="s">
        <v>20</v>
      </c>
      <c r="B1214" s="111"/>
      <c r="C1214" s="111"/>
      <c r="D1214" s="112"/>
    </row>
    <row r="1215" spans="1:4" ht="42.75" customHeight="1" thickBot="1">
      <c r="A1215" s="113" t="s">
        <v>18</v>
      </c>
      <c r="B1215" s="114"/>
      <c r="C1215" s="114"/>
      <c r="D1215" s="115"/>
    </row>
    <row r="1216" spans="1:4" ht="42.75" customHeight="1" thickBot="1">
      <c r="A1216" s="126" t="s">
        <v>19</v>
      </c>
      <c r="B1216" s="127"/>
      <c r="C1216" s="127"/>
      <c r="D1216" s="128"/>
    </row>
    <row r="1217" spans="1:4" ht="42.75" customHeight="1" thickBot="1">
      <c r="A1217" s="123" t="s">
        <v>11</v>
      </c>
      <c r="B1217" s="124"/>
      <c r="C1217" s="125" t="s">
        <v>603</v>
      </c>
      <c r="D1217" s="124"/>
    </row>
    <row r="1218" spans="1:4" ht="42.75" customHeight="1" thickBot="1">
      <c r="A1218" s="1" t="s">
        <v>686</v>
      </c>
      <c r="B1218" s="26" t="s">
        <v>1</v>
      </c>
      <c r="C1218" s="90" t="s">
        <v>635</v>
      </c>
      <c r="D1218" s="91"/>
    </row>
    <row r="1219" spans="1:4" ht="42.75" customHeight="1" thickBot="1">
      <c r="A1219" s="26"/>
      <c r="B1219" s="26" t="s">
        <v>0</v>
      </c>
      <c r="C1219" s="5" t="s">
        <v>687</v>
      </c>
      <c r="D1219" s="4" t="s">
        <v>2</v>
      </c>
    </row>
    <row r="1220" spans="1:4" ht="42.75" customHeight="1" thickBot="1">
      <c r="A1220" s="92">
        <v>380</v>
      </c>
      <c r="B1220" s="93"/>
      <c r="C1220" s="94" t="s">
        <v>3</v>
      </c>
      <c r="D1220" s="95"/>
    </row>
    <row r="1221" spans="1:4" ht="42.75" customHeight="1" thickBot="1">
      <c r="A1221" s="92">
        <v>380</v>
      </c>
      <c r="B1221" s="93"/>
      <c r="C1221" s="96" t="s">
        <v>4</v>
      </c>
      <c r="D1221" s="97"/>
    </row>
    <row r="1222" spans="1:4" ht="42.75" customHeight="1" thickBot="1">
      <c r="A1222" s="98">
        <f>A1221-A1220</f>
        <v>0</v>
      </c>
      <c r="B1222" s="99"/>
      <c r="C1222" s="100" t="s">
        <v>5</v>
      </c>
      <c r="D1222" s="97"/>
    </row>
    <row r="1223" spans="1:4" ht="42.75" customHeight="1" thickBot="1">
      <c r="A1223" s="101">
        <v>62</v>
      </c>
      <c r="B1223" s="102"/>
      <c r="C1223" s="96" t="s">
        <v>6</v>
      </c>
      <c r="D1223" s="97"/>
    </row>
    <row r="1224" spans="1:4" ht="42.75" customHeight="1" thickBot="1">
      <c r="A1224" s="103"/>
      <c r="B1224" s="104"/>
      <c r="C1224" s="96" t="s">
        <v>21</v>
      </c>
      <c r="D1224" s="97"/>
    </row>
    <row r="1225" spans="1:4" ht="42.75" customHeight="1" thickBot="1">
      <c r="A1225" s="105">
        <f>A1223*A1222</f>
        <v>0</v>
      </c>
      <c r="B1225" s="106"/>
      <c r="C1225" s="96" t="s">
        <v>7</v>
      </c>
      <c r="D1225" s="97"/>
    </row>
    <row r="1226" spans="1:4" ht="42.75" customHeight="1" thickBot="1">
      <c r="A1226" s="107" t="s">
        <v>17</v>
      </c>
      <c r="B1226" s="108"/>
      <c r="C1226" s="108"/>
      <c r="D1226" s="109"/>
    </row>
    <row r="1227" spans="1:4" ht="42.75" customHeight="1" thickBot="1">
      <c r="A1227" s="116" t="s">
        <v>20</v>
      </c>
      <c r="B1227" s="117"/>
      <c r="C1227" s="117"/>
      <c r="D1227" s="118"/>
    </row>
    <row r="1228" spans="1:4" ht="42.75" customHeight="1" thickBot="1">
      <c r="A1228" s="113" t="s">
        <v>18</v>
      </c>
      <c r="B1228" s="114"/>
      <c r="C1228" s="114"/>
      <c r="D1228" s="115"/>
    </row>
    <row r="1229" spans="1:4" ht="42.75" customHeight="1" thickBot="1">
      <c r="A1229" s="119"/>
      <c r="B1229" s="119"/>
      <c r="C1229" s="119"/>
      <c r="D1229" s="119"/>
    </row>
    <row r="1230" spans="1:4" ht="42.75" customHeight="1" thickBot="1">
      <c r="A1230" s="126" t="s">
        <v>19</v>
      </c>
      <c r="B1230" s="127"/>
      <c r="C1230" s="127"/>
      <c r="D1230" s="128"/>
    </row>
    <row r="1231" spans="1:4" ht="42.75" customHeight="1" thickBot="1">
      <c r="A1231" s="123" t="s">
        <v>11</v>
      </c>
      <c r="B1231" s="124"/>
      <c r="C1231" s="125" t="s">
        <v>603</v>
      </c>
      <c r="D1231" s="124"/>
    </row>
    <row r="1232" spans="1:4" ht="42.75" customHeight="1" thickBot="1">
      <c r="A1232" s="1" t="s">
        <v>686</v>
      </c>
      <c r="B1232" s="26" t="s">
        <v>1</v>
      </c>
      <c r="C1232" s="90" t="s">
        <v>635</v>
      </c>
      <c r="D1232" s="91"/>
    </row>
    <row r="1233" spans="1:4" ht="42.75" customHeight="1" thickBot="1">
      <c r="A1233" s="26"/>
      <c r="B1233" s="26" t="s">
        <v>0</v>
      </c>
      <c r="C1233" s="5" t="s">
        <v>687</v>
      </c>
      <c r="D1233" s="4" t="s">
        <v>2</v>
      </c>
    </row>
    <row r="1234" spans="1:4" ht="42.75" customHeight="1" thickBot="1">
      <c r="A1234" s="92">
        <v>370</v>
      </c>
      <c r="B1234" s="93"/>
      <c r="C1234" s="94" t="s">
        <v>3</v>
      </c>
      <c r="D1234" s="95"/>
    </row>
    <row r="1235" spans="1:4" ht="42.75" customHeight="1" thickBot="1">
      <c r="A1235" s="92">
        <v>380</v>
      </c>
      <c r="B1235" s="93"/>
      <c r="C1235" s="96" t="s">
        <v>4</v>
      </c>
      <c r="D1235" s="97"/>
    </row>
    <row r="1236" spans="1:4" ht="42.75" customHeight="1" thickBot="1">
      <c r="A1236" s="98">
        <f>A1235-A1234</f>
        <v>10</v>
      </c>
      <c r="B1236" s="99"/>
      <c r="C1236" s="100" t="s">
        <v>5</v>
      </c>
      <c r="D1236" s="97"/>
    </row>
    <row r="1237" spans="1:4" ht="42.75" customHeight="1" thickBot="1">
      <c r="A1237" s="101">
        <v>62</v>
      </c>
      <c r="B1237" s="102"/>
      <c r="C1237" s="96" t="s">
        <v>6</v>
      </c>
      <c r="D1237" s="97"/>
    </row>
    <row r="1238" spans="1:4" ht="42.75" customHeight="1" thickBot="1">
      <c r="A1238" s="103"/>
      <c r="B1238" s="104"/>
      <c r="C1238" s="96" t="s">
        <v>21</v>
      </c>
      <c r="D1238" s="97"/>
    </row>
    <row r="1239" spans="1:4" ht="42.75" customHeight="1" thickBot="1">
      <c r="A1239" s="105">
        <v>600</v>
      </c>
      <c r="B1239" s="106"/>
      <c r="C1239" s="96" t="s">
        <v>7</v>
      </c>
      <c r="D1239" s="97"/>
    </row>
    <row r="1240" spans="1:4" ht="42.75" customHeight="1" thickBot="1">
      <c r="A1240" s="107" t="s">
        <v>17</v>
      </c>
      <c r="B1240" s="108"/>
      <c r="C1240" s="108"/>
      <c r="D1240" s="109"/>
    </row>
    <row r="1241" spans="1:4" ht="42.75" customHeight="1" thickBot="1">
      <c r="A1241" s="110" t="s">
        <v>20</v>
      </c>
      <c r="B1241" s="111"/>
      <c r="C1241" s="111"/>
      <c r="D1241" s="112"/>
    </row>
    <row r="1242" spans="1:4" ht="42.75" customHeight="1" thickBot="1">
      <c r="A1242" s="113" t="s">
        <v>18</v>
      </c>
      <c r="B1242" s="114"/>
      <c r="C1242" s="114"/>
      <c r="D1242" s="115"/>
    </row>
    <row r="1243" spans="1:4" ht="42.75" customHeight="1" thickBot="1">
      <c r="A1243" s="126" t="s">
        <v>19</v>
      </c>
      <c r="B1243" s="127"/>
      <c r="C1243" s="127"/>
      <c r="D1243" s="128"/>
    </row>
    <row r="1244" spans="1:4" ht="42.75" customHeight="1" thickBot="1">
      <c r="A1244" s="123" t="s">
        <v>11</v>
      </c>
      <c r="B1244" s="124"/>
      <c r="C1244" s="125" t="s">
        <v>603</v>
      </c>
      <c r="D1244" s="124"/>
    </row>
    <row r="1245" spans="1:4" ht="42.75" customHeight="1" thickBot="1">
      <c r="A1245" s="1" t="s">
        <v>686</v>
      </c>
      <c r="B1245" s="26" t="s">
        <v>1</v>
      </c>
      <c r="C1245" s="90" t="s">
        <v>251</v>
      </c>
      <c r="D1245" s="91"/>
    </row>
    <row r="1246" spans="1:4" ht="42.75" customHeight="1" thickBot="1">
      <c r="A1246" s="26"/>
      <c r="B1246" s="26" t="s">
        <v>0</v>
      </c>
      <c r="C1246" s="5" t="s">
        <v>687</v>
      </c>
      <c r="D1246" s="4" t="s">
        <v>2</v>
      </c>
    </row>
    <row r="1247" spans="1:4" ht="42.75" customHeight="1" thickBot="1">
      <c r="A1247" s="92">
        <v>390</v>
      </c>
      <c r="B1247" s="93"/>
      <c r="C1247" s="94" t="s">
        <v>3</v>
      </c>
      <c r="D1247" s="95"/>
    </row>
    <row r="1248" spans="1:4" ht="42.75" customHeight="1" thickBot="1">
      <c r="A1248" s="92">
        <v>390</v>
      </c>
      <c r="B1248" s="93"/>
      <c r="C1248" s="96" t="s">
        <v>4</v>
      </c>
      <c r="D1248" s="97"/>
    </row>
    <row r="1249" spans="1:4" ht="42.75" customHeight="1" thickBot="1">
      <c r="A1249" s="98">
        <f>A1248-A1247</f>
        <v>0</v>
      </c>
      <c r="B1249" s="99"/>
      <c r="C1249" s="100" t="s">
        <v>5</v>
      </c>
      <c r="D1249" s="97"/>
    </row>
    <row r="1250" spans="1:4" ht="42.75" customHeight="1" thickBot="1">
      <c r="A1250" s="101">
        <v>62</v>
      </c>
      <c r="B1250" s="102"/>
      <c r="C1250" s="96" t="s">
        <v>6</v>
      </c>
      <c r="D1250" s="97"/>
    </row>
    <row r="1251" spans="1:4" ht="42.75" customHeight="1" thickBot="1">
      <c r="A1251" s="103"/>
      <c r="B1251" s="104"/>
      <c r="C1251" s="96" t="s">
        <v>21</v>
      </c>
      <c r="D1251" s="97"/>
    </row>
    <row r="1252" spans="1:4" ht="42.75" customHeight="1" thickBot="1">
      <c r="A1252" s="105">
        <f>A1250*A1249</f>
        <v>0</v>
      </c>
      <c r="B1252" s="106"/>
      <c r="C1252" s="96" t="s">
        <v>7</v>
      </c>
      <c r="D1252" s="97"/>
    </row>
    <row r="1253" spans="1:4" ht="42.75" customHeight="1" thickBot="1">
      <c r="A1253" s="107" t="s">
        <v>17</v>
      </c>
      <c r="B1253" s="108"/>
      <c r="C1253" s="108"/>
      <c r="D1253" s="109"/>
    </row>
    <row r="1254" spans="1:4" ht="42.75" customHeight="1" thickBot="1">
      <c r="A1254" s="116" t="s">
        <v>20</v>
      </c>
      <c r="B1254" s="117"/>
      <c r="C1254" s="117"/>
      <c r="D1254" s="118"/>
    </row>
    <row r="1255" spans="1:4" ht="42.75" customHeight="1" thickBot="1">
      <c r="A1255" s="113" t="s">
        <v>18</v>
      </c>
      <c r="B1255" s="114"/>
      <c r="C1255" s="114"/>
      <c r="D1255" s="115"/>
    </row>
    <row r="1256" spans="1:4" ht="42.75" customHeight="1" thickBot="1">
      <c r="A1256" s="119"/>
      <c r="B1256" s="119"/>
      <c r="C1256" s="119"/>
      <c r="D1256" s="119"/>
    </row>
    <row r="1257" spans="1:4" ht="42.75" customHeight="1" thickBot="1">
      <c r="A1257" s="126" t="s">
        <v>19</v>
      </c>
      <c r="B1257" s="127"/>
      <c r="C1257" s="127"/>
      <c r="D1257" s="128"/>
    </row>
    <row r="1258" spans="1:4" ht="42.75" customHeight="1" thickBot="1">
      <c r="A1258" s="123" t="s">
        <v>11</v>
      </c>
      <c r="B1258" s="124"/>
      <c r="C1258" s="125" t="s">
        <v>603</v>
      </c>
      <c r="D1258" s="124"/>
    </row>
    <row r="1259" spans="1:4" ht="42.75" customHeight="1" thickBot="1">
      <c r="A1259" s="1" t="s">
        <v>686</v>
      </c>
      <c r="B1259" s="26" t="s">
        <v>1</v>
      </c>
      <c r="C1259" s="90" t="s">
        <v>251</v>
      </c>
      <c r="D1259" s="91"/>
    </row>
    <row r="1260" spans="1:4" ht="42.75" customHeight="1" thickBot="1">
      <c r="A1260" s="26"/>
      <c r="B1260" s="26" t="s">
        <v>0</v>
      </c>
      <c r="C1260" s="5" t="s">
        <v>687</v>
      </c>
      <c r="D1260" s="4" t="s">
        <v>2</v>
      </c>
    </row>
    <row r="1261" spans="1:4" ht="42.75" customHeight="1" thickBot="1">
      <c r="A1261" s="92">
        <v>382</v>
      </c>
      <c r="B1261" s="93"/>
      <c r="C1261" s="94" t="s">
        <v>3</v>
      </c>
      <c r="D1261" s="95"/>
    </row>
    <row r="1262" spans="1:4" ht="42.75" customHeight="1" thickBot="1">
      <c r="A1262" s="92">
        <v>390</v>
      </c>
      <c r="B1262" s="93"/>
      <c r="C1262" s="96" t="s">
        <v>4</v>
      </c>
      <c r="D1262" s="97"/>
    </row>
    <row r="1263" spans="1:4" ht="42.75" customHeight="1" thickBot="1">
      <c r="A1263" s="98">
        <f>A1262-A1261</f>
        <v>8</v>
      </c>
      <c r="B1263" s="99"/>
      <c r="C1263" s="100" t="s">
        <v>5</v>
      </c>
      <c r="D1263" s="97"/>
    </row>
    <row r="1264" spans="1:4" ht="42.75" customHeight="1" thickBot="1">
      <c r="A1264" s="101">
        <v>62</v>
      </c>
      <c r="B1264" s="102"/>
      <c r="C1264" s="96" t="s">
        <v>6</v>
      </c>
      <c r="D1264" s="97"/>
    </row>
    <row r="1265" spans="1:4" ht="42.75" customHeight="1" thickBot="1">
      <c r="A1265" s="103"/>
      <c r="B1265" s="104"/>
      <c r="C1265" s="96" t="s">
        <v>21</v>
      </c>
      <c r="D1265" s="97"/>
    </row>
    <row r="1266" spans="1:4" ht="42.75" customHeight="1" thickBot="1">
      <c r="A1266" s="105">
        <v>500</v>
      </c>
      <c r="B1266" s="106"/>
      <c r="C1266" s="96" t="s">
        <v>7</v>
      </c>
      <c r="D1266" s="97"/>
    </row>
    <row r="1267" spans="1:4" ht="42.75" customHeight="1" thickBot="1">
      <c r="A1267" s="107" t="s">
        <v>17</v>
      </c>
      <c r="B1267" s="108"/>
      <c r="C1267" s="108"/>
      <c r="D1267" s="109"/>
    </row>
    <row r="1268" spans="1:4" ht="42.75" customHeight="1" thickBot="1">
      <c r="A1268" s="110" t="s">
        <v>20</v>
      </c>
      <c r="B1268" s="111"/>
      <c r="C1268" s="111"/>
      <c r="D1268" s="112"/>
    </row>
    <row r="1269" spans="1:4" ht="42.75" customHeight="1" thickBot="1">
      <c r="A1269" s="113" t="s">
        <v>18</v>
      </c>
      <c r="B1269" s="114"/>
      <c r="C1269" s="114"/>
      <c r="D1269" s="115"/>
    </row>
    <row r="1270" spans="1:4" ht="42.75" customHeight="1" thickBot="1">
      <c r="A1270" s="126" t="s">
        <v>19</v>
      </c>
      <c r="B1270" s="127"/>
      <c r="C1270" s="127"/>
      <c r="D1270" s="128"/>
    </row>
    <row r="1271" spans="1:4" ht="42.75" customHeight="1" thickBot="1">
      <c r="A1271" s="123" t="s">
        <v>11</v>
      </c>
      <c r="B1271" s="124"/>
      <c r="C1271" s="125" t="s">
        <v>603</v>
      </c>
      <c r="D1271" s="124"/>
    </row>
    <row r="1272" spans="1:4" ht="42.75" customHeight="1" thickBot="1">
      <c r="A1272" s="1" t="s">
        <v>686</v>
      </c>
      <c r="B1272" s="26" t="s">
        <v>1</v>
      </c>
      <c r="C1272" s="90" t="s">
        <v>252</v>
      </c>
      <c r="D1272" s="91"/>
    </row>
    <row r="1273" spans="1:4" ht="42.75" customHeight="1" thickBot="1">
      <c r="A1273" s="26"/>
      <c r="B1273" s="26" t="s">
        <v>0</v>
      </c>
      <c r="C1273" s="5" t="s">
        <v>687</v>
      </c>
      <c r="D1273" s="4" t="s">
        <v>2</v>
      </c>
    </row>
    <row r="1274" spans="1:4" ht="42.75" customHeight="1" thickBot="1">
      <c r="A1274" s="92">
        <v>4270</v>
      </c>
      <c r="B1274" s="93"/>
      <c r="C1274" s="94" t="s">
        <v>3</v>
      </c>
      <c r="D1274" s="95"/>
    </row>
    <row r="1275" spans="1:4" ht="42.75" customHeight="1" thickBot="1">
      <c r="A1275" s="92">
        <v>4270</v>
      </c>
      <c r="B1275" s="93"/>
      <c r="C1275" s="96" t="s">
        <v>4</v>
      </c>
      <c r="D1275" s="97"/>
    </row>
    <row r="1276" spans="1:4" ht="42.75" customHeight="1" thickBot="1">
      <c r="A1276" s="98">
        <f>A1275-A1274</f>
        <v>0</v>
      </c>
      <c r="B1276" s="99"/>
      <c r="C1276" s="100" t="s">
        <v>5</v>
      </c>
      <c r="D1276" s="97"/>
    </row>
    <row r="1277" spans="1:4" ht="42.75" customHeight="1" thickBot="1">
      <c r="A1277" s="101">
        <v>50</v>
      </c>
      <c r="B1277" s="102"/>
      <c r="C1277" s="96" t="s">
        <v>6</v>
      </c>
      <c r="D1277" s="97"/>
    </row>
    <row r="1278" spans="1:4" ht="42.75" customHeight="1" thickBot="1">
      <c r="A1278" s="103"/>
      <c r="B1278" s="104"/>
      <c r="C1278" s="96" t="s">
        <v>21</v>
      </c>
      <c r="D1278" s="97"/>
    </row>
    <row r="1279" spans="1:4" ht="42.75" customHeight="1" thickBot="1">
      <c r="A1279" s="105">
        <f>A1277*A1276</f>
        <v>0</v>
      </c>
      <c r="B1279" s="106"/>
      <c r="C1279" s="96" t="s">
        <v>7</v>
      </c>
      <c r="D1279" s="97"/>
    </row>
    <row r="1280" spans="1:4" ht="42.75" customHeight="1" thickBot="1">
      <c r="A1280" s="107" t="s">
        <v>17</v>
      </c>
      <c r="B1280" s="108"/>
      <c r="C1280" s="108"/>
      <c r="D1280" s="109"/>
    </row>
    <row r="1281" spans="1:4" ht="42.75" customHeight="1" thickBot="1">
      <c r="A1281" s="116" t="s">
        <v>20</v>
      </c>
      <c r="B1281" s="117"/>
      <c r="C1281" s="117"/>
      <c r="D1281" s="118"/>
    </row>
    <row r="1282" spans="1:4" ht="42.75" customHeight="1" thickBot="1">
      <c r="A1282" s="113" t="s">
        <v>18</v>
      </c>
      <c r="B1282" s="114"/>
      <c r="C1282" s="114"/>
      <c r="D1282" s="115"/>
    </row>
    <row r="1283" spans="1:4" ht="42.75" customHeight="1" thickBot="1">
      <c r="A1283" s="119"/>
      <c r="B1283" s="119"/>
      <c r="C1283" s="119"/>
      <c r="D1283" s="119"/>
    </row>
    <row r="1284" spans="1:4" ht="42.75" customHeight="1" thickBot="1">
      <c r="A1284" s="126" t="s">
        <v>19</v>
      </c>
      <c r="B1284" s="127"/>
      <c r="C1284" s="127"/>
      <c r="D1284" s="128"/>
    </row>
    <row r="1285" spans="1:4" ht="42.75" customHeight="1" thickBot="1">
      <c r="A1285" s="123" t="s">
        <v>11</v>
      </c>
      <c r="B1285" s="124"/>
      <c r="C1285" s="125" t="s">
        <v>603</v>
      </c>
      <c r="D1285" s="124"/>
    </row>
    <row r="1286" spans="1:4" ht="42.75" customHeight="1" thickBot="1">
      <c r="A1286" s="1" t="s">
        <v>686</v>
      </c>
      <c r="B1286" s="26" t="s">
        <v>1</v>
      </c>
      <c r="C1286" s="90" t="s">
        <v>252</v>
      </c>
      <c r="D1286" s="91"/>
    </row>
    <row r="1287" spans="1:4" ht="42.75" customHeight="1" thickBot="1">
      <c r="A1287" s="26"/>
      <c r="B1287" s="26" t="s">
        <v>0</v>
      </c>
      <c r="C1287" s="5" t="s">
        <v>687</v>
      </c>
      <c r="D1287" s="4" t="s">
        <v>2</v>
      </c>
    </row>
    <row r="1288" spans="1:4" ht="42.75" customHeight="1" thickBot="1">
      <c r="A1288" s="92">
        <v>4185</v>
      </c>
      <c r="B1288" s="93"/>
      <c r="C1288" s="94" t="s">
        <v>3</v>
      </c>
      <c r="D1288" s="95"/>
    </row>
    <row r="1289" spans="1:4" ht="42.75" customHeight="1" thickBot="1">
      <c r="A1289" s="92">
        <v>4270</v>
      </c>
      <c r="B1289" s="93"/>
      <c r="C1289" s="96" t="s">
        <v>4</v>
      </c>
      <c r="D1289" s="97"/>
    </row>
    <row r="1290" spans="1:4" ht="42.75" customHeight="1" thickBot="1">
      <c r="A1290" s="98">
        <f>A1289-A1288</f>
        <v>85</v>
      </c>
      <c r="B1290" s="99"/>
      <c r="C1290" s="100" t="s">
        <v>5</v>
      </c>
      <c r="D1290" s="97"/>
    </row>
    <row r="1291" spans="1:4" ht="42.75" customHeight="1" thickBot="1">
      <c r="A1291" s="101">
        <v>50</v>
      </c>
      <c r="B1291" s="102"/>
      <c r="C1291" s="96" t="s">
        <v>6</v>
      </c>
      <c r="D1291" s="97"/>
    </row>
    <row r="1292" spans="1:4" ht="42.75" customHeight="1" thickBot="1">
      <c r="A1292" s="103"/>
      <c r="B1292" s="104"/>
      <c r="C1292" s="96" t="s">
        <v>21</v>
      </c>
      <c r="D1292" s="97"/>
    </row>
    <row r="1293" spans="1:4" ht="42.75" customHeight="1" thickBot="1">
      <c r="A1293" s="105">
        <f>A1291*A1290</f>
        <v>4250</v>
      </c>
      <c r="B1293" s="106"/>
      <c r="C1293" s="96" t="s">
        <v>7</v>
      </c>
      <c r="D1293" s="97"/>
    </row>
    <row r="1294" spans="1:4" ht="42.75" customHeight="1" thickBot="1">
      <c r="A1294" s="107" t="s">
        <v>17</v>
      </c>
      <c r="B1294" s="108"/>
      <c r="C1294" s="108"/>
      <c r="D1294" s="109"/>
    </row>
    <row r="1295" spans="1:4" ht="42.75" customHeight="1" thickBot="1">
      <c r="A1295" s="110" t="s">
        <v>20</v>
      </c>
      <c r="B1295" s="111"/>
      <c r="C1295" s="111"/>
      <c r="D1295" s="112"/>
    </row>
    <row r="1296" spans="1:4" ht="42.75" customHeight="1" thickBot="1">
      <c r="A1296" s="113" t="s">
        <v>18</v>
      </c>
      <c r="B1296" s="114"/>
      <c r="C1296" s="114"/>
      <c r="D1296" s="115"/>
    </row>
    <row r="1297" spans="1:4" ht="42.75" customHeight="1" thickBot="1">
      <c r="A1297" s="126" t="s">
        <v>19</v>
      </c>
      <c r="B1297" s="127"/>
      <c r="C1297" s="127"/>
      <c r="D1297" s="128"/>
    </row>
    <row r="1298" spans="1:4" ht="42.75" customHeight="1" thickBot="1">
      <c r="A1298" s="123" t="s">
        <v>11</v>
      </c>
      <c r="B1298" s="124"/>
      <c r="C1298" s="125" t="s">
        <v>603</v>
      </c>
      <c r="D1298" s="124"/>
    </row>
    <row r="1299" spans="1:4" ht="42.75" customHeight="1" thickBot="1">
      <c r="A1299" s="1" t="s">
        <v>686</v>
      </c>
      <c r="B1299" s="26" t="s">
        <v>1</v>
      </c>
      <c r="C1299" s="90" t="s">
        <v>253</v>
      </c>
      <c r="D1299" s="91"/>
    </row>
    <row r="1300" spans="1:4" ht="42.75" customHeight="1" thickBot="1">
      <c r="A1300" s="26"/>
      <c r="B1300" s="26" t="s">
        <v>0</v>
      </c>
      <c r="C1300" s="5" t="s">
        <v>687</v>
      </c>
      <c r="D1300" s="4" t="s">
        <v>2</v>
      </c>
    </row>
    <row r="1301" spans="1:4" ht="42.75" customHeight="1" thickBot="1">
      <c r="A1301" s="92">
        <v>13830</v>
      </c>
      <c r="B1301" s="93"/>
      <c r="C1301" s="94" t="s">
        <v>3</v>
      </c>
      <c r="D1301" s="95"/>
    </row>
    <row r="1302" spans="1:4" ht="42.75" customHeight="1" thickBot="1">
      <c r="A1302" s="92">
        <v>13830</v>
      </c>
      <c r="B1302" s="93"/>
      <c r="C1302" s="96" t="s">
        <v>4</v>
      </c>
      <c r="D1302" s="97"/>
    </row>
    <row r="1303" spans="1:4" ht="42.75" customHeight="1" thickBot="1">
      <c r="A1303" s="98">
        <f>A1302-A1301</f>
        <v>0</v>
      </c>
      <c r="B1303" s="99"/>
      <c r="C1303" s="100" t="s">
        <v>5</v>
      </c>
      <c r="D1303" s="97"/>
    </row>
    <row r="1304" spans="1:4" ht="42.75" customHeight="1" thickBot="1">
      <c r="A1304" s="101">
        <v>50</v>
      </c>
      <c r="B1304" s="102"/>
      <c r="C1304" s="96" t="s">
        <v>6</v>
      </c>
      <c r="D1304" s="97"/>
    </row>
    <row r="1305" spans="1:4" ht="42.75" customHeight="1" thickBot="1">
      <c r="A1305" s="103"/>
      <c r="B1305" s="104"/>
      <c r="C1305" s="96" t="s">
        <v>21</v>
      </c>
      <c r="D1305" s="97"/>
    </row>
    <row r="1306" spans="1:4" ht="42.75" customHeight="1" thickBot="1">
      <c r="A1306" s="105">
        <f>A1304*A1303</f>
        <v>0</v>
      </c>
      <c r="B1306" s="106"/>
      <c r="C1306" s="96" t="s">
        <v>7</v>
      </c>
      <c r="D1306" s="97"/>
    </row>
    <row r="1307" spans="1:4" ht="42.75" customHeight="1" thickBot="1">
      <c r="A1307" s="107" t="s">
        <v>17</v>
      </c>
      <c r="B1307" s="108"/>
      <c r="C1307" s="108"/>
      <c r="D1307" s="109"/>
    </row>
    <row r="1308" spans="1:4" ht="42.75" customHeight="1" thickBot="1">
      <c r="A1308" s="116" t="s">
        <v>20</v>
      </c>
      <c r="B1308" s="117"/>
      <c r="C1308" s="117"/>
      <c r="D1308" s="118"/>
    </row>
    <row r="1309" spans="1:4" ht="42.75" customHeight="1" thickBot="1">
      <c r="A1309" s="113" t="s">
        <v>18</v>
      </c>
      <c r="B1309" s="114"/>
      <c r="C1309" s="114"/>
      <c r="D1309" s="115"/>
    </row>
    <row r="1310" spans="1:4" ht="42.75" customHeight="1" thickBot="1">
      <c r="A1310" s="119"/>
      <c r="B1310" s="119"/>
      <c r="C1310" s="119"/>
      <c r="D1310" s="119"/>
    </row>
    <row r="1311" spans="1:4" ht="42.75" customHeight="1" thickBot="1">
      <c r="A1311" s="126" t="s">
        <v>19</v>
      </c>
      <c r="B1311" s="127"/>
      <c r="C1311" s="127"/>
      <c r="D1311" s="128"/>
    </row>
    <row r="1312" spans="1:4" ht="42.75" customHeight="1" thickBot="1">
      <c r="A1312" s="123" t="s">
        <v>11</v>
      </c>
      <c r="B1312" s="124"/>
      <c r="C1312" s="125" t="s">
        <v>603</v>
      </c>
      <c r="D1312" s="124"/>
    </row>
    <row r="1313" spans="1:4" ht="42.75" customHeight="1" thickBot="1">
      <c r="A1313" s="1" t="s">
        <v>686</v>
      </c>
      <c r="B1313" s="26" t="s">
        <v>1</v>
      </c>
      <c r="C1313" s="90" t="s">
        <v>253</v>
      </c>
      <c r="D1313" s="91"/>
    </row>
    <row r="1314" spans="1:4" ht="42.75" customHeight="1" thickBot="1">
      <c r="A1314" s="26"/>
      <c r="B1314" s="26" t="s">
        <v>0</v>
      </c>
      <c r="C1314" s="5" t="s">
        <v>687</v>
      </c>
      <c r="D1314" s="4" t="s">
        <v>2</v>
      </c>
    </row>
    <row r="1315" spans="1:4" ht="42.75" customHeight="1" thickBot="1">
      <c r="A1315" s="92">
        <v>13760</v>
      </c>
      <c r="B1315" s="93"/>
      <c r="C1315" s="94" t="s">
        <v>3</v>
      </c>
      <c r="D1315" s="95"/>
    </row>
    <row r="1316" spans="1:4" ht="42.75" customHeight="1" thickBot="1">
      <c r="A1316" s="92">
        <v>13830</v>
      </c>
      <c r="B1316" s="93"/>
      <c r="C1316" s="96" t="s">
        <v>4</v>
      </c>
      <c r="D1316" s="97"/>
    </row>
    <row r="1317" spans="1:4" ht="42.75" customHeight="1" thickBot="1">
      <c r="A1317" s="98">
        <f>A1316-A1315</f>
        <v>70</v>
      </c>
      <c r="B1317" s="99"/>
      <c r="C1317" s="100" t="s">
        <v>5</v>
      </c>
      <c r="D1317" s="97"/>
    </row>
    <row r="1318" spans="1:4" ht="42.75" customHeight="1" thickBot="1">
      <c r="A1318" s="101">
        <v>50</v>
      </c>
      <c r="B1318" s="102"/>
      <c r="C1318" s="96" t="s">
        <v>6</v>
      </c>
      <c r="D1318" s="97"/>
    </row>
    <row r="1319" spans="1:4" ht="42.75" customHeight="1" thickBot="1">
      <c r="A1319" s="103"/>
      <c r="B1319" s="104"/>
      <c r="C1319" s="96" t="s">
        <v>21</v>
      </c>
      <c r="D1319" s="97"/>
    </row>
    <row r="1320" spans="1:4" ht="42.75" customHeight="1" thickBot="1">
      <c r="A1320" s="105">
        <f>A1318*A1317</f>
        <v>3500</v>
      </c>
      <c r="B1320" s="106"/>
      <c r="C1320" s="96" t="s">
        <v>7</v>
      </c>
      <c r="D1320" s="97"/>
    </row>
    <row r="1321" spans="1:4" ht="42.75" customHeight="1" thickBot="1">
      <c r="A1321" s="107" t="s">
        <v>17</v>
      </c>
      <c r="B1321" s="108"/>
      <c r="C1321" s="108"/>
      <c r="D1321" s="109"/>
    </row>
    <row r="1322" spans="1:4" ht="42.75" customHeight="1" thickBot="1">
      <c r="A1322" s="110" t="s">
        <v>20</v>
      </c>
      <c r="B1322" s="111"/>
      <c r="C1322" s="111"/>
      <c r="D1322" s="112"/>
    </row>
    <row r="1323" spans="1:4" ht="42.75" customHeight="1" thickBot="1">
      <c r="A1323" s="113" t="s">
        <v>18</v>
      </c>
      <c r="B1323" s="114"/>
      <c r="C1323" s="114"/>
      <c r="D1323" s="115"/>
    </row>
    <row r="1324" spans="1:4" ht="42.75" customHeight="1" thickBot="1">
      <c r="A1324" s="126" t="s">
        <v>19</v>
      </c>
      <c r="B1324" s="127"/>
      <c r="C1324" s="127"/>
      <c r="D1324" s="128"/>
    </row>
    <row r="1325" spans="1:4" ht="42.75" customHeight="1" thickBot="1">
      <c r="A1325" s="123" t="s">
        <v>11</v>
      </c>
      <c r="B1325" s="124"/>
      <c r="C1325" s="125" t="s">
        <v>603</v>
      </c>
      <c r="D1325" s="124"/>
    </row>
    <row r="1326" spans="1:4" ht="42.75" customHeight="1" thickBot="1">
      <c r="A1326" s="1" t="s">
        <v>686</v>
      </c>
      <c r="B1326" s="26" t="s">
        <v>1</v>
      </c>
      <c r="C1326" s="90" t="s">
        <v>254</v>
      </c>
      <c r="D1326" s="91"/>
    </row>
    <row r="1327" spans="1:4" ht="42.75" customHeight="1" thickBot="1">
      <c r="A1327" s="26"/>
      <c r="B1327" s="26" t="s">
        <v>0</v>
      </c>
      <c r="C1327" s="5" t="s">
        <v>687</v>
      </c>
      <c r="D1327" s="4" t="s">
        <v>2</v>
      </c>
    </row>
    <row r="1328" spans="1:4" ht="42.75" customHeight="1" thickBot="1">
      <c r="A1328" s="92">
        <v>1900</v>
      </c>
      <c r="B1328" s="93"/>
      <c r="C1328" s="94" t="s">
        <v>3</v>
      </c>
      <c r="D1328" s="95"/>
    </row>
    <row r="1329" spans="1:4" ht="42.75" customHeight="1" thickBot="1">
      <c r="A1329" s="92">
        <v>1900</v>
      </c>
      <c r="B1329" s="93"/>
      <c r="C1329" s="96" t="s">
        <v>4</v>
      </c>
      <c r="D1329" s="97"/>
    </row>
    <row r="1330" spans="1:4" ht="42.75" customHeight="1" thickBot="1">
      <c r="A1330" s="98">
        <f>A1329-A1328</f>
        <v>0</v>
      </c>
      <c r="B1330" s="99"/>
      <c r="C1330" s="100" t="s">
        <v>5</v>
      </c>
      <c r="D1330" s="97"/>
    </row>
    <row r="1331" spans="1:4" ht="42.75" customHeight="1" thickBot="1">
      <c r="A1331" s="101">
        <v>62</v>
      </c>
      <c r="B1331" s="102"/>
      <c r="C1331" s="96" t="s">
        <v>6</v>
      </c>
      <c r="D1331" s="97"/>
    </row>
    <row r="1332" spans="1:4" ht="42.75" customHeight="1" thickBot="1">
      <c r="A1332" s="103"/>
      <c r="B1332" s="104"/>
      <c r="C1332" s="96" t="s">
        <v>21</v>
      </c>
      <c r="D1332" s="97"/>
    </row>
    <row r="1333" spans="1:4" ht="42.75" customHeight="1" thickBot="1">
      <c r="A1333" s="105">
        <f>A1331*A1330</f>
        <v>0</v>
      </c>
      <c r="B1333" s="106"/>
      <c r="C1333" s="96" t="s">
        <v>7</v>
      </c>
      <c r="D1333" s="97"/>
    </row>
    <row r="1334" spans="1:4" ht="42.75" customHeight="1" thickBot="1">
      <c r="A1334" s="107" t="s">
        <v>17</v>
      </c>
      <c r="B1334" s="108"/>
      <c r="C1334" s="108"/>
      <c r="D1334" s="109"/>
    </row>
    <row r="1335" spans="1:4" ht="42.75" customHeight="1" thickBot="1">
      <c r="A1335" s="116" t="s">
        <v>20</v>
      </c>
      <c r="B1335" s="117"/>
      <c r="C1335" s="117"/>
      <c r="D1335" s="118"/>
    </row>
    <row r="1336" spans="1:4" ht="42.75" customHeight="1" thickBot="1">
      <c r="A1336" s="113" t="s">
        <v>18</v>
      </c>
      <c r="B1336" s="114"/>
      <c r="C1336" s="114"/>
      <c r="D1336" s="115"/>
    </row>
    <row r="1337" spans="1:4" ht="42.75" customHeight="1" thickBot="1">
      <c r="A1337" s="119"/>
      <c r="B1337" s="119"/>
      <c r="C1337" s="119"/>
      <c r="D1337" s="119"/>
    </row>
    <row r="1338" spans="1:4" ht="42.75" customHeight="1" thickBot="1">
      <c r="A1338" s="126" t="s">
        <v>19</v>
      </c>
      <c r="B1338" s="127"/>
      <c r="C1338" s="127"/>
      <c r="D1338" s="128"/>
    </row>
    <row r="1339" spans="1:4" ht="42.75" customHeight="1" thickBot="1">
      <c r="A1339" s="123" t="s">
        <v>11</v>
      </c>
      <c r="B1339" s="124"/>
      <c r="C1339" s="125" t="s">
        <v>603</v>
      </c>
      <c r="D1339" s="124"/>
    </row>
    <row r="1340" spans="1:4" ht="42.75" customHeight="1" thickBot="1">
      <c r="A1340" s="1" t="s">
        <v>686</v>
      </c>
      <c r="B1340" s="26" t="s">
        <v>1</v>
      </c>
      <c r="C1340" s="90" t="s">
        <v>254</v>
      </c>
      <c r="D1340" s="91"/>
    </row>
    <row r="1341" spans="1:4" ht="42.75" customHeight="1" thickBot="1">
      <c r="A1341" s="26"/>
      <c r="B1341" s="26" t="s">
        <v>0</v>
      </c>
      <c r="C1341" s="5" t="s">
        <v>687</v>
      </c>
      <c r="D1341" s="4" t="s">
        <v>2</v>
      </c>
    </row>
    <row r="1342" spans="1:4" ht="42.75" customHeight="1" thickBot="1">
      <c r="A1342" s="92">
        <v>1895</v>
      </c>
      <c r="B1342" s="93"/>
      <c r="C1342" s="94" t="s">
        <v>3</v>
      </c>
      <c r="D1342" s="95"/>
    </row>
    <row r="1343" spans="1:4" ht="42.75" customHeight="1" thickBot="1">
      <c r="A1343" s="92">
        <v>1900</v>
      </c>
      <c r="B1343" s="93"/>
      <c r="C1343" s="96" t="s">
        <v>4</v>
      </c>
      <c r="D1343" s="97"/>
    </row>
    <row r="1344" spans="1:4" ht="42.75" customHeight="1" thickBot="1">
      <c r="A1344" s="98">
        <f>A1343-A1342</f>
        <v>5</v>
      </c>
      <c r="B1344" s="99"/>
      <c r="C1344" s="100" t="s">
        <v>5</v>
      </c>
      <c r="D1344" s="97"/>
    </row>
    <row r="1345" spans="1:4" ht="42.75" customHeight="1" thickBot="1">
      <c r="A1345" s="101">
        <v>62</v>
      </c>
      <c r="B1345" s="102"/>
      <c r="C1345" s="96" t="s">
        <v>6</v>
      </c>
      <c r="D1345" s="97"/>
    </row>
    <row r="1346" spans="1:4" ht="42.75" customHeight="1" thickBot="1">
      <c r="A1346" s="103"/>
      <c r="B1346" s="104"/>
      <c r="C1346" s="96" t="s">
        <v>21</v>
      </c>
      <c r="D1346" s="97"/>
    </row>
    <row r="1347" spans="1:4" ht="42.75" customHeight="1" thickBot="1">
      <c r="A1347" s="105">
        <f>A1345*A1344</f>
        <v>310</v>
      </c>
      <c r="B1347" s="106"/>
      <c r="C1347" s="96" t="s">
        <v>7</v>
      </c>
      <c r="D1347" s="97"/>
    </row>
    <row r="1348" spans="1:4" ht="42.75" customHeight="1" thickBot="1">
      <c r="A1348" s="107" t="s">
        <v>17</v>
      </c>
      <c r="B1348" s="108"/>
      <c r="C1348" s="108"/>
      <c r="D1348" s="109"/>
    </row>
    <row r="1349" spans="1:4" ht="42.75" customHeight="1" thickBot="1">
      <c r="A1349" s="110" t="s">
        <v>20</v>
      </c>
      <c r="B1349" s="111"/>
      <c r="C1349" s="111"/>
      <c r="D1349" s="112"/>
    </row>
    <row r="1350" spans="1:4" ht="42.75" customHeight="1" thickBot="1">
      <c r="A1350" s="113" t="s">
        <v>18</v>
      </c>
      <c r="B1350" s="114"/>
      <c r="C1350" s="114"/>
      <c r="D1350" s="115"/>
    </row>
    <row r="1351" spans="1:4" ht="42.75" customHeight="1" thickBot="1">
      <c r="A1351" s="126" t="s">
        <v>19</v>
      </c>
      <c r="B1351" s="127"/>
      <c r="C1351" s="127"/>
      <c r="D1351" s="128"/>
    </row>
    <row r="1352" spans="1:4" ht="42.75" customHeight="1" thickBot="1">
      <c r="A1352" s="123" t="s">
        <v>11</v>
      </c>
      <c r="B1352" s="124"/>
      <c r="C1352" s="125" t="s">
        <v>603</v>
      </c>
      <c r="D1352" s="124"/>
    </row>
    <row r="1353" spans="1:4" ht="42.75" customHeight="1" thickBot="1">
      <c r="A1353" s="1" t="s">
        <v>686</v>
      </c>
      <c r="B1353" s="26" t="s">
        <v>1</v>
      </c>
      <c r="C1353" s="90" t="s">
        <v>255</v>
      </c>
      <c r="D1353" s="91"/>
    </row>
    <row r="1354" spans="1:4" ht="42.75" customHeight="1" thickBot="1">
      <c r="A1354" s="26"/>
      <c r="B1354" s="26" t="s">
        <v>0</v>
      </c>
      <c r="C1354" s="5" t="s">
        <v>687</v>
      </c>
      <c r="D1354" s="4" t="s">
        <v>2</v>
      </c>
    </row>
    <row r="1355" spans="1:4" ht="42.75" customHeight="1" thickBot="1">
      <c r="A1355" s="92">
        <v>1067</v>
      </c>
      <c r="B1355" s="93"/>
      <c r="C1355" s="94" t="s">
        <v>3</v>
      </c>
      <c r="D1355" s="95"/>
    </row>
    <row r="1356" spans="1:4" ht="42.75" customHeight="1" thickBot="1">
      <c r="A1356" s="92">
        <v>1067</v>
      </c>
      <c r="B1356" s="93"/>
      <c r="C1356" s="96" t="s">
        <v>4</v>
      </c>
      <c r="D1356" s="97"/>
    </row>
    <row r="1357" spans="1:4" ht="42.75" customHeight="1" thickBot="1">
      <c r="A1357" s="98">
        <f>A1356-A1355</f>
        <v>0</v>
      </c>
      <c r="B1357" s="99"/>
      <c r="C1357" s="100" t="s">
        <v>5</v>
      </c>
      <c r="D1357" s="97"/>
    </row>
    <row r="1358" spans="1:4" ht="42.75" customHeight="1" thickBot="1">
      <c r="A1358" s="101">
        <v>62</v>
      </c>
      <c r="B1358" s="102"/>
      <c r="C1358" s="96" t="s">
        <v>6</v>
      </c>
      <c r="D1358" s="97"/>
    </row>
    <row r="1359" spans="1:4" ht="42.75" customHeight="1" thickBot="1">
      <c r="A1359" s="103"/>
      <c r="B1359" s="104"/>
      <c r="C1359" s="96" t="s">
        <v>21</v>
      </c>
      <c r="D1359" s="97"/>
    </row>
    <row r="1360" spans="1:4" ht="42.75" customHeight="1" thickBot="1">
      <c r="A1360" s="105">
        <f>A1358*A1357</f>
        <v>0</v>
      </c>
      <c r="B1360" s="106"/>
      <c r="C1360" s="96" t="s">
        <v>7</v>
      </c>
      <c r="D1360" s="97"/>
    </row>
    <row r="1361" spans="1:4" ht="42.75" customHeight="1" thickBot="1">
      <c r="A1361" s="107" t="s">
        <v>17</v>
      </c>
      <c r="B1361" s="108"/>
      <c r="C1361" s="108"/>
      <c r="D1361" s="109"/>
    </row>
    <row r="1362" spans="1:4" ht="42.75" customHeight="1" thickBot="1">
      <c r="A1362" s="116" t="s">
        <v>20</v>
      </c>
      <c r="B1362" s="117"/>
      <c r="C1362" s="117"/>
      <c r="D1362" s="118"/>
    </row>
    <row r="1363" spans="1:4" ht="42.75" customHeight="1" thickBot="1">
      <c r="A1363" s="113" t="s">
        <v>18</v>
      </c>
      <c r="B1363" s="114"/>
      <c r="C1363" s="114"/>
      <c r="D1363" s="115"/>
    </row>
    <row r="1364" spans="1:4" ht="42.75" customHeight="1" thickBot="1">
      <c r="A1364" s="119"/>
      <c r="B1364" s="119"/>
      <c r="C1364" s="119"/>
      <c r="D1364" s="119"/>
    </row>
    <row r="1365" spans="1:4" ht="42.75" customHeight="1" thickBot="1">
      <c r="A1365" s="126" t="s">
        <v>19</v>
      </c>
      <c r="B1365" s="127"/>
      <c r="C1365" s="127"/>
      <c r="D1365" s="128"/>
    </row>
    <row r="1366" spans="1:4" ht="42.75" customHeight="1" thickBot="1">
      <c r="A1366" s="123" t="s">
        <v>11</v>
      </c>
      <c r="B1366" s="124"/>
      <c r="C1366" s="125" t="s">
        <v>603</v>
      </c>
      <c r="D1366" s="124"/>
    </row>
    <row r="1367" spans="1:4" ht="42.75" customHeight="1" thickBot="1">
      <c r="A1367" s="1" t="s">
        <v>686</v>
      </c>
      <c r="B1367" s="26" t="s">
        <v>1</v>
      </c>
      <c r="C1367" s="90" t="s">
        <v>255</v>
      </c>
      <c r="D1367" s="91"/>
    </row>
    <row r="1368" spans="1:4" ht="42.75" customHeight="1" thickBot="1">
      <c r="A1368" s="26"/>
      <c r="B1368" s="26" t="s">
        <v>0</v>
      </c>
      <c r="C1368" s="5" t="s">
        <v>687</v>
      </c>
      <c r="D1368" s="4" t="s">
        <v>2</v>
      </c>
    </row>
    <row r="1369" spans="1:4" ht="42.75" customHeight="1" thickBot="1">
      <c r="A1369" s="92">
        <v>1063</v>
      </c>
      <c r="B1369" s="93"/>
      <c r="C1369" s="94" t="s">
        <v>3</v>
      </c>
      <c r="D1369" s="95"/>
    </row>
    <row r="1370" spans="1:4" ht="42.75" customHeight="1" thickBot="1">
      <c r="A1370" s="92">
        <v>1067</v>
      </c>
      <c r="B1370" s="93"/>
      <c r="C1370" s="96" t="s">
        <v>4</v>
      </c>
      <c r="D1370" s="97"/>
    </row>
    <row r="1371" spans="1:4" ht="42.75" customHeight="1" thickBot="1">
      <c r="A1371" s="98">
        <v>10</v>
      </c>
      <c r="B1371" s="99"/>
      <c r="C1371" s="100" t="s">
        <v>5</v>
      </c>
      <c r="D1371" s="97"/>
    </row>
    <row r="1372" spans="1:4" ht="42.75" customHeight="1" thickBot="1">
      <c r="A1372" s="101">
        <v>62</v>
      </c>
      <c r="B1372" s="102"/>
      <c r="C1372" s="96" t="s">
        <v>6</v>
      </c>
      <c r="D1372" s="97"/>
    </row>
    <row r="1373" spans="1:4" ht="42.75" customHeight="1" thickBot="1">
      <c r="A1373" s="103"/>
      <c r="B1373" s="104"/>
      <c r="C1373" s="96" t="s">
        <v>21</v>
      </c>
      <c r="D1373" s="97"/>
    </row>
    <row r="1374" spans="1:4" ht="42.75" customHeight="1" thickBot="1">
      <c r="A1374" s="105">
        <v>600</v>
      </c>
      <c r="B1374" s="106"/>
      <c r="C1374" s="96" t="s">
        <v>7</v>
      </c>
      <c r="D1374" s="97"/>
    </row>
    <row r="1375" spans="1:4" ht="42.75" customHeight="1" thickBot="1">
      <c r="A1375" s="107" t="s">
        <v>17</v>
      </c>
      <c r="B1375" s="108"/>
      <c r="C1375" s="108"/>
      <c r="D1375" s="109"/>
    </row>
    <row r="1376" spans="1:4" ht="42.75" customHeight="1" thickBot="1">
      <c r="A1376" s="110" t="s">
        <v>20</v>
      </c>
      <c r="B1376" s="111"/>
      <c r="C1376" s="111"/>
      <c r="D1376" s="112"/>
    </row>
    <row r="1377" spans="1:4" ht="42.75" customHeight="1" thickBot="1">
      <c r="A1377" s="113" t="s">
        <v>18</v>
      </c>
      <c r="B1377" s="114"/>
      <c r="C1377" s="114"/>
      <c r="D1377" s="115"/>
    </row>
    <row r="1378" spans="1:4" ht="42.75" customHeight="1" thickBot="1">
      <c r="A1378" s="126" t="s">
        <v>19</v>
      </c>
      <c r="B1378" s="127"/>
      <c r="C1378" s="127"/>
      <c r="D1378" s="128"/>
    </row>
    <row r="1379" spans="1:4" ht="42.75" customHeight="1" thickBot="1">
      <c r="A1379" s="123" t="s">
        <v>11</v>
      </c>
      <c r="B1379" s="124"/>
      <c r="C1379" s="125" t="s">
        <v>603</v>
      </c>
      <c r="D1379" s="124"/>
    </row>
    <row r="1380" spans="1:4" ht="42.75" customHeight="1" thickBot="1">
      <c r="A1380" s="1" t="s">
        <v>686</v>
      </c>
      <c r="B1380" s="26" t="s">
        <v>1</v>
      </c>
      <c r="C1380" s="90" t="s">
        <v>256</v>
      </c>
      <c r="D1380" s="91"/>
    </row>
    <row r="1381" spans="1:4" ht="42.75" customHeight="1" thickBot="1">
      <c r="A1381" s="26"/>
      <c r="B1381" s="26" t="s">
        <v>0</v>
      </c>
      <c r="C1381" s="5" t="s">
        <v>687</v>
      </c>
      <c r="D1381" s="4" t="s">
        <v>2</v>
      </c>
    </row>
    <row r="1382" spans="1:4" ht="42.75" customHeight="1" thickBot="1">
      <c r="A1382" s="92">
        <v>260</v>
      </c>
      <c r="B1382" s="93"/>
      <c r="C1382" s="94" t="s">
        <v>3</v>
      </c>
      <c r="D1382" s="95"/>
    </row>
    <row r="1383" spans="1:4" ht="42.75" customHeight="1" thickBot="1">
      <c r="A1383" s="92">
        <v>260</v>
      </c>
      <c r="B1383" s="93"/>
      <c r="C1383" s="96" t="s">
        <v>4</v>
      </c>
      <c r="D1383" s="97"/>
    </row>
    <row r="1384" spans="1:4" ht="42.75" customHeight="1" thickBot="1">
      <c r="A1384" s="98">
        <f>A1383-A1382</f>
        <v>0</v>
      </c>
      <c r="B1384" s="99"/>
      <c r="C1384" s="100" t="s">
        <v>5</v>
      </c>
      <c r="D1384" s="97"/>
    </row>
    <row r="1385" spans="1:4" ht="42.75" customHeight="1" thickBot="1">
      <c r="A1385" s="101">
        <v>62</v>
      </c>
      <c r="B1385" s="102"/>
      <c r="C1385" s="96" t="s">
        <v>6</v>
      </c>
      <c r="D1385" s="97"/>
    </row>
    <row r="1386" spans="1:4" ht="42.75" customHeight="1" thickBot="1">
      <c r="A1386" s="103"/>
      <c r="B1386" s="104"/>
      <c r="C1386" s="96" t="s">
        <v>21</v>
      </c>
      <c r="D1386" s="97"/>
    </row>
    <row r="1387" spans="1:4" ht="42.75" customHeight="1" thickBot="1">
      <c r="A1387" s="105">
        <f>A1385*A1384</f>
        <v>0</v>
      </c>
      <c r="B1387" s="106"/>
      <c r="C1387" s="96" t="s">
        <v>7</v>
      </c>
      <c r="D1387" s="97"/>
    </row>
    <row r="1388" spans="1:4" ht="42.75" customHeight="1" thickBot="1">
      <c r="A1388" s="107" t="s">
        <v>17</v>
      </c>
      <c r="B1388" s="108"/>
      <c r="C1388" s="108"/>
      <c r="D1388" s="109"/>
    </row>
    <row r="1389" spans="1:4" ht="42.75" customHeight="1" thickBot="1">
      <c r="A1389" s="116" t="s">
        <v>20</v>
      </c>
      <c r="B1389" s="117"/>
      <c r="C1389" s="117"/>
      <c r="D1389" s="118"/>
    </row>
    <row r="1390" spans="1:4" ht="42.75" customHeight="1" thickBot="1">
      <c r="A1390" s="113" t="s">
        <v>18</v>
      </c>
      <c r="B1390" s="114"/>
      <c r="C1390" s="114"/>
      <c r="D1390" s="115"/>
    </row>
    <row r="1391" spans="1:4" ht="42.75" customHeight="1" thickBot="1">
      <c r="A1391" s="119"/>
      <c r="B1391" s="119"/>
      <c r="C1391" s="119"/>
      <c r="D1391" s="119"/>
    </row>
    <row r="1392" spans="1:4" ht="42.75" customHeight="1" thickBot="1">
      <c r="A1392" s="126" t="s">
        <v>19</v>
      </c>
      <c r="B1392" s="127"/>
      <c r="C1392" s="127"/>
      <c r="D1392" s="128"/>
    </row>
    <row r="1393" spans="1:4" ht="42.75" customHeight="1" thickBot="1">
      <c r="A1393" s="123" t="s">
        <v>11</v>
      </c>
      <c r="B1393" s="124"/>
      <c r="C1393" s="125" t="s">
        <v>603</v>
      </c>
      <c r="D1393" s="124"/>
    </row>
    <row r="1394" spans="1:4" ht="42.75" customHeight="1" thickBot="1">
      <c r="A1394" s="1" t="s">
        <v>686</v>
      </c>
      <c r="B1394" s="26" t="s">
        <v>1</v>
      </c>
      <c r="C1394" s="90" t="s">
        <v>256</v>
      </c>
      <c r="D1394" s="91"/>
    </row>
    <row r="1395" spans="1:4" ht="42.75" customHeight="1" thickBot="1">
      <c r="A1395" s="26"/>
      <c r="B1395" s="26" t="s">
        <v>0</v>
      </c>
      <c r="C1395" s="5" t="s">
        <v>687</v>
      </c>
      <c r="D1395" s="4" t="s">
        <v>2</v>
      </c>
    </row>
    <row r="1396" spans="1:4" ht="42.75" customHeight="1" thickBot="1">
      <c r="A1396" s="92">
        <v>248</v>
      </c>
      <c r="B1396" s="93"/>
      <c r="C1396" s="94" t="s">
        <v>3</v>
      </c>
      <c r="D1396" s="95"/>
    </row>
    <row r="1397" spans="1:4" ht="42.75" customHeight="1" thickBot="1">
      <c r="A1397" s="92">
        <v>260</v>
      </c>
      <c r="B1397" s="93"/>
      <c r="C1397" s="96" t="s">
        <v>4</v>
      </c>
      <c r="D1397" s="97"/>
    </row>
    <row r="1398" spans="1:4" ht="42.75" customHeight="1" thickBot="1">
      <c r="A1398" s="98">
        <f>A1397-A1396</f>
        <v>12</v>
      </c>
      <c r="B1398" s="99"/>
      <c r="C1398" s="100" t="s">
        <v>5</v>
      </c>
      <c r="D1398" s="97"/>
    </row>
    <row r="1399" spans="1:4" ht="42.75" customHeight="1" thickBot="1">
      <c r="A1399" s="101">
        <v>62</v>
      </c>
      <c r="B1399" s="102"/>
      <c r="C1399" s="96" t="s">
        <v>6</v>
      </c>
      <c r="D1399" s="97"/>
    </row>
    <row r="1400" spans="1:4" ht="42.75" customHeight="1" thickBot="1">
      <c r="A1400" s="103"/>
      <c r="B1400" s="104"/>
      <c r="C1400" s="96" t="s">
        <v>21</v>
      </c>
      <c r="D1400" s="97"/>
    </row>
    <row r="1401" spans="1:4" ht="42.75" customHeight="1" thickBot="1">
      <c r="A1401" s="105">
        <v>750</v>
      </c>
      <c r="B1401" s="106"/>
      <c r="C1401" s="96" t="s">
        <v>7</v>
      </c>
      <c r="D1401" s="97"/>
    </row>
    <row r="1402" spans="1:4" ht="42.75" customHeight="1" thickBot="1">
      <c r="A1402" s="107" t="s">
        <v>17</v>
      </c>
      <c r="B1402" s="108"/>
      <c r="C1402" s="108"/>
      <c r="D1402" s="109"/>
    </row>
    <row r="1403" spans="1:4" ht="42.75" customHeight="1" thickBot="1">
      <c r="A1403" s="110" t="s">
        <v>20</v>
      </c>
      <c r="B1403" s="111"/>
      <c r="C1403" s="111"/>
      <c r="D1403" s="112"/>
    </row>
    <row r="1404" spans="1:4" ht="42.75" customHeight="1" thickBot="1">
      <c r="A1404" s="113" t="s">
        <v>18</v>
      </c>
      <c r="B1404" s="114"/>
      <c r="C1404" s="114"/>
      <c r="D1404" s="115"/>
    </row>
    <row r="1405" spans="1:4" ht="42.75" customHeight="1" thickBot="1">
      <c r="A1405" s="126" t="s">
        <v>19</v>
      </c>
      <c r="B1405" s="127"/>
      <c r="C1405" s="127"/>
      <c r="D1405" s="128"/>
    </row>
    <row r="1406" spans="1:4" ht="42.75" customHeight="1" thickBot="1">
      <c r="A1406" s="123" t="s">
        <v>11</v>
      </c>
      <c r="B1406" s="124"/>
      <c r="C1406" s="125" t="s">
        <v>603</v>
      </c>
      <c r="D1406" s="124"/>
    </row>
    <row r="1407" spans="1:4" ht="42.75" customHeight="1" thickBot="1">
      <c r="A1407" s="1" t="s">
        <v>686</v>
      </c>
      <c r="B1407" s="26" t="s">
        <v>1</v>
      </c>
      <c r="C1407" s="90" t="s">
        <v>644</v>
      </c>
      <c r="D1407" s="91"/>
    </row>
    <row r="1408" spans="1:4" ht="42.75" customHeight="1" thickBot="1">
      <c r="A1408" s="26"/>
      <c r="B1408" s="26" t="s">
        <v>0</v>
      </c>
      <c r="C1408" s="5" t="s">
        <v>687</v>
      </c>
      <c r="D1408" s="4" t="s">
        <v>2</v>
      </c>
    </row>
    <row r="1409" spans="1:4" ht="42.75" customHeight="1" thickBot="1">
      <c r="A1409" s="92">
        <v>534</v>
      </c>
      <c r="B1409" s="93"/>
      <c r="C1409" s="94" t="s">
        <v>3</v>
      </c>
      <c r="D1409" s="95"/>
    </row>
    <row r="1410" spans="1:4" ht="42.75" customHeight="1" thickBot="1">
      <c r="A1410" s="92">
        <v>534</v>
      </c>
      <c r="B1410" s="93"/>
      <c r="C1410" s="96" t="s">
        <v>4</v>
      </c>
      <c r="D1410" s="97"/>
    </row>
    <row r="1411" spans="1:4" ht="42.75" customHeight="1" thickBot="1">
      <c r="A1411" s="98">
        <f>A1410-A1409</f>
        <v>0</v>
      </c>
      <c r="B1411" s="99"/>
      <c r="C1411" s="100" t="s">
        <v>5</v>
      </c>
      <c r="D1411" s="97"/>
    </row>
    <row r="1412" spans="1:4" ht="42.75" customHeight="1" thickBot="1">
      <c r="A1412" s="101">
        <v>62</v>
      </c>
      <c r="B1412" s="102"/>
      <c r="C1412" s="96" t="s">
        <v>6</v>
      </c>
      <c r="D1412" s="97"/>
    </row>
    <row r="1413" spans="1:4" ht="42.75" customHeight="1" thickBot="1">
      <c r="A1413" s="103"/>
      <c r="B1413" s="104"/>
      <c r="C1413" s="96" t="s">
        <v>21</v>
      </c>
      <c r="D1413" s="97"/>
    </row>
    <row r="1414" spans="1:4" ht="42.75" customHeight="1" thickBot="1">
      <c r="A1414" s="105">
        <f>A1412*A1411</f>
        <v>0</v>
      </c>
      <c r="B1414" s="106"/>
      <c r="C1414" s="96" t="s">
        <v>7</v>
      </c>
      <c r="D1414" s="97"/>
    </row>
    <row r="1415" spans="1:4" ht="42.75" customHeight="1" thickBot="1">
      <c r="A1415" s="107" t="s">
        <v>17</v>
      </c>
      <c r="B1415" s="108"/>
      <c r="C1415" s="108"/>
      <c r="D1415" s="109"/>
    </row>
    <row r="1416" spans="1:4" ht="42.75" customHeight="1" thickBot="1">
      <c r="A1416" s="116" t="s">
        <v>20</v>
      </c>
      <c r="B1416" s="117"/>
      <c r="C1416" s="117"/>
      <c r="D1416" s="118"/>
    </row>
    <row r="1417" spans="1:4" ht="42.75" customHeight="1" thickBot="1">
      <c r="A1417" s="113" t="s">
        <v>18</v>
      </c>
      <c r="B1417" s="114"/>
      <c r="C1417" s="114"/>
      <c r="D1417" s="115"/>
    </row>
    <row r="1418" spans="1:4" ht="42.75" customHeight="1" thickBot="1">
      <c r="A1418" s="119"/>
      <c r="B1418" s="119"/>
      <c r="C1418" s="119"/>
      <c r="D1418" s="119"/>
    </row>
    <row r="1419" spans="1:4" ht="42.75" customHeight="1" thickBot="1">
      <c r="A1419" s="126" t="s">
        <v>19</v>
      </c>
      <c r="B1419" s="127"/>
      <c r="C1419" s="127"/>
      <c r="D1419" s="128"/>
    </row>
    <row r="1420" spans="1:4" ht="42.75" customHeight="1" thickBot="1">
      <c r="A1420" s="123" t="s">
        <v>11</v>
      </c>
      <c r="B1420" s="124"/>
      <c r="C1420" s="125" t="s">
        <v>603</v>
      </c>
      <c r="D1420" s="124"/>
    </row>
    <row r="1421" spans="1:4" ht="42.75" customHeight="1" thickBot="1">
      <c r="A1421" s="1" t="s">
        <v>686</v>
      </c>
      <c r="B1421" s="26" t="s">
        <v>1</v>
      </c>
      <c r="C1421" s="90" t="s">
        <v>644</v>
      </c>
      <c r="D1421" s="91"/>
    </row>
    <row r="1422" spans="1:4" ht="42.75" customHeight="1" thickBot="1">
      <c r="A1422" s="26"/>
      <c r="B1422" s="26" t="s">
        <v>0</v>
      </c>
      <c r="C1422" s="5" t="s">
        <v>687</v>
      </c>
      <c r="D1422" s="4" t="s">
        <v>2</v>
      </c>
    </row>
    <row r="1423" spans="1:4" ht="42.75" customHeight="1" thickBot="1">
      <c r="A1423" s="92">
        <v>528</v>
      </c>
      <c r="B1423" s="93"/>
      <c r="C1423" s="94" t="s">
        <v>3</v>
      </c>
      <c r="D1423" s="95"/>
    </row>
    <row r="1424" spans="1:4" ht="42.75" customHeight="1" thickBot="1">
      <c r="A1424" s="92">
        <v>534</v>
      </c>
      <c r="B1424" s="93"/>
      <c r="C1424" s="96" t="s">
        <v>4</v>
      </c>
      <c r="D1424" s="97"/>
    </row>
    <row r="1425" spans="1:4" ht="42.75" customHeight="1" thickBot="1">
      <c r="A1425" s="98">
        <v>10</v>
      </c>
      <c r="B1425" s="99"/>
      <c r="C1425" s="100" t="s">
        <v>5</v>
      </c>
      <c r="D1425" s="97"/>
    </row>
    <row r="1426" spans="1:4" ht="42.75" customHeight="1" thickBot="1">
      <c r="A1426" s="101">
        <v>62</v>
      </c>
      <c r="B1426" s="102"/>
      <c r="C1426" s="96" t="s">
        <v>6</v>
      </c>
      <c r="D1426" s="97"/>
    </row>
    <row r="1427" spans="1:4" ht="42.75" customHeight="1" thickBot="1">
      <c r="A1427" s="103"/>
      <c r="B1427" s="104"/>
      <c r="C1427" s="96" t="s">
        <v>21</v>
      </c>
      <c r="D1427" s="97"/>
    </row>
    <row r="1428" spans="1:4" ht="42.75" customHeight="1" thickBot="1">
      <c r="A1428" s="105">
        <v>600</v>
      </c>
      <c r="B1428" s="106"/>
      <c r="C1428" s="96" t="s">
        <v>7</v>
      </c>
      <c r="D1428" s="97"/>
    </row>
    <row r="1429" spans="1:4" ht="42.75" customHeight="1" thickBot="1">
      <c r="A1429" s="107" t="s">
        <v>17</v>
      </c>
      <c r="B1429" s="108"/>
      <c r="C1429" s="108"/>
      <c r="D1429" s="109"/>
    </row>
    <row r="1430" spans="1:4" ht="42.75" customHeight="1" thickBot="1">
      <c r="A1430" s="110" t="s">
        <v>20</v>
      </c>
      <c r="B1430" s="111"/>
      <c r="C1430" s="111"/>
      <c r="D1430" s="112"/>
    </row>
    <row r="1431" spans="1:4" ht="42.75" customHeight="1" thickBot="1">
      <c r="A1431" s="113" t="s">
        <v>18</v>
      </c>
      <c r="B1431" s="114"/>
      <c r="C1431" s="114"/>
      <c r="D1431" s="115"/>
    </row>
    <row r="1432" spans="1:4" ht="42.75" customHeight="1" thickBot="1">
      <c r="A1432" s="126" t="s">
        <v>19</v>
      </c>
      <c r="B1432" s="127"/>
      <c r="C1432" s="127"/>
      <c r="D1432" s="128"/>
    </row>
    <row r="1433" spans="1:4" ht="42.75" customHeight="1" thickBot="1">
      <c r="A1433" s="123" t="s">
        <v>11</v>
      </c>
      <c r="B1433" s="124"/>
      <c r="C1433" s="125" t="s">
        <v>603</v>
      </c>
      <c r="D1433" s="124"/>
    </row>
    <row r="1434" spans="1:4" ht="42.75" customHeight="1" thickBot="1">
      <c r="A1434" s="1" t="s">
        <v>686</v>
      </c>
      <c r="B1434" s="26" t="s">
        <v>1</v>
      </c>
      <c r="C1434" s="90" t="s">
        <v>257</v>
      </c>
      <c r="D1434" s="91"/>
    </row>
    <row r="1435" spans="1:4" ht="42.75" customHeight="1" thickBot="1">
      <c r="A1435" s="26"/>
      <c r="B1435" s="26" t="s">
        <v>0</v>
      </c>
      <c r="C1435" s="5" t="s">
        <v>687</v>
      </c>
      <c r="D1435" s="4" t="s">
        <v>2</v>
      </c>
    </row>
    <row r="1436" spans="1:4" ht="42.75" customHeight="1" thickBot="1">
      <c r="A1436" s="92">
        <v>593</v>
      </c>
      <c r="B1436" s="93"/>
      <c r="C1436" s="94" t="s">
        <v>3</v>
      </c>
      <c r="D1436" s="95"/>
    </row>
    <row r="1437" spans="1:4" ht="42.75" customHeight="1" thickBot="1">
      <c r="A1437" s="92">
        <v>593</v>
      </c>
      <c r="B1437" s="93"/>
      <c r="C1437" s="96" t="s">
        <v>4</v>
      </c>
      <c r="D1437" s="97"/>
    </row>
    <row r="1438" spans="1:4" ht="42.75" customHeight="1" thickBot="1">
      <c r="A1438" s="98">
        <f>A1437-A1436</f>
        <v>0</v>
      </c>
      <c r="B1438" s="99"/>
      <c r="C1438" s="100" t="s">
        <v>5</v>
      </c>
      <c r="D1438" s="97"/>
    </row>
    <row r="1439" spans="1:4" ht="42.75" customHeight="1" thickBot="1">
      <c r="A1439" s="101">
        <v>62</v>
      </c>
      <c r="B1439" s="102"/>
      <c r="C1439" s="96" t="s">
        <v>6</v>
      </c>
      <c r="D1439" s="97"/>
    </row>
    <row r="1440" spans="1:4" ht="42.75" customHeight="1" thickBot="1">
      <c r="A1440" s="103"/>
      <c r="B1440" s="104"/>
      <c r="C1440" s="96" t="s">
        <v>21</v>
      </c>
      <c r="D1440" s="97"/>
    </row>
    <row r="1441" spans="1:4" ht="42.75" customHeight="1" thickBot="1">
      <c r="A1441" s="105">
        <f>A1439*A1438</f>
        <v>0</v>
      </c>
      <c r="B1441" s="106"/>
      <c r="C1441" s="96" t="s">
        <v>7</v>
      </c>
      <c r="D1441" s="97"/>
    </row>
    <row r="1442" spans="1:4" ht="42.75" customHeight="1" thickBot="1">
      <c r="A1442" s="107" t="s">
        <v>17</v>
      </c>
      <c r="B1442" s="108"/>
      <c r="C1442" s="108"/>
      <c r="D1442" s="109"/>
    </row>
    <row r="1443" spans="1:4" ht="42.75" customHeight="1" thickBot="1">
      <c r="A1443" s="116" t="s">
        <v>20</v>
      </c>
      <c r="B1443" s="117"/>
      <c r="C1443" s="117"/>
      <c r="D1443" s="118"/>
    </row>
    <row r="1444" spans="1:4" ht="42.75" customHeight="1" thickBot="1">
      <c r="A1444" s="113" t="s">
        <v>18</v>
      </c>
      <c r="B1444" s="114"/>
      <c r="C1444" s="114"/>
      <c r="D1444" s="115"/>
    </row>
    <row r="1445" spans="1:4" ht="42.75" customHeight="1" thickBot="1">
      <c r="A1445" s="119"/>
      <c r="B1445" s="119"/>
      <c r="C1445" s="119"/>
      <c r="D1445" s="119"/>
    </row>
    <row r="1446" spans="1:4" ht="42.75" customHeight="1" thickBot="1">
      <c r="A1446" s="126" t="s">
        <v>19</v>
      </c>
      <c r="B1446" s="127"/>
      <c r="C1446" s="127"/>
      <c r="D1446" s="128"/>
    </row>
    <row r="1447" spans="1:4" ht="42.75" customHeight="1" thickBot="1">
      <c r="A1447" s="123" t="s">
        <v>11</v>
      </c>
      <c r="B1447" s="124"/>
      <c r="C1447" s="125" t="s">
        <v>603</v>
      </c>
      <c r="D1447" s="124"/>
    </row>
    <row r="1448" spans="1:4" ht="42.75" customHeight="1" thickBot="1">
      <c r="A1448" s="1" t="s">
        <v>686</v>
      </c>
      <c r="B1448" s="26" t="s">
        <v>1</v>
      </c>
      <c r="C1448" s="90" t="s">
        <v>257</v>
      </c>
      <c r="D1448" s="91"/>
    </row>
    <row r="1449" spans="1:4" ht="42.75" customHeight="1" thickBot="1">
      <c r="A1449" s="26"/>
      <c r="B1449" s="26" t="s">
        <v>0</v>
      </c>
      <c r="C1449" s="5" t="s">
        <v>687</v>
      </c>
      <c r="D1449" s="4" t="s">
        <v>2</v>
      </c>
    </row>
    <row r="1450" spans="1:4" ht="42.75" customHeight="1" thickBot="1">
      <c r="A1450" s="92">
        <v>579</v>
      </c>
      <c r="B1450" s="93"/>
      <c r="C1450" s="94" t="s">
        <v>3</v>
      </c>
      <c r="D1450" s="95"/>
    </row>
    <row r="1451" spans="1:4" ht="42.75" customHeight="1" thickBot="1">
      <c r="A1451" s="92">
        <v>593</v>
      </c>
      <c r="B1451" s="93"/>
      <c r="C1451" s="96" t="s">
        <v>4</v>
      </c>
      <c r="D1451" s="97"/>
    </row>
    <row r="1452" spans="1:4" ht="42.75" customHeight="1" thickBot="1">
      <c r="A1452" s="98">
        <f>A1451-A1450</f>
        <v>14</v>
      </c>
      <c r="B1452" s="99"/>
      <c r="C1452" s="100" t="s">
        <v>5</v>
      </c>
      <c r="D1452" s="97"/>
    </row>
    <row r="1453" spans="1:4" ht="42.75" customHeight="1" thickBot="1">
      <c r="A1453" s="101">
        <v>62</v>
      </c>
      <c r="B1453" s="102"/>
      <c r="C1453" s="96" t="s">
        <v>6</v>
      </c>
      <c r="D1453" s="97"/>
    </row>
    <row r="1454" spans="1:4" ht="42.75" customHeight="1" thickBot="1">
      <c r="A1454" s="103"/>
      <c r="B1454" s="104"/>
      <c r="C1454" s="96" t="s">
        <v>21</v>
      </c>
      <c r="D1454" s="97"/>
    </row>
    <row r="1455" spans="1:4" ht="42.75" customHeight="1" thickBot="1">
      <c r="A1455" s="105">
        <v>850</v>
      </c>
      <c r="B1455" s="106"/>
      <c r="C1455" s="96" t="s">
        <v>7</v>
      </c>
      <c r="D1455" s="97"/>
    </row>
    <row r="1456" spans="1:4" ht="42.75" customHeight="1" thickBot="1">
      <c r="A1456" s="107" t="s">
        <v>17</v>
      </c>
      <c r="B1456" s="108"/>
      <c r="C1456" s="108"/>
      <c r="D1456" s="109"/>
    </row>
    <row r="1457" spans="1:4" ht="42.75" customHeight="1" thickBot="1">
      <c r="A1457" s="110" t="s">
        <v>20</v>
      </c>
      <c r="B1457" s="111"/>
      <c r="C1457" s="111"/>
      <c r="D1457" s="112"/>
    </row>
    <row r="1458" spans="1:4" ht="42.75" customHeight="1" thickBot="1">
      <c r="A1458" s="113" t="s">
        <v>18</v>
      </c>
      <c r="B1458" s="114"/>
      <c r="C1458" s="114"/>
      <c r="D1458" s="115"/>
    </row>
    <row r="1459" spans="1:4" ht="42.75" customHeight="1" thickBot="1">
      <c r="A1459" s="126" t="s">
        <v>19</v>
      </c>
      <c r="B1459" s="127"/>
      <c r="C1459" s="127"/>
      <c r="D1459" s="128"/>
    </row>
    <row r="1460" spans="1:4" ht="42.75" customHeight="1" thickBot="1">
      <c r="A1460" s="123" t="s">
        <v>11</v>
      </c>
      <c r="B1460" s="124"/>
      <c r="C1460" s="125" t="s">
        <v>603</v>
      </c>
      <c r="D1460" s="124"/>
    </row>
    <row r="1461" spans="1:4" ht="42.75" customHeight="1" thickBot="1">
      <c r="A1461" s="1" t="s">
        <v>686</v>
      </c>
      <c r="B1461" s="26" t="s">
        <v>1</v>
      </c>
      <c r="C1461" s="90" t="s">
        <v>609</v>
      </c>
      <c r="D1461" s="91"/>
    </row>
    <row r="1462" spans="1:4" ht="42.75" customHeight="1" thickBot="1">
      <c r="A1462" s="26"/>
      <c r="B1462" s="26" t="s">
        <v>0</v>
      </c>
      <c r="C1462" s="5" t="s">
        <v>687</v>
      </c>
      <c r="D1462" s="4" t="s">
        <v>2</v>
      </c>
    </row>
    <row r="1463" spans="1:4" ht="42.75" customHeight="1" thickBot="1">
      <c r="A1463" s="92">
        <v>410</v>
      </c>
      <c r="B1463" s="93"/>
      <c r="C1463" s="94" t="s">
        <v>3</v>
      </c>
      <c r="D1463" s="95"/>
    </row>
    <row r="1464" spans="1:4" ht="42.75" customHeight="1" thickBot="1">
      <c r="A1464" s="92">
        <v>410</v>
      </c>
      <c r="B1464" s="93"/>
      <c r="C1464" s="96" t="s">
        <v>4</v>
      </c>
      <c r="D1464" s="97"/>
    </row>
    <row r="1465" spans="1:4" ht="42.75" customHeight="1" thickBot="1">
      <c r="A1465" s="98">
        <f>A1464-A1463</f>
        <v>0</v>
      </c>
      <c r="B1465" s="99"/>
      <c r="C1465" s="100" t="s">
        <v>5</v>
      </c>
      <c r="D1465" s="97"/>
    </row>
    <row r="1466" spans="1:4" ht="42.75" customHeight="1" thickBot="1">
      <c r="A1466" s="101">
        <v>62</v>
      </c>
      <c r="B1466" s="102"/>
      <c r="C1466" s="96" t="s">
        <v>6</v>
      </c>
      <c r="D1466" s="97"/>
    </row>
    <row r="1467" spans="1:4" ht="42.75" customHeight="1" thickBot="1">
      <c r="A1467" s="103"/>
      <c r="B1467" s="104"/>
      <c r="C1467" s="96" t="s">
        <v>21</v>
      </c>
      <c r="D1467" s="97"/>
    </row>
    <row r="1468" spans="1:4" ht="42.75" customHeight="1" thickBot="1">
      <c r="A1468" s="105">
        <f>A1466*A1465</f>
        <v>0</v>
      </c>
      <c r="B1468" s="106"/>
      <c r="C1468" s="96" t="s">
        <v>7</v>
      </c>
      <c r="D1468" s="97"/>
    </row>
    <row r="1469" spans="1:4" ht="42.75" customHeight="1" thickBot="1">
      <c r="A1469" s="107" t="s">
        <v>17</v>
      </c>
      <c r="B1469" s="108"/>
      <c r="C1469" s="108"/>
      <c r="D1469" s="109"/>
    </row>
    <row r="1470" spans="1:4" ht="42.75" customHeight="1" thickBot="1">
      <c r="A1470" s="116" t="s">
        <v>20</v>
      </c>
      <c r="B1470" s="117"/>
      <c r="C1470" s="117"/>
      <c r="D1470" s="118"/>
    </row>
    <row r="1471" spans="1:4" ht="42.75" customHeight="1" thickBot="1">
      <c r="A1471" s="113" t="s">
        <v>18</v>
      </c>
      <c r="B1471" s="114"/>
      <c r="C1471" s="114"/>
      <c r="D1471" s="115"/>
    </row>
    <row r="1472" spans="1:4" ht="42.75" customHeight="1" thickBot="1">
      <c r="A1472" s="119"/>
      <c r="B1472" s="119"/>
      <c r="C1472" s="119"/>
      <c r="D1472" s="119"/>
    </row>
    <row r="1473" spans="1:4" ht="42.75" customHeight="1" thickBot="1">
      <c r="A1473" s="126" t="s">
        <v>19</v>
      </c>
      <c r="B1473" s="127"/>
      <c r="C1473" s="127"/>
      <c r="D1473" s="128"/>
    </row>
    <row r="1474" spans="1:4" ht="42.75" customHeight="1" thickBot="1">
      <c r="A1474" s="123" t="s">
        <v>11</v>
      </c>
      <c r="B1474" s="124"/>
      <c r="C1474" s="125" t="s">
        <v>603</v>
      </c>
      <c r="D1474" s="124"/>
    </row>
    <row r="1475" spans="1:4" ht="42.75" customHeight="1" thickBot="1">
      <c r="A1475" s="1" t="s">
        <v>686</v>
      </c>
      <c r="B1475" s="26" t="s">
        <v>1</v>
      </c>
      <c r="C1475" s="90" t="s">
        <v>609</v>
      </c>
      <c r="D1475" s="91"/>
    </row>
    <row r="1476" spans="1:4" ht="42.75" customHeight="1" thickBot="1">
      <c r="A1476" s="26"/>
      <c r="B1476" s="26" t="s">
        <v>0</v>
      </c>
      <c r="C1476" s="5" t="s">
        <v>687</v>
      </c>
      <c r="D1476" s="4" t="s">
        <v>2</v>
      </c>
    </row>
    <row r="1477" spans="1:4" ht="42.75" customHeight="1" thickBot="1">
      <c r="A1477" s="92">
        <v>405</v>
      </c>
      <c r="B1477" s="93"/>
      <c r="C1477" s="94" t="s">
        <v>3</v>
      </c>
      <c r="D1477" s="95"/>
    </row>
    <row r="1478" spans="1:4" ht="42.75" customHeight="1" thickBot="1">
      <c r="A1478" s="92">
        <v>410</v>
      </c>
      <c r="B1478" s="93"/>
      <c r="C1478" s="96" t="s">
        <v>4</v>
      </c>
      <c r="D1478" s="97"/>
    </row>
    <row r="1479" spans="1:4" ht="42.75" customHeight="1" thickBot="1">
      <c r="A1479" s="98">
        <v>10</v>
      </c>
      <c r="B1479" s="99"/>
      <c r="C1479" s="100" t="s">
        <v>5</v>
      </c>
      <c r="D1479" s="97"/>
    </row>
    <row r="1480" spans="1:4" ht="42.75" customHeight="1" thickBot="1">
      <c r="A1480" s="101">
        <v>62</v>
      </c>
      <c r="B1480" s="102"/>
      <c r="C1480" s="96" t="s">
        <v>6</v>
      </c>
      <c r="D1480" s="97"/>
    </row>
    <row r="1481" spans="1:4" ht="42.75" customHeight="1" thickBot="1">
      <c r="A1481" s="103"/>
      <c r="B1481" s="104"/>
      <c r="C1481" s="96" t="s">
        <v>21</v>
      </c>
      <c r="D1481" s="97"/>
    </row>
    <row r="1482" spans="1:4" ht="42.75" customHeight="1" thickBot="1">
      <c r="A1482" s="105">
        <v>600</v>
      </c>
      <c r="B1482" s="106"/>
      <c r="C1482" s="96" t="s">
        <v>7</v>
      </c>
      <c r="D1482" s="97"/>
    </row>
    <row r="1483" spans="1:4" ht="42.75" customHeight="1" thickBot="1">
      <c r="A1483" s="107" t="s">
        <v>17</v>
      </c>
      <c r="B1483" s="108"/>
      <c r="C1483" s="108"/>
      <c r="D1483" s="109"/>
    </row>
    <row r="1484" spans="1:4" ht="42.75" customHeight="1" thickBot="1">
      <c r="A1484" s="110" t="s">
        <v>20</v>
      </c>
      <c r="B1484" s="111"/>
      <c r="C1484" s="111"/>
      <c r="D1484" s="112"/>
    </row>
    <row r="1485" spans="1:4" ht="42.75" customHeight="1" thickBot="1">
      <c r="A1485" s="113" t="s">
        <v>18</v>
      </c>
      <c r="B1485" s="114"/>
      <c r="C1485" s="114"/>
      <c r="D1485" s="115"/>
    </row>
    <row r="1486" spans="1:4" ht="42.75" customHeight="1" thickBot="1">
      <c r="A1486" s="126" t="s">
        <v>19</v>
      </c>
      <c r="B1486" s="127"/>
      <c r="C1486" s="127"/>
      <c r="D1486" s="128"/>
    </row>
    <row r="1487" spans="1:4" ht="42.75" customHeight="1" thickBot="1">
      <c r="A1487" s="123" t="s">
        <v>11</v>
      </c>
      <c r="B1487" s="124"/>
      <c r="C1487" s="125" t="s">
        <v>603</v>
      </c>
      <c r="D1487" s="124"/>
    </row>
    <row r="1488" spans="1:4" ht="42.75" customHeight="1" thickBot="1">
      <c r="A1488" s="1" t="s">
        <v>686</v>
      </c>
      <c r="B1488" s="26" t="s">
        <v>1</v>
      </c>
      <c r="C1488" s="90" t="s">
        <v>258</v>
      </c>
      <c r="D1488" s="91"/>
    </row>
    <row r="1489" spans="1:4" ht="42.75" customHeight="1" thickBot="1">
      <c r="A1489" s="26"/>
      <c r="B1489" s="26" t="s">
        <v>0</v>
      </c>
      <c r="C1489" s="5" t="s">
        <v>687</v>
      </c>
      <c r="D1489" s="4" t="s">
        <v>2</v>
      </c>
    </row>
    <row r="1490" spans="1:4" ht="42.75" customHeight="1" thickBot="1">
      <c r="A1490" s="92">
        <v>225</v>
      </c>
      <c r="B1490" s="93"/>
      <c r="C1490" s="94" t="s">
        <v>3</v>
      </c>
      <c r="D1490" s="95"/>
    </row>
    <row r="1491" spans="1:4" ht="42.75" customHeight="1" thickBot="1">
      <c r="A1491" s="92">
        <v>225</v>
      </c>
      <c r="B1491" s="93"/>
      <c r="C1491" s="96" t="s">
        <v>4</v>
      </c>
      <c r="D1491" s="97"/>
    </row>
    <row r="1492" spans="1:4" ht="42.75" customHeight="1" thickBot="1">
      <c r="A1492" s="98">
        <f>A1491-A1490</f>
        <v>0</v>
      </c>
      <c r="B1492" s="99"/>
      <c r="C1492" s="100" t="s">
        <v>5</v>
      </c>
      <c r="D1492" s="97"/>
    </row>
    <row r="1493" spans="1:4" ht="42.75" customHeight="1" thickBot="1">
      <c r="A1493" s="101">
        <v>62</v>
      </c>
      <c r="B1493" s="102"/>
      <c r="C1493" s="96" t="s">
        <v>6</v>
      </c>
      <c r="D1493" s="97"/>
    </row>
    <row r="1494" spans="1:4" ht="42.75" customHeight="1" thickBot="1">
      <c r="A1494" s="103"/>
      <c r="B1494" s="104"/>
      <c r="C1494" s="96" t="s">
        <v>21</v>
      </c>
      <c r="D1494" s="97"/>
    </row>
    <row r="1495" spans="1:4" ht="42.75" customHeight="1" thickBot="1">
      <c r="A1495" s="105">
        <f>A1493*A1492</f>
        <v>0</v>
      </c>
      <c r="B1495" s="106"/>
      <c r="C1495" s="96" t="s">
        <v>7</v>
      </c>
      <c r="D1495" s="97"/>
    </row>
    <row r="1496" spans="1:4" ht="42.75" customHeight="1" thickBot="1">
      <c r="A1496" s="107" t="s">
        <v>17</v>
      </c>
      <c r="B1496" s="108"/>
      <c r="C1496" s="108"/>
      <c r="D1496" s="109"/>
    </row>
    <row r="1497" spans="1:4" ht="42.75" customHeight="1" thickBot="1">
      <c r="A1497" s="116" t="s">
        <v>20</v>
      </c>
      <c r="B1497" s="117"/>
      <c r="C1497" s="117"/>
      <c r="D1497" s="118"/>
    </row>
    <row r="1498" spans="1:4" ht="42.75" customHeight="1" thickBot="1">
      <c r="A1498" s="113" t="s">
        <v>18</v>
      </c>
      <c r="B1498" s="114"/>
      <c r="C1498" s="114"/>
      <c r="D1498" s="115"/>
    </row>
    <row r="1499" spans="1:4" ht="42.75" customHeight="1" thickBot="1">
      <c r="A1499" s="119"/>
      <c r="B1499" s="119"/>
      <c r="C1499" s="119"/>
      <c r="D1499" s="119"/>
    </row>
    <row r="1500" spans="1:4" ht="42.75" customHeight="1" thickBot="1">
      <c r="A1500" s="126" t="s">
        <v>19</v>
      </c>
      <c r="B1500" s="127"/>
      <c r="C1500" s="127"/>
      <c r="D1500" s="128"/>
    </row>
    <row r="1501" spans="1:4" ht="42.75" customHeight="1" thickBot="1">
      <c r="A1501" s="123" t="s">
        <v>11</v>
      </c>
      <c r="B1501" s="124"/>
      <c r="C1501" s="125" t="s">
        <v>603</v>
      </c>
      <c r="D1501" s="124"/>
    </row>
    <row r="1502" spans="1:4" ht="42.75" customHeight="1" thickBot="1">
      <c r="A1502" s="1" t="s">
        <v>686</v>
      </c>
      <c r="B1502" s="26" t="s">
        <v>1</v>
      </c>
      <c r="C1502" s="90" t="s">
        <v>258</v>
      </c>
      <c r="D1502" s="91"/>
    </row>
    <row r="1503" spans="1:4" ht="42.75" customHeight="1" thickBot="1">
      <c r="A1503" s="26"/>
      <c r="B1503" s="26" t="s">
        <v>0</v>
      </c>
      <c r="C1503" s="5" t="s">
        <v>687</v>
      </c>
      <c r="D1503" s="4" t="s">
        <v>2</v>
      </c>
    </row>
    <row r="1504" spans="1:4" ht="42.75" customHeight="1" thickBot="1">
      <c r="A1504" s="92">
        <v>215</v>
      </c>
      <c r="B1504" s="93"/>
      <c r="C1504" s="94" t="s">
        <v>3</v>
      </c>
      <c r="D1504" s="95"/>
    </row>
    <row r="1505" spans="1:4" ht="42.75" customHeight="1" thickBot="1">
      <c r="A1505" s="92">
        <v>225</v>
      </c>
      <c r="B1505" s="93"/>
      <c r="C1505" s="96" t="s">
        <v>4</v>
      </c>
      <c r="D1505" s="97"/>
    </row>
    <row r="1506" spans="1:4" ht="42.75" customHeight="1" thickBot="1">
      <c r="A1506" s="98">
        <f>A1505-A1504</f>
        <v>10</v>
      </c>
      <c r="B1506" s="99"/>
      <c r="C1506" s="100" t="s">
        <v>5</v>
      </c>
      <c r="D1506" s="97"/>
    </row>
    <row r="1507" spans="1:4" ht="42.75" customHeight="1" thickBot="1">
      <c r="A1507" s="101">
        <v>62</v>
      </c>
      <c r="B1507" s="102"/>
      <c r="C1507" s="96" t="s">
        <v>6</v>
      </c>
      <c r="D1507" s="97"/>
    </row>
    <row r="1508" spans="1:4" ht="42.75" customHeight="1" thickBot="1">
      <c r="A1508" s="103"/>
      <c r="B1508" s="104"/>
      <c r="C1508" s="96" t="s">
        <v>21</v>
      </c>
      <c r="D1508" s="97"/>
    </row>
    <row r="1509" spans="1:4" ht="42.75" customHeight="1" thickBot="1">
      <c r="A1509" s="105">
        <v>600</v>
      </c>
      <c r="B1509" s="106"/>
      <c r="C1509" s="96" t="s">
        <v>7</v>
      </c>
      <c r="D1509" s="97"/>
    </row>
    <row r="1510" spans="1:4" ht="42.75" customHeight="1" thickBot="1">
      <c r="A1510" s="107" t="s">
        <v>17</v>
      </c>
      <c r="B1510" s="108"/>
      <c r="C1510" s="108"/>
      <c r="D1510" s="109"/>
    </row>
    <row r="1511" spans="1:4" ht="42.75" customHeight="1" thickBot="1">
      <c r="A1511" s="110" t="s">
        <v>20</v>
      </c>
      <c r="B1511" s="111"/>
      <c r="C1511" s="111"/>
      <c r="D1511" s="112"/>
    </row>
    <row r="1512" spans="1:4" ht="42.75" customHeight="1" thickBot="1">
      <c r="A1512" s="113" t="s">
        <v>18</v>
      </c>
      <c r="B1512" s="114"/>
      <c r="C1512" s="114"/>
      <c r="D1512" s="115"/>
    </row>
    <row r="1513" spans="1:4" ht="42.75" customHeight="1" thickBot="1">
      <c r="A1513" s="126" t="s">
        <v>19</v>
      </c>
      <c r="B1513" s="127"/>
      <c r="C1513" s="127"/>
      <c r="D1513" s="128"/>
    </row>
    <row r="1514" spans="1:4" ht="42.75" customHeight="1" thickBot="1">
      <c r="A1514" s="123" t="s">
        <v>11</v>
      </c>
      <c r="B1514" s="124"/>
      <c r="C1514" s="125" t="s">
        <v>603</v>
      </c>
      <c r="D1514" s="124"/>
    </row>
    <row r="1515" spans="1:4" ht="42.75" customHeight="1" thickBot="1">
      <c r="A1515" s="1" t="s">
        <v>686</v>
      </c>
      <c r="B1515" s="26" t="s">
        <v>1</v>
      </c>
      <c r="C1515" s="90" t="s">
        <v>259</v>
      </c>
      <c r="D1515" s="91"/>
    </row>
    <row r="1516" spans="1:4" ht="42.75" customHeight="1" thickBot="1">
      <c r="A1516" s="26"/>
      <c r="B1516" s="26" t="s">
        <v>0</v>
      </c>
      <c r="C1516" s="5" t="s">
        <v>687</v>
      </c>
      <c r="D1516" s="4" t="s">
        <v>2</v>
      </c>
    </row>
    <row r="1517" spans="1:4" ht="42.75" customHeight="1" thickBot="1">
      <c r="A1517" s="92">
        <v>182</v>
      </c>
      <c r="B1517" s="93"/>
      <c r="C1517" s="94" t="s">
        <v>3</v>
      </c>
      <c r="D1517" s="95"/>
    </row>
    <row r="1518" spans="1:4" ht="42.75" customHeight="1" thickBot="1">
      <c r="A1518" s="92">
        <v>182</v>
      </c>
      <c r="B1518" s="93"/>
      <c r="C1518" s="96" t="s">
        <v>4</v>
      </c>
      <c r="D1518" s="97"/>
    </row>
    <row r="1519" spans="1:4" ht="42.75" customHeight="1" thickBot="1">
      <c r="A1519" s="98">
        <f>A1518-A1517</f>
        <v>0</v>
      </c>
      <c r="B1519" s="99"/>
      <c r="C1519" s="100" t="s">
        <v>5</v>
      </c>
      <c r="D1519" s="97"/>
    </row>
    <row r="1520" spans="1:4" ht="42.75" customHeight="1" thickBot="1">
      <c r="A1520" s="101">
        <v>62</v>
      </c>
      <c r="B1520" s="102"/>
      <c r="C1520" s="96" t="s">
        <v>6</v>
      </c>
      <c r="D1520" s="97"/>
    </row>
    <row r="1521" spans="1:4" ht="42.75" customHeight="1" thickBot="1">
      <c r="A1521" s="103"/>
      <c r="B1521" s="104"/>
      <c r="C1521" s="96" t="s">
        <v>21</v>
      </c>
      <c r="D1521" s="97"/>
    </row>
    <row r="1522" spans="1:4" ht="42.75" customHeight="1" thickBot="1">
      <c r="A1522" s="105">
        <f>A1520*A1519</f>
        <v>0</v>
      </c>
      <c r="B1522" s="106"/>
      <c r="C1522" s="96" t="s">
        <v>7</v>
      </c>
      <c r="D1522" s="97"/>
    </row>
    <row r="1523" spans="1:4" ht="42.75" customHeight="1" thickBot="1">
      <c r="A1523" s="107" t="s">
        <v>17</v>
      </c>
      <c r="B1523" s="108"/>
      <c r="C1523" s="108"/>
      <c r="D1523" s="109"/>
    </row>
    <row r="1524" spans="1:4" ht="42.75" customHeight="1" thickBot="1">
      <c r="A1524" s="116" t="s">
        <v>20</v>
      </c>
      <c r="B1524" s="117"/>
      <c r="C1524" s="117"/>
      <c r="D1524" s="118"/>
    </row>
    <row r="1525" spans="1:4" ht="42.75" customHeight="1" thickBot="1">
      <c r="A1525" s="113" t="s">
        <v>18</v>
      </c>
      <c r="B1525" s="114"/>
      <c r="C1525" s="114"/>
      <c r="D1525" s="115"/>
    </row>
    <row r="1526" spans="1:4" ht="42.75" customHeight="1" thickBot="1">
      <c r="A1526" s="119"/>
      <c r="B1526" s="119"/>
      <c r="C1526" s="119"/>
      <c r="D1526" s="119"/>
    </row>
    <row r="1527" spans="1:4" ht="42.75" customHeight="1" thickBot="1">
      <c r="A1527" s="126" t="s">
        <v>19</v>
      </c>
      <c r="B1527" s="127"/>
      <c r="C1527" s="127"/>
      <c r="D1527" s="128"/>
    </row>
    <row r="1528" spans="1:4" ht="42.75" customHeight="1" thickBot="1">
      <c r="A1528" s="123" t="s">
        <v>11</v>
      </c>
      <c r="B1528" s="124"/>
      <c r="C1528" s="125" t="s">
        <v>603</v>
      </c>
      <c r="D1528" s="124"/>
    </row>
    <row r="1529" spans="1:4" ht="42.75" customHeight="1" thickBot="1">
      <c r="A1529" s="1" t="s">
        <v>686</v>
      </c>
      <c r="B1529" s="26" t="s">
        <v>1</v>
      </c>
      <c r="C1529" s="90" t="s">
        <v>259</v>
      </c>
      <c r="D1529" s="91"/>
    </row>
    <row r="1530" spans="1:4" ht="42.75" customHeight="1" thickBot="1">
      <c r="A1530" s="26"/>
      <c r="B1530" s="26" t="s">
        <v>0</v>
      </c>
      <c r="C1530" s="5" t="s">
        <v>687</v>
      </c>
      <c r="D1530" s="4" t="s">
        <v>2</v>
      </c>
    </row>
    <row r="1531" spans="1:4" ht="42.75" customHeight="1" thickBot="1">
      <c r="A1531" s="92">
        <v>176</v>
      </c>
      <c r="B1531" s="93"/>
      <c r="C1531" s="94" t="s">
        <v>3</v>
      </c>
      <c r="D1531" s="95"/>
    </row>
    <row r="1532" spans="1:4" ht="42.75" customHeight="1" thickBot="1">
      <c r="A1532" s="92">
        <v>182</v>
      </c>
      <c r="B1532" s="93"/>
      <c r="C1532" s="96" t="s">
        <v>4</v>
      </c>
      <c r="D1532" s="97"/>
    </row>
    <row r="1533" spans="1:4" ht="42.75" customHeight="1" thickBot="1">
      <c r="A1533" s="98">
        <f>A1532-A1531</f>
        <v>6</v>
      </c>
      <c r="B1533" s="99"/>
      <c r="C1533" s="100" t="s">
        <v>5</v>
      </c>
      <c r="D1533" s="97"/>
    </row>
    <row r="1534" spans="1:4" ht="42.75" customHeight="1" thickBot="1">
      <c r="A1534" s="101">
        <v>62</v>
      </c>
      <c r="B1534" s="102"/>
      <c r="C1534" s="96" t="s">
        <v>6</v>
      </c>
      <c r="D1534" s="97"/>
    </row>
    <row r="1535" spans="1:4" ht="42.75" customHeight="1" thickBot="1">
      <c r="A1535" s="103"/>
      <c r="B1535" s="104"/>
      <c r="C1535" s="96" t="s">
        <v>21</v>
      </c>
      <c r="D1535" s="97"/>
    </row>
    <row r="1536" spans="1:4" ht="42.75" customHeight="1" thickBot="1">
      <c r="A1536" s="105">
        <v>370</v>
      </c>
      <c r="B1536" s="106"/>
      <c r="C1536" s="96" t="s">
        <v>7</v>
      </c>
      <c r="D1536" s="97"/>
    </row>
    <row r="1537" spans="1:16" ht="42.75" customHeight="1" thickBot="1">
      <c r="A1537" s="107" t="s">
        <v>17</v>
      </c>
      <c r="B1537" s="108"/>
      <c r="C1537" s="108"/>
      <c r="D1537" s="109"/>
    </row>
    <row r="1538" spans="1:16" ht="42.75" customHeight="1" thickBot="1">
      <c r="A1538" s="110" t="s">
        <v>20</v>
      </c>
      <c r="B1538" s="111"/>
      <c r="C1538" s="111"/>
      <c r="D1538" s="112"/>
    </row>
    <row r="1539" spans="1:16" ht="42.75" customHeight="1" thickBot="1">
      <c r="A1539" s="113" t="s">
        <v>18</v>
      </c>
      <c r="B1539" s="114"/>
      <c r="C1539" s="114"/>
      <c r="D1539" s="115"/>
    </row>
    <row r="1540" spans="1:16" s="7" customFormat="1" ht="42.75" customHeight="1" thickBot="1">
      <c r="A1540" s="126" t="s">
        <v>19</v>
      </c>
      <c r="B1540" s="127"/>
      <c r="C1540" s="127"/>
      <c r="D1540" s="128"/>
      <c r="J1540" s="8"/>
      <c r="K1540" s="8"/>
      <c r="L1540" s="8"/>
      <c r="M1540" s="8"/>
      <c r="N1540" s="8"/>
      <c r="O1540" s="8"/>
      <c r="P1540" s="8"/>
    </row>
    <row r="1541" spans="1:16" s="7" customFormat="1" ht="42.75" customHeight="1" thickBot="1">
      <c r="A1541" s="123" t="s">
        <v>11</v>
      </c>
      <c r="B1541" s="124"/>
      <c r="C1541" s="125" t="s">
        <v>603</v>
      </c>
      <c r="D1541" s="124"/>
      <c r="J1541" s="8"/>
      <c r="K1541" s="8"/>
      <c r="L1541" s="8"/>
      <c r="M1541" s="8"/>
      <c r="N1541" s="8"/>
      <c r="O1541" s="8"/>
      <c r="P1541" s="8"/>
    </row>
    <row r="1542" spans="1:16" s="7" customFormat="1" ht="42.75" customHeight="1" thickBot="1">
      <c r="A1542" s="1" t="s">
        <v>686</v>
      </c>
      <c r="B1542" s="26" t="s">
        <v>1</v>
      </c>
      <c r="C1542" s="90" t="s">
        <v>260</v>
      </c>
      <c r="D1542" s="91"/>
      <c r="J1542" s="8"/>
      <c r="K1542" s="8"/>
      <c r="L1542" s="8"/>
      <c r="M1542" s="8"/>
      <c r="N1542" s="8"/>
      <c r="O1542" s="8"/>
      <c r="P1542" s="8"/>
    </row>
    <row r="1543" spans="1:16" s="7" customFormat="1" ht="42.75" customHeight="1" thickBot="1">
      <c r="A1543" s="26"/>
      <c r="B1543" s="26" t="s">
        <v>0</v>
      </c>
      <c r="C1543" s="5" t="s">
        <v>687</v>
      </c>
      <c r="D1543" s="4" t="s">
        <v>2</v>
      </c>
      <c r="J1543" s="8"/>
      <c r="K1543" s="8"/>
      <c r="L1543" s="8"/>
      <c r="M1543" s="8"/>
      <c r="N1543" s="8"/>
      <c r="O1543" s="8"/>
      <c r="P1543" s="8"/>
    </row>
    <row r="1544" spans="1:16" s="7" customFormat="1" ht="42.75" customHeight="1" thickBot="1">
      <c r="A1544" s="92">
        <v>1100</v>
      </c>
      <c r="B1544" s="93"/>
      <c r="C1544" s="94" t="s">
        <v>3</v>
      </c>
      <c r="D1544" s="95"/>
      <c r="J1544" s="8"/>
      <c r="K1544" s="8"/>
      <c r="L1544" s="8"/>
      <c r="M1544" s="8"/>
      <c r="N1544" s="8"/>
      <c r="O1544" s="8"/>
      <c r="P1544" s="8"/>
    </row>
    <row r="1545" spans="1:16" s="7" customFormat="1" ht="42.75" customHeight="1" thickBot="1">
      <c r="A1545" s="92">
        <v>1100</v>
      </c>
      <c r="B1545" s="93"/>
      <c r="C1545" s="96" t="s">
        <v>4</v>
      </c>
      <c r="D1545" s="97"/>
      <c r="J1545" s="8"/>
      <c r="K1545" s="8"/>
      <c r="L1545" s="8"/>
      <c r="M1545" s="8"/>
      <c r="N1545" s="8"/>
      <c r="O1545" s="8"/>
      <c r="P1545" s="8"/>
    </row>
    <row r="1546" spans="1:16" s="7" customFormat="1" ht="42.75" customHeight="1" thickBot="1">
      <c r="A1546" s="98">
        <f>A1545-A1544</f>
        <v>0</v>
      </c>
      <c r="B1546" s="99"/>
      <c r="C1546" s="100" t="s">
        <v>5</v>
      </c>
      <c r="D1546" s="97"/>
      <c r="J1546" s="8"/>
      <c r="K1546" s="8"/>
      <c r="L1546" s="8"/>
      <c r="M1546" s="8"/>
      <c r="N1546" s="8"/>
      <c r="O1546" s="8"/>
      <c r="P1546" s="8"/>
    </row>
    <row r="1547" spans="1:16" s="7" customFormat="1" ht="42.75" customHeight="1" thickBot="1">
      <c r="A1547" s="101">
        <v>50</v>
      </c>
      <c r="B1547" s="102"/>
      <c r="C1547" s="96" t="s">
        <v>6</v>
      </c>
      <c r="D1547" s="97"/>
      <c r="J1547" s="8"/>
      <c r="K1547" s="8"/>
      <c r="L1547" s="8"/>
      <c r="M1547" s="8"/>
      <c r="N1547" s="8"/>
      <c r="O1547" s="8"/>
      <c r="P1547" s="8"/>
    </row>
    <row r="1548" spans="1:16" s="7" customFormat="1" ht="42.75" customHeight="1" thickBot="1">
      <c r="A1548" s="103"/>
      <c r="B1548" s="104"/>
      <c r="C1548" s="96" t="s">
        <v>21</v>
      </c>
      <c r="D1548" s="97"/>
      <c r="J1548" s="8"/>
      <c r="K1548" s="8"/>
      <c r="L1548" s="8"/>
      <c r="M1548" s="8"/>
      <c r="N1548" s="8"/>
      <c r="O1548" s="8"/>
      <c r="P1548" s="8"/>
    </row>
    <row r="1549" spans="1:16" s="7" customFormat="1" ht="42.75" customHeight="1" thickBot="1">
      <c r="A1549" s="105">
        <f>A1547*A1546</f>
        <v>0</v>
      </c>
      <c r="B1549" s="106"/>
      <c r="C1549" s="96" t="s">
        <v>7</v>
      </c>
      <c r="D1549" s="97"/>
      <c r="J1549" s="8"/>
      <c r="K1549" s="8"/>
      <c r="L1549" s="8"/>
      <c r="M1549" s="8"/>
      <c r="N1549" s="8"/>
      <c r="O1549" s="8"/>
      <c r="P1549" s="8"/>
    </row>
    <row r="1550" spans="1:16" s="7" customFormat="1" ht="42.75" customHeight="1" thickBot="1">
      <c r="A1550" s="107" t="s">
        <v>17</v>
      </c>
      <c r="B1550" s="108"/>
      <c r="C1550" s="108"/>
      <c r="D1550" s="109"/>
      <c r="J1550" s="8"/>
      <c r="K1550" s="8"/>
      <c r="L1550" s="8"/>
      <c r="M1550" s="8"/>
      <c r="N1550" s="8"/>
      <c r="O1550" s="8"/>
      <c r="P1550" s="8"/>
    </row>
    <row r="1551" spans="1:16" s="7" customFormat="1" ht="42.75" customHeight="1" thickBot="1">
      <c r="A1551" s="116" t="s">
        <v>20</v>
      </c>
      <c r="B1551" s="117"/>
      <c r="C1551" s="117"/>
      <c r="D1551" s="118"/>
      <c r="J1551" s="8"/>
      <c r="K1551" s="8"/>
      <c r="L1551" s="8"/>
      <c r="M1551" s="8"/>
      <c r="N1551" s="8"/>
      <c r="O1551" s="8"/>
      <c r="P1551" s="8"/>
    </row>
    <row r="1552" spans="1:16" s="7" customFormat="1" ht="42.75" customHeight="1" thickBot="1">
      <c r="A1552" s="113" t="s">
        <v>18</v>
      </c>
      <c r="B1552" s="114"/>
      <c r="C1552" s="114"/>
      <c r="D1552" s="115"/>
      <c r="J1552" s="8"/>
      <c r="K1552" s="8"/>
      <c r="L1552" s="8"/>
      <c r="M1552" s="8"/>
      <c r="N1552" s="8"/>
      <c r="O1552" s="8"/>
      <c r="P1552" s="8"/>
    </row>
    <row r="1553" spans="1:16" s="7" customFormat="1" ht="42.75" customHeight="1" thickBot="1">
      <c r="A1553" s="119"/>
      <c r="B1553" s="119"/>
      <c r="C1553" s="119"/>
      <c r="D1553" s="119"/>
      <c r="J1553" s="8"/>
      <c r="K1553" s="8"/>
      <c r="L1553" s="8"/>
      <c r="M1553" s="8"/>
      <c r="N1553" s="8"/>
      <c r="O1553" s="8"/>
      <c r="P1553" s="8"/>
    </row>
    <row r="1554" spans="1:16" s="7" customFormat="1" ht="42.75" customHeight="1" thickBot="1">
      <c r="A1554" s="126" t="s">
        <v>19</v>
      </c>
      <c r="B1554" s="127"/>
      <c r="C1554" s="127"/>
      <c r="D1554" s="128"/>
      <c r="J1554" s="8"/>
      <c r="K1554" s="8"/>
      <c r="L1554" s="8"/>
      <c r="M1554" s="8"/>
      <c r="N1554" s="8"/>
      <c r="O1554" s="8"/>
      <c r="P1554" s="8"/>
    </row>
    <row r="1555" spans="1:16" s="7" customFormat="1" ht="42.75" customHeight="1" thickBot="1">
      <c r="A1555" s="123" t="s">
        <v>11</v>
      </c>
      <c r="B1555" s="124"/>
      <c r="C1555" s="125" t="s">
        <v>603</v>
      </c>
      <c r="D1555" s="124"/>
      <c r="J1555" s="8"/>
      <c r="K1555" s="8"/>
      <c r="L1555" s="8"/>
      <c r="M1555" s="8"/>
      <c r="N1555" s="8"/>
      <c r="O1555" s="8"/>
      <c r="P1555" s="8"/>
    </row>
    <row r="1556" spans="1:16" s="7" customFormat="1" ht="42.75" customHeight="1" thickBot="1">
      <c r="A1556" s="1" t="s">
        <v>686</v>
      </c>
      <c r="B1556" s="26" t="s">
        <v>1</v>
      </c>
      <c r="C1556" s="90" t="s">
        <v>260</v>
      </c>
      <c r="D1556" s="91"/>
      <c r="J1556" s="8"/>
      <c r="K1556" s="8"/>
      <c r="L1556" s="8"/>
      <c r="M1556" s="8"/>
      <c r="N1556" s="8"/>
      <c r="O1556" s="8"/>
      <c r="P1556" s="8"/>
    </row>
    <row r="1557" spans="1:16" s="7" customFormat="1" ht="42.75" customHeight="1" thickBot="1">
      <c r="A1557" s="26"/>
      <c r="B1557" s="26" t="s">
        <v>0</v>
      </c>
      <c r="C1557" s="5" t="s">
        <v>687</v>
      </c>
      <c r="D1557" s="4" t="s">
        <v>2</v>
      </c>
      <c r="J1557" s="8"/>
      <c r="K1557" s="8"/>
      <c r="L1557" s="8"/>
      <c r="M1557" s="8"/>
      <c r="N1557" s="8"/>
      <c r="O1557" s="8"/>
      <c r="P1557" s="8"/>
    </row>
    <row r="1558" spans="1:16" s="7" customFormat="1" ht="42.75" customHeight="1" thickBot="1">
      <c r="A1558" s="92">
        <v>1020</v>
      </c>
      <c r="B1558" s="93"/>
      <c r="C1558" s="94" t="s">
        <v>3</v>
      </c>
      <c r="D1558" s="95"/>
      <c r="J1558" s="8"/>
      <c r="K1558" s="8"/>
      <c r="L1558" s="8"/>
      <c r="M1558" s="8"/>
      <c r="N1558" s="8"/>
      <c r="O1558" s="8"/>
      <c r="P1558" s="8"/>
    </row>
    <row r="1559" spans="1:16" s="7" customFormat="1" ht="42.75" customHeight="1" thickBot="1">
      <c r="A1559" s="92">
        <v>1100</v>
      </c>
      <c r="B1559" s="93"/>
      <c r="C1559" s="96" t="s">
        <v>4</v>
      </c>
      <c r="D1559" s="97"/>
      <c r="J1559" s="8"/>
      <c r="K1559" s="8"/>
      <c r="L1559" s="8"/>
      <c r="M1559" s="8"/>
      <c r="N1559" s="8"/>
      <c r="O1559" s="8"/>
      <c r="P1559" s="8"/>
    </row>
    <row r="1560" spans="1:16" s="7" customFormat="1" ht="42.75" customHeight="1" thickBot="1">
      <c r="A1560" s="98">
        <f>A1559-A1558</f>
        <v>80</v>
      </c>
      <c r="B1560" s="99"/>
      <c r="C1560" s="100" t="s">
        <v>5</v>
      </c>
      <c r="D1560" s="97"/>
      <c r="J1560" s="8"/>
      <c r="K1560" s="8"/>
      <c r="L1560" s="8"/>
      <c r="M1560" s="8"/>
      <c r="N1560" s="8"/>
      <c r="O1560" s="8"/>
      <c r="P1560" s="8"/>
    </row>
    <row r="1561" spans="1:16" s="7" customFormat="1" ht="42.75" customHeight="1" thickBot="1">
      <c r="A1561" s="101">
        <v>62</v>
      </c>
      <c r="B1561" s="102"/>
      <c r="C1561" s="96" t="s">
        <v>6</v>
      </c>
      <c r="D1561" s="97"/>
      <c r="J1561" s="8"/>
      <c r="K1561" s="8"/>
      <c r="L1561" s="8"/>
      <c r="M1561" s="8"/>
      <c r="N1561" s="8"/>
      <c r="O1561" s="8"/>
      <c r="P1561" s="8"/>
    </row>
    <row r="1562" spans="1:16" s="7" customFormat="1" ht="42.75" customHeight="1" thickBot="1">
      <c r="A1562" s="103"/>
      <c r="B1562" s="104"/>
      <c r="C1562" s="96" t="s">
        <v>21</v>
      </c>
      <c r="D1562" s="97"/>
      <c r="J1562" s="8"/>
      <c r="K1562" s="8"/>
      <c r="L1562" s="8"/>
      <c r="M1562" s="8"/>
      <c r="N1562" s="8"/>
      <c r="O1562" s="8"/>
      <c r="P1562" s="8"/>
    </row>
    <row r="1563" spans="1:16" s="7" customFormat="1" ht="42.75" customHeight="1" thickBot="1">
      <c r="A1563" s="105">
        <f>A1561*A1560</f>
        <v>4960</v>
      </c>
      <c r="B1563" s="106"/>
      <c r="C1563" s="96" t="s">
        <v>7</v>
      </c>
      <c r="D1563" s="97"/>
      <c r="J1563" s="8"/>
      <c r="K1563" s="8"/>
      <c r="L1563" s="8"/>
      <c r="M1563" s="8"/>
      <c r="N1563" s="8"/>
      <c r="O1563" s="8"/>
      <c r="P1563" s="8"/>
    </row>
    <row r="1564" spans="1:16" s="7" customFormat="1" ht="42.75" customHeight="1" thickBot="1">
      <c r="A1564" s="107" t="s">
        <v>17</v>
      </c>
      <c r="B1564" s="108"/>
      <c r="C1564" s="108"/>
      <c r="D1564" s="109"/>
      <c r="J1564" s="8"/>
      <c r="K1564" s="8"/>
      <c r="L1564" s="8"/>
      <c r="M1564" s="8"/>
      <c r="N1564" s="8"/>
      <c r="O1564" s="8"/>
      <c r="P1564" s="8"/>
    </row>
    <row r="1565" spans="1:16" s="7" customFormat="1" ht="42.75" customHeight="1" thickBot="1">
      <c r="A1565" s="110" t="s">
        <v>20</v>
      </c>
      <c r="B1565" s="111"/>
      <c r="C1565" s="111"/>
      <c r="D1565" s="112"/>
      <c r="J1565" s="8"/>
      <c r="K1565" s="8"/>
      <c r="L1565" s="8"/>
      <c r="M1565" s="8"/>
      <c r="N1565" s="8"/>
      <c r="O1565" s="8"/>
      <c r="P1565" s="8"/>
    </row>
    <row r="1566" spans="1:16" s="7" customFormat="1" ht="42.75" customHeight="1" thickBot="1">
      <c r="A1566" s="113" t="s">
        <v>18</v>
      </c>
      <c r="B1566" s="114"/>
      <c r="C1566" s="114"/>
      <c r="D1566" s="115"/>
      <c r="J1566" s="8"/>
      <c r="K1566" s="8"/>
      <c r="L1566" s="8"/>
      <c r="M1566" s="8"/>
      <c r="N1566" s="8"/>
      <c r="O1566" s="8"/>
      <c r="P1566" s="8"/>
    </row>
    <row r="1567" spans="1:16" s="7" customFormat="1" ht="42.75" customHeight="1" thickBot="1">
      <c r="A1567" s="126" t="s">
        <v>19</v>
      </c>
      <c r="B1567" s="127"/>
      <c r="C1567" s="127"/>
      <c r="D1567" s="128"/>
      <c r="J1567" s="8"/>
      <c r="K1567" s="8"/>
      <c r="L1567" s="8"/>
      <c r="M1567" s="8"/>
      <c r="N1567" s="8"/>
      <c r="O1567" s="8"/>
      <c r="P1567" s="8"/>
    </row>
    <row r="1568" spans="1:16" s="7" customFormat="1" ht="42.75" customHeight="1" thickBot="1">
      <c r="A1568" s="123" t="s">
        <v>11</v>
      </c>
      <c r="B1568" s="124"/>
      <c r="C1568" s="125" t="s">
        <v>603</v>
      </c>
      <c r="D1568" s="124"/>
      <c r="J1568" s="8"/>
      <c r="K1568" s="8"/>
      <c r="L1568" s="8"/>
      <c r="M1568" s="8"/>
      <c r="N1568" s="8"/>
      <c r="O1568" s="8"/>
      <c r="P1568" s="8"/>
    </row>
    <row r="1569" spans="1:16" s="7" customFormat="1" ht="42.75" customHeight="1" thickBot="1">
      <c r="A1569" s="1" t="s">
        <v>686</v>
      </c>
      <c r="B1569" s="26" t="s">
        <v>1</v>
      </c>
      <c r="C1569" s="90" t="s">
        <v>561</v>
      </c>
      <c r="D1569" s="91"/>
      <c r="J1569" s="8"/>
      <c r="K1569" s="8"/>
      <c r="L1569" s="8"/>
      <c r="M1569" s="8"/>
      <c r="N1569" s="8"/>
      <c r="O1569" s="8"/>
      <c r="P1569" s="8"/>
    </row>
    <row r="1570" spans="1:16" s="7" customFormat="1" ht="42.75" customHeight="1" thickBot="1">
      <c r="A1570" s="26"/>
      <c r="B1570" s="26" t="s">
        <v>0</v>
      </c>
      <c r="C1570" s="5" t="s">
        <v>687</v>
      </c>
      <c r="D1570" s="4" t="s">
        <v>2</v>
      </c>
      <c r="J1570" s="8"/>
      <c r="K1570" s="8"/>
      <c r="L1570" s="8"/>
      <c r="M1570" s="8"/>
      <c r="N1570" s="8"/>
      <c r="O1570" s="8"/>
      <c r="P1570" s="8"/>
    </row>
    <row r="1571" spans="1:16" s="7" customFormat="1" ht="42.75" customHeight="1" thickBot="1">
      <c r="A1571" s="92">
        <v>435</v>
      </c>
      <c r="B1571" s="93"/>
      <c r="C1571" s="94" t="s">
        <v>3</v>
      </c>
      <c r="D1571" s="95"/>
      <c r="J1571" s="8"/>
      <c r="K1571" s="8"/>
      <c r="L1571" s="8"/>
      <c r="M1571" s="8"/>
      <c r="N1571" s="8"/>
      <c r="O1571" s="8"/>
      <c r="P1571" s="8"/>
    </row>
    <row r="1572" spans="1:16" s="7" customFormat="1" ht="42.75" customHeight="1" thickBot="1">
      <c r="A1572" s="92">
        <v>435</v>
      </c>
      <c r="B1572" s="93"/>
      <c r="C1572" s="96" t="s">
        <v>4</v>
      </c>
      <c r="D1572" s="97"/>
      <c r="J1572" s="8"/>
      <c r="K1572" s="8"/>
      <c r="L1572" s="8"/>
      <c r="M1572" s="8"/>
      <c r="N1572" s="8"/>
      <c r="O1572" s="8"/>
      <c r="P1572" s="8"/>
    </row>
    <row r="1573" spans="1:16" s="7" customFormat="1" ht="42.75" customHeight="1" thickBot="1">
      <c r="A1573" s="98">
        <f>A1572-A1571</f>
        <v>0</v>
      </c>
      <c r="B1573" s="99"/>
      <c r="C1573" s="100" t="s">
        <v>5</v>
      </c>
      <c r="D1573" s="97"/>
      <c r="J1573" s="8"/>
      <c r="K1573" s="8"/>
      <c r="L1573" s="8"/>
      <c r="M1573" s="8"/>
      <c r="N1573" s="8"/>
      <c r="O1573" s="8"/>
      <c r="P1573" s="8"/>
    </row>
    <row r="1574" spans="1:16" s="7" customFormat="1" ht="42.75" customHeight="1" thickBot="1">
      <c r="A1574" s="101">
        <v>62</v>
      </c>
      <c r="B1574" s="102"/>
      <c r="C1574" s="96" t="s">
        <v>6</v>
      </c>
      <c r="D1574" s="97"/>
      <c r="J1574" s="8"/>
      <c r="K1574" s="8"/>
      <c r="L1574" s="8"/>
      <c r="M1574" s="8"/>
      <c r="N1574" s="8"/>
      <c r="O1574" s="8"/>
      <c r="P1574" s="8"/>
    </row>
    <row r="1575" spans="1:16" s="7" customFormat="1" ht="42.75" customHeight="1" thickBot="1">
      <c r="A1575" s="103"/>
      <c r="B1575" s="104"/>
      <c r="C1575" s="96" t="s">
        <v>21</v>
      </c>
      <c r="D1575" s="97"/>
      <c r="J1575" s="8"/>
      <c r="K1575" s="8"/>
      <c r="L1575" s="8"/>
      <c r="M1575" s="8"/>
      <c r="N1575" s="8"/>
      <c r="O1575" s="8"/>
      <c r="P1575" s="8"/>
    </row>
    <row r="1576" spans="1:16" s="7" customFormat="1" ht="42.75" customHeight="1" thickBot="1">
      <c r="A1576" s="105">
        <f>A1574*A1573</f>
        <v>0</v>
      </c>
      <c r="B1576" s="106"/>
      <c r="C1576" s="96" t="s">
        <v>7</v>
      </c>
      <c r="D1576" s="97"/>
      <c r="J1576" s="8"/>
      <c r="K1576" s="8"/>
      <c r="L1576" s="8"/>
      <c r="M1576" s="8"/>
      <c r="N1576" s="8"/>
      <c r="O1576" s="8"/>
      <c r="P1576" s="8"/>
    </row>
    <row r="1577" spans="1:16" s="7" customFormat="1" ht="42.75" customHeight="1" thickBot="1">
      <c r="A1577" s="107" t="s">
        <v>17</v>
      </c>
      <c r="B1577" s="108"/>
      <c r="C1577" s="108"/>
      <c r="D1577" s="109"/>
      <c r="J1577" s="8"/>
      <c r="K1577" s="8"/>
      <c r="L1577" s="8"/>
      <c r="M1577" s="8"/>
      <c r="N1577" s="8"/>
      <c r="O1577" s="8"/>
      <c r="P1577" s="8"/>
    </row>
    <row r="1578" spans="1:16" s="7" customFormat="1" ht="42.75" customHeight="1" thickBot="1">
      <c r="A1578" s="116" t="s">
        <v>20</v>
      </c>
      <c r="B1578" s="117"/>
      <c r="C1578" s="117"/>
      <c r="D1578" s="118"/>
      <c r="J1578" s="8"/>
      <c r="K1578" s="8"/>
      <c r="L1578" s="8"/>
      <c r="M1578" s="8"/>
      <c r="N1578" s="8"/>
      <c r="O1578" s="8"/>
      <c r="P1578" s="8"/>
    </row>
    <row r="1579" spans="1:16" s="7" customFormat="1" ht="42.75" customHeight="1" thickBot="1">
      <c r="A1579" s="113" t="s">
        <v>18</v>
      </c>
      <c r="B1579" s="114"/>
      <c r="C1579" s="114"/>
      <c r="D1579" s="115"/>
      <c r="J1579" s="8"/>
      <c r="K1579" s="8"/>
      <c r="L1579" s="8"/>
      <c r="M1579" s="8"/>
      <c r="N1579" s="8"/>
      <c r="O1579" s="8"/>
      <c r="P1579" s="8"/>
    </row>
    <row r="1580" spans="1:16" s="7" customFormat="1" ht="42.75" customHeight="1" thickBot="1">
      <c r="A1580" s="119"/>
      <c r="B1580" s="119"/>
      <c r="C1580" s="119"/>
      <c r="D1580" s="119"/>
      <c r="J1580" s="8"/>
      <c r="K1580" s="8"/>
      <c r="L1580" s="8"/>
      <c r="M1580" s="8"/>
      <c r="N1580" s="8"/>
      <c r="O1580" s="8"/>
      <c r="P1580" s="8"/>
    </row>
    <row r="1581" spans="1:16" s="7" customFormat="1" ht="42.75" customHeight="1" thickBot="1">
      <c r="A1581" s="126" t="s">
        <v>19</v>
      </c>
      <c r="B1581" s="127"/>
      <c r="C1581" s="127"/>
      <c r="D1581" s="128"/>
      <c r="J1581" s="8"/>
      <c r="K1581" s="8"/>
      <c r="L1581" s="8"/>
      <c r="M1581" s="8"/>
      <c r="N1581" s="8"/>
      <c r="O1581" s="8"/>
      <c r="P1581" s="8"/>
    </row>
    <row r="1582" spans="1:16" s="7" customFormat="1" ht="42.75" customHeight="1" thickBot="1">
      <c r="A1582" s="123" t="s">
        <v>11</v>
      </c>
      <c r="B1582" s="124"/>
      <c r="C1582" s="125" t="s">
        <v>603</v>
      </c>
      <c r="D1582" s="124"/>
      <c r="J1582" s="8"/>
      <c r="K1582" s="8"/>
      <c r="L1582" s="8"/>
      <c r="M1582" s="8"/>
      <c r="N1582" s="8"/>
      <c r="O1582" s="8"/>
      <c r="P1582" s="8"/>
    </row>
    <row r="1583" spans="1:16" s="7" customFormat="1" ht="42.75" customHeight="1" thickBot="1">
      <c r="A1583" s="1" t="s">
        <v>686</v>
      </c>
      <c r="B1583" s="26" t="s">
        <v>1</v>
      </c>
      <c r="C1583" s="90" t="s">
        <v>561</v>
      </c>
      <c r="D1583" s="91"/>
      <c r="J1583" s="8"/>
      <c r="K1583" s="8"/>
      <c r="L1583" s="8"/>
      <c r="M1583" s="8"/>
      <c r="N1583" s="8"/>
      <c r="O1583" s="8"/>
      <c r="P1583" s="8"/>
    </row>
    <row r="1584" spans="1:16" s="7" customFormat="1" ht="42.75" customHeight="1" thickBot="1">
      <c r="A1584" s="26"/>
      <c r="B1584" s="26" t="s">
        <v>0</v>
      </c>
      <c r="C1584" s="5" t="s">
        <v>687</v>
      </c>
      <c r="D1584" s="4" t="s">
        <v>2</v>
      </c>
      <c r="J1584" s="8"/>
      <c r="K1584" s="8"/>
      <c r="L1584" s="8"/>
      <c r="M1584" s="8"/>
      <c r="N1584" s="8"/>
      <c r="O1584" s="8"/>
      <c r="P1584" s="8"/>
    </row>
    <row r="1585" spans="1:16" s="7" customFormat="1" ht="42.75" customHeight="1" thickBot="1">
      <c r="A1585" s="92">
        <v>405</v>
      </c>
      <c r="B1585" s="93"/>
      <c r="C1585" s="94" t="s">
        <v>3</v>
      </c>
      <c r="D1585" s="95"/>
      <c r="J1585" s="8"/>
      <c r="K1585" s="8"/>
      <c r="L1585" s="8"/>
      <c r="M1585" s="8"/>
      <c r="N1585" s="8"/>
      <c r="O1585" s="8"/>
      <c r="P1585" s="8"/>
    </row>
    <row r="1586" spans="1:16" s="7" customFormat="1" ht="42.75" customHeight="1" thickBot="1">
      <c r="A1586" s="92">
        <v>435</v>
      </c>
      <c r="B1586" s="93"/>
      <c r="C1586" s="96" t="s">
        <v>4</v>
      </c>
      <c r="D1586" s="97"/>
      <c r="J1586" s="8"/>
      <c r="K1586" s="8"/>
      <c r="L1586" s="8"/>
      <c r="M1586" s="8"/>
      <c r="N1586" s="8"/>
      <c r="O1586" s="8"/>
      <c r="P1586" s="8"/>
    </row>
    <row r="1587" spans="1:16" s="7" customFormat="1" ht="42.75" customHeight="1" thickBot="1">
      <c r="A1587" s="98">
        <f>A1586-A1585</f>
        <v>30</v>
      </c>
      <c r="B1587" s="99"/>
      <c r="C1587" s="100" t="s">
        <v>5</v>
      </c>
      <c r="D1587" s="97"/>
      <c r="J1587" s="8"/>
      <c r="K1587" s="8"/>
      <c r="L1587" s="8"/>
      <c r="M1587" s="8"/>
      <c r="N1587" s="8"/>
      <c r="O1587" s="8"/>
      <c r="P1587" s="8"/>
    </row>
    <row r="1588" spans="1:16" s="7" customFormat="1" ht="42.75" customHeight="1" thickBot="1">
      <c r="A1588" s="101">
        <v>62</v>
      </c>
      <c r="B1588" s="102"/>
      <c r="C1588" s="96" t="s">
        <v>6</v>
      </c>
      <c r="D1588" s="97"/>
      <c r="J1588" s="8"/>
      <c r="K1588" s="8"/>
      <c r="L1588" s="8"/>
      <c r="M1588" s="8"/>
      <c r="N1588" s="8"/>
      <c r="O1588" s="8"/>
      <c r="P1588" s="8"/>
    </row>
    <row r="1589" spans="1:16" s="7" customFormat="1" ht="42.75" customHeight="1" thickBot="1">
      <c r="A1589" s="103"/>
      <c r="B1589" s="104"/>
      <c r="C1589" s="96" t="s">
        <v>21</v>
      </c>
      <c r="D1589" s="97"/>
      <c r="J1589" s="8"/>
      <c r="K1589" s="8"/>
      <c r="L1589" s="8"/>
      <c r="M1589" s="8"/>
      <c r="N1589" s="8"/>
      <c r="O1589" s="8"/>
      <c r="P1589" s="8"/>
    </row>
    <row r="1590" spans="1:16" s="7" customFormat="1" ht="42.75" customHeight="1" thickBot="1">
      <c r="A1590" s="105">
        <f>A1588*A1587</f>
        <v>1860</v>
      </c>
      <c r="B1590" s="106"/>
      <c r="C1590" s="96" t="s">
        <v>7</v>
      </c>
      <c r="D1590" s="97"/>
      <c r="J1590" s="8"/>
      <c r="K1590" s="8"/>
      <c r="L1590" s="8"/>
      <c r="M1590" s="8"/>
      <c r="N1590" s="8"/>
      <c r="O1590" s="8"/>
      <c r="P1590" s="8"/>
    </row>
    <row r="1591" spans="1:16" s="7" customFormat="1" ht="42.75" customHeight="1" thickBot="1">
      <c r="A1591" s="107" t="s">
        <v>17</v>
      </c>
      <c r="B1591" s="108"/>
      <c r="C1591" s="108"/>
      <c r="D1591" s="109"/>
      <c r="J1591" s="8"/>
      <c r="K1591" s="8"/>
      <c r="L1591" s="8"/>
      <c r="M1591" s="8"/>
      <c r="N1591" s="8"/>
      <c r="O1591" s="8"/>
      <c r="P1591" s="8"/>
    </row>
    <row r="1592" spans="1:16" s="7" customFormat="1" ht="42.75" customHeight="1" thickBot="1">
      <c r="A1592" s="110" t="s">
        <v>20</v>
      </c>
      <c r="B1592" s="111"/>
      <c r="C1592" s="111"/>
      <c r="D1592" s="112"/>
      <c r="J1592" s="8"/>
      <c r="K1592" s="8"/>
      <c r="L1592" s="8"/>
      <c r="M1592" s="8"/>
      <c r="N1592" s="8"/>
      <c r="O1592" s="8"/>
      <c r="P1592" s="8"/>
    </row>
    <row r="1593" spans="1:16" s="7" customFormat="1" ht="42.75" customHeight="1" thickBot="1">
      <c r="A1593" s="113" t="s">
        <v>18</v>
      </c>
      <c r="B1593" s="114"/>
      <c r="C1593" s="114"/>
      <c r="D1593" s="115"/>
      <c r="J1593" s="8"/>
      <c r="K1593" s="8"/>
      <c r="L1593" s="8"/>
      <c r="M1593" s="8"/>
      <c r="N1593" s="8"/>
      <c r="O1593" s="8"/>
      <c r="P1593" s="8"/>
    </row>
    <row r="1594" spans="1:16" s="7" customFormat="1" ht="42.75" customHeight="1" thickBot="1">
      <c r="A1594" s="126" t="s">
        <v>19</v>
      </c>
      <c r="B1594" s="127"/>
      <c r="C1594" s="127"/>
      <c r="D1594" s="128"/>
      <c r="J1594" s="8"/>
      <c r="K1594" s="8"/>
      <c r="L1594" s="8"/>
      <c r="M1594" s="8"/>
      <c r="N1594" s="8"/>
      <c r="O1594" s="8"/>
      <c r="P1594" s="8"/>
    </row>
    <row r="1595" spans="1:16" s="7" customFormat="1" ht="42.75" customHeight="1" thickBot="1">
      <c r="A1595" s="123" t="s">
        <v>11</v>
      </c>
      <c r="B1595" s="124"/>
      <c r="C1595" s="125" t="s">
        <v>603</v>
      </c>
      <c r="D1595" s="124"/>
      <c r="J1595" s="8"/>
      <c r="K1595" s="8"/>
      <c r="L1595" s="8"/>
      <c r="M1595" s="8"/>
      <c r="N1595" s="8"/>
      <c r="O1595" s="8"/>
      <c r="P1595" s="8"/>
    </row>
    <row r="1596" spans="1:16" s="7" customFormat="1" ht="42.75" customHeight="1" thickBot="1">
      <c r="A1596" s="1" t="s">
        <v>686</v>
      </c>
      <c r="B1596" s="26" t="s">
        <v>1</v>
      </c>
      <c r="C1596" s="90" t="s">
        <v>261</v>
      </c>
      <c r="D1596" s="91"/>
      <c r="J1596" s="8"/>
      <c r="K1596" s="8"/>
      <c r="L1596" s="8"/>
      <c r="M1596" s="8"/>
      <c r="N1596" s="8"/>
      <c r="O1596" s="8"/>
      <c r="P1596" s="8"/>
    </row>
    <row r="1597" spans="1:16" s="7" customFormat="1" ht="42.75" customHeight="1" thickBot="1">
      <c r="A1597" s="26"/>
      <c r="B1597" s="26" t="s">
        <v>0</v>
      </c>
      <c r="C1597" s="5" t="s">
        <v>687</v>
      </c>
      <c r="D1597" s="4" t="s">
        <v>2</v>
      </c>
      <c r="J1597" s="8"/>
      <c r="K1597" s="8"/>
      <c r="L1597" s="8"/>
      <c r="M1597" s="8"/>
      <c r="N1597" s="8"/>
      <c r="O1597" s="8"/>
      <c r="P1597" s="8"/>
    </row>
    <row r="1598" spans="1:16" s="7" customFormat="1" ht="42.75" customHeight="1" thickBot="1">
      <c r="A1598" s="92">
        <v>4580</v>
      </c>
      <c r="B1598" s="93"/>
      <c r="C1598" s="94" t="s">
        <v>3</v>
      </c>
      <c r="D1598" s="95"/>
      <c r="J1598" s="8"/>
      <c r="K1598" s="8"/>
      <c r="L1598" s="8"/>
      <c r="M1598" s="8"/>
      <c r="N1598" s="8"/>
      <c r="O1598" s="8"/>
      <c r="P1598" s="8"/>
    </row>
    <row r="1599" spans="1:16" s="7" customFormat="1" ht="42.75" customHeight="1" thickBot="1">
      <c r="A1599" s="92">
        <v>4580</v>
      </c>
      <c r="B1599" s="93"/>
      <c r="C1599" s="96" t="s">
        <v>4</v>
      </c>
      <c r="D1599" s="97"/>
      <c r="J1599" s="8"/>
      <c r="K1599" s="8"/>
      <c r="L1599" s="8"/>
      <c r="M1599" s="8"/>
      <c r="N1599" s="8"/>
      <c r="O1599" s="8"/>
      <c r="P1599" s="8"/>
    </row>
    <row r="1600" spans="1:16" s="7" customFormat="1" ht="42.75" customHeight="1" thickBot="1">
      <c r="A1600" s="98">
        <f>A1599-A1598</f>
        <v>0</v>
      </c>
      <c r="B1600" s="99"/>
      <c r="C1600" s="100" t="s">
        <v>5</v>
      </c>
      <c r="D1600" s="97"/>
      <c r="J1600" s="8"/>
      <c r="K1600" s="8"/>
      <c r="L1600" s="8"/>
      <c r="M1600" s="8"/>
      <c r="N1600" s="8"/>
      <c r="O1600" s="8"/>
      <c r="P1600" s="8"/>
    </row>
    <row r="1601" spans="1:16" s="7" customFormat="1" ht="42.75" customHeight="1" thickBot="1">
      <c r="A1601" s="101">
        <v>62</v>
      </c>
      <c r="B1601" s="102"/>
      <c r="C1601" s="96" t="s">
        <v>6</v>
      </c>
      <c r="D1601" s="97"/>
      <c r="J1601" s="8"/>
      <c r="K1601" s="8"/>
      <c r="L1601" s="8"/>
      <c r="M1601" s="8"/>
      <c r="N1601" s="8"/>
      <c r="O1601" s="8"/>
      <c r="P1601" s="8"/>
    </row>
    <row r="1602" spans="1:16" s="7" customFormat="1" ht="42.75" customHeight="1" thickBot="1">
      <c r="A1602" s="103"/>
      <c r="B1602" s="104"/>
      <c r="C1602" s="96" t="s">
        <v>21</v>
      </c>
      <c r="D1602" s="97"/>
      <c r="J1602" s="8"/>
      <c r="K1602" s="8"/>
      <c r="L1602" s="8"/>
      <c r="M1602" s="8"/>
      <c r="N1602" s="8"/>
      <c r="O1602" s="8"/>
      <c r="P1602" s="8"/>
    </row>
    <row r="1603" spans="1:16" s="7" customFormat="1" ht="42.75" customHeight="1" thickBot="1">
      <c r="A1603" s="105">
        <f>A1601*A1600</f>
        <v>0</v>
      </c>
      <c r="B1603" s="106"/>
      <c r="C1603" s="96" t="s">
        <v>7</v>
      </c>
      <c r="D1603" s="97"/>
      <c r="J1603" s="8"/>
      <c r="K1603" s="8"/>
      <c r="L1603" s="8"/>
      <c r="M1603" s="8"/>
      <c r="N1603" s="8"/>
      <c r="O1603" s="8"/>
      <c r="P1603" s="8"/>
    </row>
    <row r="1604" spans="1:16" s="7" customFormat="1" ht="42.75" customHeight="1" thickBot="1">
      <c r="A1604" s="107" t="s">
        <v>17</v>
      </c>
      <c r="B1604" s="108"/>
      <c r="C1604" s="108"/>
      <c r="D1604" s="109"/>
      <c r="J1604" s="8"/>
      <c r="K1604" s="8"/>
      <c r="L1604" s="8"/>
      <c r="M1604" s="8"/>
      <c r="N1604" s="8"/>
      <c r="O1604" s="8"/>
      <c r="P1604" s="8"/>
    </row>
    <row r="1605" spans="1:16" s="7" customFormat="1" ht="42.75" customHeight="1" thickBot="1">
      <c r="A1605" s="116" t="s">
        <v>20</v>
      </c>
      <c r="B1605" s="117"/>
      <c r="C1605" s="117"/>
      <c r="D1605" s="118"/>
      <c r="J1605" s="8"/>
      <c r="K1605" s="8"/>
      <c r="L1605" s="8"/>
      <c r="M1605" s="8"/>
      <c r="N1605" s="8"/>
      <c r="O1605" s="8"/>
      <c r="P1605" s="8"/>
    </row>
    <row r="1606" spans="1:16" s="7" customFormat="1" ht="42.75" customHeight="1" thickBot="1">
      <c r="A1606" s="113" t="s">
        <v>18</v>
      </c>
      <c r="B1606" s="114"/>
      <c r="C1606" s="114"/>
      <c r="D1606" s="115"/>
      <c r="J1606" s="8"/>
      <c r="K1606" s="8"/>
      <c r="L1606" s="8"/>
      <c r="M1606" s="8"/>
      <c r="N1606" s="8"/>
      <c r="O1606" s="8"/>
      <c r="P1606" s="8"/>
    </row>
    <row r="1607" spans="1:16" s="7" customFormat="1" ht="42.75" customHeight="1" thickBot="1">
      <c r="A1607" s="119"/>
      <c r="B1607" s="119"/>
      <c r="C1607" s="119"/>
      <c r="D1607" s="119"/>
      <c r="J1607" s="8"/>
      <c r="K1607" s="8"/>
      <c r="L1607" s="8"/>
      <c r="M1607" s="8"/>
      <c r="N1607" s="8"/>
      <c r="O1607" s="8"/>
      <c r="P1607" s="8"/>
    </row>
    <row r="1608" spans="1:16" s="7" customFormat="1" ht="42.75" customHeight="1" thickBot="1">
      <c r="A1608" s="126" t="s">
        <v>19</v>
      </c>
      <c r="B1608" s="127"/>
      <c r="C1608" s="127"/>
      <c r="D1608" s="128"/>
      <c r="J1608" s="8"/>
      <c r="K1608" s="8"/>
      <c r="L1608" s="8"/>
      <c r="M1608" s="8"/>
      <c r="N1608" s="8"/>
      <c r="O1608" s="8"/>
      <c r="P1608" s="8"/>
    </row>
    <row r="1609" spans="1:16" s="7" customFormat="1" ht="42.75" customHeight="1" thickBot="1">
      <c r="A1609" s="123" t="s">
        <v>11</v>
      </c>
      <c r="B1609" s="124"/>
      <c r="C1609" s="125" t="s">
        <v>603</v>
      </c>
      <c r="D1609" s="124"/>
      <c r="J1609" s="8"/>
      <c r="K1609" s="8"/>
      <c r="L1609" s="8"/>
      <c r="M1609" s="8"/>
      <c r="N1609" s="8"/>
      <c r="O1609" s="8"/>
      <c r="P1609" s="8"/>
    </row>
    <row r="1610" spans="1:16" s="7" customFormat="1" ht="42.75" customHeight="1" thickBot="1">
      <c r="A1610" s="1" t="s">
        <v>686</v>
      </c>
      <c r="B1610" s="26" t="s">
        <v>1</v>
      </c>
      <c r="C1610" s="90" t="s">
        <v>261</v>
      </c>
      <c r="D1610" s="91"/>
      <c r="J1610" s="8"/>
      <c r="K1610" s="8"/>
      <c r="L1610" s="8"/>
      <c r="M1610" s="8"/>
      <c r="N1610" s="8"/>
      <c r="O1610" s="8"/>
      <c r="P1610" s="8"/>
    </row>
    <row r="1611" spans="1:16" s="7" customFormat="1" ht="42.75" customHeight="1" thickBot="1">
      <c r="A1611" s="26"/>
      <c r="B1611" s="26" t="s">
        <v>0</v>
      </c>
      <c r="C1611" s="5" t="s">
        <v>687</v>
      </c>
      <c r="D1611" s="4" t="s">
        <v>2</v>
      </c>
      <c r="J1611" s="8"/>
      <c r="K1611" s="8"/>
      <c r="L1611" s="8"/>
      <c r="M1611" s="8"/>
      <c r="N1611" s="8"/>
      <c r="O1611" s="8"/>
      <c r="P1611" s="8"/>
    </row>
    <row r="1612" spans="1:16" s="7" customFormat="1" ht="42.75" customHeight="1" thickBot="1">
      <c r="A1612" s="92">
        <v>4548</v>
      </c>
      <c r="B1612" s="93"/>
      <c r="C1612" s="94" t="s">
        <v>3</v>
      </c>
      <c r="D1612" s="95"/>
      <c r="J1612" s="8"/>
      <c r="K1612" s="8"/>
      <c r="L1612" s="8"/>
      <c r="M1612" s="8"/>
      <c r="N1612" s="8"/>
      <c r="O1612" s="8"/>
      <c r="P1612" s="8"/>
    </row>
    <row r="1613" spans="1:16" s="7" customFormat="1" ht="42.75" customHeight="1" thickBot="1">
      <c r="A1613" s="92">
        <v>4580</v>
      </c>
      <c r="B1613" s="93"/>
      <c r="C1613" s="96" t="s">
        <v>4</v>
      </c>
      <c r="D1613" s="97"/>
      <c r="J1613" s="8"/>
      <c r="K1613" s="8"/>
      <c r="L1613" s="8"/>
      <c r="M1613" s="8"/>
      <c r="N1613" s="8"/>
      <c r="O1613" s="8"/>
      <c r="P1613" s="8"/>
    </row>
    <row r="1614" spans="1:16" s="7" customFormat="1" ht="42.75" customHeight="1" thickBot="1">
      <c r="A1614" s="98">
        <f>A1613-A1612</f>
        <v>32</v>
      </c>
      <c r="B1614" s="99"/>
      <c r="C1614" s="100" t="s">
        <v>5</v>
      </c>
      <c r="D1614" s="97"/>
      <c r="J1614" s="8"/>
      <c r="K1614" s="8"/>
      <c r="L1614" s="8"/>
      <c r="M1614" s="8"/>
      <c r="N1614" s="8"/>
      <c r="O1614" s="8"/>
      <c r="P1614" s="8"/>
    </row>
    <row r="1615" spans="1:16" s="7" customFormat="1" ht="42.75" customHeight="1" thickBot="1">
      <c r="A1615" s="101">
        <v>62</v>
      </c>
      <c r="B1615" s="102"/>
      <c r="C1615" s="96" t="s">
        <v>6</v>
      </c>
      <c r="D1615" s="97"/>
      <c r="J1615" s="8"/>
      <c r="K1615" s="8"/>
      <c r="L1615" s="8"/>
      <c r="M1615" s="8"/>
      <c r="N1615" s="8"/>
      <c r="O1615" s="8"/>
      <c r="P1615" s="8"/>
    </row>
    <row r="1616" spans="1:16" s="7" customFormat="1" ht="42.75" customHeight="1" thickBot="1">
      <c r="A1616" s="103"/>
      <c r="B1616" s="104"/>
      <c r="C1616" s="96" t="s">
        <v>21</v>
      </c>
      <c r="D1616" s="97"/>
      <c r="J1616" s="8"/>
      <c r="K1616" s="8"/>
      <c r="L1616" s="8"/>
      <c r="M1616" s="8"/>
      <c r="N1616" s="8"/>
      <c r="O1616" s="8"/>
      <c r="P1616" s="8"/>
    </row>
    <row r="1617" spans="1:16" s="7" customFormat="1" ht="42.75" customHeight="1" thickBot="1">
      <c r="A1617" s="105">
        <v>2000</v>
      </c>
      <c r="B1617" s="106"/>
      <c r="C1617" s="96" t="s">
        <v>7</v>
      </c>
      <c r="D1617" s="97"/>
      <c r="J1617" s="8"/>
      <c r="K1617" s="8"/>
      <c r="L1617" s="8"/>
      <c r="M1617" s="8"/>
      <c r="N1617" s="8"/>
      <c r="O1617" s="8"/>
      <c r="P1617" s="8"/>
    </row>
    <row r="1618" spans="1:16" s="7" customFormat="1" ht="42.75" customHeight="1" thickBot="1">
      <c r="A1618" s="107" t="s">
        <v>17</v>
      </c>
      <c r="B1618" s="108"/>
      <c r="C1618" s="108"/>
      <c r="D1618" s="109"/>
      <c r="J1618" s="8"/>
      <c r="K1618" s="8"/>
      <c r="L1618" s="8"/>
      <c r="M1618" s="8"/>
      <c r="N1618" s="8"/>
      <c r="O1618" s="8"/>
      <c r="P1618" s="8"/>
    </row>
    <row r="1619" spans="1:16" s="7" customFormat="1" ht="42.75" customHeight="1" thickBot="1">
      <c r="A1619" s="110" t="s">
        <v>20</v>
      </c>
      <c r="B1619" s="111"/>
      <c r="C1619" s="111"/>
      <c r="D1619" s="112"/>
      <c r="J1619" s="8"/>
      <c r="K1619" s="8"/>
      <c r="L1619" s="8"/>
      <c r="M1619" s="8"/>
      <c r="N1619" s="8"/>
      <c r="O1619" s="8"/>
      <c r="P1619" s="8"/>
    </row>
    <row r="1620" spans="1:16" s="7" customFormat="1" ht="42.75" customHeight="1" thickBot="1">
      <c r="A1620" s="113" t="s">
        <v>18</v>
      </c>
      <c r="B1620" s="114"/>
      <c r="C1620" s="114"/>
      <c r="D1620" s="115"/>
      <c r="J1620" s="8"/>
      <c r="K1620" s="8"/>
      <c r="L1620" s="8"/>
      <c r="M1620" s="8"/>
      <c r="N1620" s="8"/>
      <c r="O1620" s="8"/>
      <c r="P1620" s="8"/>
    </row>
    <row r="1621" spans="1:16" s="7" customFormat="1" ht="42.75" customHeight="1" thickBot="1">
      <c r="A1621" s="126" t="s">
        <v>19</v>
      </c>
      <c r="B1621" s="127"/>
      <c r="C1621" s="127"/>
      <c r="D1621" s="128"/>
      <c r="J1621" s="8"/>
      <c r="K1621" s="8"/>
      <c r="L1621" s="8"/>
      <c r="M1621" s="8"/>
      <c r="N1621" s="8"/>
      <c r="O1621" s="8"/>
      <c r="P1621" s="8"/>
    </row>
    <row r="1622" spans="1:16" s="7" customFormat="1" ht="42.75" customHeight="1" thickBot="1">
      <c r="A1622" s="123" t="s">
        <v>11</v>
      </c>
      <c r="B1622" s="124"/>
      <c r="C1622" s="125" t="s">
        <v>603</v>
      </c>
      <c r="D1622" s="124"/>
      <c r="J1622" s="8"/>
      <c r="K1622" s="8"/>
      <c r="L1622" s="8"/>
      <c r="M1622" s="8"/>
      <c r="N1622" s="8"/>
      <c r="O1622" s="8"/>
      <c r="P1622" s="8"/>
    </row>
    <row r="1623" spans="1:16" s="7" customFormat="1" ht="42.75" customHeight="1" thickBot="1">
      <c r="A1623" s="1" t="s">
        <v>686</v>
      </c>
      <c r="B1623" s="26" t="s">
        <v>1</v>
      </c>
      <c r="C1623" s="90" t="s">
        <v>151</v>
      </c>
      <c r="D1623" s="91"/>
      <c r="J1623" s="8"/>
      <c r="K1623" s="8"/>
      <c r="L1623" s="8"/>
      <c r="M1623" s="8"/>
      <c r="N1623" s="8"/>
      <c r="O1623" s="8"/>
      <c r="P1623" s="8"/>
    </row>
    <row r="1624" spans="1:16" s="7" customFormat="1" ht="42.75" customHeight="1" thickBot="1">
      <c r="A1624" s="26"/>
      <c r="B1624" s="26" t="s">
        <v>0</v>
      </c>
      <c r="C1624" s="5" t="s">
        <v>687</v>
      </c>
      <c r="D1624" s="4" t="s">
        <v>2</v>
      </c>
      <c r="J1624" s="8"/>
      <c r="K1624" s="8"/>
      <c r="L1624" s="8"/>
      <c r="M1624" s="8"/>
      <c r="N1624" s="8"/>
      <c r="O1624" s="8"/>
      <c r="P1624" s="8"/>
    </row>
    <row r="1625" spans="1:16" s="7" customFormat="1" ht="42.75" customHeight="1" thickBot="1">
      <c r="A1625" s="92">
        <v>1449</v>
      </c>
      <c r="B1625" s="93"/>
      <c r="C1625" s="94" t="s">
        <v>3</v>
      </c>
      <c r="D1625" s="95"/>
      <c r="J1625" s="8"/>
      <c r="K1625" s="8"/>
      <c r="L1625" s="8"/>
      <c r="M1625" s="8"/>
      <c r="N1625" s="8"/>
      <c r="O1625" s="8"/>
      <c r="P1625" s="8"/>
    </row>
    <row r="1626" spans="1:16" s="7" customFormat="1" ht="42.75" customHeight="1" thickBot="1">
      <c r="A1626" s="92">
        <v>1449</v>
      </c>
      <c r="B1626" s="93"/>
      <c r="C1626" s="96" t="s">
        <v>4</v>
      </c>
      <c r="D1626" s="97"/>
      <c r="J1626" s="8"/>
      <c r="K1626" s="8"/>
      <c r="L1626" s="8"/>
      <c r="M1626" s="8"/>
      <c r="N1626" s="8"/>
      <c r="O1626" s="8"/>
      <c r="P1626" s="8"/>
    </row>
    <row r="1627" spans="1:16" s="7" customFormat="1" ht="42.75" customHeight="1" thickBot="1">
      <c r="A1627" s="98">
        <f>A1626-A1625</f>
        <v>0</v>
      </c>
      <c r="B1627" s="99"/>
      <c r="C1627" s="100" t="s">
        <v>5</v>
      </c>
      <c r="D1627" s="97"/>
      <c r="J1627" s="8"/>
      <c r="K1627" s="8"/>
      <c r="L1627" s="8"/>
      <c r="M1627" s="8"/>
      <c r="N1627" s="8"/>
      <c r="O1627" s="8"/>
      <c r="P1627" s="8"/>
    </row>
    <row r="1628" spans="1:16" s="7" customFormat="1" ht="42.75" customHeight="1" thickBot="1">
      <c r="A1628" s="101">
        <v>62</v>
      </c>
      <c r="B1628" s="102"/>
      <c r="C1628" s="96" t="s">
        <v>6</v>
      </c>
      <c r="D1628" s="97"/>
      <c r="J1628" s="8"/>
      <c r="K1628" s="8"/>
      <c r="L1628" s="8"/>
      <c r="M1628" s="8"/>
      <c r="N1628" s="8"/>
      <c r="O1628" s="8"/>
      <c r="P1628" s="8"/>
    </row>
    <row r="1629" spans="1:16" s="7" customFormat="1" ht="42.75" customHeight="1" thickBot="1">
      <c r="A1629" s="103"/>
      <c r="B1629" s="104"/>
      <c r="C1629" s="96" t="s">
        <v>21</v>
      </c>
      <c r="D1629" s="97"/>
      <c r="J1629" s="8"/>
      <c r="K1629" s="8"/>
      <c r="L1629" s="8"/>
      <c r="M1629" s="8"/>
      <c r="N1629" s="8"/>
      <c r="O1629" s="8"/>
      <c r="P1629" s="8"/>
    </row>
    <row r="1630" spans="1:16" s="7" customFormat="1" ht="42.75" customHeight="1" thickBot="1">
      <c r="A1630" s="105">
        <f>A1628*A1627</f>
        <v>0</v>
      </c>
      <c r="B1630" s="106"/>
      <c r="C1630" s="96" t="s">
        <v>7</v>
      </c>
      <c r="D1630" s="97"/>
      <c r="J1630" s="8"/>
      <c r="K1630" s="8"/>
      <c r="L1630" s="8"/>
      <c r="M1630" s="8"/>
      <c r="N1630" s="8"/>
      <c r="O1630" s="8"/>
      <c r="P1630" s="8"/>
    </row>
    <row r="1631" spans="1:16" s="7" customFormat="1" ht="42.75" customHeight="1" thickBot="1">
      <c r="A1631" s="107" t="s">
        <v>17</v>
      </c>
      <c r="B1631" s="108"/>
      <c r="C1631" s="108"/>
      <c r="D1631" s="109"/>
      <c r="J1631" s="8"/>
      <c r="K1631" s="8"/>
      <c r="L1631" s="8"/>
      <c r="M1631" s="8"/>
      <c r="N1631" s="8"/>
      <c r="O1631" s="8"/>
      <c r="P1631" s="8"/>
    </row>
    <row r="1632" spans="1:16" s="7" customFormat="1" ht="42.75" customHeight="1" thickBot="1">
      <c r="A1632" s="116" t="s">
        <v>20</v>
      </c>
      <c r="B1632" s="117"/>
      <c r="C1632" s="117"/>
      <c r="D1632" s="118"/>
      <c r="J1632" s="8"/>
      <c r="K1632" s="8"/>
      <c r="L1632" s="8"/>
      <c r="M1632" s="8"/>
      <c r="N1632" s="8"/>
      <c r="O1632" s="8"/>
      <c r="P1632" s="8"/>
    </row>
    <row r="1633" spans="1:16" s="7" customFormat="1" ht="42.75" customHeight="1" thickBot="1">
      <c r="A1633" s="113" t="s">
        <v>18</v>
      </c>
      <c r="B1633" s="114"/>
      <c r="C1633" s="114"/>
      <c r="D1633" s="115"/>
      <c r="J1633" s="8"/>
      <c r="K1633" s="8"/>
      <c r="L1633" s="8"/>
      <c r="M1633" s="8"/>
      <c r="N1633" s="8"/>
      <c r="O1633" s="8"/>
      <c r="P1633" s="8"/>
    </row>
    <row r="1634" spans="1:16" s="7" customFormat="1" ht="42.75" customHeight="1" thickBot="1">
      <c r="A1634" s="119"/>
      <c r="B1634" s="119"/>
      <c r="C1634" s="119"/>
      <c r="D1634" s="119"/>
      <c r="J1634" s="8"/>
      <c r="K1634" s="8"/>
      <c r="L1634" s="8"/>
      <c r="M1634" s="8"/>
      <c r="N1634" s="8"/>
      <c r="O1634" s="8"/>
      <c r="P1634" s="8"/>
    </row>
    <row r="1635" spans="1:16" s="7" customFormat="1" ht="42.75" customHeight="1" thickBot="1">
      <c r="A1635" s="126" t="s">
        <v>19</v>
      </c>
      <c r="B1635" s="127"/>
      <c r="C1635" s="127"/>
      <c r="D1635" s="128"/>
      <c r="J1635" s="8"/>
      <c r="K1635" s="8"/>
      <c r="L1635" s="8"/>
      <c r="M1635" s="8"/>
      <c r="N1635" s="8"/>
      <c r="O1635" s="8"/>
      <c r="P1635" s="8"/>
    </row>
    <row r="1636" spans="1:16" s="7" customFormat="1" ht="42.75" customHeight="1" thickBot="1">
      <c r="A1636" s="123" t="s">
        <v>11</v>
      </c>
      <c r="B1636" s="124"/>
      <c r="C1636" s="125" t="s">
        <v>603</v>
      </c>
      <c r="D1636" s="124"/>
      <c r="J1636" s="8"/>
      <c r="K1636" s="8"/>
      <c r="L1636" s="8"/>
      <c r="M1636" s="8"/>
      <c r="N1636" s="8"/>
      <c r="O1636" s="8"/>
      <c r="P1636" s="8"/>
    </row>
    <row r="1637" spans="1:16" s="7" customFormat="1" ht="42.75" customHeight="1" thickBot="1">
      <c r="A1637" s="1" t="s">
        <v>686</v>
      </c>
      <c r="B1637" s="26" t="s">
        <v>1</v>
      </c>
      <c r="C1637" s="90" t="s">
        <v>151</v>
      </c>
      <c r="D1637" s="91"/>
      <c r="J1637" s="8"/>
      <c r="K1637" s="8"/>
      <c r="L1637" s="8"/>
      <c r="M1637" s="8"/>
      <c r="N1637" s="8"/>
      <c r="O1637" s="8"/>
      <c r="P1637" s="8"/>
    </row>
    <row r="1638" spans="1:16" s="7" customFormat="1" ht="42.75" customHeight="1" thickBot="1">
      <c r="A1638" s="26"/>
      <c r="B1638" s="26" t="s">
        <v>0</v>
      </c>
      <c r="C1638" s="5" t="s">
        <v>687</v>
      </c>
      <c r="D1638" s="4" t="s">
        <v>2</v>
      </c>
      <c r="J1638" s="8"/>
      <c r="K1638" s="8"/>
      <c r="L1638" s="8"/>
      <c r="M1638" s="8"/>
      <c r="N1638" s="8"/>
      <c r="O1638" s="8"/>
      <c r="P1638" s="8"/>
    </row>
    <row r="1639" spans="1:16" s="7" customFormat="1" ht="42.75" customHeight="1" thickBot="1">
      <c r="A1639" s="92">
        <v>1445</v>
      </c>
      <c r="B1639" s="93"/>
      <c r="C1639" s="94" t="s">
        <v>3</v>
      </c>
      <c r="D1639" s="95"/>
      <c r="J1639" s="8"/>
      <c r="K1639" s="8"/>
      <c r="L1639" s="8"/>
      <c r="M1639" s="8"/>
      <c r="N1639" s="8"/>
      <c r="O1639" s="8"/>
      <c r="P1639" s="8"/>
    </row>
    <row r="1640" spans="1:16" s="7" customFormat="1" ht="42.75" customHeight="1" thickBot="1">
      <c r="A1640" s="92">
        <v>1449</v>
      </c>
      <c r="B1640" s="93"/>
      <c r="C1640" s="96" t="s">
        <v>4</v>
      </c>
      <c r="D1640" s="97"/>
      <c r="J1640" s="8"/>
      <c r="K1640" s="8"/>
      <c r="L1640" s="8"/>
      <c r="M1640" s="8"/>
      <c r="N1640" s="8"/>
      <c r="O1640" s="8"/>
      <c r="P1640" s="8"/>
    </row>
    <row r="1641" spans="1:16" s="7" customFormat="1" ht="42.75" customHeight="1" thickBot="1">
      <c r="A1641" s="98">
        <v>10</v>
      </c>
      <c r="B1641" s="99"/>
      <c r="C1641" s="100" t="s">
        <v>5</v>
      </c>
      <c r="D1641" s="97"/>
      <c r="J1641" s="8"/>
      <c r="K1641" s="8"/>
      <c r="L1641" s="8"/>
      <c r="M1641" s="8"/>
      <c r="N1641" s="8"/>
      <c r="O1641" s="8"/>
      <c r="P1641" s="8"/>
    </row>
    <row r="1642" spans="1:16" s="7" customFormat="1" ht="42.75" customHeight="1" thickBot="1">
      <c r="A1642" s="101">
        <v>62</v>
      </c>
      <c r="B1642" s="102"/>
      <c r="C1642" s="96" t="s">
        <v>6</v>
      </c>
      <c r="D1642" s="97"/>
      <c r="J1642" s="8"/>
      <c r="K1642" s="8"/>
      <c r="L1642" s="8"/>
      <c r="M1642" s="8"/>
      <c r="N1642" s="8"/>
      <c r="O1642" s="8"/>
      <c r="P1642" s="8"/>
    </row>
    <row r="1643" spans="1:16" s="7" customFormat="1" ht="42.75" customHeight="1" thickBot="1">
      <c r="A1643" s="103"/>
      <c r="B1643" s="104"/>
      <c r="C1643" s="96" t="s">
        <v>21</v>
      </c>
      <c r="D1643" s="97"/>
      <c r="J1643" s="8"/>
      <c r="K1643" s="8"/>
      <c r="L1643" s="8"/>
      <c r="M1643" s="8"/>
      <c r="N1643" s="8"/>
      <c r="O1643" s="8"/>
      <c r="P1643" s="8"/>
    </row>
    <row r="1644" spans="1:16" s="7" customFormat="1" ht="42.75" customHeight="1" thickBot="1">
      <c r="A1644" s="105">
        <v>600</v>
      </c>
      <c r="B1644" s="106"/>
      <c r="C1644" s="96" t="s">
        <v>7</v>
      </c>
      <c r="D1644" s="97"/>
      <c r="J1644" s="8"/>
      <c r="K1644" s="8"/>
      <c r="L1644" s="8"/>
      <c r="M1644" s="8"/>
      <c r="N1644" s="8"/>
      <c r="O1644" s="8"/>
      <c r="P1644" s="8"/>
    </row>
    <row r="1645" spans="1:16" s="7" customFormat="1" ht="42.75" customHeight="1" thickBot="1">
      <c r="A1645" s="107" t="s">
        <v>17</v>
      </c>
      <c r="B1645" s="108"/>
      <c r="C1645" s="108"/>
      <c r="D1645" s="109"/>
      <c r="J1645" s="8"/>
      <c r="K1645" s="8"/>
      <c r="L1645" s="8"/>
      <c r="M1645" s="8"/>
      <c r="N1645" s="8"/>
      <c r="O1645" s="8"/>
      <c r="P1645" s="8"/>
    </row>
    <row r="1646" spans="1:16" s="7" customFormat="1" ht="42.75" customHeight="1" thickBot="1">
      <c r="A1646" s="110" t="s">
        <v>20</v>
      </c>
      <c r="B1646" s="111"/>
      <c r="C1646" s="111"/>
      <c r="D1646" s="112"/>
      <c r="J1646" s="8"/>
      <c r="K1646" s="8"/>
      <c r="L1646" s="8"/>
      <c r="M1646" s="8"/>
      <c r="N1646" s="8"/>
      <c r="O1646" s="8"/>
      <c r="P1646" s="8"/>
    </row>
    <row r="1647" spans="1:16" s="7" customFormat="1" ht="42.75" customHeight="1" thickBot="1">
      <c r="A1647" s="113" t="s">
        <v>18</v>
      </c>
      <c r="B1647" s="114"/>
      <c r="C1647" s="114"/>
      <c r="D1647" s="115"/>
      <c r="J1647" s="8"/>
      <c r="K1647" s="8"/>
      <c r="L1647" s="8"/>
      <c r="M1647" s="8"/>
      <c r="N1647" s="8"/>
      <c r="O1647" s="8"/>
      <c r="P1647" s="8"/>
    </row>
    <row r="1648" spans="1:16" s="7" customFormat="1" ht="42.75" customHeight="1" thickBot="1">
      <c r="A1648" s="126" t="s">
        <v>19</v>
      </c>
      <c r="B1648" s="127"/>
      <c r="C1648" s="127"/>
      <c r="D1648" s="128"/>
      <c r="J1648" s="8"/>
      <c r="K1648" s="8"/>
      <c r="L1648" s="8"/>
      <c r="M1648" s="8"/>
      <c r="N1648" s="8"/>
      <c r="O1648" s="8"/>
      <c r="P1648" s="8"/>
    </row>
    <row r="1649" spans="1:16" s="7" customFormat="1" ht="42.75" customHeight="1" thickBot="1">
      <c r="A1649" s="123" t="s">
        <v>11</v>
      </c>
      <c r="B1649" s="124"/>
      <c r="C1649" s="125" t="s">
        <v>603</v>
      </c>
      <c r="D1649" s="124"/>
      <c r="J1649" s="8"/>
      <c r="K1649" s="8"/>
      <c r="L1649" s="8"/>
      <c r="M1649" s="8"/>
      <c r="N1649" s="8"/>
      <c r="O1649" s="8"/>
      <c r="P1649" s="8"/>
    </row>
    <row r="1650" spans="1:16" s="7" customFormat="1" ht="42.75" customHeight="1" thickBot="1">
      <c r="A1650" s="1" t="s">
        <v>686</v>
      </c>
      <c r="B1650" s="26" t="s">
        <v>1</v>
      </c>
      <c r="C1650" s="90" t="s">
        <v>29</v>
      </c>
      <c r="D1650" s="91"/>
      <c r="J1650" s="8"/>
      <c r="K1650" s="8"/>
      <c r="L1650" s="8"/>
      <c r="M1650" s="8"/>
      <c r="N1650" s="8"/>
      <c r="O1650" s="8"/>
      <c r="P1650" s="8"/>
    </row>
    <row r="1651" spans="1:16" s="7" customFormat="1" ht="42.75" customHeight="1" thickBot="1">
      <c r="A1651" s="26"/>
      <c r="B1651" s="26" t="s">
        <v>0</v>
      </c>
      <c r="C1651" s="5" t="s">
        <v>687</v>
      </c>
      <c r="D1651" s="4" t="s">
        <v>2</v>
      </c>
      <c r="J1651" s="8"/>
      <c r="K1651" s="8"/>
      <c r="L1651" s="8"/>
      <c r="M1651" s="8"/>
      <c r="N1651" s="8"/>
      <c r="O1651" s="8"/>
      <c r="P1651" s="8"/>
    </row>
    <row r="1652" spans="1:16" s="7" customFormat="1" ht="42.75" customHeight="1" thickBot="1">
      <c r="A1652" s="92">
        <v>3630</v>
      </c>
      <c r="B1652" s="93"/>
      <c r="C1652" s="94" t="s">
        <v>3</v>
      </c>
      <c r="D1652" s="95"/>
      <c r="J1652" s="8"/>
      <c r="K1652" s="8"/>
      <c r="L1652" s="8"/>
      <c r="M1652" s="8"/>
      <c r="N1652" s="8"/>
      <c r="O1652" s="8"/>
      <c r="P1652" s="8"/>
    </row>
    <row r="1653" spans="1:16" s="7" customFormat="1" ht="42.75" customHeight="1" thickBot="1">
      <c r="A1653" s="92">
        <v>3630</v>
      </c>
      <c r="B1653" s="93"/>
      <c r="C1653" s="96" t="s">
        <v>4</v>
      </c>
      <c r="D1653" s="97"/>
      <c r="J1653" s="8"/>
      <c r="K1653" s="8"/>
      <c r="L1653" s="8"/>
      <c r="M1653" s="8"/>
      <c r="N1653" s="8"/>
      <c r="O1653" s="8"/>
      <c r="P1653" s="8"/>
    </row>
    <row r="1654" spans="1:16" s="7" customFormat="1" ht="42.75" customHeight="1" thickBot="1">
      <c r="A1654" s="98">
        <f>A1653-A1652</f>
        <v>0</v>
      </c>
      <c r="B1654" s="99"/>
      <c r="C1654" s="100" t="s">
        <v>5</v>
      </c>
      <c r="D1654" s="97"/>
      <c r="J1654" s="8"/>
      <c r="K1654" s="8"/>
      <c r="L1654" s="8"/>
      <c r="M1654" s="8"/>
      <c r="N1654" s="8"/>
      <c r="O1654" s="8"/>
      <c r="P1654" s="8"/>
    </row>
    <row r="1655" spans="1:16" s="7" customFormat="1" ht="42.75" customHeight="1" thickBot="1">
      <c r="A1655" s="101">
        <v>62</v>
      </c>
      <c r="B1655" s="102"/>
      <c r="C1655" s="96" t="s">
        <v>6</v>
      </c>
      <c r="D1655" s="97"/>
      <c r="J1655" s="8"/>
      <c r="K1655" s="8"/>
      <c r="L1655" s="8"/>
      <c r="M1655" s="8"/>
      <c r="N1655" s="8"/>
      <c r="O1655" s="8"/>
      <c r="P1655" s="8"/>
    </row>
    <row r="1656" spans="1:16" s="7" customFormat="1" ht="42.75" customHeight="1" thickBot="1">
      <c r="A1656" s="103"/>
      <c r="B1656" s="104"/>
      <c r="C1656" s="96" t="s">
        <v>21</v>
      </c>
      <c r="D1656" s="97"/>
      <c r="J1656" s="8"/>
      <c r="K1656" s="8"/>
      <c r="L1656" s="8"/>
      <c r="M1656" s="8"/>
      <c r="N1656" s="8"/>
      <c r="O1656" s="8"/>
      <c r="P1656" s="8"/>
    </row>
    <row r="1657" spans="1:16" s="7" customFormat="1" ht="42.75" customHeight="1" thickBot="1">
      <c r="A1657" s="105">
        <f>A1655*A1654</f>
        <v>0</v>
      </c>
      <c r="B1657" s="106"/>
      <c r="C1657" s="96" t="s">
        <v>7</v>
      </c>
      <c r="D1657" s="97"/>
      <c r="J1657" s="8"/>
      <c r="K1657" s="8"/>
      <c r="L1657" s="8"/>
      <c r="M1657" s="8"/>
      <c r="N1657" s="8"/>
      <c r="O1657" s="8"/>
      <c r="P1657" s="8"/>
    </row>
    <row r="1658" spans="1:16" s="7" customFormat="1" ht="42.75" customHeight="1" thickBot="1">
      <c r="A1658" s="107" t="s">
        <v>17</v>
      </c>
      <c r="B1658" s="108"/>
      <c r="C1658" s="108"/>
      <c r="D1658" s="109"/>
      <c r="J1658" s="8"/>
      <c r="K1658" s="8"/>
      <c r="L1658" s="8"/>
      <c r="M1658" s="8"/>
      <c r="N1658" s="8"/>
      <c r="O1658" s="8"/>
      <c r="P1658" s="8"/>
    </row>
    <row r="1659" spans="1:16" s="7" customFormat="1" ht="42.75" customHeight="1" thickBot="1">
      <c r="A1659" s="116" t="s">
        <v>20</v>
      </c>
      <c r="B1659" s="117"/>
      <c r="C1659" s="117"/>
      <c r="D1659" s="118"/>
      <c r="J1659" s="8"/>
      <c r="K1659" s="8"/>
      <c r="L1659" s="8"/>
      <c r="M1659" s="8"/>
      <c r="N1659" s="8"/>
      <c r="O1659" s="8"/>
      <c r="P1659" s="8"/>
    </row>
    <row r="1660" spans="1:16" s="7" customFormat="1" ht="42.75" customHeight="1" thickBot="1">
      <c r="A1660" s="113" t="s">
        <v>18</v>
      </c>
      <c r="B1660" s="114"/>
      <c r="C1660" s="114"/>
      <c r="D1660" s="115"/>
      <c r="J1660" s="8"/>
      <c r="K1660" s="8"/>
      <c r="L1660" s="8"/>
      <c r="M1660" s="8"/>
      <c r="N1660" s="8"/>
      <c r="O1660" s="8"/>
      <c r="P1660" s="8"/>
    </row>
    <row r="1661" spans="1:16" s="7" customFormat="1" ht="42.75" customHeight="1" thickBot="1">
      <c r="A1661" s="119"/>
      <c r="B1661" s="119"/>
      <c r="C1661" s="119"/>
      <c r="D1661" s="119"/>
      <c r="J1661" s="8"/>
      <c r="K1661" s="8"/>
      <c r="L1661" s="8"/>
      <c r="M1661" s="8"/>
      <c r="N1661" s="8"/>
      <c r="O1661" s="8"/>
      <c r="P1661" s="8"/>
    </row>
    <row r="1662" spans="1:16" s="7" customFormat="1" ht="42.75" customHeight="1" thickBot="1">
      <c r="A1662" s="126" t="s">
        <v>19</v>
      </c>
      <c r="B1662" s="127"/>
      <c r="C1662" s="127"/>
      <c r="D1662" s="128"/>
      <c r="J1662" s="8"/>
      <c r="K1662" s="8"/>
      <c r="L1662" s="8"/>
      <c r="M1662" s="8"/>
      <c r="N1662" s="8"/>
      <c r="O1662" s="8"/>
      <c r="P1662" s="8"/>
    </row>
    <row r="1663" spans="1:16" s="7" customFormat="1" ht="42.75" customHeight="1" thickBot="1">
      <c r="A1663" s="123" t="s">
        <v>11</v>
      </c>
      <c r="B1663" s="124"/>
      <c r="C1663" s="125" t="s">
        <v>603</v>
      </c>
      <c r="D1663" s="124"/>
      <c r="J1663" s="8"/>
      <c r="K1663" s="8"/>
      <c r="L1663" s="8"/>
      <c r="M1663" s="8"/>
      <c r="N1663" s="8"/>
      <c r="O1663" s="8"/>
      <c r="P1663" s="8"/>
    </row>
    <row r="1664" spans="1:16" s="7" customFormat="1" ht="42.75" customHeight="1" thickBot="1">
      <c r="A1664" s="1" t="s">
        <v>686</v>
      </c>
      <c r="B1664" s="26" t="s">
        <v>1</v>
      </c>
      <c r="C1664" s="90" t="s">
        <v>29</v>
      </c>
      <c r="D1664" s="91"/>
      <c r="J1664" s="8"/>
      <c r="K1664" s="8"/>
      <c r="L1664" s="8"/>
      <c r="M1664" s="8"/>
      <c r="N1664" s="8"/>
      <c r="O1664" s="8"/>
      <c r="P1664" s="8"/>
    </row>
    <row r="1665" spans="1:16" s="7" customFormat="1" ht="42.75" customHeight="1" thickBot="1">
      <c r="A1665" s="26"/>
      <c r="B1665" s="26" t="s">
        <v>0</v>
      </c>
      <c r="C1665" s="5" t="s">
        <v>687</v>
      </c>
      <c r="D1665" s="4" t="s">
        <v>2</v>
      </c>
      <c r="J1665" s="8"/>
      <c r="K1665" s="8"/>
      <c r="L1665" s="8"/>
      <c r="M1665" s="8"/>
      <c r="N1665" s="8"/>
      <c r="O1665" s="8"/>
      <c r="P1665" s="8"/>
    </row>
    <row r="1666" spans="1:16" s="7" customFormat="1" ht="42.75" customHeight="1" thickBot="1">
      <c r="A1666" s="92">
        <v>3600</v>
      </c>
      <c r="B1666" s="93"/>
      <c r="C1666" s="94" t="s">
        <v>3</v>
      </c>
      <c r="D1666" s="95"/>
      <c r="J1666" s="8"/>
      <c r="K1666" s="8"/>
      <c r="L1666" s="8"/>
      <c r="M1666" s="8"/>
      <c r="N1666" s="8"/>
      <c r="O1666" s="8"/>
      <c r="P1666" s="8"/>
    </row>
    <row r="1667" spans="1:16" s="7" customFormat="1" ht="42.75" customHeight="1" thickBot="1">
      <c r="A1667" s="92">
        <v>3630</v>
      </c>
      <c r="B1667" s="93"/>
      <c r="C1667" s="96" t="s">
        <v>4</v>
      </c>
      <c r="D1667" s="97"/>
      <c r="J1667" s="8"/>
      <c r="K1667" s="8"/>
      <c r="L1667" s="8"/>
      <c r="M1667" s="8"/>
      <c r="N1667" s="8"/>
      <c r="O1667" s="8"/>
      <c r="P1667" s="8"/>
    </row>
    <row r="1668" spans="1:16" s="7" customFormat="1" ht="42.75" customHeight="1" thickBot="1">
      <c r="A1668" s="98">
        <f>A1667-A1666</f>
        <v>30</v>
      </c>
      <c r="B1668" s="99"/>
      <c r="C1668" s="100" t="s">
        <v>5</v>
      </c>
      <c r="D1668" s="97"/>
      <c r="J1668" s="8"/>
      <c r="K1668" s="8"/>
      <c r="L1668" s="8"/>
      <c r="M1668" s="8"/>
      <c r="N1668" s="8"/>
      <c r="O1668" s="8"/>
      <c r="P1668" s="8"/>
    </row>
    <row r="1669" spans="1:16" s="7" customFormat="1" ht="42.75" customHeight="1" thickBot="1">
      <c r="A1669" s="101">
        <v>62</v>
      </c>
      <c r="B1669" s="102"/>
      <c r="C1669" s="96" t="s">
        <v>6</v>
      </c>
      <c r="D1669" s="97"/>
      <c r="J1669" s="8"/>
      <c r="K1669" s="8"/>
      <c r="L1669" s="8"/>
      <c r="M1669" s="8"/>
      <c r="N1669" s="8"/>
      <c r="O1669" s="8"/>
      <c r="P1669" s="8"/>
    </row>
    <row r="1670" spans="1:16" s="7" customFormat="1" ht="42.75" customHeight="1" thickBot="1">
      <c r="A1670" s="103"/>
      <c r="B1670" s="104"/>
      <c r="C1670" s="96" t="s">
        <v>21</v>
      </c>
      <c r="D1670" s="97"/>
      <c r="J1670" s="8"/>
      <c r="K1670" s="8"/>
      <c r="L1670" s="8"/>
      <c r="M1670" s="8"/>
      <c r="N1670" s="8"/>
      <c r="O1670" s="8"/>
      <c r="P1670" s="8"/>
    </row>
    <row r="1671" spans="1:16" s="7" customFormat="1" ht="42.75" customHeight="1" thickBot="1">
      <c r="A1671" s="105">
        <v>1850</v>
      </c>
      <c r="B1671" s="106"/>
      <c r="C1671" s="96" t="s">
        <v>7</v>
      </c>
      <c r="D1671" s="97"/>
      <c r="J1671" s="8"/>
      <c r="K1671" s="8"/>
      <c r="L1671" s="8"/>
      <c r="M1671" s="8"/>
      <c r="N1671" s="8"/>
      <c r="O1671" s="8"/>
      <c r="P1671" s="8"/>
    </row>
    <row r="1672" spans="1:16" s="7" customFormat="1" ht="42.75" customHeight="1" thickBot="1">
      <c r="A1672" s="107" t="s">
        <v>17</v>
      </c>
      <c r="B1672" s="108"/>
      <c r="C1672" s="108"/>
      <c r="D1672" s="109"/>
      <c r="J1672" s="8"/>
      <c r="K1672" s="8"/>
      <c r="L1672" s="8"/>
      <c r="M1672" s="8"/>
      <c r="N1672" s="8"/>
      <c r="O1672" s="8"/>
      <c r="P1672" s="8"/>
    </row>
    <row r="1673" spans="1:16" s="7" customFormat="1" ht="42.75" customHeight="1" thickBot="1">
      <c r="A1673" s="110" t="s">
        <v>20</v>
      </c>
      <c r="B1673" s="111"/>
      <c r="C1673" s="111"/>
      <c r="D1673" s="112"/>
      <c r="J1673" s="8"/>
      <c r="K1673" s="8"/>
      <c r="L1673" s="8"/>
      <c r="M1673" s="8"/>
      <c r="N1673" s="8"/>
      <c r="O1673" s="8"/>
      <c r="P1673" s="8"/>
    </row>
    <row r="1674" spans="1:16" s="7" customFormat="1" ht="42.75" customHeight="1" thickBot="1">
      <c r="A1674" s="113" t="s">
        <v>18</v>
      </c>
      <c r="B1674" s="114"/>
      <c r="C1674" s="114"/>
      <c r="D1674" s="115"/>
      <c r="J1674" s="8"/>
      <c r="K1674" s="8"/>
      <c r="L1674" s="8"/>
      <c r="M1674" s="8"/>
      <c r="N1674" s="8"/>
      <c r="O1674" s="8"/>
      <c r="P1674" s="8"/>
    </row>
    <row r="1675" spans="1:16" s="7" customFormat="1" ht="42.75" customHeight="1" thickBot="1">
      <c r="A1675" s="126" t="s">
        <v>19</v>
      </c>
      <c r="B1675" s="127"/>
      <c r="C1675" s="127"/>
      <c r="D1675" s="128"/>
      <c r="J1675" s="8"/>
      <c r="K1675" s="8"/>
      <c r="L1675" s="8"/>
      <c r="M1675" s="8"/>
      <c r="N1675" s="8"/>
      <c r="O1675" s="8"/>
      <c r="P1675" s="8"/>
    </row>
    <row r="1676" spans="1:16" s="7" customFormat="1" ht="42.75" customHeight="1" thickBot="1">
      <c r="A1676" s="123" t="s">
        <v>11</v>
      </c>
      <c r="B1676" s="124"/>
      <c r="C1676" s="125" t="s">
        <v>603</v>
      </c>
      <c r="D1676" s="124"/>
      <c r="J1676" s="8"/>
      <c r="K1676" s="8"/>
      <c r="L1676" s="8"/>
      <c r="M1676" s="8"/>
      <c r="N1676" s="8"/>
      <c r="O1676" s="8"/>
      <c r="P1676" s="8"/>
    </row>
    <row r="1677" spans="1:16" s="7" customFormat="1" ht="42.75" customHeight="1" thickBot="1">
      <c r="A1677" s="1" t="s">
        <v>686</v>
      </c>
      <c r="B1677" s="26" t="s">
        <v>1</v>
      </c>
      <c r="C1677" s="90" t="s">
        <v>262</v>
      </c>
      <c r="D1677" s="91"/>
      <c r="J1677" s="8"/>
      <c r="K1677" s="8"/>
      <c r="L1677" s="8"/>
      <c r="M1677" s="8"/>
      <c r="N1677" s="8"/>
      <c r="O1677" s="8"/>
      <c r="P1677" s="8"/>
    </row>
    <row r="1678" spans="1:16" s="7" customFormat="1" ht="42.75" customHeight="1" thickBot="1">
      <c r="A1678" s="26"/>
      <c r="B1678" s="26" t="s">
        <v>0</v>
      </c>
      <c r="C1678" s="5" t="s">
        <v>687</v>
      </c>
      <c r="D1678" s="4" t="s">
        <v>2</v>
      </c>
      <c r="J1678" s="8"/>
      <c r="K1678" s="8"/>
      <c r="L1678" s="8"/>
      <c r="M1678" s="8"/>
      <c r="N1678" s="8"/>
      <c r="O1678" s="8"/>
      <c r="P1678" s="8"/>
    </row>
    <row r="1679" spans="1:16" s="7" customFormat="1" ht="42.75" customHeight="1" thickBot="1">
      <c r="A1679" s="92">
        <v>1670</v>
      </c>
      <c r="B1679" s="93"/>
      <c r="C1679" s="94" t="s">
        <v>3</v>
      </c>
      <c r="D1679" s="95"/>
      <c r="J1679" s="8"/>
      <c r="K1679" s="8"/>
      <c r="L1679" s="8"/>
      <c r="M1679" s="8"/>
      <c r="N1679" s="8"/>
      <c r="O1679" s="8"/>
      <c r="P1679" s="8"/>
    </row>
    <row r="1680" spans="1:16" s="7" customFormat="1" ht="42.75" customHeight="1" thickBot="1">
      <c r="A1680" s="92">
        <v>1670</v>
      </c>
      <c r="B1680" s="93"/>
      <c r="C1680" s="96" t="s">
        <v>4</v>
      </c>
      <c r="D1680" s="97"/>
      <c r="J1680" s="8"/>
      <c r="K1680" s="8"/>
      <c r="L1680" s="8"/>
      <c r="M1680" s="8"/>
      <c r="N1680" s="8"/>
      <c r="O1680" s="8"/>
      <c r="P1680" s="8"/>
    </row>
    <row r="1681" spans="1:16" s="7" customFormat="1" ht="42.75" customHeight="1" thickBot="1">
      <c r="A1681" s="98">
        <f>A1680-A1679</f>
        <v>0</v>
      </c>
      <c r="B1681" s="99"/>
      <c r="C1681" s="100" t="s">
        <v>5</v>
      </c>
      <c r="D1681" s="97"/>
      <c r="J1681" s="8"/>
      <c r="K1681" s="8"/>
      <c r="L1681" s="8"/>
      <c r="M1681" s="8"/>
      <c r="N1681" s="8"/>
      <c r="O1681" s="8"/>
      <c r="P1681" s="8"/>
    </row>
    <row r="1682" spans="1:16" s="7" customFormat="1" ht="42.75" customHeight="1" thickBot="1">
      <c r="A1682" s="101">
        <v>62</v>
      </c>
      <c r="B1682" s="102"/>
      <c r="C1682" s="96" t="s">
        <v>6</v>
      </c>
      <c r="D1682" s="97"/>
      <c r="J1682" s="8"/>
      <c r="K1682" s="8"/>
      <c r="L1682" s="8"/>
      <c r="M1682" s="8"/>
      <c r="N1682" s="8"/>
      <c r="O1682" s="8"/>
      <c r="P1682" s="8"/>
    </row>
    <row r="1683" spans="1:16" s="7" customFormat="1" ht="42.75" customHeight="1" thickBot="1">
      <c r="A1683" s="103"/>
      <c r="B1683" s="104"/>
      <c r="C1683" s="96" t="s">
        <v>21</v>
      </c>
      <c r="D1683" s="97"/>
      <c r="J1683" s="8"/>
      <c r="K1683" s="8"/>
      <c r="L1683" s="8"/>
      <c r="M1683" s="8"/>
      <c r="N1683" s="8"/>
      <c r="O1683" s="8"/>
      <c r="P1683" s="8"/>
    </row>
    <row r="1684" spans="1:16" s="7" customFormat="1" ht="42.75" customHeight="1" thickBot="1">
      <c r="A1684" s="105">
        <f>A1682*A1681</f>
        <v>0</v>
      </c>
      <c r="B1684" s="106"/>
      <c r="C1684" s="96" t="s">
        <v>7</v>
      </c>
      <c r="D1684" s="97"/>
      <c r="J1684" s="8"/>
      <c r="K1684" s="8"/>
      <c r="L1684" s="8"/>
      <c r="M1684" s="8"/>
      <c r="N1684" s="8"/>
      <c r="O1684" s="8"/>
      <c r="P1684" s="8"/>
    </row>
    <row r="1685" spans="1:16" s="7" customFormat="1" ht="42.75" customHeight="1" thickBot="1">
      <c r="A1685" s="107" t="s">
        <v>17</v>
      </c>
      <c r="B1685" s="108"/>
      <c r="C1685" s="108"/>
      <c r="D1685" s="109"/>
      <c r="J1685" s="8"/>
      <c r="K1685" s="8"/>
      <c r="L1685" s="8"/>
      <c r="M1685" s="8"/>
      <c r="N1685" s="8"/>
      <c r="O1685" s="8"/>
      <c r="P1685" s="8"/>
    </row>
    <row r="1686" spans="1:16" s="7" customFormat="1" ht="42.75" customHeight="1" thickBot="1">
      <c r="A1686" s="116" t="s">
        <v>20</v>
      </c>
      <c r="B1686" s="117"/>
      <c r="C1686" s="117"/>
      <c r="D1686" s="118"/>
      <c r="J1686" s="8"/>
      <c r="K1686" s="8"/>
      <c r="L1686" s="8"/>
      <c r="M1686" s="8"/>
      <c r="N1686" s="8"/>
      <c r="O1686" s="8"/>
      <c r="P1686" s="8"/>
    </row>
    <row r="1687" spans="1:16" s="7" customFormat="1" ht="42.75" customHeight="1" thickBot="1">
      <c r="A1687" s="113" t="s">
        <v>18</v>
      </c>
      <c r="B1687" s="114"/>
      <c r="C1687" s="114"/>
      <c r="D1687" s="115"/>
      <c r="J1687" s="8"/>
      <c r="K1687" s="8"/>
      <c r="L1687" s="8"/>
      <c r="M1687" s="8"/>
      <c r="N1687" s="8"/>
      <c r="O1687" s="8"/>
      <c r="P1687" s="8"/>
    </row>
    <row r="1688" spans="1:16" s="7" customFormat="1" ht="42.75" customHeight="1" thickBot="1">
      <c r="A1688" s="119"/>
      <c r="B1688" s="119"/>
      <c r="C1688" s="119"/>
      <c r="D1688" s="119"/>
      <c r="J1688" s="8"/>
      <c r="K1688" s="8"/>
      <c r="L1688" s="8"/>
      <c r="M1688" s="8"/>
      <c r="N1688" s="8"/>
      <c r="O1688" s="8"/>
      <c r="P1688" s="8"/>
    </row>
    <row r="1689" spans="1:16" s="7" customFormat="1" ht="42.75" customHeight="1" thickBot="1">
      <c r="A1689" s="126" t="s">
        <v>19</v>
      </c>
      <c r="B1689" s="127"/>
      <c r="C1689" s="127"/>
      <c r="D1689" s="128"/>
      <c r="J1689" s="8"/>
      <c r="K1689" s="8"/>
      <c r="L1689" s="8"/>
      <c r="M1689" s="8"/>
      <c r="N1689" s="8"/>
      <c r="O1689" s="8"/>
      <c r="P1689" s="8"/>
    </row>
    <row r="1690" spans="1:16" s="7" customFormat="1" ht="42.75" customHeight="1" thickBot="1">
      <c r="A1690" s="123" t="s">
        <v>11</v>
      </c>
      <c r="B1690" s="124"/>
      <c r="C1690" s="125" t="s">
        <v>603</v>
      </c>
      <c r="D1690" s="124"/>
      <c r="J1690" s="8"/>
      <c r="K1690" s="8"/>
      <c r="L1690" s="8"/>
      <c r="M1690" s="8"/>
      <c r="N1690" s="8"/>
      <c r="O1690" s="8"/>
      <c r="P1690" s="8"/>
    </row>
    <row r="1691" spans="1:16" s="7" customFormat="1" ht="42.75" customHeight="1" thickBot="1">
      <c r="A1691" s="1" t="s">
        <v>686</v>
      </c>
      <c r="B1691" s="26" t="s">
        <v>1</v>
      </c>
      <c r="C1691" s="90" t="s">
        <v>262</v>
      </c>
      <c r="D1691" s="91"/>
      <c r="J1691" s="8"/>
      <c r="K1691" s="8"/>
      <c r="L1691" s="8"/>
      <c r="M1691" s="8"/>
      <c r="N1691" s="8"/>
      <c r="O1691" s="8"/>
      <c r="P1691" s="8"/>
    </row>
    <row r="1692" spans="1:16" s="7" customFormat="1" ht="42.75" customHeight="1" thickBot="1">
      <c r="A1692" s="26"/>
      <c r="B1692" s="26" t="s">
        <v>0</v>
      </c>
      <c r="C1692" s="5" t="s">
        <v>687</v>
      </c>
      <c r="D1692" s="4" t="s">
        <v>2</v>
      </c>
      <c r="J1692" s="8"/>
      <c r="K1692" s="8"/>
      <c r="L1692" s="8"/>
      <c r="M1692" s="8"/>
      <c r="N1692" s="8"/>
      <c r="O1692" s="8"/>
      <c r="P1692" s="8"/>
    </row>
    <row r="1693" spans="1:16" s="7" customFormat="1" ht="42.75" customHeight="1" thickBot="1">
      <c r="A1693" s="92">
        <v>1665</v>
      </c>
      <c r="B1693" s="93"/>
      <c r="C1693" s="94" t="s">
        <v>3</v>
      </c>
      <c r="D1693" s="95"/>
      <c r="J1693" s="8"/>
      <c r="K1693" s="8"/>
      <c r="L1693" s="8"/>
      <c r="M1693" s="8"/>
      <c r="N1693" s="8"/>
      <c r="O1693" s="8"/>
      <c r="P1693" s="8"/>
    </row>
    <row r="1694" spans="1:16" s="7" customFormat="1" ht="42.75" customHeight="1" thickBot="1">
      <c r="A1694" s="92">
        <v>1670</v>
      </c>
      <c r="B1694" s="93"/>
      <c r="C1694" s="96" t="s">
        <v>4</v>
      </c>
      <c r="D1694" s="97"/>
      <c r="J1694" s="8"/>
      <c r="K1694" s="8"/>
      <c r="L1694" s="8"/>
      <c r="M1694" s="8"/>
      <c r="N1694" s="8"/>
      <c r="O1694" s="8"/>
      <c r="P1694" s="8"/>
    </row>
    <row r="1695" spans="1:16" s="7" customFormat="1" ht="42.75" customHeight="1" thickBot="1">
      <c r="A1695" s="98">
        <v>10</v>
      </c>
      <c r="B1695" s="99"/>
      <c r="C1695" s="100" t="s">
        <v>5</v>
      </c>
      <c r="D1695" s="97"/>
      <c r="J1695" s="8"/>
      <c r="K1695" s="8"/>
      <c r="L1695" s="8"/>
      <c r="M1695" s="8"/>
      <c r="N1695" s="8"/>
      <c r="O1695" s="8"/>
      <c r="P1695" s="8"/>
    </row>
    <row r="1696" spans="1:16" s="7" customFormat="1" ht="42.75" customHeight="1" thickBot="1">
      <c r="A1696" s="101">
        <v>62</v>
      </c>
      <c r="B1696" s="102"/>
      <c r="C1696" s="96" t="s">
        <v>6</v>
      </c>
      <c r="D1696" s="97"/>
      <c r="J1696" s="8"/>
      <c r="K1696" s="8"/>
      <c r="L1696" s="8"/>
      <c r="M1696" s="8"/>
      <c r="N1696" s="8"/>
      <c r="O1696" s="8"/>
      <c r="P1696" s="8"/>
    </row>
    <row r="1697" spans="1:16" s="7" customFormat="1" ht="42.75" customHeight="1" thickBot="1">
      <c r="A1697" s="103"/>
      <c r="B1697" s="104"/>
      <c r="C1697" s="96" t="s">
        <v>21</v>
      </c>
      <c r="D1697" s="97"/>
      <c r="J1697" s="8"/>
      <c r="K1697" s="8"/>
      <c r="L1697" s="8"/>
      <c r="M1697" s="8"/>
      <c r="N1697" s="8"/>
      <c r="O1697" s="8"/>
      <c r="P1697" s="8"/>
    </row>
    <row r="1698" spans="1:16" s="7" customFormat="1" ht="42.75" customHeight="1" thickBot="1">
      <c r="A1698" s="105">
        <v>600</v>
      </c>
      <c r="B1698" s="106"/>
      <c r="C1698" s="96" t="s">
        <v>7</v>
      </c>
      <c r="D1698" s="97"/>
      <c r="J1698" s="8"/>
      <c r="K1698" s="8"/>
      <c r="L1698" s="8"/>
      <c r="M1698" s="8"/>
      <c r="N1698" s="8"/>
      <c r="O1698" s="8"/>
      <c r="P1698" s="8"/>
    </row>
    <row r="1699" spans="1:16" s="7" customFormat="1" ht="42.75" customHeight="1" thickBot="1">
      <c r="A1699" s="107" t="s">
        <v>17</v>
      </c>
      <c r="B1699" s="108"/>
      <c r="C1699" s="108"/>
      <c r="D1699" s="109"/>
      <c r="J1699" s="8"/>
      <c r="K1699" s="8"/>
      <c r="L1699" s="8"/>
      <c r="M1699" s="8"/>
      <c r="N1699" s="8"/>
      <c r="O1699" s="8"/>
      <c r="P1699" s="8"/>
    </row>
    <row r="1700" spans="1:16" s="7" customFormat="1" ht="42.75" customHeight="1" thickBot="1">
      <c r="A1700" s="110" t="s">
        <v>20</v>
      </c>
      <c r="B1700" s="111"/>
      <c r="C1700" s="111"/>
      <c r="D1700" s="112"/>
      <c r="J1700" s="8"/>
      <c r="K1700" s="8"/>
      <c r="L1700" s="8"/>
      <c r="M1700" s="8"/>
      <c r="N1700" s="8"/>
      <c r="O1700" s="8"/>
      <c r="P1700" s="8"/>
    </row>
    <row r="1701" spans="1:16" s="7" customFormat="1" ht="42.75" customHeight="1" thickBot="1">
      <c r="A1701" s="113" t="s">
        <v>18</v>
      </c>
      <c r="B1701" s="114"/>
      <c r="C1701" s="114"/>
      <c r="D1701" s="115"/>
      <c r="J1701" s="8"/>
      <c r="K1701" s="8"/>
      <c r="L1701" s="8"/>
      <c r="M1701" s="8"/>
      <c r="N1701" s="8"/>
      <c r="O1701" s="8"/>
      <c r="P1701" s="8"/>
    </row>
    <row r="1702" spans="1:16" s="7" customFormat="1" ht="42.75" customHeight="1" thickBot="1">
      <c r="A1702" s="126" t="s">
        <v>19</v>
      </c>
      <c r="B1702" s="127"/>
      <c r="C1702" s="127"/>
      <c r="D1702" s="128"/>
      <c r="J1702" s="8"/>
      <c r="K1702" s="8"/>
      <c r="L1702" s="8"/>
      <c r="M1702" s="8"/>
      <c r="N1702" s="8"/>
      <c r="O1702" s="8"/>
      <c r="P1702" s="8"/>
    </row>
    <row r="1703" spans="1:16" s="7" customFormat="1" ht="42.75" customHeight="1" thickBot="1">
      <c r="A1703" s="123" t="s">
        <v>11</v>
      </c>
      <c r="B1703" s="124"/>
      <c r="C1703" s="125" t="s">
        <v>603</v>
      </c>
      <c r="D1703" s="124"/>
      <c r="J1703" s="8"/>
      <c r="K1703" s="8"/>
      <c r="L1703" s="8"/>
      <c r="M1703" s="8"/>
      <c r="N1703" s="8"/>
      <c r="O1703" s="8"/>
      <c r="P1703" s="8"/>
    </row>
    <row r="1704" spans="1:16" s="7" customFormat="1" ht="42.75" customHeight="1" thickBot="1">
      <c r="A1704" s="1" t="s">
        <v>686</v>
      </c>
      <c r="B1704" s="26" t="s">
        <v>1</v>
      </c>
      <c r="C1704" s="90" t="s">
        <v>36</v>
      </c>
      <c r="D1704" s="91"/>
      <c r="J1704" s="8"/>
      <c r="K1704" s="8"/>
      <c r="L1704" s="8"/>
      <c r="M1704" s="8"/>
      <c r="N1704" s="8"/>
      <c r="O1704" s="8"/>
      <c r="P1704" s="8"/>
    </row>
    <row r="1705" spans="1:16" s="7" customFormat="1" ht="42.75" customHeight="1" thickBot="1">
      <c r="A1705" s="26"/>
      <c r="B1705" s="26" t="s">
        <v>0</v>
      </c>
      <c r="C1705" s="5" t="s">
        <v>687</v>
      </c>
      <c r="D1705" s="4" t="s">
        <v>2</v>
      </c>
      <c r="J1705" s="8"/>
      <c r="K1705" s="8"/>
      <c r="L1705" s="8"/>
      <c r="M1705" s="8"/>
      <c r="N1705" s="8"/>
      <c r="O1705" s="8"/>
      <c r="P1705" s="8"/>
    </row>
    <row r="1706" spans="1:16" s="7" customFormat="1" ht="42.75" customHeight="1" thickBot="1">
      <c r="A1706" s="92">
        <v>4655</v>
      </c>
      <c r="B1706" s="93"/>
      <c r="C1706" s="94" t="s">
        <v>3</v>
      </c>
      <c r="D1706" s="95"/>
      <c r="J1706" s="8"/>
      <c r="K1706" s="8"/>
      <c r="L1706" s="8"/>
      <c r="M1706" s="8"/>
      <c r="N1706" s="8"/>
      <c r="O1706" s="8"/>
      <c r="P1706" s="8"/>
    </row>
    <row r="1707" spans="1:16" s="7" customFormat="1" ht="42.75" customHeight="1" thickBot="1">
      <c r="A1707" s="92">
        <v>4655</v>
      </c>
      <c r="B1707" s="93"/>
      <c r="C1707" s="96" t="s">
        <v>4</v>
      </c>
      <c r="D1707" s="97"/>
      <c r="J1707" s="8"/>
      <c r="K1707" s="8"/>
      <c r="L1707" s="8"/>
      <c r="M1707" s="8"/>
      <c r="N1707" s="8"/>
      <c r="O1707" s="8"/>
      <c r="P1707" s="8"/>
    </row>
    <row r="1708" spans="1:16" s="7" customFormat="1" ht="42.75" customHeight="1" thickBot="1">
      <c r="A1708" s="98">
        <f>A1707-A1706</f>
        <v>0</v>
      </c>
      <c r="B1708" s="99"/>
      <c r="C1708" s="100" t="s">
        <v>5</v>
      </c>
      <c r="D1708" s="97"/>
      <c r="J1708" s="8"/>
      <c r="K1708" s="8"/>
      <c r="L1708" s="8"/>
      <c r="M1708" s="8"/>
      <c r="N1708" s="8"/>
      <c r="O1708" s="8"/>
      <c r="P1708" s="8"/>
    </row>
    <row r="1709" spans="1:16" s="7" customFormat="1" ht="42.75" customHeight="1" thickBot="1">
      <c r="A1709" s="101">
        <v>62</v>
      </c>
      <c r="B1709" s="102"/>
      <c r="C1709" s="96" t="s">
        <v>6</v>
      </c>
      <c r="D1709" s="97"/>
      <c r="J1709" s="8"/>
      <c r="K1709" s="8"/>
      <c r="L1709" s="8"/>
      <c r="M1709" s="8"/>
      <c r="N1709" s="8"/>
      <c r="O1709" s="8"/>
      <c r="P1709" s="8"/>
    </row>
    <row r="1710" spans="1:16" s="7" customFormat="1" ht="42.75" customHeight="1" thickBot="1">
      <c r="A1710" s="103"/>
      <c r="B1710" s="104"/>
      <c r="C1710" s="96" t="s">
        <v>21</v>
      </c>
      <c r="D1710" s="97"/>
      <c r="J1710" s="8"/>
      <c r="K1710" s="8"/>
      <c r="L1710" s="8"/>
      <c r="M1710" s="8"/>
      <c r="N1710" s="8"/>
      <c r="O1710" s="8"/>
      <c r="P1710" s="8"/>
    </row>
    <row r="1711" spans="1:16" s="7" customFormat="1" ht="42.75" customHeight="1" thickBot="1">
      <c r="A1711" s="105">
        <f>A1709*A1708</f>
        <v>0</v>
      </c>
      <c r="B1711" s="106"/>
      <c r="C1711" s="96" t="s">
        <v>7</v>
      </c>
      <c r="D1711" s="97"/>
      <c r="J1711" s="8"/>
      <c r="K1711" s="8"/>
      <c r="L1711" s="8"/>
      <c r="M1711" s="8"/>
      <c r="N1711" s="8"/>
      <c r="O1711" s="8"/>
      <c r="P1711" s="8"/>
    </row>
    <row r="1712" spans="1:16" s="7" customFormat="1" ht="42.75" customHeight="1" thickBot="1">
      <c r="A1712" s="107" t="s">
        <v>17</v>
      </c>
      <c r="B1712" s="108"/>
      <c r="C1712" s="108"/>
      <c r="D1712" s="109"/>
      <c r="J1712" s="8"/>
      <c r="K1712" s="8"/>
      <c r="L1712" s="8"/>
      <c r="M1712" s="8"/>
      <c r="N1712" s="8"/>
      <c r="O1712" s="8"/>
      <c r="P1712" s="8"/>
    </row>
    <row r="1713" spans="1:16" s="7" customFormat="1" ht="42.75" customHeight="1" thickBot="1">
      <c r="A1713" s="116" t="s">
        <v>20</v>
      </c>
      <c r="B1713" s="117"/>
      <c r="C1713" s="117"/>
      <c r="D1713" s="118"/>
      <c r="J1713" s="8"/>
      <c r="K1713" s="8"/>
      <c r="L1713" s="8"/>
      <c r="M1713" s="8"/>
      <c r="N1713" s="8"/>
      <c r="O1713" s="8"/>
      <c r="P1713" s="8"/>
    </row>
    <row r="1714" spans="1:16" s="7" customFormat="1" ht="42.75" customHeight="1" thickBot="1">
      <c r="A1714" s="113" t="s">
        <v>18</v>
      </c>
      <c r="B1714" s="114"/>
      <c r="C1714" s="114"/>
      <c r="D1714" s="115"/>
      <c r="J1714" s="8"/>
      <c r="K1714" s="8"/>
      <c r="L1714" s="8"/>
      <c r="M1714" s="8"/>
      <c r="N1714" s="8"/>
      <c r="O1714" s="8"/>
      <c r="P1714" s="8"/>
    </row>
    <row r="1715" spans="1:16" s="7" customFormat="1" ht="42.75" customHeight="1" thickBot="1">
      <c r="A1715" s="119"/>
      <c r="B1715" s="119"/>
      <c r="C1715" s="119"/>
      <c r="D1715" s="119"/>
      <c r="J1715" s="8"/>
      <c r="K1715" s="8"/>
      <c r="L1715" s="8"/>
      <c r="M1715" s="8"/>
      <c r="N1715" s="8"/>
      <c r="O1715" s="8"/>
      <c r="P1715" s="8"/>
    </row>
    <row r="1716" spans="1:16" s="7" customFormat="1" ht="42.75" customHeight="1" thickBot="1">
      <c r="A1716" s="126" t="s">
        <v>19</v>
      </c>
      <c r="B1716" s="127"/>
      <c r="C1716" s="127"/>
      <c r="D1716" s="128"/>
      <c r="J1716" s="8"/>
      <c r="K1716" s="8"/>
      <c r="L1716" s="8"/>
      <c r="M1716" s="8"/>
      <c r="N1716" s="8"/>
      <c r="O1716" s="8"/>
      <c r="P1716" s="8"/>
    </row>
    <row r="1717" spans="1:16" s="7" customFormat="1" ht="42.75" customHeight="1" thickBot="1">
      <c r="A1717" s="123" t="s">
        <v>11</v>
      </c>
      <c r="B1717" s="124"/>
      <c r="C1717" s="125" t="s">
        <v>603</v>
      </c>
      <c r="D1717" s="124"/>
      <c r="J1717" s="8"/>
      <c r="K1717" s="8"/>
      <c r="L1717" s="8"/>
      <c r="M1717" s="8"/>
      <c r="N1717" s="8"/>
      <c r="O1717" s="8"/>
      <c r="P1717" s="8"/>
    </row>
    <row r="1718" spans="1:16" s="7" customFormat="1" ht="42.75" customHeight="1" thickBot="1">
      <c r="A1718" s="1" t="s">
        <v>686</v>
      </c>
      <c r="B1718" s="26" t="s">
        <v>1</v>
      </c>
      <c r="C1718" s="90" t="s">
        <v>36</v>
      </c>
      <c r="D1718" s="91"/>
      <c r="J1718" s="8"/>
      <c r="K1718" s="8"/>
      <c r="L1718" s="8"/>
      <c r="M1718" s="8"/>
      <c r="N1718" s="8"/>
      <c r="O1718" s="8"/>
      <c r="P1718" s="8"/>
    </row>
    <row r="1719" spans="1:16" s="7" customFormat="1" ht="42.75" customHeight="1" thickBot="1">
      <c r="A1719" s="26"/>
      <c r="B1719" s="26" t="s">
        <v>0</v>
      </c>
      <c r="C1719" s="5" t="s">
        <v>687</v>
      </c>
      <c r="D1719" s="4" t="s">
        <v>2</v>
      </c>
      <c r="J1719" s="8"/>
      <c r="K1719" s="8"/>
      <c r="L1719" s="8"/>
      <c r="M1719" s="8"/>
      <c r="N1719" s="8"/>
      <c r="O1719" s="8"/>
      <c r="P1719" s="8"/>
    </row>
    <row r="1720" spans="1:16" s="7" customFormat="1" ht="42.75" customHeight="1" thickBot="1">
      <c r="A1720" s="92">
        <v>4633</v>
      </c>
      <c r="B1720" s="93"/>
      <c r="C1720" s="94" t="s">
        <v>3</v>
      </c>
      <c r="D1720" s="95"/>
      <c r="J1720" s="8"/>
      <c r="K1720" s="8"/>
      <c r="L1720" s="8"/>
      <c r="M1720" s="8"/>
      <c r="N1720" s="8"/>
      <c r="O1720" s="8"/>
      <c r="P1720" s="8"/>
    </row>
    <row r="1721" spans="1:16" s="7" customFormat="1" ht="42.75" customHeight="1" thickBot="1">
      <c r="A1721" s="92">
        <v>4655</v>
      </c>
      <c r="B1721" s="93"/>
      <c r="C1721" s="96" t="s">
        <v>4</v>
      </c>
      <c r="D1721" s="97"/>
      <c r="J1721" s="8"/>
      <c r="K1721" s="8"/>
      <c r="L1721" s="8"/>
      <c r="M1721" s="8"/>
      <c r="N1721" s="8"/>
      <c r="O1721" s="8"/>
      <c r="P1721" s="8"/>
    </row>
    <row r="1722" spans="1:16" s="7" customFormat="1" ht="42.75" customHeight="1" thickBot="1">
      <c r="A1722" s="98">
        <f>A1721-A1720</f>
        <v>22</v>
      </c>
      <c r="B1722" s="99"/>
      <c r="C1722" s="100" t="s">
        <v>5</v>
      </c>
      <c r="D1722" s="97"/>
      <c r="J1722" s="8"/>
      <c r="K1722" s="8"/>
      <c r="L1722" s="8"/>
      <c r="M1722" s="8"/>
      <c r="N1722" s="8"/>
      <c r="O1722" s="8"/>
      <c r="P1722" s="8"/>
    </row>
    <row r="1723" spans="1:16" s="7" customFormat="1" ht="42.75" customHeight="1" thickBot="1">
      <c r="A1723" s="101">
        <v>62</v>
      </c>
      <c r="B1723" s="102"/>
      <c r="C1723" s="96" t="s">
        <v>6</v>
      </c>
      <c r="D1723" s="97"/>
      <c r="J1723" s="8"/>
      <c r="K1723" s="8"/>
      <c r="L1723" s="8"/>
      <c r="M1723" s="8"/>
      <c r="N1723" s="8"/>
      <c r="O1723" s="8"/>
      <c r="P1723" s="8"/>
    </row>
    <row r="1724" spans="1:16" s="7" customFormat="1" ht="42.75" customHeight="1" thickBot="1">
      <c r="A1724" s="103"/>
      <c r="B1724" s="104"/>
      <c r="C1724" s="96" t="s">
        <v>21</v>
      </c>
      <c r="D1724" s="97"/>
      <c r="J1724" s="8"/>
      <c r="K1724" s="8"/>
      <c r="L1724" s="8"/>
      <c r="M1724" s="8"/>
      <c r="N1724" s="8"/>
      <c r="O1724" s="8"/>
      <c r="P1724" s="8"/>
    </row>
    <row r="1725" spans="1:16" s="7" customFormat="1" ht="42.75" customHeight="1" thickBot="1">
      <c r="A1725" s="105">
        <v>1350</v>
      </c>
      <c r="B1725" s="106"/>
      <c r="C1725" s="96" t="s">
        <v>7</v>
      </c>
      <c r="D1725" s="97"/>
      <c r="J1725" s="8"/>
      <c r="K1725" s="8"/>
      <c r="L1725" s="8"/>
      <c r="M1725" s="8"/>
      <c r="N1725" s="8"/>
      <c r="O1725" s="8"/>
      <c r="P1725" s="8"/>
    </row>
    <row r="1726" spans="1:16" s="7" customFormat="1" ht="42.75" customHeight="1" thickBot="1">
      <c r="A1726" s="107" t="s">
        <v>17</v>
      </c>
      <c r="B1726" s="108"/>
      <c r="C1726" s="108"/>
      <c r="D1726" s="109"/>
      <c r="J1726" s="8"/>
      <c r="K1726" s="8"/>
      <c r="L1726" s="8"/>
      <c r="M1726" s="8"/>
      <c r="N1726" s="8"/>
      <c r="O1726" s="8"/>
      <c r="P1726" s="8"/>
    </row>
    <row r="1727" spans="1:16" s="7" customFormat="1" ht="42.75" customHeight="1" thickBot="1">
      <c r="A1727" s="110" t="s">
        <v>20</v>
      </c>
      <c r="B1727" s="111"/>
      <c r="C1727" s="111"/>
      <c r="D1727" s="112"/>
      <c r="J1727" s="8"/>
      <c r="K1727" s="8"/>
      <c r="L1727" s="8"/>
      <c r="M1727" s="8"/>
      <c r="N1727" s="8"/>
      <c r="O1727" s="8"/>
      <c r="P1727" s="8"/>
    </row>
    <row r="1728" spans="1:16" s="7" customFormat="1" ht="42.75" customHeight="1" thickBot="1">
      <c r="A1728" s="113" t="s">
        <v>18</v>
      </c>
      <c r="B1728" s="114"/>
      <c r="C1728" s="114"/>
      <c r="D1728" s="115"/>
      <c r="J1728" s="8"/>
      <c r="K1728" s="8"/>
      <c r="L1728" s="8"/>
      <c r="M1728" s="8"/>
      <c r="N1728" s="8"/>
      <c r="O1728" s="8"/>
      <c r="P1728" s="8"/>
    </row>
    <row r="1729" spans="1:16" s="7" customFormat="1" ht="42.75" customHeight="1" thickBot="1">
      <c r="A1729" s="126" t="s">
        <v>19</v>
      </c>
      <c r="B1729" s="127"/>
      <c r="C1729" s="127"/>
      <c r="D1729" s="128"/>
      <c r="J1729" s="8"/>
      <c r="K1729" s="8"/>
      <c r="L1729" s="8"/>
      <c r="M1729" s="8"/>
      <c r="N1729" s="8"/>
      <c r="O1729" s="8"/>
      <c r="P1729" s="8"/>
    </row>
    <row r="1730" spans="1:16" s="7" customFormat="1" ht="42.75" customHeight="1" thickBot="1">
      <c r="A1730" s="123" t="s">
        <v>11</v>
      </c>
      <c r="B1730" s="124"/>
      <c r="C1730" s="125" t="s">
        <v>603</v>
      </c>
      <c r="D1730" s="124"/>
      <c r="J1730" s="8"/>
      <c r="K1730" s="8"/>
      <c r="L1730" s="8"/>
      <c r="M1730" s="8"/>
      <c r="N1730" s="8"/>
      <c r="O1730" s="8"/>
      <c r="P1730" s="8"/>
    </row>
    <row r="1731" spans="1:16" s="7" customFormat="1" ht="42.75" customHeight="1" thickBot="1">
      <c r="A1731" s="1" t="s">
        <v>686</v>
      </c>
      <c r="B1731" s="26" t="s">
        <v>1</v>
      </c>
      <c r="C1731" s="90" t="s">
        <v>263</v>
      </c>
      <c r="D1731" s="91"/>
      <c r="J1731" s="8"/>
      <c r="K1731" s="8"/>
      <c r="L1731" s="8"/>
      <c r="M1731" s="8"/>
      <c r="N1731" s="8"/>
      <c r="O1731" s="8"/>
      <c r="P1731" s="8"/>
    </row>
    <row r="1732" spans="1:16" s="7" customFormat="1" ht="42.75" customHeight="1" thickBot="1">
      <c r="A1732" s="26"/>
      <c r="B1732" s="26" t="s">
        <v>0</v>
      </c>
      <c r="C1732" s="5" t="s">
        <v>687</v>
      </c>
      <c r="D1732" s="4" t="s">
        <v>2</v>
      </c>
      <c r="J1732" s="8"/>
      <c r="K1732" s="8"/>
      <c r="L1732" s="8"/>
      <c r="M1732" s="8"/>
      <c r="N1732" s="8"/>
      <c r="O1732" s="8"/>
      <c r="P1732" s="8"/>
    </row>
    <row r="1733" spans="1:16" s="7" customFormat="1" ht="42.75" customHeight="1" thickBot="1">
      <c r="A1733" s="92">
        <v>980</v>
      </c>
      <c r="B1733" s="93"/>
      <c r="C1733" s="94" t="s">
        <v>3</v>
      </c>
      <c r="D1733" s="95"/>
      <c r="J1733" s="8"/>
      <c r="K1733" s="8"/>
      <c r="L1733" s="8"/>
      <c r="M1733" s="8"/>
      <c r="N1733" s="8"/>
      <c r="O1733" s="8"/>
      <c r="P1733" s="8"/>
    </row>
    <row r="1734" spans="1:16" s="7" customFormat="1" ht="42.75" customHeight="1" thickBot="1">
      <c r="A1734" s="92">
        <v>980</v>
      </c>
      <c r="B1734" s="93"/>
      <c r="C1734" s="96" t="s">
        <v>4</v>
      </c>
      <c r="D1734" s="97"/>
      <c r="J1734" s="8"/>
      <c r="K1734" s="8"/>
      <c r="L1734" s="8"/>
      <c r="M1734" s="8"/>
      <c r="N1734" s="8"/>
      <c r="O1734" s="8"/>
      <c r="P1734" s="8"/>
    </row>
    <row r="1735" spans="1:16" s="7" customFormat="1" ht="42.75" customHeight="1" thickBot="1">
      <c r="A1735" s="98">
        <f>A1734-A1733</f>
        <v>0</v>
      </c>
      <c r="B1735" s="99"/>
      <c r="C1735" s="100" t="s">
        <v>5</v>
      </c>
      <c r="D1735" s="97"/>
      <c r="J1735" s="8"/>
      <c r="K1735" s="8"/>
      <c r="L1735" s="8"/>
      <c r="M1735" s="8"/>
      <c r="N1735" s="8"/>
      <c r="O1735" s="8"/>
      <c r="P1735" s="8"/>
    </row>
    <row r="1736" spans="1:16" s="7" customFormat="1" ht="42.75" customHeight="1" thickBot="1">
      <c r="A1736" s="101">
        <v>62</v>
      </c>
      <c r="B1736" s="102"/>
      <c r="C1736" s="96" t="s">
        <v>6</v>
      </c>
      <c r="D1736" s="97"/>
      <c r="J1736" s="8"/>
      <c r="K1736" s="8"/>
      <c r="L1736" s="8"/>
      <c r="M1736" s="8"/>
      <c r="N1736" s="8"/>
      <c r="O1736" s="8"/>
      <c r="P1736" s="8"/>
    </row>
    <row r="1737" spans="1:16" s="7" customFormat="1" ht="42.75" customHeight="1" thickBot="1">
      <c r="A1737" s="103"/>
      <c r="B1737" s="104"/>
      <c r="C1737" s="96" t="s">
        <v>21</v>
      </c>
      <c r="D1737" s="97"/>
      <c r="J1737" s="8"/>
      <c r="K1737" s="8"/>
      <c r="L1737" s="8"/>
      <c r="M1737" s="8"/>
      <c r="N1737" s="8"/>
      <c r="O1737" s="8"/>
      <c r="P1737" s="8"/>
    </row>
    <row r="1738" spans="1:16" s="7" customFormat="1" ht="42.75" customHeight="1" thickBot="1">
      <c r="A1738" s="105">
        <f>A1736*A1735</f>
        <v>0</v>
      </c>
      <c r="B1738" s="106"/>
      <c r="C1738" s="96" t="s">
        <v>7</v>
      </c>
      <c r="D1738" s="97"/>
      <c r="J1738" s="8"/>
      <c r="K1738" s="8"/>
      <c r="L1738" s="8"/>
      <c r="M1738" s="8"/>
      <c r="N1738" s="8"/>
      <c r="O1738" s="8"/>
      <c r="P1738" s="8"/>
    </row>
    <row r="1739" spans="1:16" s="7" customFormat="1" ht="42.75" customHeight="1" thickBot="1">
      <c r="A1739" s="107" t="s">
        <v>17</v>
      </c>
      <c r="B1739" s="108"/>
      <c r="C1739" s="108"/>
      <c r="D1739" s="109"/>
      <c r="J1739" s="8"/>
      <c r="K1739" s="8"/>
      <c r="L1739" s="8"/>
      <c r="M1739" s="8"/>
      <c r="N1739" s="8"/>
      <c r="O1739" s="8"/>
      <c r="P1739" s="8"/>
    </row>
    <row r="1740" spans="1:16" s="7" customFormat="1" ht="42.75" customHeight="1" thickBot="1">
      <c r="A1740" s="116" t="s">
        <v>20</v>
      </c>
      <c r="B1740" s="117"/>
      <c r="C1740" s="117"/>
      <c r="D1740" s="118"/>
      <c r="J1740" s="8"/>
      <c r="K1740" s="8"/>
      <c r="L1740" s="8"/>
      <c r="M1740" s="8"/>
      <c r="N1740" s="8"/>
      <c r="O1740" s="8"/>
      <c r="P1740" s="8"/>
    </row>
    <row r="1741" spans="1:16" s="7" customFormat="1" ht="42.75" customHeight="1" thickBot="1">
      <c r="A1741" s="113" t="s">
        <v>18</v>
      </c>
      <c r="B1741" s="114"/>
      <c r="C1741" s="114"/>
      <c r="D1741" s="115"/>
      <c r="J1741" s="8"/>
      <c r="K1741" s="8"/>
      <c r="L1741" s="8"/>
      <c r="M1741" s="8"/>
      <c r="N1741" s="8"/>
      <c r="O1741" s="8"/>
      <c r="P1741" s="8"/>
    </row>
    <row r="1742" spans="1:16" s="7" customFormat="1" ht="42.75" customHeight="1" thickBot="1">
      <c r="A1742" s="119"/>
      <c r="B1742" s="119"/>
      <c r="C1742" s="119"/>
      <c r="D1742" s="119"/>
      <c r="J1742" s="8"/>
      <c r="K1742" s="8"/>
      <c r="L1742" s="8"/>
      <c r="M1742" s="8"/>
      <c r="N1742" s="8"/>
      <c r="O1742" s="8"/>
      <c r="P1742" s="8"/>
    </row>
    <row r="1743" spans="1:16" s="7" customFormat="1" ht="42.75" customHeight="1" thickBot="1">
      <c r="A1743" s="126" t="s">
        <v>19</v>
      </c>
      <c r="B1743" s="127"/>
      <c r="C1743" s="127"/>
      <c r="D1743" s="128"/>
      <c r="J1743" s="8"/>
      <c r="K1743" s="8"/>
      <c r="L1743" s="8"/>
      <c r="M1743" s="8"/>
      <c r="N1743" s="8"/>
      <c r="O1743" s="8"/>
      <c r="P1743" s="8"/>
    </row>
    <row r="1744" spans="1:16" s="7" customFormat="1" ht="42.75" customHeight="1" thickBot="1">
      <c r="A1744" s="123" t="s">
        <v>11</v>
      </c>
      <c r="B1744" s="124"/>
      <c r="C1744" s="125" t="s">
        <v>603</v>
      </c>
      <c r="D1744" s="124"/>
      <c r="J1744" s="8"/>
      <c r="K1744" s="8"/>
      <c r="L1744" s="8"/>
      <c r="M1744" s="8"/>
      <c r="N1744" s="8"/>
      <c r="O1744" s="8"/>
      <c r="P1744" s="8"/>
    </row>
    <row r="1745" spans="1:16" s="7" customFormat="1" ht="42.75" customHeight="1" thickBot="1">
      <c r="A1745" s="1" t="s">
        <v>686</v>
      </c>
      <c r="B1745" s="26" t="s">
        <v>1</v>
      </c>
      <c r="C1745" s="90" t="s">
        <v>263</v>
      </c>
      <c r="D1745" s="91"/>
      <c r="J1745" s="8"/>
      <c r="K1745" s="8"/>
      <c r="L1745" s="8"/>
      <c r="M1745" s="8"/>
      <c r="N1745" s="8"/>
      <c r="O1745" s="8"/>
      <c r="P1745" s="8"/>
    </row>
    <row r="1746" spans="1:16" s="7" customFormat="1" ht="42.75" customHeight="1" thickBot="1">
      <c r="A1746" s="26"/>
      <c r="B1746" s="26" t="s">
        <v>0</v>
      </c>
      <c r="C1746" s="5" t="s">
        <v>687</v>
      </c>
      <c r="D1746" s="4" t="s">
        <v>2</v>
      </c>
      <c r="J1746" s="8"/>
      <c r="K1746" s="8"/>
      <c r="L1746" s="8"/>
      <c r="M1746" s="8"/>
      <c r="N1746" s="8"/>
      <c r="O1746" s="8"/>
      <c r="P1746" s="8"/>
    </row>
    <row r="1747" spans="1:16" s="7" customFormat="1" ht="42.75" customHeight="1" thickBot="1">
      <c r="A1747" s="92">
        <v>975</v>
      </c>
      <c r="B1747" s="93"/>
      <c r="C1747" s="94" t="s">
        <v>3</v>
      </c>
      <c r="D1747" s="95"/>
      <c r="J1747" s="8"/>
      <c r="K1747" s="8"/>
      <c r="L1747" s="8"/>
      <c r="M1747" s="8"/>
      <c r="N1747" s="8"/>
      <c r="O1747" s="8"/>
      <c r="P1747" s="8"/>
    </row>
    <row r="1748" spans="1:16" s="7" customFormat="1" ht="42.75" customHeight="1" thickBot="1">
      <c r="A1748" s="92">
        <v>980</v>
      </c>
      <c r="B1748" s="93"/>
      <c r="C1748" s="96" t="s">
        <v>4</v>
      </c>
      <c r="D1748" s="97"/>
      <c r="J1748" s="8"/>
      <c r="K1748" s="8"/>
      <c r="L1748" s="8"/>
      <c r="M1748" s="8"/>
      <c r="N1748" s="8"/>
      <c r="O1748" s="8"/>
      <c r="P1748" s="8"/>
    </row>
    <row r="1749" spans="1:16" s="7" customFormat="1" ht="42.75" customHeight="1" thickBot="1">
      <c r="A1749" s="98">
        <v>10</v>
      </c>
      <c r="B1749" s="99"/>
      <c r="C1749" s="100" t="s">
        <v>5</v>
      </c>
      <c r="D1749" s="97"/>
      <c r="J1749" s="8"/>
      <c r="K1749" s="8"/>
      <c r="L1749" s="8"/>
      <c r="M1749" s="8"/>
      <c r="N1749" s="8"/>
      <c r="O1749" s="8"/>
      <c r="P1749" s="8"/>
    </row>
    <row r="1750" spans="1:16" s="7" customFormat="1" ht="42.75" customHeight="1" thickBot="1">
      <c r="A1750" s="101">
        <v>62</v>
      </c>
      <c r="B1750" s="102"/>
      <c r="C1750" s="96" t="s">
        <v>6</v>
      </c>
      <c r="D1750" s="97"/>
      <c r="J1750" s="8"/>
      <c r="K1750" s="8"/>
      <c r="L1750" s="8"/>
      <c r="M1750" s="8"/>
      <c r="N1750" s="8"/>
      <c r="O1750" s="8"/>
      <c r="P1750" s="8"/>
    </row>
    <row r="1751" spans="1:16" s="7" customFormat="1" ht="42.75" customHeight="1" thickBot="1">
      <c r="A1751" s="103"/>
      <c r="B1751" s="104"/>
      <c r="C1751" s="96" t="s">
        <v>21</v>
      </c>
      <c r="D1751" s="97"/>
      <c r="J1751" s="8"/>
      <c r="K1751" s="8"/>
      <c r="L1751" s="8"/>
      <c r="M1751" s="8"/>
      <c r="N1751" s="8"/>
      <c r="O1751" s="8"/>
      <c r="P1751" s="8"/>
    </row>
    <row r="1752" spans="1:16" s="7" customFormat="1" ht="42.75" customHeight="1" thickBot="1">
      <c r="A1752" s="105">
        <v>600</v>
      </c>
      <c r="B1752" s="106"/>
      <c r="C1752" s="96" t="s">
        <v>7</v>
      </c>
      <c r="D1752" s="97"/>
      <c r="J1752" s="8"/>
      <c r="K1752" s="8"/>
      <c r="L1752" s="8"/>
      <c r="M1752" s="8"/>
      <c r="N1752" s="8"/>
      <c r="O1752" s="8"/>
      <c r="P1752" s="8"/>
    </row>
    <row r="1753" spans="1:16" s="7" customFormat="1" ht="42.75" customHeight="1" thickBot="1">
      <c r="A1753" s="107" t="s">
        <v>17</v>
      </c>
      <c r="B1753" s="108"/>
      <c r="C1753" s="108"/>
      <c r="D1753" s="109"/>
      <c r="J1753" s="8"/>
      <c r="K1753" s="8"/>
      <c r="L1753" s="8"/>
      <c r="M1753" s="8"/>
      <c r="N1753" s="8"/>
      <c r="O1753" s="8"/>
      <c r="P1753" s="8"/>
    </row>
    <row r="1754" spans="1:16" s="7" customFormat="1" ht="42.75" customHeight="1" thickBot="1">
      <c r="A1754" s="110" t="s">
        <v>20</v>
      </c>
      <c r="B1754" s="111"/>
      <c r="C1754" s="111"/>
      <c r="D1754" s="112"/>
      <c r="J1754" s="8"/>
      <c r="K1754" s="8"/>
      <c r="L1754" s="8"/>
      <c r="M1754" s="8"/>
      <c r="N1754" s="8"/>
      <c r="O1754" s="8"/>
      <c r="P1754" s="8"/>
    </row>
    <row r="1755" spans="1:16" s="7" customFormat="1" ht="42.75" customHeight="1" thickBot="1">
      <c r="A1755" s="113" t="s">
        <v>18</v>
      </c>
      <c r="B1755" s="114"/>
      <c r="C1755" s="114"/>
      <c r="D1755" s="115"/>
      <c r="J1755" s="8"/>
      <c r="K1755" s="8"/>
      <c r="L1755" s="8"/>
      <c r="M1755" s="8"/>
      <c r="N1755" s="8"/>
      <c r="O1755" s="8"/>
      <c r="P1755" s="8"/>
    </row>
    <row r="1756" spans="1:16" s="7" customFormat="1" ht="42.75" customHeight="1" thickBot="1">
      <c r="A1756" s="132" t="s">
        <v>19</v>
      </c>
      <c r="B1756" s="133"/>
      <c r="C1756" s="133"/>
      <c r="D1756" s="134"/>
      <c r="J1756" s="8"/>
      <c r="K1756" s="8"/>
      <c r="L1756" s="8"/>
      <c r="M1756" s="8"/>
      <c r="N1756" s="8"/>
      <c r="O1756" s="8"/>
      <c r="P1756" s="8"/>
    </row>
    <row r="1757" spans="1:16" s="7" customFormat="1" ht="42.75" customHeight="1" thickBot="1">
      <c r="A1757" s="123" t="s">
        <v>11</v>
      </c>
      <c r="B1757" s="124"/>
      <c r="C1757" s="123" t="s">
        <v>603</v>
      </c>
      <c r="D1757" s="124"/>
      <c r="J1757" s="8"/>
      <c r="K1757" s="8"/>
      <c r="L1757" s="8"/>
      <c r="M1757" s="8"/>
      <c r="N1757" s="8"/>
      <c r="O1757" s="8"/>
      <c r="P1757" s="8"/>
    </row>
    <row r="1758" spans="1:16" s="7" customFormat="1" ht="42.75" customHeight="1" thickBot="1">
      <c r="A1758" s="1" t="s">
        <v>686</v>
      </c>
      <c r="B1758" s="26" t="s">
        <v>1</v>
      </c>
      <c r="C1758" s="90" t="s">
        <v>264</v>
      </c>
      <c r="D1758" s="91"/>
      <c r="J1758" s="8"/>
      <c r="K1758" s="8"/>
      <c r="L1758" s="8"/>
      <c r="M1758" s="8"/>
      <c r="N1758" s="8"/>
      <c r="O1758" s="8"/>
      <c r="P1758" s="8"/>
    </row>
    <row r="1759" spans="1:16" s="7" customFormat="1" ht="42.75" customHeight="1" thickBot="1">
      <c r="A1759" s="26"/>
      <c r="B1759" s="26" t="s">
        <v>0</v>
      </c>
      <c r="C1759" s="5" t="s">
        <v>687</v>
      </c>
      <c r="D1759" s="4" t="s">
        <v>2</v>
      </c>
      <c r="J1759" s="8"/>
      <c r="K1759" s="8"/>
      <c r="L1759" s="8"/>
      <c r="M1759" s="8"/>
      <c r="N1759" s="8"/>
      <c r="O1759" s="8"/>
      <c r="P1759" s="8"/>
    </row>
    <row r="1760" spans="1:16" s="7" customFormat="1" ht="42.75" customHeight="1" thickBot="1">
      <c r="A1760" s="92">
        <v>3372</v>
      </c>
      <c r="B1760" s="93"/>
      <c r="C1760" s="94" t="s">
        <v>3</v>
      </c>
      <c r="D1760" s="95"/>
      <c r="J1760" s="8"/>
      <c r="K1760" s="8"/>
      <c r="L1760" s="8"/>
      <c r="M1760" s="8"/>
      <c r="N1760" s="8"/>
      <c r="O1760" s="8"/>
      <c r="P1760" s="8"/>
    </row>
    <row r="1761" spans="1:16" s="7" customFormat="1" ht="42.75" customHeight="1" thickBot="1">
      <c r="A1761" s="92">
        <v>3372</v>
      </c>
      <c r="B1761" s="93"/>
      <c r="C1761" s="96" t="s">
        <v>4</v>
      </c>
      <c r="D1761" s="97"/>
      <c r="J1761" s="8"/>
      <c r="K1761" s="8"/>
      <c r="L1761" s="8"/>
      <c r="M1761" s="8"/>
      <c r="N1761" s="8"/>
      <c r="O1761" s="8"/>
      <c r="P1761" s="8"/>
    </row>
    <row r="1762" spans="1:16" s="7" customFormat="1" ht="42.75" customHeight="1" thickBot="1">
      <c r="A1762" s="98">
        <f>A1761-A1760</f>
        <v>0</v>
      </c>
      <c r="B1762" s="99"/>
      <c r="C1762" s="96" t="s">
        <v>5</v>
      </c>
      <c r="D1762" s="97"/>
      <c r="J1762" s="8"/>
      <c r="K1762" s="8"/>
      <c r="L1762" s="8"/>
      <c r="M1762" s="8"/>
      <c r="N1762" s="8"/>
      <c r="O1762" s="8"/>
      <c r="P1762" s="8"/>
    </row>
    <row r="1763" spans="1:16" s="7" customFormat="1" ht="42.75" customHeight="1" thickBot="1">
      <c r="A1763" s="101">
        <v>62</v>
      </c>
      <c r="B1763" s="102"/>
      <c r="C1763" s="96" t="s">
        <v>6</v>
      </c>
      <c r="D1763" s="97"/>
      <c r="J1763" s="8"/>
      <c r="K1763" s="8"/>
      <c r="L1763" s="8"/>
      <c r="M1763" s="8"/>
      <c r="N1763" s="8"/>
      <c r="O1763" s="8"/>
      <c r="P1763" s="8"/>
    </row>
    <row r="1764" spans="1:16" s="7" customFormat="1" ht="42.75" customHeight="1" thickBot="1">
      <c r="A1764" s="103"/>
      <c r="B1764" s="104"/>
      <c r="C1764" s="96" t="s">
        <v>21</v>
      </c>
      <c r="D1764" s="97"/>
      <c r="J1764" s="8"/>
      <c r="K1764" s="8"/>
      <c r="L1764" s="8"/>
      <c r="M1764" s="8"/>
      <c r="N1764" s="8"/>
      <c r="O1764" s="8"/>
      <c r="P1764" s="8"/>
    </row>
    <row r="1765" spans="1:16" s="7" customFormat="1" ht="42.75" customHeight="1" thickBot="1">
      <c r="A1765" s="105">
        <f>A1763*A1762</f>
        <v>0</v>
      </c>
      <c r="B1765" s="106"/>
      <c r="C1765" s="96" t="s">
        <v>7</v>
      </c>
      <c r="D1765" s="97"/>
      <c r="J1765" s="8"/>
      <c r="K1765" s="8"/>
      <c r="L1765" s="8"/>
      <c r="M1765" s="8"/>
      <c r="N1765" s="8"/>
      <c r="O1765" s="8"/>
      <c r="P1765" s="8"/>
    </row>
    <row r="1766" spans="1:16" s="7" customFormat="1" ht="42.75" customHeight="1" thickBot="1">
      <c r="A1766" s="107" t="s">
        <v>17</v>
      </c>
      <c r="B1766" s="108"/>
      <c r="C1766" s="108"/>
      <c r="D1766" s="109"/>
      <c r="J1766" s="8"/>
      <c r="K1766" s="8"/>
      <c r="L1766" s="8"/>
      <c r="M1766" s="8"/>
      <c r="N1766" s="8"/>
      <c r="O1766" s="8"/>
      <c r="P1766" s="8"/>
    </row>
    <row r="1767" spans="1:16" s="7" customFormat="1" ht="42.75" customHeight="1" thickBot="1">
      <c r="A1767" s="116" t="s">
        <v>20</v>
      </c>
      <c r="B1767" s="117"/>
      <c r="C1767" s="117"/>
      <c r="D1767" s="118"/>
      <c r="J1767" s="8"/>
      <c r="K1767" s="8"/>
      <c r="L1767" s="8"/>
      <c r="M1767" s="8"/>
      <c r="N1767" s="8"/>
      <c r="O1767" s="8"/>
      <c r="P1767" s="8"/>
    </row>
    <row r="1768" spans="1:16" s="7" customFormat="1" ht="42.75" customHeight="1" thickBot="1">
      <c r="A1768" s="113" t="s">
        <v>18</v>
      </c>
      <c r="B1768" s="114"/>
      <c r="C1768" s="114"/>
      <c r="D1768" s="115"/>
      <c r="J1768" s="8"/>
      <c r="K1768" s="8"/>
      <c r="L1768" s="8"/>
      <c r="M1768" s="8"/>
      <c r="N1768" s="8"/>
      <c r="O1768" s="8"/>
      <c r="P1768" s="8"/>
    </row>
    <row r="1769" spans="1:16" s="7" customFormat="1" ht="42.75" customHeight="1" thickBot="1">
      <c r="A1769" s="119"/>
      <c r="B1769" s="119"/>
      <c r="C1769" s="119"/>
      <c r="D1769" s="119"/>
      <c r="J1769" s="8"/>
      <c r="K1769" s="8"/>
      <c r="L1769" s="8"/>
      <c r="M1769" s="8"/>
      <c r="N1769" s="8"/>
      <c r="O1769" s="8"/>
      <c r="P1769" s="8"/>
    </row>
    <row r="1770" spans="1:16" s="7" customFormat="1" ht="42.75" customHeight="1" thickBot="1">
      <c r="A1770" s="132" t="s">
        <v>19</v>
      </c>
      <c r="B1770" s="133"/>
      <c r="C1770" s="133"/>
      <c r="D1770" s="134"/>
      <c r="J1770" s="8"/>
      <c r="K1770" s="8"/>
      <c r="L1770" s="8"/>
      <c r="M1770" s="8"/>
      <c r="N1770" s="8"/>
      <c r="O1770" s="8"/>
      <c r="P1770" s="8"/>
    </row>
    <row r="1771" spans="1:16" s="7" customFormat="1" ht="42.75" customHeight="1" thickBot="1">
      <c r="A1771" s="123" t="s">
        <v>11</v>
      </c>
      <c r="B1771" s="124"/>
      <c r="C1771" s="123" t="s">
        <v>603</v>
      </c>
      <c r="D1771" s="124"/>
      <c r="J1771" s="8"/>
      <c r="K1771" s="8"/>
      <c r="L1771" s="8"/>
      <c r="M1771" s="8"/>
      <c r="N1771" s="8"/>
      <c r="O1771" s="8"/>
      <c r="P1771" s="8"/>
    </row>
    <row r="1772" spans="1:16" s="7" customFormat="1" ht="42.75" customHeight="1" thickBot="1">
      <c r="A1772" s="1" t="s">
        <v>686</v>
      </c>
      <c r="B1772" s="26" t="s">
        <v>1</v>
      </c>
      <c r="C1772" s="90" t="s">
        <v>264</v>
      </c>
      <c r="D1772" s="91"/>
      <c r="J1772" s="8"/>
      <c r="K1772" s="8"/>
      <c r="L1772" s="8"/>
      <c r="M1772" s="8"/>
      <c r="N1772" s="8"/>
      <c r="O1772" s="8"/>
      <c r="P1772" s="8"/>
    </row>
    <row r="1773" spans="1:16" s="7" customFormat="1" ht="42.75" customHeight="1" thickBot="1">
      <c r="A1773" s="26"/>
      <c r="B1773" s="26" t="s">
        <v>0</v>
      </c>
      <c r="C1773" s="5" t="s">
        <v>687</v>
      </c>
      <c r="D1773" s="4" t="s">
        <v>2</v>
      </c>
      <c r="J1773" s="8"/>
      <c r="K1773" s="8"/>
      <c r="L1773" s="8"/>
      <c r="M1773" s="8"/>
      <c r="N1773" s="8"/>
      <c r="O1773" s="8"/>
      <c r="P1773" s="8"/>
    </row>
    <row r="1774" spans="1:16" s="7" customFormat="1" ht="42.75" customHeight="1" thickBot="1">
      <c r="A1774" s="92">
        <v>3370</v>
      </c>
      <c r="B1774" s="93"/>
      <c r="C1774" s="94" t="s">
        <v>3</v>
      </c>
      <c r="D1774" s="95"/>
      <c r="J1774" s="8"/>
      <c r="K1774" s="8"/>
      <c r="L1774" s="8"/>
      <c r="M1774" s="8"/>
      <c r="N1774" s="8"/>
      <c r="O1774" s="8"/>
      <c r="P1774" s="8"/>
    </row>
    <row r="1775" spans="1:16" s="7" customFormat="1" ht="42.75" customHeight="1" thickBot="1">
      <c r="A1775" s="92">
        <v>3372</v>
      </c>
      <c r="B1775" s="93"/>
      <c r="C1775" s="96" t="s">
        <v>4</v>
      </c>
      <c r="D1775" s="97"/>
      <c r="J1775" s="8"/>
      <c r="K1775" s="8"/>
      <c r="L1775" s="8"/>
      <c r="M1775" s="8"/>
      <c r="N1775" s="8"/>
      <c r="O1775" s="8"/>
      <c r="P1775" s="8"/>
    </row>
    <row r="1776" spans="1:16" s="7" customFormat="1" ht="42.75" customHeight="1" thickBot="1">
      <c r="A1776" s="98">
        <v>20</v>
      </c>
      <c r="B1776" s="99"/>
      <c r="C1776" s="96" t="s">
        <v>5</v>
      </c>
      <c r="D1776" s="97"/>
      <c r="J1776" s="8"/>
      <c r="K1776" s="8"/>
      <c r="L1776" s="8"/>
      <c r="M1776" s="8"/>
      <c r="N1776" s="8"/>
      <c r="O1776" s="8"/>
      <c r="P1776" s="8"/>
    </row>
    <row r="1777" spans="1:16" s="7" customFormat="1" ht="42.75" customHeight="1" thickBot="1">
      <c r="A1777" s="101">
        <v>62</v>
      </c>
      <c r="B1777" s="102"/>
      <c r="C1777" s="96" t="s">
        <v>6</v>
      </c>
      <c r="D1777" s="97"/>
      <c r="J1777" s="8"/>
      <c r="K1777" s="8"/>
      <c r="L1777" s="8"/>
      <c r="M1777" s="8"/>
      <c r="N1777" s="8"/>
      <c r="O1777" s="8"/>
      <c r="P1777" s="8"/>
    </row>
    <row r="1778" spans="1:16" s="7" customFormat="1" ht="42.75" customHeight="1" thickBot="1">
      <c r="A1778" s="103"/>
      <c r="B1778" s="104"/>
      <c r="C1778" s="96" t="s">
        <v>21</v>
      </c>
      <c r="D1778" s="97"/>
      <c r="J1778" s="8"/>
      <c r="K1778" s="8"/>
      <c r="L1778" s="8"/>
      <c r="M1778" s="8"/>
      <c r="N1778" s="8"/>
      <c r="O1778" s="8"/>
      <c r="P1778" s="8"/>
    </row>
    <row r="1779" spans="1:16" s="7" customFormat="1" ht="42.75" customHeight="1" thickBot="1">
      <c r="A1779" s="105">
        <v>1200</v>
      </c>
      <c r="B1779" s="106"/>
      <c r="C1779" s="96" t="s">
        <v>7</v>
      </c>
      <c r="D1779" s="97"/>
      <c r="J1779" s="8"/>
      <c r="K1779" s="8"/>
      <c r="L1779" s="8"/>
      <c r="M1779" s="8"/>
      <c r="N1779" s="8"/>
      <c r="O1779" s="8"/>
      <c r="P1779" s="8"/>
    </row>
    <row r="1780" spans="1:16" s="7" customFormat="1" ht="42.75" customHeight="1" thickBot="1">
      <c r="A1780" s="107" t="s">
        <v>17</v>
      </c>
      <c r="B1780" s="108"/>
      <c r="C1780" s="108"/>
      <c r="D1780" s="109"/>
      <c r="J1780" s="8"/>
      <c r="K1780" s="8"/>
      <c r="L1780" s="8"/>
      <c r="M1780" s="8"/>
      <c r="N1780" s="8"/>
      <c r="O1780" s="8"/>
      <c r="P1780" s="8"/>
    </row>
    <row r="1781" spans="1:16" s="7" customFormat="1" ht="42.75" customHeight="1" thickBot="1">
      <c r="A1781" s="110" t="s">
        <v>20</v>
      </c>
      <c r="B1781" s="111"/>
      <c r="C1781" s="111"/>
      <c r="D1781" s="112"/>
      <c r="J1781" s="8"/>
      <c r="K1781" s="8"/>
      <c r="L1781" s="8"/>
      <c r="M1781" s="8"/>
      <c r="N1781" s="8"/>
      <c r="O1781" s="8"/>
      <c r="P1781" s="8"/>
    </row>
    <row r="1782" spans="1:16" s="7" customFormat="1" ht="42.75" customHeight="1" thickBot="1">
      <c r="A1782" s="113" t="s">
        <v>18</v>
      </c>
      <c r="B1782" s="114"/>
      <c r="C1782" s="114"/>
      <c r="D1782" s="115"/>
      <c r="J1782" s="8"/>
      <c r="K1782" s="8"/>
      <c r="L1782" s="8"/>
      <c r="M1782" s="8"/>
      <c r="N1782" s="8"/>
      <c r="O1782" s="8"/>
      <c r="P1782" s="8"/>
    </row>
    <row r="1783" spans="1:16" s="7" customFormat="1" ht="42.75" customHeight="1" thickBot="1">
      <c r="A1783" s="126" t="s">
        <v>19</v>
      </c>
      <c r="B1783" s="127"/>
      <c r="C1783" s="127"/>
      <c r="D1783" s="128"/>
      <c r="J1783" s="8"/>
      <c r="K1783" s="8"/>
      <c r="L1783" s="8"/>
      <c r="M1783" s="8"/>
      <c r="N1783" s="8"/>
      <c r="O1783" s="8"/>
      <c r="P1783" s="8"/>
    </row>
    <row r="1784" spans="1:16" s="7" customFormat="1" ht="42.75" customHeight="1" thickBot="1">
      <c r="A1784" s="123" t="s">
        <v>11</v>
      </c>
      <c r="B1784" s="124"/>
      <c r="C1784" s="125" t="s">
        <v>603</v>
      </c>
      <c r="D1784" s="124"/>
      <c r="J1784" s="8"/>
      <c r="K1784" s="8"/>
      <c r="L1784" s="8"/>
      <c r="M1784" s="8"/>
      <c r="N1784" s="8"/>
      <c r="O1784" s="8"/>
      <c r="P1784" s="8"/>
    </row>
    <row r="1785" spans="1:16" s="7" customFormat="1" ht="42.75" customHeight="1" thickBot="1">
      <c r="A1785" s="1" t="s">
        <v>686</v>
      </c>
      <c r="B1785" s="26" t="s">
        <v>1</v>
      </c>
      <c r="C1785" s="90" t="s">
        <v>265</v>
      </c>
      <c r="D1785" s="91"/>
      <c r="J1785" s="8"/>
      <c r="K1785" s="8"/>
      <c r="L1785" s="8"/>
      <c r="M1785" s="8"/>
      <c r="N1785" s="8"/>
      <c r="O1785" s="8"/>
      <c r="P1785" s="8"/>
    </row>
    <row r="1786" spans="1:16" s="7" customFormat="1" ht="42.75" customHeight="1" thickBot="1">
      <c r="A1786" s="26"/>
      <c r="B1786" s="26" t="s">
        <v>0</v>
      </c>
      <c r="C1786" s="5" t="s">
        <v>687</v>
      </c>
      <c r="D1786" s="4" t="s">
        <v>2</v>
      </c>
      <c r="J1786" s="8"/>
      <c r="K1786" s="8"/>
      <c r="L1786" s="8"/>
      <c r="M1786" s="8"/>
      <c r="N1786" s="8"/>
      <c r="O1786" s="8"/>
      <c r="P1786" s="8"/>
    </row>
    <row r="1787" spans="1:16" s="7" customFormat="1" ht="42.75" customHeight="1" thickBot="1">
      <c r="A1787" s="92">
        <v>1660</v>
      </c>
      <c r="B1787" s="93"/>
      <c r="C1787" s="94" t="s">
        <v>3</v>
      </c>
      <c r="D1787" s="95"/>
      <c r="J1787" s="8"/>
      <c r="K1787" s="8"/>
      <c r="L1787" s="8"/>
      <c r="M1787" s="8"/>
      <c r="N1787" s="8"/>
      <c r="O1787" s="8"/>
      <c r="P1787" s="8"/>
    </row>
    <row r="1788" spans="1:16" s="7" customFormat="1" ht="42.75" customHeight="1" thickBot="1">
      <c r="A1788" s="92">
        <v>1660</v>
      </c>
      <c r="B1788" s="93"/>
      <c r="C1788" s="96" t="s">
        <v>4</v>
      </c>
      <c r="D1788" s="97"/>
      <c r="J1788" s="8"/>
      <c r="K1788" s="8"/>
      <c r="L1788" s="8"/>
      <c r="M1788" s="8"/>
      <c r="N1788" s="8"/>
      <c r="O1788" s="8"/>
      <c r="P1788" s="8"/>
    </row>
    <row r="1789" spans="1:16" s="7" customFormat="1" ht="42.75" customHeight="1" thickBot="1">
      <c r="A1789" s="98">
        <f>A1788-A1787</f>
        <v>0</v>
      </c>
      <c r="B1789" s="99"/>
      <c r="C1789" s="100" t="s">
        <v>5</v>
      </c>
      <c r="D1789" s="97"/>
      <c r="J1789" s="8"/>
      <c r="K1789" s="8"/>
      <c r="L1789" s="8"/>
      <c r="M1789" s="8"/>
      <c r="N1789" s="8"/>
      <c r="O1789" s="8"/>
      <c r="P1789" s="8"/>
    </row>
    <row r="1790" spans="1:16" s="7" customFormat="1" ht="42.75" customHeight="1" thickBot="1">
      <c r="A1790" s="101">
        <v>62</v>
      </c>
      <c r="B1790" s="102"/>
      <c r="C1790" s="96" t="s">
        <v>6</v>
      </c>
      <c r="D1790" s="97"/>
      <c r="J1790" s="8"/>
      <c r="K1790" s="8"/>
      <c r="L1790" s="8"/>
      <c r="M1790" s="8"/>
      <c r="N1790" s="8"/>
      <c r="O1790" s="8"/>
      <c r="P1790" s="8"/>
    </row>
    <row r="1791" spans="1:16" s="7" customFormat="1" ht="42.75" customHeight="1" thickBot="1">
      <c r="A1791" s="103"/>
      <c r="B1791" s="104"/>
      <c r="C1791" s="96" t="s">
        <v>21</v>
      </c>
      <c r="D1791" s="97"/>
      <c r="J1791" s="8"/>
      <c r="K1791" s="8"/>
      <c r="L1791" s="8"/>
      <c r="M1791" s="8"/>
      <c r="N1791" s="8"/>
      <c r="O1791" s="8"/>
      <c r="P1791" s="8"/>
    </row>
    <row r="1792" spans="1:16" s="7" customFormat="1" ht="42.75" customHeight="1" thickBot="1">
      <c r="A1792" s="105">
        <f>A1790*A1789</f>
        <v>0</v>
      </c>
      <c r="B1792" s="106"/>
      <c r="C1792" s="96" t="s">
        <v>7</v>
      </c>
      <c r="D1792" s="97"/>
      <c r="J1792" s="8"/>
      <c r="K1792" s="8"/>
      <c r="L1792" s="8"/>
      <c r="M1792" s="8"/>
      <c r="N1792" s="8"/>
      <c r="O1792" s="8"/>
      <c r="P1792" s="8"/>
    </row>
    <row r="1793" spans="1:16" s="7" customFormat="1" ht="42.75" customHeight="1" thickBot="1">
      <c r="A1793" s="107" t="s">
        <v>17</v>
      </c>
      <c r="B1793" s="108"/>
      <c r="C1793" s="108"/>
      <c r="D1793" s="109"/>
      <c r="J1793" s="8"/>
      <c r="K1793" s="8"/>
      <c r="L1793" s="8"/>
      <c r="M1793" s="8"/>
      <c r="N1793" s="8"/>
      <c r="O1793" s="8"/>
      <c r="P1793" s="8"/>
    </row>
    <row r="1794" spans="1:16" s="7" customFormat="1" ht="42.75" customHeight="1" thickBot="1">
      <c r="A1794" s="116" t="s">
        <v>20</v>
      </c>
      <c r="B1794" s="117"/>
      <c r="C1794" s="117"/>
      <c r="D1794" s="118"/>
      <c r="J1794" s="8"/>
      <c r="K1794" s="8"/>
      <c r="L1794" s="8"/>
      <c r="M1794" s="8"/>
      <c r="N1794" s="8"/>
      <c r="O1794" s="8"/>
      <c r="P1794" s="8"/>
    </row>
    <row r="1795" spans="1:16" s="7" customFormat="1" ht="42.75" customHeight="1" thickBot="1">
      <c r="A1795" s="113" t="s">
        <v>18</v>
      </c>
      <c r="B1795" s="114"/>
      <c r="C1795" s="114"/>
      <c r="D1795" s="115"/>
      <c r="J1795" s="8"/>
      <c r="K1795" s="8"/>
      <c r="L1795" s="8"/>
      <c r="M1795" s="8"/>
      <c r="N1795" s="8"/>
      <c r="O1795" s="8"/>
      <c r="P1795" s="8"/>
    </row>
    <row r="1796" spans="1:16" s="7" customFormat="1" ht="42.75" customHeight="1" thickBot="1">
      <c r="A1796" s="119"/>
      <c r="B1796" s="119"/>
      <c r="C1796" s="119"/>
      <c r="D1796" s="119"/>
      <c r="J1796" s="8"/>
      <c r="K1796" s="8"/>
      <c r="L1796" s="8"/>
      <c r="M1796" s="8"/>
      <c r="N1796" s="8"/>
      <c r="O1796" s="8"/>
      <c r="P1796" s="8"/>
    </row>
    <row r="1797" spans="1:16" s="7" customFormat="1" ht="42.75" customHeight="1" thickBot="1">
      <c r="A1797" s="126" t="s">
        <v>19</v>
      </c>
      <c r="B1797" s="127"/>
      <c r="C1797" s="127"/>
      <c r="D1797" s="128"/>
      <c r="J1797" s="8"/>
      <c r="K1797" s="8"/>
      <c r="L1797" s="8"/>
      <c r="M1797" s="8"/>
      <c r="N1797" s="8"/>
      <c r="O1797" s="8"/>
      <c r="P1797" s="8"/>
    </row>
    <row r="1798" spans="1:16" s="7" customFormat="1" ht="42.75" customHeight="1" thickBot="1">
      <c r="A1798" s="123" t="s">
        <v>11</v>
      </c>
      <c r="B1798" s="124"/>
      <c r="C1798" s="125" t="s">
        <v>603</v>
      </c>
      <c r="D1798" s="124"/>
      <c r="J1798" s="8"/>
      <c r="K1798" s="8"/>
      <c r="L1798" s="8"/>
      <c r="M1798" s="8"/>
      <c r="N1798" s="8"/>
      <c r="O1798" s="8"/>
      <c r="P1798" s="8"/>
    </row>
    <row r="1799" spans="1:16" s="7" customFormat="1" ht="42.75" customHeight="1" thickBot="1">
      <c r="A1799" s="1" t="s">
        <v>686</v>
      </c>
      <c r="B1799" s="26" t="s">
        <v>1</v>
      </c>
      <c r="C1799" s="90" t="s">
        <v>265</v>
      </c>
      <c r="D1799" s="91"/>
      <c r="J1799" s="8"/>
      <c r="K1799" s="8"/>
      <c r="L1799" s="8"/>
      <c r="M1799" s="8"/>
      <c r="N1799" s="8"/>
      <c r="O1799" s="8"/>
      <c r="P1799" s="8"/>
    </row>
    <row r="1800" spans="1:16" s="7" customFormat="1" ht="42.75" customHeight="1" thickBot="1">
      <c r="A1800" s="26"/>
      <c r="B1800" s="26" t="s">
        <v>0</v>
      </c>
      <c r="C1800" s="5" t="s">
        <v>687</v>
      </c>
      <c r="D1800" s="4" t="s">
        <v>2</v>
      </c>
      <c r="J1800" s="8"/>
      <c r="K1800" s="8"/>
      <c r="L1800" s="8"/>
      <c r="M1800" s="8"/>
      <c r="N1800" s="8"/>
      <c r="O1800" s="8"/>
      <c r="P1800" s="8"/>
    </row>
    <row r="1801" spans="1:16" s="7" customFormat="1" ht="42.75" customHeight="1" thickBot="1">
      <c r="A1801" s="92">
        <v>1615</v>
      </c>
      <c r="B1801" s="93"/>
      <c r="C1801" s="94" t="s">
        <v>3</v>
      </c>
      <c r="D1801" s="95"/>
      <c r="J1801" s="8"/>
      <c r="K1801" s="8"/>
      <c r="L1801" s="8"/>
      <c r="M1801" s="8"/>
      <c r="N1801" s="8"/>
      <c r="O1801" s="8"/>
      <c r="P1801" s="8"/>
    </row>
    <row r="1802" spans="1:16" s="7" customFormat="1" ht="42.75" customHeight="1" thickBot="1">
      <c r="A1802" s="92">
        <v>1660</v>
      </c>
      <c r="B1802" s="93"/>
      <c r="C1802" s="96" t="s">
        <v>4</v>
      </c>
      <c r="D1802" s="97"/>
      <c r="J1802" s="8"/>
      <c r="K1802" s="8"/>
      <c r="L1802" s="8"/>
      <c r="M1802" s="8"/>
      <c r="N1802" s="8"/>
      <c r="O1802" s="8"/>
      <c r="P1802" s="8"/>
    </row>
    <row r="1803" spans="1:16" s="7" customFormat="1" ht="42.75" customHeight="1" thickBot="1">
      <c r="A1803" s="98">
        <f>A1802-A1801</f>
        <v>45</v>
      </c>
      <c r="B1803" s="99"/>
      <c r="C1803" s="100" t="s">
        <v>5</v>
      </c>
      <c r="D1803" s="97"/>
      <c r="J1803" s="8"/>
      <c r="K1803" s="8"/>
      <c r="L1803" s="8"/>
      <c r="M1803" s="8"/>
      <c r="N1803" s="8"/>
      <c r="O1803" s="8"/>
      <c r="P1803" s="8"/>
    </row>
    <row r="1804" spans="1:16" s="7" customFormat="1" ht="42.75" customHeight="1" thickBot="1">
      <c r="A1804" s="101">
        <v>62</v>
      </c>
      <c r="B1804" s="102"/>
      <c r="C1804" s="96" t="s">
        <v>6</v>
      </c>
      <c r="D1804" s="97"/>
      <c r="J1804" s="8"/>
      <c r="K1804" s="8"/>
      <c r="L1804" s="8"/>
      <c r="M1804" s="8"/>
      <c r="N1804" s="8"/>
      <c r="O1804" s="8"/>
      <c r="P1804" s="8"/>
    </row>
    <row r="1805" spans="1:16" s="7" customFormat="1" ht="42.75" customHeight="1" thickBot="1">
      <c r="A1805" s="103"/>
      <c r="B1805" s="104"/>
      <c r="C1805" s="96" t="s">
        <v>21</v>
      </c>
      <c r="D1805" s="97"/>
      <c r="J1805" s="8"/>
      <c r="K1805" s="8"/>
      <c r="L1805" s="8"/>
      <c r="M1805" s="8"/>
      <c r="N1805" s="8"/>
      <c r="O1805" s="8"/>
      <c r="P1805" s="8"/>
    </row>
    <row r="1806" spans="1:16" s="7" customFormat="1" ht="42.75" customHeight="1" thickBot="1">
      <c r="A1806" s="105">
        <v>2800</v>
      </c>
      <c r="B1806" s="106"/>
      <c r="C1806" s="96" t="s">
        <v>7</v>
      </c>
      <c r="D1806" s="97"/>
      <c r="J1806" s="8"/>
      <c r="K1806" s="8"/>
      <c r="L1806" s="8"/>
      <c r="M1806" s="8"/>
      <c r="N1806" s="8"/>
      <c r="O1806" s="8"/>
      <c r="P1806" s="8"/>
    </row>
    <row r="1807" spans="1:16" s="7" customFormat="1" ht="42.75" customHeight="1" thickBot="1">
      <c r="A1807" s="107" t="s">
        <v>17</v>
      </c>
      <c r="B1807" s="108"/>
      <c r="C1807" s="108"/>
      <c r="D1807" s="109"/>
      <c r="J1807" s="8"/>
      <c r="K1807" s="8"/>
      <c r="L1807" s="8"/>
      <c r="M1807" s="8"/>
      <c r="N1807" s="8"/>
      <c r="O1807" s="8"/>
      <c r="P1807" s="8"/>
    </row>
    <row r="1808" spans="1:16" s="7" customFormat="1" ht="42.75" customHeight="1" thickBot="1">
      <c r="A1808" s="110" t="s">
        <v>20</v>
      </c>
      <c r="B1808" s="111"/>
      <c r="C1808" s="111"/>
      <c r="D1808" s="112"/>
      <c r="J1808" s="8"/>
      <c r="K1808" s="8"/>
      <c r="L1808" s="8"/>
      <c r="M1808" s="8"/>
      <c r="N1808" s="8"/>
      <c r="O1808" s="8"/>
      <c r="P1808" s="8"/>
    </row>
    <row r="1809" spans="1:16" s="7" customFormat="1" ht="42.75" customHeight="1" thickBot="1">
      <c r="A1809" s="113" t="s">
        <v>18</v>
      </c>
      <c r="B1809" s="114"/>
      <c r="C1809" s="114"/>
      <c r="D1809" s="115"/>
      <c r="J1809" s="8"/>
      <c r="K1809" s="8"/>
      <c r="L1809" s="8"/>
      <c r="M1809" s="8"/>
      <c r="N1809" s="8"/>
      <c r="O1809" s="8"/>
      <c r="P1809" s="8"/>
    </row>
    <row r="1810" spans="1:16" s="7" customFormat="1" ht="42.75" customHeight="1" thickBot="1">
      <c r="A1810" s="126" t="s">
        <v>19</v>
      </c>
      <c r="B1810" s="127"/>
      <c r="C1810" s="127"/>
      <c r="D1810" s="128"/>
      <c r="J1810" s="8"/>
      <c r="K1810" s="8"/>
      <c r="L1810" s="8"/>
      <c r="M1810" s="8"/>
      <c r="N1810" s="8"/>
      <c r="O1810" s="8"/>
      <c r="P1810" s="8"/>
    </row>
    <row r="1811" spans="1:16" s="7" customFormat="1" ht="42.75" customHeight="1" thickBot="1">
      <c r="A1811" s="123" t="s">
        <v>11</v>
      </c>
      <c r="B1811" s="124"/>
      <c r="C1811" s="125" t="s">
        <v>603</v>
      </c>
      <c r="D1811" s="124"/>
      <c r="J1811" s="8"/>
      <c r="K1811" s="8"/>
      <c r="L1811" s="8"/>
      <c r="M1811" s="8"/>
      <c r="N1811" s="8"/>
      <c r="O1811" s="8"/>
      <c r="P1811" s="8"/>
    </row>
    <row r="1812" spans="1:16" s="7" customFormat="1" ht="42.75" customHeight="1" thickBot="1">
      <c r="A1812" s="1" t="s">
        <v>686</v>
      </c>
      <c r="B1812" s="26" t="s">
        <v>1</v>
      </c>
      <c r="C1812" s="90" t="s">
        <v>266</v>
      </c>
      <c r="D1812" s="91"/>
      <c r="J1812" s="8"/>
      <c r="K1812" s="8"/>
      <c r="L1812" s="8"/>
      <c r="M1812" s="8"/>
      <c r="N1812" s="8"/>
      <c r="O1812" s="8"/>
      <c r="P1812" s="8"/>
    </row>
    <row r="1813" spans="1:16" s="7" customFormat="1" ht="42.75" customHeight="1" thickBot="1">
      <c r="A1813" s="26"/>
      <c r="B1813" s="26" t="s">
        <v>0</v>
      </c>
      <c r="C1813" s="5" t="s">
        <v>687</v>
      </c>
      <c r="D1813" s="4" t="s">
        <v>2</v>
      </c>
      <c r="J1813" s="8"/>
      <c r="K1813" s="8"/>
      <c r="L1813" s="8"/>
      <c r="M1813" s="8"/>
      <c r="N1813" s="8"/>
      <c r="O1813" s="8"/>
      <c r="P1813" s="8"/>
    </row>
    <row r="1814" spans="1:16" s="7" customFormat="1" ht="42.75" customHeight="1" thickBot="1">
      <c r="A1814" s="92">
        <v>2155</v>
      </c>
      <c r="B1814" s="93"/>
      <c r="C1814" s="94" t="s">
        <v>3</v>
      </c>
      <c r="D1814" s="95"/>
      <c r="J1814" s="8"/>
      <c r="K1814" s="8"/>
      <c r="L1814" s="8"/>
      <c r="M1814" s="8"/>
      <c r="N1814" s="8"/>
      <c r="O1814" s="8"/>
      <c r="P1814" s="8"/>
    </row>
    <row r="1815" spans="1:16" s="7" customFormat="1" ht="42.75" customHeight="1" thickBot="1">
      <c r="A1815" s="92">
        <v>2155</v>
      </c>
      <c r="B1815" s="93"/>
      <c r="C1815" s="96" t="s">
        <v>4</v>
      </c>
      <c r="D1815" s="97"/>
      <c r="J1815" s="8"/>
      <c r="K1815" s="8"/>
      <c r="L1815" s="8"/>
      <c r="M1815" s="8"/>
      <c r="N1815" s="8"/>
      <c r="O1815" s="8"/>
      <c r="P1815" s="8"/>
    </row>
    <row r="1816" spans="1:16" s="7" customFormat="1" ht="42.75" customHeight="1" thickBot="1">
      <c r="A1816" s="98">
        <f>A1815-A1814</f>
        <v>0</v>
      </c>
      <c r="B1816" s="99"/>
      <c r="C1816" s="100" t="s">
        <v>5</v>
      </c>
      <c r="D1816" s="97"/>
      <c r="J1816" s="8"/>
      <c r="K1816" s="8"/>
      <c r="L1816" s="8"/>
      <c r="M1816" s="8"/>
      <c r="N1816" s="8"/>
      <c r="O1816" s="8"/>
      <c r="P1816" s="8"/>
    </row>
    <row r="1817" spans="1:16" s="7" customFormat="1" ht="42.75" customHeight="1" thickBot="1">
      <c r="A1817" s="101">
        <v>62</v>
      </c>
      <c r="B1817" s="102"/>
      <c r="C1817" s="96" t="s">
        <v>6</v>
      </c>
      <c r="D1817" s="97"/>
      <c r="J1817" s="8"/>
      <c r="K1817" s="8"/>
      <c r="L1817" s="8"/>
      <c r="M1817" s="8"/>
      <c r="N1817" s="8"/>
      <c r="O1817" s="8"/>
      <c r="P1817" s="8"/>
    </row>
    <row r="1818" spans="1:16" s="7" customFormat="1" ht="42.75" customHeight="1" thickBot="1">
      <c r="A1818" s="103"/>
      <c r="B1818" s="104"/>
      <c r="C1818" s="96" t="s">
        <v>21</v>
      </c>
      <c r="D1818" s="97"/>
      <c r="J1818" s="8"/>
      <c r="K1818" s="8"/>
      <c r="L1818" s="8"/>
      <c r="M1818" s="8"/>
      <c r="N1818" s="8"/>
      <c r="O1818" s="8"/>
      <c r="P1818" s="8"/>
    </row>
    <row r="1819" spans="1:16" s="7" customFormat="1" ht="42.75" customHeight="1" thickBot="1">
      <c r="A1819" s="105">
        <f>A1817*A1816</f>
        <v>0</v>
      </c>
      <c r="B1819" s="106"/>
      <c r="C1819" s="96" t="s">
        <v>7</v>
      </c>
      <c r="D1819" s="97"/>
      <c r="J1819" s="8"/>
      <c r="K1819" s="8"/>
      <c r="L1819" s="8"/>
      <c r="M1819" s="8"/>
      <c r="N1819" s="8"/>
      <c r="O1819" s="8"/>
      <c r="P1819" s="8"/>
    </row>
    <row r="1820" spans="1:16" s="7" customFormat="1" ht="42.75" customHeight="1" thickBot="1">
      <c r="A1820" s="107" t="s">
        <v>17</v>
      </c>
      <c r="B1820" s="108"/>
      <c r="C1820" s="108"/>
      <c r="D1820" s="109"/>
      <c r="J1820" s="8"/>
      <c r="K1820" s="8"/>
      <c r="L1820" s="8"/>
      <c r="M1820" s="8"/>
      <c r="N1820" s="8"/>
      <c r="O1820" s="8"/>
      <c r="P1820" s="8"/>
    </row>
    <row r="1821" spans="1:16" s="7" customFormat="1" ht="42.75" customHeight="1" thickBot="1">
      <c r="A1821" s="116" t="s">
        <v>20</v>
      </c>
      <c r="B1821" s="117"/>
      <c r="C1821" s="117"/>
      <c r="D1821" s="118"/>
      <c r="J1821" s="8"/>
      <c r="K1821" s="8"/>
      <c r="L1821" s="8"/>
      <c r="M1821" s="8"/>
      <c r="N1821" s="8"/>
      <c r="O1821" s="8"/>
      <c r="P1821" s="8"/>
    </row>
    <row r="1822" spans="1:16" s="7" customFormat="1" ht="42.75" customHeight="1" thickBot="1">
      <c r="A1822" s="113" t="s">
        <v>18</v>
      </c>
      <c r="B1822" s="114"/>
      <c r="C1822" s="114"/>
      <c r="D1822" s="115"/>
      <c r="J1822" s="8"/>
      <c r="K1822" s="8"/>
      <c r="L1822" s="8"/>
      <c r="M1822" s="8"/>
      <c r="N1822" s="8"/>
      <c r="O1822" s="8"/>
      <c r="P1822" s="8"/>
    </row>
    <row r="1823" spans="1:16" s="7" customFormat="1" ht="42.75" customHeight="1" thickBot="1">
      <c r="A1823" s="119"/>
      <c r="B1823" s="119"/>
      <c r="C1823" s="119"/>
      <c r="D1823" s="119"/>
      <c r="J1823" s="8"/>
      <c r="K1823" s="8"/>
      <c r="L1823" s="8"/>
      <c r="M1823" s="8"/>
      <c r="N1823" s="8"/>
      <c r="O1823" s="8"/>
      <c r="P1823" s="8"/>
    </row>
    <row r="1824" spans="1:16" s="7" customFormat="1" ht="42.75" customHeight="1" thickBot="1">
      <c r="A1824" s="126" t="s">
        <v>19</v>
      </c>
      <c r="B1824" s="127"/>
      <c r="C1824" s="127"/>
      <c r="D1824" s="128"/>
      <c r="J1824" s="8"/>
      <c r="K1824" s="8"/>
      <c r="L1824" s="8"/>
      <c r="M1824" s="8"/>
      <c r="N1824" s="8"/>
      <c r="O1824" s="8"/>
      <c r="P1824" s="8"/>
    </row>
    <row r="1825" spans="1:16" s="7" customFormat="1" ht="42.75" customHeight="1" thickBot="1">
      <c r="A1825" s="123" t="s">
        <v>11</v>
      </c>
      <c r="B1825" s="124"/>
      <c r="C1825" s="125" t="s">
        <v>603</v>
      </c>
      <c r="D1825" s="124"/>
      <c r="J1825" s="8"/>
      <c r="K1825" s="8"/>
      <c r="L1825" s="8"/>
      <c r="M1825" s="8"/>
      <c r="N1825" s="8"/>
      <c r="O1825" s="8"/>
      <c r="P1825" s="8"/>
    </row>
    <row r="1826" spans="1:16" s="7" customFormat="1" ht="42.75" customHeight="1" thickBot="1">
      <c r="A1826" s="1" t="s">
        <v>686</v>
      </c>
      <c r="B1826" s="26" t="s">
        <v>1</v>
      </c>
      <c r="C1826" s="90" t="s">
        <v>266</v>
      </c>
      <c r="D1826" s="91"/>
      <c r="J1826" s="8"/>
      <c r="K1826" s="8"/>
      <c r="L1826" s="8"/>
      <c r="M1826" s="8"/>
      <c r="N1826" s="8"/>
      <c r="O1826" s="8"/>
      <c r="P1826" s="8"/>
    </row>
    <row r="1827" spans="1:16" s="7" customFormat="1" ht="42.75" customHeight="1" thickBot="1">
      <c r="A1827" s="26"/>
      <c r="B1827" s="26" t="s">
        <v>0</v>
      </c>
      <c r="C1827" s="5" t="s">
        <v>687</v>
      </c>
      <c r="D1827" s="4" t="s">
        <v>2</v>
      </c>
      <c r="J1827" s="8"/>
      <c r="K1827" s="8"/>
      <c r="L1827" s="8"/>
      <c r="M1827" s="8"/>
      <c r="N1827" s="8"/>
      <c r="O1827" s="8"/>
      <c r="P1827" s="8"/>
    </row>
    <row r="1828" spans="1:16" s="7" customFormat="1" ht="42.75" customHeight="1" thickBot="1">
      <c r="A1828" s="92">
        <v>2100</v>
      </c>
      <c r="B1828" s="93"/>
      <c r="C1828" s="94" t="s">
        <v>3</v>
      </c>
      <c r="D1828" s="95"/>
      <c r="J1828" s="8"/>
      <c r="K1828" s="8"/>
      <c r="L1828" s="8"/>
      <c r="M1828" s="8"/>
      <c r="N1828" s="8"/>
      <c r="O1828" s="8"/>
      <c r="P1828" s="8"/>
    </row>
    <row r="1829" spans="1:16" s="7" customFormat="1" ht="42.75" customHeight="1" thickBot="1">
      <c r="A1829" s="92">
        <v>2155</v>
      </c>
      <c r="B1829" s="93"/>
      <c r="C1829" s="96" t="s">
        <v>4</v>
      </c>
      <c r="D1829" s="97"/>
      <c r="J1829" s="8"/>
      <c r="K1829" s="8"/>
      <c r="L1829" s="8"/>
      <c r="M1829" s="8"/>
      <c r="N1829" s="8"/>
      <c r="O1829" s="8"/>
      <c r="P1829" s="8"/>
    </row>
    <row r="1830" spans="1:16" s="7" customFormat="1" ht="42.75" customHeight="1" thickBot="1">
      <c r="A1830" s="98">
        <f>A1829-A1828</f>
        <v>55</v>
      </c>
      <c r="B1830" s="99"/>
      <c r="C1830" s="100" t="s">
        <v>5</v>
      </c>
      <c r="D1830" s="97"/>
      <c r="J1830" s="8"/>
      <c r="K1830" s="8"/>
      <c r="L1830" s="8"/>
      <c r="M1830" s="8"/>
      <c r="N1830" s="8"/>
      <c r="O1830" s="8"/>
      <c r="P1830" s="8"/>
    </row>
    <row r="1831" spans="1:16" s="7" customFormat="1" ht="42.75" customHeight="1" thickBot="1">
      <c r="A1831" s="101">
        <v>62</v>
      </c>
      <c r="B1831" s="102"/>
      <c r="C1831" s="96" t="s">
        <v>6</v>
      </c>
      <c r="D1831" s="97"/>
      <c r="J1831" s="8"/>
      <c r="K1831" s="8"/>
      <c r="L1831" s="8"/>
      <c r="M1831" s="8"/>
      <c r="N1831" s="8"/>
      <c r="O1831" s="8"/>
      <c r="P1831" s="8"/>
    </row>
    <row r="1832" spans="1:16" s="7" customFormat="1" ht="42.75" customHeight="1" thickBot="1">
      <c r="A1832" s="103"/>
      <c r="B1832" s="104"/>
      <c r="C1832" s="96" t="s">
        <v>21</v>
      </c>
      <c r="D1832" s="97"/>
      <c r="J1832" s="8"/>
      <c r="K1832" s="8"/>
      <c r="L1832" s="8"/>
      <c r="M1832" s="8"/>
      <c r="N1832" s="8"/>
      <c r="O1832" s="8"/>
      <c r="P1832" s="8"/>
    </row>
    <row r="1833" spans="1:16" s="7" customFormat="1" ht="42.75" customHeight="1" thickBot="1">
      <c r="A1833" s="105">
        <v>3400</v>
      </c>
      <c r="B1833" s="106"/>
      <c r="C1833" s="96" t="s">
        <v>7</v>
      </c>
      <c r="D1833" s="97"/>
      <c r="J1833" s="8"/>
      <c r="K1833" s="8"/>
      <c r="L1833" s="8"/>
      <c r="M1833" s="8"/>
      <c r="N1833" s="8"/>
      <c r="O1833" s="8"/>
      <c r="P1833" s="8"/>
    </row>
    <row r="1834" spans="1:16" s="7" customFormat="1" ht="42.75" customHeight="1" thickBot="1">
      <c r="A1834" s="107" t="s">
        <v>17</v>
      </c>
      <c r="B1834" s="108"/>
      <c r="C1834" s="108"/>
      <c r="D1834" s="109"/>
      <c r="J1834" s="8"/>
      <c r="K1834" s="8"/>
      <c r="L1834" s="8"/>
      <c r="M1834" s="8"/>
      <c r="N1834" s="8"/>
      <c r="O1834" s="8"/>
      <c r="P1834" s="8"/>
    </row>
    <row r="1835" spans="1:16" s="7" customFormat="1" ht="42.75" customHeight="1" thickBot="1">
      <c r="A1835" s="110" t="s">
        <v>20</v>
      </c>
      <c r="B1835" s="111"/>
      <c r="C1835" s="111"/>
      <c r="D1835" s="112"/>
      <c r="J1835" s="8"/>
      <c r="K1835" s="8"/>
      <c r="L1835" s="8"/>
      <c r="M1835" s="8"/>
      <c r="N1835" s="8"/>
      <c r="O1835" s="8"/>
      <c r="P1835" s="8"/>
    </row>
    <row r="1836" spans="1:16" s="7" customFormat="1" ht="42.75" customHeight="1" thickBot="1">
      <c r="A1836" s="113" t="s">
        <v>18</v>
      </c>
      <c r="B1836" s="114"/>
      <c r="C1836" s="114"/>
      <c r="D1836" s="115"/>
      <c r="J1836" s="8"/>
      <c r="K1836" s="8"/>
      <c r="L1836" s="8"/>
      <c r="M1836" s="8"/>
      <c r="N1836" s="8"/>
      <c r="O1836" s="8"/>
      <c r="P1836" s="8"/>
    </row>
    <row r="1837" spans="1:16" s="7" customFormat="1" ht="42.75" customHeight="1" thickBot="1">
      <c r="A1837" s="126" t="s">
        <v>19</v>
      </c>
      <c r="B1837" s="127"/>
      <c r="C1837" s="127"/>
      <c r="D1837" s="128"/>
      <c r="J1837" s="8"/>
      <c r="K1837" s="8"/>
      <c r="L1837" s="8"/>
      <c r="M1837" s="8"/>
      <c r="N1837" s="8"/>
      <c r="O1837" s="8"/>
      <c r="P1837" s="8"/>
    </row>
    <row r="1838" spans="1:16" s="7" customFormat="1" ht="42.75" customHeight="1" thickBot="1">
      <c r="A1838" s="123" t="s">
        <v>11</v>
      </c>
      <c r="B1838" s="124"/>
      <c r="C1838" s="125" t="s">
        <v>603</v>
      </c>
      <c r="D1838" s="124"/>
      <c r="J1838" s="8"/>
      <c r="K1838" s="8"/>
      <c r="L1838" s="8"/>
      <c r="M1838" s="8"/>
      <c r="N1838" s="8"/>
      <c r="O1838" s="8"/>
      <c r="P1838" s="8"/>
    </row>
    <row r="1839" spans="1:16" s="7" customFormat="1" ht="42.75" customHeight="1" thickBot="1">
      <c r="A1839" s="1" t="s">
        <v>686</v>
      </c>
      <c r="B1839" s="26" t="s">
        <v>1</v>
      </c>
      <c r="C1839" s="90" t="s">
        <v>267</v>
      </c>
      <c r="D1839" s="91"/>
      <c r="J1839" s="8"/>
      <c r="K1839" s="8"/>
      <c r="L1839" s="8"/>
      <c r="M1839" s="8"/>
      <c r="N1839" s="8"/>
      <c r="O1839" s="8"/>
      <c r="P1839" s="8"/>
    </row>
    <row r="1840" spans="1:16" s="7" customFormat="1" ht="42.75" customHeight="1" thickBot="1">
      <c r="A1840" s="26"/>
      <c r="B1840" s="26" t="s">
        <v>0</v>
      </c>
      <c r="C1840" s="5" t="s">
        <v>687</v>
      </c>
      <c r="D1840" s="4" t="s">
        <v>2</v>
      </c>
      <c r="J1840" s="8"/>
      <c r="K1840" s="8"/>
      <c r="L1840" s="8"/>
      <c r="M1840" s="8"/>
      <c r="N1840" s="8"/>
      <c r="O1840" s="8"/>
      <c r="P1840" s="8"/>
    </row>
    <row r="1841" spans="1:16" s="7" customFormat="1" ht="42.75" customHeight="1" thickBot="1">
      <c r="A1841" s="92">
        <v>1980</v>
      </c>
      <c r="B1841" s="93"/>
      <c r="C1841" s="94" t="s">
        <v>3</v>
      </c>
      <c r="D1841" s="95"/>
      <c r="J1841" s="8"/>
      <c r="K1841" s="8"/>
      <c r="L1841" s="8"/>
      <c r="M1841" s="8"/>
      <c r="N1841" s="8"/>
      <c r="O1841" s="8"/>
      <c r="P1841" s="8"/>
    </row>
    <row r="1842" spans="1:16" s="7" customFormat="1" ht="42.75" customHeight="1" thickBot="1">
      <c r="A1842" s="92">
        <v>1980</v>
      </c>
      <c r="B1842" s="93"/>
      <c r="C1842" s="96" t="s">
        <v>4</v>
      </c>
      <c r="D1842" s="97"/>
      <c r="J1842" s="8"/>
      <c r="K1842" s="8"/>
      <c r="L1842" s="8"/>
      <c r="M1842" s="8"/>
      <c r="N1842" s="8"/>
      <c r="O1842" s="8"/>
      <c r="P1842" s="8"/>
    </row>
    <row r="1843" spans="1:16" s="7" customFormat="1" ht="42.75" customHeight="1" thickBot="1">
      <c r="A1843" s="98">
        <f>A1842-A1841</f>
        <v>0</v>
      </c>
      <c r="B1843" s="99"/>
      <c r="C1843" s="100" t="s">
        <v>5</v>
      </c>
      <c r="D1843" s="97"/>
      <c r="J1843" s="8"/>
      <c r="K1843" s="8"/>
      <c r="L1843" s="8"/>
      <c r="M1843" s="8"/>
      <c r="N1843" s="8"/>
      <c r="O1843" s="8"/>
      <c r="P1843" s="8"/>
    </row>
    <row r="1844" spans="1:16" s="7" customFormat="1" ht="42.75" customHeight="1" thickBot="1">
      <c r="A1844" s="101">
        <v>62</v>
      </c>
      <c r="B1844" s="102"/>
      <c r="C1844" s="96" t="s">
        <v>6</v>
      </c>
      <c r="D1844" s="97"/>
      <c r="J1844" s="8"/>
      <c r="K1844" s="8"/>
      <c r="L1844" s="8"/>
      <c r="M1844" s="8"/>
      <c r="N1844" s="8"/>
      <c r="O1844" s="8"/>
      <c r="P1844" s="8"/>
    </row>
    <row r="1845" spans="1:16" s="7" customFormat="1" ht="42.75" customHeight="1" thickBot="1">
      <c r="A1845" s="103"/>
      <c r="B1845" s="104"/>
      <c r="C1845" s="96" t="s">
        <v>21</v>
      </c>
      <c r="D1845" s="97"/>
      <c r="J1845" s="8"/>
      <c r="K1845" s="8"/>
      <c r="L1845" s="8"/>
      <c r="M1845" s="8"/>
      <c r="N1845" s="8"/>
      <c r="O1845" s="8"/>
      <c r="P1845" s="8"/>
    </row>
    <row r="1846" spans="1:16" s="7" customFormat="1" ht="42.75" customHeight="1" thickBot="1">
      <c r="A1846" s="105">
        <f>A1844*A1843</f>
        <v>0</v>
      </c>
      <c r="B1846" s="106"/>
      <c r="C1846" s="96" t="s">
        <v>7</v>
      </c>
      <c r="D1846" s="97"/>
      <c r="J1846" s="8"/>
      <c r="K1846" s="8"/>
      <c r="L1846" s="8"/>
      <c r="M1846" s="8"/>
      <c r="N1846" s="8"/>
      <c r="O1846" s="8"/>
      <c r="P1846" s="8"/>
    </row>
    <row r="1847" spans="1:16" s="7" customFormat="1" ht="42.75" customHeight="1" thickBot="1">
      <c r="A1847" s="107" t="s">
        <v>17</v>
      </c>
      <c r="B1847" s="108"/>
      <c r="C1847" s="108"/>
      <c r="D1847" s="109"/>
      <c r="J1847" s="8"/>
      <c r="K1847" s="8"/>
      <c r="L1847" s="8"/>
      <c r="M1847" s="8"/>
      <c r="N1847" s="8"/>
      <c r="O1847" s="8"/>
      <c r="P1847" s="8"/>
    </row>
    <row r="1848" spans="1:16" s="7" customFormat="1" ht="42.75" customHeight="1" thickBot="1">
      <c r="A1848" s="116" t="s">
        <v>20</v>
      </c>
      <c r="B1848" s="117"/>
      <c r="C1848" s="117"/>
      <c r="D1848" s="118"/>
      <c r="J1848" s="8"/>
      <c r="K1848" s="8"/>
      <c r="L1848" s="8"/>
      <c r="M1848" s="8"/>
      <c r="N1848" s="8"/>
      <c r="O1848" s="8"/>
      <c r="P1848" s="8"/>
    </row>
    <row r="1849" spans="1:16" s="7" customFormat="1" ht="42.75" customHeight="1" thickBot="1">
      <c r="A1849" s="113" t="s">
        <v>18</v>
      </c>
      <c r="B1849" s="114"/>
      <c r="C1849" s="114"/>
      <c r="D1849" s="115"/>
      <c r="J1849" s="8"/>
      <c r="K1849" s="8"/>
      <c r="L1849" s="8"/>
      <c r="M1849" s="8"/>
      <c r="N1849" s="8"/>
      <c r="O1849" s="8"/>
      <c r="P1849" s="8"/>
    </row>
    <row r="1850" spans="1:16" s="7" customFormat="1" ht="42.75" customHeight="1" thickBot="1">
      <c r="A1850" s="119"/>
      <c r="B1850" s="119"/>
      <c r="C1850" s="119"/>
      <c r="D1850" s="119"/>
      <c r="J1850" s="8"/>
      <c r="K1850" s="8"/>
      <c r="L1850" s="8"/>
      <c r="M1850" s="8"/>
      <c r="N1850" s="8"/>
      <c r="O1850" s="8"/>
      <c r="P1850" s="8"/>
    </row>
    <row r="1851" spans="1:16" s="7" customFormat="1" ht="42.75" customHeight="1" thickBot="1">
      <c r="A1851" s="126" t="s">
        <v>19</v>
      </c>
      <c r="B1851" s="127"/>
      <c r="C1851" s="127"/>
      <c r="D1851" s="128"/>
      <c r="J1851" s="8"/>
      <c r="K1851" s="8"/>
      <c r="L1851" s="8"/>
      <c r="M1851" s="8"/>
      <c r="N1851" s="8"/>
      <c r="O1851" s="8"/>
      <c r="P1851" s="8"/>
    </row>
    <row r="1852" spans="1:16" s="7" customFormat="1" ht="42.75" customHeight="1" thickBot="1">
      <c r="A1852" s="123" t="s">
        <v>11</v>
      </c>
      <c r="B1852" s="124"/>
      <c r="C1852" s="125" t="s">
        <v>603</v>
      </c>
      <c r="D1852" s="124"/>
      <c r="J1852" s="8"/>
      <c r="K1852" s="8"/>
      <c r="L1852" s="8"/>
      <c r="M1852" s="8"/>
      <c r="N1852" s="8"/>
      <c r="O1852" s="8"/>
      <c r="P1852" s="8"/>
    </row>
    <row r="1853" spans="1:16" s="7" customFormat="1" ht="42.75" customHeight="1" thickBot="1">
      <c r="A1853" s="1" t="s">
        <v>686</v>
      </c>
      <c r="B1853" s="26" t="s">
        <v>1</v>
      </c>
      <c r="C1853" s="90" t="s">
        <v>267</v>
      </c>
      <c r="D1853" s="91"/>
      <c r="J1853" s="8"/>
      <c r="K1853" s="8"/>
      <c r="L1853" s="8"/>
      <c r="M1853" s="8"/>
      <c r="N1853" s="8"/>
      <c r="O1853" s="8"/>
      <c r="P1853" s="8"/>
    </row>
    <row r="1854" spans="1:16" s="7" customFormat="1" ht="42.75" customHeight="1" thickBot="1">
      <c r="A1854" s="26"/>
      <c r="B1854" s="26" t="s">
        <v>0</v>
      </c>
      <c r="C1854" s="5" t="s">
        <v>687</v>
      </c>
      <c r="D1854" s="4" t="s">
        <v>2</v>
      </c>
      <c r="J1854" s="8"/>
      <c r="K1854" s="8"/>
      <c r="L1854" s="8"/>
      <c r="M1854" s="8"/>
      <c r="N1854" s="8"/>
      <c r="O1854" s="8"/>
      <c r="P1854" s="8"/>
    </row>
    <row r="1855" spans="1:16" s="7" customFormat="1" ht="42.75" customHeight="1" thickBot="1">
      <c r="A1855" s="92">
        <v>1960</v>
      </c>
      <c r="B1855" s="93"/>
      <c r="C1855" s="94" t="s">
        <v>3</v>
      </c>
      <c r="D1855" s="95"/>
      <c r="J1855" s="8"/>
      <c r="K1855" s="8"/>
      <c r="L1855" s="8"/>
      <c r="M1855" s="8"/>
      <c r="N1855" s="8"/>
      <c r="O1855" s="8"/>
      <c r="P1855" s="8"/>
    </row>
    <row r="1856" spans="1:16" s="7" customFormat="1" ht="42.75" customHeight="1" thickBot="1">
      <c r="A1856" s="92">
        <v>1980</v>
      </c>
      <c r="B1856" s="93"/>
      <c r="C1856" s="96" t="s">
        <v>4</v>
      </c>
      <c r="D1856" s="97"/>
      <c r="J1856" s="8"/>
      <c r="K1856" s="8"/>
      <c r="L1856" s="8"/>
      <c r="M1856" s="8"/>
      <c r="N1856" s="8"/>
      <c r="O1856" s="8"/>
      <c r="P1856" s="8"/>
    </row>
    <row r="1857" spans="1:16" s="7" customFormat="1" ht="42.75" customHeight="1" thickBot="1">
      <c r="A1857" s="98">
        <f>A1856-A1855</f>
        <v>20</v>
      </c>
      <c r="B1857" s="99"/>
      <c r="C1857" s="100" t="s">
        <v>5</v>
      </c>
      <c r="D1857" s="97"/>
      <c r="J1857" s="8"/>
      <c r="K1857" s="8"/>
      <c r="L1857" s="8"/>
      <c r="M1857" s="8"/>
      <c r="N1857" s="8"/>
      <c r="O1857" s="8"/>
      <c r="P1857" s="8"/>
    </row>
    <row r="1858" spans="1:16" s="7" customFormat="1" ht="42.75" customHeight="1" thickBot="1">
      <c r="A1858" s="101">
        <v>62</v>
      </c>
      <c r="B1858" s="102"/>
      <c r="C1858" s="96" t="s">
        <v>6</v>
      </c>
      <c r="D1858" s="97"/>
      <c r="J1858" s="8"/>
      <c r="K1858" s="8"/>
      <c r="L1858" s="8"/>
      <c r="M1858" s="8"/>
      <c r="N1858" s="8"/>
      <c r="O1858" s="8"/>
      <c r="P1858" s="8"/>
    </row>
    <row r="1859" spans="1:16" s="7" customFormat="1" ht="42.75" customHeight="1" thickBot="1">
      <c r="A1859" s="103"/>
      <c r="B1859" s="104"/>
      <c r="C1859" s="96" t="s">
        <v>21</v>
      </c>
      <c r="D1859" s="97"/>
      <c r="J1859" s="8"/>
      <c r="K1859" s="8"/>
      <c r="L1859" s="8"/>
      <c r="M1859" s="8"/>
      <c r="N1859" s="8"/>
      <c r="O1859" s="8"/>
      <c r="P1859" s="8"/>
    </row>
    <row r="1860" spans="1:16" s="7" customFormat="1" ht="42.75" customHeight="1" thickBot="1">
      <c r="A1860" s="105">
        <v>1250</v>
      </c>
      <c r="B1860" s="106"/>
      <c r="C1860" s="96" t="s">
        <v>7</v>
      </c>
      <c r="D1860" s="97"/>
      <c r="J1860" s="8"/>
      <c r="K1860" s="8"/>
      <c r="L1860" s="8"/>
      <c r="M1860" s="8"/>
      <c r="N1860" s="8"/>
      <c r="O1860" s="8"/>
      <c r="P1860" s="8"/>
    </row>
    <row r="1861" spans="1:16" s="7" customFormat="1" ht="42.75" customHeight="1" thickBot="1">
      <c r="A1861" s="107" t="s">
        <v>17</v>
      </c>
      <c r="B1861" s="108"/>
      <c r="C1861" s="108"/>
      <c r="D1861" s="109"/>
      <c r="J1861" s="8"/>
      <c r="K1861" s="8"/>
      <c r="L1861" s="8"/>
      <c r="M1861" s="8"/>
      <c r="N1861" s="8"/>
      <c r="O1861" s="8"/>
      <c r="P1861" s="8"/>
    </row>
    <row r="1862" spans="1:16" s="7" customFormat="1" ht="42.75" customHeight="1" thickBot="1">
      <c r="A1862" s="110" t="s">
        <v>20</v>
      </c>
      <c r="B1862" s="111"/>
      <c r="C1862" s="111"/>
      <c r="D1862" s="112"/>
      <c r="J1862" s="8"/>
      <c r="K1862" s="8"/>
      <c r="L1862" s="8"/>
      <c r="M1862" s="8"/>
      <c r="N1862" s="8"/>
      <c r="O1862" s="8"/>
      <c r="P1862" s="8"/>
    </row>
    <row r="1863" spans="1:16" s="7" customFormat="1" ht="42.75" customHeight="1" thickBot="1">
      <c r="A1863" s="113" t="s">
        <v>18</v>
      </c>
      <c r="B1863" s="114"/>
      <c r="C1863" s="114"/>
      <c r="D1863" s="115"/>
      <c r="J1863" s="8"/>
      <c r="K1863" s="8"/>
      <c r="L1863" s="8"/>
      <c r="M1863" s="8"/>
      <c r="N1863" s="8"/>
      <c r="O1863" s="8"/>
      <c r="P1863" s="8"/>
    </row>
    <row r="1864" spans="1:16" s="7" customFormat="1" ht="42.75" customHeight="1" thickBot="1">
      <c r="A1864" s="126" t="s">
        <v>19</v>
      </c>
      <c r="B1864" s="127"/>
      <c r="C1864" s="127"/>
      <c r="D1864" s="128"/>
      <c r="J1864" s="8"/>
      <c r="K1864" s="8"/>
      <c r="L1864" s="8"/>
      <c r="M1864" s="8"/>
      <c r="N1864" s="8"/>
      <c r="O1864" s="8"/>
      <c r="P1864" s="8"/>
    </row>
    <row r="1865" spans="1:16" s="7" customFormat="1" ht="42.75" customHeight="1" thickBot="1">
      <c r="A1865" s="123" t="s">
        <v>11</v>
      </c>
      <c r="B1865" s="124"/>
      <c r="C1865" s="125" t="s">
        <v>603</v>
      </c>
      <c r="D1865" s="124"/>
      <c r="J1865" s="8"/>
      <c r="K1865" s="8"/>
      <c r="L1865" s="8"/>
      <c r="M1865" s="8"/>
      <c r="N1865" s="8"/>
      <c r="O1865" s="8"/>
      <c r="P1865" s="8"/>
    </row>
    <row r="1866" spans="1:16" s="7" customFormat="1" ht="42.75" customHeight="1" thickBot="1">
      <c r="A1866" s="1" t="s">
        <v>686</v>
      </c>
      <c r="B1866" s="26" t="s">
        <v>1</v>
      </c>
      <c r="C1866" s="90" t="s">
        <v>268</v>
      </c>
      <c r="D1866" s="91"/>
      <c r="J1866" s="8"/>
      <c r="K1866" s="8"/>
      <c r="L1866" s="8"/>
      <c r="M1866" s="8"/>
      <c r="N1866" s="8"/>
      <c r="O1866" s="8"/>
      <c r="P1866" s="8"/>
    </row>
    <row r="1867" spans="1:16" s="7" customFormat="1" ht="42.75" customHeight="1" thickBot="1">
      <c r="A1867" s="26"/>
      <c r="B1867" s="26" t="s">
        <v>0</v>
      </c>
      <c r="C1867" s="5" t="s">
        <v>687</v>
      </c>
      <c r="D1867" s="4" t="s">
        <v>2</v>
      </c>
      <c r="J1867" s="8"/>
      <c r="K1867" s="8"/>
      <c r="L1867" s="8"/>
      <c r="M1867" s="8"/>
      <c r="N1867" s="8"/>
      <c r="O1867" s="8"/>
      <c r="P1867" s="8"/>
    </row>
    <row r="1868" spans="1:16" s="7" customFormat="1" ht="42.75" customHeight="1" thickBot="1">
      <c r="A1868" s="92">
        <v>4285</v>
      </c>
      <c r="B1868" s="93"/>
      <c r="C1868" s="94" t="s">
        <v>3</v>
      </c>
      <c r="D1868" s="95"/>
      <c r="J1868" s="8"/>
      <c r="K1868" s="8"/>
      <c r="L1868" s="8"/>
      <c r="M1868" s="8"/>
      <c r="N1868" s="8"/>
      <c r="O1868" s="8"/>
      <c r="P1868" s="8"/>
    </row>
    <row r="1869" spans="1:16" s="7" customFormat="1" ht="42.75" customHeight="1" thickBot="1">
      <c r="A1869" s="92">
        <v>4285</v>
      </c>
      <c r="B1869" s="93"/>
      <c r="C1869" s="96" t="s">
        <v>4</v>
      </c>
      <c r="D1869" s="97"/>
      <c r="J1869" s="8"/>
      <c r="K1869" s="8"/>
      <c r="L1869" s="8"/>
      <c r="M1869" s="8"/>
      <c r="N1869" s="8"/>
      <c r="O1869" s="8"/>
      <c r="P1869" s="8"/>
    </row>
    <row r="1870" spans="1:16" s="7" customFormat="1" ht="42.75" customHeight="1" thickBot="1">
      <c r="A1870" s="98">
        <f>A1869-A1868</f>
        <v>0</v>
      </c>
      <c r="B1870" s="99"/>
      <c r="C1870" s="100" t="s">
        <v>5</v>
      </c>
      <c r="D1870" s="97"/>
      <c r="J1870" s="8"/>
      <c r="K1870" s="8"/>
      <c r="L1870" s="8"/>
      <c r="M1870" s="8"/>
      <c r="N1870" s="8"/>
      <c r="O1870" s="8"/>
      <c r="P1870" s="8"/>
    </row>
    <row r="1871" spans="1:16" s="7" customFormat="1" ht="42.75" customHeight="1" thickBot="1">
      <c r="A1871" s="101">
        <v>62</v>
      </c>
      <c r="B1871" s="102"/>
      <c r="C1871" s="96" t="s">
        <v>6</v>
      </c>
      <c r="D1871" s="97"/>
      <c r="J1871" s="8"/>
      <c r="K1871" s="8"/>
      <c r="L1871" s="8"/>
      <c r="M1871" s="8"/>
      <c r="N1871" s="8"/>
      <c r="O1871" s="8"/>
      <c r="P1871" s="8"/>
    </row>
    <row r="1872" spans="1:16" s="7" customFormat="1" ht="42.75" customHeight="1" thickBot="1">
      <c r="A1872" s="103"/>
      <c r="B1872" s="104"/>
      <c r="C1872" s="96" t="s">
        <v>21</v>
      </c>
      <c r="D1872" s="97"/>
      <c r="J1872" s="8"/>
      <c r="K1872" s="8"/>
      <c r="L1872" s="8"/>
      <c r="M1872" s="8"/>
      <c r="N1872" s="8"/>
      <c r="O1872" s="8"/>
      <c r="P1872" s="8"/>
    </row>
    <row r="1873" spans="1:16" s="7" customFormat="1" ht="42.75" customHeight="1" thickBot="1">
      <c r="A1873" s="105">
        <f>A1871*A1870</f>
        <v>0</v>
      </c>
      <c r="B1873" s="106"/>
      <c r="C1873" s="96" t="s">
        <v>7</v>
      </c>
      <c r="D1873" s="97"/>
      <c r="J1873" s="8"/>
      <c r="K1873" s="8"/>
      <c r="L1873" s="8"/>
      <c r="M1873" s="8"/>
      <c r="N1873" s="8"/>
      <c r="O1873" s="8"/>
      <c r="P1873" s="8"/>
    </row>
    <row r="1874" spans="1:16" s="7" customFormat="1" ht="42.75" customHeight="1" thickBot="1">
      <c r="A1874" s="107" t="s">
        <v>17</v>
      </c>
      <c r="B1874" s="108"/>
      <c r="C1874" s="108"/>
      <c r="D1874" s="109"/>
      <c r="J1874" s="8"/>
      <c r="K1874" s="8"/>
      <c r="L1874" s="8"/>
      <c r="M1874" s="8"/>
      <c r="N1874" s="8"/>
      <c r="O1874" s="8"/>
      <c r="P1874" s="8"/>
    </row>
    <row r="1875" spans="1:16" s="7" customFormat="1" ht="42.75" customHeight="1" thickBot="1">
      <c r="A1875" s="116" t="s">
        <v>20</v>
      </c>
      <c r="B1875" s="117"/>
      <c r="C1875" s="117"/>
      <c r="D1875" s="118"/>
      <c r="J1875" s="8"/>
      <c r="K1875" s="8"/>
      <c r="L1875" s="8"/>
      <c r="M1875" s="8"/>
      <c r="N1875" s="8"/>
      <c r="O1875" s="8"/>
      <c r="P1875" s="8"/>
    </row>
    <row r="1876" spans="1:16" s="7" customFormat="1" ht="42.75" customHeight="1" thickBot="1">
      <c r="A1876" s="113" t="s">
        <v>18</v>
      </c>
      <c r="B1876" s="114"/>
      <c r="C1876" s="114"/>
      <c r="D1876" s="115"/>
      <c r="J1876" s="8"/>
      <c r="K1876" s="8"/>
      <c r="L1876" s="8"/>
      <c r="M1876" s="8"/>
      <c r="N1876" s="8"/>
      <c r="O1876" s="8"/>
      <c r="P1876" s="8"/>
    </row>
    <row r="1877" spans="1:16" s="7" customFormat="1" ht="42.75" customHeight="1" thickBot="1">
      <c r="A1877" s="119"/>
      <c r="B1877" s="119"/>
      <c r="C1877" s="119"/>
      <c r="D1877" s="119"/>
      <c r="J1877" s="8"/>
      <c r="K1877" s="8"/>
      <c r="L1877" s="8"/>
      <c r="M1877" s="8"/>
      <c r="N1877" s="8"/>
      <c r="O1877" s="8"/>
      <c r="P1877" s="8"/>
    </row>
    <row r="1878" spans="1:16" s="7" customFormat="1" ht="42.75" customHeight="1" thickBot="1">
      <c r="A1878" s="126" t="s">
        <v>19</v>
      </c>
      <c r="B1878" s="127"/>
      <c r="C1878" s="127"/>
      <c r="D1878" s="128"/>
      <c r="J1878" s="8"/>
      <c r="K1878" s="8"/>
      <c r="L1878" s="8"/>
      <c r="M1878" s="8"/>
      <c r="N1878" s="8"/>
      <c r="O1878" s="8"/>
      <c r="P1878" s="8"/>
    </row>
    <row r="1879" spans="1:16" s="7" customFormat="1" ht="42.75" customHeight="1" thickBot="1">
      <c r="A1879" s="123" t="s">
        <v>11</v>
      </c>
      <c r="B1879" s="124"/>
      <c r="C1879" s="125" t="s">
        <v>603</v>
      </c>
      <c r="D1879" s="124"/>
      <c r="J1879" s="8"/>
      <c r="K1879" s="8"/>
      <c r="L1879" s="8"/>
      <c r="M1879" s="8"/>
      <c r="N1879" s="8"/>
      <c r="O1879" s="8"/>
      <c r="P1879" s="8"/>
    </row>
    <row r="1880" spans="1:16" s="7" customFormat="1" ht="42.75" customHeight="1" thickBot="1">
      <c r="A1880" s="1" t="s">
        <v>686</v>
      </c>
      <c r="B1880" s="26" t="s">
        <v>1</v>
      </c>
      <c r="C1880" s="90" t="s">
        <v>268</v>
      </c>
      <c r="D1880" s="91"/>
      <c r="J1880" s="8"/>
      <c r="K1880" s="8"/>
      <c r="L1880" s="8"/>
      <c r="M1880" s="8"/>
      <c r="N1880" s="8"/>
      <c r="O1880" s="8"/>
      <c r="P1880" s="8"/>
    </row>
    <row r="1881" spans="1:16" s="7" customFormat="1" ht="42.75" customHeight="1" thickBot="1">
      <c r="A1881" s="26"/>
      <c r="B1881" s="26" t="s">
        <v>0</v>
      </c>
      <c r="C1881" s="5" t="s">
        <v>687</v>
      </c>
      <c r="D1881" s="4" t="s">
        <v>2</v>
      </c>
      <c r="J1881" s="8"/>
      <c r="K1881" s="8"/>
      <c r="L1881" s="8"/>
      <c r="M1881" s="8"/>
      <c r="N1881" s="8"/>
      <c r="O1881" s="8"/>
      <c r="P1881" s="8"/>
    </row>
    <row r="1882" spans="1:16" s="7" customFormat="1" ht="42.75" customHeight="1" thickBot="1">
      <c r="A1882" s="92">
        <v>4235</v>
      </c>
      <c r="B1882" s="93"/>
      <c r="C1882" s="94" t="s">
        <v>3</v>
      </c>
      <c r="D1882" s="95"/>
      <c r="J1882" s="8"/>
      <c r="K1882" s="8"/>
      <c r="L1882" s="8"/>
      <c r="M1882" s="8"/>
      <c r="N1882" s="8"/>
      <c r="O1882" s="8"/>
      <c r="P1882" s="8"/>
    </row>
    <row r="1883" spans="1:16" s="7" customFormat="1" ht="42.75" customHeight="1" thickBot="1">
      <c r="A1883" s="92">
        <v>4285</v>
      </c>
      <c r="B1883" s="93"/>
      <c r="C1883" s="96" t="s">
        <v>4</v>
      </c>
      <c r="D1883" s="97"/>
      <c r="J1883" s="8"/>
      <c r="K1883" s="8"/>
      <c r="L1883" s="8"/>
      <c r="M1883" s="8"/>
      <c r="N1883" s="8"/>
      <c r="O1883" s="8"/>
      <c r="P1883" s="8"/>
    </row>
    <row r="1884" spans="1:16" s="7" customFormat="1" ht="42.75" customHeight="1" thickBot="1">
      <c r="A1884" s="98">
        <f>A1883-A1882</f>
        <v>50</v>
      </c>
      <c r="B1884" s="99"/>
      <c r="C1884" s="100" t="s">
        <v>5</v>
      </c>
      <c r="D1884" s="97"/>
      <c r="J1884" s="8"/>
      <c r="K1884" s="8"/>
      <c r="L1884" s="8"/>
      <c r="M1884" s="8"/>
      <c r="N1884" s="8"/>
      <c r="O1884" s="8"/>
      <c r="P1884" s="8"/>
    </row>
    <row r="1885" spans="1:16" s="7" customFormat="1" ht="42.75" customHeight="1" thickBot="1">
      <c r="A1885" s="101">
        <v>62</v>
      </c>
      <c r="B1885" s="102"/>
      <c r="C1885" s="96" t="s">
        <v>6</v>
      </c>
      <c r="D1885" s="97"/>
      <c r="J1885" s="8"/>
      <c r="K1885" s="8"/>
      <c r="L1885" s="8"/>
      <c r="M1885" s="8"/>
      <c r="N1885" s="8"/>
      <c r="O1885" s="8"/>
      <c r="P1885" s="8"/>
    </row>
    <row r="1886" spans="1:16" s="7" customFormat="1" ht="42.75" customHeight="1" thickBot="1">
      <c r="A1886" s="103"/>
      <c r="B1886" s="104"/>
      <c r="C1886" s="96" t="s">
        <v>21</v>
      </c>
      <c r="D1886" s="97"/>
      <c r="J1886" s="8"/>
      <c r="K1886" s="8"/>
      <c r="L1886" s="8"/>
      <c r="M1886" s="8"/>
      <c r="N1886" s="8"/>
      <c r="O1886" s="8"/>
      <c r="P1886" s="8"/>
    </row>
    <row r="1887" spans="1:16" s="7" customFormat="1" ht="42.75" customHeight="1" thickBot="1">
      <c r="A1887" s="105">
        <f>A1885*A1884</f>
        <v>3100</v>
      </c>
      <c r="B1887" s="106"/>
      <c r="C1887" s="96" t="s">
        <v>7</v>
      </c>
      <c r="D1887" s="97"/>
      <c r="J1887" s="8"/>
      <c r="K1887" s="8"/>
      <c r="L1887" s="8"/>
      <c r="M1887" s="8"/>
      <c r="N1887" s="8"/>
      <c r="O1887" s="8"/>
      <c r="P1887" s="8"/>
    </row>
    <row r="1888" spans="1:16" s="7" customFormat="1" ht="42.75" customHeight="1" thickBot="1">
      <c r="A1888" s="107" t="s">
        <v>17</v>
      </c>
      <c r="B1888" s="108"/>
      <c r="C1888" s="108"/>
      <c r="D1888" s="109"/>
      <c r="J1888" s="8"/>
      <c r="K1888" s="8"/>
      <c r="L1888" s="8"/>
      <c r="M1888" s="8"/>
      <c r="N1888" s="8"/>
      <c r="O1888" s="8"/>
      <c r="P1888" s="8"/>
    </row>
    <row r="1889" spans="1:16" s="7" customFormat="1" ht="42.75" customHeight="1" thickBot="1">
      <c r="A1889" s="110" t="s">
        <v>20</v>
      </c>
      <c r="B1889" s="111"/>
      <c r="C1889" s="111"/>
      <c r="D1889" s="112"/>
      <c r="J1889" s="8"/>
      <c r="K1889" s="8"/>
      <c r="L1889" s="8"/>
      <c r="M1889" s="8"/>
      <c r="N1889" s="8"/>
      <c r="O1889" s="8"/>
      <c r="P1889" s="8"/>
    </row>
    <row r="1890" spans="1:16" s="7" customFormat="1" ht="42.75" customHeight="1" thickBot="1">
      <c r="A1890" s="113" t="s">
        <v>18</v>
      </c>
      <c r="B1890" s="114"/>
      <c r="C1890" s="114"/>
      <c r="D1890" s="115"/>
      <c r="J1890" s="8"/>
      <c r="K1890" s="8"/>
      <c r="L1890" s="8"/>
      <c r="M1890" s="8"/>
      <c r="N1890" s="8"/>
      <c r="O1890" s="8"/>
      <c r="P1890" s="8"/>
    </row>
    <row r="1891" spans="1:16" s="7" customFormat="1" ht="42.75" customHeight="1" thickBot="1">
      <c r="A1891" s="126" t="s">
        <v>19</v>
      </c>
      <c r="B1891" s="127"/>
      <c r="C1891" s="127"/>
      <c r="D1891" s="128"/>
      <c r="J1891" s="8"/>
      <c r="K1891" s="8"/>
      <c r="L1891" s="8"/>
      <c r="M1891" s="8"/>
      <c r="N1891" s="8"/>
      <c r="O1891" s="8"/>
      <c r="P1891" s="8"/>
    </row>
    <row r="1892" spans="1:16" s="7" customFormat="1" ht="42.75" customHeight="1" thickBot="1">
      <c r="A1892" s="123" t="s">
        <v>11</v>
      </c>
      <c r="B1892" s="124"/>
      <c r="C1892" s="125" t="s">
        <v>603</v>
      </c>
      <c r="D1892" s="124"/>
      <c r="J1892" s="8"/>
      <c r="K1892" s="8"/>
      <c r="L1892" s="8"/>
      <c r="M1892" s="8"/>
      <c r="N1892" s="8"/>
      <c r="O1892" s="8"/>
      <c r="P1892" s="8"/>
    </row>
    <row r="1893" spans="1:16" s="7" customFormat="1" ht="42.75" customHeight="1" thickBot="1">
      <c r="A1893" s="1" t="s">
        <v>686</v>
      </c>
      <c r="B1893" s="26" t="s">
        <v>1</v>
      </c>
      <c r="C1893" s="90" t="s">
        <v>269</v>
      </c>
      <c r="D1893" s="91"/>
      <c r="J1893" s="8"/>
      <c r="K1893" s="8"/>
      <c r="L1893" s="8"/>
      <c r="M1893" s="8"/>
      <c r="N1893" s="8"/>
      <c r="O1893" s="8"/>
      <c r="P1893" s="8"/>
    </row>
    <row r="1894" spans="1:16" s="7" customFormat="1" ht="42.75" customHeight="1" thickBot="1">
      <c r="A1894" s="26"/>
      <c r="B1894" s="26" t="s">
        <v>0</v>
      </c>
      <c r="C1894" s="5" t="s">
        <v>687</v>
      </c>
      <c r="D1894" s="4" t="s">
        <v>2</v>
      </c>
      <c r="J1894" s="8"/>
      <c r="K1894" s="8"/>
      <c r="L1894" s="8"/>
      <c r="M1894" s="8"/>
      <c r="N1894" s="8"/>
      <c r="O1894" s="8"/>
      <c r="P1894" s="8"/>
    </row>
    <row r="1895" spans="1:16" s="7" customFormat="1" ht="42.75" customHeight="1" thickBot="1">
      <c r="A1895" s="92">
        <v>664</v>
      </c>
      <c r="B1895" s="93"/>
      <c r="C1895" s="94" t="s">
        <v>3</v>
      </c>
      <c r="D1895" s="95"/>
      <c r="J1895" s="8"/>
      <c r="K1895" s="8"/>
      <c r="L1895" s="8"/>
      <c r="M1895" s="8"/>
      <c r="N1895" s="8"/>
      <c r="O1895" s="8"/>
      <c r="P1895" s="8"/>
    </row>
    <row r="1896" spans="1:16" s="7" customFormat="1" ht="42.75" customHeight="1" thickBot="1">
      <c r="A1896" s="92">
        <v>664</v>
      </c>
      <c r="B1896" s="93"/>
      <c r="C1896" s="96" t="s">
        <v>4</v>
      </c>
      <c r="D1896" s="97"/>
      <c r="J1896" s="8"/>
      <c r="K1896" s="8"/>
      <c r="L1896" s="8"/>
      <c r="M1896" s="8"/>
      <c r="N1896" s="8"/>
      <c r="O1896" s="8"/>
      <c r="P1896" s="8"/>
    </row>
    <row r="1897" spans="1:16" s="7" customFormat="1" ht="42.75" customHeight="1" thickBot="1">
      <c r="A1897" s="98">
        <f>A1896-A1895</f>
        <v>0</v>
      </c>
      <c r="B1897" s="99"/>
      <c r="C1897" s="100" t="s">
        <v>5</v>
      </c>
      <c r="D1897" s="97"/>
      <c r="J1897" s="8"/>
      <c r="K1897" s="8"/>
      <c r="L1897" s="8"/>
      <c r="M1897" s="8"/>
      <c r="N1897" s="8"/>
      <c r="O1897" s="8"/>
      <c r="P1897" s="8"/>
    </row>
    <row r="1898" spans="1:16" s="7" customFormat="1" ht="42.75" customHeight="1" thickBot="1">
      <c r="A1898" s="101">
        <v>62</v>
      </c>
      <c r="B1898" s="102"/>
      <c r="C1898" s="96" t="s">
        <v>6</v>
      </c>
      <c r="D1898" s="97"/>
      <c r="J1898" s="8"/>
      <c r="K1898" s="8"/>
      <c r="L1898" s="8"/>
      <c r="M1898" s="8"/>
      <c r="N1898" s="8"/>
      <c r="O1898" s="8"/>
      <c r="P1898" s="8"/>
    </row>
    <row r="1899" spans="1:16" s="7" customFormat="1" ht="42.75" customHeight="1" thickBot="1">
      <c r="A1899" s="103"/>
      <c r="B1899" s="104"/>
      <c r="C1899" s="96" t="s">
        <v>21</v>
      </c>
      <c r="D1899" s="97"/>
      <c r="J1899" s="8"/>
      <c r="K1899" s="8"/>
      <c r="L1899" s="8"/>
      <c r="M1899" s="8"/>
      <c r="N1899" s="8"/>
      <c r="O1899" s="8"/>
      <c r="P1899" s="8"/>
    </row>
    <row r="1900" spans="1:16" s="7" customFormat="1" ht="42.75" customHeight="1" thickBot="1">
      <c r="A1900" s="105">
        <f>A1898*A1897</f>
        <v>0</v>
      </c>
      <c r="B1900" s="106"/>
      <c r="C1900" s="96" t="s">
        <v>7</v>
      </c>
      <c r="D1900" s="97"/>
      <c r="J1900" s="8"/>
      <c r="K1900" s="8"/>
      <c r="L1900" s="8"/>
      <c r="M1900" s="8"/>
      <c r="N1900" s="8"/>
      <c r="O1900" s="8"/>
      <c r="P1900" s="8"/>
    </row>
    <row r="1901" spans="1:16" s="7" customFormat="1" ht="42.75" customHeight="1" thickBot="1">
      <c r="A1901" s="107" t="s">
        <v>17</v>
      </c>
      <c r="B1901" s="108"/>
      <c r="C1901" s="108"/>
      <c r="D1901" s="109"/>
      <c r="J1901" s="8"/>
      <c r="K1901" s="8"/>
      <c r="L1901" s="8"/>
      <c r="M1901" s="8"/>
      <c r="N1901" s="8"/>
      <c r="O1901" s="8"/>
      <c r="P1901" s="8"/>
    </row>
    <row r="1902" spans="1:16" s="7" customFormat="1" ht="42.75" customHeight="1" thickBot="1">
      <c r="A1902" s="116" t="s">
        <v>20</v>
      </c>
      <c r="B1902" s="117"/>
      <c r="C1902" s="117"/>
      <c r="D1902" s="118"/>
      <c r="J1902" s="8"/>
      <c r="K1902" s="8"/>
      <c r="L1902" s="8"/>
      <c r="M1902" s="8"/>
      <c r="N1902" s="8"/>
      <c r="O1902" s="8"/>
      <c r="P1902" s="8"/>
    </row>
    <row r="1903" spans="1:16" s="7" customFormat="1" ht="42.75" customHeight="1" thickBot="1">
      <c r="A1903" s="113" t="s">
        <v>18</v>
      </c>
      <c r="B1903" s="114"/>
      <c r="C1903" s="114"/>
      <c r="D1903" s="115"/>
      <c r="J1903" s="8"/>
      <c r="K1903" s="8"/>
      <c r="L1903" s="8"/>
      <c r="M1903" s="8"/>
      <c r="N1903" s="8"/>
      <c r="O1903" s="8"/>
      <c r="P1903" s="8"/>
    </row>
    <row r="1904" spans="1:16" s="7" customFormat="1" ht="42.75" customHeight="1" thickBot="1">
      <c r="A1904" s="119"/>
      <c r="B1904" s="119"/>
      <c r="C1904" s="119"/>
      <c r="D1904" s="119"/>
      <c r="J1904" s="8"/>
      <c r="K1904" s="8"/>
      <c r="L1904" s="8"/>
      <c r="M1904" s="8"/>
      <c r="N1904" s="8"/>
      <c r="O1904" s="8"/>
      <c r="P1904" s="8"/>
    </row>
    <row r="1905" spans="1:16" s="7" customFormat="1" ht="42.75" customHeight="1" thickBot="1">
      <c r="A1905" s="126" t="s">
        <v>19</v>
      </c>
      <c r="B1905" s="127"/>
      <c r="C1905" s="127"/>
      <c r="D1905" s="128"/>
      <c r="J1905" s="8"/>
      <c r="K1905" s="8"/>
      <c r="L1905" s="8"/>
      <c r="M1905" s="8"/>
      <c r="N1905" s="8"/>
      <c r="O1905" s="8"/>
      <c r="P1905" s="8"/>
    </row>
    <row r="1906" spans="1:16" s="7" customFormat="1" ht="42.75" customHeight="1" thickBot="1">
      <c r="A1906" s="123" t="s">
        <v>11</v>
      </c>
      <c r="B1906" s="124"/>
      <c r="C1906" s="125" t="s">
        <v>603</v>
      </c>
      <c r="D1906" s="124"/>
      <c r="J1906" s="8"/>
      <c r="K1906" s="8"/>
      <c r="L1906" s="8"/>
      <c r="M1906" s="8"/>
      <c r="N1906" s="8"/>
      <c r="O1906" s="8"/>
      <c r="P1906" s="8"/>
    </row>
    <row r="1907" spans="1:16" s="7" customFormat="1" ht="42.75" customHeight="1" thickBot="1">
      <c r="A1907" s="1" t="s">
        <v>686</v>
      </c>
      <c r="B1907" s="26" t="s">
        <v>1</v>
      </c>
      <c r="C1907" s="90" t="s">
        <v>269</v>
      </c>
      <c r="D1907" s="91"/>
      <c r="J1907" s="8"/>
      <c r="K1907" s="8"/>
      <c r="L1907" s="8"/>
      <c r="M1907" s="8"/>
      <c r="N1907" s="8"/>
      <c r="O1907" s="8"/>
      <c r="P1907" s="8"/>
    </row>
    <row r="1908" spans="1:16" s="7" customFormat="1" ht="42.75" customHeight="1" thickBot="1">
      <c r="A1908" s="26"/>
      <c r="B1908" s="26" t="s">
        <v>0</v>
      </c>
      <c r="C1908" s="5" t="s">
        <v>687</v>
      </c>
      <c r="D1908" s="4" t="s">
        <v>2</v>
      </c>
      <c r="J1908" s="8"/>
      <c r="K1908" s="8"/>
      <c r="L1908" s="8"/>
      <c r="M1908" s="8"/>
      <c r="N1908" s="8"/>
      <c r="O1908" s="8"/>
      <c r="P1908" s="8"/>
    </row>
    <row r="1909" spans="1:16" s="7" customFormat="1" ht="42.75" customHeight="1" thickBot="1">
      <c r="A1909" s="92">
        <v>660</v>
      </c>
      <c r="B1909" s="93"/>
      <c r="C1909" s="94" t="s">
        <v>3</v>
      </c>
      <c r="D1909" s="95"/>
      <c r="J1909" s="8"/>
      <c r="K1909" s="8"/>
      <c r="L1909" s="8"/>
      <c r="M1909" s="8"/>
      <c r="N1909" s="8"/>
      <c r="O1909" s="8"/>
      <c r="P1909" s="8"/>
    </row>
    <row r="1910" spans="1:16" s="7" customFormat="1" ht="42.75" customHeight="1" thickBot="1">
      <c r="A1910" s="92">
        <v>664</v>
      </c>
      <c r="B1910" s="93"/>
      <c r="C1910" s="96" t="s">
        <v>4</v>
      </c>
      <c r="D1910" s="97"/>
      <c r="J1910" s="8"/>
      <c r="K1910" s="8"/>
      <c r="L1910" s="8"/>
      <c r="M1910" s="8"/>
      <c r="N1910" s="8"/>
      <c r="O1910" s="8"/>
      <c r="P1910" s="8"/>
    </row>
    <row r="1911" spans="1:16" s="7" customFormat="1" ht="42.75" customHeight="1" thickBot="1">
      <c r="A1911" s="98">
        <v>10</v>
      </c>
      <c r="B1911" s="99"/>
      <c r="C1911" s="100" t="s">
        <v>5</v>
      </c>
      <c r="D1911" s="97"/>
      <c r="J1911" s="8"/>
      <c r="K1911" s="8"/>
      <c r="L1911" s="8"/>
      <c r="M1911" s="8"/>
      <c r="N1911" s="8"/>
      <c r="O1911" s="8"/>
      <c r="P1911" s="8"/>
    </row>
    <row r="1912" spans="1:16" s="7" customFormat="1" ht="42.75" customHeight="1" thickBot="1">
      <c r="A1912" s="101">
        <v>62</v>
      </c>
      <c r="B1912" s="102"/>
      <c r="C1912" s="96" t="s">
        <v>6</v>
      </c>
      <c r="D1912" s="97"/>
      <c r="J1912" s="8"/>
      <c r="K1912" s="8"/>
      <c r="L1912" s="8"/>
      <c r="M1912" s="8"/>
      <c r="N1912" s="8"/>
      <c r="O1912" s="8"/>
      <c r="P1912" s="8"/>
    </row>
    <row r="1913" spans="1:16" s="7" customFormat="1" ht="42.75" customHeight="1" thickBot="1">
      <c r="A1913" s="103"/>
      <c r="B1913" s="104"/>
      <c r="C1913" s="96" t="s">
        <v>21</v>
      </c>
      <c r="D1913" s="97"/>
      <c r="J1913" s="8"/>
      <c r="K1913" s="8"/>
      <c r="L1913" s="8"/>
      <c r="M1913" s="8"/>
      <c r="N1913" s="8"/>
      <c r="O1913" s="8"/>
      <c r="P1913" s="8"/>
    </row>
    <row r="1914" spans="1:16" s="7" customFormat="1" ht="42.75" customHeight="1" thickBot="1">
      <c r="A1914" s="105">
        <v>600</v>
      </c>
      <c r="B1914" s="106"/>
      <c r="C1914" s="96" t="s">
        <v>7</v>
      </c>
      <c r="D1914" s="97"/>
      <c r="J1914" s="8"/>
      <c r="K1914" s="8"/>
      <c r="L1914" s="8"/>
      <c r="M1914" s="8"/>
      <c r="N1914" s="8"/>
      <c r="O1914" s="8"/>
      <c r="P1914" s="8"/>
    </row>
    <row r="1915" spans="1:16" s="7" customFormat="1" ht="42.75" customHeight="1" thickBot="1">
      <c r="A1915" s="107" t="s">
        <v>17</v>
      </c>
      <c r="B1915" s="108"/>
      <c r="C1915" s="108"/>
      <c r="D1915" s="109"/>
      <c r="J1915" s="8"/>
      <c r="K1915" s="8"/>
      <c r="L1915" s="8"/>
      <c r="M1915" s="8"/>
      <c r="N1915" s="8"/>
      <c r="O1915" s="8"/>
      <c r="P1915" s="8"/>
    </row>
    <row r="1916" spans="1:16" s="7" customFormat="1" ht="42.75" customHeight="1" thickBot="1">
      <c r="A1916" s="110" t="s">
        <v>20</v>
      </c>
      <c r="B1916" s="111"/>
      <c r="C1916" s="111"/>
      <c r="D1916" s="112"/>
      <c r="J1916" s="8"/>
      <c r="K1916" s="8"/>
      <c r="L1916" s="8"/>
      <c r="M1916" s="8"/>
      <c r="N1916" s="8"/>
      <c r="O1916" s="8"/>
      <c r="P1916" s="8"/>
    </row>
    <row r="1917" spans="1:16" s="7" customFormat="1" ht="42.75" customHeight="1" thickBot="1">
      <c r="A1917" s="113" t="s">
        <v>18</v>
      </c>
      <c r="B1917" s="114"/>
      <c r="C1917" s="114"/>
      <c r="D1917" s="115"/>
      <c r="J1917" s="8"/>
      <c r="K1917" s="8"/>
      <c r="L1917" s="8"/>
      <c r="M1917" s="8"/>
      <c r="N1917" s="8"/>
      <c r="O1917" s="8"/>
      <c r="P1917" s="8"/>
    </row>
    <row r="1918" spans="1:16" s="7" customFormat="1" ht="42.75" customHeight="1" thickBot="1">
      <c r="A1918" s="126" t="s">
        <v>19</v>
      </c>
      <c r="B1918" s="127"/>
      <c r="C1918" s="127"/>
      <c r="D1918" s="128"/>
      <c r="J1918" s="8"/>
      <c r="K1918" s="8"/>
      <c r="L1918" s="8"/>
      <c r="M1918" s="8"/>
      <c r="N1918" s="8"/>
      <c r="O1918" s="8"/>
      <c r="P1918" s="8"/>
    </row>
    <row r="1919" spans="1:16" s="7" customFormat="1" ht="42.75" customHeight="1" thickBot="1">
      <c r="A1919" s="123" t="s">
        <v>11</v>
      </c>
      <c r="B1919" s="124"/>
      <c r="C1919" s="125" t="s">
        <v>603</v>
      </c>
      <c r="D1919" s="124"/>
      <c r="J1919" s="8"/>
      <c r="K1919" s="8"/>
      <c r="L1919" s="8"/>
      <c r="M1919" s="8"/>
      <c r="N1919" s="8"/>
      <c r="O1919" s="8"/>
      <c r="P1919" s="8"/>
    </row>
    <row r="1920" spans="1:16" s="7" customFormat="1" ht="42.75" customHeight="1" thickBot="1">
      <c r="A1920" s="1" t="s">
        <v>686</v>
      </c>
      <c r="B1920" s="26" t="s">
        <v>1</v>
      </c>
      <c r="C1920" s="90" t="s">
        <v>679</v>
      </c>
      <c r="D1920" s="91"/>
      <c r="J1920" s="8"/>
      <c r="K1920" s="8"/>
      <c r="L1920" s="8"/>
      <c r="M1920" s="8"/>
      <c r="N1920" s="8"/>
      <c r="O1920" s="8"/>
      <c r="P1920" s="8"/>
    </row>
    <row r="1921" spans="1:16" s="7" customFormat="1" ht="42.75" customHeight="1" thickBot="1">
      <c r="A1921" s="26"/>
      <c r="B1921" s="26" t="s">
        <v>0</v>
      </c>
      <c r="C1921" s="5" t="s">
        <v>687</v>
      </c>
      <c r="D1921" s="4" t="s">
        <v>2</v>
      </c>
      <c r="J1921" s="8"/>
      <c r="K1921" s="8"/>
      <c r="L1921" s="8"/>
      <c r="M1921" s="8"/>
      <c r="N1921" s="8"/>
      <c r="O1921" s="8"/>
      <c r="P1921" s="8"/>
    </row>
    <row r="1922" spans="1:16" s="7" customFormat="1" ht="42.75" customHeight="1" thickBot="1">
      <c r="A1922" s="92">
        <v>1825</v>
      </c>
      <c r="B1922" s="93"/>
      <c r="C1922" s="94" t="s">
        <v>3</v>
      </c>
      <c r="D1922" s="95"/>
      <c r="J1922" s="8"/>
      <c r="K1922" s="8"/>
      <c r="L1922" s="8"/>
      <c r="M1922" s="8"/>
      <c r="N1922" s="8"/>
      <c r="O1922" s="8"/>
      <c r="P1922" s="8"/>
    </row>
    <row r="1923" spans="1:16" s="7" customFormat="1" ht="42.75" customHeight="1" thickBot="1">
      <c r="A1923" s="92">
        <v>1825</v>
      </c>
      <c r="B1923" s="93"/>
      <c r="C1923" s="96" t="s">
        <v>4</v>
      </c>
      <c r="D1923" s="97"/>
      <c r="J1923" s="8"/>
      <c r="K1923" s="8"/>
      <c r="L1923" s="8"/>
      <c r="M1923" s="8"/>
      <c r="N1923" s="8"/>
      <c r="O1923" s="8"/>
      <c r="P1923" s="8"/>
    </row>
    <row r="1924" spans="1:16" s="7" customFormat="1" ht="42.75" customHeight="1" thickBot="1">
      <c r="A1924" s="98">
        <f>A1923-A1922</f>
        <v>0</v>
      </c>
      <c r="B1924" s="99"/>
      <c r="C1924" s="100" t="s">
        <v>5</v>
      </c>
      <c r="D1924" s="97"/>
      <c r="J1924" s="8"/>
      <c r="K1924" s="8"/>
      <c r="L1924" s="8"/>
      <c r="M1924" s="8"/>
      <c r="N1924" s="8"/>
      <c r="O1924" s="8"/>
      <c r="P1924" s="8"/>
    </row>
    <row r="1925" spans="1:16" s="7" customFormat="1" ht="42.75" customHeight="1" thickBot="1">
      <c r="A1925" s="101">
        <v>62</v>
      </c>
      <c r="B1925" s="102"/>
      <c r="C1925" s="96" t="s">
        <v>6</v>
      </c>
      <c r="D1925" s="97"/>
      <c r="J1925" s="8"/>
      <c r="K1925" s="8"/>
      <c r="L1925" s="8"/>
      <c r="M1925" s="8"/>
      <c r="N1925" s="8"/>
      <c r="O1925" s="8"/>
      <c r="P1925" s="8"/>
    </row>
    <row r="1926" spans="1:16" s="7" customFormat="1" ht="42.75" customHeight="1" thickBot="1">
      <c r="A1926" s="103"/>
      <c r="B1926" s="104"/>
      <c r="C1926" s="96" t="s">
        <v>21</v>
      </c>
      <c r="D1926" s="97"/>
      <c r="J1926" s="8"/>
      <c r="K1926" s="8"/>
      <c r="L1926" s="8"/>
      <c r="M1926" s="8"/>
      <c r="N1926" s="8"/>
      <c r="O1926" s="8"/>
      <c r="P1926" s="8"/>
    </row>
    <row r="1927" spans="1:16" s="7" customFormat="1" ht="42.75" customHeight="1" thickBot="1">
      <c r="A1927" s="105">
        <f>A1925*A1924</f>
        <v>0</v>
      </c>
      <c r="B1927" s="106"/>
      <c r="C1927" s="96" t="s">
        <v>7</v>
      </c>
      <c r="D1927" s="97"/>
      <c r="J1927" s="8"/>
      <c r="K1927" s="8"/>
      <c r="L1927" s="8"/>
      <c r="M1927" s="8"/>
      <c r="N1927" s="8"/>
      <c r="O1927" s="8"/>
      <c r="P1927" s="8"/>
    </row>
    <row r="1928" spans="1:16" s="7" customFormat="1" ht="42.75" customHeight="1" thickBot="1">
      <c r="A1928" s="107" t="s">
        <v>17</v>
      </c>
      <c r="B1928" s="108"/>
      <c r="C1928" s="108"/>
      <c r="D1928" s="109"/>
      <c r="J1928" s="8"/>
      <c r="K1928" s="8"/>
      <c r="L1928" s="8"/>
      <c r="M1928" s="8"/>
      <c r="N1928" s="8"/>
      <c r="O1928" s="8"/>
      <c r="P1928" s="8"/>
    </row>
    <row r="1929" spans="1:16" s="7" customFormat="1" ht="42.75" customHeight="1" thickBot="1">
      <c r="A1929" s="116" t="s">
        <v>20</v>
      </c>
      <c r="B1929" s="117"/>
      <c r="C1929" s="117"/>
      <c r="D1929" s="118"/>
      <c r="J1929" s="8"/>
      <c r="K1929" s="8"/>
      <c r="L1929" s="8"/>
      <c r="M1929" s="8"/>
      <c r="N1929" s="8"/>
      <c r="O1929" s="8"/>
      <c r="P1929" s="8"/>
    </row>
    <row r="1930" spans="1:16" s="7" customFormat="1" ht="42.75" customHeight="1" thickBot="1">
      <c r="A1930" s="113" t="s">
        <v>18</v>
      </c>
      <c r="B1930" s="114"/>
      <c r="C1930" s="114"/>
      <c r="D1930" s="115"/>
      <c r="J1930" s="8"/>
      <c r="K1930" s="8"/>
      <c r="L1930" s="8"/>
      <c r="M1930" s="8"/>
      <c r="N1930" s="8"/>
      <c r="O1930" s="8"/>
      <c r="P1930" s="8"/>
    </row>
    <row r="1931" spans="1:16" s="7" customFormat="1" ht="42.75" customHeight="1" thickBot="1">
      <c r="A1931" s="119"/>
      <c r="B1931" s="119"/>
      <c r="C1931" s="119"/>
      <c r="D1931" s="119"/>
      <c r="J1931" s="8"/>
      <c r="K1931" s="8"/>
      <c r="L1931" s="8"/>
      <c r="M1931" s="8"/>
      <c r="N1931" s="8"/>
      <c r="O1931" s="8"/>
      <c r="P1931" s="8"/>
    </row>
    <row r="1932" spans="1:16" s="7" customFormat="1" ht="42.75" customHeight="1" thickBot="1">
      <c r="A1932" s="126" t="s">
        <v>19</v>
      </c>
      <c r="B1932" s="127"/>
      <c r="C1932" s="127"/>
      <c r="D1932" s="128"/>
      <c r="J1932" s="8"/>
      <c r="K1932" s="8"/>
      <c r="L1932" s="8"/>
      <c r="M1932" s="8"/>
      <c r="N1932" s="8"/>
      <c r="O1932" s="8"/>
      <c r="P1932" s="8"/>
    </row>
    <row r="1933" spans="1:16" s="7" customFormat="1" ht="42.75" customHeight="1" thickBot="1">
      <c r="A1933" s="123" t="s">
        <v>11</v>
      </c>
      <c r="B1933" s="124"/>
      <c r="C1933" s="125" t="s">
        <v>603</v>
      </c>
      <c r="D1933" s="124"/>
      <c r="J1933" s="8"/>
      <c r="K1933" s="8"/>
      <c r="L1933" s="8"/>
      <c r="M1933" s="8"/>
      <c r="N1933" s="8"/>
      <c r="O1933" s="8"/>
      <c r="P1933" s="8"/>
    </row>
    <row r="1934" spans="1:16" s="7" customFormat="1" ht="42.75" customHeight="1" thickBot="1">
      <c r="A1934" s="1" t="s">
        <v>686</v>
      </c>
      <c r="B1934" s="26" t="s">
        <v>1</v>
      </c>
      <c r="C1934" s="90" t="s">
        <v>679</v>
      </c>
      <c r="D1934" s="91"/>
      <c r="J1934" s="8"/>
      <c r="K1934" s="8"/>
      <c r="L1934" s="8"/>
      <c r="M1934" s="8"/>
      <c r="N1934" s="8"/>
      <c r="O1934" s="8"/>
      <c r="P1934" s="8"/>
    </row>
    <row r="1935" spans="1:16" s="7" customFormat="1" ht="42.75" customHeight="1" thickBot="1">
      <c r="A1935" s="26"/>
      <c r="B1935" s="26" t="s">
        <v>0</v>
      </c>
      <c r="C1935" s="5" t="s">
        <v>687</v>
      </c>
      <c r="D1935" s="4" t="s">
        <v>2</v>
      </c>
      <c r="J1935" s="8"/>
      <c r="K1935" s="8"/>
      <c r="L1935" s="8"/>
      <c r="M1935" s="8"/>
      <c r="N1935" s="8"/>
      <c r="O1935" s="8"/>
      <c r="P1935" s="8"/>
    </row>
    <row r="1936" spans="1:16" s="7" customFormat="1" ht="42.75" customHeight="1" thickBot="1">
      <c r="A1936" s="92">
        <v>1790</v>
      </c>
      <c r="B1936" s="93"/>
      <c r="C1936" s="94" t="s">
        <v>3</v>
      </c>
      <c r="D1936" s="95"/>
      <c r="J1936" s="8"/>
      <c r="K1936" s="8"/>
      <c r="L1936" s="8"/>
      <c r="M1936" s="8"/>
      <c r="N1936" s="8"/>
      <c r="O1936" s="8"/>
      <c r="P1936" s="8"/>
    </row>
    <row r="1937" spans="1:16" s="7" customFormat="1" ht="42.75" customHeight="1" thickBot="1">
      <c r="A1937" s="92">
        <v>1825</v>
      </c>
      <c r="B1937" s="93"/>
      <c r="C1937" s="96" t="s">
        <v>4</v>
      </c>
      <c r="D1937" s="97"/>
      <c r="J1937" s="8"/>
      <c r="K1937" s="8"/>
      <c r="L1937" s="8"/>
      <c r="M1937" s="8"/>
      <c r="N1937" s="8"/>
      <c r="O1937" s="8"/>
      <c r="P1937" s="8"/>
    </row>
    <row r="1938" spans="1:16" s="7" customFormat="1" ht="42.75" customHeight="1" thickBot="1">
      <c r="A1938" s="98">
        <f>A1937-A1936</f>
        <v>35</v>
      </c>
      <c r="B1938" s="99"/>
      <c r="C1938" s="100" t="s">
        <v>5</v>
      </c>
      <c r="D1938" s="97"/>
      <c r="J1938" s="8"/>
      <c r="K1938" s="8"/>
      <c r="L1938" s="8"/>
      <c r="M1938" s="8"/>
      <c r="N1938" s="8"/>
      <c r="O1938" s="8"/>
      <c r="P1938" s="8"/>
    </row>
    <row r="1939" spans="1:16" s="7" customFormat="1" ht="42.75" customHeight="1" thickBot="1">
      <c r="A1939" s="101">
        <v>62</v>
      </c>
      <c r="B1939" s="102"/>
      <c r="C1939" s="96" t="s">
        <v>6</v>
      </c>
      <c r="D1939" s="97"/>
      <c r="J1939" s="8"/>
      <c r="K1939" s="8"/>
      <c r="L1939" s="8"/>
      <c r="M1939" s="8"/>
      <c r="N1939" s="8"/>
      <c r="O1939" s="8"/>
      <c r="P1939" s="8"/>
    </row>
    <row r="1940" spans="1:16" s="7" customFormat="1" ht="42.75" customHeight="1" thickBot="1">
      <c r="A1940" s="103"/>
      <c r="B1940" s="104"/>
      <c r="C1940" s="96" t="s">
        <v>21</v>
      </c>
      <c r="D1940" s="97"/>
      <c r="J1940" s="8"/>
      <c r="K1940" s="8"/>
      <c r="L1940" s="8"/>
      <c r="M1940" s="8"/>
      <c r="N1940" s="8"/>
      <c r="O1940" s="8"/>
      <c r="P1940" s="8"/>
    </row>
    <row r="1941" spans="1:16" s="7" customFormat="1" ht="42.75" customHeight="1" thickBot="1">
      <c r="A1941" s="105">
        <v>2200</v>
      </c>
      <c r="B1941" s="106"/>
      <c r="C1941" s="96" t="s">
        <v>7</v>
      </c>
      <c r="D1941" s="97"/>
      <c r="J1941" s="8"/>
      <c r="K1941" s="8"/>
      <c r="L1941" s="8"/>
      <c r="M1941" s="8"/>
      <c r="N1941" s="8"/>
      <c r="O1941" s="8"/>
      <c r="P1941" s="8"/>
    </row>
    <row r="1942" spans="1:16" s="7" customFormat="1" ht="42.75" customHeight="1" thickBot="1">
      <c r="A1942" s="107" t="s">
        <v>17</v>
      </c>
      <c r="B1942" s="108"/>
      <c r="C1942" s="108"/>
      <c r="D1942" s="109"/>
      <c r="J1942" s="8"/>
      <c r="K1942" s="8"/>
      <c r="L1942" s="8"/>
      <c r="M1942" s="8"/>
      <c r="N1942" s="8"/>
      <c r="O1942" s="8"/>
      <c r="P1942" s="8"/>
    </row>
    <row r="1943" spans="1:16" s="7" customFormat="1" ht="42.75" customHeight="1" thickBot="1">
      <c r="A1943" s="110" t="s">
        <v>20</v>
      </c>
      <c r="B1943" s="111"/>
      <c r="C1943" s="111"/>
      <c r="D1943" s="112"/>
      <c r="J1943" s="8"/>
      <c r="K1943" s="8"/>
      <c r="L1943" s="8"/>
      <c r="M1943" s="8"/>
      <c r="N1943" s="8"/>
      <c r="O1943" s="8"/>
      <c r="P1943" s="8"/>
    </row>
    <row r="1944" spans="1:16" s="7" customFormat="1" ht="42.75" customHeight="1" thickBot="1">
      <c r="A1944" s="113" t="s">
        <v>18</v>
      </c>
      <c r="B1944" s="114"/>
      <c r="C1944" s="114"/>
      <c r="D1944" s="115"/>
      <c r="J1944" s="8"/>
      <c r="K1944" s="8"/>
      <c r="L1944" s="8"/>
      <c r="M1944" s="8"/>
      <c r="N1944" s="8"/>
      <c r="O1944" s="8"/>
      <c r="P1944" s="8"/>
    </row>
    <row r="1945" spans="1:16" s="7" customFormat="1" ht="42.75" customHeight="1" thickBot="1">
      <c r="A1945" s="126" t="s">
        <v>19</v>
      </c>
      <c r="B1945" s="127"/>
      <c r="C1945" s="127"/>
      <c r="D1945" s="128"/>
      <c r="J1945" s="8"/>
      <c r="K1945" s="8"/>
      <c r="L1945" s="8"/>
      <c r="M1945" s="8"/>
      <c r="N1945" s="8"/>
      <c r="O1945" s="8"/>
      <c r="P1945" s="8"/>
    </row>
    <row r="1946" spans="1:16" s="7" customFormat="1" ht="42.75" customHeight="1" thickBot="1">
      <c r="A1946" s="123" t="s">
        <v>11</v>
      </c>
      <c r="B1946" s="124"/>
      <c r="C1946" s="125" t="s">
        <v>603</v>
      </c>
      <c r="D1946" s="124"/>
      <c r="J1946" s="8"/>
      <c r="K1946" s="8"/>
      <c r="L1946" s="8"/>
      <c r="M1946" s="8"/>
      <c r="N1946" s="8"/>
      <c r="O1946" s="8"/>
      <c r="P1946" s="8"/>
    </row>
    <row r="1947" spans="1:16" s="7" customFormat="1" ht="42.75" customHeight="1" thickBot="1">
      <c r="A1947" s="1" t="s">
        <v>686</v>
      </c>
      <c r="B1947" s="26" t="s">
        <v>1</v>
      </c>
      <c r="C1947" s="90" t="s">
        <v>270</v>
      </c>
      <c r="D1947" s="91"/>
      <c r="J1947" s="8"/>
      <c r="K1947" s="8"/>
      <c r="L1947" s="8"/>
      <c r="M1947" s="8"/>
      <c r="N1947" s="8"/>
      <c r="O1947" s="8"/>
      <c r="P1947" s="8"/>
    </row>
    <row r="1948" spans="1:16" s="7" customFormat="1" ht="42.75" customHeight="1" thickBot="1">
      <c r="A1948" s="26"/>
      <c r="B1948" s="26" t="s">
        <v>0</v>
      </c>
      <c r="C1948" s="5" t="s">
        <v>687</v>
      </c>
      <c r="D1948" s="4" t="s">
        <v>2</v>
      </c>
      <c r="J1948" s="8"/>
      <c r="K1948" s="8"/>
      <c r="L1948" s="8"/>
      <c r="M1948" s="8"/>
      <c r="N1948" s="8"/>
      <c r="O1948" s="8"/>
      <c r="P1948" s="8"/>
    </row>
    <row r="1949" spans="1:16" s="7" customFormat="1" ht="42.75" customHeight="1" thickBot="1">
      <c r="A1949" s="92">
        <v>1475</v>
      </c>
      <c r="B1949" s="93"/>
      <c r="C1949" s="94" t="s">
        <v>3</v>
      </c>
      <c r="D1949" s="95"/>
      <c r="J1949" s="8"/>
      <c r="K1949" s="8"/>
      <c r="L1949" s="8"/>
      <c r="M1949" s="8"/>
      <c r="N1949" s="8"/>
      <c r="O1949" s="8"/>
      <c r="P1949" s="8"/>
    </row>
    <row r="1950" spans="1:16" s="7" customFormat="1" ht="42.75" customHeight="1" thickBot="1">
      <c r="A1950" s="92">
        <v>1475</v>
      </c>
      <c r="B1950" s="93"/>
      <c r="C1950" s="96" t="s">
        <v>4</v>
      </c>
      <c r="D1950" s="97"/>
      <c r="J1950" s="8"/>
      <c r="K1950" s="8"/>
      <c r="L1950" s="8"/>
      <c r="M1950" s="8"/>
      <c r="N1950" s="8"/>
      <c r="O1950" s="8"/>
      <c r="P1950" s="8"/>
    </row>
    <row r="1951" spans="1:16" s="7" customFormat="1" ht="42.75" customHeight="1" thickBot="1">
      <c r="A1951" s="98">
        <f>A1950-A1949</f>
        <v>0</v>
      </c>
      <c r="B1951" s="99"/>
      <c r="C1951" s="100" t="s">
        <v>5</v>
      </c>
      <c r="D1951" s="97"/>
      <c r="J1951" s="8"/>
      <c r="K1951" s="8"/>
      <c r="L1951" s="8"/>
      <c r="M1951" s="8"/>
      <c r="N1951" s="8"/>
      <c r="O1951" s="8"/>
      <c r="P1951" s="8"/>
    </row>
    <row r="1952" spans="1:16" s="7" customFormat="1" ht="42.75" customHeight="1" thickBot="1">
      <c r="A1952" s="101">
        <v>62</v>
      </c>
      <c r="B1952" s="102"/>
      <c r="C1952" s="96" t="s">
        <v>6</v>
      </c>
      <c r="D1952" s="97"/>
      <c r="J1952" s="8"/>
      <c r="K1952" s="8"/>
      <c r="L1952" s="8"/>
      <c r="M1952" s="8"/>
      <c r="N1952" s="8"/>
      <c r="O1952" s="8"/>
      <c r="P1952" s="8"/>
    </row>
    <row r="1953" spans="1:16" s="7" customFormat="1" ht="42.75" customHeight="1" thickBot="1">
      <c r="A1953" s="103"/>
      <c r="B1953" s="104"/>
      <c r="C1953" s="96" t="s">
        <v>21</v>
      </c>
      <c r="D1953" s="97"/>
      <c r="J1953" s="8"/>
      <c r="K1953" s="8"/>
      <c r="L1953" s="8"/>
      <c r="M1953" s="8"/>
      <c r="N1953" s="8"/>
      <c r="O1953" s="8"/>
      <c r="P1953" s="8"/>
    </row>
    <row r="1954" spans="1:16" s="7" customFormat="1" ht="42.75" customHeight="1" thickBot="1">
      <c r="A1954" s="105">
        <f>A1952*A1951</f>
        <v>0</v>
      </c>
      <c r="B1954" s="106"/>
      <c r="C1954" s="96" t="s">
        <v>7</v>
      </c>
      <c r="D1954" s="97"/>
      <c r="J1954" s="8"/>
      <c r="K1954" s="8"/>
      <c r="L1954" s="8"/>
      <c r="M1954" s="8"/>
      <c r="N1954" s="8"/>
      <c r="O1954" s="8"/>
      <c r="P1954" s="8"/>
    </row>
    <row r="1955" spans="1:16" s="7" customFormat="1" ht="42.75" customHeight="1" thickBot="1">
      <c r="A1955" s="107" t="s">
        <v>17</v>
      </c>
      <c r="B1955" s="108"/>
      <c r="C1955" s="108"/>
      <c r="D1955" s="109"/>
      <c r="J1955" s="8"/>
      <c r="K1955" s="8"/>
      <c r="L1955" s="8"/>
      <c r="M1955" s="8"/>
      <c r="N1955" s="8"/>
      <c r="O1955" s="8"/>
      <c r="P1955" s="8"/>
    </row>
    <row r="1956" spans="1:16" s="7" customFormat="1" ht="42.75" customHeight="1" thickBot="1">
      <c r="A1956" s="116" t="s">
        <v>20</v>
      </c>
      <c r="B1956" s="117"/>
      <c r="C1956" s="117"/>
      <c r="D1956" s="118"/>
      <c r="J1956" s="8"/>
      <c r="K1956" s="8"/>
      <c r="L1956" s="8"/>
      <c r="M1956" s="8"/>
      <c r="N1956" s="8"/>
      <c r="O1956" s="8"/>
      <c r="P1956" s="8"/>
    </row>
    <row r="1957" spans="1:16" s="7" customFormat="1" ht="42.75" customHeight="1" thickBot="1">
      <c r="A1957" s="113" t="s">
        <v>18</v>
      </c>
      <c r="B1957" s="114"/>
      <c r="C1957" s="114"/>
      <c r="D1957" s="115"/>
      <c r="J1957" s="8"/>
      <c r="K1957" s="8"/>
      <c r="L1957" s="8"/>
      <c r="M1957" s="8"/>
      <c r="N1957" s="8"/>
      <c r="O1957" s="8"/>
      <c r="P1957" s="8"/>
    </row>
    <row r="1958" spans="1:16" s="7" customFormat="1" ht="42.75" customHeight="1" thickBot="1">
      <c r="A1958" s="119"/>
      <c r="B1958" s="119"/>
      <c r="C1958" s="119"/>
      <c r="D1958" s="119"/>
      <c r="J1958" s="8"/>
      <c r="K1958" s="8"/>
      <c r="L1958" s="8"/>
      <c r="M1958" s="8"/>
      <c r="N1958" s="8"/>
      <c r="O1958" s="8"/>
      <c r="P1958" s="8"/>
    </row>
    <row r="1959" spans="1:16" s="7" customFormat="1" ht="42.75" customHeight="1" thickBot="1">
      <c r="A1959" s="126" t="s">
        <v>19</v>
      </c>
      <c r="B1959" s="127"/>
      <c r="C1959" s="127"/>
      <c r="D1959" s="128"/>
      <c r="J1959" s="8"/>
      <c r="K1959" s="8"/>
      <c r="L1959" s="8"/>
      <c r="M1959" s="8"/>
      <c r="N1959" s="8"/>
      <c r="O1959" s="8"/>
      <c r="P1959" s="8"/>
    </row>
    <row r="1960" spans="1:16" s="7" customFormat="1" ht="42.75" customHeight="1" thickBot="1">
      <c r="A1960" s="123" t="s">
        <v>11</v>
      </c>
      <c r="B1960" s="124"/>
      <c r="C1960" s="125" t="s">
        <v>603</v>
      </c>
      <c r="D1960" s="124"/>
      <c r="J1960" s="8"/>
      <c r="K1960" s="8"/>
      <c r="L1960" s="8"/>
      <c r="M1960" s="8"/>
      <c r="N1960" s="8"/>
      <c r="O1960" s="8"/>
      <c r="P1960" s="8"/>
    </row>
    <row r="1961" spans="1:16" s="7" customFormat="1" ht="42.75" customHeight="1" thickBot="1">
      <c r="A1961" s="1" t="s">
        <v>686</v>
      </c>
      <c r="B1961" s="26" t="s">
        <v>1</v>
      </c>
      <c r="C1961" s="90" t="s">
        <v>270</v>
      </c>
      <c r="D1961" s="91"/>
      <c r="J1961" s="8"/>
      <c r="K1961" s="8"/>
      <c r="L1961" s="8"/>
      <c r="M1961" s="8"/>
      <c r="N1961" s="8"/>
      <c r="O1961" s="8"/>
      <c r="P1961" s="8"/>
    </row>
    <row r="1962" spans="1:16" s="7" customFormat="1" ht="42.75" customHeight="1" thickBot="1">
      <c r="A1962" s="26"/>
      <c r="B1962" s="26" t="s">
        <v>0</v>
      </c>
      <c r="C1962" s="5" t="s">
        <v>687</v>
      </c>
      <c r="D1962" s="4" t="s">
        <v>2</v>
      </c>
      <c r="J1962" s="8"/>
      <c r="K1962" s="8"/>
      <c r="L1962" s="8"/>
      <c r="M1962" s="8"/>
      <c r="N1962" s="8"/>
      <c r="O1962" s="8"/>
      <c r="P1962" s="8"/>
    </row>
    <row r="1963" spans="1:16" s="7" customFormat="1" ht="42.75" customHeight="1" thickBot="1">
      <c r="A1963" s="92">
        <v>1455</v>
      </c>
      <c r="B1963" s="93"/>
      <c r="C1963" s="94" t="s">
        <v>3</v>
      </c>
      <c r="D1963" s="95"/>
      <c r="J1963" s="8"/>
      <c r="K1963" s="8"/>
      <c r="L1963" s="8"/>
      <c r="M1963" s="8"/>
      <c r="N1963" s="8"/>
      <c r="O1963" s="8"/>
      <c r="P1963" s="8"/>
    </row>
    <row r="1964" spans="1:16" s="7" customFormat="1" ht="42.75" customHeight="1" thickBot="1">
      <c r="A1964" s="92">
        <v>1475</v>
      </c>
      <c r="B1964" s="93"/>
      <c r="C1964" s="96" t="s">
        <v>4</v>
      </c>
      <c r="D1964" s="97"/>
      <c r="J1964" s="8"/>
      <c r="K1964" s="8"/>
      <c r="L1964" s="8"/>
      <c r="M1964" s="8"/>
      <c r="N1964" s="8"/>
      <c r="O1964" s="8"/>
      <c r="P1964" s="8"/>
    </row>
    <row r="1965" spans="1:16" s="7" customFormat="1" ht="42.75" customHeight="1" thickBot="1">
      <c r="A1965" s="98">
        <f>A1964-A1963</f>
        <v>20</v>
      </c>
      <c r="B1965" s="99"/>
      <c r="C1965" s="100" t="s">
        <v>5</v>
      </c>
      <c r="D1965" s="97"/>
      <c r="J1965" s="8"/>
      <c r="K1965" s="8"/>
      <c r="L1965" s="8"/>
      <c r="M1965" s="8"/>
      <c r="N1965" s="8"/>
      <c r="O1965" s="8"/>
      <c r="P1965" s="8"/>
    </row>
    <row r="1966" spans="1:16" s="7" customFormat="1" ht="42.75" customHeight="1" thickBot="1">
      <c r="A1966" s="101">
        <v>62</v>
      </c>
      <c r="B1966" s="102"/>
      <c r="C1966" s="96" t="s">
        <v>6</v>
      </c>
      <c r="D1966" s="97"/>
      <c r="J1966" s="8"/>
      <c r="K1966" s="8"/>
      <c r="L1966" s="8"/>
      <c r="M1966" s="8"/>
      <c r="N1966" s="8"/>
      <c r="O1966" s="8"/>
      <c r="P1966" s="8"/>
    </row>
    <row r="1967" spans="1:16" s="7" customFormat="1" ht="42.75" customHeight="1" thickBot="1">
      <c r="A1967" s="103"/>
      <c r="B1967" s="104"/>
      <c r="C1967" s="96" t="s">
        <v>21</v>
      </c>
      <c r="D1967" s="97"/>
      <c r="J1967" s="8"/>
      <c r="K1967" s="8"/>
      <c r="L1967" s="8"/>
      <c r="M1967" s="8"/>
      <c r="N1967" s="8"/>
      <c r="O1967" s="8"/>
      <c r="P1967" s="8"/>
    </row>
    <row r="1968" spans="1:16" s="7" customFormat="1" ht="42.75" customHeight="1" thickBot="1">
      <c r="A1968" s="105">
        <v>1250</v>
      </c>
      <c r="B1968" s="106"/>
      <c r="C1968" s="96" t="s">
        <v>7</v>
      </c>
      <c r="D1968" s="97"/>
      <c r="J1968" s="8"/>
      <c r="K1968" s="8"/>
      <c r="L1968" s="8"/>
      <c r="M1968" s="8"/>
      <c r="N1968" s="8"/>
      <c r="O1968" s="8"/>
      <c r="P1968" s="8"/>
    </row>
    <row r="1969" spans="1:16" s="7" customFormat="1" ht="42.75" customHeight="1" thickBot="1">
      <c r="A1969" s="107" t="s">
        <v>17</v>
      </c>
      <c r="B1969" s="108"/>
      <c r="C1969" s="108"/>
      <c r="D1969" s="109"/>
      <c r="J1969" s="8"/>
      <c r="K1969" s="8"/>
      <c r="L1969" s="8"/>
      <c r="M1969" s="8"/>
      <c r="N1969" s="8"/>
      <c r="O1969" s="8"/>
      <c r="P1969" s="8"/>
    </row>
    <row r="1970" spans="1:16" s="7" customFormat="1" ht="42.75" customHeight="1" thickBot="1">
      <c r="A1970" s="110" t="s">
        <v>20</v>
      </c>
      <c r="B1970" s="111"/>
      <c r="C1970" s="111"/>
      <c r="D1970" s="112"/>
      <c r="J1970" s="8"/>
      <c r="K1970" s="8"/>
      <c r="L1970" s="8"/>
      <c r="M1970" s="8"/>
      <c r="N1970" s="8"/>
      <c r="O1970" s="8"/>
      <c r="P1970" s="8"/>
    </row>
    <row r="1971" spans="1:16" s="7" customFormat="1" ht="42.75" customHeight="1" thickBot="1">
      <c r="A1971" s="113" t="s">
        <v>18</v>
      </c>
      <c r="B1971" s="114"/>
      <c r="C1971" s="114"/>
      <c r="D1971" s="115"/>
      <c r="J1971" s="8"/>
      <c r="K1971" s="8"/>
      <c r="L1971" s="8"/>
      <c r="M1971" s="8"/>
      <c r="N1971" s="8"/>
      <c r="O1971" s="8"/>
      <c r="P1971" s="8"/>
    </row>
    <row r="1972" spans="1:16" s="7" customFormat="1" ht="42.75" customHeight="1" thickBot="1">
      <c r="A1972" s="126" t="s">
        <v>19</v>
      </c>
      <c r="B1972" s="127"/>
      <c r="C1972" s="127"/>
      <c r="D1972" s="128"/>
      <c r="J1972" s="8"/>
      <c r="K1972" s="8"/>
      <c r="L1972" s="8"/>
      <c r="M1972" s="8"/>
      <c r="N1972" s="8"/>
      <c r="O1972" s="8"/>
      <c r="P1972" s="8"/>
    </row>
    <row r="1973" spans="1:16" s="7" customFormat="1" ht="42.75" customHeight="1" thickBot="1">
      <c r="A1973" s="123" t="s">
        <v>11</v>
      </c>
      <c r="B1973" s="124"/>
      <c r="C1973" s="125" t="s">
        <v>603</v>
      </c>
      <c r="D1973" s="124"/>
      <c r="J1973" s="8"/>
      <c r="K1973" s="8"/>
      <c r="L1973" s="8"/>
      <c r="M1973" s="8"/>
      <c r="N1973" s="8"/>
      <c r="O1973" s="8"/>
      <c r="P1973" s="8"/>
    </row>
    <row r="1974" spans="1:16" s="7" customFormat="1" ht="42.75" customHeight="1" thickBot="1">
      <c r="A1974" s="1" t="s">
        <v>686</v>
      </c>
      <c r="B1974" s="26" t="s">
        <v>1</v>
      </c>
      <c r="C1974" s="90" t="s">
        <v>562</v>
      </c>
      <c r="D1974" s="91"/>
      <c r="J1974" s="8"/>
      <c r="K1974" s="8"/>
      <c r="L1974" s="8"/>
      <c r="M1974" s="8"/>
      <c r="N1974" s="8"/>
      <c r="O1974" s="8"/>
      <c r="P1974" s="8"/>
    </row>
    <row r="1975" spans="1:16" s="7" customFormat="1" ht="42.75" customHeight="1" thickBot="1">
      <c r="A1975" s="26"/>
      <c r="B1975" s="26" t="s">
        <v>0</v>
      </c>
      <c r="C1975" s="5" t="s">
        <v>687</v>
      </c>
      <c r="D1975" s="4" t="s">
        <v>2</v>
      </c>
      <c r="J1975" s="8"/>
      <c r="K1975" s="8"/>
      <c r="L1975" s="8"/>
      <c r="M1975" s="8"/>
      <c r="N1975" s="8"/>
      <c r="O1975" s="8"/>
      <c r="P1975" s="8"/>
    </row>
    <row r="1976" spans="1:16" s="7" customFormat="1" ht="42.75" customHeight="1" thickBot="1">
      <c r="A1976" s="92">
        <v>2040</v>
      </c>
      <c r="B1976" s="93"/>
      <c r="C1976" s="94" t="s">
        <v>3</v>
      </c>
      <c r="D1976" s="95"/>
      <c r="J1976" s="8"/>
      <c r="K1976" s="8"/>
      <c r="L1976" s="8"/>
      <c r="M1976" s="8"/>
      <c r="N1976" s="8"/>
      <c r="O1976" s="8"/>
      <c r="P1976" s="8"/>
    </row>
    <row r="1977" spans="1:16" s="7" customFormat="1" ht="42.75" customHeight="1" thickBot="1">
      <c r="A1977" s="92">
        <v>2040</v>
      </c>
      <c r="B1977" s="93"/>
      <c r="C1977" s="96" t="s">
        <v>4</v>
      </c>
      <c r="D1977" s="97"/>
      <c r="J1977" s="8"/>
      <c r="K1977" s="8"/>
      <c r="L1977" s="8"/>
      <c r="M1977" s="8"/>
      <c r="N1977" s="8"/>
      <c r="O1977" s="8"/>
      <c r="P1977" s="8"/>
    </row>
    <row r="1978" spans="1:16" s="7" customFormat="1" ht="42.75" customHeight="1" thickBot="1">
      <c r="A1978" s="98">
        <f>A1977-A1976</f>
        <v>0</v>
      </c>
      <c r="B1978" s="99"/>
      <c r="C1978" s="100" t="s">
        <v>5</v>
      </c>
      <c r="D1978" s="97"/>
      <c r="J1978" s="8"/>
      <c r="K1978" s="8"/>
      <c r="L1978" s="8"/>
      <c r="M1978" s="8"/>
      <c r="N1978" s="8"/>
      <c r="O1978" s="8"/>
      <c r="P1978" s="8"/>
    </row>
    <row r="1979" spans="1:16" s="7" customFormat="1" ht="42.75" customHeight="1" thickBot="1">
      <c r="A1979" s="101">
        <v>62</v>
      </c>
      <c r="B1979" s="102"/>
      <c r="C1979" s="96" t="s">
        <v>6</v>
      </c>
      <c r="D1979" s="97"/>
      <c r="J1979" s="8"/>
      <c r="K1979" s="8"/>
      <c r="L1979" s="8"/>
      <c r="M1979" s="8"/>
      <c r="N1979" s="8"/>
      <c r="O1979" s="8"/>
      <c r="P1979" s="8"/>
    </row>
    <row r="1980" spans="1:16" s="7" customFormat="1" ht="42.75" customHeight="1" thickBot="1">
      <c r="A1980" s="103"/>
      <c r="B1980" s="104"/>
      <c r="C1980" s="96" t="s">
        <v>21</v>
      </c>
      <c r="D1980" s="97"/>
      <c r="J1980" s="8"/>
      <c r="K1980" s="8"/>
      <c r="L1980" s="8"/>
      <c r="M1980" s="8"/>
      <c r="N1980" s="8"/>
      <c r="O1980" s="8"/>
      <c r="P1980" s="8"/>
    </row>
    <row r="1981" spans="1:16" s="7" customFormat="1" ht="42.75" customHeight="1" thickBot="1">
      <c r="A1981" s="105">
        <f>A1979*A1978</f>
        <v>0</v>
      </c>
      <c r="B1981" s="106"/>
      <c r="C1981" s="96" t="s">
        <v>7</v>
      </c>
      <c r="D1981" s="97"/>
      <c r="J1981" s="8"/>
      <c r="K1981" s="8"/>
      <c r="L1981" s="8"/>
      <c r="M1981" s="8"/>
      <c r="N1981" s="8"/>
      <c r="O1981" s="8"/>
      <c r="P1981" s="8"/>
    </row>
    <row r="1982" spans="1:16" s="7" customFormat="1" ht="42.75" customHeight="1" thickBot="1">
      <c r="A1982" s="107" t="s">
        <v>17</v>
      </c>
      <c r="B1982" s="108"/>
      <c r="C1982" s="108"/>
      <c r="D1982" s="109"/>
      <c r="J1982" s="8"/>
      <c r="K1982" s="8"/>
      <c r="L1982" s="8"/>
      <c r="M1982" s="8"/>
      <c r="N1982" s="8"/>
      <c r="O1982" s="8"/>
      <c r="P1982" s="8"/>
    </row>
    <row r="1983" spans="1:16" s="7" customFormat="1" ht="42.75" customHeight="1" thickBot="1">
      <c r="A1983" s="116" t="s">
        <v>20</v>
      </c>
      <c r="B1983" s="117"/>
      <c r="C1983" s="117"/>
      <c r="D1983" s="118"/>
      <c r="J1983" s="8"/>
      <c r="K1983" s="8"/>
      <c r="L1983" s="8"/>
      <c r="M1983" s="8"/>
      <c r="N1983" s="8"/>
      <c r="O1983" s="8"/>
      <c r="P1983" s="8"/>
    </row>
    <row r="1984" spans="1:16" s="7" customFormat="1" ht="42.75" customHeight="1" thickBot="1">
      <c r="A1984" s="113" t="s">
        <v>18</v>
      </c>
      <c r="B1984" s="114"/>
      <c r="C1984" s="114"/>
      <c r="D1984" s="115"/>
      <c r="J1984" s="8"/>
      <c r="K1984" s="8"/>
      <c r="L1984" s="8"/>
      <c r="M1984" s="8"/>
      <c r="N1984" s="8"/>
      <c r="O1984" s="8"/>
      <c r="P1984" s="8"/>
    </row>
    <row r="1985" spans="1:16" s="7" customFormat="1" ht="42.75" customHeight="1" thickBot="1">
      <c r="A1985" s="119"/>
      <c r="B1985" s="119"/>
      <c r="C1985" s="119"/>
      <c r="D1985" s="119"/>
      <c r="J1985" s="8"/>
      <c r="K1985" s="8"/>
      <c r="L1985" s="8"/>
      <c r="M1985" s="8"/>
      <c r="N1985" s="8"/>
      <c r="O1985" s="8"/>
      <c r="P1985" s="8"/>
    </row>
    <row r="1986" spans="1:16" s="7" customFormat="1" ht="42.75" customHeight="1" thickBot="1">
      <c r="A1986" s="126" t="s">
        <v>19</v>
      </c>
      <c r="B1986" s="127"/>
      <c r="C1986" s="127"/>
      <c r="D1986" s="128"/>
      <c r="J1986" s="8"/>
      <c r="K1986" s="8"/>
      <c r="L1986" s="8"/>
      <c r="M1986" s="8"/>
      <c r="N1986" s="8"/>
      <c r="O1986" s="8"/>
      <c r="P1986" s="8"/>
    </row>
    <row r="1987" spans="1:16" s="7" customFormat="1" ht="42.75" customHeight="1" thickBot="1">
      <c r="A1987" s="123" t="s">
        <v>11</v>
      </c>
      <c r="B1987" s="124"/>
      <c r="C1987" s="125" t="s">
        <v>603</v>
      </c>
      <c r="D1987" s="124"/>
      <c r="J1987" s="8"/>
      <c r="K1987" s="8"/>
      <c r="L1987" s="8"/>
      <c r="M1987" s="8"/>
      <c r="N1987" s="8"/>
      <c r="O1987" s="8"/>
      <c r="P1987" s="8"/>
    </row>
    <row r="1988" spans="1:16" s="7" customFormat="1" ht="42.75" customHeight="1" thickBot="1">
      <c r="A1988" s="1" t="s">
        <v>686</v>
      </c>
      <c r="B1988" s="26" t="s">
        <v>1</v>
      </c>
      <c r="C1988" s="90" t="s">
        <v>562</v>
      </c>
      <c r="D1988" s="91"/>
      <c r="J1988" s="8"/>
      <c r="K1988" s="8"/>
      <c r="L1988" s="8"/>
      <c r="M1988" s="8"/>
      <c r="N1988" s="8"/>
      <c r="O1988" s="8"/>
      <c r="P1988" s="8"/>
    </row>
    <row r="1989" spans="1:16" s="7" customFormat="1" ht="42.75" customHeight="1" thickBot="1">
      <c r="A1989" s="26"/>
      <c r="B1989" s="26" t="s">
        <v>0</v>
      </c>
      <c r="C1989" s="5" t="s">
        <v>687</v>
      </c>
      <c r="D1989" s="4" t="s">
        <v>2</v>
      </c>
      <c r="J1989" s="8"/>
      <c r="K1989" s="8"/>
      <c r="L1989" s="8"/>
      <c r="M1989" s="8"/>
      <c r="N1989" s="8"/>
      <c r="O1989" s="8"/>
      <c r="P1989" s="8"/>
    </row>
    <row r="1990" spans="1:16" s="7" customFormat="1" ht="42.75" customHeight="1" thickBot="1">
      <c r="A1990" s="92">
        <v>2025</v>
      </c>
      <c r="B1990" s="93"/>
      <c r="C1990" s="94" t="s">
        <v>3</v>
      </c>
      <c r="D1990" s="95"/>
      <c r="J1990" s="8"/>
      <c r="K1990" s="8"/>
      <c r="L1990" s="8"/>
      <c r="M1990" s="8"/>
      <c r="N1990" s="8"/>
      <c r="O1990" s="8"/>
      <c r="P1990" s="8"/>
    </row>
    <row r="1991" spans="1:16" s="7" customFormat="1" ht="42.75" customHeight="1" thickBot="1">
      <c r="A1991" s="92">
        <v>2040</v>
      </c>
      <c r="B1991" s="93"/>
      <c r="C1991" s="96" t="s">
        <v>4</v>
      </c>
      <c r="D1991" s="97"/>
      <c r="J1991" s="8"/>
      <c r="K1991" s="8"/>
      <c r="L1991" s="8"/>
      <c r="M1991" s="8"/>
      <c r="N1991" s="8"/>
      <c r="O1991" s="8"/>
      <c r="P1991" s="8"/>
    </row>
    <row r="1992" spans="1:16" s="7" customFormat="1" ht="42.75" customHeight="1" thickBot="1">
      <c r="A1992" s="98">
        <f>A1991-A1990</f>
        <v>15</v>
      </c>
      <c r="B1992" s="99"/>
      <c r="C1992" s="100" t="s">
        <v>5</v>
      </c>
      <c r="D1992" s="97"/>
      <c r="J1992" s="8"/>
      <c r="K1992" s="8"/>
      <c r="L1992" s="8"/>
      <c r="M1992" s="8"/>
      <c r="N1992" s="8"/>
      <c r="O1992" s="8"/>
      <c r="P1992" s="8"/>
    </row>
    <row r="1993" spans="1:16" s="7" customFormat="1" ht="42.75" customHeight="1" thickBot="1">
      <c r="A1993" s="101">
        <v>62</v>
      </c>
      <c r="B1993" s="102"/>
      <c r="C1993" s="96" t="s">
        <v>6</v>
      </c>
      <c r="D1993" s="97"/>
      <c r="J1993" s="8"/>
      <c r="K1993" s="8"/>
      <c r="L1993" s="8"/>
      <c r="M1993" s="8"/>
      <c r="N1993" s="8"/>
      <c r="O1993" s="8"/>
      <c r="P1993" s="8"/>
    </row>
    <row r="1994" spans="1:16" s="7" customFormat="1" ht="42.75" customHeight="1" thickBot="1">
      <c r="A1994" s="103"/>
      <c r="B1994" s="104"/>
      <c r="C1994" s="96" t="s">
        <v>21</v>
      </c>
      <c r="D1994" s="97"/>
      <c r="J1994" s="8"/>
      <c r="K1994" s="8"/>
      <c r="L1994" s="8"/>
      <c r="M1994" s="8"/>
      <c r="N1994" s="8"/>
      <c r="O1994" s="8"/>
      <c r="P1994" s="8"/>
    </row>
    <row r="1995" spans="1:16" s="7" customFormat="1" ht="42.75" customHeight="1" thickBot="1">
      <c r="A1995" s="105">
        <v>950</v>
      </c>
      <c r="B1995" s="106"/>
      <c r="C1995" s="96" t="s">
        <v>7</v>
      </c>
      <c r="D1995" s="97"/>
      <c r="J1995" s="8"/>
      <c r="K1995" s="8"/>
      <c r="L1995" s="8"/>
      <c r="M1995" s="8"/>
      <c r="N1995" s="8"/>
      <c r="O1995" s="8"/>
      <c r="P1995" s="8"/>
    </row>
    <row r="1996" spans="1:16" s="7" customFormat="1" ht="42.75" customHeight="1" thickBot="1">
      <c r="A1996" s="107" t="s">
        <v>17</v>
      </c>
      <c r="B1996" s="108"/>
      <c r="C1996" s="108"/>
      <c r="D1996" s="109"/>
      <c r="J1996" s="8"/>
      <c r="K1996" s="8"/>
      <c r="L1996" s="8"/>
      <c r="M1996" s="8"/>
      <c r="N1996" s="8"/>
      <c r="O1996" s="8"/>
      <c r="P1996" s="8"/>
    </row>
    <row r="1997" spans="1:16" s="7" customFormat="1" ht="42.75" customHeight="1" thickBot="1">
      <c r="A1997" s="110" t="s">
        <v>20</v>
      </c>
      <c r="B1997" s="111"/>
      <c r="C1997" s="111"/>
      <c r="D1997" s="112"/>
      <c r="J1997" s="8"/>
      <c r="K1997" s="8"/>
      <c r="L1997" s="8"/>
      <c r="M1997" s="8"/>
      <c r="N1997" s="8"/>
      <c r="O1997" s="8"/>
      <c r="P1997" s="8"/>
    </row>
    <row r="1998" spans="1:16" s="7" customFormat="1" ht="42.75" customHeight="1" thickBot="1">
      <c r="A1998" s="113" t="s">
        <v>18</v>
      </c>
      <c r="B1998" s="114"/>
      <c r="C1998" s="114"/>
      <c r="D1998" s="115"/>
      <c r="J1998" s="8"/>
      <c r="K1998" s="8"/>
      <c r="L1998" s="8"/>
      <c r="M1998" s="8"/>
      <c r="N1998" s="8"/>
      <c r="O1998" s="8"/>
      <c r="P1998" s="8"/>
    </row>
    <row r="1999" spans="1:16" s="7" customFormat="1" ht="42.75" customHeight="1" thickBot="1">
      <c r="A1999" s="126" t="s">
        <v>19</v>
      </c>
      <c r="B1999" s="127"/>
      <c r="C1999" s="127"/>
      <c r="D1999" s="128"/>
      <c r="J1999" s="8"/>
      <c r="K1999" s="8"/>
      <c r="L1999" s="8"/>
      <c r="M1999" s="8"/>
      <c r="N1999" s="8"/>
      <c r="O1999" s="8"/>
      <c r="P1999" s="8"/>
    </row>
    <row r="2000" spans="1:16" s="7" customFormat="1" ht="42.75" customHeight="1" thickBot="1">
      <c r="A2000" s="123" t="s">
        <v>11</v>
      </c>
      <c r="B2000" s="124"/>
      <c r="C2000" s="125" t="s">
        <v>603</v>
      </c>
      <c r="D2000" s="124"/>
      <c r="J2000" s="8"/>
      <c r="K2000" s="8"/>
      <c r="L2000" s="8"/>
      <c r="M2000" s="8"/>
      <c r="N2000" s="8"/>
      <c r="O2000" s="8"/>
      <c r="P2000" s="8"/>
    </row>
    <row r="2001" spans="1:16" s="7" customFormat="1" ht="42.75" customHeight="1" thickBot="1">
      <c r="A2001" s="1" t="s">
        <v>686</v>
      </c>
      <c r="B2001" s="26" t="s">
        <v>1</v>
      </c>
      <c r="C2001" s="90" t="s">
        <v>271</v>
      </c>
      <c r="D2001" s="91"/>
      <c r="J2001" s="8"/>
      <c r="K2001" s="8"/>
      <c r="L2001" s="8"/>
      <c r="M2001" s="8"/>
      <c r="N2001" s="8"/>
      <c r="O2001" s="8"/>
      <c r="P2001" s="8"/>
    </row>
    <row r="2002" spans="1:16" s="7" customFormat="1" ht="42.75" customHeight="1" thickBot="1">
      <c r="A2002" s="26"/>
      <c r="B2002" s="26" t="s">
        <v>0</v>
      </c>
      <c r="C2002" s="5" t="s">
        <v>687</v>
      </c>
      <c r="D2002" s="4" t="s">
        <v>2</v>
      </c>
      <c r="J2002" s="8"/>
      <c r="K2002" s="8"/>
      <c r="L2002" s="8"/>
      <c r="M2002" s="8"/>
      <c r="N2002" s="8"/>
      <c r="O2002" s="8"/>
      <c r="P2002" s="8"/>
    </row>
    <row r="2003" spans="1:16" s="7" customFormat="1" ht="42.75" customHeight="1" thickBot="1">
      <c r="A2003" s="92">
        <v>1012</v>
      </c>
      <c r="B2003" s="93"/>
      <c r="C2003" s="94" t="s">
        <v>3</v>
      </c>
      <c r="D2003" s="95"/>
      <c r="J2003" s="8"/>
      <c r="K2003" s="8"/>
      <c r="L2003" s="8"/>
      <c r="M2003" s="8"/>
      <c r="N2003" s="8"/>
      <c r="O2003" s="8"/>
      <c r="P2003" s="8"/>
    </row>
    <row r="2004" spans="1:16" s="7" customFormat="1" ht="42.75" customHeight="1" thickBot="1">
      <c r="A2004" s="92">
        <v>1012</v>
      </c>
      <c r="B2004" s="93"/>
      <c r="C2004" s="96" t="s">
        <v>4</v>
      </c>
      <c r="D2004" s="97"/>
      <c r="J2004" s="8"/>
      <c r="K2004" s="8"/>
      <c r="L2004" s="8"/>
      <c r="M2004" s="8"/>
      <c r="N2004" s="8"/>
      <c r="O2004" s="8"/>
      <c r="P2004" s="8"/>
    </row>
    <row r="2005" spans="1:16" s="7" customFormat="1" ht="42.75" customHeight="1" thickBot="1">
      <c r="A2005" s="98">
        <f>A2004-A2003</f>
        <v>0</v>
      </c>
      <c r="B2005" s="99"/>
      <c r="C2005" s="100" t="s">
        <v>5</v>
      </c>
      <c r="D2005" s="97"/>
      <c r="J2005" s="8"/>
      <c r="K2005" s="8"/>
      <c r="L2005" s="8"/>
      <c r="M2005" s="8"/>
      <c r="N2005" s="8"/>
      <c r="O2005" s="8"/>
      <c r="P2005" s="8"/>
    </row>
    <row r="2006" spans="1:16" s="7" customFormat="1" ht="42.75" customHeight="1" thickBot="1">
      <c r="A2006" s="101">
        <v>62</v>
      </c>
      <c r="B2006" s="102"/>
      <c r="C2006" s="96" t="s">
        <v>6</v>
      </c>
      <c r="D2006" s="97"/>
      <c r="J2006" s="8"/>
      <c r="K2006" s="8"/>
      <c r="L2006" s="8"/>
      <c r="M2006" s="8"/>
      <c r="N2006" s="8"/>
      <c r="O2006" s="8"/>
      <c r="P2006" s="8"/>
    </row>
    <row r="2007" spans="1:16" s="7" customFormat="1" ht="42.75" customHeight="1" thickBot="1">
      <c r="A2007" s="103"/>
      <c r="B2007" s="104"/>
      <c r="C2007" s="96" t="s">
        <v>21</v>
      </c>
      <c r="D2007" s="97"/>
      <c r="J2007" s="8"/>
      <c r="K2007" s="8"/>
      <c r="L2007" s="8"/>
      <c r="M2007" s="8"/>
      <c r="N2007" s="8"/>
      <c r="O2007" s="8"/>
      <c r="P2007" s="8"/>
    </row>
    <row r="2008" spans="1:16" s="7" customFormat="1" ht="42.75" customHeight="1" thickBot="1">
      <c r="A2008" s="105">
        <f>A2006*A2005</f>
        <v>0</v>
      </c>
      <c r="B2008" s="106"/>
      <c r="C2008" s="96" t="s">
        <v>7</v>
      </c>
      <c r="D2008" s="97"/>
      <c r="J2008" s="8"/>
      <c r="K2008" s="8"/>
      <c r="L2008" s="8"/>
      <c r="M2008" s="8"/>
      <c r="N2008" s="8"/>
      <c r="O2008" s="8"/>
      <c r="P2008" s="8"/>
    </row>
    <row r="2009" spans="1:16" s="7" customFormat="1" ht="42.75" customHeight="1" thickBot="1">
      <c r="A2009" s="107" t="s">
        <v>17</v>
      </c>
      <c r="B2009" s="108"/>
      <c r="C2009" s="108"/>
      <c r="D2009" s="109"/>
      <c r="J2009" s="8"/>
      <c r="K2009" s="8"/>
      <c r="L2009" s="8"/>
      <c r="M2009" s="8"/>
      <c r="N2009" s="8"/>
      <c r="O2009" s="8"/>
      <c r="P2009" s="8"/>
    </row>
    <row r="2010" spans="1:16" s="7" customFormat="1" ht="42.75" customHeight="1" thickBot="1">
      <c r="A2010" s="116" t="s">
        <v>20</v>
      </c>
      <c r="B2010" s="117"/>
      <c r="C2010" s="117"/>
      <c r="D2010" s="118"/>
      <c r="J2010" s="8"/>
      <c r="K2010" s="8"/>
      <c r="L2010" s="8"/>
      <c r="M2010" s="8"/>
      <c r="N2010" s="8"/>
      <c r="O2010" s="8"/>
      <c r="P2010" s="8"/>
    </row>
    <row r="2011" spans="1:16" s="7" customFormat="1" ht="42.75" customHeight="1" thickBot="1">
      <c r="A2011" s="113" t="s">
        <v>18</v>
      </c>
      <c r="B2011" s="114"/>
      <c r="C2011" s="114"/>
      <c r="D2011" s="115"/>
      <c r="J2011" s="8"/>
      <c r="K2011" s="8"/>
      <c r="L2011" s="8"/>
      <c r="M2011" s="8"/>
      <c r="N2011" s="8"/>
      <c r="O2011" s="8"/>
      <c r="P2011" s="8"/>
    </row>
    <row r="2012" spans="1:16" s="7" customFormat="1" ht="42.75" customHeight="1" thickBot="1">
      <c r="A2012" s="119"/>
      <c r="B2012" s="119"/>
      <c r="C2012" s="119"/>
      <c r="D2012" s="119"/>
      <c r="J2012" s="8"/>
      <c r="K2012" s="8"/>
      <c r="L2012" s="8"/>
      <c r="M2012" s="8"/>
      <c r="N2012" s="8"/>
      <c r="O2012" s="8"/>
      <c r="P2012" s="8"/>
    </row>
    <row r="2013" spans="1:16" s="7" customFormat="1" ht="42.75" customHeight="1" thickBot="1">
      <c r="A2013" s="126" t="s">
        <v>19</v>
      </c>
      <c r="B2013" s="127"/>
      <c r="C2013" s="127"/>
      <c r="D2013" s="128"/>
      <c r="J2013" s="8"/>
      <c r="K2013" s="8"/>
      <c r="L2013" s="8"/>
      <c r="M2013" s="8"/>
      <c r="N2013" s="8"/>
      <c r="O2013" s="8"/>
      <c r="P2013" s="8"/>
    </row>
    <row r="2014" spans="1:16" s="7" customFormat="1" ht="42.75" customHeight="1" thickBot="1">
      <c r="A2014" s="123" t="s">
        <v>11</v>
      </c>
      <c r="B2014" s="124"/>
      <c r="C2014" s="125" t="s">
        <v>603</v>
      </c>
      <c r="D2014" s="124"/>
      <c r="J2014" s="8"/>
      <c r="K2014" s="8"/>
      <c r="L2014" s="8"/>
      <c r="M2014" s="8"/>
      <c r="N2014" s="8"/>
      <c r="O2014" s="8"/>
      <c r="P2014" s="8"/>
    </row>
    <row r="2015" spans="1:16" s="7" customFormat="1" ht="42.75" customHeight="1" thickBot="1">
      <c r="A2015" s="1" t="s">
        <v>686</v>
      </c>
      <c r="B2015" s="26" t="s">
        <v>1</v>
      </c>
      <c r="C2015" s="90" t="s">
        <v>271</v>
      </c>
      <c r="D2015" s="91"/>
      <c r="J2015" s="8"/>
      <c r="K2015" s="8"/>
      <c r="L2015" s="8"/>
      <c r="M2015" s="8"/>
      <c r="N2015" s="8"/>
      <c r="O2015" s="8"/>
      <c r="P2015" s="8"/>
    </row>
    <row r="2016" spans="1:16" s="7" customFormat="1" ht="42.75" customHeight="1" thickBot="1">
      <c r="A2016" s="26"/>
      <c r="B2016" s="26" t="s">
        <v>0</v>
      </c>
      <c r="C2016" s="5" t="s">
        <v>687</v>
      </c>
      <c r="D2016" s="4" t="s">
        <v>2</v>
      </c>
      <c r="J2016" s="8"/>
      <c r="K2016" s="8"/>
      <c r="L2016" s="8"/>
      <c r="M2016" s="8"/>
      <c r="N2016" s="8"/>
      <c r="O2016" s="8"/>
      <c r="P2016" s="8"/>
    </row>
    <row r="2017" spans="1:16" s="7" customFormat="1" ht="42.75" customHeight="1" thickBot="1">
      <c r="A2017" s="92">
        <v>1000</v>
      </c>
      <c r="B2017" s="93"/>
      <c r="C2017" s="94" t="s">
        <v>3</v>
      </c>
      <c r="D2017" s="95"/>
      <c r="J2017" s="8"/>
      <c r="K2017" s="8"/>
      <c r="L2017" s="8"/>
      <c r="M2017" s="8"/>
      <c r="N2017" s="8"/>
      <c r="O2017" s="8"/>
      <c r="P2017" s="8"/>
    </row>
    <row r="2018" spans="1:16" s="7" customFormat="1" ht="42.75" customHeight="1" thickBot="1">
      <c r="A2018" s="92">
        <v>1012</v>
      </c>
      <c r="B2018" s="93"/>
      <c r="C2018" s="96" t="s">
        <v>4</v>
      </c>
      <c r="D2018" s="97"/>
      <c r="J2018" s="8"/>
      <c r="K2018" s="8"/>
      <c r="L2018" s="8"/>
      <c r="M2018" s="8"/>
      <c r="N2018" s="8"/>
      <c r="O2018" s="8"/>
      <c r="P2018" s="8"/>
    </row>
    <row r="2019" spans="1:16" s="7" customFormat="1" ht="42.75" customHeight="1" thickBot="1">
      <c r="A2019" s="98">
        <f>A2018-A2017</f>
        <v>12</v>
      </c>
      <c r="B2019" s="99"/>
      <c r="C2019" s="100" t="s">
        <v>5</v>
      </c>
      <c r="D2019" s="97"/>
      <c r="J2019" s="8"/>
      <c r="K2019" s="8"/>
      <c r="L2019" s="8"/>
      <c r="M2019" s="8"/>
      <c r="N2019" s="8"/>
      <c r="O2019" s="8"/>
      <c r="P2019" s="8"/>
    </row>
    <row r="2020" spans="1:16" s="7" customFormat="1" ht="42.75" customHeight="1" thickBot="1">
      <c r="A2020" s="101">
        <v>62</v>
      </c>
      <c r="B2020" s="102"/>
      <c r="C2020" s="96" t="s">
        <v>6</v>
      </c>
      <c r="D2020" s="97"/>
      <c r="J2020" s="8"/>
      <c r="K2020" s="8"/>
      <c r="L2020" s="8"/>
      <c r="M2020" s="8"/>
      <c r="N2020" s="8"/>
      <c r="O2020" s="8"/>
      <c r="P2020" s="8"/>
    </row>
    <row r="2021" spans="1:16" s="7" customFormat="1" ht="42.75" customHeight="1" thickBot="1">
      <c r="A2021" s="103"/>
      <c r="B2021" s="104"/>
      <c r="C2021" s="96" t="s">
        <v>21</v>
      </c>
      <c r="D2021" s="97"/>
      <c r="J2021" s="8"/>
      <c r="K2021" s="8"/>
      <c r="L2021" s="8"/>
      <c r="M2021" s="8"/>
      <c r="N2021" s="8"/>
      <c r="O2021" s="8"/>
      <c r="P2021" s="8"/>
    </row>
    <row r="2022" spans="1:16" s="7" customFormat="1" ht="42.75" customHeight="1" thickBot="1">
      <c r="A2022" s="105">
        <v>750</v>
      </c>
      <c r="B2022" s="106"/>
      <c r="C2022" s="96" t="s">
        <v>7</v>
      </c>
      <c r="D2022" s="97"/>
      <c r="J2022" s="8"/>
      <c r="K2022" s="8"/>
      <c r="L2022" s="8"/>
      <c r="M2022" s="8"/>
      <c r="N2022" s="8"/>
      <c r="O2022" s="8"/>
      <c r="P2022" s="8"/>
    </row>
    <row r="2023" spans="1:16" s="7" customFormat="1" ht="42.75" customHeight="1" thickBot="1">
      <c r="A2023" s="107" t="s">
        <v>17</v>
      </c>
      <c r="B2023" s="108"/>
      <c r="C2023" s="108"/>
      <c r="D2023" s="109"/>
      <c r="J2023" s="8"/>
      <c r="K2023" s="8"/>
      <c r="L2023" s="8"/>
      <c r="M2023" s="8"/>
      <c r="N2023" s="8"/>
      <c r="O2023" s="8"/>
      <c r="P2023" s="8"/>
    </row>
    <row r="2024" spans="1:16" s="7" customFormat="1" ht="42.75" customHeight="1" thickBot="1">
      <c r="A2024" s="110" t="s">
        <v>20</v>
      </c>
      <c r="B2024" s="111"/>
      <c r="C2024" s="111"/>
      <c r="D2024" s="112"/>
      <c r="J2024" s="8"/>
      <c r="K2024" s="8"/>
      <c r="L2024" s="8"/>
      <c r="M2024" s="8"/>
      <c r="N2024" s="8"/>
      <c r="O2024" s="8"/>
      <c r="P2024" s="8"/>
    </row>
    <row r="2025" spans="1:16" s="7" customFormat="1" ht="42.75" customHeight="1" thickBot="1">
      <c r="A2025" s="113" t="s">
        <v>18</v>
      </c>
      <c r="B2025" s="114"/>
      <c r="C2025" s="114"/>
      <c r="D2025" s="115"/>
      <c r="J2025" s="8"/>
      <c r="K2025" s="8"/>
      <c r="L2025" s="8"/>
      <c r="M2025" s="8"/>
      <c r="N2025" s="8"/>
      <c r="O2025" s="8"/>
      <c r="P2025" s="8"/>
    </row>
    <row r="2026" spans="1:16" s="7" customFormat="1" ht="42.75" customHeight="1" thickBot="1">
      <c r="A2026" s="126" t="s">
        <v>19</v>
      </c>
      <c r="B2026" s="127"/>
      <c r="C2026" s="127"/>
      <c r="D2026" s="128"/>
      <c r="J2026" s="8"/>
      <c r="K2026" s="8"/>
      <c r="L2026" s="8"/>
      <c r="M2026" s="8"/>
      <c r="N2026" s="8"/>
      <c r="O2026" s="8"/>
      <c r="P2026" s="8"/>
    </row>
    <row r="2027" spans="1:16" s="7" customFormat="1" ht="42.75" customHeight="1" thickBot="1">
      <c r="A2027" s="123" t="s">
        <v>11</v>
      </c>
      <c r="B2027" s="124"/>
      <c r="C2027" s="125" t="s">
        <v>603</v>
      </c>
      <c r="D2027" s="124"/>
      <c r="J2027" s="8"/>
      <c r="K2027" s="8"/>
      <c r="L2027" s="8"/>
      <c r="M2027" s="8"/>
      <c r="N2027" s="8"/>
      <c r="O2027" s="8"/>
      <c r="P2027" s="8"/>
    </row>
    <row r="2028" spans="1:16" s="7" customFormat="1" ht="42.75" customHeight="1" thickBot="1">
      <c r="A2028" s="1" t="s">
        <v>686</v>
      </c>
      <c r="B2028" s="26" t="s">
        <v>1</v>
      </c>
      <c r="C2028" s="90" t="s">
        <v>272</v>
      </c>
      <c r="D2028" s="91"/>
      <c r="J2028" s="8"/>
      <c r="K2028" s="8"/>
      <c r="L2028" s="8"/>
      <c r="M2028" s="8"/>
      <c r="N2028" s="8"/>
      <c r="O2028" s="8"/>
      <c r="P2028" s="8"/>
    </row>
    <row r="2029" spans="1:16" s="7" customFormat="1" ht="42.75" customHeight="1" thickBot="1">
      <c r="A2029" s="26"/>
      <c r="B2029" s="26" t="s">
        <v>0</v>
      </c>
      <c r="C2029" s="5" t="s">
        <v>687</v>
      </c>
      <c r="D2029" s="4" t="s">
        <v>2</v>
      </c>
      <c r="J2029" s="8"/>
      <c r="K2029" s="8"/>
      <c r="L2029" s="8"/>
      <c r="M2029" s="8"/>
      <c r="N2029" s="8"/>
      <c r="O2029" s="8"/>
      <c r="P2029" s="8"/>
    </row>
    <row r="2030" spans="1:16" s="7" customFormat="1" ht="42.75" customHeight="1" thickBot="1">
      <c r="A2030" s="92">
        <v>1230</v>
      </c>
      <c r="B2030" s="93"/>
      <c r="C2030" s="94" t="s">
        <v>3</v>
      </c>
      <c r="D2030" s="95"/>
      <c r="J2030" s="8"/>
      <c r="K2030" s="8"/>
      <c r="L2030" s="8"/>
      <c r="M2030" s="8"/>
      <c r="N2030" s="8"/>
      <c r="O2030" s="8"/>
      <c r="P2030" s="8"/>
    </row>
    <row r="2031" spans="1:16" s="7" customFormat="1" ht="42.75" customHeight="1" thickBot="1">
      <c r="A2031" s="92">
        <v>1230</v>
      </c>
      <c r="B2031" s="93"/>
      <c r="C2031" s="96" t="s">
        <v>4</v>
      </c>
      <c r="D2031" s="97"/>
      <c r="J2031" s="8"/>
      <c r="K2031" s="8"/>
      <c r="L2031" s="8"/>
      <c r="M2031" s="8"/>
      <c r="N2031" s="8"/>
      <c r="O2031" s="8"/>
      <c r="P2031" s="8"/>
    </row>
    <row r="2032" spans="1:16" s="7" customFormat="1" ht="42.75" customHeight="1" thickBot="1">
      <c r="A2032" s="98">
        <f>A2031-A2030</f>
        <v>0</v>
      </c>
      <c r="B2032" s="99"/>
      <c r="C2032" s="100" t="s">
        <v>5</v>
      </c>
      <c r="D2032" s="97"/>
      <c r="J2032" s="8"/>
      <c r="K2032" s="8"/>
      <c r="L2032" s="8"/>
      <c r="M2032" s="8"/>
      <c r="N2032" s="8"/>
      <c r="O2032" s="8"/>
      <c r="P2032" s="8"/>
    </row>
    <row r="2033" spans="1:16" s="7" customFormat="1" ht="42.75" customHeight="1" thickBot="1">
      <c r="A2033" s="101">
        <v>62</v>
      </c>
      <c r="B2033" s="102"/>
      <c r="C2033" s="96" t="s">
        <v>6</v>
      </c>
      <c r="D2033" s="97"/>
      <c r="J2033" s="8"/>
      <c r="K2033" s="8"/>
      <c r="L2033" s="8"/>
      <c r="M2033" s="8"/>
      <c r="N2033" s="8"/>
      <c r="O2033" s="8"/>
      <c r="P2033" s="8"/>
    </row>
    <row r="2034" spans="1:16" s="7" customFormat="1" ht="42.75" customHeight="1" thickBot="1">
      <c r="A2034" s="103"/>
      <c r="B2034" s="104"/>
      <c r="C2034" s="96" t="s">
        <v>21</v>
      </c>
      <c r="D2034" s="97"/>
      <c r="J2034" s="8"/>
      <c r="K2034" s="8"/>
      <c r="L2034" s="8"/>
      <c r="M2034" s="8"/>
      <c r="N2034" s="8"/>
      <c r="O2034" s="8"/>
      <c r="P2034" s="8"/>
    </row>
    <row r="2035" spans="1:16" s="7" customFormat="1" ht="42.75" customHeight="1" thickBot="1">
      <c r="A2035" s="105">
        <f>A2033*A2032</f>
        <v>0</v>
      </c>
      <c r="B2035" s="106"/>
      <c r="C2035" s="96" t="s">
        <v>7</v>
      </c>
      <c r="D2035" s="97"/>
      <c r="J2035" s="8"/>
      <c r="K2035" s="8"/>
      <c r="L2035" s="8"/>
      <c r="M2035" s="8"/>
      <c r="N2035" s="8"/>
      <c r="O2035" s="8"/>
      <c r="P2035" s="8"/>
    </row>
    <row r="2036" spans="1:16" s="7" customFormat="1" ht="42.75" customHeight="1" thickBot="1">
      <c r="A2036" s="107" t="s">
        <v>17</v>
      </c>
      <c r="B2036" s="108"/>
      <c r="C2036" s="108"/>
      <c r="D2036" s="109"/>
      <c r="J2036" s="8"/>
      <c r="K2036" s="8"/>
      <c r="L2036" s="8"/>
      <c r="M2036" s="8"/>
      <c r="N2036" s="8"/>
      <c r="O2036" s="8"/>
      <c r="P2036" s="8"/>
    </row>
    <row r="2037" spans="1:16" s="7" customFormat="1" ht="42.75" customHeight="1" thickBot="1">
      <c r="A2037" s="116" t="s">
        <v>20</v>
      </c>
      <c r="B2037" s="117"/>
      <c r="C2037" s="117"/>
      <c r="D2037" s="118"/>
      <c r="J2037" s="8"/>
      <c r="K2037" s="8"/>
      <c r="L2037" s="8"/>
      <c r="M2037" s="8"/>
      <c r="N2037" s="8"/>
      <c r="O2037" s="8"/>
      <c r="P2037" s="8"/>
    </row>
    <row r="2038" spans="1:16" s="7" customFormat="1" ht="42.75" customHeight="1" thickBot="1">
      <c r="A2038" s="113" t="s">
        <v>18</v>
      </c>
      <c r="B2038" s="114"/>
      <c r="C2038" s="114"/>
      <c r="D2038" s="115"/>
      <c r="J2038" s="8"/>
      <c r="K2038" s="8"/>
      <c r="L2038" s="8"/>
      <c r="M2038" s="8"/>
      <c r="N2038" s="8"/>
      <c r="O2038" s="8"/>
      <c r="P2038" s="8"/>
    </row>
    <row r="2039" spans="1:16" s="7" customFormat="1" ht="42.75" customHeight="1" thickBot="1">
      <c r="A2039" s="119"/>
      <c r="B2039" s="119"/>
      <c r="C2039" s="119"/>
      <c r="D2039" s="119"/>
      <c r="J2039" s="8"/>
      <c r="K2039" s="8"/>
      <c r="L2039" s="8"/>
      <c r="M2039" s="8"/>
      <c r="N2039" s="8"/>
      <c r="O2039" s="8"/>
      <c r="P2039" s="8"/>
    </row>
    <row r="2040" spans="1:16" s="7" customFormat="1" ht="42.75" customHeight="1" thickBot="1">
      <c r="A2040" s="126" t="s">
        <v>19</v>
      </c>
      <c r="B2040" s="127"/>
      <c r="C2040" s="127"/>
      <c r="D2040" s="128"/>
      <c r="J2040" s="8"/>
      <c r="K2040" s="8"/>
      <c r="L2040" s="8"/>
      <c r="M2040" s="8"/>
      <c r="N2040" s="8"/>
      <c r="O2040" s="8"/>
      <c r="P2040" s="8"/>
    </row>
    <row r="2041" spans="1:16" s="7" customFormat="1" ht="42.75" customHeight="1" thickBot="1">
      <c r="A2041" s="123" t="s">
        <v>11</v>
      </c>
      <c r="B2041" s="124"/>
      <c r="C2041" s="125" t="s">
        <v>603</v>
      </c>
      <c r="D2041" s="124"/>
      <c r="J2041" s="8"/>
      <c r="K2041" s="8"/>
      <c r="L2041" s="8"/>
      <c r="M2041" s="8"/>
      <c r="N2041" s="8"/>
      <c r="O2041" s="8"/>
      <c r="P2041" s="8"/>
    </row>
    <row r="2042" spans="1:16" s="7" customFormat="1" ht="42.75" customHeight="1" thickBot="1">
      <c r="A2042" s="1" t="s">
        <v>686</v>
      </c>
      <c r="B2042" s="26" t="s">
        <v>1</v>
      </c>
      <c r="C2042" s="90" t="s">
        <v>272</v>
      </c>
      <c r="D2042" s="91"/>
      <c r="J2042" s="8"/>
      <c r="K2042" s="8"/>
      <c r="L2042" s="8"/>
      <c r="M2042" s="8"/>
      <c r="N2042" s="8"/>
      <c r="O2042" s="8"/>
      <c r="P2042" s="8"/>
    </row>
    <row r="2043" spans="1:16" s="7" customFormat="1" ht="42.75" customHeight="1" thickBot="1">
      <c r="A2043" s="26"/>
      <c r="B2043" s="26" t="s">
        <v>0</v>
      </c>
      <c r="C2043" s="5" t="s">
        <v>687</v>
      </c>
      <c r="D2043" s="4" t="s">
        <v>2</v>
      </c>
      <c r="J2043" s="8"/>
      <c r="K2043" s="8"/>
      <c r="L2043" s="8"/>
      <c r="M2043" s="8"/>
      <c r="N2043" s="8"/>
      <c r="O2043" s="8"/>
      <c r="P2043" s="8"/>
    </row>
    <row r="2044" spans="1:16" s="7" customFormat="1" ht="42.75" customHeight="1" thickBot="1">
      <c r="A2044" s="92">
        <v>1200</v>
      </c>
      <c r="B2044" s="93"/>
      <c r="C2044" s="94" t="s">
        <v>3</v>
      </c>
      <c r="D2044" s="95"/>
      <c r="J2044" s="8"/>
      <c r="K2044" s="8"/>
      <c r="L2044" s="8"/>
      <c r="M2044" s="8"/>
      <c r="N2044" s="8"/>
      <c r="O2044" s="8"/>
      <c r="P2044" s="8"/>
    </row>
    <row r="2045" spans="1:16" s="7" customFormat="1" ht="42.75" customHeight="1" thickBot="1">
      <c r="A2045" s="92">
        <v>1230</v>
      </c>
      <c r="B2045" s="93"/>
      <c r="C2045" s="96" t="s">
        <v>4</v>
      </c>
      <c r="D2045" s="97"/>
      <c r="J2045" s="8"/>
      <c r="K2045" s="8"/>
      <c r="L2045" s="8"/>
      <c r="M2045" s="8"/>
      <c r="N2045" s="8"/>
      <c r="O2045" s="8"/>
      <c r="P2045" s="8"/>
    </row>
    <row r="2046" spans="1:16" s="7" customFormat="1" ht="42.75" customHeight="1" thickBot="1">
      <c r="A2046" s="98">
        <f>A2045-A2044</f>
        <v>30</v>
      </c>
      <c r="B2046" s="99"/>
      <c r="C2046" s="100" t="s">
        <v>5</v>
      </c>
      <c r="D2046" s="97"/>
      <c r="J2046" s="8"/>
      <c r="K2046" s="8"/>
      <c r="L2046" s="8"/>
      <c r="M2046" s="8"/>
      <c r="N2046" s="8"/>
      <c r="O2046" s="8"/>
      <c r="P2046" s="8"/>
    </row>
    <row r="2047" spans="1:16" s="7" customFormat="1" ht="42.75" customHeight="1" thickBot="1">
      <c r="A2047" s="101">
        <v>62</v>
      </c>
      <c r="B2047" s="102"/>
      <c r="C2047" s="96" t="s">
        <v>6</v>
      </c>
      <c r="D2047" s="97"/>
      <c r="J2047" s="8"/>
      <c r="K2047" s="8"/>
      <c r="L2047" s="8"/>
      <c r="M2047" s="8"/>
      <c r="N2047" s="8"/>
      <c r="O2047" s="8"/>
      <c r="P2047" s="8"/>
    </row>
    <row r="2048" spans="1:16" s="7" customFormat="1" ht="42.75" customHeight="1" thickBot="1">
      <c r="A2048" s="103"/>
      <c r="B2048" s="104"/>
      <c r="C2048" s="96" t="s">
        <v>21</v>
      </c>
      <c r="D2048" s="97"/>
      <c r="J2048" s="8"/>
      <c r="K2048" s="8"/>
      <c r="L2048" s="8"/>
      <c r="M2048" s="8"/>
      <c r="N2048" s="8"/>
      <c r="O2048" s="8"/>
      <c r="P2048" s="8"/>
    </row>
    <row r="2049" spans="1:16" s="7" customFormat="1" ht="42.75" customHeight="1" thickBot="1">
      <c r="A2049" s="105">
        <f>A2047*A2046</f>
        <v>1860</v>
      </c>
      <c r="B2049" s="106"/>
      <c r="C2049" s="96" t="s">
        <v>7</v>
      </c>
      <c r="D2049" s="97"/>
      <c r="J2049" s="8"/>
      <c r="K2049" s="8"/>
      <c r="L2049" s="8"/>
      <c r="M2049" s="8"/>
      <c r="N2049" s="8"/>
      <c r="O2049" s="8"/>
      <c r="P2049" s="8"/>
    </row>
    <row r="2050" spans="1:16" s="7" customFormat="1" ht="42.75" customHeight="1" thickBot="1">
      <c r="A2050" s="107" t="s">
        <v>17</v>
      </c>
      <c r="B2050" s="108"/>
      <c r="C2050" s="108"/>
      <c r="D2050" s="109"/>
      <c r="J2050" s="8"/>
      <c r="K2050" s="8"/>
      <c r="L2050" s="8"/>
      <c r="M2050" s="8"/>
      <c r="N2050" s="8"/>
      <c r="O2050" s="8"/>
      <c r="P2050" s="8"/>
    </row>
    <row r="2051" spans="1:16" s="7" customFormat="1" ht="42.75" customHeight="1" thickBot="1">
      <c r="A2051" s="110" t="s">
        <v>20</v>
      </c>
      <c r="B2051" s="111"/>
      <c r="C2051" s="111"/>
      <c r="D2051" s="112"/>
      <c r="J2051" s="8"/>
      <c r="K2051" s="8"/>
      <c r="L2051" s="8"/>
      <c r="M2051" s="8"/>
      <c r="N2051" s="8"/>
      <c r="O2051" s="8"/>
      <c r="P2051" s="8"/>
    </row>
    <row r="2052" spans="1:16" s="7" customFormat="1" ht="42.75" customHeight="1" thickBot="1">
      <c r="A2052" s="113" t="s">
        <v>18</v>
      </c>
      <c r="B2052" s="114"/>
      <c r="C2052" s="114"/>
      <c r="D2052" s="115"/>
      <c r="J2052" s="8"/>
      <c r="K2052" s="8"/>
      <c r="L2052" s="8"/>
      <c r="M2052" s="8"/>
      <c r="N2052" s="8"/>
      <c r="O2052" s="8"/>
      <c r="P2052" s="8"/>
    </row>
    <row r="2053" spans="1:16" s="7" customFormat="1" ht="42.75" customHeight="1" thickBot="1">
      <c r="A2053" s="126" t="s">
        <v>19</v>
      </c>
      <c r="B2053" s="127"/>
      <c r="C2053" s="127"/>
      <c r="D2053" s="128"/>
      <c r="J2053" s="8"/>
      <c r="K2053" s="8"/>
      <c r="L2053" s="8"/>
      <c r="M2053" s="8"/>
      <c r="N2053" s="8"/>
      <c r="O2053" s="8"/>
      <c r="P2053" s="8"/>
    </row>
    <row r="2054" spans="1:16" s="7" customFormat="1" ht="42.75" customHeight="1" thickBot="1">
      <c r="A2054" s="123" t="s">
        <v>11</v>
      </c>
      <c r="B2054" s="124"/>
      <c r="C2054" s="125" t="s">
        <v>603</v>
      </c>
      <c r="D2054" s="124"/>
      <c r="J2054" s="8"/>
      <c r="K2054" s="8"/>
      <c r="L2054" s="8"/>
      <c r="M2054" s="8"/>
      <c r="N2054" s="8"/>
      <c r="O2054" s="8"/>
      <c r="P2054" s="8"/>
    </row>
    <row r="2055" spans="1:16" s="7" customFormat="1" ht="42.75" customHeight="1" thickBot="1">
      <c r="A2055" s="1" t="s">
        <v>686</v>
      </c>
      <c r="B2055" s="26" t="s">
        <v>1</v>
      </c>
      <c r="C2055" s="90" t="s">
        <v>273</v>
      </c>
      <c r="D2055" s="91"/>
      <c r="J2055" s="8"/>
      <c r="K2055" s="8"/>
      <c r="L2055" s="8"/>
      <c r="M2055" s="8"/>
      <c r="N2055" s="8"/>
      <c r="O2055" s="8"/>
      <c r="P2055" s="8"/>
    </row>
    <row r="2056" spans="1:16" s="7" customFormat="1" ht="42.75" customHeight="1" thickBot="1">
      <c r="A2056" s="26"/>
      <c r="B2056" s="26" t="s">
        <v>0</v>
      </c>
      <c r="C2056" s="5" t="s">
        <v>687</v>
      </c>
      <c r="D2056" s="4" t="s">
        <v>2</v>
      </c>
      <c r="J2056" s="8"/>
      <c r="K2056" s="8"/>
      <c r="L2056" s="8"/>
      <c r="M2056" s="8"/>
      <c r="N2056" s="8"/>
      <c r="O2056" s="8"/>
      <c r="P2056" s="8"/>
    </row>
    <row r="2057" spans="1:16" s="7" customFormat="1" ht="42.75" customHeight="1" thickBot="1">
      <c r="A2057" s="92">
        <v>730</v>
      </c>
      <c r="B2057" s="93"/>
      <c r="C2057" s="94" t="s">
        <v>3</v>
      </c>
      <c r="D2057" s="95"/>
      <c r="J2057" s="8"/>
      <c r="K2057" s="8"/>
      <c r="L2057" s="8"/>
      <c r="M2057" s="8"/>
      <c r="N2057" s="8"/>
      <c r="O2057" s="8"/>
      <c r="P2057" s="8"/>
    </row>
    <row r="2058" spans="1:16" s="7" customFormat="1" ht="42.75" customHeight="1" thickBot="1">
      <c r="A2058" s="92">
        <v>730</v>
      </c>
      <c r="B2058" s="93"/>
      <c r="C2058" s="96" t="s">
        <v>4</v>
      </c>
      <c r="D2058" s="97"/>
      <c r="J2058" s="8"/>
      <c r="K2058" s="8"/>
      <c r="L2058" s="8"/>
      <c r="M2058" s="8"/>
      <c r="N2058" s="8"/>
      <c r="O2058" s="8"/>
      <c r="P2058" s="8"/>
    </row>
    <row r="2059" spans="1:16" s="7" customFormat="1" ht="42.75" customHeight="1" thickBot="1">
      <c r="A2059" s="98">
        <f>A2058-A2057</f>
        <v>0</v>
      </c>
      <c r="B2059" s="99"/>
      <c r="C2059" s="100" t="s">
        <v>5</v>
      </c>
      <c r="D2059" s="97"/>
      <c r="J2059" s="8"/>
      <c r="K2059" s="8"/>
      <c r="L2059" s="8"/>
      <c r="M2059" s="8"/>
      <c r="N2059" s="8"/>
      <c r="O2059" s="8"/>
      <c r="P2059" s="8"/>
    </row>
    <row r="2060" spans="1:16" s="7" customFormat="1" ht="42.75" customHeight="1" thickBot="1">
      <c r="A2060" s="101">
        <v>62</v>
      </c>
      <c r="B2060" s="102"/>
      <c r="C2060" s="96" t="s">
        <v>6</v>
      </c>
      <c r="D2060" s="97"/>
      <c r="J2060" s="8"/>
      <c r="K2060" s="8"/>
      <c r="L2060" s="8"/>
      <c r="M2060" s="8"/>
      <c r="N2060" s="8"/>
      <c r="O2060" s="8"/>
      <c r="P2060" s="8"/>
    </row>
    <row r="2061" spans="1:16" s="7" customFormat="1" ht="42.75" customHeight="1" thickBot="1">
      <c r="A2061" s="103"/>
      <c r="B2061" s="104"/>
      <c r="C2061" s="96" t="s">
        <v>21</v>
      </c>
      <c r="D2061" s="97"/>
      <c r="J2061" s="8"/>
      <c r="K2061" s="8"/>
      <c r="L2061" s="8"/>
      <c r="M2061" s="8"/>
      <c r="N2061" s="8"/>
      <c r="O2061" s="8"/>
      <c r="P2061" s="8"/>
    </row>
    <row r="2062" spans="1:16" s="7" customFormat="1" ht="42.75" customHeight="1" thickBot="1">
      <c r="A2062" s="105">
        <f>A2060*A2059</f>
        <v>0</v>
      </c>
      <c r="B2062" s="106"/>
      <c r="C2062" s="96" t="s">
        <v>7</v>
      </c>
      <c r="D2062" s="97"/>
      <c r="J2062" s="8"/>
      <c r="K2062" s="8"/>
      <c r="L2062" s="8"/>
      <c r="M2062" s="8"/>
      <c r="N2062" s="8"/>
      <c r="O2062" s="8"/>
      <c r="P2062" s="8"/>
    </row>
    <row r="2063" spans="1:16" s="7" customFormat="1" ht="42.75" customHeight="1" thickBot="1">
      <c r="A2063" s="107" t="s">
        <v>17</v>
      </c>
      <c r="B2063" s="108"/>
      <c r="C2063" s="108"/>
      <c r="D2063" s="109"/>
      <c r="J2063" s="8"/>
      <c r="K2063" s="8"/>
      <c r="L2063" s="8"/>
      <c r="M2063" s="8"/>
      <c r="N2063" s="8"/>
      <c r="O2063" s="8"/>
      <c r="P2063" s="8"/>
    </row>
    <row r="2064" spans="1:16" s="7" customFormat="1" ht="42.75" customHeight="1" thickBot="1">
      <c r="A2064" s="116" t="s">
        <v>20</v>
      </c>
      <c r="B2064" s="117"/>
      <c r="C2064" s="117"/>
      <c r="D2064" s="118"/>
      <c r="J2064" s="8"/>
      <c r="K2064" s="8"/>
      <c r="L2064" s="8"/>
      <c r="M2064" s="8"/>
      <c r="N2064" s="8"/>
      <c r="O2064" s="8"/>
      <c r="P2064" s="8"/>
    </row>
    <row r="2065" spans="1:16" s="7" customFormat="1" ht="42.75" customHeight="1" thickBot="1">
      <c r="A2065" s="113" t="s">
        <v>18</v>
      </c>
      <c r="B2065" s="114"/>
      <c r="C2065" s="114"/>
      <c r="D2065" s="115"/>
      <c r="J2065" s="8"/>
      <c r="K2065" s="8"/>
      <c r="L2065" s="8"/>
      <c r="M2065" s="8"/>
      <c r="N2065" s="8"/>
      <c r="O2065" s="8"/>
      <c r="P2065" s="8"/>
    </row>
    <row r="2066" spans="1:16" s="7" customFormat="1" ht="42.75" customHeight="1" thickBot="1">
      <c r="A2066" s="119"/>
      <c r="B2066" s="119"/>
      <c r="C2066" s="119"/>
      <c r="D2066" s="119"/>
      <c r="J2066" s="8"/>
      <c r="K2066" s="8"/>
      <c r="L2066" s="8"/>
      <c r="M2066" s="8"/>
      <c r="N2066" s="8"/>
      <c r="O2066" s="8"/>
      <c r="P2066" s="8"/>
    </row>
    <row r="2067" spans="1:16" s="7" customFormat="1" ht="42.75" customHeight="1" thickBot="1">
      <c r="A2067" s="126" t="s">
        <v>19</v>
      </c>
      <c r="B2067" s="127"/>
      <c r="C2067" s="127"/>
      <c r="D2067" s="128"/>
      <c r="J2067" s="8"/>
      <c r="K2067" s="8"/>
      <c r="L2067" s="8"/>
      <c r="M2067" s="8"/>
      <c r="N2067" s="8"/>
      <c r="O2067" s="8"/>
      <c r="P2067" s="8"/>
    </row>
    <row r="2068" spans="1:16" s="7" customFormat="1" ht="42.75" customHeight="1" thickBot="1">
      <c r="A2068" s="123" t="s">
        <v>11</v>
      </c>
      <c r="B2068" s="124"/>
      <c r="C2068" s="125" t="s">
        <v>603</v>
      </c>
      <c r="D2068" s="124"/>
      <c r="J2068" s="8"/>
      <c r="K2068" s="8"/>
      <c r="L2068" s="8"/>
      <c r="M2068" s="8"/>
      <c r="N2068" s="8"/>
      <c r="O2068" s="8"/>
      <c r="P2068" s="8"/>
    </row>
    <row r="2069" spans="1:16" s="7" customFormat="1" ht="42.75" customHeight="1" thickBot="1">
      <c r="A2069" s="1" t="s">
        <v>686</v>
      </c>
      <c r="B2069" s="26" t="s">
        <v>1</v>
      </c>
      <c r="C2069" s="90" t="s">
        <v>273</v>
      </c>
      <c r="D2069" s="91"/>
      <c r="J2069" s="8"/>
      <c r="K2069" s="8"/>
      <c r="L2069" s="8"/>
      <c r="M2069" s="8"/>
      <c r="N2069" s="8"/>
      <c r="O2069" s="8"/>
      <c r="P2069" s="8"/>
    </row>
    <row r="2070" spans="1:16" s="7" customFormat="1" ht="42.75" customHeight="1" thickBot="1">
      <c r="A2070" s="26"/>
      <c r="B2070" s="26" t="s">
        <v>0</v>
      </c>
      <c r="C2070" s="5" t="s">
        <v>687</v>
      </c>
      <c r="D2070" s="4" t="s">
        <v>2</v>
      </c>
      <c r="J2070" s="8"/>
      <c r="K2070" s="8"/>
      <c r="L2070" s="8"/>
      <c r="M2070" s="8"/>
      <c r="N2070" s="8"/>
      <c r="O2070" s="8"/>
      <c r="P2070" s="8"/>
    </row>
    <row r="2071" spans="1:16" s="7" customFormat="1" ht="42.75" customHeight="1" thickBot="1">
      <c r="A2071" s="92">
        <v>715</v>
      </c>
      <c r="B2071" s="93"/>
      <c r="C2071" s="94" t="s">
        <v>3</v>
      </c>
      <c r="D2071" s="95"/>
      <c r="J2071" s="8"/>
      <c r="K2071" s="8"/>
      <c r="L2071" s="8"/>
      <c r="M2071" s="8"/>
      <c r="N2071" s="8"/>
      <c r="O2071" s="8"/>
      <c r="P2071" s="8"/>
    </row>
    <row r="2072" spans="1:16" s="7" customFormat="1" ht="42.75" customHeight="1" thickBot="1">
      <c r="A2072" s="92">
        <v>730</v>
      </c>
      <c r="B2072" s="93"/>
      <c r="C2072" s="96" t="s">
        <v>4</v>
      </c>
      <c r="D2072" s="97"/>
      <c r="J2072" s="8"/>
      <c r="K2072" s="8"/>
      <c r="L2072" s="8"/>
      <c r="M2072" s="8"/>
      <c r="N2072" s="8"/>
      <c r="O2072" s="8"/>
      <c r="P2072" s="8"/>
    </row>
    <row r="2073" spans="1:16" s="7" customFormat="1" ht="42.75" customHeight="1" thickBot="1">
      <c r="A2073" s="98">
        <f>A2072-A2071</f>
        <v>15</v>
      </c>
      <c r="B2073" s="99"/>
      <c r="C2073" s="100" t="s">
        <v>5</v>
      </c>
      <c r="D2073" s="97"/>
      <c r="J2073" s="8"/>
      <c r="K2073" s="8"/>
      <c r="L2073" s="8"/>
      <c r="M2073" s="8"/>
      <c r="N2073" s="8"/>
      <c r="O2073" s="8"/>
      <c r="P2073" s="8"/>
    </row>
    <row r="2074" spans="1:16" s="7" customFormat="1" ht="42.75" customHeight="1" thickBot="1">
      <c r="A2074" s="101">
        <v>62</v>
      </c>
      <c r="B2074" s="102"/>
      <c r="C2074" s="96" t="s">
        <v>6</v>
      </c>
      <c r="D2074" s="97"/>
      <c r="J2074" s="8"/>
      <c r="K2074" s="8"/>
      <c r="L2074" s="8"/>
      <c r="M2074" s="8"/>
      <c r="N2074" s="8"/>
      <c r="O2074" s="8"/>
      <c r="P2074" s="8"/>
    </row>
    <row r="2075" spans="1:16" s="7" customFormat="1" ht="42.75" customHeight="1" thickBot="1">
      <c r="A2075" s="103"/>
      <c r="B2075" s="104"/>
      <c r="C2075" s="96" t="s">
        <v>21</v>
      </c>
      <c r="D2075" s="97"/>
      <c r="J2075" s="8"/>
      <c r="K2075" s="8"/>
      <c r="L2075" s="8"/>
      <c r="M2075" s="8"/>
      <c r="N2075" s="8"/>
      <c r="O2075" s="8"/>
      <c r="P2075" s="8"/>
    </row>
    <row r="2076" spans="1:16" s="7" customFormat="1" ht="42.75" customHeight="1" thickBot="1">
      <c r="A2076" s="105">
        <v>950</v>
      </c>
      <c r="B2076" s="106"/>
      <c r="C2076" s="96" t="s">
        <v>7</v>
      </c>
      <c r="D2076" s="97"/>
      <c r="J2076" s="8"/>
      <c r="K2076" s="8"/>
      <c r="L2076" s="8"/>
      <c r="M2076" s="8"/>
      <c r="N2076" s="8"/>
      <c r="O2076" s="8"/>
      <c r="P2076" s="8"/>
    </row>
    <row r="2077" spans="1:16" s="7" customFormat="1" ht="42.75" customHeight="1" thickBot="1">
      <c r="A2077" s="107" t="s">
        <v>17</v>
      </c>
      <c r="B2077" s="108"/>
      <c r="C2077" s="108"/>
      <c r="D2077" s="109"/>
      <c r="J2077" s="8"/>
      <c r="K2077" s="8"/>
      <c r="L2077" s="8"/>
      <c r="M2077" s="8"/>
      <c r="N2077" s="8"/>
      <c r="O2077" s="8"/>
      <c r="P2077" s="8"/>
    </row>
    <row r="2078" spans="1:16" s="7" customFormat="1" ht="42.75" customHeight="1" thickBot="1">
      <c r="A2078" s="110" t="s">
        <v>20</v>
      </c>
      <c r="B2078" s="111"/>
      <c r="C2078" s="111"/>
      <c r="D2078" s="112"/>
      <c r="J2078" s="8"/>
      <c r="K2078" s="8"/>
      <c r="L2078" s="8"/>
      <c r="M2078" s="8"/>
      <c r="N2078" s="8"/>
      <c r="O2078" s="8"/>
      <c r="P2078" s="8"/>
    </row>
    <row r="2079" spans="1:16" s="7" customFormat="1" ht="42.75" customHeight="1" thickBot="1">
      <c r="A2079" s="113" t="s">
        <v>18</v>
      </c>
      <c r="B2079" s="114"/>
      <c r="C2079" s="114"/>
      <c r="D2079" s="115"/>
      <c r="J2079" s="8"/>
      <c r="K2079" s="8"/>
      <c r="L2079" s="8"/>
      <c r="M2079" s="8"/>
      <c r="N2079" s="8"/>
      <c r="O2079" s="8"/>
      <c r="P2079" s="8"/>
    </row>
    <row r="2080" spans="1:16" s="7" customFormat="1" ht="42.75" customHeight="1" thickBot="1">
      <c r="A2080" s="126" t="s">
        <v>19</v>
      </c>
      <c r="B2080" s="127"/>
      <c r="C2080" s="127"/>
      <c r="D2080" s="128"/>
      <c r="J2080" s="8"/>
      <c r="K2080" s="8"/>
      <c r="L2080" s="8"/>
      <c r="M2080" s="8"/>
      <c r="N2080" s="8"/>
      <c r="O2080" s="8"/>
      <c r="P2080" s="8"/>
    </row>
    <row r="2081" spans="1:16" s="7" customFormat="1" ht="42.75" customHeight="1" thickBot="1">
      <c r="A2081" s="123" t="s">
        <v>11</v>
      </c>
      <c r="B2081" s="124"/>
      <c r="C2081" s="125" t="s">
        <v>603</v>
      </c>
      <c r="D2081" s="124"/>
      <c r="J2081" s="8"/>
      <c r="K2081" s="8"/>
      <c r="L2081" s="8"/>
      <c r="M2081" s="8"/>
      <c r="N2081" s="8"/>
      <c r="O2081" s="8"/>
      <c r="P2081" s="8"/>
    </row>
    <row r="2082" spans="1:16" s="7" customFormat="1" ht="42.75" customHeight="1" thickBot="1">
      <c r="A2082" s="1" t="s">
        <v>686</v>
      </c>
      <c r="B2082" s="26" t="s">
        <v>1</v>
      </c>
      <c r="C2082" s="90" t="s">
        <v>274</v>
      </c>
      <c r="D2082" s="91"/>
      <c r="J2082" s="8"/>
      <c r="K2082" s="8"/>
      <c r="L2082" s="8"/>
      <c r="M2082" s="8"/>
      <c r="N2082" s="8"/>
      <c r="O2082" s="8"/>
      <c r="P2082" s="8"/>
    </row>
    <row r="2083" spans="1:16" s="7" customFormat="1" ht="42.75" customHeight="1" thickBot="1">
      <c r="A2083" s="26"/>
      <c r="B2083" s="26" t="s">
        <v>0</v>
      </c>
      <c r="C2083" s="5" t="s">
        <v>687</v>
      </c>
      <c r="D2083" s="4" t="s">
        <v>2</v>
      </c>
      <c r="J2083" s="8"/>
      <c r="K2083" s="8"/>
      <c r="L2083" s="8"/>
      <c r="M2083" s="8"/>
      <c r="N2083" s="8"/>
      <c r="O2083" s="8"/>
      <c r="P2083" s="8"/>
    </row>
    <row r="2084" spans="1:16" s="7" customFormat="1" ht="42.75" customHeight="1" thickBot="1">
      <c r="A2084" s="92">
        <v>718</v>
      </c>
      <c r="B2084" s="93"/>
      <c r="C2084" s="94" t="s">
        <v>3</v>
      </c>
      <c r="D2084" s="95"/>
      <c r="J2084" s="8"/>
      <c r="K2084" s="8"/>
      <c r="L2084" s="8"/>
      <c r="M2084" s="8"/>
      <c r="N2084" s="8"/>
      <c r="O2084" s="8"/>
      <c r="P2084" s="8"/>
    </row>
    <row r="2085" spans="1:16" s="7" customFormat="1" ht="42.75" customHeight="1" thickBot="1">
      <c r="A2085" s="92">
        <v>718</v>
      </c>
      <c r="B2085" s="93"/>
      <c r="C2085" s="96" t="s">
        <v>4</v>
      </c>
      <c r="D2085" s="97"/>
      <c r="J2085" s="8"/>
      <c r="K2085" s="8"/>
      <c r="L2085" s="8"/>
      <c r="M2085" s="8"/>
      <c r="N2085" s="8"/>
      <c r="O2085" s="8"/>
      <c r="P2085" s="8"/>
    </row>
    <row r="2086" spans="1:16" s="7" customFormat="1" ht="42.75" customHeight="1" thickBot="1">
      <c r="A2086" s="98">
        <f>A2085-A2084</f>
        <v>0</v>
      </c>
      <c r="B2086" s="99"/>
      <c r="C2086" s="100" t="s">
        <v>5</v>
      </c>
      <c r="D2086" s="97"/>
      <c r="J2086" s="8"/>
      <c r="K2086" s="8"/>
      <c r="L2086" s="8"/>
      <c r="M2086" s="8"/>
      <c r="N2086" s="8"/>
      <c r="O2086" s="8"/>
      <c r="P2086" s="8"/>
    </row>
    <row r="2087" spans="1:16" s="7" customFormat="1" ht="42.75" customHeight="1" thickBot="1">
      <c r="A2087" s="101">
        <v>62</v>
      </c>
      <c r="B2087" s="102"/>
      <c r="C2087" s="96" t="s">
        <v>6</v>
      </c>
      <c r="D2087" s="97"/>
      <c r="J2087" s="8"/>
      <c r="K2087" s="8"/>
      <c r="L2087" s="8"/>
      <c r="M2087" s="8"/>
      <c r="N2087" s="8"/>
      <c r="O2087" s="8"/>
      <c r="P2087" s="8"/>
    </row>
    <row r="2088" spans="1:16" s="7" customFormat="1" ht="42.75" customHeight="1" thickBot="1">
      <c r="A2088" s="103"/>
      <c r="B2088" s="104"/>
      <c r="C2088" s="96" t="s">
        <v>21</v>
      </c>
      <c r="D2088" s="97"/>
      <c r="J2088" s="8"/>
      <c r="K2088" s="8"/>
      <c r="L2088" s="8"/>
      <c r="M2088" s="8"/>
      <c r="N2088" s="8"/>
      <c r="O2088" s="8"/>
      <c r="P2088" s="8"/>
    </row>
    <row r="2089" spans="1:16" s="7" customFormat="1" ht="42.75" customHeight="1" thickBot="1">
      <c r="A2089" s="105">
        <f>A2087*A2086</f>
        <v>0</v>
      </c>
      <c r="B2089" s="106"/>
      <c r="C2089" s="96" t="s">
        <v>7</v>
      </c>
      <c r="D2089" s="97"/>
      <c r="J2089" s="8"/>
      <c r="K2089" s="8"/>
      <c r="L2089" s="8"/>
      <c r="M2089" s="8"/>
      <c r="N2089" s="8"/>
      <c r="O2089" s="8"/>
      <c r="P2089" s="8"/>
    </row>
    <row r="2090" spans="1:16" s="7" customFormat="1" ht="42.75" customHeight="1" thickBot="1">
      <c r="A2090" s="107" t="s">
        <v>17</v>
      </c>
      <c r="B2090" s="108"/>
      <c r="C2090" s="108"/>
      <c r="D2090" s="109"/>
      <c r="J2090" s="8"/>
      <c r="K2090" s="8"/>
      <c r="L2090" s="8"/>
      <c r="M2090" s="8"/>
      <c r="N2090" s="8"/>
      <c r="O2090" s="8"/>
      <c r="P2090" s="8"/>
    </row>
    <row r="2091" spans="1:16" s="7" customFormat="1" ht="42.75" customHeight="1" thickBot="1">
      <c r="A2091" s="116" t="s">
        <v>20</v>
      </c>
      <c r="B2091" s="117"/>
      <c r="C2091" s="117"/>
      <c r="D2091" s="118"/>
      <c r="J2091" s="8"/>
      <c r="K2091" s="8"/>
      <c r="L2091" s="8"/>
      <c r="M2091" s="8"/>
      <c r="N2091" s="8"/>
      <c r="O2091" s="8"/>
      <c r="P2091" s="8"/>
    </row>
    <row r="2092" spans="1:16" s="7" customFormat="1" ht="42.75" customHeight="1" thickBot="1">
      <c r="A2092" s="113" t="s">
        <v>18</v>
      </c>
      <c r="B2092" s="114"/>
      <c r="C2092" s="114"/>
      <c r="D2092" s="115"/>
      <c r="J2092" s="8"/>
      <c r="K2092" s="8"/>
      <c r="L2092" s="8"/>
      <c r="M2092" s="8"/>
      <c r="N2092" s="8"/>
      <c r="O2092" s="8"/>
      <c r="P2092" s="8"/>
    </row>
    <row r="2093" spans="1:16" s="7" customFormat="1" ht="42.75" customHeight="1" thickBot="1">
      <c r="A2093" s="119"/>
      <c r="B2093" s="119"/>
      <c r="C2093" s="119"/>
      <c r="D2093" s="119"/>
      <c r="J2093" s="8"/>
      <c r="K2093" s="8"/>
      <c r="L2093" s="8"/>
      <c r="M2093" s="8"/>
      <c r="N2093" s="8"/>
      <c r="O2093" s="8"/>
      <c r="P2093" s="8"/>
    </row>
    <row r="2094" spans="1:16" s="7" customFormat="1" ht="42.75" customHeight="1" thickBot="1">
      <c r="A2094" s="126" t="s">
        <v>19</v>
      </c>
      <c r="B2094" s="127"/>
      <c r="C2094" s="127"/>
      <c r="D2094" s="128"/>
      <c r="J2094" s="8"/>
      <c r="K2094" s="8"/>
      <c r="L2094" s="8"/>
      <c r="M2094" s="8"/>
      <c r="N2094" s="8"/>
      <c r="O2094" s="8"/>
      <c r="P2094" s="8"/>
    </row>
    <row r="2095" spans="1:16" s="7" customFormat="1" ht="42.75" customHeight="1" thickBot="1">
      <c r="A2095" s="123" t="s">
        <v>11</v>
      </c>
      <c r="B2095" s="124"/>
      <c r="C2095" s="125" t="s">
        <v>603</v>
      </c>
      <c r="D2095" s="124"/>
      <c r="J2095" s="8"/>
      <c r="K2095" s="8"/>
      <c r="L2095" s="8"/>
      <c r="M2095" s="8"/>
      <c r="N2095" s="8"/>
      <c r="O2095" s="8"/>
      <c r="P2095" s="8"/>
    </row>
    <row r="2096" spans="1:16" s="7" customFormat="1" ht="42.75" customHeight="1" thickBot="1">
      <c r="A2096" s="1" t="s">
        <v>686</v>
      </c>
      <c r="B2096" s="26" t="s">
        <v>1</v>
      </c>
      <c r="C2096" s="90" t="s">
        <v>274</v>
      </c>
      <c r="D2096" s="91"/>
      <c r="J2096" s="8"/>
      <c r="K2096" s="8"/>
      <c r="L2096" s="8"/>
      <c r="M2096" s="8"/>
      <c r="N2096" s="8"/>
      <c r="O2096" s="8"/>
      <c r="P2096" s="8"/>
    </row>
    <row r="2097" spans="1:16" s="7" customFormat="1" ht="42.75" customHeight="1" thickBot="1">
      <c r="A2097" s="26"/>
      <c r="B2097" s="26" t="s">
        <v>0</v>
      </c>
      <c r="C2097" s="5" t="s">
        <v>687</v>
      </c>
      <c r="D2097" s="4" t="s">
        <v>2</v>
      </c>
      <c r="J2097" s="8"/>
      <c r="K2097" s="8"/>
      <c r="L2097" s="8"/>
      <c r="M2097" s="8"/>
      <c r="N2097" s="8"/>
      <c r="O2097" s="8"/>
      <c r="P2097" s="8"/>
    </row>
    <row r="2098" spans="1:16" s="7" customFormat="1" ht="42.75" customHeight="1" thickBot="1">
      <c r="A2098" s="92">
        <v>703</v>
      </c>
      <c r="B2098" s="93"/>
      <c r="C2098" s="94" t="s">
        <v>3</v>
      </c>
      <c r="D2098" s="95"/>
      <c r="J2098" s="8"/>
      <c r="K2098" s="8"/>
      <c r="L2098" s="8"/>
      <c r="M2098" s="8"/>
      <c r="N2098" s="8"/>
      <c r="O2098" s="8"/>
      <c r="P2098" s="8"/>
    </row>
    <row r="2099" spans="1:16" s="7" customFormat="1" ht="42.75" customHeight="1" thickBot="1">
      <c r="A2099" s="92">
        <v>718</v>
      </c>
      <c r="B2099" s="93"/>
      <c r="C2099" s="96" t="s">
        <v>4</v>
      </c>
      <c r="D2099" s="97"/>
      <c r="J2099" s="8"/>
      <c r="K2099" s="8"/>
      <c r="L2099" s="8"/>
      <c r="M2099" s="8"/>
      <c r="N2099" s="8"/>
      <c r="O2099" s="8"/>
      <c r="P2099" s="8"/>
    </row>
    <row r="2100" spans="1:16" s="7" customFormat="1" ht="42.75" customHeight="1" thickBot="1">
      <c r="A2100" s="98">
        <f>A2099-A2098</f>
        <v>15</v>
      </c>
      <c r="B2100" s="99"/>
      <c r="C2100" s="100" t="s">
        <v>5</v>
      </c>
      <c r="D2100" s="97"/>
      <c r="J2100" s="8"/>
      <c r="K2100" s="8"/>
      <c r="L2100" s="8"/>
      <c r="M2100" s="8"/>
      <c r="N2100" s="8"/>
      <c r="O2100" s="8"/>
      <c r="P2100" s="8"/>
    </row>
    <row r="2101" spans="1:16" s="7" customFormat="1" ht="42.75" customHeight="1" thickBot="1">
      <c r="A2101" s="101">
        <v>62</v>
      </c>
      <c r="B2101" s="102"/>
      <c r="C2101" s="96" t="s">
        <v>6</v>
      </c>
      <c r="D2101" s="97"/>
      <c r="J2101" s="8"/>
      <c r="K2101" s="8"/>
      <c r="L2101" s="8"/>
      <c r="M2101" s="8"/>
      <c r="N2101" s="8"/>
      <c r="O2101" s="8"/>
      <c r="P2101" s="8"/>
    </row>
    <row r="2102" spans="1:16" s="7" customFormat="1" ht="42.75" customHeight="1" thickBot="1">
      <c r="A2102" s="103"/>
      <c r="B2102" s="104"/>
      <c r="C2102" s="96" t="s">
        <v>21</v>
      </c>
      <c r="D2102" s="97"/>
      <c r="J2102" s="8"/>
      <c r="K2102" s="8"/>
      <c r="L2102" s="8"/>
      <c r="M2102" s="8"/>
      <c r="N2102" s="8"/>
      <c r="O2102" s="8"/>
      <c r="P2102" s="8"/>
    </row>
    <row r="2103" spans="1:16" s="7" customFormat="1" ht="42.75" customHeight="1" thickBot="1">
      <c r="A2103" s="105">
        <v>950</v>
      </c>
      <c r="B2103" s="106"/>
      <c r="C2103" s="96" t="s">
        <v>7</v>
      </c>
      <c r="D2103" s="97"/>
      <c r="J2103" s="8"/>
      <c r="K2103" s="8"/>
      <c r="L2103" s="8"/>
      <c r="M2103" s="8"/>
      <c r="N2103" s="8"/>
      <c r="O2103" s="8"/>
      <c r="P2103" s="8"/>
    </row>
    <row r="2104" spans="1:16" s="7" customFormat="1" ht="42.75" customHeight="1" thickBot="1">
      <c r="A2104" s="107" t="s">
        <v>17</v>
      </c>
      <c r="B2104" s="108"/>
      <c r="C2104" s="108"/>
      <c r="D2104" s="109"/>
      <c r="J2104" s="8"/>
      <c r="K2104" s="8"/>
      <c r="L2104" s="8"/>
      <c r="M2104" s="8"/>
      <c r="N2104" s="8"/>
      <c r="O2104" s="8"/>
      <c r="P2104" s="8"/>
    </row>
    <row r="2105" spans="1:16" s="7" customFormat="1" ht="42.75" customHeight="1" thickBot="1">
      <c r="A2105" s="110" t="s">
        <v>20</v>
      </c>
      <c r="B2105" s="111"/>
      <c r="C2105" s="111"/>
      <c r="D2105" s="112"/>
      <c r="J2105" s="8"/>
      <c r="K2105" s="8"/>
      <c r="L2105" s="8"/>
      <c r="M2105" s="8"/>
      <c r="N2105" s="8"/>
      <c r="O2105" s="8"/>
      <c r="P2105" s="8"/>
    </row>
    <row r="2106" spans="1:16" s="7" customFormat="1" ht="42.75" customHeight="1" thickBot="1">
      <c r="A2106" s="113" t="s">
        <v>18</v>
      </c>
      <c r="B2106" s="114"/>
      <c r="C2106" s="114"/>
      <c r="D2106" s="115"/>
      <c r="J2106" s="8"/>
      <c r="K2106" s="8"/>
      <c r="L2106" s="8"/>
      <c r="M2106" s="8"/>
      <c r="N2106" s="8"/>
      <c r="O2106" s="8"/>
      <c r="P2106" s="8"/>
    </row>
    <row r="2107" spans="1:16" s="7" customFormat="1" ht="42.75" customHeight="1" thickBot="1">
      <c r="A2107" s="126" t="s">
        <v>19</v>
      </c>
      <c r="B2107" s="127"/>
      <c r="C2107" s="127"/>
      <c r="D2107" s="128"/>
      <c r="J2107" s="8"/>
      <c r="K2107" s="8"/>
      <c r="L2107" s="8"/>
      <c r="M2107" s="8"/>
      <c r="N2107" s="8"/>
      <c r="O2107" s="8"/>
      <c r="P2107" s="8"/>
    </row>
    <row r="2108" spans="1:16" s="7" customFormat="1" ht="42.75" customHeight="1" thickBot="1">
      <c r="A2108" s="123" t="s">
        <v>11</v>
      </c>
      <c r="B2108" s="124"/>
      <c r="C2108" s="125" t="s">
        <v>603</v>
      </c>
      <c r="D2108" s="124"/>
      <c r="J2108" s="8"/>
      <c r="K2108" s="8"/>
      <c r="L2108" s="8"/>
      <c r="M2108" s="8"/>
      <c r="N2108" s="8"/>
      <c r="O2108" s="8"/>
      <c r="P2108" s="8"/>
    </row>
    <row r="2109" spans="1:16" s="7" customFormat="1" ht="42.75" customHeight="1" thickBot="1">
      <c r="A2109" s="1" t="s">
        <v>686</v>
      </c>
      <c r="B2109" s="26" t="s">
        <v>1</v>
      </c>
      <c r="C2109" s="90" t="s">
        <v>275</v>
      </c>
      <c r="D2109" s="91"/>
      <c r="J2109" s="8"/>
      <c r="K2109" s="8"/>
      <c r="L2109" s="8"/>
      <c r="M2109" s="8"/>
      <c r="N2109" s="8"/>
      <c r="O2109" s="8"/>
      <c r="P2109" s="8"/>
    </row>
    <row r="2110" spans="1:16" s="7" customFormat="1" ht="42.75" customHeight="1" thickBot="1">
      <c r="A2110" s="26"/>
      <c r="B2110" s="26" t="s">
        <v>0</v>
      </c>
      <c r="C2110" s="5" t="s">
        <v>687</v>
      </c>
      <c r="D2110" s="4" t="s">
        <v>2</v>
      </c>
      <c r="J2110" s="8"/>
      <c r="K2110" s="8"/>
      <c r="L2110" s="8"/>
      <c r="M2110" s="8"/>
      <c r="N2110" s="8"/>
      <c r="O2110" s="8"/>
      <c r="P2110" s="8"/>
    </row>
    <row r="2111" spans="1:16" s="7" customFormat="1" ht="42.75" customHeight="1" thickBot="1">
      <c r="A2111" s="92">
        <v>1905</v>
      </c>
      <c r="B2111" s="93"/>
      <c r="C2111" s="94" t="s">
        <v>3</v>
      </c>
      <c r="D2111" s="95"/>
      <c r="J2111" s="8"/>
      <c r="K2111" s="8"/>
      <c r="L2111" s="8"/>
      <c r="M2111" s="8"/>
      <c r="N2111" s="8"/>
      <c r="O2111" s="8"/>
      <c r="P2111" s="8"/>
    </row>
    <row r="2112" spans="1:16" s="7" customFormat="1" ht="42.75" customHeight="1" thickBot="1">
      <c r="A2112" s="92">
        <v>1905</v>
      </c>
      <c r="B2112" s="93"/>
      <c r="C2112" s="96" t="s">
        <v>4</v>
      </c>
      <c r="D2112" s="97"/>
      <c r="J2112" s="8"/>
      <c r="K2112" s="8"/>
      <c r="L2112" s="8"/>
      <c r="M2112" s="8"/>
      <c r="N2112" s="8"/>
      <c r="O2112" s="8"/>
      <c r="P2112" s="8"/>
    </row>
    <row r="2113" spans="1:16" s="7" customFormat="1" ht="42.75" customHeight="1" thickBot="1">
      <c r="A2113" s="98">
        <f>A2112-A2111</f>
        <v>0</v>
      </c>
      <c r="B2113" s="99"/>
      <c r="C2113" s="100" t="s">
        <v>5</v>
      </c>
      <c r="D2113" s="97"/>
      <c r="J2113" s="8"/>
      <c r="K2113" s="8"/>
      <c r="L2113" s="8"/>
      <c r="M2113" s="8"/>
      <c r="N2113" s="8"/>
      <c r="O2113" s="8"/>
      <c r="P2113" s="8"/>
    </row>
    <row r="2114" spans="1:16" s="7" customFormat="1" ht="42.75" customHeight="1" thickBot="1">
      <c r="A2114" s="101">
        <v>62</v>
      </c>
      <c r="B2114" s="102"/>
      <c r="C2114" s="96" t="s">
        <v>6</v>
      </c>
      <c r="D2114" s="97"/>
      <c r="J2114" s="8"/>
      <c r="K2114" s="8"/>
      <c r="L2114" s="8"/>
      <c r="M2114" s="8"/>
      <c r="N2114" s="8"/>
      <c r="O2114" s="8"/>
      <c r="P2114" s="8"/>
    </row>
    <row r="2115" spans="1:16" s="7" customFormat="1" ht="42.75" customHeight="1" thickBot="1">
      <c r="A2115" s="103"/>
      <c r="B2115" s="104"/>
      <c r="C2115" s="96" t="s">
        <v>21</v>
      </c>
      <c r="D2115" s="97"/>
      <c r="J2115" s="8"/>
      <c r="K2115" s="8"/>
      <c r="L2115" s="8"/>
      <c r="M2115" s="8"/>
      <c r="N2115" s="8"/>
      <c r="O2115" s="8"/>
      <c r="P2115" s="8"/>
    </row>
    <row r="2116" spans="1:16" s="7" customFormat="1" ht="42.75" customHeight="1" thickBot="1">
      <c r="A2116" s="105">
        <f>A2114*A2113</f>
        <v>0</v>
      </c>
      <c r="B2116" s="106"/>
      <c r="C2116" s="96" t="s">
        <v>7</v>
      </c>
      <c r="D2116" s="97"/>
      <c r="J2116" s="8"/>
      <c r="K2116" s="8"/>
      <c r="L2116" s="8"/>
      <c r="M2116" s="8"/>
      <c r="N2116" s="8"/>
      <c r="O2116" s="8"/>
      <c r="P2116" s="8"/>
    </row>
    <row r="2117" spans="1:16" s="7" customFormat="1" ht="42.75" customHeight="1" thickBot="1">
      <c r="A2117" s="107" t="s">
        <v>17</v>
      </c>
      <c r="B2117" s="108"/>
      <c r="C2117" s="108"/>
      <c r="D2117" s="109"/>
      <c r="J2117" s="8"/>
      <c r="K2117" s="8"/>
      <c r="L2117" s="8"/>
      <c r="M2117" s="8"/>
      <c r="N2117" s="8"/>
      <c r="O2117" s="8"/>
      <c r="P2117" s="8"/>
    </row>
    <row r="2118" spans="1:16" s="7" customFormat="1" ht="42.75" customHeight="1" thickBot="1">
      <c r="A2118" s="116" t="s">
        <v>20</v>
      </c>
      <c r="B2118" s="117"/>
      <c r="C2118" s="117"/>
      <c r="D2118" s="118"/>
      <c r="J2118" s="8"/>
      <c r="K2118" s="8"/>
      <c r="L2118" s="8"/>
      <c r="M2118" s="8"/>
      <c r="N2118" s="8"/>
      <c r="O2118" s="8"/>
      <c r="P2118" s="8"/>
    </row>
    <row r="2119" spans="1:16" s="7" customFormat="1" ht="42.75" customHeight="1" thickBot="1">
      <c r="A2119" s="113" t="s">
        <v>18</v>
      </c>
      <c r="B2119" s="114"/>
      <c r="C2119" s="114"/>
      <c r="D2119" s="115"/>
      <c r="J2119" s="8"/>
      <c r="K2119" s="8"/>
      <c r="L2119" s="8"/>
      <c r="M2119" s="8"/>
      <c r="N2119" s="8"/>
      <c r="O2119" s="8"/>
      <c r="P2119" s="8"/>
    </row>
    <row r="2120" spans="1:16" s="7" customFormat="1" ht="42.75" customHeight="1" thickBot="1">
      <c r="A2120" s="119"/>
      <c r="B2120" s="119"/>
      <c r="C2120" s="119"/>
      <c r="D2120" s="119"/>
      <c r="J2120" s="8"/>
      <c r="K2120" s="8"/>
      <c r="L2120" s="8"/>
      <c r="M2120" s="8"/>
      <c r="N2120" s="8"/>
      <c r="O2120" s="8"/>
      <c r="P2120" s="8"/>
    </row>
    <row r="2121" spans="1:16" s="7" customFormat="1" ht="42.75" customHeight="1" thickBot="1">
      <c r="A2121" s="126" t="s">
        <v>19</v>
      </c>
      <c r="B2121" s="127"/>
      <c r="C2121" s="127"/>
      <c r="D2121" s="128"/>
      <c r="J2121" s="8"/>
      <c r="K2121" s="8"/>
      <c r="L2121" s="8"/>
      <c r="M2121" s="8"/>
      <c r="N2121" s="8"/>
      <c r="O2121" s="8"/>
      <c r="P2121" s="8"/>
    </row>
    <row r="2122" spans="1:16" s="7" customFormat="1" ht="42.75" customHeight="1" thickBot="1">
      <c r="A2122" s="123" t="s">
        <v>11</v>
      </c>
      <c r="B2122" s="124"/>
      <c r="C2122" s="125" t="s">
        <v>603</v>
      </c>
      <c r="D2122" s="124"/>
      <c r="J2122" s="8"/>
      <c r="K2122" s="8"/>
      <c r="L2122" s="8"/>
      <c r="M2122" s="8"/>
      <c r="N2122" s="8"/>
      <c r="O2122" s="8"/>
      <c r="P2122" s="8"/>
    </row>
    <row r="2123" spans="1:16" s="7" customFormat="1" ht="42.75" customHeight="1" thickBot="1">
      <c r="A2123" s="1" t="s">
        <v>686</v>
      </c>
      <c r="B2123" s="26" t="s">
        <v>1</v>
      </c>
      <c r="C2123" s="90" t="s">
        <v>275</v>
      </c>
      <c r="D2123" s="91"/>
      <c r="J2123" s="8"/>
      <c r="K2123" s="8"/>
      <c r="L2123" s="8"/>
      <c r="M2123" s="8"/>
      <c r="N2123" s="8"/>
      <c r="O2123" s="8"/>
      <c r="P2123" s="8"/>
    </row>
    <row r="2124" spans="1:16" s="7" customFormat="1" ht="42.75" customHeight="1" thickBot="1">
      <c r="A2124" s="26"/>
      <c r="B2124" s="26" t="s">
        <v>0</v>
      </c>
      <c r="C2124" s="5" t="s">
        <v>687</v>
      </c>
      <c r="D2124" s="4" t="s">
        <v>2</v>
      </c>
      <c r="J2124" s="8"/>
      <c r="K2124" s="8"/>
      <c r="L2124" s="8"/>
      <c r="M2124" s="8"/>
      <c r="N2124" s="8"/>
      <c r="O2124" s="8"/>
      <c r="P2124" s="8"/>
    </row>
    <row r="2125" spans="1:16" s="7" customFormat="1" ht="42.75" customHeight="1" thickBot="1">
      <c r="A2125" s="92">
        <v>1880</v>
      </c>
      <c r="B2125" s="93"/>
      <c r="C2125" s="94" t="s">
        <v>3</v>
      </c>
      <c r="D2125" s="95"/>
      <c r="J2125" s="8"/>
      <c r="K2125" s="8"/>
      <c r="L2125" s="8"/>
      <c r="M2125" s="8"/>
      <c r="N2125" s="8"/>
      <c r="O2125" s="8"/>
      <c r="P2125" s="8"/>
    </row>
    <row r="2126" spans="1:16" s="7" customFormat="1" ht="42.75" customHeight="1" thickBot="1">
      <c r="A2126" s="92">
        <v>1905</v>
      </c>
      <c r="B2126" s="93"/>
      <c r="C2126" s="96" t="s">
        <v>4</v>
      </c>
      <c r="D2126" s="97"/>
      <c r="J2126" s="8"/>
      <c r="K2126" s="8"/>
      <c r="L2126" s="8"/>
      <c r="M2126" s="8"/>
      <c r="N2126" s="8"/>
      <c r="O2126" s="8"/>
      <c r="P2126" s="8"/>
    </row>
    <row r="2127" spans="1:16" s="7" customFormat="1" ht="42.75" customHeight="1" thickBot="1">
      <c r="A2127" s="98">
        <f>A2126-A2125</f>
        <v>25</v>
      </c>
      <c r="B2127" s="99"/>
      <c r="C2127" s="100" t="s">
        <v>5</v>
      </c>
      <c r="D2127" s="97"/>
      <c r="J2127" s="8"/>
      <c r="K2127" s="8"/>
      <c r="L2127" s="8"/>
      <c r="M2127" s="8"/>
      <c r="N2127" s="8"/>
      <c r="O2127" s="8"/>
      <c r="P2127" s="8"/>
    </row>
    <row r="2128" spans="1:16" s="7" customFormat="1" ht="42.75" customHeight="1" thickBot="1">
      <c r="A2128" s="101">
        <v>62</v>
      </c>
      <c r="B2128" s="102"/>
      <c r="C2128" s="96" t="s">
        <v>6</v>
      </c>
      <c r="D2128" s="97"/>
      <c r="J2128" s="8"/>
      <c r="K2128" s="8"/>
      <c r="L2128" s="8"/>
      <c r="M2128" s="8"/>
      <c r="N2128" s="8"/>
      <c r="O2128" s="8"/>
      <c r="P2128" s="8"/>
    </row>
    <row r="2129" spans="1:16" s="7" customFormat="1" ht="42.75" customHeight="1" thickBot="1">
      <c r="A2129" s="103"/>
      <c r="B2129" s="104"/>
      <c r="C2129" s="96" t="s">
        <v>21</v>
      </c>
      <c r="D2129" s="97"/>
      <c r="J2129" s="8"/>
      <c r="K2129" s="8"/>
      <c r="L2129" s="8"/>
      <c r="M2129" s="8"/>
      <c r="N2129" s="8"/>
      <c r="O2129" s="8"/>
      <c r="P2129" s="8"/>
    </row>
    <row r="2130" spans="1:16" s="7" customFormat="1" ht="42.75" customHeight="1" thickBot="1">
      <c r="A2130" s="105">
        <f>A2128*A2127</f>
        <v>1550</v>
      </c>
      <c r="B2130" s="106"/>
      <c r="C2130" s="96" t="s">
        <v>7</v>
      </c>
      <c r="D2130" s="97"/>
      <c r="J2130" s="8"/>
      <c r="K2130" s="8"/>
      <c r="L2130" s="8"/>
      <c r="M2130" s="8"/>
      <c r="N2130" s="8"/>
      <c r="O2130" s="8"/>
      <c r="P2130" s="8"/>
    </row>
    <row r="2131" spans="1:16" s="7" customFormat="1" ht="42.75" customHeight="1" thickBot="1">
      <c r="A2131" s="107" t="s">
        <v>17</v>
      </c>
      <c r="B2131" s="108"/>
      <c r="C2131" s="108"/>
      <c r="D2131" s="109"/>
      <c r="J2131" s="8"/>
      <c r="K2131" s="8"/>
      <c r="L2131" s="8"/>
      <c r="M2131" s="8"/>
      <c r="N2131" s="8"/>
      <c r="O2131" s="8"/>
      <c r="P2131" s="8"/>
    </row>
    <row r="2132" spans="1:16" s="7" customFormat="1" ht="42.75" customHeight="1" thickBot="1">
      <c r="A2132" s="110" t="s">
        <v>20</v>
      </c>
      <c r="B2132" s="111"/>
      <c r="C2132" s="111"/>
      <c r="D2132" s="112"/>
      <c r="J2132" s="8"/>
      <c r="K2132" s="8"/>
      <c r="L2132" s="8"/>
      <c r="M2132" s="8"/>
      <c r="N2132" s="8"/>
      <c r="O2132" s="8"/>
      <c r="P2132" s="8"/>
    </row>
    <row r="2133" spans="1:16" s="7" customFormat="1" ht="42.75" customHeight="1" thickBot="1">
      <c r="A2133" s="113" t="s">
        <v>18</v>
      </c>
      <c r="B2133" s="114"/>
      <c r="C2133" s="114"/>
      <c r="D2133" s="115"/>
      <c r="J2133" s="8"/>
      <c r="K2133" s="8"/>
      <c r="L2133" s="8"/>
      <c r="M2133" s="8"/>
      <c r="N2133" s="8"/>
      <c r="O2133" s="8"/>
      <c r="P2133" s="8"/>
    </row>
    <row r="2134" spans="1:16" s="7" customFormat="1" ht="42.75" customHeight="1" thickBot="1">
      <c r="A2134" s="126" t="s">
        <v>19</v>
      </c>
      <c r="B2134" s="127"/>
      <c r="C2134" s="127"/>
      <c r="D2134" s="128"/>
      <c r="J2134" s="8"/>
      <c r="K2134" s="8"/>
      <c r="L2134" s="8"/>
      <c r="M2134" s="8"/>
      <c r="N2134" s="8"/>
      <c r="O2134" s="8"/>
      <c r="P2134" s="8"/>
    </row>
    <row r="2135" spans="1:16" s="7" customFormat="1" ht="42.75" customHeight="1" thickBot="1">
      <c r="A2135" s="123" t="s">
        <v>11</v>
      </c>
      <c r="B2135" s="124"/>
      <c r="C2135" s="125" t="s">
        <v>603</v>
      </c>
      <c r="D2135" s="124"/>
      <c r="J2135" s="8"/>
      <c r="K2135" s="8"/>
      <c r="L2135" s="8"/>
      <c r="M2135" s="8"/>
      <c r="N2135" s="8"/>
      <c r="O2135" s="8"/>
      <c r="P2135" s="8"/>
    </row>
    <row r="2136" spans="1:16" s="7" customFormat="1" ht="42.75" customHeight="1" thickBot="1">
      <c r="A2136" s="1" t="s">
        <v>686</v>
      </c>
      <c r="B2136" s="26" t="s">
        <v>1</v>
      </c>
      <c r="C2136" s="90" t="s">
        <v>563</v>
      </c>
      <c r="D2136" s="91"/>
      <c r="J2136" s="8"/>
      <c r="K2136" s="8"/>
      <c r="L2136" s="8"/>
      <c r="M2136" s="8"/>
      <c r="N2136" s="8"/>
      <c r="O2136" s="8"/>
      <c r="P2136" s="8"/>
    </row>
    <row r="2137" spans="1:16" s="7" customFormat="1" ht="42.75" customHeight="1" thickBot="1">
      <c r="A2137" s="26"/>
      <c r="B2137" s="26" t="s">
        <v>0</v>
      </c>
      <c r="C2137" s="5" t="s">
        <v>687</v>
      </c>
      <c r="D2137" s="4" t="s">
        <v>2</v>
      </c>
      <c r="J2137" s="8"/>
      <c r="K2137" s="8"/>
      <c r="L2137" s="8"/>
      <c r="M2137" s="8"/>
      <c r="N2137" s="8"/>
      <c r="O2137" s="8"/>
      <c r="P2137" s="8"/>
    </row>
    <row r="2138" spans="1:16" s="7" customFormat="1" ht="42.75" customHeight="1" thickBot="1">
      <c r="A2138" s="92">
        <v>873</v>
      </c>
      <c r="B2138" s="93"/>
      <c r="C2138" s="94" t="s">
        <v>3</v>
      </c>
      <c r="D2138" s="95"/>
      <c r="J2138" s="8"/>
      <c r="K2138" s="8"/>
      <c r="L2138" s="8"/>
      <c r="M2138" s="8"/>
      <c r="N2138" s="8"/>
      <c r="O2138" s="8"/>
      <c r="P2138" s="8"/>
    </row>
    <row r="2139" spans="1:16" s="7" customFormat="1" ht="42.75" customHeight="1" thickBot="1">
      <c r="A2139" s="92">
        <v>873</v>
      </c>
      <c r="B2139" s="93"/>
      <c r="C2139" s="96" t="s">
        <v>4</v>
      </c>
      <c r="D2139" s="97"/>
      <c r="J2139" s="8"/>
      <c r="K2139" s="8"/>
      <c r="L2139" s="8"/>
      <c r="M2139" s="8"/>
      <c r="N2139" s="8"/>
      <c r="O2139" s="8"/>
      <c r="P2139" s="8"/>
    </row>
    <row r="2140" spans="1:16" s="7" customFormat="1" ht="42.75" customHeight="1" thickBot="1">
      <c r="A2140" s="98">
        <f>A2139-A2138</f>
        <v>0</v>
      </c>
      <c r="B2140" s="99"/>
      <c r="C2140" s="100" t="s">
        <v>5</v>
      </c>
      <c r="D2140" s="97"/>
      <c r="J2140" s="8"/>
      <c r="K2140" s="8"/>
      <c r="L2140" s="8"/>
      <c r="M2140" s="8"/>
      <c r="N2140" s="8"/>
      <c r="O2140" s="8"/>
      <c r="P2140" s="8"/>
    </row>
    <row r="2141" spans="1:16" s="7" customFormat="1" ht="42.75" customHeight="1" thickBot="1">
      <c r="A2141" s="101">
        <v>62</v>
      </c>
      <c r="B2141" s="102"/>
      <c r="C2141" s="96" t="s">
        <v>6</v>
      </c>
      <c r="D2141" s="97"/>
      <c r="J2141" s="8"/>
      <c r="K2141" s="8"/>
      <c r="L2141" s="8"/>
      <c r="M2141" s="8"/>
      <c r="N2141" s="8"/>
      <c r="O2141" s="8"/>
      <c r="P2141" s="8"/>
    </row>
    <row r="2142" spans="1:16" s="7" customFormat="1" ht="42.75" customHeight="1" thickBot="1">
      <c r="A2142" s="103"/>
      <c r="B2142" s="104"/>
      <c r="C2142" s="96" t="s">
        <v>21</v>
      </c>
      <c r="D2142" s="97"/>
      <c r="J2142" s="8"/>
      <c r="K2142" s="8"/>
      <c r="L2142" s="8"/>
      <c r="M2142" s="8"/>
      <c r="N2142" s="8"/>
      <c r="O2142" s="8"/>
      <c r="P2142" s="8"/>
    </row>
    <row r="2143" spans="1:16" s="7" customFormat="1" ht="42.75" customHeight="1" thickBot="1">
      <c r="A2143" s="105">
        <f>A2141*A2140</f>
        <v>0</v>
      </c>
      <c r="B2143" s="106"/>
      <c r="C2143" s="96" t="s">
        <v>7</v>
      </c>
      <c r="D2143" s="97"/>
      <c r="J2143" s="8"/>
      <c r="K2143" s="8"/>
      <c r="L2143" s="8"/>
      <c r="M2143" s="8"/>
      <c r="N2143" s="8"/>
      <c r="O2143" s="8"/>
      <c r="P2143" s="8"/>
    </row>
    <row r="2144" spans="1:16" s="7" customFormat="1" ht="42.75" customHeight="1" thickBot="1">
      <c r="A2144" s="107" t="s">
        <v>17</v>
      </c>
      <c r="B2144" s="108"/>
      <c r="C2144" s="108"/>
      <c r="D2144" s="109"/>
      <c r="J2144" s="8"/>
      <c r="K2144" s="8"/>
      <c r="L2144" s="8"/>
      <c r="M2144" s="8"/>
      <c r="N2144" s="8"/>
      <c r="O2144" s="8"/>
      <c r="P2144" s="8"/>
    </row>
    <row r="2145" spans="1:16" s="7" customFormat="1" ht="42.75" customHeight="1" thickBot="1">
      <c r="A2145" s="116" t="s">
        <v>20</v>
      </c>
      <c r="B2145" s="117"/>
      <c r="C2145" s="117"/>
      <c r="D2145" s="118"/>
      <c r="J2145" s="8"/>
      <c r="K2145" s="8"/>
      <c r="L2145" s="8"/>
      <c r="M2145" s="8"/>
      <c r="N2145" s="8"/>
      <c r="O2145" s="8"/>
      <c r="P2145" s="8"/>
    </row>
    <row r="2146" spans="1:16" s="7" customFormat="1" ht="42.75" customHeight="1" thickBot="1">
      <c r="A2146" s="113" t="s">
        <v>18</v>
      </c>
      <c r="B2146" s="114"/>
      <c r="C2146" s="114"/>
      <c r="D2146" s="115"/>
      <c r="J2146" s="8"/>
      <c r="K2146" s="8"/>
      <c r="L2146" s="8"/>
      <c r="M2146" s="8"/>
      <c r="N2146" s="8"/>
      <c r="O2146" s="8"/>
      <c r="P2146" s="8"/>
    </row>
    <row r="2147" spans="1:16" s="7" customFormat="1" ht="42.75" customHeight="1" thickBot="1">
      <c r="A2147" s="119"/>
      <c r="B2147" s="119"/>
      <c r="C2147" s="119"/>
      <c r="D2147" s="119"/>
      <c r="J2147" s="8"/>
      <c r="K2147" s="8"/>
      <c r="L2147" s="8"/>
      <c r="M2147" s="8"/>
      <c r="N2147" s="8"/>
      <c r="O2147" s="8"/>
      <c r="P2147" s="8"/>
    </row>
    <row r="2148" spans="1:16" s="7" customFormat="1" ht="42.75" customHeight="1" thickBot="1">
      <c r="A2148" s="126" t="s">
        <v>19</v>
      </c>
      <c r="B2148" s="127"/>
      <c r="C2148" s="127"/>
      <c r="D2148" s="128"/>
      <c r="J2148" s="8"/>
      <c r="K2148" s="8"/>
      <c r="L2148" s="8"/>
      <c r="M2148" s="8"/>
      <c r="N2148" s="8"/>
      <c r="O2148" s="8"/>
      <c r="P2148" s="8"/>
    </row>
    <row r="2149" spans="1:16" s="7" customFormat="1" ht="42.75" customHeight="1" thickBot="1">
      <c r="A2149" s="123" t="s">
        <v>11</v>
      </c>
      <c r="B2149" s="124"/>
      <c r="C2149" s="125" t="s">
        <v>603</v>
      </c>
      <c r="D2149" s="124"/>
      <c r="J2149" s="8"/>
      <c r="K2149" s="8"/>
      <c r="L2149" s="8"/>
      <c r="M2149" s="8"/>
      <c r="N2149" s="8"/>
      <c r="O2149" s="8"/>
      <c r="P2149" s="8"/>
    </row>
    <row r="2150" spans="1:16" s="7" customFormat="1" ht="42.75" customHeight="1" thickBot="1">
      <c r="A2150" s="1" t="s">
        <v>686</v>
      </c>
      <c r="B2150" s="26" t="s">
        <v>1</v>
      </c>
      <c r="C2150" s="90" t="s">
        <v>563</v>
      </c>
      <c r="D2150" s="91"/>
      <c r="J2150" s="8"/>
      <c r="K2150" s="8"/>
      <c r="L2150" s="8"/>
      <c r="M2150" s="8"/>
      <c r="N2150" s="8"/>
      <c r="O2150" s="8"/>
      <c r="P2150" s="8"/>
    </row>
    <row r="2151" spans="1:16" s="7" customFormat="1" ht="42.75" customHeight="1" thickBot="1">
      <c r="A2151" s="26"/>
      <c r="B2151" s="26" t="s">
        <v>0</v>
      </c>
      <c r="C2151" s="5" t="s">
        <v>687</v>
      </c>
      <c r="D2151" s="4" t="s">
        <v>2</v>
      </c>
      <c r="J2151" s="8"/>
      <c r="K2151" s="8"/>
      <c r="L2151" s="8"/>
      <c r="M2151" s="8"/>
      <c r="N2151" s="8"/>
      <c r="O2151" s="8"/>
      <c r="P2151" s="8"/>
    </row>
    <row r="2152" spans="1:16" s="7" customFormat="1" ht="42.75" customHeight="1" thickBot="1">
      <c r="A2152" s="92">
        <v>855</v>
      </c>
      <c r="B2152" s="93"/>
      <c r="C2152" s="94" t="s">
        <v>3</v>
      </c>
      <c r="D2152" s="95"/>
      <c r="J2152" s="8"/>
      <c r="K2152" s="8"/>
      <c r="L2152" s="8"/>
      <c r="M2152" s="8"/>
      <c r="N2152" s="8"/>
      <c r="O2152" s="8"/>
      <c r="P2152" s="8"/>
    </row>
    <row r="2153" spans="1:16" s="7" customFormat="1" ht="42.75" customHeight="1" thickBot="1">
      <c r="A2153" s="92">
        <v>873</v>
      </c>
      <c r="B2153" s="93"/>
      <c r="C2153" s="96" t="s">
        <v>4</v>
      </c>
      <c r="D2153" s="97"/>
      <c r="J2153" s="8"/>
      <c r="K2153" s="8"/>
      <c r="L2153" s="8"/>
      <c r="M2153" s="8"/>
      <c r="N2153" s="8"/>
      <c r="O2153" s="8"/>
      <c r="P2153" s="8"/>
    </row>
    <row r="2154" spans="1:16" s="7" customFormat="1" ht="42.75" customHeight="1" thickBot="1">
      <c r="A2154" s="98">
        <f>A2153-A2152</f>
        <v>18</v>
      </c>
      <c r="B2154" s="99"/>
      <c r="C2154" s="100" t="s">
        <v>5</v>
      </c>
      <c r="D2154" s="97"/>
      <c r="J2154" s="8"/>
      <c r="K2154" s="8"/>
      <c r="L2154" s="8"/>
      <c r="M2154" s="8"/>
      <c r="N2154" s="8"/>
      <c r="O2154" s="8"/>
      <c r="P2154" s="8"/>
    </row>
    <row r="2155" spans="1:16" s="7" customFormat="1" ht="42.75" customHeight="1" thickBot="1">
      <c r="A2155" s="101">
        <v>62</v>
      </c>
      <c r="B2155" s="102"/>
      <c r="C2155" s="96" t="s">
        <v>6</v>
      </c>
      <c r="D2155" s="97"/>
      <c r="J2155" s="8"/>
      <c r="K2155" s="8"/>
      <c r="L2155" s="8"/>
      <c r="M2155" s="8"/>
      <c r="N2155" s="8"/>
      <c r="O2155" s="8"/>
      <c r="P2155" s="8"/>
    </row>
    <row r="2156" spans="1:16" s="7" customFormat="1" ht="42.75" customHeight="1" thickBot="1">
      <c r="A2156" s="103"/>
      <c r="B2156" s="104"/>
      <c r="C2156" s="96" t="s">
        <v>21</v>
      </c>
      <c r="D2156" s="97"/>
      <c r="J2156" s="8"/>
      <c r="K2156" s="8"/>
      <c r="L2156" s="8"/>
      <c r="M2156" s="8"/>
      <c r="N2156" s="8"/>
      <c r="O2156" s="8"/>
      <c r="P2156" s="8"/>
    </row>
    <row r="2157" spans="1:16" s="7" customFormat="1" ht="42.75" customHeight="1" thickBot="1">
      <c r="A2157" s="105">
        <v>1100</v>
      </c>
      <c r="B2157" s="106"/>
      <c r="C2157" s="96" t="s">
        <v>7</v>
      </c>
      <c r="D2157" s="97"/>
      <c r="J2157" s="8"/>
      <c r="K2157" s="8"/>
      <c r="L2157" s="8"/>
      <c r="M2157" s="8"/>
      <c r="N2157" s="8"/>
      <c r="O2157" s="8"/>
      <c r="P2157" s="8"/>
    </row>
    <row r="2158" spans="1:16" s="7" customFormat="1" ht="42.75" customHeight="1" thickBot="1">
      <c r="A2158" s="107" t="s">
        <v>17</v>
      </c>
      <c r="B2158" s="108"/>
      <c r="C2158" s="108"/>
      <c r="D2158" s="109"/>
      <c r="J2158" s="8"/>
      <c r="K2158" s="8"/>
      <c r="L2158" s="8"/>
      <c r="M2158" s="8"/>
      <c r="N2158" s="8"/>
      <c r="O2158" s="8"/>
      <c r="P2158" s="8"/>
    </row>
    <row r="2159" spans="1:16" s="7" customFormat="1" ht="42.75" customHeight="1" thickBot="1">
      <c r="A2159" s="110" t="s">
        <v>20</v>
      </c>
      <c r="B2159" s="111"/>
      <c r="C2159" s="111"/>
      <c r="D2159" s="112"/>
      <c r="J2159" s="8"/>
      <c r="K2159" s="8"/>
      <c r="L2159" s="8"/>
      <c r="M2159" s="8"/>
      <c r="N2159" s="8"/>
      <c r="O2159" s="8"/>
      <c r="P2159" s="8"/>
    </row>
    <row r="2160" spans="1:16" s="7" customFormat="1" ht="42.75" customHeight="1" thickBot="1">
      <c r="A2160" s="113" t="s">
        <v>18</v>
      </c>
      <c r="B2160" s="114"/>
      <c r="C2160" s="114"/>
      <c r="D2160" s="115"/>
      <c r="J2160" s="8"/>
      <c r="K2160" s="8"/>
      <c r="L2160" s="8"/>
      <c r="M2160" s="8"/>
      <c r="N2160" s="8"/>
      <c r="O2160" s="8"/>
      <c r="P2160" s="8"/>
    </row>
    <row r="2161" spans="1:16" s="7" customFormat="1" ht="42.75" customHeight="1" thickBot="1">
      <c r="A2161" s="126" t="s">
        <v>19</v>
      </c>
      <c r="B2161" s="127"/>
      <c r="C2161" s="127"/>
      <c r="D2161" s="128"/>
      <c r="J2161" s="8"/>
      <c r="K2161" s="8"/>
      <c r="L2161" s="8"/>
      <c r="M2161" s="8"/>
      <c r="N2161" s="8"/>
      <c r="O2161" s="8"/>
      <c r="P2161" s="8"/>
    </row>
    <row r="2162" spans="1:16" s="7" customFormat="1" ht="42.75" customHeight="1" thickBot="1">
      <c r="A2162" s="123" t="s">
        <v>11</v>
      </c>
      <c r="B2162" s="124"/>
      <c r="C2162" s="125" t="s">
        <v>603</v>
      </c>
      <c r="D2162" s="124"/>
      <c r="J2162" s="8"/>
      <c r="K2162" s="8"/>
      <c r="L2162" s="8"/>
      <c r="M2162" s="8"/>
      <c r="N2162" s="8"/>
      <c r="O2162" s="8"/>
      <c r="P2162" s="8"/>
    </row>
    <row r="2163" spans="1:16" s="7" customFormat="1" ht="42.75" customHeight="1" thickBot="1">
      <c r="A2163" s="1" t="s">
        <v>686</v>
      </c>
      <c r="B2163" s="26" t="s">
        <v>1</v>
      </c>
      <c r="C2163" s="90" t="s">
        <v>680</v>
      </c>
      <c r="D2163" s="91"/>
      <c r="J2163" s="8"/>
      <c r="K2163" s="8"/>
      <c r="L2163" s="8"/>
      <c r="M2163" s="8"/>
      <c r="N2163" s="8"/>
      <c r="O2163" s="8"/>
      <c r="P2163" s="8"/>
    </row>
    <row r="2164" spans="1:16" s="7" customFormat="1" ht="42.75" customHeight="1" thickBot="1">
      <c r="A2164" s="26"/>
      <c r="B2164" s="26" t="s">
        <v>0</v>
      </c>
      <c r="C2164" s="5" t="s">
        <v>687</v>
      </c>
      <c r="D2164" s="4" t="s">
        <v>2</v>
      </c>
      <c r="J2164" s="8"/>
      <c r="K2164" s="8"/>
      <c r="L2164" s="8"/>
      <c r="M2164" s="8"/>
      <c r="N2164" s="8"/>
      <c r="O2164" s="8"/>
      <c r="P2164" s="8"/>
    </row>
    <row r="2165" spans="1:16" s="7" customFormat="1" ht="42.75" customHeight="1" thickBot="1">
      <c r="A2165" s="92">
        <v>880</v>
      </c>
      <c r="B2165" s="93"/>
      <c r="C2165" s="94" t="s">
        <v>3</v>
      </c>
      <c r="D2165" s="95"/>
      <c r="J2165" s="8"/>
      <c r="K2165" s="8"/>
      <c r="L2165" s="8"/>
      <c r="M2165" s="8"/>
      <c r="N2165" s="8"/>
      <c r="O2165" s="8"/>
      <c r="P2165" s="8"/>
    </row>
    <row r="2166" spans="1:16" s="7" customFormat="1" ht="42.75" customHeight="1" thickBot="1">
      <c r="A2166" s="92">
        <v>880</v>
      </c>
      <c r="B2166" s="93"/>
      <c r="C2166" s="96" t="s">
        <v>4</v>
      </c>
      <c r="D2166" s="97"/>
      <c r="J2166" s="8"/>
      <c r="K2166" s="8"/>
      <c r="L2166" s="8"/>
      <c r="M2166" s="8"/>
      <c r="N2166" s="8"/>
      <c r="O2166" s="8"/>
      <c r="P2166" s="8"/>
    </row>
    <row r="2167" spans="1:16" s="7" customFormat="1" ht="42.75" customHeight="1" thickBot="1">
      <c r="A2167" s="98">
        <f>A2166-A2165</f>
        <v>0</v>
      </c>
      <c r="B2167" s="99"/>
      <c r="C2167" s="100" t="s">
        <v>5</v>
      </c>
      <c r="D2167" s="97"/>
      <c r="J2167" s="8"/>
      <c r="K2167" s="8"/>
      <c r="L2167" s="8"/>
      <c r="M2167" s="8"/>
      <c r="N2167" s="8"/>
      <c r="O2167" s="8"/>
      <c r="P2167" s="8"/>
    </row>
    <row r="2168" spans="1:16" s="7" customFormat="1" ht="42.75" customHeight="1" thickBot="1">
      <c r="A2168" s="101">
        <v>62</v>
      </c>
      <c r="B2168" s="102"/>
      <c r="C2168" s="96" t="s">
        <v>6</v>
      </c>
      <c r="D2168" s="97"/>
      <c r="J2168" s="8"/>
      <c r="K2168" s="8"/>
      <c r="L2168" s="8"/>
      <c r="M2168" s="8"/>
      <c r="N2168" s="8"/>
      <c r="O2168" s="8"/>
      <c r="P2168" s="8"/>
    </row>
    <row r="2169" spans="1:16" s="7" customFormat="1" ht="42.75" customHeight="1" thickBot="1">
      <c r="A2169" s="103"/>
      <c r="B2169" s="104"/>
      <c r="C2169" s="96" t="s">
        <v>21</v>
      </c>
      <c r="D2169" s="97"/>
      <c r="J2169" s="8"/>
      <c r="K2169" s="8"/>
      <c r="L2169" s="8"/>
      <c r="M2169" s="8"/>
      <c r="N2169" s="8"/>
      <c r="O2169" s="8"/>
      <c r="P2169" s="8"/>
    </row>
    <row r="2170" spans="1:16" s="7" customFormat="1" ht="42.75" customHeight="1" thickBot="1">
      <c r="A2170" s="105">
        <f>A2168*A2167</f>
        <v>0</v>
      </c>
      <c r="B2170" s="106"/>
      <c r="C2170" s="96" t="s">
        <v>7</v>
      </c>
      <c r="D2170" s="97"/>
      <c r="J2170" s="8"/>
      <c r="K2170" s="8"/>
      <c r="L2170" s="8"/>
      <c r="M2170" s="8"/>
      <c r="N2170" s="8"/>
      <c r="O2170" s="8"/>
      <c r="P2170" s="8"/>
    </row>
    <row r="2171" spans="1:16" s="7" customFormat="1" ht="42.75" customHeight="1" thickBot="1">
      <c r="A2171" s="107" t="s">
        <v>17</v>
      </c>
      <c r="B2171" s="108"/>
      <c r="C2171" s="108"/>
      <c r="D2171" s="109"/>
      <c r="J2171" s="8"/>
      <c r="K2171" s="8"/>
      <c r="L2171" s="8"/>
      <c r="M2171" s="8"/>
      <c r="N2171" s="8"/>
      <c r="O2171" s="8"/>
      <c r="P2171" s="8"/>
    </row>
    <row r="2172" spans="1:16" s="7" customFormat="1" ht="42.75" customHeight="1" thickBot="1">
      <c r="A2172" s="116" t="s">
        <v>20</v>
      </c>
      <c r="B2172" s="117"/>
      <c r="C2172" s="117"/>
      <c r="D2172" s="118"/>
      <c r="J2172" s="8"/>
      <c r="K2172" s="8"/>
      <c r="L2172" s="8"/>
      <c r="M2172" s="8"/>
      <c r="N2172" s="8"/>
      <c r="O2172" s="8"/>
      <c r="P2172" s="8"/>
    </row>
    <row r="2173" spans="1:16" s="7" customFormat="1" ht="42.75" customHeight="1" thickBot="1">
      <c r="A2173" s="113" t="s">
        <v>18</v>
      </c>
      <c r="B2173" s="114"/>
      <c r="C2173" s="114"/>
      <c r="D2173" s="115"/>
      <c r="J2173" s="8"/>
      <c r="K2173" s="8"/>
      <c r="L2173" s="8"/>
      <c r="M2173" s="8"/>
      <c r="N2173" s="8"/>
      <c r="O2173" s="8"/>
      <c r="P2173" s="8"/>
    </row>
    <row r="2174" spans="1:16" s="7" customFormat="1" ht="42.75" customHeight="1" thickBot="1">
      <c r="A2174" s="119"/>
      <c r="B2174" s="119"/>
      <c r="C2174" s="119"/>
      <c r="D2174" s="119"/>
      <c r="J2174" s="8"/>
      <c r="K2174" s="8"/>
      <c r="L2174" s="8"/>
      <c r="M2174" s="8"/>
      <c r="N2174" s="8"/>
      <c r="O2174" s="8"/>
      <c r="P2174" s="8"/>
    </row>
    <row r="2175" spans="1:16" s="7" customFormat="1" ht="42.75" customHeight="1" thickBot="1">
      <c r="A2175" s="126" t="s">
        <v>19</v>
      </c>
      <c r="B2175" s="127"/>
      <c r="C2175" s="127"/>
      <c r="D2175" s="128"/>
      <c r="J2175" s="8"/>
      <c r="K2175" s="8"/>
      <c r="L2175" s="8"/>
      <c r="M2175" s="8"/>
      <c r="N2175" s="8"/>
      <c r="O2175" s="8"/>
      <c r="P2175" s="8"/>
    </row>
    <row r="2176" spans="1:16" s="7" customFormat="1" ht="42.75" customHeight="1" thickBot="1">
      <c r="A2176" s="123" t="s">
        <v>11</v>
      </c>
      <c r="B2176" s="124"/>
      <c r="C2176" s="125" t="s">
        <v>603</v>
      </c>
      <c r="D2176" s="124"/>
      <c r="J2176" s="8"/>
      <c r="K2176" s="8"/>
      <c r="L2176" s="8"/>
      <c r="M2176" s="8"/>
      <c r="N2176" s="8"/>
      <c r="O2176" s="8"/>
      <c r="P2176" s="8"/>
    </row>
    <row r="2177" spans="1:16" s="7" customFormat="1" ht="42.75" customHeight="1" thickBot="1">
      <c r="A2177" s="1" t="s">
        <v>686</v>
      </c>
      <c r="B2177" s="26" t="s">
        <v>1</v>
      </c>
      <c r="C2177" s="90" t="s">
        <v>680</v>
      </c>
      <c r="D2177" s="91"/>
      <c r="J2177" s="8"/>
      <c r="K2177" s="8"/>
      <c r="L2177" s="8"/>
      <c r="M2177" s="8"/>
      <c r="N2177" s="8"/>
      <c r="O2177" s="8"/>
      <c r="P2177" s="8"/>
    </row>
    <row r="2178" spans="1:16" s="7" customFormat="1" ht="42.75" customHeight="1" thickBot="1">
      <c r="A2178" s="26"/>
      <c r="B2178" s="26" t="s">
        <v>0</v>
      </c>
      <c r="C2178" s="5" t="s">
        <v>687</v>
      </c>
      <c r="D2178" s="4" t="s">
        <v>2</v>
      </c>
      <c r="J2178" s="8"/>
      <c r="K2178" s="8"/>
      <c r="L2178" s="8"/>
      <c r="M2178" s="8"/>
      <c r="N2178" s="8"/>
      <c r="O2178" s="8"/>
      <c r="P2178" s="8"/>
    </row>
    <row r="2179" spans="1:16" s="7" customFormat="1" ht="42.75" customHeight="1" thickBot="1">
      <c r="A2179" s="92">
        <v>868</v>
      </c>
      <c r="B2179" s="93"/>
      <c r="C2179" s="94" t="s">
        <v>3</v>
      </c>
      <c r="D2179" s="95"/>
      <c r="J2179" s="8"/>
      <c r="K2179" s="8"/>
      <c r="L2179" s="8"/>
      <c r="M2179" s="8"/>
      <c r="N2179" s="8"/>
      <c r="O2179" s="8"/>
      <c r="P2179" s="8"/>
    </row>
    <row r="2180" spans="1:16" s="7" customFormat="1" ht="42.75" customHeight="1" thickBot="1">
      <c r="A2180" s="92">
        <v>880</v>
      </c>
      <c r="B2180" s="93"/>
      <c r="C2180" s="96" t="s">
        <v>4</v>
      </c>
      <c r="D2180" s="97"/>
      <c r="J2180" s="8"/>
      <c r="K2180" s="8"/>
      <c r="L2180" s="8"/>
      <c r="M2180" s="8"/>
      <c r="N2180" s="8"/>
      <c r="O2180" s="8"/>
      <c r="P2180" s="8"/>
    </row>
    <row r="2181" spans="1:16" s="7" customFormat="1" ht="42.75" customHeight="1" thickBot="1">
      <c r="A2181" s="98">
        <f>A2180-A2179</f>
        <v>12</v>
      </c>
      <c r="B2181" s="99"/>
      <c r="C2181" s="100" t="s">
        <v>5</v>
      </c>
      <c r="D2181" s="97"/>
      <c r="J2181" s="8"/>
      <c r="K2181" s="8"/>
      <c r="L2181" s="8"/>
      <c r="M2181" s="8"/>
      <c r="N2181" s="8"/>
      <c r="O2181" s="8"/>
      <c r="P2181" s="8"/>
    </row>
    <row r="2182" spans="1:16" s="7" customFormat="1" ht="42.75" customHeight="1" thickBot="1">
      <c r="A2182" s="101">
        <v>62</v>
      </c>
      <c r="B2182" s="102"/>
      <c r="C2182" s="96" t="s">
        <v>6</v>
      </c>
      <c r="D2182" s="97"/>
      <c r="J2182" s="8"/>
      <c r="K2182" s="8"/>
      <c r="L2182" s="8"/>
      <c r="M2182" s="8"/>
      <c r="N2182" s="8"/>
      <c r="O2182" s="8"/>
      <c r="P2182" s="8"/>
    </row>
    <row r="2183" spans="1:16" s="7" customFormat="1" ht="42.75" customHeight="1" thickBot="1">
      <c r="A2183" s="103"/>
      <c r="B2183" s="104"/>
      <c r="C2183" s="96" t="s">
        <v>21</v>
      </c>
      <c r="D2183" s="97"/>
      <c r="J2183" s="8"/>
      <c r="K2183" s="8"/>
      <c r="L2183" s="8"/>
      <c r="M2183" s="8"/>
      <c r="N2183" s="8"/>
      <c r="O2183" s="8"/>
      <c r="P2183" s="8"/>
    </row>
    <row r="2184" spans="1:16" s="7" customFormat="1" ht="42.75" customHeight="1" thickBot="1">
      <c r="A2184" s="105">
        <v>750</v>
      </c>
      <c r="B2184" s="106"/>
      <c r="C2184" s="96" t="s">
        <v>7</v>
      </c>
      <c r="D2184" s="97"/>
      <c r="J2184" s="8"/>
      <c r="K2184" s="8"/>
      <c r="L2184" s="8"/>
      <c r="M2184" s="8"/>
      <c r="N2184" s="8"/>
      <c r="O2184" s="8"/>
      <c r="P2184" s="8"/>
    </row>
    <row r="2185" spans="1:16" s="7" customFormat="1" ht="42.75" customHeight="1" thickBot="1">
      <c r="A2185" s="107" t="s">
        <v>17</v>
      </c>
      <c r="B2185" s="108"/>
      <c r="C2185" s="108"/>
      <c r="D2185" s="109"/>
      <c r="J2185" s="8"/>
      <c r="K2185" s="8"/>
      <c r="L2185" s="8"/>
      <c r="M2185" s="8"/>
      <c r="N2185" s="8"/>
      <c r="O2185" s="8"/>
      <c r="P2185" s="8"/>
    </row>
    <row r="2186" spans="1:16" s="7" customFormat="1" ht="42.75" customHeight="1" thickBot="1">
      <c r="A2186" s="110" t="s">
        <v>20</v>
      </c>
      <c r="B2186" s="111"/>
      <c r="C2186" s="111"/>
      <c r="D2186" s="112"/>
      <c r="J2186" s="8"/>
      <c r="K2186" s="8"/>
      <c r="L2186" s="8"/>
      <c r="M2186" s="8"/>
      <c r="N2186" s="8"/>
      <c r="O2186" s="8"/>
      <c r="P2186" s="8"/>
    </row>
    <row r="2187" spans="1:16" s="7" customFormat="1" ht="42.75" customHeight="1" thickBot="1">
      <c r="A2187" s="113" t="s">
        <v>18</v>
      </c>
      <c r="B2187" s="114"/>
      <c r="C2187" s="114"/>
      <c r="D2187" s="115"/>
      <c r="J2187" s="8"/>
      <c r="K2187" s="8"/>
      <c r="L2187" s="8"/>
      <c r="M2187" s="8"/>
      <c r="N2187" s="8"/>
      <c r="O2187" s="8"/>
      <c r="P2187" s="8"/>
    </row>
    <row r="2188" spans="1:16" s="7" customFormat="1" ht="42.75" customHeight="1" thickBot="1">
      <c r="A2188" s="126" t="s">
        <v>19</v>
      </c>
      <c r="B2188" s="127"/>
      <c r="C2188" s="127"/>
      <c r="D2188" s="128"/>
      <c r="J2188" s="8"/>
      <c r="K2188" s="8"/>
      <c r="L2188" s="8"/>
      <c r="M2188" s="8"/>
      <c r="N2188" s="8"/>
      <c r="O2188" s="8"/>
      <c r="P2188" s="8"/>
    </row>
    <row r="2189" spans="1:16" s="7" customFormat="1" ht="42.75" customHeight="1" thickBot="1">
      <c r="A2189" s="123" t="s">
        <v>11</v>
      </c>
      <c r="B2189" s="124"/>
      <c r="C2189" s="125" t="s">
        <v>603</v>
      </c>
      <c r="D2189" s="124"/>
      <c r="J2189" s="8"/>
      <c r="K2189" s="8"/>
      <c r="L2189" s="8"/>
      <c r="M2189" s="8"/>
      <c r="N2189" s="8"/>
      <c r="O2189" s="8"/>
      <c r="P2189" s="8"/>
    </row>
    <row r="2190" spans="1:16" s="7" customFormat="1" ht="42.75" customHeight="1" thickBot="1">
      <c r="A2190" s="1" t="s">
        <v>686</v>
      </c>
      <c r="B2190" s="26" t="s">
        <v>1</v>
      </c>
      <c r="C2190" s="90" t="s">
        <v>276</v>
      </c>
      <c r="D2190" s="91"/>
      <c r="J2190" s="8"/>
      <c r="K2190" s="8"/>
      <c r="L2190" s="8"/>
      <c r="M2190" s="8"/>
      <c r="N2190" s="8"/>
      <c r="O2190" s="8"/>
      <c r="P2190" s="8"/>
    </row>
    <row r="2191" spans="1:16" s="7" customFormat="1" ht="42.75" customHeight="1" thickBot="1">
      <c r="A2191" s="26"/>
      <c r="B2191" s="26" t="s">
        <v>0</v>
      </c>
      <c r="C2191" s="5" t="s">
        <v>687</v>
      </c>
      <c r="D2191" s="4" t="s">
        <v>2</v>
      </c>
      <c r="J2191" s="8"/>
      <c r="K2191" s="8"/>
      <c r="L2191" s="8"/>
      <c r="M2191" s="8"/>
      <c r="N2191" s="8"/>
      <c r="O2191" s="8"/>
      <c r="P2191" s="8"/>
    </row>
    <row r="2192" spans="1:16" s="7" customFormat="1" ht="42.75" customHeight="1" thickBot="1">
      <c r="A2192" s="92">
        <v>806</v>
      </c>
      <c r="B2192" s="93"/>
      <c r="C2192" s="94" t="s">
        <v>3</v>
      </c>
      <c r="D2192" s="95"/>
      <c r="J2192" s="8"/>
      <c r="K2192" s="8"/>
      <c r="L2192" s="8"/>
      <c r="M2192" s="8"/>
      <c r="N2192" s="8"/>
      <c r="O2192" s="8"/>
      <c r="P2192" s="8"/>
    </row>
    <row r="2193" spans="1:16" s="7" customFormat="1" ht="42.75" customHeight="1" thickBot="1">
      <c r="A2193" s="92">
        <v>806</v>
      </c>
      <c r="B2193" s="93"/>
      <c r="C2193" s="96" t="s">
        <v>4</v>
      </c>
      <c r="D2193" s="97"/>
      <c r="J2193" s="8"/>
      <c r="K2193" s="8"/>
      <c r="L2193" s="8"/>
      <c r="M2193" s="8"/>
      <c r="N2193" s="8"/>
      <c r="O2193" s="8"/>
      <c r="P2193" s="8"/>
    </row>
    <row r="2194" spans="1:16" s="7" customFormat="1" ht="42.75" customHeight="1" thickBot="1">
      <c r="A2194" s="98">
        <f>A2193-A2192</f>
        <v>0</v>
      </c>
      <c r="B2194" s="99"/>
      <c r="C2194" s="100" t="s">
        <v>5</v>
      </c>
      <c r="D2194" s="97"/>
      <c r="J2194" s="8"/>
      <c r="K2194" s="8"/>
      <c r="L2194" s="8"/>
      <c r="M2194" s="8"/>
      <c r="N2194" s="8"/>
      <c r="O2194" s="8"/>
      <c r="P2194" s="8"/>
    </row>
    <row r="2195" spans="1:16" s="7" customFormat="1" ht="42.75" customHeight="1" thickBot="1">
      <c r="A2195" s="101">
        <v>62</v>
      </c>
      <c r="B2195" s="102"/>
      <c r="C2195" s="96" t="s">
        <v>6</v>
      </c>
      <c r="D2195" s="97"/>
      <c r="J2195" s="8"/>
      <c r="K2195" s="8"/>
      <c r="L2195" s="8"/>
      <c r="M2195" s="8"/>
      <c r="N2195" s="8"/>
      <c r="O2195" s="8"/>
      <c r="P2195" s="8"/>
    </row>
    <row r="2196" spans="1:16" s="7" customFormat="1" ht="42.75" customHeight="1" thickBot="1">
      <c r="A2196" s="103"/>
      <c r="B2196" s="104"/>
      <c r="C2196" s="96" t="s">
        <v>21</v>
      </c>
      <c r="D2196" s="97"/>
      <c r="J2196" s="8"/>
      <c r="K2196" s="8"/>
      <c r="L2196" s="8"/>
      <c r="M2196" s="8"/>
      <c r="N2196" s="8"/>
      <c r="O2196" s="8"/>
      <c r="P2196" s="8"/>
    </row>
    <row r="2197" spans="1:16" s="7" customFormat="1" ht="42.75" customHeight="1" thickBot="1">
      <c r="A2197" s="105">
        <f>A2195*A2194</f>
        <v>0</v>
      </c>
      <c r="B2197" s="106"/>
      <c r="C2197" s="96" t="s">
        <v>7</v>
      </c>
      <c r="D2197" s="97"/>
      <c r="J2197" s="8"/>
      <c r="K2197" s="8"/>
      <c r="L2197" s="8"/>
      <c r="M2197" s="8"/>
      <c r="N2197" s="8"/>
      <c r="O2197" s="8"/>
      <c r="P2197" s="8"/>
    </row>
    <row r="2198" spans="1:16" s="7" customFormat="1" ht="42.75" customHeight="1" thickBot="1">
      <c r="A2198" s="107" t="s">
        <v>17</v>
      </c>
      <c r="B2198" s="108"/>
      <c r="C2198" s="108"/>
      <c r="D2198" s="109"/>
      <c r="J2198" s="8"/>
      <c r="K2198" s="8"/>
      <c r="L2198" s="8"/>
      <c r="M2198" s="8"/>
      <c r="N2198" s="8"/>
      <c r="O2198" s="8"/>
      <c r="P2198" s="8"/>
    </row>
    <row r="2199" spans="1:16" s="7" customFormat="1" ht="42.75" customHeight="1" thickBot="1">
      <c r="A2199" s="116" t="s">
        <v>20</v>
      </c>
      <c r="B2199" s="117"/>
      <c r="C2199" s="117"/>
      <c r="D2199" s="118"/>
      <c r="J2199" s="8"/>
      <c r="K2199" s="8"/>
      <c r="L2199" s="8"/>
      <c r="M2199" s="8"/>
      <c r="N2199" s="8"/>
      <c r="O2199" s="8"/>
      <c r="P2199" s="8"/>
    </row>
    <row r="2200" spans="1:16" s="7" customFormat="1" ht="42.75" customHeight="1" thickBot="1">
      <c r="A2200" s="113" t="s">
        <v>18</v>
      </c>
      <c r="B2200" s="114"/>
      <c r="C2200" s="114"/>
      <c r="D2200" s="115"/>
      <c r="J2200" s="8"/>
      <c r="K2200" s="8"/>
      <c r="L2200" s="8"/>
      <c r="M2200" s="8"/>
      <c r="N2200" s="8"/>
      <c r="O2200" s="8"/>
      <c r="P2200" s="8"/>
    </row>
    <row r="2201" spans="1:16" s="7" customFormat="1" ht="42.75" customHeight="1" thickBot="1">
      <c r="A2201" s="119"/>
      <c r="B2201" s="119"/>
      <c r="C2201" s="119"/>
      <c r="D2201" s="119"/>
      <c r="J2201" s="8"/>
      <c r="K2201" s="8"/>
      <c r="L2201" s="8"/>
      <c r="M2201" s="8"/>
      <c r="N2201" s="8"/>
      <c r="O2201" s="8"/>
      <c r="P2201" s="8"/>
    </row>
    <row r="2202" spans="1:16" s="7" customFormat="1" ht="42.75" customHeight="1" thickBot="1">
      <c r="A2202" s="126" t="s">
        <v>19</v>
      </c>
      <c r="B2202" s="127"/>
      <c r="C2202" s="127"/>
      <c r="D2202" s="128"/>
      <c r="J2202" s="8"/>
      <c r="K2202" s="8"/>
      <c r="L2202" s="8"/>
      <c r="M2202" s="8"/>
      <c r="N2202" s="8"/>
      <c r="O2202" s="8"/>
      <c r="P2202" s="8"/>
    </row>
    <row r="2203" spans="1:16" s="7" customFormat="1" ht="42.75" customHeight="1" thickBot="1">
      <c r="A2203" s="123" t="s">
        <v>11</v>
      </c>
      <c r="B2203" s="124"/>
      <c r="C2203" s="125" t="s">
        <v>603</v>
      </c>
      <c r="D2203" s="124"/>
      <c r="J2203" s="8"/>
      <c r="K2203" s="8"/>
      <c r="L2203" s="8"/>
      <c r="M2203" s="8"/>
      <c r="N2203" s="8"/>
      <c r="O2203" s="8"/>
      <c r="P2203" s="8"/>
    </row>
    <row r="2204" spans="1:16" s="7" customFormat="1" ht="42.75" customHeight="1" thickBot="1">
      <c r="A2204" s="1" t="s">
        <v>686</v>
      </c>
      <c r="B2204" s="26" t="s">
        <v>1</v>
      </c>
      <c r="C2204" s="90" t="s">
        <v>276</v>
      </c>
      <c r="D2204" s="91"/>
      <c r="J2204" s="8"/>
      <c r="K2204" s="8"/>
      <c r="L2204" s="8"/>
      <c r="M2204" s="8"/>
      <c r="N2204" s="8"/>
      <c r="O2204" s="8"/>
      <c r="P2204" s="8"/>
    </row>
    <row r="2205" spans="1:16" s="7" customFormat="1" ht="42.75" customHeight="1" thickBot="1">
      <c r="A2205" s="26"/>
      <c r="B2205" s="26" t="s">
        <v>0</v>
      </c>
      <c r="C2205" s="5" t="s">
        <v>687</v>
      </c>
      <c r="D2205" s="4" t="s">
        <v>2</v>
      </c>
      <c r="J2205" s="8"/>
      <c r="K2205" s="8"/>
      <c r="L2205" s="8"/>
      <c r="M2205" s="8"/>
      <c r="N2205" s="8"/>
      <c r="O2205" s="8"/>
      <c r="P2205" s="8"/>
    </row>
    <row r="2206" spans="1:16" s="7" customFormat="1" ht="42.75" customHeight="1" thickBot="1">
      <c r="A2206" s="92">
        <v>800</v>
      </c>
      <c r="B2206" s="93"/>
      <c r="C2206" s="94" t="s">
        <v>3</v>
      </c>
      <c r="D2206" s="95"/>
      <c r="J2206" s="8"/>
      <c r="K2206" s="8"/>
      <c r="L2206" s="8"/>
      <c r="M2206" s="8"/>
      <c r="N2206" s="8"/>
      <c r="O2206" s="8"/>
      <c r="P2206" s="8"/>
    </row>
    <row r="2207" spans="1:16" s="7" customFormat="1" ht="42.75" customHeight="1" thickBot="1">
      <c r="A2207" s="92">
        <v>806</v>
      </c>
      <c r="B2207" s="93"/>
      <c r="C2207" s="96" t="s">
        <v>4</v>
      </c>
      <c r="D2207" s="97"/>
      <c r="J2207" s="8"/>
      <c r="K2207" s="8"/>
      <c r="L2207" s="8"/>
      <c r="M2207" s="8"/>
      <c r="N2207" s="8"/>
      <c r="O2207" s="8"/>
      <c r="P2207" s="8"/>
    </row>
    <row r="2208" spans="1:16" s="7" customFormat="1" ht="42.75" customHeight="1" thickBot="1">
      <c r="A2208" s="98">
        <v>10</v>
      </c>
      <c r="B2208" s="99"/>
      <c r="C2208" s="100" t="s">
        <v>5</v>
      </c>
      <c r="D2208" s="97"/>
      <c r="J2208" s="8"/>
      <c r="K2208" s="8"/>
      <c r="L2208" s="8"/>
      <c r="M2208" s="8"/>
      <c r="N2208" s="8"/>
      <c r="O2208" s="8"/>
      <c r="P2208" s="8"/>
    </row>
    <row r="2209" spans="1:16" s="7" customFormat="1" ht="42.75" customHeight="1" thickBot="1">
      <c r="A2209" s="101">
        <v>62</v>
      </c>
      <c r="B2209" s="102"/>
      <c r="C2209" s="96" t="s">
        <v>6</v>
      </c>
      <c r="D2209" s="97"/>
      <c r="J2209" s="8"/>
      <c r="K2209" s="8"/>
      <c r="L2209" s="8"/>
      <c r="M2209" s="8"/>
      <c r="N2209" s="8"/>
      <c r="O2209" s="8"/>
      <c r="P2209" s="8"/>
    </row>
    <row r="2210" spans="1:16" s="7" customFormat="1" ht="42.75" customHeight="1" thickBot="1">
      <c r="A2210" s="103"/>
      <c r="B2210" s="104"/>
      <c r="C2210" s="96" t="s">
        <v>21</v>
      </c>
      <c r="D2210" s="97"/>
      <c r="J2210" s="8"/>
      <c r="K2210" s="8"/>
      <c r="L2210" s="8"/>
      <c r="M2210" s="8"/>
      <c r="N2210" s="8"/>
      <c r="O2210" s="8"/>
      <c r="P2210" s="8"/>
    </row>
    <row r="2211" spans="1:16" s="7" customFormat="1" ht="42.75" customHeight="1" thickBot="1">
      <c r="A2211" s="105">
        <v>600</v>
      </c>
      <c r="B2211" s="106"/>
      <c r="C2211" s="96" t="s">
        <v>7</v>
      </c>
      <c r="D2211" s="97"/>
      <c r="J2211" s="8"/>
      <c r="K2211" s="8"/>
      <c r="L2211" s="8"/>
      <c r="M2211" s="8"/>
      <c r="N2211" s="8"/>
      <c r="O2211" s="8"/>
      <c r="P2211" s="8"/>
    </row>
    <row r="2212" spans="1:16" s="7" customFormat="1" ht="42.75" customHeight="1" thickBot="1">
      <c r="A2212" s="107" t="s">
        <v>17</v>
      </c>
      <c r="B2212" s="108"/>
      <c r="C2212" s="108"/>
      <c r="D2212" s="109"/>
      <c r="J2212" s="8"/>
      <c r="K2212" s="8"/>
      <c r="L2212" s="8"/>
      <c r="M2212" s="8"/>
      <c r="N2212" s="8"/>
      <c r="O2212" s="8"/>
      <c r="P2212" s="8"/>
    </row>
    <row r="2213" spans="1:16" s="7" customFormat="1" ht="42.75" customHeight="1" thickBot="1">
      <c r="A2213" s="110" t="s">
        <v>20</v>
      </c>
      <c r="B2213" s="111"/>
      <c r="C2213" s="111"/>
      <c r="D2213" s="112"/>
      <c r="J2213" s="8"/>
      <c r="K2213" s="8"/>
      <c r="L2213" s="8"/>
      <c r="M2213" s="8"/>
      <c r="N2213" s="8"/>
      <c r="O2213" s="8"/>
      <c r="P2213" s="8"/>
    </row>
    <row r="2214" spans="1:16" s="7" customFormat="1" ht="42.75" customHeight="1" thickBot="1">
      <c r="A2214" s="113" t="s">
        <v>18</v>
      </c>
      <c r="B2214" s="114"/>
      <c r="C2214" s="114"/>
      <c r="D2214" s="115"/>
      <c r="J2214" s="8"/>
      <c r="K2214" s="8"/>
      <c r="L2214" s="8"/>
      <c r="M2214" s="8"/>
      <c r="N2214" s="8"/>
      <c r="O2214" s="8"/>
      <c r="P2214" s="8"/>
    </row>
    <row r="2215" spans="1:16" s="7" customFormat="1" ht="42.75" customHeight="1" thickBot="1">
      <c r="A2215" s="126" t="s">
        <v>19</v>
      </c>
      <c r="B2215" s="127"/>
      <c r="C2215" s="127"/>
      <c r="D2215" s="128"/>
      <c r="J2215" s="8"/>
      <c r="K2215" s="8"/>
      <c r="L2215" s="8"/>
      <c r="M2215" s="8"/>
      <c r="N2215" s="8"/>
      <c r="O2215" s="8"/>
      <c r="P2215" s="8"/>
    </row>
    <row r="2216" spans="1:16" s="7" customFormat="1" ht="42.75" customHeight="1" thickBot="1">
      <c r="A2216" s="123" t="s">
        <v>11</v>
      </c>
      <c r="B2216" s="124"/>
      <c r="C2216" s="125" t="s">
        <v>603</v>
      </c>
      <c r="D2216" s="124"/>
      <c r="J2216" s="8"/>
      <c r="K2216" s="8"/>
      <c r="L2216" s="8"/>
      <c r="M2216" s="8"/>
      <c r="N2216" s="8"/>
      <c r="O2216" s="8"/>
      <c r="P2216" s="8"/>
    </row>
    <row r="2217" spans="1:16" s="7" customFormat="1" ht="42.75" customHeight="1" thickBot="1">
      <c r="A2217" s="1" t="s">
        <v>686</v>
      </c>
      <c r="B2217" s="26" t="s">
        <v>1</v>
      </c>
      <c r="C2217" s="90" t="s">
        <v>72</v>
      </c>
      <c r="D2217" s="91"/>
      <c r="J2217" s="8"/>
      <c r="K2217" s="8"/>
      <c r="L2217" s="8"/>
      <c r="M2217" s="8"/>
      <c r="N2217" s="8"/>
      <c r="O2217" s="8"/>
      <c r="P2217" s="8"/>
    </row>
    <row r="2218" spans="1:16" s="7" customFormat="1" ht="42.75" customHeight="1" thickBot="1">
      <c r="A2218" s="26"/>
      <c r="B2218" s="26" t="s">
        <v>0</v>
      </c>
      <c r="C2218" s="5" t="s">
        <v>687</v>
      </c>
      <c r="D2218" s="4" t="s">
        <v>2</v>
      </c>
      <c r="J2218" s="8"/>
      <c r="K2218" s="8"/>
      <c r="L2218" s="8"/>
      <c r="M2218" s="8"/>
      <c r="N2218" s="8"/>
      <c r="O2218" s="8"/>
      <c r="P2218" s="8"/>
    </row>
    <row r="2219" spans="1:16" s="7" customFormat="1" ht="42.75" customHeight="1" thickBot="1">
      <c r="A2219" s="92">
        <v>1142</v>
      </c>
      <c r="B2219" s="93"/>
      <c r="C2219" s="94" t="s">
        <v>3</v>
      </c>
      <c r="D2219" s="95"/>
      <c r="J2219" s="8"/>
      <c r="K2219" s="8"/>
      <c r="L2219" s="8"/>
      <c r="M2219" s="8"/>
      <c r="N2219" s="8"/>
      <c r="O2219" s="8"/>
      <c r="P2219" s="8"/>
    </row>
    <row r="2220" spans="1:16" s="7" customFormat="1" ht="42.75" customHeight="1" thickBot="1">
      <c r="A2220" s="92">
        <v>1142</v>
      </c>
      <c r="B2220" s="93"/>
      <c r="C2220" s="96" t="s">
        <v>4</v>
      </c>
      <c r="D2220" s="97"/>
      <c r="J2220" s="8"/>
      <c r="K2220" s="8"/>
      <c r="L2220" s="8"/>
      <c r="M2220" s="8"/>
      <c r="N2220" s="8"/>
      <c r="O2220" s="8"/>
      <c r="P2220" s="8"/>
    </row>
    <row r="2221" spans="1:16" s="7" customFormat="1" ht="42.75" customHeight="1" thickBot="1">
      <c r="A2221" s="98">
        <f>A2220-A2219</f>
        <v>0</v>
      </c>
      <c r="B2221" s="99"/>
      <c r="C2221" s="100" t="s">
        <v>5</v>
      </c>
      <c r="D2221" s="97"/>
      <c r="J2221" s="8"/>
      <c r="K2221" s="8"/>
      <c r="L2221" s="8"/>
      <c r="M2221" s="8"/>
      <c r="N2221" s="8"/>
      <c r="O2221" s="8"/>
      <c r="P2221" s="8"/>
    </row>
    <row r="2222" spans="1:16" s="7" customFormat="1" ht="42.75" customHeight="1" thickBot="1">
      <c r="A2222" s="101">
        <v>62</v>
      </c>
      <c r="B2222" s="102"/>
      <c r="C2222" s="96" t="s">
        <v>6</v>
      </c>
      <c r="D2222" s="97"/>
      <c r="J2222" s="8"/>
      <c r="K2222" s="8"/>
      <c r="L2222" s="8"/>
      <c r="M2222" s="8"/>
      <c r="N2222" s="8"/>
      <c r="O2222" s="8"/>
      <c r="P2222" s="8"/>
    </row>
    <row r="2223" spans="1:16" s="7" customFormat="1" ht="42.75" customHeight="1" thickBot="1">
      <c r="A2223" s="103"/>
      <c r="B2223" s="104"/>
      <c r="C2223" s="96" t="s">
        <v>21</v>
      </c>
      <c r="D2223" s="97"/>
      <c r="J2223" s="8"/>
      <c r="K2223" s="8"/>
      <c r="L2223" s="8"/>
      <c r="M2223" s="8"/>
      <c r="N2223" s="8"/>
      <c r="O2223" s="8"/>
      <c r="P2223" s="8"/>
    </row>
    <row r="2224" spans="1:16" s="7" customFormat="1" ht="42.75" customHeight="1" thickBot="1">
      <c r="A2224" s="105">
        <f>A2222*A2221</f>
        <v>0</v>
      </c>
      <c r="B2224" s="106"/>
      <c r="C2224" s="96" t="s">
        <v>7</v>
      </c>
      <c r="D2224" s="97"/>
      <c r="J2224" s="8"/>
      <c r="K2224" s="8"/>
      <c r="L2224" s="8"/>
      <c r="M2224" s="8"/>
      <c r="N2224" s="8"/>
      <c r="O2224" s="8"/>
      <c r="P2224" s="8"/>
    </row>
    <row r="2225" spans="1:16" s="7" customFormat="1" ht="42.75" customHeight="1" thickBot="1">
      <c r="A2225" s="107" t="s">
        <v>17</v>
      </c>
      <c r="B2225" s="108"/>
      <c r="C2225" s="108"/>
      <c r="D2225" s="109"/>
      <c r="J2225" s="8"/>
      <c r="K2225" s="8"/>
      <c r="L2225" s="8"/>
      <c r="M2225" s="8"/>
      <c r="N2225" s="8"/>
      <c r="O2225" s="8"/>
      <c r="P2225" s="8"/>
    </row>
    <row r="2226" spans="1:16" s="7" customFormat="1" ht="42.75" customHeight="1" thickBot="1">
      <c r="A2226" s="116" t="s">
        <v>20</v>
      </c>
      <c r="B2226" s="117"/>
      <c r="C2226" s="117"/>
      <c r="D2226" s="118"/>
      <c r="J2226" s="8"/>
      <c r="K2226" s="8"/>
      <c r="L2226" s="8"/>
      <c r="M2226" s="8"/>
      <c r="N2226" s="8"/>
      <c r="O2226" s="8"/>
      <c r="P2226" s="8"/>
    </row>
    <row r="2227" spans="1:16" s="7" customFormat="1" ht="42.75" customHeight="1" thickBot="1">
      <c r="A2227" s="113" t="s">
        <v>18</v>
      </c>
      <c r="B2227" s="114"/>
      <c r="C2227" s="114"/>
      <c r="D2227" s="115"/>
      <c r="J2227" s="8"/>
      <c r="K2227" s="8"/>
      <c r="L2227" s="8"/>
      <c r="M2227" s="8"/>
      <c r="N2227" s="8"/>
      <c r="O2227" s="8"/>
      <c r="P2227" s="8"/>
    </row>
    <row r="2228" spans="1:16" s="7" customFormat="1" ht="42.75" customHeight="1" thickBot="1">
      <c r="A2228" s="119"/>
      <c r="B2228" s="119"/>
      <c r="C2228" s="119"/>
      <c r="D2228" s="119"/>
      <c r="J2228" s="8"/>
      <c r="K2228" s="8"/>
      <c r="L2228" s="8"/>
      <c r="M2228" s="8"/>
      <c r="N2228" s="8"/>
      <c r="O2228" s="8"/>
      <c r="P2228" s="8"/>
    </row>
    <row r="2229" spans="1:16" s="7" customFormat="1" ht="42.75" customHeight="1" thickBot="1">
      <c r="A2229" s="126" t="s">
        <v>19</v>
      </c>
      <c r="B2229" s="127"/>
      <c r="C2229" s="127"/>
      <c r="D2229" s="128"/>
      <c r="J2229" s="8"/>
      <c r="K2229" s="8"/>
      <c r="L2229" s="8"/>
      <c r="M2229" s="8"/>
      <c r="N2229" s="8"/>
      <c r="O2229" s="8"/>
      <c r="P2229" s="8"/>
    </row>
    <row r="2230" spans="1:16" s="7" customFormat="1" ht="42.75" customHeight="1" thickBot="1">
      <c r="A2230" s="123" t="s">
        <v>11</v>
      </c>
      <c r="B2230" s="124"/>
      <c r="C2230" s="125" t="s">
        <v>603</v>
      </c>
      <c r="D2230" s="124"/>
      <c r="J2230" s="8"/>
      <c r="K2230" s="8"/>
      <c r="L2230" s="8"/>
      <c r="M2230" s="8"/>
      <c r="N2230" s="8"/>
      <c r="O2230" s="8"/>
      <c r="P2230" s="8"/>
    </row>
    <row r="2231" spans="1:16" s="7" customFormat="1" ht="42.75" customHeight="1" thickBot="1">
      <c r="A2231" s="1" t="s">
        <v>686</v>
      </c>
      <c r="B2231" s="26" t="s">
        <v>1</v>
      </c>
      <c r="C2231" s="90" t="s">
        <v>72</v>
      </c>
      <c r="D2231" s="91"/>
      <c r="J2231" s="8"/>
      <c r="K2231" s="8"/>
      <c r="L2231" s="8"/>
      <c r="M2231" s="8"/>
      <c r="N2231" s="8"/>
      <c r="O2231" s="8"/>
      <c r="P2231" s="8"/>
    </row>
    <row r="2232" spans="1:16" s="7" customFormat="1" ht="42.75" customHeight="1" thickBot="1">
      <c r="A2232" s="26"/>
      <c r="B2232" s="26" t="s">
        <v>0</v>
      </c>
      <c r="C2232" s="5" t="s">
        <v>687</v>
      </c>
      <c r="D2232" s="4" t="s">
        <v>2</v>
      </c>
      <c r="J2232" s="8"/>
      <c r="K2232" s="8"/>
      <c r="L2232" s="8"/>
      <c r="M2232" s="8"/>
      <c r="N2232" s="8"/>
      <c r="O2232" s="8"/>
      <c r="P2232" s="8"/>
    </row>
    <row r="2233" spans="1:16" s="7" customFormat="1" ht="42.75" customHeight="1" thickBot="1">
      <c r="A2233" s="92">
        <v>1140</v>
      </c>
      <c r="B2233" s="93"/>
      <c r="C2233" s="94" t="s">
        <v>3</v>
      </c>
      <c r="D2233" s="95"/>
      <c r="J2233" s="8"/>
      <c r="K2233" s="8"/>
      <c r="L2233" s="8"/>
      <c r="M2233" s="8"/>
      <c r="N2233" s="8"/>
      <c r="O2233" s="8"/>
      <c r="P2233" s="8"/>
    </row>
    <row r="2234" spans="1:16" s="7" customFormat="1" ht="42.75" customHeight="1" thickBot="1">
      <c r="A2234" s="92">
        <v>1142</v>
      </c>
      <c r="B2234" s="93"/>
      <c r="C2234" s="96" t="s">
        <v>4</v>
      </c>
      <c r="D2234" s="97"/>
      <c r="J2234" s="8"/>
      <c r="K2234" s="8"/>
      <c r="L2234" s="8"/>
      <c r="M2234" s="8"/>
      <c r="N2234" s="8"/>
      <c r="O2234" s="8"/>
      <c r="P2234" s="8"/>
    </row>
    <row r="2235" spans="1:16" s="7" customFormat="1" ht="42.75" customHeight="1" thickBot="1">
      <c r="A2235" s="98">
        <v>10</v>
      </c>
      <c r="B2235" s="99"/>
      <c r="C2235" s="100" t="s">
        <v>5</v>
      </c>
      <c r="D2235" s="97"/>
      <c r="J2235" s="8"/>
      <c r="K2235" s="8"/>
      <c r="L2235" s="8"/>
      <c r="M2235" s="8"/>
      <c r="N2235" s="8"/>
      <c r="O2235" s="8"/>
      <c r="P2235" s="8"/>
    </row>
    <row r="2236" spans="1:16" s="7" customFormat="1" ht="42.75" customHeight="1" thickBot="1">
      <c r="A2236" s="101">
        <v>62</v>
      </c>
      <c r="B2236" s="102"/>
      <c r="C2236" s="96" t="s">
        <v>6</v>
      </c>
      <c r="D2236" s="97"/>
      <c r="J2236" s="8"/>
      <c r="K2236" s="8"/>
      <c r="L2236" s="8"/>
      <c r="M2236" s="8"/>
      <c r="N2236" s="8"/>
      <c r="O2236" s="8"/>
      <c r="P2236" s="8"/>
    </row>
    <row r="2237" spans="1:16" s="7" customFormat="1" ht="42.75" customHeight="1" thickBot="1">
      <c r="A2237" s="103"/>
      <c r="B2237" s="104"/>
      <c r="C2237" s="96" t="s">
        <v>21</v>
      </c>
      <c r="D2237" s="97"/>
      <c r="J2237" s="8"/>
      <c r="K2237" s="8"/>
      <c r="L2237" s="8"/>
      <c r="M2237" s="8"/>
      <c r="N2237" s="8"/>
      <c r="O2237" s="8"/>
      <c r="P2237" s="8"/>
    </row>
    <row r="2238" spans="1:16" s="7" customFormat="1" ht="42.75" customHeight="1" thickBot="1">
      <c r="A2238" s="105">
        <v>600</v>
      </c>
      <c r="B2238" s="106"/>
      <c r="C2238" s="96" t="s">
        <v>7</v>
      </c>
      <c r="D2238" s="97"/>
      <c r="J2238" s="8"/>
      <c r="K2238" s="8"/>
      <c r="L2238" s="8"/>
      <c r="M2238" s="8"/>
      <c r="N2238" s="8"/>
      <c r="O2238" s="8"/>
      <c r="P2238" s="8"/>
    </row>
    <row r="2239" spans="1:16" s="7" customFormat="1" ht="42.75" customHeight="1" thickBot="1">
      <c r="A2239" s="107" t="s">
        <v>17</v>
      </c>
      <c r="B2239" s="108"/>
      <c r="C2239" s="108"/>
      <c r="D2239" s="109"/>
      <c r="J2239" s="8"/>
      <c r="K2239" s="8"/>
      <c r="L2239" s="8"/>
      <c r="M2239" s="8"/>
      <c r="N2239" s="8"/>
      <c r="O2239" s="8"/>
      <c r="P2239" s="8"/>
    </row>
    <row r="2240" spans="1:16" s="7" customFormat="1" ht="42.75" customHeight="1" thickBot="1">
      <c r="A2240" s="110" t="s">
        <v>20</v>
      </c>
      <c r="B2240" s="111"/>
      <c r="C2240" s="111"/>
      <c r="D2240" s="112"/>
      <c r="J2240" s="8"/>
      <c r="K2240" s="8"/>
      <c r="L2240" s="8"/>
      <c r="M2240" s="8"/>
      <c r="N2240" s="8"/>
      <c r="O2240" s="8"/>
      <c r="P2240" s="8"/>
    </row>
    <row r="2241" spans="1:16" s="7" customFormat="1" ht="42.75" customHeight="1" thickBot="1">
      <c r="A2241" s="113" t="s">
        <v>18</v>
      </c>
      <c r="B2241" s="114"/>
      <c r="C2241" s="114"/>
      <c r="D2241" s="115"/>
      <c r="J2241" s="8"/>
      <c r="K2241" s="8"/>
      <c r="L2241" s="8"/>
      <c r="M2241" s="8"/>
      <c r="N2241" s="8"/>
      <c r="O2241" s="8"/>
      <c r="P2241" s="8"/>
    </row>
    <row r="2242" spans="1:16" s="7" customFormat="1" ht="42.75" customHeight="1" thickBot="1">
      <c r="A2242" s="126" t="s">
        <v>19</v>
      </c>
      <c r="B2242" s="127"/>
      <c r="C2242" s="127"/>
      <c r="D2242" s="128"/>
      <c r="J2242" s="8"/>
      <c r="K2242" s="8"/>
      <c r="L2242" s="8"/>
      <c r="M2242" s="8"/>
      <c r="N2242" s="8"/>
      <c r="O2242" s="8"/>
      <c r="P2242" s="8"/>
    </row>
    <row r="2243" spans="1:16" s="7" customFormat="1" ht="42.75" customHeight="1" thickBot="1">
      <c r="A2243" s="123" t="s">
        <v>11</v>
      </c>
      <c r="B2243" s="124"/>
      <c r="C2243" s="125" t="s">
        <v>603</v>
      </c>
      <c r="D2243" s="124"/>
      <c r="J2243" s="8"/>
      <c r="K2243" s="8"/>
      <c r="L2243" s="8"/>
      <c r="M2243" s="8"/>
      <c r="N2243" s="8"/>
      <c r="O2243" s="8"/>
      <c r="P2243" s="8"/>
    </row>
    <row r="2244" spans="1:16" s="7" customFormat="1" ht="42.75" customHeight="1" thickBot="1">
      <c r="A2244" s="1" t="s">
        <v>686</v>
      </c>
      <c r="B2244" s="26" t="s">
        <v>1</v>
      </c>
      <c r="C2244" s="90" t="s">
        <v>277</v>
      </c>
      <c r="D2244" s="91"/>
      <c r="J2244" s="8"/>
      <c r="K2244" s="8"/>
      <c r="L2244" s="8"/>
      <c r="M2244" s="8"/>
      <c r="N2244" s="8"/>
      <c r="O2244" s="8"/>
      <c r="P2244" s="8"/>
    </row>
    <row r="2245" spans="1:16" s="7" customFormat="1" ht="42.75" customHeight="1" thickBot="1">
      <c r="A2245" s="26"/>
      <c r="B2245" s="26" t="s">
        <v>0</v>
      </c>
      <c r="C2245" s="5" t="s">
        <v>687</v>
      </c>
      <c r="D2245" s="4" t="s">
        <v>2</v>
      </c>
      <c r="J2245" s="8"/>
      <c r="K2245" s="8"/>
      <c r="L2245" s="8"/>
      <c r="M2245" s="8"/>
      <c r="N2245" s="8"/>
      <c r="O2245" s="8"/>
      <c r="P2245" s="8"/>
    </row>
    <row r="2246" spans="1:16" s="7" customFormat="1" ht="42.75" customHeight="1" thickBot="1">
      <c r="A2246" s="92">
        <v>625</v>
      </c>
      <c r="B2246" s="93"/>
      <c r="C2246" s="94" t="s">
        <v>3</v>
      </c>
      <c r="D2246" s="95"/>
      <c r="J2246" s="8"/>
      <c r="K2246" s="8"/>
      <c r="L2246" s="8"/>
      <c r="M2246" s="8"/>
      <c r="N2246" s="8"/>
      <c r="O2246" s="8"/>
      <c r="P2246" s="8"/>
    </row>
    <row r="2247" spans="1:16" s="7" customFormat="1" ht="42.75" customHeight="1" thickBot="1">
      <c r="A2247" s="92">
        <v>625</v>
      </c>
      <c r="B2247" s="93"/>
      <c r="C2247" s="96" t="s">
        <v>4</v>
      </c>
      <c r="D2247" s="97"/>
      <c r="J2247" s="8"/>
      <c r="K2247" s="8"/>
      <c r="L2247" s="8"/>
      <c r="M2247" s="8"/>
      <c r="N2247" s="8"/>
      <c r="O2247" s="8"/>
      <c r="P2247" s="8"/>
    </row>
    <row r="2248" spans="1:16" s="7" customFormat="1" ht="42.75" customHeight="1" thickBot="1">
      <c r="A2248" s="98">
        <f>A2247-A2246</f>
        <v>0</v>
      </c>
      <c r="B2248" s="99"/>
      <c r="C2248" s="100" t="s">
        <v>5</v>
      </c>
      <c r="D2248" s="97"/>
      <c r="J2248" s="8"/>
      <c r="K2248" s="8"/>
      <c r="L2248" s="8"/>
      <c r="M2248" s="8"/>
      <c r="N2248" s="8"/>
      <c r="O2248" s="8"/>
      <c r="P2248" s="8"/>
    </row>
    <row r="2249" spans="1:16" s="7" customFormat="1" ht="42.75" customHeight="1" thickBot="1">
      <c r="A2249" s="101">
        <v>62</v>
      </c>
      <c r="B2249" s="102"/>
      <c r="C2249" s="96" t="s">
        <v>6</v>
      </c>
      <c r="D2249" s="97"/>
      <c r="J2249" s="8"/>
      <c r="K2249" s="8"/>
      <c r="L2249" s="8"/>
      <c r="M2249" s="8"/>
      <c r="N2249" s="8"/>
      <c r="O2249" s="8"/>
      <c r="P2249" s="8"/>
    </row>
    <row r="2250" spans="1:16" s="7" customFormat="1" ht="42.75" customHeight="1" thickBot="1">
      <c r="A2250" s="103"/>
      <c r="B2250" s="104"/>
      <c r="C2250" s="96" t="s">
        <v>21</v>
      </c>
      <c r="D2250" s="97"/>
      <c r="J2250" s="8"/>
      <c r="K2250" s="8"/>
      <c r="L2250" s="8"/>
      <c r="M2250" s="8"/>
      <c r="N2250" s="8"/>
      <c r="O2250" s="8"/>
      <c r="P2250" s="8"/>
    </row>
    <row r="2251" spans="1:16" s="7" customFormat="1" ht="42.75" customHeight="1" thickBot="1">
      <c r="A2251" s="105">
        <f>A2249*A2248</f>
        <v>0</v>
      </c>
      <c r="B2251" s="106"/>
      <c r="C2251" s="96" t="s">
        <v>7</v>
      </c>
      <c r="D2251" s="97"/>
      <c r="J2251" s="8"/>
      <c r="K2251" s="8"/>
      <c r="L2251" s="8"/>
      <c r="M2251" s="8"/>
      <c r="N2251" s="8"/>
      <c r="O2251" s="8"/>
      <c r="P2251" s="8"/>
    </row>
    <row r="2252" spans="1:16" s="7" customFormat="1" ht="42.75" customHeight="1" thickBot="1">
      <c r="A2252" s="107" t="s">
        <v>17</v>
      </c>
      <c r="B2252" s="108"/>
      <c r="C2252" s="108"/>
      <c r="D2252" s="109"/>
      <c r="J2252" s="8"/>
      <c r="K2252" s="8"/>
      <c r="L2252" s="8"/>
      <c r="M2252" s="8"/>
      <c r="N2252" s="8"/>
      <c r="O2252" s="8"/>
      <c r="P2252" s="8"/>
    </row>
    <row r="2253" spans="1:16" s="7" customFormat="1" ht="42.75" customHeight="1" thickBot="1">
      <c r="A2253" s="116" t="s">
        <v>20</v>
      </c>
      <c r="B2253" s="117"/>
      <c r="C2253" s="117"/>
      <c r="D2253" s="118"/>
      <c r="J2253" s="8"/>
      <c r="K2253" s="8"/>
      <c r="L2253" s="8"/>
      <c r="M2253" s="8"/>
      <c r="N2253" s="8"/>
      <c r="O2253" s="8"/>
      <c r="P2253" s="8"/>
    </row>
    <row r="2254" spans="1:16" s="7" customFormat="1" ht="42.75" customHeight="1" thickBot="1">
      <c r="A2254" s="113" t="s">
        <v>18</v>
      </c>
      <c r="B2254" s="114"/>
      <c r="C2254" s="114"/>
      <c r="D2254" s="115"/>
      <c r="J2254" s="8"/>
      <c r="K2254" s="8"/>
      <c r="L2254" s="8"/>
      <c r="M2254" s="8"/>
      <c r="N2254" s="8"/>
      <c r="O2254" s="8"/>
      <c r="P2254" s="8"/>
    </row>
    <row r="2255" spans="1:16" s="7" customFormat="1" ht="42.75" customHeight="1" thickBot="1">
      <c r="A2255" s="119"/>
      <c r="B2255" s="119"/>
      <c r="C2255" s="119"/>
      <c r="D2255" s="119"/>
      <c r="J2255" s="8"/>
      <c r="K2255" s="8"/>
      <c r="L2255" s="8"/>
      <c r="M2255" s="8"/>
      <c r="N2255" s="8"/>
      <c r="O2255" s="8"/>
      <c r="P2255" s="8"/>
    </row>
    <row r="2256" spans="1:16" s="7" customFormat="1" ht="42.75" customHeight="1" thickBot="1">
      <c r="A2256" s="126" t="s">
        <v>19</v>
      </c>
      <c r="B2256" s="127"/>
      <c r="C2256" s="127"/>
      <c r="D2256" s="128"/>
      <c r="J2256" s="8"/>
      <c r="K2256" s="8"/>
      <c r="L2256" s="8"/>
      <c r="M2256" s="8"/>
      <c r="N2256" s="8"/>
      <c r="O2256" s="8"/>
      <c r="P2256" s="8"/>
    </row>
    <row r="2257" spans="1:16" s="7" customFormat="1" ht="42.75" customHeight="1" thickBot="1">
      <c r="A2257" s="123" t="s">
        <v>11</v>
      </c>
      <c r="B2257" s="124"/>
      <c r="C2257" s="125" t="s">
        <v>603</v>
      </c>
      <c r="D2257" s="124"/>
      <c r="J2257" s="8"/>
      <c r="K2257" s="8"/>
      <c r="L2257" s="8"/>
      <c r="M2257" s="8"/>
      <c r="N2257" s="8"/>
      <c r="O2257" s="8"/>
      <c r="P2257" s="8"/>
    </row>
    <row r="2258" spans="1:16" s="7" customFormat="1" ht="42.75" customHeight="1" thickBot="1">
      <c r="A2258" s="1" t="s">
        <v>686</v>
      </c>
      <c r="B2258" s="26" t="s">
        <v>1</v>
      </c>
      <c r="C2258" s="90" t="s">
        <v>277</v>
      </c>
      <c r="D2258" s="91"/>
      <c r="J2258" s="8"/>
      <c r="K2258" s="8"/>
      <c r="L2258" s="8"/>
      <c r="M2258" s="8"/>
      <c r="N2258" s="8"/>
      <c r="O2258" s="8"/>
      <c r="P2258" s="8"/>
    </row>
    <row r="2259" spans="1:16" s="7" customFormat="1" ht="42.75" customHeight="1" thickBot="1">
      <c r="A2259" s="26"/>
      <c r="B2259" s="26" t="s">
        <v>0</v>
      </c>
      <c r="C2259" s="5" t="s">
        <v>687</v>
      </c>
      <c r="D2259" s="4" t="s">
        <v>2</v>
      </c>
      <c r="J2259" s="8"/>
      <c r="K2259" s="8"/>
      <c r="L2259" s="8"/>
      <c r="M2259" s="8"/>
      <c r="N2259" s="8"/>
      <c r="O2259" s="8"/>
      <c r="P2259" s="8"/>
    </row>
    <row r="2260" spans="1:16" s="7" customFormat="1" ht="42.75" customHeight="1" thickBot="1">
      <c r="A2260" s="92">
        <v>605</v>
      </c>
      <c r="B2260" s="93"/>
      <c r="C2260" s="94" t="s">
        <v>3</v>
      </c>
      <c r="D2260" s="95"/>
      <c r="J2260" s="8"/>
      <c r="K2260" s="8"/>
      <c r="L2260" s="8"/>
      <c r="M2260" s="8"/>
      <c r="N2260" s="8"/>
      <c r="O2260" s="8"/>
      <c r="P2260" s="8"/>
    </row>
    <row r="2261" spans="1:16" s="7" customFormat="1" ht="42.75" customHeight="1" thickBot="1">
      <c r="A2261" s="92">
        <v>625</v>
      </c>
      <c r="B2261" s="93"/>
      <c r="C2261" s="96" t="s">
        <v>4</v>
      </c>
      <c r="D2261" s="97"/>
      <c r="J2261" s="8"/>
      <c r="K2261" s="8"/>
      <c r="L2261" s="8"/>
      <c r="M2261" s="8"/>
      <c r="N2261" s="8"/>
      <c r="O2261" s="8"/>
      <c r="P2261" s="8"/>
    </row>
    <row r="2262" spans="1:16" s="7" customFormat="1" ht="42.75" customHeight="1" thickBot="1">
      <c r="A2262" s="98">
        <f>A2261-A2260</f>
        <v>20</v>
      </c>
      <c r="B2262" s="99"/>
      <c r="C2262" s="100" t="s">
        <v>5</v>
      </c>
      <c r="D2262" s="97"/>
      <c r="J2262" s="8"/>
      <c r="K2262" s="8"/>
      <c r="L2262" s="8"/>
      <c r="M2262" s="8"/>
      <c r="N2262" s="8"/>
      <c r="O2262" s="8"/>
      <c r="P2262" s="8"/>
    </row>
    <row r="2263" spans="1:16" s="7" customFormat="1" ht="42.75" customHeight="1" thickBot="1">
      <c r="A2263" s="101">
        <v>62</v>
      </c>
      <c r="B2263" s="102"/>
      <c r="C2263" s="96" t="s">
        <v>6</v>
      </c>
      <c r="D2263" s="97"/>
      <c r="J2263" s="8"/>
      <c r="K2263" s="8"/>
      <c r="L2263" s="8"/>
      <c r="M2263" s="8"/>
      <c r="N2263" s="8"/>
      <c r="O2263" s="8"/>
      <c r="P2263" s="8"/>
    </row>
    <row r="2264" spans="1:16" s="7" customFormat="1" ht="42.75" customHeight="1" thickBot="1">
      <c r="A2264" s="103"/>
      <c r="B2264" s="104"/>
      <c r="C2264" s="96" t="s">
        <v>21</v>
      </c>
      <c r="D2264" s="97"/>
      <c r="J2264" s="8"/>
      <c r="K2264" s="8"/>
      <c r="L2264" s="8"/>
      <c r="M2264" s="8"/>
      <c r="N2264" s="8"/>
      <c r="O2264" s="8"/>
      <c r="P2264" s="8"/>
    </row>
    <row r="2265" spans="1:16" s="7" customFormat="1" ht="42.75" customHeight="1" thickBot="1">
      <c r="A2265" s="105">
        <v>1250</v>
      </c>
      <c r="B2265" s="106"/>
      <c r="C2265" s="96" t="s">
        <v>7</v>
      </c>
      <c r="D2265" s="97"/>
      <c r="J2265" s="8"/>
      <c r="K2265" s="8"/>
      <c r="L2265" s="8"/>
      <c r="M2265" s="8"/>
      <c r="N2265" s="8"/>
      <c r="O2265" s="8"/>
      <c r="P2265" s="8"/>
    </row>
    <row r="2266" spans="1:16" s="7" customFormat="1" ht="42.75" customHeight="1" thickBot="1">
      <c r="A2266" s="107" t="s">
        <v>17</v>
      </c>
      <c r="B2266" s="108"/>
      <c r="C2266" s="108"/>
      <c r="D2266" s="109"/>
      <c r="J2266" s="8"/>
      <c r="K2266" s="8"/>
      <c r="L2266" s="8"/>
      <c r="M2266" s="8"/>
      <c r="N2266" s="8"/>
      <c r="O2266" s="8"/>
      <c r="P2266" s="8"/>
    </row>
    <row r="2267" spans="1:16" s="7" customFormat="1" ht="42.75" customHeight="1" thickBot="1">
      <c r="A2267" s="110" t="s">
        <v>20</v>
      </c>
      <c r="B2267" s="111"/>
      <c r="C2267" s="111"/>
      <c r="D2267" s="112"/>
      <c r="J2267" s="8"/>
      <c r="K2267" s="8"/>
      <c r="L2267" s="8"/>
      <c r="M2267" s="8"/>
      <c r="N2267" s="8"/>
      <c r="O2267" s="8"/>
      <c r="P2267" s="8"/>
    </row>
    <row r="2268" spans="1:16" s="7" customFormat="1" ht="42.75" customHeight="1" thickBot="1">
      <c r="A2268" s="113" t="s">
        <v>18</v>
      </c>
      <c r="B2268" s="114"/>
      <c r="C2268" s="114"/>
      <c r="D2268" s="115"/>
      <c r="J2268" s="8"/>
      <c r="K2268" s="8"/>
      <c r="L2268" s="8"/>
      <c r="M2268" s="8"/>
      <c r="N2268" s="8"/>
      <c r="O2268" s="8"/>
      <c r="P2268" s="8"/>
    </row>
    <row r="2269" spans="1:16" s="7" customFormat="1" ht="42.75" customHeight="1" thickBot="1">
      <c r="A2269" s="126" t="s">
        <v>19</v>
      </c>
      <c r="B2269" s="127"/>
      <c r="C2269" s="127"/>
      <c r="D2269" s="128"/>
      <c r="J2269" s="8"/>
      <c r="K2269" s="8"/>
      <c r="L2269" s="8"/>
      <c r="M2269" s="8"/>
      <c r="N2269" s="8"/>
      <c r="O2269" s="8"/>
      <c r="P2269" s="8"/>
    </row>
    <row r="2270" spans="1:16" s="7" customFormat="1" ht="42.75" customHeight="1" thickBot="1">
      <c r="A2270" s="123" t="s">
        <v>11</v>
      </c>
      <c r="B2270" s="124"/>
      <c r="C2270" s="125" t="s">
        <v>603</v>
      </c>
      <c r="D2270" s="124"/>
      <c r="J2270" s="8"/>
      <c r="K2270" s="8"/>
      <c r="L2270" s="8"/>
      <c r="M2270" s="8"/>
      <c r="N2270" s="8"/>
      <c r="O2270" s="8"/>
      <c r="P2270" s="8"/>
    </row>
    <row r="2271" spans="1:16" s="7" customFormat="1" ht="42.75" customHeight="1" thickBot="1">
      <c r="A2271" s="1" t="s">
        <v>686</v>
      </c>
      <c r="B2271" s="26" t="s">
        <v>1</v>
      </c>
      <c r="C2271" s="90" t="s">
        <v>278</v>
      </c>
      <c r="D2271" s="91"/>
      <c r="J2271" s="8"/>
      <c r="K2271" s="8"/>
      <c r="L2271" s="8"/>
      <c r="M2271" s="8"/>
      <c r="N2271" s="8"/>
      <c r="O2271" s="8"/>
      <c r="P2271" s="8"/>
    </row>
    <row r="2272" spans="1:16" s="7" customFormat="1" ht="42.75" customHeight="1" thickBot="1">
      <c r="A2272" s="26"/>
      <c r="B2272" s="26" t="s">
        <v>0</v>
      </c>
      <c r="C2272" s="5" t="s">
        <v>687</v>
      </c>
      <c r="D2272" s="4" t="s">
        <v>2</v>
      </c>
      <c r="J2272" s="8"/>
      <c r="K2272" s="8"/>
      <c r="L2272" s="8"/>
      <c r="M2272" s="8"/>
      <c r="N2272" s="8"/>
      <c r="O2272" s="8"/>
      <c r="P2272" s="8"/>
    </row>
    <row r="2273" spans="1:16" s="7" customFormat="1" ht="42.75" customHeight="1" thickBot="1">
      <c r="A2273" s="92">
        <v>1316</v>
      </c>
      <c r="B2273" s="93"/>
      <c r="C2273" s="94" t="s">
        <v>3</v>
      </c>
      <c r="D2273" s="95"/>
      <c r="J2273" s="8"/>
      <c r="K2273" s="8"/>
      <c r="L2273" s="8"/>
      <c r="M2273" s="8"/>
      <c r="N2273" s="8"/>
      <c r="O2273" s="8"/>
      <c r="P2273" s="8"/>
    </row>
    <row r="2274" spans="1:16" s="7" customFormat="1" ht="42.75" customHeight="1" thickBot="1">
      <c r="A2274" s="92">
        <v>1316</v>
      </c>
      <c r="B2274" s="93"/>
      <c r="C2274" s="96" t="s">
        <v>4</v>
      </c>
      <c r="D2274" s="97"/>
      <c r="J2274" s="8"/>
      <c r="K2274" s="8"/>
      <c r="L2274" s="8"/>
      <c r="M2274" s="8"/>
      <c r="N2274" s="8"/>
      <c r="O2274" s="8"/>
      <c r="P2274" s="8"/>
    </row>
    <row r="2275" spans="1:16" s="7" customFormat="1" ht="42.75" customHeight="1" thickBot="1">
      <c r="A2275" s="98">
        <f>A2274-A2273</f>
        <v>0</v>
      </c>
      <c r="B2275" s="99"/>
      <c r="C2275" s="100" t="s">
        <v>5</v>
      </c>
      <c r="D2275" s="97"/>
      <c r="J2275" s="8"/>
      <c r="K2275" s="8"/>
      <c r="L2275" s="8"/>
      <c r="M2275" s="8"/>
      <c r="N2275" s="8"/>
      <c r="O2275" s="8"/>
      <c r="P2275" s="8"/>
    </row>
    <row r="2276" spans="1:16" s="7" customFormat="1" ht="42.75" customHeight="1" thickBot="1">
      <c r="A2276" s="101">
        <v>62</v>
      </c>
      <c r="B2276" s="102"/>
      <c r="C2276" s="96" t="s">
        <v>6</v>
      </c>
      <c r="D2276" s="97"/>
      <c r="J2276" s="8"/>
      <c r="K2276" s="8"/>
      <c r="L2276" s="8"/>
      <c r="M2276" s="8"/>
      <c r="N2276" s="8"/>
      <c r="O2276" s="8"/>
      <c r="P2276" s="8"/>
    </row>
    <row r="2277" spans="1:16" s="7" customFormat="1" ht="42.75" customHeight="1" thickBot="1">
      <c r="A2277" s="103"/>
      <c r="B2277" s="104"/>
      <c r="C2277" s="96" t="s">
        <v>21</v>
      </c>
      <c r="D2277" s="97"/>
      <c r="J2277" s="8"/>
      <c r="K2277" s="8"/>
      <c r="L2277" s="8"/>
      <c r="M2277" s="8"/>
      <c r="N2277" s="8"/>
      <c r="O2277" s="8"/>
      <c r="P2277" s="8"/>
    </row>
    <row r="2278" spans="1:16" s="7" customFormat="1" ht="42.75" customHeight="1" thickBot="1">
      <c r="A2278" s="105">
        <f>A2276*A2275</f>
        <v>0</v>
      </c>
      <c r="B2278" s="106"/>
      <c r="C2278" s="96" t="s">
        <v>7</v>
      </c>
      <c r="D2278" s="97"/>
      <c r="J2278" s="8"/>
      <c r="K2278" s="8"/>
      <c r="L2278" s="8"/>
      <c r="M2278" s="8"/>
      <c r="N2278" s="8"/>
      <c r="O2278" s="8"/>
      <c r="P2278" s="8"/>
    </row>
    <row r="2279" spans="1:16" s="7" customFormat="1" ht="42.75" customHeight="1" thickBot="1">
      <c r="A2279" s="107" t="s">
        <v>17</v>
      </c>
      <c r="B2279" s="108"/>
      <c r="C2279" s="108"/>
      <c r="D2279" s="109"/>
      <c r="J2279" s="8"/>
      <c r="K2279" s="8"/>
      <c r="L2279" s="8"/>
      <c r="M2279" s="8"/>
      <c r="N2279" s="8"/>
      <c r="O2279" s="8"/>
      <c r="P2279" s="8"/>
    </row>
    <row r="2280" spans="1:16" s="7" customFormat="1" ht="42.75" customHeight="1" thickBot="1">
      <c r="A2280" s="116" t="s">
        <v>20</v>
      </c>
      <c r="B2280" s="117"/>
      <c r="C2280" s="117"/>
      <c r="D2280" s="118"/>
      <c r="J2280" s="8"/>
      <c r="K2280" s="8"/>
      <c r="L2280" s="8"/>
      <c r="M2280" s="8"/>
      <c r="N2280" s="8"/>
      <c r="O2280" s="8"/>
      <c r="P2280" s="8"/>
    </row>
    <row r="2281" spans="1:16" s="7" customFormat="1" ht="42.75" customHeight="1" thickBot="1">
      <c r="A2281" s="113" t="s">
        <v>18</v>
      </c>
      <c r="B2281" s="114"/>
      <c r="C2281" s="114"/>
      <c r="D2281" s="115"/>
      <c r="J2281" s="8"/>
      <c r="K2281" s="8"/>
      <c r="L2281" s="8"/>
      <c r="M2281" s="8"/>
      <c r="N2281" s="8"/>
      <c r="O2281" s="8"/>
      <c r="P2281" s="8"/>
    </row>
    <row r="2282" spans="1:16" s="7" customFormat="1" ht="42.75" customHeight="1" thickBot="1">
      <c r="A2282" s="119"/>
      <c r="B2282" s="119"/>
      <c r="C2282" s="119"/>
      <c r="D2282" s="119"/>
      <c r="J2282" s="8"/>
      <c r="K2282" s="8"/>
      <c r="L2282" s="8"/>
      <c r="M2282" s="8"/>
      <c r="N2282" s="8"/>
      <c r="O2282" s="8"/>
      <c r="P2282" s="8"/>
    </row>
    <row r="2283" spans="1:16" s="7" customFormat="1" ht="42.75" customHeight="1" thickBot="1">
      <c r="A2283" s="126" t="s">
        <v>19</v>
      </c>
      <c r="B2283" s="127"/>
      <c r="C2283" s="127"/>
      <c r="D2283" s="128"/>
      <c r="J2283" s="8"/>
      <c r="K2283" s="8"/>
      <c r="L2283" s="8"/>
      <c r="M2283" s="8"/>
      <c r="N2283" s="8"/>
      <c r="O2283" s="8"/>
      <c r="P2283" s="8"/>
    </row>
    <row r="2284" spans="1:16" s="7" customFormat="1" ht="42.75" customHeight="1" thickBot="1">
      <c r="A2284" s="123" t="s">
        <v>11</v>
      </c>
      <c r="B2284" s="124"/>
      <c r="C2284" s="125" t="s">
        <v>603</v>
      </c>
      <c r="D2284" s="124"/>
      <c r="J2284" s="8"/>
      <c r="K2284" s="8"/>
      <c r="L2284" s="8"/>
      <c r="M2284" s="8"/>
      <c r="N2284" s="8"/>
      <c r="O2284" s="8"/>
      <c r="P2284" s="8"/>
    </row>
    <row r="2285" spans="1:16" s="7" customFormat="1" ht="42.75" customHeight="1" thickBot="1">
      <c r="A2285" s="1" t="s">
        <v>686</v>
      </c>
      <c r="B2285" s="26" t="s">
        <v>1</v>
      </c>
      <c r="C2285" s="90" t="s">
        <v>278</v>
      </c>
      <c r="D2285" s="91"/>
      <c r="J2285" s="8"/>
      <c r="K2285" s="8"/>
      <c r="L2285" s="8"/>
      <c r="M2285" s="8"/>
      <c r="N2285" s="8"/>
      <c r="O2285" s="8"/>
      <c r="P2285" s="8"/>
    </row>
    <row r="2286" spans="1:16" s="7" customFormat="1" ht="42.75" customHeight="1" thickBot="1">
      <c r="A2286" s="26"/>
      <c r="B2286" s="26" t="s">
        <v>0</v>
      </c>
      <c r="C2286" s="5" t="s">
        <v>687</v>
      </c>
      <c r="D2286" s="4" t="s">
        <v>2</v>
      </c>
      <c r="J2286" s="8"/>
      <c r="K2286" s="8"/>
      <c r="L2286" s="8"/>
      <c r="M2286" s="8"/>
      <c r="N2286" s="8"/>
      <c r="O2286" s="8"/>
      <c r="P2286" s="8"/>
    </row>
    <row r="2287" spans="1:16" s="7" customFormat="1" ht="42.75" customHeight="1" thickBot="1">
      <c r="A2287" s="92">
        <v>1278</v>
      </c>
      <c r="B2287" s="93"/>
      <c r="C2287" s="94" t="s">
        <v>3</v>
      </c>
      <c r="D2287" s="95"/>
      <c r="J2287" s="8"/>
      <c r="K2287" s="8"/>
      <c r="L2287" s="8"/>
      <c r="M2287" s="8"/>
      <c r="N2287" s="8"/>
      <c r="O2287" s="8"/>
      <c r="P2287" s="8"/>
    </row>
    <row r="2288" spans="1:16" s="7" customFormat="1" ht="42.75" customHeight="1" thickBot="1">
      <c r="A2288" s="92">
        <v>1316</v>
      </c>
      <c r="B2288" s="93"/>
      <c r="C2288" s="96" t="s">
        <v>4</v>
      </c>
      <c r="D2288" s="97"/>
      <c r="J2288" s="8"/>
      <c r="K2288" s="8"/>
      <c r="L2288" s="8"/>
      <c r="M2288" s="8"/>
      <c r="N2288" s="8"/>
      <c r="O2288" s="8"/>
      <c r="P2288" s="8"/>
    </row>
    <row r="2289" spans="1:16" s="7" customFormat="1" ht="42.75" customHeight="1" thickBot="1">
      <c r="A2289" s="98">
        <f>A2288-A2287</f>
        <v>38</v>
      </c>
      <c r="B2289" s="99"/>
      <c r="C2289" s="100" t="s">
        <v>5</v>
      </c>
      <c r="D2289" s="97"/>
      <c r="J2289" s="8"/>
      <c r="K2289" s="8"/>
      <c r="L2289" s="8"/>
      <c r="M2289" s="8"/>
      <c r="N2289" s="8"/>
      <c r="O2289" s="8"/>
      <c r="P2289" s="8"/>
    </row>
    <row r="2290" spans="1:16" s="7" customFormat="1" ht="42.75" customHeight="1" thickBot="1">
      <c r="A2290" s="101">
        <v>62</v>
      </c>
      <c r="B2290" s="102"/>
      <c r="C2290" s="96" t="s">
        <v>6</v>
      </c>
      <c r="D2290" s="97"/>
      <c r="J2290" s="8"/>
      <c r="K2290" s="8"/>
      <c r="L2290" s="8"/>
      <c r="M2290" s="8"/>
      <c r="N2290" s="8"/>
      <c r="O2290" s="8"/>
      <c r="P2290" s="8"/>
    </row>
    <row r="2291" spans="1:16" s="7" customFormat="1" ht="42.75" customHeight="1" thickBot="1">
      <c r="A2291" s="103"/>
      <c r="B2291" s="104"/>
      <c r="C2291" s="96" t="s">
        <v>21</v>
      </c>
      <c r="D2291" s="97"/>
      <c r="J2291" s="8"/>
      <c r="K2291" s="8"/>
      <c r="L2291" s="8"/>
      <c r="M2291" s="8"/>
      <c r="N2291" s="8"/>
      <c r="O2291" s="8"/>
      <c r="P2291" s="8"/>
    </row>
    <row r="2292" spans="1:16" s="7" customFormat="1" ht="42.75" customHeight="1" thickBot="1">
      <c r="A2292" s="105">
        <f>A2290*A2289</f>
        <v>2356</v>
      </c>
      <c r="B2292" s="106"/>
      <c r="C2292" s="96" t="s">
        <v>7</v>
      </c>
      <c r="D2292" s="97"/>
      <c r="J2292" s="8"/>
      <c r="K2292" s="8"/>
      <c r="L2292" s="8"/>
      <c r="M2292" s="8"/>
      <c r="N2292" s="8"/>
      <c r="O2292" s="8"/>
      <c r="P2292" s="8"/>
    </row>
    <row r="2293" spans="1:16" s="7" customFormat="1" ht="42.75" customHeight="1" thickBot="1">
      <c r="A2293" s="107" t="s">
        <v>17</v>
      </c>
      <c r="B2293" s="108"/>
      <c r="C2293" s="108"/>
      <c r="D2293" s="109"/>
      <c r="J2293" s="8"/>
      <c r="K2293" s="8"/>
      <c r="L2293" s="8"/>
      <c r="M2293" s="8"/>
      <c r="N2293" s="8"/>
      <c r="O2293" s="8"/>
      <c r="P2293" s="8"/>
    </row>
    <row r="2294" spans="1:16" s="7" customFormat="1" ht="42.75" customHeight="1" thickBot="1">
      <c r="A2294" s="110" t="s">
        <v>20</v>
      </c>
      <c r="B2294" s="111"/>
      <c r="C2294" s="111"/>
      <c r="D2294" s="112"/>
      <c r="J2294" s="8"/>
      <c r="K2294" s="8"/>
      <c r="L2294" s="8"/>
      <c r="M2294" s="8"/>
      <c r="N2294" s="8"/>
      <c r="O2294" s="8"/>
      <c r="P2294" s="8"/>
    </row>
    <row r="2295" spans="1:16" s="7" customFormat="1" ht="42.75" customHeight="1" thickBot="1">
      <c r="A2295" s="113" t="s">
        <v>18</v>
      </c>
      <c r="B2295" s="114"/>
      <c r="C2295" s="114"/>
      <c r="D2295" s="115"/>
      <c r="J2295" s="8"/>
      <c r="K2295" s="8"/>
      <c r="L2295" s="8"/>
      <c r="M2295" s="8"/>
      <c r="N2295" s="8"/>
      <c r="O2295" s="8"/>
      <c r="P2295" s="8"/>
    </row>
    <row r="2296" spans="1:16" s="7" customFormat="1" ht="42.75" customHeight="1" thickBot="1">
      <c r="A2296" s="126" t="s">
        <v>19</v>
      </c>
      <c r="B2296" s="127"/>
      <c r="C2296" s="127"/>
      <c r="D2296" s="128"/>
      <c r="J2296" s="8"/>
      <c r="K2296" s="8"/>
      <c r="L2296" s="8"/>
      <c r="M2296" s="8"/>
      <c r="N2296" s="8"/>
      <c r="O2296" s="8"/>
      <c r="P2296" s="8"/>
    </row>
    <row r="2297" spans="1:16" s="7" customFormat="1" ht="42.75" customHeight="1" thickBot="1">
      <c r="A2297" s="123" t="s">
        <v>11</v>
      </c>
      <c r="B2297" s="124"/>
      <c r="C2297" s="125" t="s">
        <v>603</v>
      </c>
      <c r="D2297" s="124"/>
      <c r="J2297" s="8"/>
      <c r="K2297" s="8"/>
      <c r="L2297" s="8"/>
      <c r="M2297" s="8"/>
      <c r="N2297" s="8"/>
      <c r="O2297" s="8"/>
      <c r="P2297" s="8"/>
    </row>
    <row r="2298" spans="1:16" s="7" customFormat="1" ht="42.75" customHeight="1" thickBot="1">
      <c r="A2298" s="1" t="s">
        <v>686</v>
      </c>
      <c r="B2298" s="26" t="s">
        <v>1</v>
      </c>
      <c r="C2298" s="90" t="s">
        <v>151</v>
      </c>
      <c r="D2298" s="91"/>
      <c r="J2298" s="8"/>
      <c r="K2298" s="8"/>
      <c r="L2298" s="8"/>
      <c r="M2298" s="8"/>
      <c r="N2298" s="8"/>
      <c r="O2298" s="8"/>
      <c r="P2298" s="8"/>
    </row>
    <row r="2299" spans="1:16" s="7" customFormat="1" ht="42.75" customHeight="1" thickBot="1">
      <c r="A2299" s="26"/>
      <c r="B2299" s="26" t="s">
        <v>0</v>
      </c>
      <c r="C2299" s="5" t="s">
        <v>687</v>
      </c>
      <c r="D2299" s="4" t="s">
        <v>2</v>
      </c>
      <c r="J2299" s="8"/>
      <c r="K2299" s="8"/>
      <c r="L2299" s="8"/>
      <c r="M2299" s="8"/>
      <c r="N2299" s="8"/>
      <c r="O2299" s="8"/>
      <c r="P2299" s="8"/>
    </row>
    <row r="2300" spans="1:16" s="7" customFormat="1" ht="42.75" customHeight="1" thickBot="1">
      <c r="A2300" s="92">
        <v>1340</v>
      </c>
      <c r="B2300" s="93"/>
      <c r="C2300" s="94" t="s">
        <v>3</v>
      </c>
      <c r="D2300" s="95"/>
      <c r="J2300" s="8"/>
      <c r="K2300" s="8"/>
      <c r="L2300" s="8"/>
      <c r="M2300" s="8"/>
      <c r="N2300" s="8"/>
      <c r="O2300" s="8"/>
      <c r="P2300" s="8"/>
    </row>
    <row r="2301" spans="1:16" s="7" customFormat="1" ht="42.75" customHeight="1" thickBot="1">
      <c r="A2301" s="92">
        <v>1340</v>
      </c>
      <c r="B2301" s="93"/>
      <c r="C2301" s="96" t="s">
        <v>4</v>
      </c>
      <c r="D2301" s="97"/>
      <c r="J2301" s="8"/>
      <c r="K2301" s="8"/>
      <c r="L2301" s="8"/>
      <c r="M2301" s="8"/>
      <c r="N2301" s="8"/>
      <c r="O2301" s="8"/>
      <c r="P2301" s="8"/>
    </row>
    <row r="2302" spans="1:16" s="7" customFormat="1" ht="42.75" customHeight="1" thickBot="1">
      <c r="A2302" s="98">
        <f>A2301-A2300</f>
        <v>0</v>
      </c>
      <c r="B2302" s="99"/>
      <c r="C2302" s="100" t="s">
        <v>5</v>
      </c>
      <c r="D2302" s="97"/>
      <c r="J2302" s="8"/>
      <c r="K2302" s="8"/>
      <c r="L2302" s="8"/>
      <c r="M2302" s="8"/>
      <c r="N2302" s="8"/>
      <c r="O2302" s="8"/>
      <c r="P2302" s="8"/>
    </row>
    <row r="2303" spans="1:16" s="7" customFormat="1" ht="42.75" customHeight="1" thickBot="1">
      <c r="A2303" s="101">
        <v>62</v>
      </c>
      <c r="B2303" s="102"/>
      <c r="C2303" s="96" t="s">
        <v>6</v>
      </c>
      <c r="D2303" s="97"/>
      <c r="J2303" s="8"/>
      <c r="K2303" s="8"/>
      <c r="L2303" s="8"/>
      <c r="M2303" s="8"/>
      <c r="N2303" s="8"/>
      <c r="O2303" s="8"/>
      <c r="P2303" s="8"/>
    </row>
    <row r="2304" spans="1:16" s="7" customFormat="1" ht="42.75" customHeight="1" thickBot="1">
      <c r="A2304" s="103"/>
      <c r="B2304" s="104"/>
      <c r="C2304" s="96" t="s">
        <v>21</v>
      </c>
      <c r="D2304" s="97"/>
      <c r="J2304" s="8"/>
      <c r="K2304" s="8"/>
      <c r="L2304" s="8"/>
      <c r="M2304" s="8"/>
      <c r="N2304" s="8"/>
      <c r="O2304" s="8"/>
      <c r="P2304" s="8"/>
    </row>
    <row r="2305" spans="1:16" s="7" customFormat="1" ht="42.75" customHeight="1" thickBot="1">
      <c r="A2305" s="105">
        <f>A2303*A2302</f>
        <v>0</v>
      </c>
      <c r="B2305" s="106"/>
      <c r="C2305" s="96" t="s">
        <v>7</v>
      </c>
      <c r="D2305" s="97"/>
      <c r="J2305" s="8"/>
      <c r="K2305" s="8"/>
      <c r="L2305" s="8"/>
      <c r="M2305" s="8"/>
      <c r="N2305" s="8"/>
      <c r="O2305" s="8"/>
      <c r="P2305" s="8"/>
    </row>
    <row r="2306" spans="1:16" s="7" customFormat="1" ht="42.75" customHeight="1" thickBot="1">
      <c r="A2306" s="107" t="s">
        <v>17</v>
      </c>
      <c r="B2306" s="108"/>
      <c r="C2306" s="108"/>
      <c r="D2306" s="109"/>
      <c r="J2306" s="8"/>
      <c r="K2306" s="8"/>
      <c r="L2306" s="8"/>
      <c r="M2306" s="8"/>
      <c r="N2306" s="8"/>
      <c r="O2306" s="8"/>
      <c r="P2306" s="8"/>
    </row>
    <row r="2307" spans="1:16" s="7" customFormat="1" ht="42.75" customHeight="1" thickBot="1">
      <c r="A2307" s="116" t="s">
        <v>20</v>
      </c>
      <c r="B2307" s="117"/>
      <c r="C2307" s="117"/>
      <c r="D2307" s="118"/>
      <c r="J2307" s="8"/>
      <c r="K2307" s="8"/>
      <c r="L2307" s="8"/>
      <c r="M2307" s="8"/>
      <c r="N2307" s="8"/>
      <c r="O2307" s="8"/>
      <c r="P2307" s="8"/>
    </row>
    <row r="2308" spans="1:16" s="7" customFormat="1" ht="42.75" customHeight="1" thickBot="1">
      <c r="A2308" s="113" t="s">
        <v>18</v>
      </c>
      <c r="B2308" s="114"/>
      <c r="C2308" s="114"/>
      <c r="D2308" s="115"/>
      <c r="J2308" s="8"/>
      <c r="K2308" s="8"/>
      <c r="L2308" s="8"/>
      <c r="M2308" s="8"/>
      <c r="N2308" s="8"/>
      <c r="O2308" s="8"/>
      <c r="P2308" s="8"/>
    </row>
    <row r="2309" spans="1:16" s="7" customFormat="1" ht="42.75" customHeight="1" thickBot="1">
      <c r="A2309" s="119"/>
      <c r="B2309" s="119"/>
      <c r="C2309" s="119"/>
      <c r="D2309" s="119"/>
      <c r="J2309" s="8"/>
      <c r="K2309" s="8"/>
      <c r="L2309" s="8"/>
      <c r="M2309" s="8"/>
      <c r="N2309" s="8"/>
      <c r="O2309" s="8"/>
      <c r="P2309" s="8"/>
    </row>
    <row r="2310" spans="1:16" s="7" customFormat="1" ht="42.75" customHeight="1" thickBot="1">
      <c r="A2310" s="126" t="s">
        <v>19</v>
      </c>
      <c r="B2310" s="127"/>
      <c r="C2310" s="127"/>
      <c r="D2310" s="128"/>
      <c r="J2310" s="8"/>
      <c r="K2310" s="8"/>
      <c r="L2310" s="8"/>
      <c r="M2310" s="8"/>
      <c r="N2310" s="8"/>
      <c r="O2310" s="8"/>
      <c r="P2310" s="8"/>
    </row>
    <row r="2311" spans="1:16" s="7" customFormat="1" ht="42.75" customHeight="1" thickBot="1">
      <c r="A2311" s="123" t="s">
        <v>11</v>
      </c>
      <c r="B2311" s="124"/>
      <c r="C2311" s="125" t="s">
        <v>603</v>
      </c>
      <c r="D2311" s="124"/>
      <c r="J2311" s="8"/>
      <c r="K2311" s="8"/>
      <c r="L2311" s="8"/>
      <c r="M2311" s="8"/>
      <c r="N2311" s="8"/>
      <c r="O2311" s="8"/>
      <c r="P2311" s="8"/>
    </row>
    <row r="2312" spans="1:16" s="7" customFormat="1" ht="42.75" customHeight="1" thickBot="1">
      <c r="A2312" s="1" t="s">
        <v>686</v>
      </c>
      <c r="B2312" s="26" t="s">
        <v>1</v>
      </c>
      <c r="C2312" s="90" t="s">
        <v>151</v>
      </c>
      <c r="D2312" s="91"/>
      <c r="J2312" s="8"/>
      <c r="K2312" s="8"/>
      <c r="L2312" s="8"/>
      <c r="M2312" s="8"/>
      <c r="N2312" s="8"/>
      <c r="O2312" s="8"/>
      <c r="P2312" s="8"/>
    </row>
    <row r="2313" spans="1:16" s="7" customFormat="1" ht="42.75" customHeight="1" thickBot="1">
      <c r="A2313" s="26"/>
      <c r="B2313" s="26" t="s">
        <v>0</v>
      </c>
      <c r="C2313" s="5" t="s">
        <v>687</v>
      </c>
      <c r="D2313" s="4" t="s">
        <v>2</v>
      </c>
      <c r="J2313" s="8"/>
      <c r="K2313" s="8"/>
      <c r="L2313" s="8"/>
      <c r="M2313" s="8"/>
      <c r="N2313" s="8"/>
      <c r="O2313" s="8"/>
      <c r="P2313" s="8"/>
    </row>
    <row r="2314" spans="1:16" s="7" customFormat="1" ht="42.75" customHeight="1" thickBot="1">
      <c r="A2314" s="92">
        <v>1325</v>
      </c>
      <c r="B2314" s="93"/>
      <c r="C2314" s="94" t="s">
        <v>3</v>
      </c>
      <c r="D2314" s="95"/>
      <c r="J2314" s="8"/>
      <c r="K2314" s="8"/>
      <c r="L2314" s="8"/>
      <c r="M2314" s="8"/>
      <c r="N2314" s="8"/>
      <c r="O2314" s="8"/>
      <c r="P2314" s="8"/>
    </row>
    <row r="2315" spans="1:16" s="7" customFormat="1" ht="42.75" customHeight="1" thickBot="1">
      <c r="A2315" s="92">
        <v>1340</v>
      </c>
      <c r="B2315" s="93"/>
      <c r="C2315" s="96" t="s">
        <v>4</v>
      </c>
      <c r="D2315" s="97"/>
      <c r="J2315" s="8"/>
      <c r="K2315" s="8"/>
      <c r="L2315" s="8"/>
      <c r="M2315" s="8"/>
      <c r="N2315" s="8"/>
      <c r="O2315" s="8"/>
      <c r="P2315" s="8"/>
    </row>
    <row r="2316" spans="1:16" s="7" customFormat="1" ht="42.75" customHeight="1" thickBot="1">
      <c r="A2316" s="98">
        <f>A2315-A2314</f>
        <v>15</v>
      </c>
      <c r="B2316" s="99"/>
      <c r="C2316" s="100" t="s">
        <v>5</v>
      </c>
      <c r="D2316" s="97"/>
      <c r="J2316" s="8"/>
      <c r="K2316" s="8"/>
      <c r="L2316" s="8"/>
      <c r="M2316" s="8"/>
      <c r="N2316" s="8"/>
      <c r="O2316" s="8"/>
      <c r="P2316" s="8"/>
    </row>
    <row r="2317" spans="1:16" s="7" customFormat="1" ht="42.75" customHeight="1" thickBot="1">
      <c r="A2317" s="101">
        <v>62</v>
      </c>
      <c r="B2317" s="102"/>
      <c r="C2317" s="96" t="s">
        <v>6</v>
      </c>
      <c r="D2317" s="97"/>
      <c r="J2317" s="8"/>
      <c r="K2317" s="8"/>
      <c r="L2317" s="8"/>
      <c r="M2317" s="8"/>
      <c r="N2317" s="8"/>
      <c r="O2317" s="8"/>
      <c r="P2317" s="8"/>
    </row>
    <row r="2318" spans="1:16" s="7" customFormat="1" ht="42.75" customHeight="1" thickBot="1">
      <c r="A2318" s="103"/>
      <c r="B2318" s="104"/>
      <c r="C2318" s="96" t="s">
        <v>21</v>
      </c>
      <c r="D2318" s="97"/>
      <c r="J2318" s="8"/>
      <c r="K2318" s="8"/>
      <c r="L2318" s="8"/>
      <c r="M2318" s="8"/>
      <c r="N2318" s="8"/>
      <c r="O2318" s="8"/>
      <c r="P2318" s="8"/>
    </row>
    <row r="2319" spans="1:16" s="7" customFormat="1" ht="42.75" customHeight="1" thickBot="1">
      <c r="A2319" s="105">
        <v>950</v>
      </c>
      <c r="B2319" s="106"/>
      <c r="C2319" s="96" t="s">
        <v>7</v>
      </c>
      <c r="D2319" s="97"/>
      <c r="J2319" s="8"/>
      <c r="K2319" s="8"/>
      <c r="L2319" s="8"/>
      <c r="M2319" s="8"/>
      <c r="N2319" s="8"/>
      <c r="O2319" s="8"/>
      <c r="P2319" s="8"/>
    </row>
    <row r="2320" spans="1:16" s="7" customFormat="1" ht="42.75" customHeight="1" thickBot="1">
      <c r="A2320" s="107" t="s">
        <v>17</v>
      </c>
      <c r="B2320" s="108"/>
      <c r="C2320" s="108"/>
      <c r="D2320" s="109"/>
      <c r="J2320" s="8"/>
      <c r="K2320" s="8"/>
      <c r="L2320" s="8"/>
      <c r="M2320" s="8"/>
      <c r="N2320" s="8"/>
      <c r="O2320" s="8"/>
      <c r="P2320" s="8"/>
    </row>
    <row r="2321" spans="1:16" s="7" customFormat="1" ht="42.75" customHeight="1" thickBot="1">
      <c r="A2321" s="116" t="s">
        <v>20</v>
      </c>
      <c r="B2321" s="117"/>
      <c r="C2321" s="117"/>
      <c r="D2321" s="118"/>
      <c r="J2321" s="8"/>
      <c r="K2321" s="8"/>
      <c r="L2321" s="8"/>
      <c r="M2321" s="8"/>
      <c r="N2321" s="8"/>
      <c r="O2321" s="8"/>
      <c r="P2321" s="8"/>
    </row>
    <row r="2322" spans="1:16" s="7" customFormat="1" ht="42.75" customHeight="1" thickBot="1">
      <c r="A2322" s="113" t="s">
        <v>18</v>
      </c>
      <c r="B2322" s="114"/>
      <c r="C2322" s="114"/>
      <c r="D2322" s="115"/>
      <c r="J2322" s="8"/>
      <c r="K2322" s="8"/>
      <c r="L2322" s="8"/>
      <c r="M2322" s="8"/>
      <c r="N2322" s="8"/>
      <c r="O2322" s="8"/>
      <c r="P2322" s="8"/>
    </row>
    <row r="2323" spans="1:16" s="7" customFormat="1" ht="42.75" customHeight="1" thickBot="1">
      <c r="A2323" s="126" t="s">
        <v>19</v>
      </c>
      <c r="B2323" s="127"/>
      <c r="C2323" s="127"/>
      <c r="D2323" s="128"/>
      <c r="J2323" s="8"/>
      <c r="K2323" s="8"/>
      <c r="L2323" s="8"/>
      <c r="M2323" s="8"/>
      <c r="N2323" s="8"/>
      <c r="O2323" s="8"/>
      <c r="P2323" s="8"/>
    </row>
    <row r="2324" spans="1:16" s="7" customFormat="1" ht="42.75" customHeight="1" thickBot="1">
      <c r="A2324" s="123" t="s">
        <v>11</v>
      </c>
      <c r="B2324" s="124"/>
      <c r="C2324" s="125" t="s">
        <v>603</v>
      </c>
      <c r="D2324" s="124"/>
      <c r="J2324" s="8"/>
      <c r="K2324" s="8"/>
      <c r="L2324" s="8"/>
      <c r="M2324" s="8"/>
      <c r="N2324" s="8"/>
      <c r="O2324" s="8"/>
      <c r="P2324" s="8"/>
    </row>
    <row r="2325" spans="1:16" s="7" customFormat="1" ht="42.75" customHeight="1" thickBot="1">
      <c r="A2325" s="1" t="s">
        <v>686</v>
      </c>
      <c r="B2325" s="26" t="s">
        <v>1</v>
      </c>
      <c r="C2325" s="90" t="s">
        <v>279</v>
      </c>
      <c r="D2325" s="91"/>
      <c r="J2325" s="8"/>
      <c r="K2325" s="8"/>
      <c r="L2325" s="8"/>
      <c r="M2325" s="8"/>
      <c r="N2325" s="8"/>
      <c r="O2325" s="8"/>
      <c r="P2325" s="8"/>
    </row>
    <row r="2326" spans="1:16" s="7" customFormat="1" ht="42.75" customHeight="1" thickBot="1">
      <c r="A2326" s="26"/>
      <c r="B2326" s="26" t="s">
        <v>0</v>
      </c>
      <c r="C2326" s="5" t="s">
        <v>687</v>
      </c>
      <c r="D2326" s="4" t="s">
        <v>2</v>
      </c>
      <c r="J2326" s="8"/>
      <c r="K2326" s="8"/>
      <c r="L2326" s="8"/>
      <c r="M2326" s="8"/>
      <c r="N2326" s="8"/>
      <c r="O2326" s="8"/>
      <c r="P2326" s="8"/>
    </row>
    <row r="2327" spans="1:16" s="7" customFormat="1" ht="42.75" customHeight="1" thickBot="1">
      <c r="A2327" s="92">
        <v>1905</v>
      </c>
      <c r="B2327" s="93"/>
      <c r="C2327" s="94" t="s">
        <v>3</v>
      </c>
      <c r="D2327" s="95"/>
      <c r="J2327" s="8"/>
      <c r="K2327" s="8"/>
      <c r="L2327" s="8"/>
      <c r="M2327" s="8"/>
      <c r="N2327" s="8"/>
      <c r="O2327" s="8"/>
      <c r="P2327" s="8"/>
    </row>
    <row r="2328" spans="1:16" s="7" customFormat="1" ht="42.75" customHeight="1" thickBot="1">
      <c r="A2328" s="92">
        <v>1905</v>
      </c>
      <c r="B2328" s="93"/>
      <c r="C2328" s="96" t="s">
        <v>4</v>
      </c>
      <c r="D2328" s="97"/>
      <c r="J2328" s="8"/>
      <c r="K2328" s="8"/>
      <c r="L2328" s="8"/>
      <c r="M2328" s="8"/>
      <c r="N2328" s="8"/>
      <c r="O2328" s="8"/>
      <c r="P2328" s="8"/>
    </row>
    <row r="2329" spans="1:16" s="7" customFormat="1" ht="42.75" customHeight="1" thickBot="1">
      <c r="A2329" s="98">
        <f>A2328-A2327</f>
        <v>0</v>
      </c>
      <c r="B2329" s="99"/>
      <c r="C2329" s="100" t="s">
        <v>5</v>
      </c>
      <c r="D2329" s="97"/>
      <c r="J2329" s="8"/>
      <c r="K2329" s="8"/>
      <c r="L2329" s="8"/>
      <c r="M2329" s="8"/>
      <c r="N2329" s="8"/>
      <c r="O2329" s="8"/>
      <c r="P2329" s="8"/>
    </row>
    <row r="2330" spans="1:16" s="7" customFormat="1" ht="42.75" customHeight="1" thickBot="1">
      <c r="A2330" s="101">
        <v>62</v>
      </c>
      <c r="B2330" s="102"/>
      <c r="C2330" s="96" t="s">
        <v>6</v>
      </c>
      <c r="D2330" s="97"/>
      <c r="J2330" s="8"/>
      <c r="K2330" s="8"/>
      <c r="L2330" s="8"/>
      <c r="M2330" s="8"/>
      <c r="N2330" s="8"/>
      <c r="O2330" s="8"/>
      <c r="P2330" s="8"/>
    </row>
    <row r="2331" spans="1:16" s="7" customFormat="1" ht="42.75" customHeight="1" thickBot="1">
      <c r="A2331" s="103"/>
      <c r="B2331" s="104"/>
      <c r="C2331" s="96" t="s">
        <v>21</v>
      </c>
      <c r="D2331" s="97"/>
      <c r="J2331" s="8"/>
      <c r="K2331" s="8"/>
      <c r="L2331" s="8"/>
      <c r="M2331" s="8"/>
      <c r="N2331" s="8"/>
      <c r="O2331" s="8"/>
      <c r="P2331" s="8"/>
    </row>
    <row r="2332" spans="1:16" s="7" customFormat="1" ht="42.75" customHeight="1" thickBot="1">
      <c r="A2332" s="105">
        <f>A2330*A2329</f>
        <v>0</v>
      </c>
      <c r="B2332" s="106"/>
      <c r="C2332" s="96" t="s">
        <v>7</v>
      </c>
      <c r="D2332" s="97"/>
      <c r="J2332" s="8"/>
      <c r="K2332" s="8"/>
      <c r="L2332" s="8"/>
      <c r="M2332" s="8"/>
      <c r="N2332" s="8"/>
      <c r="O2332" s="8"/>
      <c r="P2332" s="8"/>
    </row>
    <row r="2333" spans="1:16" s="7" customFormat="1" ht="42.75" customHeight="1" thickBot="1">
      <c r="A2333" s="107" t="s">
        <v>17</v>
      </c>
      <c r="B2333" s="108"/>
      <c r="C2333" s="108"/>
      <c r="D2333" s="109"/>
      <c r="J2333" s="8"/>
      <c r="K2333" s="8"/>
      <c r="L2333" s="8"/>
      <c r="M2333" s="8"/>
      <c r="N2333" s="8"/>
      <c r="O2333" s="8"/>
      <c r="P2333" s="8"/>
    </row>
    <row r="2334" spans="1:16" s="7" customFormat="1" ht="42.75" customHeight="1" thickBot="1">
      <c r="A2334" s="116" t="s">
        <v>20</v>
      </c>
      <c r="B2334" s="117"/>
      <c r="C2334" s="117"/>
      <c r="D2334" s="118"/>
      <c r="J2334" s="8"/>
      <c r="K2334" s="8"/>
      <c r="L2334" s="8"/>
      <c r="M2334" s="8"/>
      <c r="N2334" s="8"/>
      <c r="O2334" s="8"/>
      <c r="P2334" s="8"/>
    </row>
    <row r="2335" spans="1:16" s="7" customFormat="1" ht="42.75" customHeight="1" thickBot="1">
      <c r="A2335" s="113" t="s">
        <v>18</v>
      </c>
      <c r="B2335" s="114"/>
      <c r="C2335" s="114"/>
      <c r="D2335" s="115"/>
      <c r="J2335" s="8"/>
      <c r="K2335" s="8"/>
      <c r="L2335" s="8"/>
      <c r="M2335" s="8"/>
      <c r="N2335" s="8"/>
      <c r="O2335" s="8"/>
      <c r="P2335" s="8"/>
    </row>
    <row r="2336" spans="1:16" s="7" customFormat="1" ht="42.75" customHeight="1" thickBot="1">
      <c r="A2336" s="119"/>
      <c r="B2336" s="119"/>
      <c r="C2336" s="119"/>
      <c r="D2336" s="119"/>
      <c r="J2336" s="8"/>
      <c r="K2336" s="8"/>
      <c r="L2336" s="8"/>
      <c r="M2336" s="8"/>
      <c r="N2336" s="8"/>
      <c r="O2336" s="8"/>
      <c r="P2336" s="8"/>
    </row>
    <row r="2337" spans="1:16" s="7" customFormat="1" ht="42.75" customHeight="1" thickBot="1">
      <c r="A2337" s="126" t="s">
        <v>19</v>
      </c>
      <c r="B2337" s="127"/>
      <c r="C2337" s="127"/>
      <c r="D2337" s="128"/>
      <c r="J2337" s="8"/>
      <c r="K2337" s="8"/>
      <c r="L2337" s="8"/>
      <c r="M2337" s="8"/>
      <c r="N2337" s="8"/>
      <c r="O2337" s="8"/>
      <c r="P2337" s="8"/>
    </row>
    <row r="2338" spans="1:16" s="7" customFormat="1" ht="42.75" customHeight="1" thickBot="1">
      <c r="A2338" s="123" t="s">
        <v>11</v>
      </c>
      <c r="B2338" s="124"/>
      <c r="C2338" s="125" t="s">
        <v>603</v>
      </c>
      <c r="D2338" s="124"/>
      <c r="J2338" s="8"/>
      <c r="K2338" s="8"/>
      <c r="L2338" s="8"/>
      <c r="M2338" s="8"/>
      <c r="N2338" s="8"/>
      <c r="O2338" s="8"/>
      <c r="P2338" s="8"/>
    </row>
    <row r="2339" spans="1:16" s="7" customFormat="1" ht="42.75" customHeight="1" thickBot="1">
      <c r="A2339" s="1" t="s">
        <v>686</v>
      </c>
      <c r="B2339" s="26" t="s">
        <v>1</v>
      </c>
      <c r="C2339" s="90" t="s">
        <v>279</v>
      </c>
      <c r="D2339" s="91"/>
      <c r="J2339" s="8"/>
      <c r="K2339" s="8"/>
      <c r="L2339" s="8"/>
      <c r="M2339" s="8"/>
      <c r="N2339" s="8"/>
      <c r="O2339" s="8"/>
      <c r="P2339" s="8"/>
    </row>
    <row r="2340" spans="1:16" s="7" customFormat="1" ht="42.75" customHeight="1" thickBot="1">
      <c r="A2340" s="26"/>
      <c r="B2340" s="26" t="s">
        <v>0</v>
      </c>
      <c r="C2340" s="5" t="s">
        <v>687</v>
      </c>
      <c r="D2340" s="4" t="s">
        <v>2</v>
      </c>
      <c r="J2340" s="8"/>
      <c r="K2340" s="8"/>
      <c r="L2340" s="8"/>
      <c r="M2340" s="8"/>
      <c r="N2340" s="8"/>
      <c r="O2340" s="8"/>
      <c r="P2340" s="8"/>
    </row>
    <row r="2341" spans="1:16" s="7" customFormat="1" ht="42.75" customHeight="1" thickBot="1">
      <c r="A2341" s="92">
        <v>1895</v>
      </c>
      <c r="B2341" s="93"/>
      <c r="C2341" s="94" t="s">
        <v>3</v>
      </c>
      <c r="D2341" s="95"/>
      <c r="J2341" s="8"/>
      <c r="K2341" s="8"/>
      <c r="L2341" s="8"/>
      <c r="M2341" s="8"/>
      <c r="N2341" s="8"/>
      <c r="O2341" s="8"/>
      <c r="P2341" s="8"/>
    </row>
    <row r="2342" spans="1:16" s="7" customFormat="1" ht="42.75" customHeight="1" thickBot="1">
      <c r="A2342" s="92">
        <v>1905</v>
      </c>
      <c r="B2342" s="93"/>
      <c r="C2342" s="96" t="s">
        <v>4</v>
      </c>
      <c r="D2342" s="97"/>
      <c r="J2342" s="8"/>
      <c r="K2342" s="8"/>
      <c r="L2342" s="8"/>
      <c r="M2342" s="8"/>
      <c r="N2342" s="8"/>
      <c r="O2342" s="8"/>
      <c r="P2342" s="8"/>
    </row>
    <row r="2343" spans="1:16" s="7" customFormat="1" ht="42.75" customHeight="1" thickBot="1">
      <c r="A2343" s="98">
        <f>A2342-A2341</f>
        <v>10</v>
      </c>
      <c r="B2343" s="99"/>
      <c r="C2343" s="100" t="s">
        <v>5</v>
      </c>
      <c r="D2343" s="97"/>
      <c r="J2343" s="8"/>
      <c r="K2343" s="8"/>
      <c r="L2343" s="8"/>
      <c r="M2343" s="8"/>
      <c r="N2343" s="8"/>
      <c r="O2343" s="8"/>
      <c r="P2343" s="8"/>
    </row>
    <row r="2344" spans="1:16" s="7" customFormat="1" ht="42.75" customHeight="1" thickBot="1">
      <c r="A2344" s="101">
        <v>62</v>
      </c>
      <c r="B2344" s="102"/>
      <c r="C2344" s="96" t="s">
        <v>6</v>
      </c>
      <c r="D2344" s="97"/>
      <c r="J2344" s="8"/>
      <c r="K2344" s="8"/>
      <c r="L2344" s="8"/>
      <c r="M2344" s="8"/>
      <c r="N2344" s="8"/>
      <c r="O2344" s="8"/>
      <c r="P2344" s="8"/>
    </row>
    <row r="2345" spans="1:16" s="7" customFormat="1" ht="42.75" customHeight="1" thickBot="1">
      <c r="A2345" s="103"/>
      <c r="B2345" s="104"/>
      <c r="C2345" s="96" t="s">
        <v>21</v>
      </c>
      <c r="D2345" s="97"/>
      <c r="J2345" s="8"/>
      <c r="K2345" s="8"/>
      <c r="L2345" s="8"/>
      <c r="M2345" s="8"/>
      <c r="N2345" s="8"/>
      <c r="O2345" s="8"/>
      <c r="P2345" s="8"/>
    </row>
    <row r="2346" spans="1:16" s="7" customFormat="1" ht="42.75" customHeight="1" thickBot="1">
      <c r="A2346" s="105">
        <v>600</v>
      </c>
      <c r="B2346" s="106"/>
      <c r="C2346" s="96" t="s">
        <v>7</v>
      </c>
      <c r="D2346" s="97"/>
      <c r="J2346" s="8"/>
      <c r="K2346" s="8"/>
      <c r="L2346" s="8"/>
      <c r="M2346" s="8"/>
      <c r="N2346" s="8"/>
      <c r="O2346" s="8"/>
      <c r="P2346" s="8"/>
    </row>
    <row r="2347" spans="1:16" s="7" customFormat="1" ht="42.75" customHeight="1" thickBot="1">
      <c r="A2347" s="107" t="s">
        <v>17</v>
      </c>
      <c r="B2347" s="108"/>
      <c r="C2347" s="108"/>
      <c r="D2347" s="109"/>
      <c r="J2347" s="8"/>
      <c r="K2347" s="8"/>
      <c r="L2347" s="8"/>
      <c r="M2347" s="8"/>
      <c r="N2347" s="8"/>
      <c r="O2347" s="8"/>
      <c r="P2347" s="8"/>
    </row>
    <row r="2348" spans="1:16" s="7" customFormat="1" ht="42.75" customHeight="1" thickBot="1">
      <c r="A2348" s="110" t="s">
        <v>20</v>
      </c>
      <c r="B2348" s="111"/>
      <c r="C2348" s="111"/>
      <c r="D2348" s="112"/>
      <c r="J2348" s="8"/>
      <c r="K2348" s="8"/>
      <c r="L2348" s="8"/>
      <c r="M2348" s="8"/>
      <c r="N2348" s="8"/>
      <c r="O2348" s="8"/>
      <c r="P2348" s="8"/>
    </row>
    <row r="2349" spans="1:16" s="7" customFormat="1" ht="42.75" customHeight="1" thickBot="1">
      <c r="A2349" s="113" t="s">
        <v>18</v>
      </c>
      <c r="B2349" s="114"/>
      <c r="C2349" s="114"/>
      <c r="D2349" s="115"/>
      <c r="J2349" s="8"/>
      <c r="K2349" s="8"/>
      <c r="L2349" s="8"/>
      <c r="M2349" s="8"/>
      <c r="N2349" s="8"/>
      <c r="O2349" s="8"/>
      <c r="P2349" s="8"/>
    </row>
    <row r="2350" spans="1:16" s="7" customFormat="1" ht="42.75" customHeight="1" thickBot="1">
      <c r="A2350" s="126" t="s">
        <v>19</v>
      </c>
      <c r="B2350" s="127"/>
      <c r="C2350" s="127"/>
      <c r="D2350" s="128"/>
      <c r="J2350" s="8"/>
      <c r="K2350" s="8"/>
      <c r="L2350" s="8"/>
      <c r="M2350" s="8"/>
      <c r="N2350" s="8"/>
      <c r="O2350" s="8"/>
      <c r="P2350" s="8"/>
    </row>
    <row r="2351" spans="1:16" s="7" customFormat="1" ht="42.75" customHeight="1" thickBot="1">
      <c r="A2351" s="123" t="s">
        <v>11</v>
      </c>
      <c r="B2351" s="124"/>
      <c r="C2351" s="125" t="s">
        <v>603</v>
      </c>
      <c r="D2351" s="124"/>
      <c r="J2351" s="8"/>
      <c r="K2351" s="8"/>
      <c r="L2351" s="8"/>
      <c r="M2351" s="8"/>
      <c r="N2351" s="8"/>
      <c r="O2351" s="8"/>
      <c r="P2351" s="8"/>
    </row>
    <row r="2352" spans="1:16" s="7" customFormat="1" ht="42.75" customHeight="1" thickBot="1">
      <c r="A2352" s="1" t="s">
        <v>686</v>
      </c>
      <c r="B2352" s="26" t="s">
        <v>1</v>
      </c>
      <c r="C2352" s="90" t="s">
        <v>189</v>
      </c>
      <c r="D2352" s="91"/>
      <c r="J2352" s="8"/>
      <c r="K2352" s="8"/>
      <c r="L2352" s="8"/>
      <c r="M2352" s="8"/>
      <c r="N2352" s="8"/>
      <c r="O2352" s="8"/>
      <c r="P2352" s="8"/>
    </row>
    <row r="2353" spans="1:16" s="7" customFormat="1" ht="42.75" customHeight="1" thickBot="1">
      <c r="A2353" s="26"/>
      <c r="B2353" s="26" t="s">
        <v>0</v>
      </c>
      <c r="C2353" s="5" t="s">
        <v>687</v>
      </c>
      <c r="D2353" s="4" t="s">
        <v>2</v>
      </c>
      <c r="J2353" s="8"/>
      <c r="K2353" s="8"/>
      <c r="L2353" s="8"/>
      <c r="M2353" s="8"/>
      <c r="N2353" s="8"/>
      <c r="O2353" s="8"/>
      <c r="P2353" s="8"/>
    </row>
    <row r="2354" spans="1:16" s="7" customFormat="1" ht="42.75" customHeight="1" thickBot="1">
      <c r="A2354" s="92">
        <v>955</v>
      </c>
      <c r="B2354" s="93"/>
      <c r="C2354" s="94" t="s">
        <v>3</v>
      </c>
      <c r="D2354" s="95"/>
      <c r="J2354" s="8"/>
      <c r="K2354" s="8"/>
      <c r="L2354" s="8"/>
      <c r="M2354" s="8"/>
      <c r="N2354" s="8"/>
      <c r="O2354" s="8"/>
      <c r="P2354" s="8"/>
    </row>
    <row r="2355" spans="1:16" s="7" customFormat="1" ht="42.75" customHeight="1" thickBot="1">
      <c r="A2355" s="92">
        <v>955</v>
      </c>
      <c r="B2355" s="93"/>
      <c r="C2355" s="96" t="s">
        <v>4</v>
      </c>
      <c r="D2355" s="97"/>
      <c r="J2355" s="8"/>
      <c r="K2355" s="8"/>
      <c r="L2355" s="8"/>
      <c r="M2355" s="8"/>
      <c r="N2355" s="8"/>
      <c r="O2355" s="8"/>
      <c r="P2355" s="8"/>
    </row>
    <row r="2356" spans="1:16" s="7" customFormat="1" ht="42.75" customHeight="1" thickBot="1">
      <c r="A2356" s="98">
        <f>A2355-A2354</f>
        <v>0</v>
      </c>
      <c r="B2356" s="99"/>
      <c r="C2356" s="100" t="s">
        <v>5</v>
      </c>
      <c r="D2356" s="97"/>
      <c r="J2356" s="8"/>
      <c r="K2356" s="8"/>
      <c r="L2356" s="8"/>
      <c r="M2356" s="8"/>
      <c r="N2356" s="8"/>
      <c r="O2356" s="8"/>
      <c r="P2356" s="8"/>
    </row>
    <row r="2357" spans="1:16" s="7" customFormat="1" ht="42.75" customHeight="1" thickBot="1">
      <c r="A2357" s="101">
        <v>62</v>
      </c>
      <c r="B2357" s="102"/>
      <c r="C2357" s="96" t="s">
        <v>6</v>
      </c>
      <c r="D2357" s="97"/>
      <c r="J2357" s="8"/>
      <c r="K2357" s="8"/>
      <c r="L2357" s="8"/>
      <c r="M2357" s="8"/>
      <c r="N2357" s="8"/>
      <c r="O2357" s="8"/>
      <c r="P2357" s="8"/>
    </row>
    <row r="2358" spans="1:16" s="7" customFormat="1" ht="42.75" customHeight="1" thickBot="1">
      <c r="A2358" s="103"/>
      <c r="B2358" s="104"/>
      <c r="C2358" s="96" t="s">
        <v>21</v>
      </c>
      <c r="D2358" s="97"/>
      <c r="J2358" s="8"/>
      <c r="K2358" s="8"/>
      <c r="L2358" s="8"/>
      <c r="M2358" s="8"/>
      <c r="N2358" s="8"/>
      <c r="O2358" s="8"/>
      <c r="P2358" s="8"/>
    </row>
    <row r="2359" spans="1:16" s="7" customFormat="1" ht="42.75" customHeight="1" thickBot="1">
      <c r="A2359" s="105">
        <f>A2357*A2356</f>
        <v>0</v>
      </c>
      <c r="B2359" s="106"/>
      <c r="C2359" s="96" t="s">
        <v>7</v>
      </c>
      <c r="D2359" s="97"/>
      <c r="J2359" s="8"/>
      <c r="K2359" s="8"/>
      <c r="L2359" s="8"/>
      <c r="M2359" s="8"/>
      <c r="N2359" s="8"/>
      <c r="O2359" s="8"/>
      <c r="P2359" s="8"/>
    </row>
    <row r="2360" spans="1:16" s="7" customFormat="1" ht="42.75" customHeight="1" thickBot="1">
      <c r="A2360" s="107" t="s">
        <v>17</v>
      </c>
      <c r="B2360" s="108"/>
      <c r="C2360" s="108"/>
      <c r="D2360" s="109"/>
      <c r="J2360" s="8"/>
      <c r="K2360" s="8"/>
      <c r="L2360" s="8"/>
      <c r="M2360" s="8"/>
      <c r="N2360" s="8"/>
      <c r="O2360" s="8"/>
      <c r="P2360" s="8"/>
    </row>
    <row r="2361" spans="1:16" s="7" customFormat="1" ht="42.75" customHeight="1" thickBot="1">
      <c r="A2361" s="116" t="s">
        <v>20</v>
      </c>
      <c r="B2361" s="117"/>
      <c r="C2361" s="117"/>
      <c r="D2361" s="118"/>
      <c r="J2361" s="8"/>
      <c r="K2361" s="8"/>
      <c r="L2361" s="8"/>
      <c r="M2361" s="8"/>
      <c r="N2361" s="8"/>
      <c r="O2361" s="8"/>
      <c r="P2361" s="8"/>
    </row>
    <row r="2362" spans="1:16" s="7" customFormat="1" ht="42.75" customHeight="1" thickBot="1">
      <c r="A2362" s="113" t="s">
        <v>18</v>
      </c>
      <c r="B2362" s="114"/>
      <c r="C2362" s="114"/>
      <c r="D2362" s="115"/>
      <c r="J2362" s="8"/>
      <c r="K2362" s="8"/>
      <c r="L2362" s="8"/>
      <c r="M2362" s="8"/>
      <c r="N2362" s="8"/>
      <c r="O2362" s="8"/>
      <c r="P2362" s="8"/>
    </row>
    <row r="2363" spans="1:16" s="7" customFormat="1" ht="42.75" customHeight="1" thickBot="1">
      <c r="A2363" s="119"/>
      <c r="B2363" s="119"/>
      <c r="C2363" s="119"/>
      <c r="D2363" s="119"/>
      <c r="J2363" s="8"/>
      <c r="K2363" s="8"/>
      <c r="L2363" s="8"/>
      <c r="M2363" s="8"/>
      <c r="N2363" s="8"/>
      <c r="O2363" s="8"/>
      <c r="P2363" s="8"/>
    </row>
    <row r="2364" spans="1:16" s="7" customFormat="1" ht="42.75" customHeight="1" thickBot="1">
      <c r="A2364" s="126" t="s">
        <v>19</v>
      </c>
      <c r="B2364" s="127"/>
      <c r="C2364" s="127"/>
      <c r="D2364" s="128"/>
      <c r="J2364" s="8"/>
      <c r="K2364" s="8"/>
      <c r="L2364" s="8"/>
      <c r="M2364" s="8"/>
      <c r="N2364" s="8"/>
      <c r="O2364" s="8"/>
      <c r="P2364" s="8"/>
    </row>
    <row r="2365" spans="1:16" s="7" customFormat="1" ht="42.75" customHeight="1" thickBot="1">
      <c r="A2365" s="123" t="s">
        <v>11</v>
      </c>
      <c r="B2365" s="124"/>
      <c r="C2365" s="125" t="s">
        <v>603</v>
      </c>
      <c r="D2365" s="124"/>
      <c r="J2365" s="8"/>
      <c r="K2365" s="8"/>
      <c r="L2365" s="8"/>
      <c r="M2365" s="8"/>
      <c r="N2365" s="8"/>
      <c r="O2365" s="8"/>
      <c r="P2365" s="8"/>
    </row>
    <row r="2366" spans="1:16" s="7" customFormat="1" ht="42.75" customHeight="1" thickBot="1">
      <c r="A2366" s="1" t="s">
        <v>686</v>
      </c>
      <c r="B2366" s="26" t="s">
        <v>1</v>
      </c>
      <c r="C2366" s="90" t="s">
        <v>189</v>
      </c>
      <c r="D2366" s="91"/>
      <c r="J2366" s="8"/>
      <c r="K2366" s="8"/>
      <c r="L2366" s="8"/>
      <c r="M2366" s="8"/>
      <c r="N2366" s="8"/>
      <c r="O2366" s="8"/>
      <c r="P2366" s="8"/>
    </row>
    <row r="2367" spans="1:16" s="7" customFormat="1" ht="42.75" customHeight="1" thickBot="1">
      <c r="A2367" s="26"/>
      <c r="B2367" s="26" t="s">
        <v>0</v>
      </c>
      <c r="C2367" s="5" t="s">
        <v>687</v>
      </c>
      <c r="D2367" s="4" t="s">
        <v>2</v>
      </c>
      <c r="J2367" s="8"/>
      <c r="K2367" s="8"/>
      <c r="L2367" s="8"/>
      <c r="M2367" s="8"/>
      <c r="N2367" s="8"/>
      <c r="O2367" s="8"/>
      <c r="P2367" s="8"/>
    </row>
    <row r="2368" spans="1:16" s="7" customFormat="1" ht="42.75" customHeight="1" thickBot="1">
      <c r="A2368" s="92">
        <v>940</v>
      </c>
      <c r="B2368" s="93"/>
      <c r="C2368" s="94" t="s">
        <v>3</v>
      </c>
      <c r="D2368" s="95"/>
      <c r="J2368" s="8"/>
      <c r="K2368" s="8"/>
      <c r="L2368" s="8"/>
      <c r="M2368" s="8"/>
      <c r="N2368" s="8"/>
      <c r="O2368" s="8"/>
      <c r="P2368" s="8"/>
    </row>
    <row r="2369" spans="1:16" s="7" customFormat="1" ht="42.75" customHeight="1" thickBot="1">
      <c r="A2369" s="92">
        <v>955</v>
      </c>
      <c r="B2369" s="93"/>
      <c r="C2369" s="96" t="s">
        <v>4</v>
      </c>
      <c r="D2369" s="97"/>
      <c r="J2369" s="8"/>
      <c r="K2369" s="8"/>
      <c r="L2369" s="8"/>
      <c r="M2369" s="8"/>
      <c r="N2369" s="8"/>
      <c r="O2369" s="8"/>
      <c r="P2369" s="8"/>
    </row>
    <row r="2370" spans="1:16" s="7" customFormat="1" ht="42.75" customHeight="1" thickBot="1">
      <c r="A2370" s="98">
        <f>A2369-A2368</f>
        <v>15</v>
      </c>
      <c r="B2370" s="99"/>
      <c r="C2370" s="100" t="s">
        <v>5</v>
      </c>
      <c r="D2370" s="97"/>
      <c r="J2370" s="8"/>
      <c r="K2370" s="8"/>
      <c r="L2370" s="8"/>
      <c r="M2370" s="8"/>
      <c r="N2370" s="8"/>
      <c r="O2370" s="8"/>
      <c r="P2370" s="8"/>
    </row>
    <row r="2371" spans="1:16" s="7" customFormat="1" ht="42.75" customHeight="1" thickBot="1">
      <c r="A2371" s="101">
        <v>62</v>
      </c>
      <c r="B2371" s="102"/>
      <c r="C2371" s="96" t="s">
        <v>6</v>
      </c>
      <c r="D2371" s="97"/>
      <c r="J2371" s="8"/>
      <c r="K2371" s="8"/>
      <c r="L2371" s="8"/>
      <c r="M2371" s="8"/>
      <c r="N2371" s="8"/>
      <c r="O2371" s="8"/>
      <c r="P2371" s="8"/>
    </row>
    <row r="2372" spans="1:16" s="7" customFormat="1" ht="42.75" customHeight="1" thickBot="1">
      <c r="A2372" s="103"/>
      <c r="B2372" s="104"/>
      <c r="C2372" s="96" t="s">
        <v>21</v>
      </c>
      <c r="D2372" s="97"/>
      <c r="J2372" s="8"/>
      <c r="K2372" s="8"/>
      <c r="L2372" s="8"/>
      <c r="M2372" s="8"/>
      <c r="N2372" s="8"/>
      <c r="O2372" s="8"/>
      <c r="P2372" s="8"/>
    </row>
    <row r="2373" spans="1:16" s="7" customFormat="1" ht="42.75" customHeight="1" thickBot="1">
      <c r="A2373" s="105">
        <v>950</v>
      </c>
      <c r="B2373" s="106"/>
      <c r="C2373" s="96" t="s">
        <v>7</v>
      </c>
      <c r="D2373" s="97"/>
      <c r="J2373" s="8"/>
      <c r="K2373" s="8"/>
      <c r="L2373" s="8"/>
      <c r="M2373" s="8"/>
      <c r="N2373" s="8"/>
      <c r="O2373" s="8"/>
      <c r="P2373" s="8"/>
    </row>
    <row r="2374" spans="1:16" s="7" customFormat="1" ht="42.75" customHeight="1" thickBot="1">
      <c r="A2374" s="107" t="s">
        <v>17</v>
      </c>
      <c r="B2374" s="108"/>
      <c r="C2374" s="108"/>
      <c r="D2374" s="109"/>
      <c r="J2374" s="8"/>
      <c r="K2374" s="8"/>
      <c r="L2374" s="8"/>
      <c r="M2374" s="8"/>
      <c r="N2374" s="8"/>
      <c r="O2374" s="8"/>
      <c r="P2374" s="8"/>
    </row>
    <row r="2375" spans="1:16" s="7" customFormat="1" ht="42.75" customHeight="1" thickBot="1">
      <c r="A2375" s="110" t="s">
        <v>20</v>
      </c>
      <c r="B2375" s="111"/>
      <c r="C2375" s="111"/>
      <c r="D2375" s="112"/>
      <c r="J2375" s="8"/>
      <c r="K2375" s="8"/>
      <c r="L2375" s="8"/>
      <c r="M2375" s="8"/>
      <c r="N2375" s="8"/>
      <c r="O2375" s="8"/>
      <c r="P2375" s="8"/>
    </row>
    <row r="2376" spans="1:16" s="7" customFormat="1" ht="42.75" customHeight="1" thickBot="1">
      <c r="A2376" s="113" t="s">
        <v>18</v>
      </c>
      <c r="B2376" s="114"/>
      <c r="C2376" s="114"/>
      <c r="D2376" s="115"/>
      <c r="J2376" s="8"/>
      <c r="K2376" s="8"/>
      <c r="L2376" s="8"/>
      <c r="M2376" s="8"/>
      <c r="N2376" s="8"/>
      <c r="O2376" s="8"/>
      <c r="P2376" s="8"/>
    </row>
    <row r="2377" spans="1:16" s="7" customFormat="1" ht="42.75" customHeight="1" thickBot="1">
      <c r="A2377" s="126" t="s">
        <v>19</v>
      </c>
      <c r="B2377" s="127"/>
      <c r="C2377" s="127"/>
      <c r="D2377" s="128"/>
      <c r="J2377" s="8"/>
      <c r="K2377" s="8"/>
      <c r="L2377" s="8"/>
      <c r="M2377" s="8"/>
      <c r="N2377" s="8"/>
      <c r="O2377" s="8"/>
      <c r="P2377" s="8"/>
    </row>
    <row r="2378" spans="1:16" s="7" customFormat="1" ht="42.75" customHeight="1" thickBot="1">
      <c r="A2378" s="123" t="s">
        <v>11</v>
      </c>
      <c r="B2378" s="124"/>
      <c r="C2378" s="125" t="s">
        <v>603</v>
      </c>
      <c r="D2378" s="124"/>
      <c r="J2378" s="8"/>
      <c r="K2378" s="8"/>
      <c r="L2378" s="8"/>
      <c r="M2378" s="8"/>
      <c r="N2378" s="8"/>
      <c r="O2378" s="8"/>
      <c r="P2378" s="8"/>
    </row>
    <row r="2379" spans="1:16" s="7" customFormat="1" ht="42.75" customHeight="1" thickBot="1">
      <c r="A2379" s="1" t="s">
        <v>686</v>
      </c>
      <c r="B2379" s="26" t="s">
        <v>1</v>
      </c>
      <c r="C2379" s="90" t="s">
        <v>280</v>
      </c>
      <c r="D2379" s="91"/>
      <c r="J2379" s="8"/>
      <c r="K2379" s="8"/>
      <c r="L2379" s="8"/>
      <c r="M2379" s="8"/>
      <c r="N2379" s="8"/>
      <c r="O2379" s="8"/>
      <c r="P2379" s="8"/>
    </row>
    <row r="2380" spans="1:16" s="7" customFormat="1" ht="42.75" customHeight="1" thickBot="1">
      <c r="A2380" s="26"/>
      <c r="B2380" s="26" t="s">
        <v>0</v>
      </c>
      <c r="C2380" s="5" t="s">
        <v>687</v>
      </c>
      <c r="D2380" s="4" t="s">
        <v>2</v>
      </c>
      <c r="J2380" s="8"/>
      <c r="K2380" s="8"/>
      <c r="L2380" s="8"/>
      <c r="M2380" s="8"/>
      <c r="N2380" s="8"/>
      <c r="O2380" s="8"/>
      <c r="P2380" s="8"/>
    </row>
    <row r="2381" spans="1:16" s="7" customFormat="1" ht="42.75" customHeight="1" thickBot="1">
      <c r="A2381" s="92">
        <v>925</v>
      </c>
      <c r="B2381" s="93"/>
      <c r="C2381" s="94" t="s">
        <v>3</v>
      </c>
      <c r="D2381" s="95"/>
      <c r="J2381" s="8"/>
      <c r="K2381" s="8"/>
      <c r="L2381" s="8"/>
      <c r="M2381" s="8"/>
      <c r="N2381" s="8"/>
      <c r="O2381" s="8"/>
      <c r="P2381" s="8"/>
    </row>
    <row r="2382" spans="1:16" s="7" customFormat="1" ht="42.75" customHeight="1" thickBot="1">
      <c r="A2382" s="92">
        <v>925</v>
      </c>
      <c r="B2382" s="93"/>
      <c r="C2382" s="96" t="s">
        <v>4</v>
      </c>
      <c r="D2382" s="97"/>
      <c r="J2382" s="8"/>
      <c r="K2382" s="8"/>
      <c r="L2382" s="8"/>
      <c r="M2382" s="8"/>
      <c r="N2382" s="8"/>
      <c r="O2382" s="8"/>
      <c r="P2382" s="8"/>
    </row>
    <row r="2383" spans="1:16" s="7" customFormat="1" ht="42.75" customHeight="1" thickBot="1">
      <c r="A2383" s="98">
        <f>A2382-A2381</f>
        <v>0</v>
      </c>
      <c r="B2383" s="99"/>
      <c r="C2383" s="100" t="s">
        <v>5</v>
      </c>
      <c r="D2383" s="97"/>
      <c r="J2383" s="8"/>
      <c r="K2383" s="8"/>
      <c r="L2383" s="8"/>
      <c r="M2383" s="8"/>
      <c r="N2383" s="8"/>
      <c r="O2383" s="8"/>
      <c r="P2383" s="8"/>
    </row>
    <row r="2384" spans="1:16" s="7" customFormat="1" ht="42.75" customHeight="1" thickBot="1">
      <c r="A2384" s="101">
        <v>62</v>
      </c>
      <c r="B2384" s="102"/>
      <c r="C2384" s="96" t="s">
        <v>6</v>
      </c>
      <c r="D2384" s="97"/>
      <c r="J2384" s="8"/>
      <c r="K2384" s="8"/>
      <c r="L2384" s="8"/>
      <c r="M2384" s="8"/>
      <c r="N2384" s="8"/>
      <c r="O2384" s="8"/>
      <c r="P2384" s="8"/>
    </row>
    <row r="2385" spans="1:16" s="7" customFormat="1" ht="42.75" customHeight="1" thickBot="1">
      <c r="A2385" s="103"/>
      <c r="B2385" s="104"/>
      <c r="C2385" s="96" t="s">
        <v>21</v>
      </c>
      <c r="D2385" s="97"/>
      <c r="J2385" s="8"/>
      <c r="K2385" s="8"/>
      <c r="L2385" s="8"/>
      <c r="M2385" s="8"/>
      <c r="N2385" s="8"/>
      <c r="O2385" s="8"/>
      <c r="P2385" s="8"/>
    </row>
    <row r="2386" spans="1:16" s="7" customFormat="1" ht="42.75" customHeight="1" thickBot="1">
      <c r="A2386" s="105">
        <f>A2384*A2383</f>
        <v>0</v>
      </c>
      <c r="B2386" s="106"/>
      <c r="C2386" s="96" t="s">
        <v>7</v>
      </c>
      <c r="D2386" s="97"/>
      <c r="J2386" s="8"/>
      <c r="K2386" s="8"/>
      <c r="L2386" s="8"/>
      <c r="M2386" s="8"/>
      <c r="N2386" s="8"/>
      <c r="O2386" s="8"/>
      <c r="P2386" s="8"/>
    </row>
    <row r="2387" spans="1:16" s="7" customFormat="1" ht="42.75" customHeight="1" thickBot="1">
      <c r="A2387" s="107" t="s">
        <v>17</v>
      </c>
      <c r="B2387" s="108"/>
      <c r="C2387" s="108"/>
      <c r="D2387" s="109"/>
      <c r="J2387" s="8"/>
      <c r="K2387" s="8"/>
      <c r="L2387" s="8"/>
      <c r="M2387" s="8"/>
      <c r="N2387" s="8"/>
      <c r="O2387" s="8"/>
      <c r="P2387" s="8"/>
    </row>
    <row r="2388" spans="1:16" s="7" customFormat="1" ht="42.75" customHeight="1" thickBot="1">
      <c r="A2388" s="116" t="s">
        <v>20</v>
      </c>
      <c r="B2388" s="117"/>
      <c r="C2388" s="117"/>
      <c r="D2388" s="118"/>
      <c r="J2388" s="8"/>
      <c r="K2388" s="8"/>
      <c r="L2388" s="8"/>
      <c r="M2388" s="8"/>
      <c r="N2388" s="8"/>
      <c r="O2388" s="8"/>
      <c r="P2388" s="8"/>
    </row>
    <row r="2389" spans="1:16" s="7" customFormat="1" ht="42.75" customHeight="1" thickBot="1">
      <c r="A2389" s="113" t="s">
        <v>18</v>
      </c>
      <c r="B2389" s="114"/>
      <c r="C2389" s="114"/>
      <c r="D2389" s="115"/>
      <c r="J2389" s="8"/>
      <c r="K2389" s="8"/>
      <c r="L2389" s="8"/>
      <c r="M2389" s="8"/>
      <c r="N2389" s="8"/>
      <c r="O2389" s="8"/>
      <c r="P2389" s="8"/>
    </row>
    <row r="2390" spans="1:16" s="7" customFormat="1" ht="42.75" customHeight="1" thickBot="1">
      <c r="A2390" s="119"/>
      <c r="B2390" s="119"/>
      <c r="C2390" s="119"/>
      <c r="D2390" s="119"/>
      <c r="J2390" s="8"/>
      <c r="K2390" s="8"/>
      <c r="L2390" s="8"/>
      <c r="M2390" s="8"/>
      <c r="N2390" s="8"/>
      <c r="O2390" s="8"/>
      <c r="P2390" s="8"/>
    </row>
    <row r="2391" spans="1:16" s="7" customFormat="1" ht="42.75" customHeight="1" thickBot="1">
      <c r="A2391" s="126" t="s">
        <v>19</v>
      </c>
      <c r="B2391" s="127"/>
      <c r="C2391" s="127"/>
      <c r="D2391" s="128"/>
      <c r="J2391" s="8"/>
      <c r="K2391" s="8"/>
      <c r="L2391" s="8"/>
      <c r="M2391" s="8"/>
      <c r="N2391" s="8"/>
      <c r="O2391" s="8"/>
      <c r="P2391" s="8"/>
    </row>
    <row r="2392" spans="1:16" s="7" customFormat="1" ht="42.75" customHeight="1" thickBot="1">
      <c r="A2392" s="123" t="s">
        <v>11</v>
      </c>
      <c r="B2392" s="124"/>
      <c r="C2392" s="125" t="s">
        <v>603</v>
      </c>
      <c r="D2392" s="124"/>
      <c r="J2392" s="8"/>
      <c r="K2392" s="8"/>
      <c r="L2392" s="8"/>
      <c r="M2392" s="8"/>
      <c r="N2392" s="8"/>
      <c r="O2392" s="8"/>
      <c r="P2392" s="8"/>
    </row>
    <row r="2393" spans="1:16" s="7" customFormat="1" ht="42.75" customHeight="1" thickBot="1">
      <c r="A2393" s="1" t="s">
        <v>686</v>
      </c>
      <c r="B2393" s="26" t="s">
        <v>1</v>
      </c>
      <c r="C2393" s="90" t="s">
        <v>280</v>
      </c>
      <c r="D2393" s="91"/>
      <c r="J2393" s="8"/>
      <c r="K2393" s="8"/>
      <c r="L2393" s="8"/>
      <c r="M2393" s="8"/>
      <c r="N2393" s="8"/>
      <c r="O2393" s="8"/>
      <c r="P2393" s="8"/>
    </row>
    <row r="2394" spans="1:16" s="7" customFormat="1" ht="42.75" customHeight="1" thickBot="1">
      <c r="A2394" s="26"/>
      <c r="B2394" s="26" t="s">
        <v>0</v>
      </c>
      <c r="C2394" s="5" t="s">
        <v>687</v>
      </c>
      <c r="D2394" s="4" t="s">
        <v>2</v>
      </c>
      <c r="J2394" s="8"/>
      <c r="K2394" s="8"/>
      <c r="L2394" s="8"/>
      <c r="M2394" s="8"/>
      <c r="N2394" s="8"/>
      <c r="O2394" s="8"/>
      <c r="P2394" s="8"/>
    </row>
    <row r="2395" spans="1:16" s="7" customFormat="1" ht="42.75" customHeight="1" thickBot="1">
      <c r="A2395" s="92">
        <v>905</v>
      </c>
      <c r="B2395" s="93"/>
      <c r="C2395" s="94" t="s">
        <v>3</v>
      </c>
      <c r="D2395" s="95"/>
      <c r="J2395" s="8"/>
      <c r="K2395" s="8"/>
      <c r="L2395" s="8"/>
      <c r="M2395" s="8"/>
      <c r="N2395" s="8"/>
      <c r="O2395" s="8"/>
      <c r="P2395" s="8"/>
    </row>
    <row r="2396" spans="1:16" s="7" customFormat="1" ht="42.75" customHeight="1" thickBot="1">
      <c r="A2396" s="92">
        <v>925</v>
      </c>
      <c r="B2396" s="93"/>
      <c r="C2396" s="96" t="s">
        <v>4</v>
      </c>
      <c r="D2396" s="97"/>
      <c r="J2396" s="8"/>
      <c r="K2396" s="8"/>
      <c r="L2396" s="8"/>
      <c r="M2396" s="8"/>
      <c r="N2396" s="8"/>
      <c r="O2396" s="8"/>
      <c r="P2396" s="8"/>
    </row>
    <row r="2397" spans="1:16" s="7" customFormat="1" ht="42.75" customHeight="1" thickBot="1">
      <c r="A2397" s="98">
        <f>A2396-A2395</f>
        <v>20</v>
      </c>
      <c r="B2397" s="99"/>
      <c r="C2397" s="100" t="s">
        <v>5</v>
      </c>
      <c r="D2397" s="97"/>
      <c r="J2397" s="8"/>
      <c r="K2397" s="8"/>
      <c r="L2397" s="8"/>
      <c r="M2397" s="8"/>
      <c r="N2397" s="8"/>
      <c r="O2397" s="8"/>
      <c r="P2397" s="8"/>
    </row>
    <row r="2398" spans="1:16" s="7" customFormat="1" ht="42.75" customHeight="1" thickBot="1">
      <c r="A2398" s="101">
        <v>62</v>
      </c>
      <c r="B2398" s="102"/>
      <c r="C2398" s="96" t="s">
        <v>6</v>
      </c>
      <c r="D2398" s="97"/>
      <c r="J2398" s="8"/>
      <c r="K2398" s="8"/>
      <c r="L2398" s="8"/>
      <c r="M2398" s="8"/>
      <c r="N2398" s="8"/>
      <c r="O2398" s="8"/>
      <c r="P2398" s="8"/>
    </row>
    <row r="2399" spans="1:16" s="7" customFormat="1" ht="42.75" customHeight="1" thickBot="1">
      <c r="A2399" s="103"/>
      <c r="B2399" s="104"/>
      <c r="C2399" s="96" t="s">
        <v>21</v>
      </c>
      <c r="D2399" s="97"/>
      <c r="J2399" s="8"/>
      <c r="K2399" s="8"/>
      <c r="L2399" s="8"/>
      <c r="M2399" s="8"/>
      <c r="N2399" s="8"/>
      <c r="O2399" s="8"/>
      <c r="P2399" s="8"/>
    </row>
    <row r="2400" spans="1:16" s="7" customFormat="1" ht="42.75" customHeight="1" thickBot="1">
      <c r="A2400" s="105">
        <v>1250</v>
      </c>
      <c r="B2400" s="106"/>
      <c r="C2400" s="96" t="s">
        <v>7</v>
      </c>
      <c r="D2400" s="97"/>
      <c r="J2400" s="8"/>
      <c r="K2400" s="8"/>
      <c r="L2400" s="8"/>
      <c r="M2400" s="8"/>
      <c r="N2400" s="8"/>
      <c r="O2400" s="8"/>
      <c r="P2400" s="8"/>
    </row>
    <row r="2401" spans="1:16" s="7" customFormat="1" ht="42.75" customHeight="1" thickBot="1">
      <c r="A2401" s="107" t="s">
        <v>17</v>
      </c>
      <c r="B2401" s="108"/>
      <c r="C2401" s="108"/>
      <c r="D2401" s="109"/>
      <c r="J2401" s="8"/>
      <c r="K2401" s="8"/>
      <c r="L2401" s="8"/>
      <c r="M2401" s="8"/>
      <c r="N2401" s="8"/>
      <c r="O2401" s="8"/>
      <c r="P2401" s="8"/>
    </row>
    <row r="2402" spans="1:16" s="7" customFormat="1" ht="42.75" customHeight="1" thickBot="1">
      <c r="A2402" s="110" t="s">
        <v>20</v>
      </c>
      <c r="B2402" s="111"/>
      <c r="C2402" s="111"/>
      <c r="D2402" s="112"/>
      <c r="J2402" s="8"/>
      <c r="K2402" s="8"/>
      <c r="L2402" s="8"/>
      <c r="M2402" s="8"/>
      <c r="N2402" s="8"/>
      <c r="O2402" s="8"/>
      <c r="P2402" s="8"/>
    </row>
    <row r="2403" spans="1:16" s="7" customFormat="1" ht="42.75" customHeight="1" thickBot="1">
      <c r="A2403" s="113" t="s">
        <v>18</v>
      </c>
      <c r="B2403" s="114"/>
      <c r="C2403" s="114"/>
      <c r="D2403" s="115"/>
      <c r="J2403" s="8"/>
      <c r="K2403" s="8"/>
      <c r="L2403" s="8"/>
      <c r="M2403" s="8"/>
      <c r="N2403" s="8"/>
      <c r="O2403" s="8"/>
      <c r="P2403" s="8"/>
    </row>
    <row r="2404" spans="1:16" s="7" customFormat="1" ht="42.75" customHeight="1" thickBot="1">
      <c r="A2404" s="126" t="s">
        <v>19</v>
      </c>
      <c r="B2404" s="127"/>
      <c r="C2404" s="127"/>
      <c r="D2404" s="128"/>
      <c r="J2404" s="8"/>
      <c r="K2404" s="8"/>
      <c r="L2404" s="8"/>
      <c r="M2404" s="8"/>
      <c r="N2404" s="8"/>
      <c r="O2404" s="8"/>
      <c r="P2404" s="8"/>
    </row>
    <row r="2405" spans="1:16" s="7" customFormat="1" ht="42.75" customHeight="1" thickBot="1">
      <c r="A2405" s="123" t="s">
        <v>11</v>
      </c>
      <c r="B2405" s="124"/>
      <c r="C2405" s="125" t="s">
        <v>603</v>
      </c>
      <c r="D2405" s="124"/>
      <c r="J2405" s="8"/>
      <c r="K2405" s="8"/>
      <c r="L2405" s="8"/>
      <c r="M2405" s="8"/>
      <c r="N2405" s="8"/>
      <c r="O2405" s="8"/>
      <c r="P2405" s="8"/>
    </row>
    <row r="2406" spans="1:16" s="7" customFormat="1" ht="42.75" customHeight="1" thickBot="1">
      <c r="A2406" s="1" t="s">
        <v>686</v>
      </c>
      <c r="B2406" s="26" t="s">
        <v>1</v>
      </c>
      <c r="C2406" s="90" t="s">
        <v>281</v>
      </c>
      <c r="D2406" s="91"/>
      <c r="J2406" s="8"/>
      <c r="K2406" s="8"/>
      <c r="L2406" s="8"/>
      <c r="M2406" s="8"/>
      <c r="N2406" s="8"/>
      <c r="O2406" s="8"/>
      <c r="P2406" s="8"/>
    </row>
    <row r="2407" spans="1:16" s="7" customFormat="1" ht="42.75" customHeight="1" thickBot="1">
      <c r="A2407" s="26"/>
      <c r="B2407" s="26" t="s">
        <v>0</v>
      </c>
      <c r="C2407" s="5" t="s">
        <v>687</v>
      </c>
      <c r="D2407" s="4" t="s">
        <v>2</v>
      </c>
      <c r="J2407" s="8"/>
      <c r="K2407" s="8"/>
      <c r="L2407" s="8"/>
      <c r="M2407" s="8"/>
      <c r="N2407" s="8"/>
      <c r="O2407" s="8"/>
      <c r="P2407" s="8"/>
    </row>
    <row r="2408" spans="1:16" s="7" customFormat="1" ht="42.75" customHeight="1" thickBot="1">
      <c r="A2408" s="92">
        <v>2300</v>
      </c>
      <c r="B2408" s="93"/>
      <c r="C2408" s="94" t="s">
        <v>3</v>
      </c>
      <c r="D2408" s="95"/>
      <c r="J2408" s="8"/>
      <c r="K2408" s="8"/>
      <c r="L2408" s="8"/>
      <c r="M2408" s="8"/>
      <c r="N2408" s="8"/>
      <c r="O2408" s="8"/>
      <c r="P2408" s="8"/>
    </row>
    <row r="2409" spans="1:16" s="7" customFormat="1" ht="42.75" customHeight="1" thickBot="1">
      <c r="A2409" s="92">
        <v>2300</v>
      </c>
      <c r="B2409" s="93"/>
      <c r="C2409" s="96" t="s">
        <v>4</v>
      </c>
      <c r="D2409" s="97"/>
      <c r="J2409" s="8"/>
      <c r="K2409" s="8"/>
      <c r="L2409" s="8"/>
      <c r="M2409" s="8"/>
      <c r="N2409" s="8"/>
      <c r="O2409" s="8"/>
      <c r="P2409" s="8"/>
    </row>
    <row r="2410" spans="1:16" s="7" customFormat="1" ht="42.75" customHeight="1" thickBot="1">
      <c r="A2410" s="98">
        <f>A2409-A2408</f>
        <v>0</v>
      </c>
      <c r="B2410" s="99"/>
      <c r="C2410" s="100" t="s">
        <v>5</v>
      </c>
      <c r="D2410" s="97"/>
      <c r="J2410" s="8"/>
      <c r="K2410" s="8"/>
      <c r="L2410" s="8"/>
      <c r="M2410" s="8"/>
      <c r="N2410" s="8"/>
      <c r="O2410" s="8"/>
      <c r="P2410" s="8"/>
    </row>
    <row r="2411" spans="1:16" s="7" customFormat="1" ht="42.75" customHeight="1" thickBot="1">
      <c r="A2411" s="101">
        <v>55</v>
      </c>
      <c r="B2411" s="102"/>
      <c r="C2411" s="96" t="s">
        <v>6</v>
      </c>
      <c r="D2411" s="97"/>
      <c r="J2411" s="8"/>
      <c r="K2411" s="8"/>
      <c r="L2411" s="8"/>
      <c r="M2411" s="8"/>
      <c r="N2411" s="8"/>
      <c r="O2411" s="8"/>
      <c r="P2411" s="8"/>
    </row>
    <row r="2412" spans="1:16" s="7" customFormat="1" ht="42.75" customHeight="1" thickBot="1">
      <c r="A2412" s="103"/>
      <c r="B2412" s="104"/>
      <c r="C2412" s="96" t="s">
        <v>21</v>
      </c>
      <c r="D2412" s="97"/>
      <c r="J2412" s="8"/>
      <c r="K2412" s="8"/>
      <c r="L2412" s="8"/>
      <c r="M2412" s="8"/>
      <c r="N2412" s="8"/>
      <c r="O2412" s="8"/>
      <c r="P2412" s="8"/>
    </row>
    <row r="2413" spans="1:16" s="7" customFormat="1" ht="42.75" customHeight="1" thickBot="1">
      <c r="A2413" s="105">
        <f>A2411*A2410</f>
        <v>0</v>
      </c>
      <c r="B2413" s="106"/>
      <c r="C2413" s="96" t="s">
        <v>7</v>
      </c>
      <c r="D2413" s="97"/>
      <c r="J2413" s="8"/>
      <c r="K2413" s="8"/>
      <c r="L2413" s="8"/>
      <c r="M2413" s="8"/>
      <c r="N2413" s="8"/>
      <c r="O2413" s="8"/>
      <c r="P2413" s="8"/>
    </row>
    <row r="2414" spans="1:16" s="7" customFormat="1" ht="42.75" customHeight="1" thickBot="1">
      <c r="A2414" s="107" t="s">
        <v>17</v>
      </c>
      <c r="B2414" s="108"/>
      <c r="C2414" s="108"/>
      <c r="D2414" s="109"/>
      <c r="J2414" s="8"/>
      <c r="K2414" s="8"/>
      <c r="L2414" s="8"/>
      <c r="M2414" s="8"/>
      <c r="N2414" s="8"/>
      <c r="O2414" s="8"/>
      <c r="P2414" s="8"/>
    </row>
    <row r="2415" spans="1:16" s="7" customFormat="1" ht="42.75" customHeight="1" thickBot="1">
      <c r="A2415" s="116" t="s">
        <v>20</v>
      </c>
      <c r="B2415" s="117"/>
      <c r="C2415" s="117"/>
      <c r="D2415" s="118"/>
      <c r="J2415" s="8"/>
      <c r="K2415" s="8"/>
      <c r="L2415" s="8"/>
      <c r="M2415" s="8"/>
      <c r="N2415" s="8"/>
      <c r="O2415" s="8"/>
      <c r="P2415" s="8"/>
    </row>
    <row r="2416" spans="1:16" s="7" customFormat="1" ht="42.75" customHeight="1" thickBot="1">
      <c r="A2416" s="113" t="s">
        <v>18</v>
      </c>
      <c r="B2416" s="114"/>
      <c r="C2416" s="114"/>
      <c r="D2416" s="115"/>
      <c r="J2416" s="8"/>
      <c r="K2416" s="8"/>
      <c r="L2416" s="8"/>
      <c r="M2416" s="8"/>
      <c r="N2416" s="8"/>
      <c r="O2416" s="8"/>
      <c r="P2416" s="8"/>
    </row>
    <row r="2417" spans="1:16" s="7" customFormat="1" ht="42.75" customHeight="1" thickBot="1">
      <c r="A2417" s="119"/>
      <c r="B2417" s="119"/>
      <c r="C2417" s="119"/>
      <c r="D2417" s="119"/>
      <c r="J2417" s="8"/>
      <c r="K2417" s="8"/>
      <c r="L2417" s="8"/>
      <c r="M2417" s="8"/>
      <c r="N2417" s="8"/>
      <c r="O2417" s="8"/>
      <c r="P2417" s="8"/>
    </row>
    <row r="2418" spans="1:16" s="7" customFormat="1" ht="42.75" customHeight="1" thickBot="1">
      <c r="A2418" s="126" t="s">
        <v>19</v>
      </c>
      <c r="B2418" s="127"/>
      <c r="C2418" s="127"/>
      <c r="D2418" s="128"/>
      <c r="J2418" s="8"/>
      <c r="K2418" s="8"/>
      <c r="L2418" s="8"/>
      <c r="M2418" s="8"/>
      <c r="N2418" s="8"/>
      <c r="O2418" s="8"/>
      <c r="P2418" s="8"/>
    </row>
    <row r="2419" spans="1:16" s="7" customFormat="1" ht="42.75" customHeight="1" thickBot="1">
      <c r="A2419" s="123" t="s">
        <v>11</v>
      </c>
      <c r="B2419" s="124"/>
      <c r="C2419" s="125" t="s">
        <v>603</v>
      </c>
      <c r="D2419" s="124"/>
      <c r="J2419" s="8"/>
      <c r="K2419" s="8"/>
      <c r="L2419" s="8"/>
      <c r="M2419" s="8"/>
      <c r="N2419" s="8"/>
      <c r="O2419" s="8"/>
      <c r="P2419" s="8"/>
    </row>
    <row r="2420" spans="1:16" s="7" customFormat="1" ht="42.75" customHeight="1" thickBot="1">
      <c r="A2420" s="1" t="s">
        <v>686</v>
      </c>
      <c r="B2420" s="26" t="s">
        <v>1</v>
      </c>
      <c r="C2420" s="90" t="s">
        <v>281</v>
      </c>
      <c r="D2420" s="91"/>
      <c r="J2420" s="8"/>
      <c r="K2420" s="8"/>
      <c r="L2420" s="8"/>
      <c r="M2420" s="8"/>
      <c r="N2420" s="8"/>
      <c r="O2420" s="8"/>
      <c r="P2420" s="8"/>
    </row>
    <row r="2421" spans="1:16" s="7" customFormat="1" ht="42.75" customHeight="1" thickBot="1">
      <c r="A2421" s="26"/>
      <c r="B2421" s="26" t="s">
        <v>0</v>
      </c>
      <c r="C2421" s="5" t="s">
        <v>687</v>
      </c>
      <c r="D2421" s="4" t="s">
        <v>2</v>
      </c>
      <c r="J2421" s="8"/>
      <c r="K2421" s="8"/>
      <c r="L2421" s="8"/>
      <c r="M2421" s="8"/>
      <c r="N2421" s="8"/>
      <c r="O2421" s="8"/>
      <c r="P2421" s="8"/>
    </row>
    <row r="2422" spans="1:16" s="7" customFormat="1" ht="42.75" customHeight="1" thickBot="1">
      <c r="A2422" s="92">
        <v>2230</v>
      </c>
      <c r="B2422" s="93"/>
      <c r="C2422" s="94" t="s">
        <v>3</v>
      </c>
      <c r="D2422" s="95"/>
      <c r="J2422" s="8"/>
      <c r="K2422" s="8"/>
      <c r="L2422" s="8"/>
      <c r="M2422" s="8"/>
      <c r="N2422" s="8"/>
      <c r="O2422" s="8"/>
      <c r="P2422" s="8"/>
    </row>
    <row r="2423" spans="1:16" s="7" customFormat="1" ht="42.75" customHeight="1" thickBot="1">
      <c r="A2423" s="92">
        <v>2300</v>
      </c>
      <c r="B2423" s="93"/>
      <c r="C2423" s="96" t="s">
        <v>4</v>
      </c>
      <c r="D2423" s="97"/>
      <c r="J2423" s="8"/>
      <c r="K2423" s="8"/>
      <c r="L2423" s="8"/>
      <c r="M2423" s="8"/>
      <c r="N2423" s="8"/>
      <c r="O2423" s="8"/>
      <c r="P2423" s="8"/>
    </row>
    <row r="2424" spans="1:16" s="7" customFormat="1" ht="42.75" customHeight="1" thickBot="1">
      <c r="A2424" s="98">
        <f>A2423-A2422</f>
        <v>70</v>
      </c>
      <c r="B2424" s="99"/>
      <c r="C2424" s="100" t="s">
        <v>5</v>
      </c>
      <c r="D2424" s="97"/>
      <c r="J2424" s="8"/>
      <c r="K2424" s="8"/>
      <c r="L2424" s="8"/>
      <c r="M2424" s="8"/>
      <c r="N2424" s="8"/>
      <c r="O2424" s="8"/>
      <c r="P2424" s="8"/>
    </row>
    <row r="2425" spans="1:16" s="7" customFormat="1" ht="42.75" customHeight="1" thickBot="1">
      <c r="A2425" s="101">
        <v>62</v>
      </c>
      <c r="B2425" s="102"/>
      <c r="C2425" s="96" t="s">
        <v>6</v>
      </c>
      <c r="D2425" s="97"/>
      <c r="J2425" s="8"/>
      <c r="K2425" s="8"/>
      <c r="L2425" s="8"/>
      <c r="M2425" s="8"/>
      <c r="N2425" s="8"/>
      <c r="O2425" s="8"/>
      <c r="P2425" s="8"/>
    </row>
    <row r="2426" spans="1:16" s="7" customFormat="1" ht="42.75" customHeight="1" thickBot="1">
      <c r="A2426" s="103"/>
      <c r="B2426" s="104"/>
      <c r="C2426" s="96" t="s">
        <v>21</v>
      </c>
      <c r="D2426" s="97"/>
      <c r="J2426" s="8"/>
      <c r="K2426" s="8"/>
      <c r="L2426" s="8"/>
      <c r="M2426" s="8"/>
      <c r="N2426" s="8"/>
      <c r="O2426" s="8"/>
      <c r="P2426" s="8"/>
    </row>
    <row r="2427" spans="1:16" s="7" customFormat="1" ht="42.75" customHeight="1" thickBot="1">
      <c r="A2427" s="105">
        <f>A2425*A2424</f>
        <v>4340</v>
      </c>
      <c r="B2427" s="106"/>
      <c r="C2427" s="96" t="s">
        <v>7</v>
      </c>
      <c r="D2427" s="97"/>
      <c r="J2427" s="8"/>
      <c r="K2427" s="8"/>
      <c r="L2427" s="8"/>
      <c r="M2427" s="8"/>
      <c r="N2427" s="8"/>
      <c r="O2427" s="8"/>
      <c r="P2427" s="8"/>
    </row>
    <row r="2428" spans="1:16" s="7" customFormat="1" ht="42.75" customHeight="1" thickBot="1">
      <c r="A2428" s="107" t="s">
        <v>17</v>
      </c>
      <c r="B2428" s="108"/>
      <c r="C2428" s="108"/>
      <c r="D2428" s="109"/>
      <c r="J2428" s="8"/>
      <c r="K2428" s="8"/>
      <c r="L2428" s="8"/>
      <c r="M2428" s="8"/>
      <c r="N2428" s="8"/>
      <c r="O2428" s="8"/>
      <c r="P2428" s="8"/>
    </row>
    <row r="2429" spans="1:16" s="7" customFormat="1" ht="42.75" customHeight="1" thickBot="1">
      <c r="A2429" s="110" t="s">
        <v>20</v>
      </c>
      <c r="B2429" s="111"/>
      <c r="C2429" s="111"/>
      <c r="D2429" s="112"/>
      <c r="J2429" s="8"/>
      <c r="K2429" s="8"/>
      <c r="L2429" s="8"/>
      <c r="M2429" s="8"/>
      <c r="N2429" s="8"/>
      <c r="O2429" s="8"/>
      <c r="P2429" s="8"/>
    </row>
    <row r="2430" spans="1:16" s="7" customFormat="1" ht="42.75" customHeight="1" thickBot="1">
      <c r="A2430" s="113" t="s">
        <v>18</v>
      </c>
      <c r="B2430" s="114"/>
      <c r="C2430" s="114"/>
      <c r="D2430" s="115"/>
      <c r="J2430" s="8"/>
      <c r="K2430" s="8"/>
      <c r="L2430" s="8"/>
      <c r="M2430" s="8"/>
      <c r="N2430" s="8"/>
      <c r="O2430" s="8"/>
      <c r="P2430" s="8"/>
    </row>
    <row r="2431" spans="1:16" s="7" customFormat="1" ht="42.75" customHeight="1" thickBot="1">
      <c r="A2431" s="126" t="s">
        <v>19</v>
      </c>
      <c r="B2431" s="127"/>
      <c r="C2431" s="127"/>
      <c r="D2431" s="128"/>
      <c r="J2431" s="8"/>
      <c r="K2431" s="8"/>
      <c r="L2431" s="8"/>
      <c r="M2431" s="8"/>
      <c r="N2431" s="8"/>
      <c r="O2431" s="8"/>
      <c r="P2431" s="8"/>
    </row>
    <row r="2432" spans="1:16" s="7" customFormat="1" ht="42.75" customHeight="1" thickBot="1">
      <c r="A2432" s="123" t="s">
        <v>11</v>
      </c>
      <c r="B2432" s="124"/>
      <c r="C2432" s="125" t="s">
        <v>603</v>
      </c>
      <c r="D2432" s="124"/>
      <c r="J2432" s="8"/>
      <c r="K2432" s="8"/>
      <c r="L2432" s="8"/>
      <c r="M2432" s="8"/>
      <c r="N2432" s="8"/>
      <c r="O2432" s="8"/>
      <c r="P2432" s="8"/>
    </row>
    <row r="2433" spans="1:16" s="7" customFormat="1" ht="42.75" customHeight="1" thickBot="1">
      <c r="A2433" s="1" t="s">
        <v>686</v>
      </c>
      <c r="B2433" s="26" t="s">
        <v>1</v>
      </c>
      <c r="C2433" s="90" t="s">
        <v>282</v>
      </c>
      <c r="D2433" s="91"/>
      <c r="J2433" s="8"/>
      <c r="K2433" s="8"/>
      <c r="L2433" s="8"/>
      <c r="M2433" s="8"/>
      <c r="N2433" s="8"/>
      <c r="O2433" s="8"/>
      <c r="P2433" s="8"/>
    </row>
    <row r="2434" spans="1:16" s="7" customFormat="1" ht="42.75" customHeight="1" thickBot="1">
      <c r="A2434" s="26"/>
      <c r="B2434" s="26" t="s">
        <v>0</v>
      </c>
      <c r="C2434" s="5" t="s">
        <v>687</v>
      </c>
      <c r="D2434" s="4" t="s">
        <v>2</v>
      </c>
      <c r="J2434" s="8"/>
      <c r="K2434" s="8"/>
      <c r="L2434" s="8"/>
      <c r="M2434" s="8"/>
      <c r="N2434" s="8"/>
      <c r="O2434" s="8"/>
      <c r="P2434" s="8"/>
    </row>
    <row r="2435" spans="1:16" s="7" customFormat="1" ht="42.75" customHeight="1" thickBot="1">
      <c r="A2435" s="92">
        <v>609</v>
      </c>
      <c r="B2435" s="93"/>
      <c r="C2435" s="94" t="s">
        <v>3</v>
      </c>
      <c r="D2435" s="95"/>
      <c r="J2435" s="8"/>
      <c r="K2435" s="8"/>
      <c r="L2435" s="8"/>
      <c r="M2435" s="8"/>
      <c r="N2435" s="8"/>
      <c r="O2435" s="8"/>
      <c r="P2435" s="8"/>
    </row>
    <row r="2436" spans="1:16" s="7" customFormat="1" ht="42.75" customHeight="1" thickBot="1">
      <c r="A2436" s="92">
        <v>609</v>
      </c>
      <c r="B2436" s="93"/>
      <c r="C2436" s="96" t="s">
        <v>4</v>
      </c>
      <c r="D2436" s="97"/>
      <c r="J2436" s="8"/>
      <c r="K2436" s="8"/>
      <c r="L2436" s="8"/>
      <c r="M2436" s="8"/>
      <c r="N2436" s="8"/>
      <c r="O2436" s="8"/>
      <c r="P2436" s="8"/>
    </row>
    <row r="2437" spans="1:16" s="7" customFormat="1" ht="42.75" customHeight="1" thickBot="1">
      <c r="A2437" s="98">
        <f>A2436-A2435</f>
        <v>0</v>
      </c>
      <c r="B2437" s="99"/>
      <c r="C2437" s="100" t="s">
        <v>5</v>
      </c>
      <c r="D2437" s="97"/>
      <c r="J2437" s="8"/>
      <c r="K2437" s="8"/>
      <c r="L2437" s="8"/>
      <c r="M2437" s="8"/>
      <c r="N2437" s="8"/>
      <c r="O2437" s="8"/>
      <c r="P2437" s="8"/>
    </row>
    <row r="2438" spans="1:16" s="7" customFormat="1" ht="42.75" customHeight="1" thickBot="1">
      <c r="A2438" s="101">
        <v>62</v>
      </c>
      <c r="B2438" s="102"/>
      <c r="C2438" s="96" t="s">
        <v>6</v>
      </c>
      <c r="D2438" s="97"/>
      <c r="J2438" s="8"/>
      <c r="K2438" s="8"/>
      <c r="L2438" s="8"/>
      <c r="M2438" s="8"/>
      <c r="N2438" s="8"/>
      <c r="O2438" s="8"/>
      <c r="P2438" s="8"/>
    </row>
    <row r="2439" spans="1:16" s="7" customFormat="1" ht="42.75" customHeight="1" thickBot="1">
      <c r="A2439" s="103"/>
      <c r="B2439" s="104"/>
      <c r="C2439" s="96" t="s">
        <v>21</v>
      </c>
      <c r="D2439" s="97"/>
      <c r="J2439" s="8"/>
      <c r="K2439" s="8"/>
      <c r="L2439" s="8"/>
      <c r="M2439" s="8"/>
      <c r="N2439" s="8"/>
      <c r="O2439" s="8"/>
      <c r="P2439" s="8"/>
    </row>
    <row r="2440" spans="1:16" s="7" customFormat="1" ht="42.75" customHeight="1" thickBot="1">
      <c r="A2440" s="105">
        <f>A2438*A2437</f>
        <v>0</v>
      </c>
      <c r="B2440" s="106"/>
      <c r="C2440" s="96" t="s">
        <v>7</v>
      </c>
      <c r="D2440" s="97"/>
      <c r="J2440" s="8"/>
      <c r="K2440" s="8"/>
      <c r="L2440" s="8"/>
      <c r="M2440" s="8"/>
      <c r="N2440" s="8"/>
      <c r="O2440" s="8"/>
      <c r="P2440" s="8"/>
    </row>
    <row r="2441" spans="1:16" s="7" customFormat="1" ht="42.75" customHeight="1" thickBot="1">
      <c r="A2441" s="107" t="s">
        <v>17</v>
      </c>
      <c r="B2441" s="108"/>
      <c r="C2441" s="108"/>
      <c r="D2441" s="109"/>
      <c r="J2441" s="8"/>
      <c r="K2441" s="8"/>
      <c r="L2441" s="8"/>
      <c r="M2441" s="8"/>
      <c r="N2441" s="8"/>
      <c r="O2441" s="8"/>
      <c r="P2441" s="8"/>
    </row>
    <row r="2442" spans="1:16" s="7" customFormat="1" ht="42.75" customHeight="1" thickBot="1">
      <c r="A2442" s="116" t="s">
        <v>20</v>
      </c>
      <c r="B2442" s="117"/>
      <c r="C2442" s="117"/>
      <c r="D2442" s="118"/>
      <c r="J2442" s="8"/>
      <c r="K2442" s="8"/>
      <c r="L2442" s="8"/>
      <c r="M2442" s="8"/>
      <c r="N2442" s="8"/>
      <c r="O2442" s="8"/>
      <c r="P2442" s="8"/>
    </row>
    <row r="2443" spans="1:16" s="7" customFormat="1" ht="42.75" customHeight="1" thickBot="1">
      <c r="A2443" s="113" t="s">
        <v>18</v>
      </c>
      <c r="B2443" s="114"/>
      <c r="C2443" s="114"/>
      <c r="D2443" s="115"/>
      <c r="J2443" s="8"/>
      <c r="K2443" s="8"/>
      <c r="L2443" s="8"/>
      <c r="M2443" s="8"/>
      <c r="N2443" s="8"/>
      <c r="O2443" s="8"/>
      <c r="P2443" s="8"/>
    </row>
    <row r="2444" spans="1:16" s="7" customFormat="1" ht="42.75" customHeight="1" thickBot="1">
      <c r="A2444" s="119"/>
      <c r="B2444" s="119"/>
      <c r="C2444" s="119"/>
      <c r="D2444" s="119"/>
      <c r="J2444" s="8"/>
      <c r="K2444" s="8"/>
      <c r="L2444" s="8"/>
      <c r="M2444" s="8"/>
      <c r="N2444" s="8"/>
      <c r="O2444" s="8"/>
      <c r="P2444" s="8"/>
    </row>
    <row r="2445" spans="1:16" s="7" customFormat="1" ht="42.75" customHeight="1" thickBot="1">
      <c r="A2445" s="126" t="s">
        <v>19</v>
      </c>
      <c r="B2445" s="127"/>
      <c r="C2445" s="127"/>
      <c r="D2445" s="128"/>
      <c r="J2445" s="8"/>
      <c r="K2445" s="8"/>
      <c r="L2445" s="8"/>
      <c r="M2445" s="8"/>
      <c r="N2445" s="8"/>
      <c r="O2445" s="8"/>
      <c r="P2445" s="8"/>
    </row>
    <row r="2446" spans="1:16" s="7" customFormat="1" ht="42.75" customHeight="1" thickBot="1">
      <c r="A2446" s="123" t="s">
        <v>11</v>
      </c>
      <c r="B2446" s="124"/>
      <c r="C2446" s="125" t="s">
        <v>603</v>
      </c>
      <c r="D2446" s="124"/>
      <c r="J2446" s="8"/>
      <c r="K2446" s="8"/>
      <c r="L2446" s="8"/>
      <c r="M2446" s="8"/>
      <c r="N2446" s="8"/>
      <c r="O2446" s="8"/>
      <c r="P2446" s="8"/>
    </row>
    <row r="2447" spans="1:16" s="7" customFormat="1" ht="42.75" customHeight="1" thickBot="1">
      <c r="A2447" s="1" t="s">
        <v>686</v>
      </c>
      <c r="B2447" s="26" t="s">
        <v>1</v>
      </c>
      <c r="C2447" s="90" t="s">
        <v>282</v>
      </c>
      <c r="D2447" s="91"/>
      <c r="J2447" s="8"/>
      <c r="K2447" s="8"/>
      <c r="L2447" s="8"/>
      <c r="M2447" s="8"/>
      <c r="N2447" s="8"/>
      <c r="O2447" s="8"/>
      <c r="P2447" s="8"/>
    </row>
    <row r="2448" spans="1:16" s="7" customFormat="1" ht="42.75" customHeight="1" thickBot="1">
      <c r="A2448" s="26"/>
      <c r="B2448" s="26" t="s">
        <v>0</v>
      </c>
      <c r="C2448" s="5" t="s">
        <v>687</v>
      </c>
      <c r="D2448" s="4" t="s">
        <v>2</v>
      </c>
      <c r="J2448" s="8"/>
      <c r="K2448" s="8"/>
      <c r="L2448" s="8"/>
      <c r="M2448" s="8"/>
      <c r="N2448" s="8"/>
      <c r="O2448" s="8"/>
      <c r="P2448" s="8"/>
    </row>
    <row r="2449" spans="1:16" s="7" customFormat="1" ht="42.75" customHeight="1" thickBot="1">
      <c r="A2449" s="92">
        <v>604</v>
      </c>
      <c r="B2449" s="93"/>
      <c r="C2449" s="94" t="s">
        <v>3</v>
      </c>
      <c r="D2449" s="95"/>
      <c r="J2449" s="8"/>
      <c r="K2449" s="8"/>
      <c r="L2449" s="8"/>
      <c r="M2449" s="8"/>
      <c r="N2449" s="8"/>
      <c r="O2449" s="8"/>
      <c r="P2449" s="8"/>
    </row>
    <row r="2450" spans="1:16" s="7" customFormat="1" ht="42.75" customHeight="1" thickBot="1">
      <c r="A2450" s="92">
        <v>609</v>
      </c>
      <c r="B2450" s="93"/>
      <c r="C2450" s="96" t="s">
        <v>4</v>
      </c>
      <c r="D2450" s="97"/>
      <c r="J2450" s="8"/>
      <c r="K2450" s="8"/>
      <c r="L2450" s="8"/>
      <c r="M2450" s="8"/>
      <c r="N2450" s="8"/>
      <c r="O2450" s="8"/>
      <c r="P2450" s="8"/>
    </row>
    <row r="2451" spans="1:16" s="7" customFormat="1" ht="42.75" customHeight="1" thickBot="1">
      <c r="A2451" s="98">
        <f>A2450-A2449</f>
        <v>5</v>
      </c>
      <c r="B2451" s="99"/>
      <c r="C2451" s="100" t="s">
        <v>5</v>
      </c>
      <c r="D2451" s="97"/>
      <c r="J2451" s="8"/>
      <c r="K2451" s="8"/>
      <c r="L2451" s="8"/>
      <c r="M2451" s="8"/>
      <c r="N2451" s="8"/>
      <c r="O2451" s="8"/>
      <c r="P2451" s="8"/>
    </row>
    <row r="2452" spans="1:16" s="7" customFormat="1" ht="42.75" customHeight="1" thickBot="1">
      <c r="A2452" s="101">
        <v>62</v>
      </c>
      <c r="B2452" s="102"/>
      <c r="C2452" s="96" t="s">
        <v>6</v>
      </c>
      <c r="D2452" s="97"/>
      <c r="J2452" s="8"/>
      <c r="K2452" s="8"/>
      <c r="L2452" s="8"/>
      <c r="M2452" s="8"/>
      <c r="N2452" s="8"/>
      <c r="O2452" s="8"/>
      <c r="P2452" s="8"/>
    </row>
    <row r="2453" spans="1:16" s="7" customFormat="1" ht="42.75" customHeight="1" thickBot="1">
      <c r="A2453" s="103"/>
      <c r="B2453" s="104"/>
      <c r="C2453" s="96" t="s">
        <v>21</v>
      </c>
      <c r="D2453" s="97"/>
      <c r="J2453" s="8"/>
      <c r="K2453" s="8"/>
      <c r="L2453" s="8"/>
      <c r="M2453" s="8"/>
      <c r="N2453" s="8"/>
      <c r="O2453" s="8"/>
      <c r="P2453" s="8"/>
    </row>
    <row r="2454" spans="1:16" s="7" customFormat="1" ht="42.75" customHeight="1" thickBot="1">
      <c r="A2454" s="105">
        <f>A2452*A2451</f>
        <v>310</v>
      </c>
      <c r="B2454" s="106"/>
      <c r="C2454" s="96" t="s">
        <v>7</v>
      </c>
      <c r="D2454" s="97"/>
      <c r="J2454" s="8"/>
      <c r="K2454" s="8"/>
      <c r="L2454" s="8"/>
      <c r="M2454" s="8"/>
      <c r="N2454" s="8"/>
      <c r="O2454" s="8"/>
      <c r="P2454" s="8"/>
    </row>
    <row r="2455" spans="1:16" s="7" customFormat="1" ht="42.75" customHeight="1" thickBot="1">
      <c r="A2455" s="107" t="s">
        <v>17</v>
      </c>
      <c r="B2455" s="108"/>
      <c r="C2455" s="108"/>
      <c r="D2455" s="109"/>
      <c r="J2455" s="8"/>
      <c r="K2455" s="8"/>
      <c r="L2455" s="8"/>
      <c r="M2455" s="8"/>
      <c r="N2455" s="8"/>
      <c r="O2455" s="8"/>
      <c r="P2455" s="8"/>
    </row>
    <row r="2456" spans="1:16" s="7" customFormat="1" ht="42.75" customHeight="1" thickBot="1">
      <c r="A2456" s="110" t="s">
        <v>20</v>
      </c>
      <c r="B2456" s="111"/>
      <c r="C2456" s="111"/>
      <c r="D2456" s="112"/>
      <c r="J2456" s="8"/>
      <c r="K2456" s="8"/>
      <c r="L2456" s="8"/>
      <c r="M2456" s="8"/>
      <c r="N2456" s="8"/>
      <c r="O2456" s="8"/>
      <c r="P2456" s="8"/>
    </row>
    <row r="2457" spans="1:16" s="7" customFormat="1" ht="42.75" customHeight="1" thickBot="1">
      <c r="A2457" s="113" t="s">
        <v>18</v>
      </c>
      <c r="B2457" s="114"/>
      <c r="C2457" s="114"/>
      <c r="D2457" s="115"/>
      <c r="J2457" s="8"/>
      <c r="K2457" s="8"/>
      <c r="L2457" s="8"/>
      <c r="M2457" s="8"/>
      <c r="N2457" s="8"/>
      <c r="O2457" s="8"/>
      <c r="P2457" s="8"/>
    </row>
    <row r="2458" spans="1:16" s="7" customFormat="1" ht="42.75" customHeight="1" thickBot="1">
      <c r="A2458" s="126" t="s">
        <v>19</v>
      </c>
      <c r="B2458" s="127"/>
      <c r="C2458" s="127"/>
      <c r="D2458" s="128"/>
      <c r="J2458" s="8"/>
      <c r="K2458" s="8"/>
      <c r="L2458" s="8"/>
      <c r="M2458" s="8"/>
      <c r="N2458" s="8"/>
      <c r="O2458" s="8"/>
      <c r="P2458" s="8"/>
    </row>
    <row r="2459" spans="1:16" s="7" customFormat="1" ht="42.75" customHeight="1" thickBot="1">
      <c r="A2459" s="123" t="s">
        <v>11</v>
      </c>
      <c r="B2459" s="124"/>
      <c r="C2459" s="125" t="s">
        <v>603</v>
      </c>
      <c r="D2459" s="124"/>
      <c r="J2459" s="8"/>
      <c r="K2459" s="8"/>
      <c r="L2459" s="8"/>
      <c r="M2459" s="8"/>
      <c r="N2459" s="8"/>
      <c r="O2459" s="8"/>
      <c r="P2459" s="8"/>
    </row>
    <row r="2460" spans="1:16" s="7" customFormat="1" ht="42.75" customHeight="1" thickBot="1">
      <c r="A2460" s="1" t="s">
        <v>686</v>
      </c>
      <c r="B2460" s="26" t="s">
        <v>1</v>
      </c>
      <c r="C2460" s="90" t="s">
        <v>283</v>
      </c>
      <c r="D2460" s="91"/>
      <c r="J2460" s="8"/>
      <c r="K2460" s="8"/>
      <c r="L2460" s="8"/>
      <c r="M2460" s="8"/>
      <c r="N2460" s="8"/>
      <c r="O2460" s="8"/>
      <c r="P2460" s="8"/>
    </row>
    <row r="2461" spans="1:16" s="7" customFormat="1" ht="42.75" customHeight="1" thickBot="1">
      <c r="A2461" s="26"/>
      <c r="B2461" s="26" t="s">
        <v>0</v>
      </c>
      <c r="C2461" s="5" t="s">
        <v>687</v>
      </c>
      <c r="D2461" s="4" t="s">
        <v>2</v>
      </c>
      <c r="J2461" s="8"/>
      <c r="K2461" s="8"/>
      <c r="L2461" s="8"/>
      <c r="M2461" s="8"/>
      <c r="N2461" s="8"/>
      <c r="O2461" s="8"/>
      <c r="P2461" s="8"/>
    </row>
    <row r="2462" spans="1:16" s="7" customFormat="1" ht="42.75" customHeight="1" thickBot="1">
      <c r="A2462" s="92">
        <v>236</v>
      </c>
      <c r="B2462" s="93"/>
      <c r="C2462" s="94" t="s">
        <v>3</v>
      </c>
      <c r="D2462" s="95"/>
      <c r="J2462" s="8"/>
      <c r="K2462" s="8"/>
      <c r="L2462" s="8"/>
      <c r="M2462" s="8"/>
      <c r="N2462" s="8"/>
      <c r="O2462" s="8"/>
      <c r="P2462" s="8"/>
    </row>
    <row r="2463" spans="1:16" s="7" customFormat="1" ht="42.75" customHeight="1" thickBot="1">
      <c r="A2463" s="92">
        <v>236</v>
      </c>
      <c r="B2463" s="93"/>
      <c r="C2463" s="96" t="s">
        <v>4</v>
      </c>
      <c r="D2463" s="97"/>
      <c r="J2463" s="8"/>
      <c r="K2463" s="8"/>
      <c r="L2463" s="8"/>
      <c r="M2463" s="8"/>
      <c r="N2463" s="8"/>
      <c r="O2463" s="8"/>
      <c r="P2463" s="8"/>
    </row>
    <row r="2464" spans="1:16" s="7" customFormat="1" ht="42.75" customHeight="1" thickBot="1">
      <c r="A2464" s="98">
        <f>A2463-A2462</f>
        <v>0</v>
      </c>
      <c r="B2464" s="99"/>
      <c r="C2464" s="100" t="s">
        <v>5</v>
      </c>
      <c r="D2464" s="97"/>
      <c r="J2464" s="8"/>
      <c r="K2464" s="8"/>
      <c r="L2464" s="8"/>
      <c r="M2464" s="8"/>
      <c r="N2464" s="8"/>
      <c r="O2464" s="8"/>
      <c r="P2464" s="8"/>
    </row>
    <row r="2465" spans="1:16" s="7" customFormat="1" ht="42.75" customHeight="1" thickBot="1">
      <c r="A2465" s="101">
        <v>62</v>
      </c>
      <c r="B2465" s="102"/>
      <c r="C2465" s="96" t="s">
        <v>6</v>
      </c>
      <c r="D2465" s="97"/>
      <c r="J2465" s="8"/>
      <c r="K2465" s="8"/>
      <c r="L2465" s="8"/>
      <c r="M2465" s="8"/>
      <c r="N2465" s="8"/>
      <c r="O2465" s="8"/>
      <c r="P2465" s="8"/>
    </row>
    <row r="2466" spans="1:16" s="7" customFormat="1" ht="42.75" customHeight="1" thickBot="1">
      <c r="A2466" s="103"/>
      <c r="B2466" s="104"/>
      <c r="C2466" s="96" t="s">
        <v>21</v>
      </c>
      <c r="D2466" s="97"/>
      <c r="J2466" s="8"/>
      <c r="K2466" s="8"/>
      <c r="L2466" s="8"/>
      <c r="M2466" s="8"/>
      <c r="N2466" s="8"/>
      <c r="O2466" s="8"/>
      <c r="P2466" s="8"/>
    </row>
    <row r="2467" spans="1:16" s="7" customFormat="1" ht="42.75" customHeight="1" thickBot="1">
      <c r="A2467" s="105">
        <f>A2465*A2464</f>
        <v>0</v>
      </c>
      <c r="B2467" s="106"/>
      <c r="C2467" s="96" t="s">
        <v>7</v>
      </c>
      <c r="D2467" s="97"/>
      <c r="J2467" s="8"/>
      <c r="K2467" s="8"/>
      <c r="L2467" s="8"/>
      <c r="M2467" s="8"/>
      <c r="N2467" s="8"/>
      <c r="O2467" s="8"/>
      <c r="P2467" s="8"/>
    </row>
    <row r="2468" spans="1:16" s="7" customFormat="1" ht="42.75" customHeight="1" thickBot="1">
      <c r="A2468" s="107" t="s">
        <v>17</v>
      </c>
      <c r="B2468" s="108"/>
      <c r="C2468" s="108"/>
      <c r="D2468" s="109"/>
      <c r="J2468" s="8"/>
      <c r="K2468" s="8"/>
      <c r="L2468" s="8"/>
      <c r="M2468" s="8"/>
      <c r="N2468" s="8"/>
      <c r="O2468" s="8"/>
      <c r="P2468" s="8"/>
    </row>
    <row r="2469" spans="1:16" s="7" customFormat="1" ht="42.75" customHeight="1" thickBot="1">
      <c r="A2469" s="116" t="s">
        <v>20</v>
      </c>
      <c r="B2469" s="117"/>
      <c r="C2469" s="117"/>
      <c r="D2469" s="118"/>
      <c r="J2469" s="8"/>
      <c r="K2469" s="8"/>
      <c r="L2469" s="8"/>
      <c r="M2469" s="8"/>
      <c r="N2469" s="8"/>
      <c r="O2469" s="8"/>
      <c r="P2469" s="8"/>
    </row>
    <row r="2470" spans="1:16" s="7" customFormat="1" ht="42.75" customHeight="1" thickBot="1">
      <c r="A2470" s="113" t="s">
        <v>18</v>
      </c>
      <c r="B2470" s="114"/>
      <c r="C2470" s="114"/>
      <c r="D2470" s="115"/>
      <c r="J2470" s="8"/>
      <c r="K2470" s="8"/>
      <c r="L2470" s="8"/>
      <c r="M2470" s="8"/>
      <c r="N2470" s="8"/>
      <c r="O2470" s="8"/>
      <c r="P2470" s="8"/>
    </row>
    <row r="2471" spans="1:16" s="7" customFormat="1" ht="42.75" customHeight="1" thickBot="1">
      <c r="A2471" s="119"/>
      <c r="B2471" s="119"/>
      <c r="C2471" s="119"/>
      <c r="D2471" s="119"/>
      <c r="J2471" s="8"/>
      <c r="K2471" s="8"/>
      <c r="L2471" s="8"/>
      <c r="M2471" s="8"/>
      <c r="N2471" s="8"/>
      <c r="O2471" s="8"/>
      <c r="P2471" s="8"/>
    </row>
    <row r="2472" spans="1:16" s="7" customFormat="1" ht="42.75" customHeight="1" thickBot="1">
      <c r="A2472" s="126" t="s">
        <v>19</v>
      </c>
      <c r="B2472" s="127"/>
      <c r="C2472" s="127"/>
      <c r="D2472" s="128"/>
      <c r="J2472" s="8"/>
      <c r="K2472" s="8"/>
      <c r="L2472" s="8"/>
      <c r="M2472" s="8"/>
      <c r="N2472" s="8"/>
      <c r="O2472" s="8"/>
      <c r="P2472" s="8"/>
    </row>
    <row r="2473" spans="1:16" s="7" customFormat="1" ht="42.75" customHeight="1" thickBot="1">
      <c r="A2473" s="123" t="s">
        <v>11</v>
      </c>
      <c r="B2473" s="124"/>
      <c r="C2473" s="125" t="s">
        <v>603</v>
      </c>
      <c r="D2473" s="124"/>
      <c r="J2473" s="8"/>
      <c r="K2473" s="8"/>
      <c r="L2473" s="8"/>
      <c r="M2473" s="8"/>
      <c r="N2473" s="8"/>
      <c r="O2473" s="8"/>
      <c r="P2473" s="8"/>
    </row>
    <row r="2474" spans="1:16" s="7" customFormat="1" ht="42.75" customHeight="1" thickBot="1">
      <c r="A2474" s="1" t="s">
        <v>686</v>
      </c>
      <c r="B2474" s="26" t="s">
        <v>1</v>
      </c>
      <c r="C2474" s="90" t="s">
        <v>283</v>
      </c>
      <c r="D2474" s="91"/>
      <c r="J2474" s="8"/>
      <c r="K2474" s="8"/>
      <c r="L2474" s="8"/>
      <c r="M2474" s="8"/>
      <c r="N2474" s="8"/>
      <c r="O2474" s="8"/>
      <c r="P2474" s="8"/>
    </row>
    <row r="2475" spans="1:16" s="7" customFormat="1" ht="42.75" customHeight="1" thickBot="1">
      <c r="A2475" s="26"/>
      <c r="B2475" s="26" t="s">
        <v>0</v>
      </c>
      <c r="C2475" s="5" t="s">
        <v>687</v>
      </c>
      <c r="D2475" s="4" t="s">
        <v>2</v>
      </c>
      <c r="J2475" s="8"/>
      <c r="K2475" s="8"/>
      <c r="L2475" s="8"/>
      <c r="M2475" s="8"/>
      <c r="N2475" s="8"/>
      <c r="O2475" s="8"/>
      <c r="P2475" s="8"/>
    </row>
    <row r="2476" spans="1:16" s="7" customFormat="1" ht="42.75" customHeight="1" thickBot="1">
      <c r="A2476" s="92">
        <v>232</v>
      </c>
      <c r="B2476" s="93"/>
      <c r="C2476" s="94" t="s">
        <v>3</v>
      </c>
      <c r="D2476" s="95"/>
      <c r="J2476" s="8"/>
      <c r="K2476" s="8"/>
      <c r="L2476" s="8"/>
      <c r="M2476" s="8"/>
      <c r="N2476" s="8"/>
      <c r="O2476" s="8"/>
      <c r="P2476" s="8"/>
    </row>
    <row r="2477" spans="1:16" s="7" customFormat="1" ht="42.75" customHeight="1" thickBot="1">
      <c r="A2477" s="92">
        <v>236</v>
      </c>
      <c r="B2477" s="93"/>
      <c r="C2477" s="96" t="s">
        <v>4</v>
      </c>
      <c r="D2477" s="97"/>
      <c r="J2477" s="8"/>
      <c r="K2477" s="8"/>
      <c r="L2477" s="8"/>
      <c r="M2477" s="8"/>
      <c r="N2477" s="8"/>
      <c r="O2477" s="8"/>
      <c r="P2477" s="8"/>
    </row>
    <row r="2478" spans="1:16" s="7" customFormat="1" ht="42.75" customHeight="1" thickBot="1">
      <c r="A2478" s="98">
        <v>10</v>
      </c>
      <c r="B2478" s="99"/>
      <c r="C2478" s="100" t="s">
        <v>5</v>
      </c>
      <c r="D2478" s="97"/>
      <c r="J2478" s="8"/>
      <c r="K2478" s="8"/>
      <c r="L2478" s="8"/>
      <c r="M2478" s="8"/>
      <c r="N2478" s="8"/>
      <c r="O2478" s="8"/>
      <c r="P2478" s="8"/>
    </row>
    <row r="2479" spans="1:16" s="7" customFormat="1" ht="42.75" customHeight="1" thickBot="1">
      <c r="A2479" s="101">
        <v>62</v>
      </c>
      <c r="B2479" s="102"/>
      <c r="C2479" s="96" t="s">
        <v>6</v>
      </c>
      <c r="D2479" s="97"/>
      <c r="J2479" s="8"/>
      <c r="K2479" s="8"/>
      <c r="L2479" s="8"/>
      <c r="M2479" s="8"/>
      <c r="N2479" s="8"/>
      <c r="O2479" s="8"/>
      <c r="P2479" s="8"/>
    </row>
    <row r="2480" spans="1:16" s="7" customFormat="1" ht="42.75" customHeight="1" thickBot="1">
      <c r="A2480" s="103"/>
      <c r="B2480" s="104"/>
      <c r="C2480" s="96" t="s">
        <v>21</v>
      </c>
      <c r="D2480" s="97"/>
      <c r="J2480" s="8"/>
      <c r="K2480" s="8"/>
      <c r="L2480" s="8"/>
      <c r="M2480" s="8"/>
      <c r="N2480" s="8"/>
      <c r="O2480" s="8"/>
      <c r="P2480" s="8"/>
    </row>
    <row r="2481" spans="1:16" s="7" customFormat="1" ht="42.75" customHeight="1" thickBot="1">
      <c r="A2481" s="105">
        <v>600</v>
      </c>
      <c r="B2481" s="106"/>
      <c r="C2481" s="96" t="s">
        <v>7</v>
      </c>
      <c r="D2481" s="97"/>
      <c r="J2481" s="8"/>
      <c r="K2481" s="8"/>
      <c r="L2481" s="8"/>
      <c r="M2481" s="8"/>
      <c r="N2481" s="8"/>
      <c r="O2481" s="8"/>
      <c r="P2481" s="8"/>
    </row>
    <row r="2482" spans="1:16" s="7" customFormat="1" ht="42.75" customHeight="1" thickBot="1">
      <c r="A2482" s="107" t="s">
        <v>17</v>
      </c>
      <c r="B2482" s="108"/>
      <c r="C2482" s="108"/>
      <c r="D2482" s="109"/>
      <c r="J2482" s="8"/>
      <c r="K2482" s="8"/>
      <c r="L2482" s="8"/>
      <c r="M2482" s="8"/>
      <c r="N2482" s="8"/>
      <c r="O2482" s="8"/>
      <c r="P2482" s="8"/>
    </row>
    <row r="2483" spans="1:16" s="7" customFormat="1" ht="42.75" customHeight="1" thickBot="1">
      <c r="A2483" s="110" t="s">
        <v>20</v>
      </c>
      <c r="B2483" s="111"/>
      <c r="C2483" s="111"/>
      <c r="D2483" s="112"/>
      <c r="J2483" s="8"/>
      <c r="K2483" s="8"/>
      <c r="L2483" s="8"/>
      <c r="M2483" s="8"/>
      <c r="N2483" s="8"/>
      <c r="O2483" s="8"/>
      <c r="P2483" s="8"/>
    </row>
    <row r="2484" spans="1:16" s="7" customFormat="1" ht="42.75" customHeight="1" thickBot="1">
      <c r="A2484" s="113" t="s">
        <v>18</v>
      </c>
      <c r="B2484" s="114"/>
      <c r="C2484" s="114"/>
      <c r="D2484" s="115"/>
      <c r="J2484" s="8"/>
      <c r="K2484" s="8"/>
      <c r="L2484" s="8"/>
      <c r="M2484" s="8"/>
      <c r="N2484" s="8"/>
      <c r="O2484" s="8"/>
      <c r="P2484" s="8"/>
    </row>
    <row r="2485" spans="1:16" s="7" customFormat="1" ht="42.75" customHeight="1" thickBot="1">
      <c r="A2485" s="126" t="s">
        <v>19</v>
      </c>
      <c r="B2485" s="127"/>
      <c r="C2485" s="127"/>
      <c r="D2485" s="128"/>
      <c r="J2485" s="8"/>
      <c r="K2485" s="8"/>
      <c r="L2485" s="8"/>
      <c r="M2485" s="8"/>
      <c r="N2485" s="8"/>
      <c r="O2485" s="8"/>
      <c r="P2485" s="8"/>
    </row>
    <row r="2486" spans="1:16" s="7" customFormat="1" ht="42.75" customHeight="1" thickBot="1">
      <c r="A2486" s="123" t="s">
        <v>11</v>
      </c>
      <c r="B2486" s="124"/>
      <c r="C2486" s="125" t="s">
        <v>603</v>
      </c>
      <c r="D2486" s="124"/>
      <c r="J2486" s="8"/>
      <c r="K2486" s="8"/>
      <c r="L2486" s="8"/>
      <c r="M2486" s="8"/>
      <c r="N2486" s="8"/>
      <c r="O2486" s="8"/>
      <c r="P2486" s="8"/>
    </row>
    <row r="2487" spans="1:16" s="7" customFormat="1" ht="42.75" customHeight="1" thickBot="1">
      <c r="A2487" s="1" t="s">
        <v>686</v>
      </c>
      <c r="B2487" s="26" t="s">
        <v>1</v>
      </c>
      <c r="C2487" s="90" t="s">
        <v>645</v>
      </c>
      <c r="D2487" s="91"/>
      <c r="J2487" s="8"/>
      <c r="K2487" s="8"/>
      <c r="L2487" s="8"/>
      <c r="M2487" s="8"/>
      <c r="N2487" s="8"/>
      <c r="O2487" s="8"/>
      <c r="P2487" s="8"/>
    </row>
    <row r="2488" spans="1:16" s="7" customFormat="1" ht="42.75" customHeight="1" thickBot="1">
      <c r="A2488" s="26"/>
      <c r="B2488" s="26" t="s">
        <v>0</v>
      </c>
      <c r="C2488" s="5" t="s">
        <v>687</v>
      </c>
      <c r="D2488" s="4" t="s">
        <v>2</v>
      </c>
      <c r="J2488" s="8"/>
      <c r="K2488" s="8"/>
      <c r="L2488" s="8"/>
      <c r="M2488" s="8"/>
      <c r="N2488" s="8"/>
      <c r="O2488" s="8"/>
      <c r="P2488" s="8"/>
    </row>
    <row r="2489" spans="1:16" s="7" customFormat="1" ht="42.75" customHeight="1" thickBot="1">
      <c r="A2489" s="92">
        <v>1475</v>
      </c>
      <c r="B2489" s="93"/>
      <c r="C2489" s="94" t="s">
        <v>3</v>
      </c>
      <c r="D2489" s="95"/>
      <c r="J2489" s="8"/>
      <c r="K2489" s="8"/>
      <c r="L2489" s="8"/>
      <c r="M2489" s="8"/>
      <c r="N2489" s="8"/>
      <c r="O2489" s="8"/>
      <c r="P2489" s="8"/>
    </row>
    <row r="2490" spans="1:16" s="7" customFormat="1" ht="42.75" customHeight="1" thickBot="1">
      <c r="A2490" s="92">
        <v>1475</v>
      </c>
      <c r="B2490" s="93"/>
      <c r="C2490" s="96" t="s">
        <v>4</v>
      </c>
      <c r="D2490" s="97"/>
      <c r="J2490" s="8"/>
      <c r="K2490" s="8"/>
      <c r="L2490" s="8"/>
      <c r="M2490" s="8"/>
      <c r="N2490" s="8"/>
      <c r="O2490" s="8"/>
      <c r="P2490" s="8"/>
    </row>
    <row r="2491" spans="1:16" s="7" customFormat="1" ht="42.75" customHeight="1" thickBot="1">
      <c r="A2491" s="98">
        <f>A2490-A2489</f>
        <v>0</v>
      </c>
      <c r="B2491" s="99"/>
      <c r="C2491" s="100" t="s">
        <v>5</v>
      </c>
      <c r="D2491" s="97"/>
      <c r="J2491" s="8"/>
      <c r="K2491" s="8"/>
      <c r="L2491" s="8"/>
      <c r="M2491" s="8"/>
      <c r="N2491" s="8"/>
      <c r="O2491" s="8"/>
      <c r="P2491" s="8"/>
    </row>
    <row r="2492" spans="1:16" s="7" customFormat="1" ht="42.75" customHeight="1" thickBot="1">
      <c r="A2492" s="101">
        <v>62</v>
      </c>
      <c r="B2492" s="102"/>
      <c r="C2492" s="96" t="s">
        <v>6</v>
      </c>
      <c r="D2492" s="97"/>
      <c r="J2492" s="8"/>
      <c r="K2492" s="8"/>
      <c r="L2492" s="8"/>
      <c r="M2492" s="8"/>
      <c r="N2492" s="8"/>
      <c r="O2492" s="8"/>
      <c r="P2492" s="8"/>
    </row>
    <row r="2493" spans="1:16" s="7" customFormat="1" ht="42.75" customHeight="1" thickBot="1">
      <c r="A2493" s="103"/>
      <c r="B2493" s="104"/>
      <c r="C2493" s="96" t="s">
        <v>21</v>
      </c>
      <c r="D2493" s="97"/>
      <c r="J2493" s="8"/>
      <c r="K2493" s="8"/>
      <c r="L2493" s="8"/>
      <c r="M2493" s="8"/>
      <c r="N2493" s="8"/>
      <c r="O2493" s="8"/>
      <c r="P2493" s="8"/>
    </row>
    <row r="2494" spans="1:16" s="7" customFormat="1" ht="42.75" customHeight="1" thickBot="1">
      <c r="A2494" s="105">
        <f>A2492*A2491</f>
        <v>0</v>
      </c>
      <c r="B2494" s="106"/>
      <c r="C2494" s="96" t="s">
        <v>7</v>
      </c>
      <c r="D2494" s="97"/>
      <c r="J2494" s="8"/>
      <c r="K2494" s="8"/>
      <c r="L2494" s="8"/>
      <c r="M2494" s="8"/>
      <c r="N2494" s="8"/>
      <c r="O2494" s="8"/>
      <c r="P2494" s="8"/>
    </row>
    <row r="2495" spans="1:16" s="7" customFormat="1" ht="42.75" customHeight="1" thickBot="1">
      <c r="A2495" s="107" t="s">
        <v>17</v>
      </c>
      <c r="B2495" s="108"/>
      <c r="C2495" s="108"/>
      <c r="D2495" s="109"/>
      <c r="J2495" s="8"/>
      <c r="K2495" s="8"/>
      <c r="L2495" s="8"/>
      <c r="M2495" s="8"/>
      <c r="N2495" s="8"/>
      <c r="O2495" s="8"/>
      <c r="P2495" s="8"/>
    </row>
    <row r="2496" spans="1:16" s="7" customFormat="1" ht="42.75" customHeight="1" thickBot="1">
      <c r="A2496" s="116" t="s">
        <v>20</v>
      </c>
      <c r="B2496" s="117"/>
      <c r="C2496" s="117"/>
      <c r="D2496" s="118"/>
      <c r="J2496" s="8"/>
      <c r="K2496" s="8"/>
      <c r="L2496" s="8"/>
      <c r="M2496" s="8"/>
      <c r="N2496" s="8"/>
      <c r="O2496" s="8"/>
      <c r="P2496" s="8"/>
    </row>
    <row r="2497" spans="1:16" s="7" customFormat="1" ht="42.75" customHeight="1" thickBot="1">
      <c r="A2497" s="113" t="s">
        <v>18</v>
      </c>
      <c r="B2497" s="114"/>
      <c r="C2497" s="114"/>
      <c r="D2497" s="115"/>
      <c r="J2497" s="8"/>
      <c r="K2497" s="8"/>
      <c r="L2497" s="8"/>
      <c r="M2497" s="8"/>
      <c r="N2497" s="8"/>
      <c r="O2497" s="8"/>
      <c r="P2497" s="8"/>
    </row>
    <row r="2498" spans="1:16" s="7" customFormat="1" ht="42.75" customHeight="1" thickBot="1">
      <c r="A2498" s="119"/>
      <c r="B2498" s="119"/>
      <c r="C2498" s="119"/>
      <c r="D2498" s="119"/>
      <c r="J2498" s="8"/>
      <c r="K2498" s="8"/>
      <c r="L2498" s="8"/>
      <c r="M2498" s="8"/>
      <c r="N2498" s="8"/>
      <c r="O2498" s="8"/>
      <c r="P2498" s="8"/>
    </row>
    <row r="2499" spans="1:16" s="7" customFormat="1" ht="42.75" customHeight="1" thickBot="1">
      <c r="A2499" s="126" t="s">
        <v>19</v>
      </c>
      <c r="B2499" s="127"/>
      <c r="C2499" s="127"/>
      <c r="D2499" s="128"/>
      <c r="J2499" s="8"/>
      <c r="K2499" s="8"/>
      <c r="L2499" s="8"/>
      <c r="M2499" s="8"/>
      <c r="N2499" s="8"/>
      <c r="O2499" s="8"/>
      <c r="P2499" s="8"/>
    </row>
    <row r="2500" spans="1:16" s="7" customFormat="1" ht="42.75" customHeight="1" thickBot="1">
      <c r="A2500" s="123" t="s">
        <v>11</v>
      </c>
      <c r="B2500" s="124"/>
      <c r="C2500" s="125" t="s">
        <v>603</v>
      </c>
      <c r="D2500" s="124"/>
      <c r="J2500" s="8"/>
      <c r="K2500" s="8"/>
      <c r="L2500" s="8"/>
      <c r="M2500" s="8"/>
      <c r="N2500" s="8"/>
      <c r="O2500" s="8"/>
      <c r="P2500" s="8"/>
    </row>
    <row r="2501" spans="1:16" s="7" customFormat="1" ht="42.75" customHeight="1" thickBot="1">
      <c r="A2501" s="1" t="s">
        <v>686</v>
      </c>
      <c r="B2501" s="26" t="s">
        <v>1</v>
      </c>
      <c r="C2501" s="90" t="s">
        <v>645</v>
      </c>
      <c r="D2501" s="91"/>
      <c r="J2501" s="8"/>
      <c r="K2501" s="8"/>
      <c r="L2501" s="8"/>
      <c r="M2501" s="8"/>
      <c r="N2501" s="8"/>
      <c r="O2501" s="8"/>
      <c r="P2501" s="8"/>
    </row>
    <row r="2502" spans="1:16" s="7" customFormat="1" ht="42.75" customHeight="1" thickBot="1">
      <c r="A2502" s="26"/>
      <c r="B2502" s="26" t="s">
        <v>0</v>
      </c>
      <c r="C2502" s="5" t="s">
        <v>687</v>
      </c>
      <c r="D2502" s="4" t="s">
        <v>2</v>
      </c>
      <c r="J2502" s="8"/>
      <c r="K2502" s="8"/>
      <c r="L2502" s="8"/>
      <c r="M2502" s="8"/>
      <c r="N2502" s="8"/>
      <c r="O2502" s="8"/>
      <c r="P2502" s="8"/>
    </row>
    <row r="2503" spans="1:16" s="7" customFormat="1" ht="42.75" customHeight="1" thickBot="1">
      <c r="A2503" s="92">
        <v>1450</v>
      </c>
      <c r="B2503" s="93"/>
      <c r="C2503" s="94" t="s">
        <v>3</v>
      </c>
      <c r="D2503" s="95"/>
      <c r="J2503" s="8"/>
      <c r="K2503" s="8"/>
      <c r="L2503" s="8"/>
      <c r="M2503" s="8"/>
      <c r="N2503" s="8"/>
      <c r="O2503" s="8"/>
      <c r="P2503" s="8"/>
    </row>
    <row r="2504" spans="1:16" s="7" customFormat="1" ht="42.75" customHeight="1" thickBot="1">
      <c r="A2504" s="92">
        <v>1475</v>
      </c>
      <c r="B2504" s="93"/>
      <c r="C2504" s="96" t="s">
        <v>4</v>
      </c>
      <c r="D2504" s="97"/>
      <c r="J2504" s="8"/>
      <c r="K2504" s="8"/>
      <c r="L2504" s="8"/>
      <c r="M2504" s="8"/>
      <c r="N2504" s="8"/>
      <c r="O2504" s="8"/>
      <c r="P2504" s="8"/>
    </row>
    <row r="2505" spans="1:16" s="7" customFormat="1" ht="42.75" customHeight="1" thickBot="1">
      <c r="A2505" s="98">
        <f>A2504-A2503</f>
        <v>25</v>
      </c>
      <c r="B2505" s="99"/>
      <c r="C2505" s="100" t="s">
        <v>5</v>
      </c>
      <c r="D2505" s="97"/>
      <c r="J2505" s="8"/>
      <c r="K2505" s="8"/>
      <c r="L2505" s="8"/>
      <c r="M2505" s="8"/>
      <c r="N2505" s="8"/>
      <c r="O2505" s="8"/>
      <c r="P2505" s="8"/>
    </row>
    <row r="2506" spans="1:16" s="7" customFormat="1" ht="42.75" customHeight="1" thickBot="1">
      <c r="A2506" s="101">
        <v>62</v>
      </c>
      <c r="B2506" s="102"/>
      <c r="C2506" s="96" t="s">
        <v>6</v>
      </c>
      <c r="D2506" s="97"/>
      <c r="J2506" s="8"/>
      <c r="K2506" s="8"/>
      <c r="L2506" s="8"/>
      <c r="M2506" s="8"/>
      <c r="N2506" s="8"/>
      <c r="O2506" s="8"/>
      <c r="P2506" s="8"/>
    </row>
    <row r="2507" spans="1:16" s="7" customFormat="1" ht="42.75" customHeight="1" thickBot="1">
      <c r="A2507" s="103"/>
      <c r="B2507" s="104"/>
      <c r="C2507" s="96" t="s">
        <v>21</v>
      </c>
      <c r="D2507" s="97"/>
      <c r="J2507" s="8"/>
      <c r="K2507" s="8"/>
      <c r="L2507" s="8"/>
      <c r="M2507" s="8"/>
      <c r="N2507" s="8"/>
      <c r="O2507" s="8"/>
      <c r="P2507" s="8"/>
    </row>
    <row r="2508" spans="1:16" s="7" customFormat="1" ht="42.75" customHeight="1" thickBot="1">
      <c r="A2508" s="105">
        <f>A2506*A2505</f>
        <v>1550</v>
      </c>
      <c r="B2508" s="106"/>
      <c r="C2508" s="96" t="s">
        <v>7</v>
      </c>
      <c r="D2508" s="97"/>
      <c r="J2508" s="8"/>
      <c r="K2508" s="8"/>
      <c r="L2508" s="8"/>
      <c r="M2508" s="8"/>
      <c r="N2508" s="8"/>
      <c r="O2508" s="8"/>
      <c r="P2508" s="8"/>
    </row>
    <row r="2509" spans="1:16" s="7" customFormat="1" ht="42.75" customHeight="1" thickBot="1">
      <c r="A2509" s="107" t="s">
        <v>17</v>
      </c>
      <c r="B2509" s="108"/>
      <c r="C2509" s="108"/>
      <c r="D2509" s="109"/>
      <c r="J2509" s="8"/>
      <c r="K2509" s="8"/>
      <c r="L2509" s="8"/>
      <c r="M2509" s="8"/>
      <c r="N2509" s="8"/>
      <c r="O2509" s="8"/>
      <c r="P2509" s="8"/>
    </row>
    <row r="2510" spans="1:16" s="7" customFormat="1" ht="42.75" customHeight="1" thickBot="1">
      <c r="A2510" s="110" t="s">
        <v>20</v>
      </c>
      <c r="B2510" s="111"/>
      <c r="C2510" s="111"/>
      <c r="D2510" s="112"/>
      <c r="J2510" s="8"/>
      <c r="K2510" s="8"/>
      <c r="L2510" s="8"/>
      <c r="M2510" s="8"/>
      <c r="N2510" s="8"/>
      <c r="O2510" s="8"/>
      <c r="P2510" s="8"/>
    </row>
    <row r="2511" spans="1:16" s="7" customFormat="1" ht="42.75" customHeight="1" thickBot="1">
      <c r="A2511" s="113" t="s">
        <v>18</v>
      </c>
      <c r="B2511" s="114"/>
      <c r="C2511" s="114"/>
      <c r="D2511" s="115"/>
      <c r="J2511" s="8"/>
      <c r="K2511" s="8"/>
      <c r="L2511" s="8"/>
      <c r="M2511" s="8"/>
      <c r="N2511" s="8"/>
      <c r="O2511" s="8"/>
      <c r="P2511" s="8"/>
    </row>
    <row r="2512" spans="1:16" s="7" customFormat="1" ht="42.75" customHeight="1" thickBot="1">
      <c r="A2512" s="126" t="s">
        <v>19</v>
      </c>
      <c r="B2512" s="127"/>
      <c r="C2512" s="127"/>
      <c r="D2512" s="128"/>
      <c r="J2512" s="8"/>
      <c r="K2512" s="8"/>
      <c r="L2512" s="8"/>
      <c r="M2512" s="8"/>
      <c r="N2512" s="8"/>
      <c r="O2512" s="8"/>
      <c r="P2512" s="8"/>
    </row>
    <row r="2513" spans="1:16" s="7" customFormat="1" ht="42.75" customHeight="1" thickBot="1">
      <c r="A2513" s="123" t="s">
        <v>11</v>
      </c>
      <c r="B2513" s="124"/>
      <c r="C2513" s="125" t="s">
        <v>603</v>
      </c>
      <c r="D2513" s="124"/>
      <c r="J2513" s="8"/>
      <c r="K2513" s="8"/>
      <c r="L2513" s="8"/>
      <c r="M2513" s="8"/>
      <c r="N2513" s="8"/>
      <c r="O2513" s="8"/>
      <c r="P2513" s="8"/>
    </row>
    <row r="2514" spans="1:16" s="7" customFormat="1" ht="42.75" customHeight="1" thickBot="1">
      <c r="A2514" s="1" t="s">
        <v>686</v>
      </c>
      <c r="B2514" s="26" t="s">
        <v>1</v>
      </c>
      <c r="C2514" s="90" t="s">
        <v>284</v>
      </c>
      <c r="D2514" s="91"/>
      <c r="J2514" s="8"/>
      <c r="K2514" s="8"/>
      <c r="L2514" s="8"/>
      <c r="M2514" s="8"/>
      <c r="N2514" s="8"/>
      <c r="O2514" s="8"/>
      <c r="P2514" s="8"/>
    </row>
    <row r="2515" spans="1:16" s="7" customFormat="1" ht="42.75" customHeight="1" thickBot="1">
      <c r="A2515" s="26"/>
      <c r="B2515" s="26" t="s">
        <v>0</v>
      </c>
      <c r="C2515" s="5" t="s">
        <v>687</v>
      </c>
      <c r="D2515" s="4" t="s">
        <v>2</v>
      </c>
      <c r="J2515" s="8"/>
      <c r="K2515" s="8"/>
      <c r="L2515" s="8"/>
      <c r="M2515" s="8"/>
      <c r="N2515" s="8"/>
      <c r="O2515" s="8"/>
      <c r="P2515" s="8"/>
    </row>
    <row r="2516" spans="1:16" s="7" customFormat="1" ht="42.75" customHeight="1" thickBot="1">
      <c r="A2516" s="92">
        <v>585</v>
      </c>
      <c r="B2516" s="93"/>
      <c r="C2516" s="94" t="s">
        <v>3</v>
      </c>
      <c r="D2516" s="95"/>
      <c r="J2516" s="8"/>
      <c r="K2516" s="8"/>
      <c r="L2516" s="8"/>
      <c r="M2516" s="8"/>
      <c r="N2516" s="8"/>
      <c r="O2516" s="8"/>
      <c r="P2516" s="8"/>
    </row>
    <row r="2517" spans="1:16" s="7" customFormat="1" ht="42.75" customHeight="1" thickBot="1">
      <c r="A2517" s="92">
        <v>585</v>
      </c>
      <c r="B2517" s="93"/>
      <c r="C2517" s="96" t="s">
        <v>4</v>
      </c>
      <c r="D2517" s="97"/>
      <c r="J2517" s="8"/>
      <c r="K2517" s="8"/>
      <c r="L2517" s="8"/>
      <c r="M2517" s="8"/>
      <c r="N2517" s="8"/>
      <c r="O2517" s="8"/>
      <c r="P2517" s="8"/>
    </row>
    <row r="2518" spans="1:16" s="7" customFormat="1" ht="42.75" customHeight="1" thickBot="1">
      <c r="A2518" s="98">
        <f>A2517-A2516</f>
        <v>0</v>
      </c>
      <c r="B2518" s="99"/>
      <c r="C2518" s="100" t="s">
        <v>5</v>
      </c>
      <c r="D2518" s="97"/>
      <c r="J2518" s="8"/>
      <c r="K2518" s="8"/>
      <c r="L2518" s="8"/>
      <c r="M2518" s="8"/>
      <c r="N2518" s="8"/>
      <c r="O2518" s="8"/>
      <c r="P2518" s="8"/>
    </row>
    <row r="2519" spans="1:16" s="7" customFormat="1" ht="42.75" customHeight="1" thickBot="1">
      <c r="A2519" s="101">
        <v>62</v>
      </c>
      <c r="B2519" s="102"/>
      <c r="C2519" s="96" t="s">
        <v>6</v>
      </c>
      <c r="D2519" s="97"/>
      <c r="J2519" s="8"/>
      <c r="K2519" s="8"/>
      <c r="L2519" s="8"/>
      <c r="M2519" s="8"/>
      <c r="N2519" s="8"/>
      <c r="O2519" s="8"/>
      <c r="P2519" s="8"/>
    </row>
    <row r="2520" spans="1:16" s="7" customFormat="1" ht="42.75" customHeight="1" thickBot="1">
      <c r="A2520" s="103"/>
      <c r="B2520" s="104"/>
      <c r="C2520" s="96" t="s">
        <v>21</v>
      </c>
      <c r="D2520" s="97"/>
      <c r="J2520" s="8"/>
      <c r="K2520" s="8"/>
      <c r="L2520" s="8"/>
      <c r="M2520" s="8"/>
      <c r="N2520" s="8"/>
      <c r="O2520" s="8"/>
      <c r="P2520" s="8"/>
    </row>
    <row r="2521" spans="1:16" s="7" customFormat="1" ht="42.75" customHeight="1" thickBot="1">
      <c r="A2521" s="105">
        <f>A2519*A2518</f>
        <v>0</v>
      </c>
      <c r="B2521" s="106"/>
      <c r="C2521" s="96" t="s">
        <v>7</v>
      </c>
      <c r="D2521" s="97"/>
      <c r="J2521" s="8"/>
      <c r="K2521" s="8"/>
      <c r="L2521" s="8"/>
      <c r="M2521" s="8"/>
      <c r="N2521" s="8"/>
      <c r="O2521" s="8"/>
      <c r="P2521" s="8"/>
    </row>
    <row r="2522" spans="1:16" s="7" customFormat="1" ht="42.75" customHeight="1" thickBot="1">
      <c r="A2522" s="107" t="s">
        <v>17</v>
      </c>
      <c r="B2522" s="108"/>
      <c r="C2522" s="108"/>
      <c r="D2522" s="109"/>
      <c r="J2522" s="8"/>
      <c r="K2522" s="8"/>
      <c r="L2522" s="8"/>
      <c r="M2522" s="8"/>
      <c r="N2522" s="8"/>
      <c r="O2522" s="8"/>
      <c r="P2522" s="8"/>
    </row>
    <row r="2523" spans="1:16" s="7" customFormat="1" ht="42.75" customHeight="1" thickBot="1">
      <c r="A2523" s="116" t="s">
        <v>20</v>
      </c>
      <c r="B2523" s="117"/>
      <c r="C2523" s="117"/>
      <c r="D2523" s="118"/>
      <c r="J2523" s="8"/>
      <c r="K2523" s="8"/>
      <c r="L2523" s="8"/>
      <c r="M2523" s="8"/>
      <c r="N2523" s="8"/>
      <c r="O2523" s="8"/>
      <c r="P2523" s="8"/>
    </row>
    <row r="2524" spans="1:16" s="7" customFormat="1" ht="42.75" customHeight="1" thickBot="1">
      <c r="A2524" s="113" t="s">
        <v>18</v>
      </c>
      <c r="B2524" s="114"/>
      <c r="C2524" s="114"/>
      <c r="D2524" s="115"/>
      <c r="J2524" s="8"/>
      <c r="K2524" s="8"/>
      <c r="L2524" s="8"/>
      <c r="M2524" s="8"/>
      <c r="N2524" s="8"/>
      <c r="O2524" s="8"/>
      <c r="P2524" s="8"/>
    </row>
    <row r="2525" spans="1:16" s="7" customFormat="1" ht="42.75" customHeight="1" thickBot="1">
      <c r="A2525" s="119"/>
      <c r="B2525" s="119"/>
      <c r="C2525" s="119"/>
      <c r="D2525" s="119"/>
      <c r="J2525" s="8"/>
      <c r="K2525" s="8"/>
      <c r="L2525" s="8"/>
      <c r="M2525" s="8"/>
      <c r="N2525" s="8"/>
      <c r="O2525" s="8"/>
      <c r="P2525" s="8"/>
    </row>
    <row r="2526" spans="1:16" s="7" customFormat="1" ht="42.75" customHeight="1" thickBot="1">
      <c r="A2526" s="126" t="s">
        <v>19</v>
      </c>
      <c r="B2526" s="127"/>
      <c r="C2526" s="127"/>
      <c r="D2526" s="128"/>
      <c r="J2526" s="8"/>
      <c r="K2526" s="8"/>
      <c r="L2526" s="8"/>
      <c r="M2526" s="8"/>
      <c r="N2526" s="8"/>
      <c r="O2526" s="8"/>
      <c r="P2526" s="8"/>
    </row>
    <row r="2527" spans="1:16" s="7" customFormat="1" ht="42.75" customHeight="1" thickBot="1">
      <c r="A2527" s="123" t="s">
        <v>11</v>
      </c>
      <c r="B2527" s="124"/>
      <c r="C2527" s="125" t="s">
        <v>603</v>
      </c>
      <c r="D2527" s="124"/>
      <c r="J2527" s="8"/>
      <c r="K2527" s="8"/>
      <c r="L2527" s="8"/>
      <c r="M2527" s="8"/>
      <c r="N2527" s="8"/>
      <c r="O2527" s="8"/>
      <c r="P2527" s="8"/>
    </row>
    <row r="2528" spans="1:16" s="7" customFormat="1" ht="42.75" customHeight="1" thickBot="1">
      <c r="A2528" s="1" t="s">
        <v>686</v>
      </c>
      <c r="B2528" s="26" t="s">
        <v>1</v>
      </c>
      <c r="C2528" s="90" t="s">
        <v>284</v>
      </c>
      <c r="D2528" s="91"/>
      <c r="J2528" s="8"/>
      <c r="K2528" s="8"/>
      <c r="L2528" s="8"/>
      <c r="M2528" s="8"/>
      <c r="N2528" s="8"/>
      <c r="O2528" s="8"/>
      <c r="P2528" s="8"/>
    </row>
    <row r="2529" spans="1:16" s="7" customFormat="1" ht="42.75" customHeight="1" thickBot="1">
      <c r="A2529" s="26"/>
      <c r="B2529" s="26" t="s">
        <v>0</v>
      </c>
      <c r="C2529" s="5" t="s">
        <v>687</v>
      </c>
      <c r="D2529" s="4" t="s">
        <v>2</v>
      </c>
      <c r="J2529" s="8"/>
      <c r="K2529" s="8"/>
      <c r="L2529" s="8"/>
      <c r="M2529" s="8"/>
      <c r="N2529" s="8"/>
      <c r="O2529" s="8"/>
      <c r="P2529" s="8"/>
    </row>
    <row r="2530" spans="1:16" s="7" customFormat="1" ht="42.75" customHeight="1" thickBot="1">
      <c r="A2530" s="92">
        <v>565</v>
      </c>
      <c r="B2530" s="93"/>
      <c r="C2530" s="94" t="s">
        <v>3</v>
      </c>
      <c r="D2530" s="95"/>
      <c r="J2530" s="8"/>
      <c r="K2530" s="8"/>
      <c r="L2530" s="8"/>
      <c r="M2530" s="8"/>
      <c r="N2530" s="8"/>
      <c r="O2530" s="8"/>
      <c r="P2530" s="8"/>
    </row>
    <row r="2531" spans="1:16" s="7" customFormat="1" ht="42.75" customHeight="1" thickBot="1">
      <c r="A2531" s="92">
        <v>585</v>
      </c>
      <c r="B2531" s="93"/>
      <c r="C2531" s="96" t="s">
        <v>4</v>
      </c>
      <c r="D2531" s="97"/>
      <c r="J2531" s="8"/>
      <c r="K2531" s="8"/>
      <c r="L2531" s="8"/>
      <c r="M2531" s="8"/>
      <c r="N2531" s="8"/>
      <c r="O2531" s="8"/>
      <c r="P2531" s="8"/>
    </row>
    <row r="2532" spans="1:16" s="7" customFormat="1" ht="42.75" customHeight="1" thickBot="1">
      <c r="A2532" s="98">
        <f>A2531-A2530</f>
        <v>20</v>
      </c>
      <c r="B2532" s="99"/>
      <c r="C2532" s="100" t="s">
        <v>5</v>
      </c>
      <c r="D2532" s="97"/>
      <c r="J2532" s="8"/>
      <c r="K2532" s="8"/>
      <c r="L2532" s="8"/>
      <c r="M2532" s="8"/>
      <c r="N2532" s="8"/>
      <c r="O2532" s="8"/>
      <c r="P2532" s="8"/>
    </row>
    <row r="2533" spans="1:16" s="7" customFormat="1" ht="42.75" customHeight="1" thickBot="1">
      <c r="A2533" s="101">
        <v>62</v>
      </c>
      <c r="B2533" s="102"/>
      <c r="C2533" s="96" t="s">
        <v>6</v>
      </c>
      <c r="D2533" s="97"/>
      <c r="J2533" s="8"/>
      <c r="K2533" s="8"/>
      <c r="L2533" s="8"/>
      <c r="M2533" s="8"/>
      <c r="N2533" s="8"/>
      <c r="O2533" s="8"/>
      <c r="P2533" s="8"/>
    </row>
    <row r="2534" spans="1:16" s="7" customFormat="1" ht="42.75" customHeight="1" thickBot="1">
      <c r="A2534" s="103"/>
      <c r="B2534" s="104"/>
      <c r="C2534" s="96" t="s">
        <v>21</v>
      </c>
      <c r="D2534" s="97"/>
      <c r="J2534" s="8"/>
      <c r="K2534" s="8"/>
      <c r="L2534" s="8"/>
      <c r="M2534" s="8"/>
      <c r="N2534" s="8"/>
      <c r="O2534" s="8"/>
      <c r="P2534" s="8"/>
    </row>
    <row r="2535" spans="1:16" s="7" customFormat="1" ht="42.75" customHeight="1" thickBot="1">
      <c r="A2535" s="105">
        <v>1250</v>
      </c>
      <c r="B2535" s="106"/>
      <c r="C2535" s="96" t="s">
        <v>7</v>
      </c>
      <c r="D2535" s="97"/>
      <c r="J2535" s="8"/>
      <c r="K2535" s="8"/>
      <c r="L2535" s="8"/>
      <c r="M2535" s="8"/>
      <c r="N2535" s="8"/>
      <c r="O2535" s="8"/>
      <c r="P2535" s="8"/>
    </row>
    <row r="2536" spans="1:16" s="7" customFormat="1" ht="42.75" customHeight="1" thickBot="1">
      <c r="A2536" s="107" t="s">
        <v>17</v>
      </c>
      <c r="B2536" s="108"/>
      <c r="C2536" s="108"/>
      <c r="D2536" s="109"/>
      <c r="J2536" s="8"/>
      <c r="K2536" s="8"/>
      <c r="L2536" s="8"/>
      <c r="M2536" s="8"/>
      <c r="N2536" s="8"/>
      <c r="O2536" s="8"/>
      <c r="P2536" s="8"/>
    </row>
    <row r="2537" spans="1:16" s="7" customFormat="1" ht="42.75" customHeight="1" thickBot="1">
      <c r="A2537" s="116" t="s">
        <v>20</v>
      </c>
      <c r="B2537" s="117"/>
      <c r="C2537" s="117"/>
      <c r="D2537" s="118"/>
      <c r="J2537" s="8"/>
      <c r="K2537" s="8"/>
      <c r="L2537" s="8"/>
      <c r="M2537" s="8"/>
      <c r="N2537" s="8"/>
      <c r="O2537" s="8"/>
      <c r="P2537" s="8"/>
    </row>
    <row r="2538" spans="1:16" s="7" customFormat="1" ht="42.75" customHeight="1" thickBot="1">
      <c r="A2538" s="113" t="s">
        <v>18</v>
      </c>
      <c r="B2538" s="114"/>
      <c r="C2538" s="114"/>
      <c r="D2538" s="115"/>
      <c r="J2538" s="8"/>
      <c r="K2538" s="8"/>
      <c r="L2538" s="8"/>
      <c r="M2538" s="8"/>
      <c r="N2538" s="8"/>
      <c r="O2538" s="8"/>
      <c r="P2538" s="8"/>
    </row>
    <row r="2539" spans="1:16" s="7" customFormat="1" ht="42.75" customHeight="1" thickBot="1">
      <c r="A2539" s="126" t="s">
        <v>19</v>
      </c>
      <c r="B2539" s="127"/>
      <c r="C2539" s="127"/>
      <c r="D2539" s="128"/>
      <c r="J2539" s="8"/>
      <c r="K2539" s="8"/>
      <c r="L2539" s="8"/>
      <c r="M2539" s="8"/>
      <c r="N2539" s="8"/>
      <c r="O2539" s="8"/>
      <c r="P2539" s="8"/>
    </row>
    <row r="2540" spans="1:16" s="7" customFormat="1" ht="42.75" customHeight="1" thickBot="1">
      <c r="A2540" s="123" t="s">
        <v>11</v>
      </c>
      <c r="B2540" s="124"/>
      <c r="C2540" s="125" t="s">
        <v>603</v>
      </c>
      <c r="D2540" s="124"/>
      <c r="J2540" s="8"/>
      <c r="K2540" s="8"/>
      <c r="L2540" s="8"/>
      <c r="M2540" s="8"/>
      <c r="N2540" s="8"/>
      <c r="O2540" s="8"/>
      <c r="P2540" s="8"/>
    </row>
    <row r="2541" spans="1:16" s="7" customFormat="1" ht="42.75" customHeight="1" thickBot="1">
      <c r="A2541" s="1" t="s">
        <v>686</v>
      </c>
      <c r="B2541" s="26" t="s">
        <v>1</v>
      </c>
      <c r="C2541" s="90" t="s">
        <v>285</v>
      </c>
      <c r="D2541" s="91"/>
      <c r="J2541" s="8"/>
      <c r="K2541" s="8"/>
      <c r="L2541" s="8"/>
      <c r="M2541" s="8"/>
      <c r="N2541" s="8"/>
      <c r="O2541" s="8"/>
      <c r="P2541" s="8"/>
    </row>
    <row r="2542" spans="1:16" s="7" customFormat="1" ht="42.75" customHeight="1" thickBot="1">
      <c r="A2542" s="26"/>
      <c r="B2542" s="26" t="s">
        <v>0</v>
      </c>
      <c r="C2542" s="5" t="s">
        <v>687</v>
      </c>
      <c r="D2542" s="4" t="s">
        <v>2</v>
      </c>
      <c r="J2542" s="8"/>
      <c r="K2542" s="8"/>
      <c r="L2542" s="8"/>
      <c r="M2542" s="8"/>
      <c r="N2542" s="8"/>
      <c r="O2542" s="8"/>
      <c r="P2542" s="8"/>
    </row>
    <row r="2543" spans="1:16" s="7" customFormat="1" ht="42.75" customHeight="1" thickBot="1">
      <c r="A2543" s="92">
        <v>350</v>
      </c>
      <c r="B2543" s="93"/>
      <c r="C2543" s="94" t="s">
        <v>3</v>
      </c>
      <c r="D2543" s="95"/>
      <c r="J2543" s="8"/>
      <c r="K2543" s="8"/>
      <c r="L2543" s="8"/>
      <c r="M2543" s="8"/>
      <c r="N2543" s="8"/>
      <c r="O2543" s="8"/>
      <c r="P2543" s="8"/>
    </row>
    <row r="2544" spans="1:16" s="7" customFormat="1" ht="42.75" customHeight="1" thickBot="1">
      <c r="A2544" s="92">
        <v>350</v>
      </c>
      <c r="B2544" s="93"/>
      <c r="C2544" s="96" t="s">
        <v>4</v>
      </c>
      <c r="D2544" s="97"/>
      <c r="J2544" s="8"/>
      <c r="K2544" s="8"/>
      <c r="L2544" s="8"/>
      <c r="M2544" s="8"/>
      <c r="N2544" s="8"/>
      <c r="O2544" s="8"/>
      <c r="P2544" s="8"/>
    </row>
    <row r="2545" spans="1:16" s="7" customFormat="1" ht="42.75" customHeight="1" thickBot="1">
      <c r="A2545" s="98">
        <f>A2544-A2543</f>
        <v>0</v>
      </c>
      <c r="B2545" s="99"/>
      <c r="C2545" s="100" t="s">
        <v>5</v>
      </c>
      <c r="D2545" s="97"/>
      <c r="J2545" s="8"/>
      <c r="K2545" s="8"/>
      <c r="L2545" s="8"/>
      <c r="M2545" s="8"/>
      <c r="N2545" s="8"/>
      <c r="O2545" s="8"/>
      <c r="P2545" s="8"/>
    </row>
    <row r="2546" spans="1:16" s="7" customFormat="1" ht="42.75" customHeight="1" thickBot="1">
      <c r="A2546" s="101">
        <v>62</v>
      </c>
      <c r="B2546" s="102"/>
      <c r="C2546" s="96" t="s">
        <v>6</v>
      </c>
      <c r="D2546" s="97"/>
      <c r="J2546" s="8"/>
      <c r="K2546" s="8"/>
      <c r="L2546" s="8"/>
      <c r="M2546" s="8"/>
      <c r="N2546" s="8"/>
      <c r="O2546" s="8"/>
      <c r="P2546" s="8"/>
    </row>
    <row r="2547" spans="1:16" s="7" customFormat="1" ht="42.75" customHeight="1" thickBot="1">
      <c r="A2547" s="103"/>
      <c r="B2547" s="104"/>
      <c r="C2547" s="96" t="s">
        <v>21</v>
      </c>
      <c r="D2547" s="97"/>
      <c r="J2547" s="8"/>
      <c r="K2547" s="8"/>
      <c r="L2547" s="8"/>
      <c r="M2547" s="8"/>
      <c r="N2547" s="8"/>
      <c r="O2547" s="8"/>
      <c r="P2547" s="8"/>
    </row>
    <row r="2548" spans="1:16" s="7" customFormat="1" ht="42.75" customHeight="1" thickBot="1">
      <c r="A2548" s="105">
        <f>A2546*A2545</f>
        <v>0</v>
      </c>
      <c r="B2548" s="106"/>
      <c r="C2548" s="96" t="s">
        <v>7</v>
      </c>
      <c r="D2548" s="97"/>
      <c r="J2548" s="8"/>
      <c r="K2548" s="8"/>
      <c r="L2548" s="8"/>
      <c r="M2548" s="8"/>
      <c r="N2548" s="8"/>
      <c r="O2548" s="8"/>
      <c r="P2548" s="8"/>
    </row>
    <row r="2549" spans="1:16" s="7" customFormat="1" ht="42.75" customHeight="1" thickBot="1">
      <c r="A2549" s="107" t="s">
        <v>17</v>
      </c>
      <c r="B2549" s="108"/>
      <c r="C2549" s="108"/>
      <c r="D2549" s="109"/>
      <c r="J2549" s="8"/>
      <c r="K2549" s="8"/>
      <c r="L2549" s="8"/>
      <c r="M2549" s="8"/>
      <c r="N2549" s="8"/>
      <c r="O2549" s="8"/>
      <c r="P2549" s="8"/>
    </row>
    <row r="2550" spans="1:16" s="7" customFormat="1" ht="42.75" customHeight="1" thickBot="1">
      <c r="A2550" s="116" t="s">
        <v>20</v>
      </c>
      <c r="B2550" s="117"/>
      <c r="C2550" s="117"/>
      <c r="D2550" s="118"/>
      <c r="J2550" s="8"/>
      <c r="K2550" s="8"/>
      <c r="L2550" s="8"/>
      <c r="M2550" s="8"/>
      <c r="N2550" s="8"/>
      <c r="O2550" s="8"/>
      <c r="P2550" s="8"/>
    </row>
    <row r="2551" spans="1:16" s="7" customFormat="1" ht="42.75" customHeight="1" thickBot="1">
      <c r="A2551" s="113" t="s">
        <v>18</v>
      </c>
      <c r="B2551" s="114"/>
      <c r="C2551" s="114"/>
      <c r="D2551" s="115"/>
      <c r="J2551" s="8"/>
      <c r="K2551" s="8"/>
      <c r="L2551" s="8"/>
      <c r="M2551" s="8"/>
      <c r="N2551" s="8"/>
      <c r="O2551" s="8"/>
      <c r="P2551" s="8"/>
    </row>
    <row r="2552" spans="1:16" s="7" customFormat="1" ht="42.75" customHeight="1" thickBot="1">
      <c r="A2552" s="119"/>
      <c r="B2552" s="119"/>
      <c r="C2552" s="119"/>
      <c r="D2552" s="119"/>
      <c r="J2552" s="8"/>
      <c r="K2552" s="8"/>
      <c r="L2552" s="8"/>
      <c r="M2552" s="8"/>
      <c r="N2552" s="8"/>
      <c r="O2552" s="8"/>
      <c r="P2552" s="8"/>
    </row>
    <row r="2553" spans="1:16" s="7" customFormat="1" ht="42.75" customHeight="1" thickBot="1">
      <c r="A2553" s="126" t="s">
        <v>19</v>
      </c>
      <c r="B2553" s="127"/>
      <c r="C2553" s="127"/>
      <c r="D2553" s="128"/>
      <c r="J2553" s="8"/>
      <c r="K2553" s="8"/>
      <c r="L2553" s="8"/>
      <c r="M2553" s="8"/>
      <c r="N2553" s="8"/>
      <c r="O2553" s="8"/>
      <c r="P2553" s="8"/>
    </row>
    <row r="2554" spans="1:16" s="7" customFormat="1" ht="42.75" customHeight="1" thickBot="1">
      <c r="A2554" s="123" t="s">
        <v>11</v>
      </c>
      <c r="B2554" s="124"/>
      <c r="C2554" s="125" t="s">
        <v>603</v>
      </c>
      <c r="D2554" s="124"/>
      <c r="J2554" s="8"/>
      <c r="K2554" s="8"/>
      <c r="L2554" s="8"/>
      <c r="M2554" s="8"/>
      <c r="N2554" s="8"/>
      <c r="O2554" s="8"/>
      <c r="P2554" s="8"/>
    </row>
    <row r="2555" spans="1:16" s="7" customFormat="1" ht="42.75" customHeight="1" thickBot="1">
      <c r="A2555" s="1" t="s">
        <v>686</v>
      </c>
      <c r="B2555" s="26" t="s">
        <v>1</v>
      </c>
      <c r="C2555" s="90" t="s">
        <v>285</v>
      </c>
      <c r="D2555" s="91"/>
      <c r="J2555" s="8"/>
      <c r="K2555" s="8"/>
      <c r="L2555" s="8"/>
      <c r="M2555" s="8"/>
      <c r="N2555" s="8"/>
      <c r="O2555" s="8"/>
      <c r="P2555" s="8"/>
    </row>
    <row r="2556" spans="1:16" s="7" customFormat="1" ht="42.75" customHeight="1" thickBot="1">
      <c r="A2556" s="26"/>
      <c r="B2556" s="26" t="s">
        <v>0</v>
      </c>
      <c r="C2556" s="5" t="s">
        <v>687</v>
      </c>
      <c r="D2556" s="4" t="s">
        <v>2</v>
      </c>
      <c r="J2556" s="8"/>
      <c r="K2556" s="8"/>
      <c r="L2556" s="8"/>
      <c r="M2556" s="8"/>
      <c r="N2556" s="8"/>
      <c r="O2556" s="8"/>
      <c r="P2556" s="8"/>
    </row>
    <row r="2557" spans="1:16" s="7" customFormat="1" ht="42.75" customHeight="1" thickBot="1">
      <c r="A2557" s="92">
        <v>340</v>
      </c>
      <c r="B2557" s="93"/>
      <c r="C2557" s="94" t="s">
        <v>3</v>
      </c>
      <c r="D2557" s="95"/>
      <c r="J2557" s="8"/>
      <c r="K2557" s="8"/>
      <c r="L2557" s="8"/>
      <c r="M2557" s="8"/>
      <c r="N2557" s="8"/>
      <c r="O2557" s="8"/>
      <c r="P2557" s="8"/>
    </row>
    <row r="2558" spans="1:16" s="7" customFormat="1" ht="42.75" customHeight="1" thickBot="1">
      <c r="A2558" s="92">
        <v>350</v>
      </c>
      <c r="B2558" s="93"/>
      <c r="C2558" s="96" t="s">
        <v>4</v>
      </c>
      <c r="D2558" s="97"/>
      <c r="J2558" s="8"/>
      <c r="K2558" s="8"/>
      <c r="L2558" s="8"/>
      <c r="M2558" s="8"/>
      <c r="N2558" s="8"/>
      <c r="O2558" s="8"/>
      <c r="P2558" s="8"/>
    </row>
    <row r="2559" spans="1:16" s="7" customFormat="1" ht="42.75" customHeight="1" thickBot="1">
      <c r="A2559" s="98">
        <f>A2558-A2557</f>
        <v>10</v>
      </c>
      <c r="B2559" s="99"/>
      <c r="C2559" s="100" t="s">
        <v>5</v>
      </c>
      <c r="D2559" s="97"/>
      <c r="J2559" s="8"/>
      <c r="K2559" s="8"/>
      <c r="L2559" s="8"/>
      <c r="M2559" s="8"/>
      <c r="N2559" s="8"/>
      <c r="O2559" s="8"/>
      <c r="P2559" s="8"/>
    </row>
    <row r="2560" spans="1:16" s="7" customFormat="1" ht="42.75" customHeight="1" thickBot="1">
      <c r="A2560" s="101">
        <v>62</v>
      </c>
      <c r="B2560" s="102"/>
      <c r="C2560" s="96" t="s">
        <v>6</v>
      </c>
      <c r="D2560" s="97"/>
      <c r="J2560" s="8"/>
      <c r="K2560" s="8"/>
      <c r="L2560" s="8"/>
      <c r="M2560" s="8"/>
      <c r="N2560" s="8"/>
      <c r="O2560" s="8"/>
      <c r="P2560" s="8"/>
    </row>
    <row r="2561" spans="1:16" s="7" customFormat="1" ht="42.75" customHeight="1" thickBot="1">
      <c r="A2561" s="103"/>
      <c r="B2561" s="104"/>
      <c r="C2561" s="96" t="s">
        <v>21</v>
      </c>
      <c r="D2561" s="97"/>
      <c r="J2561" s="8"/>
      <c r="K2561" s="8"/>
      <c r="L2561" s="8"/>
      <c r="M2561" s="8"/>
      <c r="N2561" s="8"/>
      <c r="O2561" s="8"/>
      <c r="P2561" s="8"/>
    </row>
    <row r="2562" spans="1:16" s="7" customFormat="1" ht="42.75" customHeight="1" thickBot="1">
      <c r="A2562" s="105">
        <v>600</v>
      </c>
      <c r="B2562" s="106"/>
      <c r="C2562" s="96" t="s">
        <v>7</v>
      </c>
      <c r="D2562" s="97"/>
      <c r="J2562" s="8"/>
      <c r="K2562" s="8"/>
      <c r="L2562" s="8"/>
      <c r="M2562" s="8"/>
      <c r="N2562" s="8"/>
      <c r="O2562" s="8"/>
      <c r="P2562" s="8"/>
    </row>
    <row r="2563" spans="1:16" s="7" customFormat="1" ht="42.75" customHeight="1" thickBot="1">
      <c r="A2563" s="107" t="s">
        <v>17</v>
      </c>
      <c r="B2563" s="108"/>
      <c r="C2563" s="108"/>
      <c r="D2563" s="109"/>
      <c r="J2563" s="8"/>
      <c r="K2563" s="8"/>
      <c r="L2563" s="8"/>
      <c r="M2563" s="8"/>
      <c r="N2563" s="8"/>
      <c r="O2563" s="8"/>
      <c r="P2563" s="8"/>
    </row>
    <row r="2564" spans="1:16" s="7" customFormat="1" ht="42.75" customHeight="1" thickBot="1">
      <c r="A2564" s="110" t="s">
        <v>20</v>
      </c>
      <c r="B2564" s="111"/>
      <c r="C2564" s="111"/>
      <c r="D2564" s="112"/>
      <c r="J2564" s="8"/>
      <c r="K2564" s="8"/>
      <c r="L2564" s="8"/>
      <c r="M2564" s="8"/>
      <c r="N2564" s="8"/>
      <c r="O2564" s="8"/>
      <c r="P2564" s="8"/>
    </row>
    <row r="2565" spans="1:16" s="7" customFormat="1" ht="42.75" customHeight="1" thickBot="1">
      <c r="A2565" s="113" t="s">
        <v>18</v>
      </c>
      <c r="B2565" s="114"/>
      <c r="C2565" s="114"/>
      <c r="D2565" s="115"/>
      <c r="J2565" s="8"/>
      <c r="K2565" s="8"/>
      <c r="L2565" s="8"/>
      <c r="M2565" s="8"/>
      <c r="N2565" s="8"/>
      <c r="O2565" s="8"/>
      <c r="P2565" s="8"/>
    </row>
    <row r="2566" spans="1:16" s="7" customFormat="1" ht="42.75" customHeight="1" thickBot="1">
      <c r="A2566" s="126" t="s">
        <v>19</v>
      </c>
      <c r="B2566" s="127"/>
      <c r="C2566" s="127"/>
      <c r="D2566" s="128"/>
      <c r="J2566" s="8"/>
      <c r="K2566" s="8"/>
      <c r="L2566" s="8"/>
      <c r="M2566" s="8"/>
      <c r="N2566" s="8"/>
      <c r="O2566" s="8"/>
      <c r="P2566" s="8"/>
    </row>
    <row r="2567" spans="1:16" s="7" customFormat="1" ht="42.75" customHeight="1" thickBot="1">
      <c r="A2567" s="123" t="s">
        <v>11</v>
      </c>
      <c r="B2567" s="124"/>
      <c r="C2567" s="125" t="s">
        <v>603</v>
      </c>
      <c r="D2567" s="124"/>
      <c r="J2567" s="8"/>
      <c r="K2567" s="8"/>
      <c r="L2567" s="8"/>
      <c r="M2567" s="8"/>
      <c r="N2567" s="8"/>
      <c r="O2567" s="8"/>
      <c r="P2567" s="8"/>
    </row>
    <row r="2568" spans="1:16" s="7" customFormat="1" ht="42.75" customHeight="1" thickBot="1">
      <c r="A2568" s="1" t="s">
        <v>686</v>
      </c>
      <c r="B2568" s="26" t="s">
        <v>1</v>
      </c>
      <c r="C2568" s="90" t="s">
        <v>286</v>
      </c>
      <c r="D2568" s="91"/>
      <c r="J2568" s="8"/>
      <c r="K2568" s="8"/>
      <c r="L2568" s="8"/>
      <c r="M2568" s="8"/>
      <c r="N2568" s="8"/>
      <c r="O2568" s="8"/>
      <c r="P2568" s="8"/>
    </row>
    <row r="2569" spans="1:16" s="7" customFormat="1" ht="42.75" customHeight="1" thickBot="1">
      <c r="A2569" s="26"/>
      <c r="B2569" s="26" t="s">
        <v>0</v>
      </c>
      <c r="C2569" s="5" t="s">
        <v>687</v>
      </c>
      <c r="D2569" s="4" t="s">
        <v>2</v>
      </c>
      <c r="J2569" s="8"/>
      <c r="K2569" s="8"/>
      <c r="L2569" s="8"/>
      <c r="M2569" s="8"/>
      <c r="N2569" s="8"/>
      <c r="O2569" s="8"/>
      <c r="P2569" s="8"/>
    </row>
    <row r="2570" spans="1:16" s="7" customFormat="1" ht="42.75" customHeight="1" thickBot="1">
      <c r="A2570" s="92">
        <v>970</v>
      </c>
      <c r="B2570" s="93"/>
      <c r="C2570" s="94" t="s">
        <v>3</v>
      </c>
      <c r="D2570" s="95"/>
      <c r="J2570" s="8"/>
      <c r="K2570" s="8"/>
      <c r="L2570" s="8"/>
      <c r="M2570" s="8"/>
      <c r="N2570" s="8"/>
      <c r="O2570" s="8"/>
      <c r="P2570" s="8"/>
    </row>
    <row r="2571" spans="1:16" s="7" customFormat="1" ht="42.75" customHeight="1" thickBot="1">
      <c r="A2571" s="92">
        <v>970</v>
      </c>
      <c r="B2571" s="93"/>
      <c r="C2571" s="96" t="s">
        <v>4</v>
      </c>
      <c r="D2571" s="97"/>
      <c r="J2571" s="8"/>
      <c r="K2571" s="8"/>
      <c r="L2571" s="8"/>
      <c r="M2571" s="8"/>
      <c r="N2571" s="8"/>
      <c r="O2571" s="8"/>
      <c r="P2571" s="8"/>
    </row>
    <row r="2572" spans="1:16" s="7" customFormat="1" ht="42.75" customHeight="1" thickBot="1">
      <c r="A2572" s="98">
        <f>A2571-A2570</f>
        <v>0</v>
      </c>
      <c r="B2572" s="99"/>
      <c r="C2572" s="100" t="s">
        <v>5</v>
      </c>
      <c r="D2572" s="97"/>
      <c r="J2572" s="8"/>
      <c r="K2572" s="8"/>
      <c r="L2572" s="8"/>
      <c r="M2572" s="8"/>
      <c r="N2572" s="8"/>
      <c r="O2572" s="8"/>
      <c r="P2572" s="8"/>
    </row>
    <row r="2573" spans="1:16" s="7" customFormat="1" ht="42.75" customHeight="1" thickBot="1">
      <c r="A2573" s="101">
        <v>62</v>
      </c>
      <c r="B2573" s="102"/>
      <c r="C2573" s="96" t="s">
        <v>6</v>
      </c>
      <c r="D2573" s="97"/>
      <c r="J2573" s="8"/>
      <c r="K2573" s="8"/>
      <c r="L2573" s="8"/>
      <c r="M2573" s="8"/>
      <c r="N2573" s="8"/>
      <c r="O2573" s="8"/>
      <c r="P2573" s="8"/>
    </row>
    <row r="2574" spans="1:16" s="7" customFormat="1" ht="42.75" customHeight="1" thickBot="1">
      <c r="A2574" s="103"/>
      <c r="B2574" s="104"/>
      <c r="C2574" s="96" t="s">
        <v>21</v>
      </c>
      <c r="D2574" s="97"/>
      <c r="J2574" s="8"/>
      <c r="K2574" s="8"/>
      <c r="L2574" s="8"/>
      <c r="M2574" s="8"/>
      <c r="N2574" s="8"/>
      <c r="O2574" s="8"/>
      <c r="P2574" s="8"/>
    </row>
    <row r="2575" spans="1:16" s="7" customFormat="1" ht="42.75" customHeight="1" thickBot="1">
      <c r="A2575" s="105">
        <f>A2573*A2572</f>
        <v>0</v>
      </c>
      <c r="B2575" s="106"/>
      <c r="C2575" s="96" t="s">
        <v>7</v>
      </c>
      <c r="D2575" s="97"/>
      <c r="J2575" s="8"/>
      <c r="K2575" s="8"/>
      <c r="L2575" s="8"/>
      <c r="M2575" s="8"/>
      <c r="N2575" s="8"/>
      <c r="O2575" s="8"/>
      <c r="P2575" s="8"/>
    </row>
    <row r="2576" spans="1:16" s="7" customFormat="1" ht="42.75" customHeight="1" thickBot="1">
      <c r="A2576" s="107" t="s">
        <v>17</v>
      </c>
      <c r="B2576" s="108"/>
      <c r="C2576" s="108"/>
      <c r="D2576" s="109"/>
      <c r="J2576" s="8"/>
      <c r="K2576" s="8"/>
      <c r="L2576" s="8"/>
      <c r="M2576" s="8"/>
      <c r="N2576" s="8"/>
      <c r="O2576" s="8"/>
      <c r="P2576" s="8"/>
    </row>
    <row r="2577" spans="1:16" s="7" customFormat="1" ht="42.75" customHeight="1" thickBot="1">
      <c r="A2577" s="116" t="s">
        <v>20</v>
      </c>
      <c r="B2577" s="117"/>
      <c r="C2577" s="117"/>
      <c r="D2577" s="118"/>
      <c r="J2577" s="8"/>
      <c r="K2577" s="8"/>
      <c r="L2577" s="8"/>
      <c r="M2577" s="8"/>
      <c r="N2577" s="8"/>
      <c r="O2577" s="8"/>
      <c r="P2577" s="8"/>
    </row>
    <row r="2578" spans="1:16" s="7" customFormat="1" ht="42.75" customHeight="1" thickBot="1">
      <c r="A2578" s="113" t="s">
        <v>18</v>
      </c>
      <c r="B2578" s="114"/>
      <c r="C2578" s="114"/>
      <c r="D2578" s="115"/>
      <c r="J2578" s="8"/>
      <c r="K2578" s="8"/>
      <c r="L2578" s="8"/>
      <c r="M2578" s="8"/>
      <c r="N2578" s="8"/>
      <c r="O2578" s="8"/>
      <c r="P2578" s="8"/>
    </row>
    <row r="2579" spans="1:16" s="7" customFormat="1" ht="42.75" customHeight="1" thickBot="1">
      <c r="A2579" s="119"/>
      <c r="B2579" s="119"/>
      <c r="C2579" s="119"/>
      <c r="D2579" s="119"/>
      <c r="J2579" s="8"/>
      <c r="K2579" s="8"/>
      <c r="L2579" s="8"/>
      <c r="M2579" s="8"/>
      <c r="N2579" s="8"/>
      <c r="O2579" s="8"/>
      <c r="P2579" s="8"/>
    </row>
    <row r="2580" spans="1:16" s="7" customFormat="1" ht="42.75" customHeight="1" thickBot="1">
      <c r="A2580" s="126" t="s">
        <v>19</v>
      </c>
      <c r="B2580" s="127"/>
      <c r="C2580" s="127"/>
      <c r="D2580" s="128"/>
      <c r="J2580" s="8"/>
      <c r="K2580" s="8"/>
      <c r="L2580" s="8"/>
      <c r="M2580" s="8"/>
      <c r="N2580" s="8"/>
      <c r="O2580" s="8"/>
      <c r="P2580" s="8"/>
    </row>
    <row r="2581" spans="1:16" s="7" customFormat="1" ht="42.75" customHeight="1" thickBot="1">
      <c r="A2581" s="123" t="s">
        <v>11</v>
      </c>
      <c r="B2581" s="124"/>
      <c r="C2581" s="125" t="s">
        <v>603</v>
      </c>
      <c r="D2581" s="124"/>
      <c r="J2581" s="8"/>
      <c r="K2581" s="8"/>
      <c r="L2581" s="8"/>
      <c r="M2581" s="8"/>
      <c r="N2581" s="8"/>
      <c r="O2581" s="8"/>
      <c r="P2581" s="8"/>
    </row>
    <row r="2582" spans="1:16" s="7" customFormat="1" ht="42.75" customHeight="1" thickBot="1">
      <c r="A2582" s="1" t="s">
        <v>686</v>
      </c>
      <c r="B2582" s="26" t="s">
        <v>1</v>
      </c>
      <c r="C2582" s="90" t="s">
        <v>286</v>
      </c>
      <c r="D2582" s="91"/>
      <c r="J2582" s="8"/>
      <c r="K2582" s="8"/>
      <c r="L2582" s="8"/>
      <c r="M2582" s="8"/>
      <c r="N2582" s="8"/>
      <c r="O2582" s="8"/>
      <c r="P2582" s="8"/>
    </row>
    <row r="2583" spans="1:16" s="7" customFormat="1" ht="42.75" customHeight="1" thickBot="1">
      <c r="A2583" s="26"/>
      <c r="B2583" s="26" t="s">
        <v>0</v>
      </c>
      <c r="C2583" s="5" t="s">
        <v>687</v>
      </c>
      <c r="D2583" s="4" t="s">
        <v>2</v>
      </c>
      <c r="J2583" s="8"/>
      <c r="K2583" s="8"/>
      <c r="L2583" s="8"/>
      <c r="M2583" s="8"/>
      <c r="N2583" s="8"/>
      <c r="O2583" s="8"/>
      <c r="P2583" s="8"/>
    </row>
    <row r="2584" spans="1:16" s="7" customFormat="1" ht="42.75" customHeight="1" thickBot="1">
      <c r="A2584" s="92">
        <v>953</v>
      </c>
      <c r="B2584" s="93"/>
      <c r="C2584" s="94" t="s">
        <v>3</v>
      </c>
      <c r="D2584" s="95"/>
      <c r="J2584" s="8"/>
      <c r="K2584" s="8"/>
      <c r="L2584" s="8"/>
      <c r="M2584" s="8"/>
      <c r="N2584" s="8"/>
      <c r="O2584" s="8"/>
      <c r="P2584" s="8"/>
    </row>
    <row r="2585" spans="1:16" s="7" customFormat="1" ht="42.75" customHeight="1" thickBot="1">
      <c r="A2585" s="92">
        <v>970</v>
      </c>
      <c r="B2585" s="93"/>
      <c r="C2585" s="96" t="s">
        <v>4</v>
      </c>
      <c r="D2585" s="97"/>
      <c r="J2585" s="8"/>
      <c r="K2585" s="8"/>
      <c r="L2585" s="8"/>
      <c r="M2585" s="8"/>
      <c r="N2585" s="8"/>
      <c r="O2585" s="8"/>
      <c r="P2585" s="8"/>
    </row>
    <row r="2586" spans="1:16" s="7" customFormat="1" ht="42.75" customHeight="1" thickBot="1">
      <c r="A2586" s="98">
        <f>A2585-A2584</f>
        <v>17</v>
      </c>
      <c r="B2586" s="99"/>
      <c r="C2586" s="100" t="s">
        <v>5</v>
      </c>
      <c r="D2586" s="97"/>
      <c r="J2586" s="8"/>
      <c r="K2586" s="8"/>
      <c r="L2586" s="8"/>
      <c r="M2586" s="8"/>
      <c r="N2586" s="8"/>
      <c r="O2586" s="8"/>
      <c r="P2586" s="8"/>
    </row>
    <row r="2587" spans="1:16" s="7" customFormat="1" ht="42.75" customHeight="1" thickBot="1">
      <c r="A2587" s="101">
        <v>62</v>
      </c>
      <c r="B2587" s="102"/>
      <c r="C2587" s="96" t="s">
        <v>6</v>
      </c>
      <c r="D2587" s="97"/>
      <c r="J2587" s="8"/>
      <c r="K2587" s="8"/>
      <c r="L2587" s="8"/>
      <c r="M2587" s="8"/>
      <c r="N2587" s="8"/>
      <c r="O2587" s="8"/>
      <c r="P2587" s="8"/>
    </row>
    <row r="2588" spans="1:16" s="7" customFormat="1" ht="42.75" customHeight="1" thickBot="1">
      <c r="A2588" s="103"/>
      <c r="B2588" s="104"/>
      <c r="C2588" s="96" t="s">
        <v>21</v>
      </c>
      <c r="D2588" s="97"/>
      <c r="J2588" s="8"/>
      <c r="K2588" s="8"/>
      <c r="L2588" s="8"/>
      <c r="M2588" s="8"/>
      <c r="N2588" s="8"/>
      <c r="O2588" s="8"/>
      <c r="P2588" s="8"/>
    </row>
    <row r="2589" spans="1:16" s="7" customFormat="1" ht="42.75" customHeight="1" thickBot="1">
      <c r="A2589" s="105">
        <f>A2587*A2586</f>
        <v>1054</v>
      </c>
      <c r="B2589" s="106"/>
      <c r="C2589" s="96" t="s">
        <v>7</v>
      </c>
      <c r="D2589" s="97"/>
      <c r="J2589" s="8"/>
      <c r="K2589" s="8"/>
      <c r="L2589" s="8"/>
      <c r="M2589" s="8"/>
      <c r="N2589" s="8"/>
      <c r="O2589" s="8"/>
      <c r="P2589" s="8"/>
    </row>
    <row r="2590" spans="1:16" s="7" customFormat="1" ht="42.75" customHeight="1" thickBot="1">
      <c r="A2590" s="107" t="s">
        <v>17</v>
      </c>
      <c r="B2590" s="108"/>
      <c r="C2590" s="108"/>
      <c r="D2590" s="109"/>
      <c r="J2590" s="8"/>
      <c r="K2590" s="8"/>
      <c r="L2590" s="8"/>
      <c r="M2590" s="8"/>
      <c r="N2590" s="8"/>
      <c r="O2590" s="8"/>
      <c r="P2590" s="8"/>
    </row>
    <row r="2591" spans="1:16" s="7" customFormat="1" ht="42.75" customHeight="1" thickBot="1">
      <c r="A2591" s="110" t="s">
        <v>20</v>
      </c>
      <c r="B2591" s="111"/>
      <c r="C2591" s="111"/>
      <c r="D2591" s="112"/>
      <c r="J2591" s="8"/>
      <c r="K2591" s="8"/>
      <c r="L2591" s="8"/>
      <c r="M2591" s="8"/>
      <c r="N2591" s="8"/>
      <c r="O2591" s="8"/>
      <c r="P2591" s="8"/>
    </row>
    <row r="2592" spans="1:16" s="7" customFormat="1" ht="42.75" customHeight="1" thickBot="1">
      <c r="A2592" s="113" t="s">
        <v>18</v>
      </c>
      <c r="B2592" s="114"/>
      <c r="C2592" s="114"/>
      <c r="D2592" s="115"/>
      <c r="J2592" s="8"/>
      <c r="K2592" s="8"/>
      <c r="L2592" s="8"/>
      <c r="M2592" s="8"/>
      <c r="N2592" s="8"/>
      <c r="O2592" s="8"/>
      <c r="P2592" s="8"/>
    </row>
    <row r="2593" spans="1:16" s="7" customFormat="1" ht="42.75" customHeight="1" thickBot="1">
      <c r="A2593" s="126" t="s">
        <v>19</v>
      </c>
      <c r="B2593" s="127"/>
      <c r="C2593" s="127"/>
      <c r="D2593" s="128"/>
      <c r="J2593" s="8"/>
      <c r="K2593" s="8"/>
      <c r="L2593" s="8"/>
      <c r="M2593" s="8"/>
      <c r="N2593" s="8"/>
      <c r="O2593" s="8"/>
      <c r="P2593" s="8"/>
    </row>
    <row r="2594" spans="1:16" s="7" customFormat="1" ht="42.75" customHeight="1" thickBot="1">
      <c r="A2594" s="123" t="s">
        <v>11</v>
      </c>
      <c r="B2594" s="124"/>
      <c r="C2594" s="125" t="s">
        <v>603</v>
      </c>
      <c r="D2594" s="124"/>
      <c r="J2594" s="8"/>
      <c r="K2594" s="8"/>
      <c r="L2594" s="8"/>
      <c r="M2594" s="8"/>
      <c r="N2594" s="8"/>
      <c r="O2594" s="8"/>
      <c r="P2594" s="8"/>
    </row>
    <row r="2595" spans="1:16" s="7" customFormat="1" ht="42.75" customHeight="1" thickBot="1">
      <c r="A2595" s="1" t="s">
        <v>686</v>
      </c>
      <c r="B2595" s="26" t="s">
        <v>1</v>
      </c>
      <c r="C2595" s="90" t="s">
        <v>287</v>
      </c>
      <c r="D2595" s="91"/>
      <c r="J2595" s="8"/>
      <c r="K2595" s="8"/>
      <c r="L2595" s="8"/>
      <c r="M2595" s="8"/>
      <c r="N2595" s="8"/>
      <c r="O2595" s="8"/>
      <c r="P2595" s="8"/>
    </row>
    <row r="2596" spans="1:16" s="7" customFormat="1" ht="42.75" customHeight="1" thickBot="1">
      <c r="A2596" s="26"/>
      <c r="B2596" s="26" t="s">
        <v>0</v>
      </c>
      <c r="C2596" s="5" t="s">
        <v>687</v>
      </c>
      <c r="D2596" s="4" t="s">
        <v>2</v>
      </c>
      <c r="J2596" s="8"/>
      <c r="K2596" s="8"/>
      <c r="L2596" s="8"/>
      <c r="M2596" s="8"/>
      <c r="N2596" s="8"/>
      <c r="O2596" s="8"/>
      <c r="P2596" s="8"/>
    </row>
    <row r="2597" spans="1:16" s="7" customFormat="1" ht="42.75" customHeight="1" thickBot="1">
      <c r="A2597" s="92">
        <v>740</v>
      </c>
      <c r="B2597" s="93"/>
      <c r="C2597" s="94" t="s">
        <v>3</v>
      </c>
      <c r="D2597" s="95"/>
      <c r="J2597" s="8"/>
      <c r="K2597" s="8"/>
      <c r="L2597" s="8"/>
      <c r="M2597" s="8"/>
      <c r="N2597" s="8"/>
      <c r="O2597" s="8"/>
      <c r="P2597" s="8"/>
    </row>
    <row r="2598" spans="1:16" s="7" customFormat="1" ht="42.75" customHeight="1" thickBot="1">
      <c r="A2598" s="92">
        <v>740</v>
      </c>
      <c r="B2598" s="93"/>
      <c r="C2598" s="96" t="s">
        <v>4</v>
      </c>
      <c r="D2598" s="97"/>
      <c r="J2598" s="8"/>
      <c r="K2598" s="8"/>
      <c r="L2598" s="8"/>
      <c r="M2598" s="8"/>
      <c r="N2598" s="8"/>
      <c r="O2598" s="8"/>
      <c r="P2598" s="8"/>
    </row>
    <row r="2599" spans="1:16" s="7" customFormat="1" ht="42.75" customHeight="1" thickBot="1">
      <c r="A2599" s="98">
        <f>A2598-A2597</f>
        <v>0</v>
      </c>
      <c r="B2599" s="99"/>
      <c r="C2599" s="100" t="s">
        <v>5</v>
      </c>
      <c r="D2599" s="97"/>
      <c r="J2599" s="8"/>
      <c r="K2599" s="8"/>
      <c r="L2599" s="8"/>
      <c r="M2599" s="8"/>
      <c r="N2599" s="8"/>
      <c r="O2599" s="8"/>
      <c r="P2599" s="8"/>
    </row>
    <row r="2600" spans="1:16" s="7" customFormat="1" ht="42.75" customHeight="1" thickBot="1">
      <c r="A2600" s="101">
        <v>62</v>
      </c>
      <c r="B2600" s="102"/>
      <c r="C2600" s="96" t="s">
        <v>6</v>
      </c>
      <c r="D2600" s="97"/>
      <c r="J2600" s="8"/>
      <c r="K2600" s="8"/>
      <c r="L2600" s="8"/>
      <c r="M2600" s="8"/>
      <c r="N2600" s="8"/>
      <c r="O2600" s="8"/>
      <c r="P2600" s="8"/>
    </row>
    <row r="2601" spans="1:16" s="7" customFormat="1" ht="42.75" customHeight="1" thickBot="1">
      <c r="A2601" s="103"/>
      <c r="B2601" s="104"/>
      <c r="C2601" s="96" t="s">
        <v>21</v>
      </c>
      <c r="D2601" s="97"/>
      <c r="J2601" s="8"/>
      <c r="K2601" s="8"/>
      <c r="L2601" s="8"/>
      <c r="M2601" s="8"/>
      <c r="N2601" s="8"/>
      <c r="O2601" s="8"/>
      <c r="P2601" s="8"/>
    </row>
    <row r="2602" spans="1:16" s="7" customFormat="1" ht="42.75" customHeight="1" thickBot="1">
      <c r="A2602" s="105">
        <f>A2600*A2599</f>
        <v>0</v>
      </c>
      <c r="B2602" s="106"/>
      <c r="C2602" s="96" t="s">
        <v>7</v>
      </c>
      <c r="D2602" s="97"/>
      <c r="J2602" s="8"/>
      <c r="K2602" s="8"/>
      <c r="L2602" s="8"/>
      <c r="M2602" s="8"/>
      <c r="N2602" s="8"/>
      <c r="O2602" s="8"/>
      <c r="P2602" s="8"/>
    </row>
    <row r="2603" spans="1:16" s="7" customFormat="1" ht="42.75" customHeight="1" thickBot="1">
      <c r="A2603" s="107" t="s">
        <v>17</v>
      </c>
      <c r="B2603" s="108"/>
      <c r="C2603" s="108"/>
      <c r="D2603" s="109"/>
      <c r="J2603" s="8"/>
      <c r="K2603" s="8"/>
      <c r="L2603" s="8"/>
      <c r="M2603" s="8"/>
      <c r="N2603" s="8"/>
      <c r="O2603" s="8"/>
      <c r="P2603" s="8"/>
    </row>
    <row r="2604" spans="1:16" s="7" customFormat="1" ht="42.75" customHeight="1" thickBot="1">
      <c r="A2604" s="116" t="s">
        <v>20</v>
      </c>
      <c r="B2604" s="117"/>
      <c r="C2604" s="117"/>
      <c r="D2604" s="118"/>
      <c r="J2604" s="8"/>
      <c r="K2604" s="8"/>
      <c r="L2604" s="8"/>
      <c r="M2604" s="8"/>
      <c r="N2604" s="8"/>
      <c r="O2604" s="8"/>
      <c r="P2604" s="8"/>
    </row>
    <row r="2605" spans="1:16" s="7" customFormat="1" ht="42.75" customHeight="1" thickBot="1">
      <c r="A2605" s="113" t="s">
        <v>18</v>
      </c>
      <c r="B2605" s="114"/>
      <c r="C2605" s="114"/>
      <c r="D2605" s="115"/>
      <c r="J2605" s="8"/>
      <c r="K2605" s="8"/>
      <c r="L2605" s="8"/>
      <c r="M2605" s="8"/>
      <c r="N2605" s="8"/>
      <c r="O2605" s="8"/>
      <c r="P2605" s="8"/>
    </row>
    <row r="2606" spans="1:16" s="7" customFormat="1" ht="42.75" customHeight="1" thickBot="1">
      <c r="A2606" s="119"/>
      <c r="B2606" s="119"/>
      <c r="C2606" s="119"/>
      <c r="D2606" s="119"/>
      <c r="J2606" s="8"/>
      <c r="K2606" s="8"/>
      <c r="L2606" s="8"/>
      <c r="M2606" s="8"/>
      <c r="N2606" s="8"/>
      <c r="O2606" s="8"/>
      <c r="P2606" s="8"/>
    </row>
    <row r="2607" spans="1:16" s="7" customFormat="1" ht="42.75" customHeight="1" thickBot="1">
      <c r="A2607" s="126" t="s">
        <v>19</v>
      </c>
      <c r="B2607" s="127"/>
      <c r="C2607" s="127"/>
      <c r="D2607" s="128"/>
      <c r="J2607" s="8"/>
      <c r="K2607" s="8"/>
      <c r="L2607" s="8"/>
      <c r="M2607" s="8"/>
      <c r="N2607" s="8"/>
      <c r="O2607" s="8"/>
      <c r="P2607" s="8"/>
    </row>
    <row r="2608" spans="1:16" s="7" customFormat="1" ht="42.75" customHeight="1" thickBot="1">
      <c r="A2608" s="123" t="s">
        <v>11</v>
      </c>
      <c r="B2608" s="124"/>
      <c r="C2608" s="125" t="s">
        <v>603</v>
      </c>
      <c r="D2608" s="124"/>
      <c r="J2608" s="8"/>
      <c r="K2608" s="8"/>
      <c r="L2608" s="8"/>
      <c r="M2608" s="8"/>
      <c r="N2608" s="8"/>
      <c r="O2608" s="8"/>
      <c r="P2608" s="8"/>
    </row>
    <row r="2609" spans="1:16" s="7" customFormat="1" ht="42.75" customHeight="1" thickBot="1">
      <c r="A2609" s="1" t="s">
        <v>686</v>
      </c>
      <c r="B2609" s="26" t="s">
        <v>1</v>
      </c>
      <c r="C2609" s="90" t="s">
        <v>287</v>
      </c>
      <c r="D2609" s="91"/>
      <c r="J2609" s="8"/>
      <c r="K2609" s="8"/>
      <c r="L2609" s="8"/>
      <c r="M2609" s="8"/>
      <c r="N2609" s="8"/>
      <c r="O2609" s="8"/>
      <c r="P2609" s="8"/>
    </row>
    <row r="2610" spans="1:16" s="7" customFormat="1" ht="42.75" customHeight="1" thickBot="1">
      <c r="A2610" s="26"/>
      <c r="B2610" s="26" t="s">
        <v>0</v>
      </c>
      <c r="C2610" s="5" t="s">
        <v>687</v>
      </c>
      <c r="D2610" s="4" t="s">
        <v>2</v>
      </c>
      <c r="J2610" s="8"/>
      <c r="K2610" s="8"/>
      <c r="L2610" s="8"/>
      <c r="M2610" s="8"/>
      <c r="N2610" s="8"/>
      <c r="O2610" s="8"/>
      <c r="P2610" s="8"/>
    </row>
    <row r="2611" spans="1:16" s="7" customFormat="1" ht="42.75" customHeight="1" thickBot="1">
      <c r="A2611" s="92">
        <v>700</v>
      </c>
      <c r="B2611" s="93"/>
      <c r="C2611" s="94" t="s">
        <v>3</v>
      </c>
      <c r="D2611" s="95"/>
      <c r="J2611" s="8"/>
      <c r="K2611" s="8"/>
      <c r="L2611" s="8"/>
      <c r="M2611" s="8"/>
      <c r="N2611" s="8"/>
      <c r="O2611" s="8"/>
      <c r="P2611" s="8"/>
    </row>
    <row r="2612" spans="1:16" s="7" customFormat="1" ht="42.75" customHeight="1" thickBot="1">
      <c r="A2612" s="92">
        <v>740</v>
      </c>
      <c r="B2612" s="93"/>
      <c r="C2612" s="96" t="s">
        <v>4</v>
      </c>
      <c r="D2612" s="97"/>
      <c r="J2612" s="8"/>
      <c r="K2612" s="8"/>
      <c r="L2612" s="8"/>
      <c r="M2612" s="8"/>
      <c r="N2612" s="8"/>
      <c r="O2612" s="8"/>
      <c r="P2612" s="8"/>
    </row>
    <row r="2613" spans="1:16" s="7" customFormat="1" ht="42.75" customHeight="1" thickBot="1">
      <c r="A2613" s="98">
        <f>A2612-A2611</f>
        <v>40</v>
      </c>
      <c r="B2613" s="99"/>
      <c r="C2613" s="100" t="s">
        <v>5</v>
      </c>
      <c r="D2613" s="97"/>
      <c r="J2613" s="8"/>
      <c r="K2613" s="8"/>
      <c r="L2613" s="8"/>
      <c r="M2613" s="8"/>
      <c r="N2613" s="8"/>
      <c r="O2613" s="8"/>
      <c r="P2613" s="8"/>
    </row>
    <row r="2614" spans="1:16" s="7" customFormat="1" ht="42.75" customHeight="1" thickBot="1">
      <c r="A2614" s="101">
        <v>62</v>
      </c>
      <c r="B2614" s="102"/>
      <c r="C2614" s="96" t="s">
        <v>6</v>
      </c>
      <c r="D2614" s="97"/>
      <c r="J2614" s="8"/>
      <c r="K2614" s="8"/>
      <c r="L2614" s="8"/>
      <c r="M2614" s="8"/>
      <c r="N2614" s="8"/>
      <c r="O2614" s="8"/>
      <c r="P2614" s="8"/>
    </row>
    <row r="2615" spans="1:16" s="7" customFormat="1" ht="42.75" customHeight="1" thickBot="1">
      <c r="A2615" s="103"/>
      <c r="B2615" s="104"/>
      <c r="C2615" s="96" t="s">
        <v>21</v>
      </c>
      <c r="D2615" s="97"/>
      <c r="J2615" s="8"/>
      <c r="K2615" s="8"/>
      <c r="L2615" s="8"/>
      <c r="M2615" s="8"/>
      <c r="N2615" s="8"/>
      <c r="O2615" s="8"/>
      <c r="P2615" s="8"/>
    </row>
    <row r="2616" spans="1:16" s="7" customFormat="1" ht="42.75" customHeight="1" thickBot="1">
      <c r="A2616" s="105">
        <v>2500</v>
      </c>
      <c r="B2616" s="106"/>
      <c r="C2616" s="96" t="s">
        <v>7</v>
      </c>
      <c r="D2616" s="97"/>
      <c r="J2616" s="8"/>
      <c r="K2616" s="8"/>
      <c r="L2616" s="8"/>
      <c r="M2616" s="8"/>
      <c r="N2616" s="8"/>
      <c r="O2616" s="8"/>
      <c r="P2616" s="8"/>
    </row>
    <row r="2617" spans="1:16" s="7" customFormat="1" ht="42.75" customHeight="1" thickBot="1">
      <c r="A2617" s="107" t="s">
        <v>17</v>
      </c>
      <c r="B2617" s="108"/>
      <c r="C2617" s="108"/>
      <c r="D2617" s="109"/>
      <c r="J2617" s="8"/>
      <c r="K2617" s="8"/>
      <c r="L2617" s="8"/>
      <c r="M2617" s="8"/>
      <c r="N2617" s="8"/>
      <c r="O2617" s="8"/>
      <c r="P2617" s="8"/>
    </row>
    <row r="2618" spans="1:16" s="7" customFormat="1" ht="42.75" customHeight="1" thickBot="1">
      <c r="A2618" s="110" t="s">
        <v>20</v>
      </c>
      <c r="B2618" s="111"/>
      <c r="C2618" s="111"/>
      <c r="D2618" s="112"/>
      <c r="J2618" s="8"/>
      <c r="K2618" s="8"/>
      <c r="L2618" s="8"/>
      <c r="M2618" s="8"/>
      <c r="N2618" s="8"/>
      <c r="O2618" s="8"/>
      <c r="P2618" s="8"/>
    </row>
    <row r="2619" spans="1:16" s="7" customFormat="1" ht="42.75" customHeight="1" thickBot="1">
      <c r="A2619" s="113" t="s">
        <v>18</v>
      </c>
      <c r="B2619" s="114"/>
      <c r="C2619" s="114"/>
      <c r="D2619" s="115"/>
      <c r="J2619" s="8"/>
      <c r="K2619" s="8"/>
      <c r="L2619" s="8"/>
      <c r="M2619" s="8"/>
      <c r="N2619" s="8"/>
      <c r="O2619" s="8"/>
      <c r="P2619" s="8"/>
    </row>
    <row r="2620" spans="1:16" s="7" customFormat="1" ht="42.75" customHeight="1" thickBot="1">
      <c r="A2620" s="126" t="s">
        <v>19</v>
      </c>
      <c r="B2620" s="127"/>
      <c r="C2620" s="127"/>
      <c r="D2620" s="128"/>
      <c r="J2620" s="8"/>
      <c r="K2620" s="8"/>
      <c r="L2620" s="8"/>
      <c r="M2620" s="8"/>
      <c r="N2620" s="8"/>
      <c r="O2620" s="8"/>
      <c r="P2620" s="8"/>
    </row>
    <row r="2621" spans="1:16" s="7" customFormat="1" ht="42.75" customHeight="1" thickBot="1">
      <c r="A2621" s="123" t="s">
        <v>11</v>
      </c>
      <c r="B2621" s="124"/>
      <c r="C2621" s="125" t="s">
        <v>603</v>
      </c>
      <c r="D2621" s="124"/>
      <c r="J2621" s="8"/>
      <c r="K2621" s="8"/>
      <c r="L2621" s="8"/>
      <c r="M2621" s="8"/>
      <c r="N2621" s="8"/>
      <c r="O2621" s="8"/>
      <c r="P2621" s="8"/>
    </row>
    <row r="2622" spans="1:16" s="7" customFormat="1" ht="42.75" customHeight="1" thickBot="1">
      <c r="A2622" s="1" t="s">
        <v>686</v>
      </c>
      <c r="B2622" s="26" t="s">
        <v>1</v>
      </c>
      <c r="C2622" s="90" t="s">
        <v>288</v>
      </c>
      <c r="D2622" s="91"/>
      <c r="J2622" s="8"/>
      <c r="K2622" s="8"/>
      <c r="L2622" s="8"/>
      <c r="M2622" s="8"/>
      <c r="N2622" s="8"/>
      <c r="O2622" s="8"/>
      <c r="P2622" s="8"/>
    </row>
    <row r="2623" spans="1:16" s="7" customFormat="1" ht="42.75" customHeight="1" thickBot="1">
      <c r="A2623" s="26"/>
      <c r="B2623" s="26" t="s">
        <v>0</v>
      </c>
      <c r="C2623" s="5" t="s">
        <v>687</v>
      </c>
      <c r="D2623" s="4" t="s">
        <v>2</v>
      </c>
      <c r="J2623" s="8"/>
      <c r="K2623" s="8"/>
      <c r="L2623" s="8"/>
      <c r="M2623" s="8"/>
      <c r="N2623" s="8"/>
      <c r="O2623" s="8"/>
      <c r="P2623" s="8"/>
    </row>
    <row r="2624" spans="1:16" s="7" customFormat="1" ht="42.75" customHeight="1" thickBot="1">
      <c r="A2624" s="92">
        <v>180</v>
      </c>
      <c r="B2624" s="93"/>
      <c r="C2624" s="94" t="s">
        <v>3</v>
      </c>
      <c r="D2624" s="95"/>
      <c r="J2624" s="8"/>
      <c r="K2624" s="8"/>
      <c r="L2624" s="8"/>
      <c r="M2624" s="8"/>
      <c r="N2624" s="8"/>
      <c r="O2624" s="8"/>
      <c r="P2624" s="8"/>
    </row>
    <row r="2625" spans="1:16" s="7" customFormat="1" ht="42.75" customHeight="1" thickBot="1">
      <c r="A2625" s="92">
        <v>180</v>
      </c>
      <c r="B2625" s="93"/>
      <c r="C2625" s="96" t="s">
        <v>4</v>
      </c>
      <c r="D2625" s="97"/>
      <c r="J2625" s="8"/>
      <c r="K2625" s="8"/>
      <c r="L2625" s="8"/>
      <c r="M2625" s="8"/>
      <c r="N2625" s="8"/>
      <c r="O2625" s="8"/>
      <c r="P2625" s="8"/>
    </row>
    <row r="2626" spans="1:16" s="7" customFormat="1" ht="42.75" customHeight="1" thickBot="1">
      <c r="A2626" s="98">
        <f>A2625-A2624</f>
        <v>0</v>
      </c>
      <c r="B2626" s="99"/>
      <c r="C2626" s="100" t="s">
        <v>5</v>
      </c>
      <c r="D2626" s="97"/>
      <c r="J2626" s="8"/>
      <c r="K2626" s="8"/>
      <c r="L2626" s="8"/>
      <c r="M2626" s="8"/>
      <c r="N2626" s="8"/>
      <c r="O2626" s="8"/>
      <c r="P2626" s="8"/>
    </row>
    <row r="2627" spans="1:16" s="7" customFormat="1" ht="42.75" customHeight="1" thickBot="1">
      <c r="A2627" s="101">
        <v>62</v>
      </c>
      <c r="B2627" s="102"/>
      <c r="C2627" s="96" t="s">
        <v>6</v>
      </c>
      <c r="D2627" s="97"/>
      <c r="J2627" s="8"/>
      <c r="K2627" s="8"/>
      <c r="L2627" s="8"/>
      <c r="M2627" s="8"/>
      <c r="N2627" s="8"/>
      <c r="O2627" s="8"/>
      <c r="P2627" s="8"/>
    </row>
    <row r="2628" spans="1:16" s="7" customFormat="1" ht="42.75" customHeight="1" thickBot="1">
      <c r="A2628" s="103"/>
      <c r="B2628" s="104"/>
      <c r="C2628" s="96" t="s">
        <v>21</v>
      </c>
      <c r="D2628" s="97"/>
      <c r="J2628" s="8"/>
      <c r="K2628" s="8"/>
      <c r="L2628" s="8"/>
      <c r="M2628" s="8"/>
      <c r="N2628" s="8"/>
      <c r="O2628" s="8"/>
      <c r="P2628" s="8"/>
    </row>
    <row r="2629" spans="1:16" s="7" customFormat="1" ht="42.75" customHeight="1" thickBot="1">
      <c r="A2629" s="105">
        <f>A2627*A2626</f>
        <v>0</v>
      </c>
      <c r="B2629" s="106"/>
      <c r="C2629" s="96" t="s">
        <v>7</v>
      </c>
      <c r="D2629" s="97"/>
      <c r="J2629" s="8"/>
      <c r="K2629" s="8"/>
      <c r="L2629" s="8"/>
      <c r="M2629" s="8"/>
      <c r="N2629" s="8"/>
      <c r="O2629" s="8"/>
      <c r="P2629" s="8"/>
    </row>
    <row r="2630" spans="1:16" s="7" customFormat="1" ht="42.75" customHeight="1" thickBot="1">
      <c r="A2630" s="107" t="s">
        <v>17</v>
      </c>
      <c r="B2630" s="108"/>
      <c r="C2630" s="108"/>
      <c r="D2630" s="109"/>
      <c r="J2630" s="8"/>
      <c r="K2630" s="8"/>
      <c r="L2630" s="8"/>
      <c r="M2630" s="8"/>
      <c r="N2630" s="8"/>
      <c r="O2630" s="8"/>
      <c r="P2630" s="8"/>
    </row>
    <row r="2631" spans="1:16" s="7" customFormat="1" ht="42.75" customHeight="1" thickBot="1">
      <c r="A2631" s="116" t="s">
        <v>20</v>
      </c>
      <c r="B2631" s="117"/>
      <c r="C2631" s="117"/>
      <c r="D2631" s="118"/>
      <c r="J2631" s="8"/>
      <c r="K2631" s="8"/>
      <c r="L2631" s="8"/>
      <c r="M2631" s="8"/>
      <c r="N2631" s="8"/>
      <c r="O2631" s="8"/>
      <c r="P2631" s="8"/>
    </row>
    <row r="2632" spans="1:16" s="7" customFormat="1" ht="42.75" customHeight="1" thickBot="1">
      <c r="A2632" s="113" t="s">
        <v>18</v>
      </c>
      <c r="B2632" s="114"/>
      <c r="C2632" s="114"/>
      <c r="D2632" s="115"/>
      <c r="J2632" s="8"/>
      <c r="K2632" s="8"/>
      <c r="L2632" s="8"/>
      <c r="M2632" s="8"/>
      <c r="N2632" s="8"/>
      <c r="O2632" s="8"/>
      <c r="P2632" s="8"/>
    </row>
    <row r="2633" spans="1:16" s="7" customFormat="1" ht="42.75" customHeight="1" thickBot="1">
      <c r="A2633" s="119"/>
      <c r="B2633" s="119"/>
      <c r="C2633" s="119"/>
      <c r="D2633" s="119"/>
      <c r="J2633" s="8"/>
      <c r="K2633" s="8"/>
      <c r="L2633" s="8"/>
      <c r="M2633" s="8"/>
      <c r="N2633" s="8"/>
      <c r="O2633" s="8"/>
      <c r="P2633" s="8"/>
    </row>
    <row r="2634" spans="1:16" s="7" customFormat="1" ht="42.75" customHeight="1" thickBot="1">
      <c r="A2634" s="126" t="s">
        <v>19</v>
      </c>
      <c r="B2634" s="127"/>
      <c r="C2634" s="127"/>
      <c r="D2634" s="128"/>
      <c r="J2634" s="8"/>
      <c r="K2634" s="8"/>
      <c r="L2634" s="8"/>
      <c r="M2634" s="8"/>
      <c r="N2634" s="8"/>
      <c r="O2634" s="8"/>
      <c r="P2634" s="8"/>
    </row>
    <row r="2635" spans="1:16" s="7" customFormat="1" ht="42.75" customHeight="1" thickBot="1">
      <c r="A2635" s="123" t="s">
        <v>11</v>
      </c>
      <c r="B2635" s="124"/>
      <c r="C2635" s="125" t="s">
        <v>603</v>
      </c>
      <c r="D2635" s="124"/>
      <c r="J2635" s="8"/>
      <c r="K2635" s="8"/>
      <c r="L2635" s="8"/>
      <c r="M2635" s="8"/>
      <c r="N2635" s="8"/>
      <c r="O2635" s="8"/>
      <c r="P2635" s="8"/>
    </row>
    <row r="2636" spans="1:16" s="7" customFormat="1" ht="42.75" customHeight="1" thickBot="1">
      <c r="A2636" s="1" t="s">
        <v>686</v>
      </c>
      <c r="B2636" s="26" t="s">
        <v>1</v>
      </c>
      <c r="C2636" s="90" t="s">
        <v>288</v>
      </c>
      <c r="D2636" s="91"/>
      <c r="J2636" s="8"/>
      <c r="K2636" s="8"/>
      <c r="L2636" s="8"/>
      <c r="M2636" s="8"/>
      <c r="N2636" s="8"/>
      <c r="O2636" s="8"/>
      <c r="P2636" s="8"/>
    </row>
    <row r="2637" spans="1:16" s="7" customFormat="1" ht="42.75" customHeight="1" thickBot="1">
      <c r="A2637" s="26"/>
      <c r="B2637" s="26" t="s">
        <v>0</v>
      </c>
      <c r="C2637" s="5" t="s">
        <v>687</v>
      </c>
      <c r="D2637" s="4" t="s">
        <v>2</v>
      </c>
      <c r="J2637" s="8"/>
      <c r="K2637" s="8"/>
      <c r="L2637" s="8"/>
      <c r="M2637" s="8"/>
      <c r="N2637" s="8"/>
      <c r="O2637" s="8"/>
      <c r="P2637" s="8"/>
    </row>
    <row r="2638" spans="1:16" s="7" customFormat="1" ht="42.75" customHeight="1" thickBot="1">
      <c r="A2638" s="92">
        <v>173</v>
      </c>
      <c r="B2638" s="93"/>
      <c r="C2638" s="94" t="s">
        <v>3</v>
      </c>
      <c r="D2638" s="95"/>
      <c r="J2638" s="8"/>
      <c r="K2638" s="8"/>
      <c r="L2638" s="8"/>
      <c r="M2638" s="8"/>
      <c r="N2638" s="8"/>
      <c r="O2638" s="8"/>
      <c r="P2638" s="8"/>
    </row>
    <row r="2639" spans="1:16" s="7" customFormat="1" ht="42.75" customHeight="1" thickBot="1">
      <c r="A2639" s="92">
        <v>180</v>
      </c>
      <c r="B2639" s="93"/>
      <c r="C2639" s="96" t="s">
        <v>4</v>
      </c>
      <c r="D2639" s="97"/>
      <c r="J2639" s="8"/>
      <c r="K2639" s="8"/>
      <c r="L2639" s="8"/>
      <c r="M2639" s="8"/>
      <c r="N2639" s="8"/>
      <c r="O2639" s="8"/>
      <c r="P2639" s="8"/>
    </row>
    <row r="2640" spans="1:16" s="7" customFormat="1" ht="42.75" customHeight="1" thickBot="1">
      <c r="A2640" s="98">
        <v>8</v>
      </c>
      <c r="B2640" s="99"/>
      <c r="C2640" s="100" t="s">
        <v>5</v>
      </c>
      <c r="D2640" s="97"/>
      <c r="J2640" s="8"/>
      <c r="K2640" s="8"/>
      <c r="L2640" s="8"/>
      <c r="M2640" s="8"/>
      <c r="N2640" s="8"/>
      <c r="O2640" s="8"/>
      <c r="P2640" s="8"/>
    </row>
    <row r="2641" spans="1:16" s="7" customFormat="1" ht="42.75" customHeight="1" thickBot="1">
      <c r="A2641" s="101">
        <v>62</v>
      </c>
      <c r="B2641" s="102"/>
      <c r="C2641" s="96" t="s">
        <v>6</v>
      </c>
      <c r="D2641" s="97"/>
      <c r="J2641" s="8"/>
      <c r="K2641" s="8"/>
      <c r="L2641" s="8"/>
      <c r="M2641" s="8"/>
      <c r="N2641" s="8"/>
      <c r="O2641" s="8"/>
      <c r="P2641" s="8"/>
    </row>
    <row r="2642" spans="1:16" s="7" customFormat="1" ht="42.75" customHeight="1" thickBot="1">
      <c r="A2642" s="103"/>
      <c r="B2642" s="104"/>
      <c r="C2642" s="96" t="s">
        <v>21</v>
      </c>
      <c r="D2642" s="97"/>
      <c r="J2642" s="8"/>
      <c r="K2642" s="8"/>
      <c r="L2642" s="8"/>
      <c r="M2642" s="8"/>
      <c r="N2642" s="8"/>
      <c r="O2642" s="8"/>
      <c r="P2642" s="8"/>
    </row>
    <row r="2643" spans="1:16" s="7" customFormat="1" ht="42.75" customHeight="1" thickBot="1">
      <c r="A2643" s="105">
        <v>500</v>
      </c>
      <c r="B2643" s="106"/>
      <c r="C2643" s="96" t="s">
        <v>7</v>
      </c>
      <c r="D2643" s="97"/>
      <c r="J2643" s="8"/>
      <c r="K2643" s="8"/>
      <c r="L2643" s="8"/>
      <c r="M2643" s="8"/>
      <c r="N2643" s="8"/>
      <c r="O2643" s="8"/>
      <c r="P2643" s="8"/>
    </row>
    <row r="2644" spans="1:16" s="7" customFormat="1" ht="42.75" customHeight="1" thickBot="1">
      <c r="A2644" s="107" t="s">
        <v>17</v>
      </c>
      <c r="B2644" s="108"/>
      <c r="C2644" s="108"/>
      <c r="D2644" s="109"/>
      <c r="J2644" s="8"/>
      <c r="K2644" s="8"/>
      <c r="L2644" s="8"/>
      <c r="M2644" s="8"/>
      <c r="N2644" s="8"/>
      <c r="O2644" s="8"/>
      <c r="P2644" s="8"/>
    </row>
    <row r="2645" spans="1:16" s="7" customFormat="1" ht="42.75" customHeight="1" thickBot="1">
      <c r="A2645" s="110" t="s">
        <v>20</v>
      </c>
      <c r="B2645" s="111"/>
      <c r="C2645" s="111"/>
      <c r="D2645" s="112"/>
      <c r="J2645" s="8"/>
      <c r="K2645" s="8"/>
      <c r="L2645" s="8"/>
      <c r="M2645" s="8"/>
      <c r="N2645" s="8"/>
      <c r="O2645" s="8"/>
      <c r="P2645" s="8"/>
    </row>
    <row r="2646" spans="1:16" s="7" customFormat="1" ht="42.75" customHeight="1" thickBot="1">
      <c r="A2646" s="113" t="s">
        <v>18</v>
      </c>
      <c r="B2646" s="114"/>
      <c r="C2646" s="114"/>
      <c r="D2646" s="115"/>
      <c r="J2646" s="8"/>
      <c r="K2646" s="8"/>
      <c r="L2646" s="8"/>
      <c r="M2646" s="8"/>
      <c r="N2646" s="8"/>
      <c r="O2646" s="8"/>
      <c r="P2646" s="8"/>
    </row>
    <row r="2647" spans="1:16" s="7" customFormat="1" ht="42.75" customHeight="1" thickBot="1">
      <c r="A2647" s="126" t="s">
        <v>19</v>
      </c>
      <c r="B2647" s="127"/>
      <c r="C2647" s="127"/>
      <c r="D2647" s="128"/>
      <c r="J2647" s="8"/>
      <c r="K2647" s="8"/>
      <c r="L2647" s="8"/>
      <c r="M2647" s="8"/>
      <c r="N2647" s="8"/>
      <c r="O2647" s="8"/>
      <c r="P2647" s="8"/>
    </row>
    <row r="2648" spans="1:16" s="7" customFormat="1" ht="42.75" customHeight="1" thickBot="1">
      <c r="A2648" s="123" t="s">
        <v>11</v>
      </c>
      <c r="B2648" s="124"/>
      <c r="C2648" s="125" t="s">
        <v>603</v>
      </c>
      <c r="D2648" s="124"/>
      <c r="J2648" s="8"/>
      <c r="K2648" s="8"/>
      <c r="L2648" s="8"/>
      <c r="M2648" s="8"/>
      <c r="N2648" s="8"/>
      <c r="O2648" s="8"/>
      <c r="P2648" s="8"/>
    </row>
    <row r="2649" spans="1:16" s="7" customFormat="1" ht="42.75" customHeight="1" thickBot="1">
      <c r="A2649" s="1" t="s">
        <v>686</v>
      </c>
      <c r="B2649" s="26" t="s">
        <v>1</v>
      </c>
      <c r="C2649" s="90" t="s">
        <v>284</v>
      </c>
      <c r="D2649" s="91"/>
      <c r="J2649" s="8"/>
      <c r="K2649" s="8"/>
      <c r="L2649" s="8"/>
      <c r="M2649" s="8"/>
      <c r="N2649" s="8"/>
      <c r="O2649" s="8"/>
      <c r="P2649" s="8"/>
    </row>
    <row r="2650" spans="1:16" s="7" customFormat="1" ht="42.75" customHeight="1" thickBot="1">
      <c r="A2650" s="26"/>
      <c r="B2650" s="26" t="s">
        <v>0</v>
      </c>
      <c r="C2650" s="5" t="s">
        <v>687</v>
      </c>
      <c r="D2650" s="4" t="s">
        <v>2</v>
      </c>
      <c r="J2650" s="8"/>
      <c r="K2650" s="8"/>
      <c r="L2650" s="8"/>
      <c r="M2650" s="8"/>
      <c r="N2650" s="8"/>
      <c r="O2650" s="8"/>
      <c r="P2650" s="8"/>
    </row>
    <row r="2651" spans="1:16" s="7" customFormat="1" ht="42.75" customHeight="1" thickBot="1">
      <c r="A2651" s="92">
        <v>61</v>
      </c>
      <c r="B2651" s="93"/>
      <c r="C2651" s="94" t="s">
        <v>3</v>
      </c>
      <c r="D2651" s="95"/>
      <c r="J2651" s="8"/>
      <c r="K2651" s="8"/>
      <c r="L2651" s="8"/>
      <c r="M2651" s="8"/>
      <c r="N2651" s="8"/>
      <c r="O2651" s="8"/>
      <c r="P2651" s="8"/>
    </row>
    <row r="2652" spans="1:16" s="7" customFormat="1" ht="42.75" customHeight="1" thickBot="1">
      <c r="A2652" s="92">
        <v>61</v>
      </c>
      <c r="B2652" s="93"/>
      <c r="C2652" s="96" t="s">
        <v>4</v>
      </c>
      <c r="D2652" s="97"/>
      <c r="J2652" s="8"/>
      <c r="K2652" s="8"/>
      <c r="L2652" s="8"/>
      <c r="M2652" s="8"/>
      <c r="N2652" s="8"/>
      <c r="O2652" s="8"/>
      <c r="P2652" s="8"/>
    </row>
    <row r="2653" spans="1:16" s="7" customFormat="1" ht="42.75" customHeight="1" thickBot="1">
      <c r="A2653" s="98">
        <f>A2652-A2651</f>
        <v>0</v>
      </c>
      <c r="B2653" s="99"/>
      <c r="C2653" s="100" t="s">
        <v>5</v>
      </c>
      <c r="D2653" s="97"/>
      <c r="J2653" s="8"/>
      <c r="K2653" s="8"/>
      <c r="L2653" s="8"/>
      <c r="M2653" s="8"/>
      <c r="N2653" s="8"/>
      <c r="O2653" s="8"/>
      <c r="P2653" s="8"/>
    </row>
    <row r="2654" spans="1:16" s="7" customFormat="1" ht="42.75" customHeight="1" thickBot="1">
      <c r="A2654" s="101">
        <v>62</v>
      </c>
      <c r="B2654" s="102"/>
      <c r="C2654" s="96" t="s">
        <v>6</v>
      </c>
      <c r="D2654" s="97"/>
      <c r="J2654" s="8"/>
      <c r="K2654" s="8"/>
      <c r="L2654" s="8"/>
      <c r="M2654" s="8"/>
      <c r="N2654" s="8"/>
      <c r="O2654" s="8"/>
      <c r="P2654" s="8"/>
    </row>
    <row r="2655" spans="1:16" s="7" customFormat="1" ht="42.75" customHeight="1" thickBot="1">
      <c r="A2655" s="103"/>
      <c r="B2655" s="104"/>
      <c r="C2655" s="96" t="s">
        <v>21</v>
      </c>
      <c r="D2655" s="97"/>
      <c r="J2655" s="8"/>
      <c r="K2655" s="8"/>
      <c r="L2655" s="8"/>
      <c r="M2655" s="8"/>
      <c r="N2655" s="8"/>
      <c r="O2655" s="8"/>
      <c r="P2655" s="8"/>
    </row>
    <row r="2656" spans="1:16" s="7" customFormat="1" ht="42.75" customHeight="1" thickBot="1">
      <c r="A2656" s="105">
        <f>A2654*A2653</f>
        <v>0</v>
      </c>
      <c r="B2656" s="106"/>
      <c r="C2656" s="96" t="s">
        <v>7</v>
      </c>
      <c r="D2656" s="97"/>
      <c r="J2656" s="8"/>
      <c r="K2656" s="8"/>
      <c r="L2656" s="8"/>
      <c r="M2656" s="8"/>
      <c r="N2656" s="8"/>
      <c r="O2656" s="8"/>
      <c r="P2656" s="8"/>
    </row>
    <row r="2657" spans="1:16" s="7" customFormat="1" ht="42.75" customHeight="1" thickBot="1">
      <c r="A2657" s="107" t="s">
        <v>17</v>
      </c>
      <c r="B2657" s="108"/>
      <c r="C2657" s="108"/>
      <c r="D2657" s="109"/>
      <c r="J2657" s="8"/>
      <c r="K2657" s="8"/>
      <c r="L2657" s="8"/>
      <c r="M2657" s="8"/>
      <c r="N2657" s="8"/>
      <c r="O2657" s="8"/>
      <c r="P2657" s="8"/>
    </row>
    <row r="2658" spans="1:16" s="7" customFormat="1" ht="42.75" customHeight="1" thickBot="1">
      <c r="A2658" s="116" t="s">
        <v>20</v>
      </c>
      <c r="B2658" s="117"/>
      <c r="C2658" s="117"/>
      <c r="D2658" s="118"/>
      <c r="J2658" s="8"/>
      <c r="K2658" s="8"/>
      <c r="L2658" s="8"/>
      <c r="M2658" s="8"/>
      <c r="N2658" s="8"/>
      <c r="O2658" s="8"/>
      <c r="P2658" s="8"/>
    </row>
    <row r="2659" spans="1:16" s="7" customFormat="1" ht="42.75" customHeight="1" thickBot="1">
      <c r="A2659" s="113" t="s">
        <v>18</v>
      </c>
      <c r="B2659" s="114"/>
      <c r="C2659" s="114"/>
      <c r="D2659" s="115"/>
      <c r="J2659" s="8"/>
      <c r="K2659" s="8"/>
      <c r="L2659" s="8"/>
      <c r="M2659" s="8"/>
      <c r="N2659" s="8"/>
      <c r="O2659" s="8"/>
      <c r="P2659" s="8"/>
    </row>
    <row r="2660" spans="1:16" s="7" customFormat="1" ht="42.75" customHeight="1" thickBot="1">
      <c r="A2660" s="119"/>
      <c r="B2660" s="119"/>
      <c r="C2660" s="119"/>
      <c r="D2660" s="119"/>
      <c r="J2660" s="8"/>
      <c r="K2660" s="8"/>
      <c r="L2660" s="8"/>
      <c r="M2660" s="8"/>
      <c r="N2660" s="8"/>
      <c r="O2660" s="8"/>
      <c r="P2660" s="8"/>
    </row>
    <row r="2661" spans="1:16" s="7" customFormat="1" ht="42.75" customHeight="1" thickBot="1">
      <c r="A2661" s="126" t="s">
        <v>19</v>
      </c>
      <c r="B2661" s="127"/>
      <c r="C2661" s="127"/>
      <c r="D2661" s="128"/>
      <c r="J2661" s="8"/>
      <c r="K2661" s="8"/>
      <c r="L2661" s="8"/>
      <c r="M2661" s="8"/>
      <c r="N2661" s="8"/>
      <c r="O2661" s="8"/>
      <c r="P2661" s="8"/>
    </row>
    <row r="2662" spans="1:16" s="7" customFormat="1" ht="42.75" customHeight="1" thickBot="1">
      <c r="A2662" s="123" t="s">
        <v>11</v>
      </c>
      <c r="B2662" s="124"/>
      <c r="C2662" s="125" t="s">
        <v>603</v>
      </c>
      <c r="D2662" s="124"/>
      <c r="J2662" s="8"/>
      <c r="K2662" s="8"/>
      <c r="L2662" s="8"/>
      <c r="M2662" s="8"/>
      <c r="N2662" s="8"/>
      <c r="O2662" s="8"/>
      <c r="P2662" s="8"/>
    </row>
    <row r="2663" spans="1:16" s="7" customFormat="1" ht="42.75" customHeight="1" thickBot="1">
      <c r="A2663" s="1" t="s">
        <v>686</v>
      </c>
      <c r="B2663" s="26" t="s">
        <v>1</v>
      </c>
      <c r="C2663" s="90" t="s">
        <v>284</v>
      </c>
      <c r="D2663" s="91"/>
      <c r="J2663" s="8"/>
      <c r="K2663" s="8"/>
      <c r="L2663" s="8"/>
      <c r="M2663" s="8"/>
      <c r="N2663" s="8"/>
      <c r="O2663" s="8"/>
      <c r="P2663" s="8"/>
    </row>
    <row r="2664" spans="1:16" s="7" customFormat="1" ht="42.75" customHeight="1" thickBot="1">
      <c r="A2664" s="26"/>
      <c r="B2664" s="26" t="s">
        <v>0</v>
      </c>
      <c r="C2664" s="5" t="s">
        <v>687</v>
      </c>
      <c r="D2664" s="4" t="s">
        <v>2</v>
      </c>
      <c r="J2664" s="8"/>
      <c r="K2664" s="8"/>
      <c r="L2664" s="8"/>
      <c r="M2664" s="8"/>
      <c r="N2664" s="8"/>
      <c r="O2664" s="8"/>
      <c r="P2664" s="8"/>
    </row>
    <row r="2665" spans="1:16" s="7" customFormat="1" ht="42.75" customHeight="1" thickBot="1">
      <c r="A2665" s="92">
        <v>59</v>
      </c>
      <c r="B2665" s="93"/>
      <c r="C2665" s="94" t="s">
        <v>3</v>
      </c>
      <c r="D2665" s="95"/>
      <c r="J2665" s="8"/>
      <c r="K2665" s="8"/>
      <c r="L2665" s="8"/>
      <c r="M2665" s="8"/>
      <c r="N2665" s="8"/>
      <c r="O2665" s="8"/>
      <c r="P2665" s="8"/>
    </row>
    <row r="2666" spans="1:16" s="7" customFormat="1" ht="42.75" customHeight="1" thickBot="1">
      <c r="A2666" s="92">
        <v>61</v>
      </c>
      <c r="B2666" s="93"/>
      <c r="C2666" s="96" t="s">
        <v>4</v>
      </c>
      <c r="D2666" s="97"/>
      <c r="J2666" s="8"/>
      <c r="K2666" s="8"/>
      <c r="L2666" s="8"/>
      <c r="M2666" s="8"/>
      <c r="N2666" s="8"/>
      <c r="O2666" s="8"/>
      <c r="P2666" s="8"/>
    </row>
    <row r="2667" spans="1:16" s="7" customFormat="1" ht="42.75" customHeight="1" thickBot="1">
      <c r="A2667" s="98">
        <v>8</v>
      </c>
      <c r="B2667" s="99"/>
      <c r="C2667" s="100" t="s">
        <v>5</v>
      </c>
      <c r="D2667" s="97"/>
      <c r="J2667" s="8"/>
      <c r="K2667" s="8"/>
      <c r="L2667" s="8"/>
      <c r="M2667" s="8"/>
      <c r="N2667" s="8"/>
      <c r="O2667" s="8"/>
      <c r="P2667" s="8"/>
    </row>
    <row r="2668" spans="1:16" s="7" customFormat="1" ht="42.75" customHeight="1" thickBot="1">
      <c r="A2668" s="101">
        <v>62</v>
      </c>
      <c r="B2668" s="102"/>
      <c r="C2668" s="96" t="s">
        <v>6</v>
      </c>
      <c r="D2668" s="97"/>
      <c r="J2668" s="8"/>
      <c r="K2668" s="8"/>
      <c r="L2668" s="8"/>
      <c r="M2668" s="8"/>
      <c r="N2668" s="8"/>
      <c r="O2668" s="8"/>
      <c r="P2668" s="8"/>
    </row>
    <row r="2669" spans="1:16" s="7" customFormat="1" ht="42.75" customHeight="1" thickBot="1">
      <c r="A2669" s="103"/>
      <c r="B2669" s="104"/>
      <c r="C2669" s="96" t="s">
        <v>21</v>
      </c>
      <c r="D2669" s="97"/>
      <c r="J2669" s="8"/>
      <c r="K2669" s="8"/>
      <c r="L2669" s="8"/>
      <c r="M2669" s="8"/>
      <c r="N2669" s="8"/>
      <c r="O2669" s="8"/>
      <c r="P2669" s="8"/>
    </row>
    <row r="2670" spans="1:16" s="7" customFormat="1" ht="42.75" customHeight="1" thickBot="1">
      <c r="A2670" s="105">
        <v>500</v>
      </c>
      <c r="B2670" s="106"/>
      <c r="C2670" s="96" t="s">
        <v>7</v>
      </c>
      <c r="D2670" s="97"/>
      <c r="J2670" s="8"/>
      <c r="K2670" s="8"/>
      <c r="L2670" s="8"/>
      <c r="M2670" s="8"/>
      <c r="N2670" s="8"/>
      <c r="O2670" s="8"/>
      <c r="P2670" s="8"/>
    </row>
    <row r="2671" spans="1:16" s="7" customFormat="1" ht="42.75" customHeight="1" thickBot="1">
      <c r="A2671" s="107" t="s">
        <v>17</v>
      </c>
      <c r="B2671" s="108"/>
      <c r="C2671" s="108"/>
      <c r="D2671" s="109"/>
      <c r="J2671" s="8"/>
      <c r="K2671" s="8"/>
      <c r="L2671" s="8"/>
      <c r="M2671" s="8"/>
      <c r="N2671" s="8"/>
      <c r="O2671" s="8"/>
      <c r="P2671" s="8"/>
    </row>
    <row r="2672" spans="1:16" s="7" customFormat="1" ht="42.75" customHeight="1" thickBot="1">
      <c r="A2672" s="110" t="s">
        <v>20</v>
      </c>
      <c r="B2672" s="111"/>
      <c r="C2672" s="111"/>
      <c r="D2672" s="112"/>
      <c r="J2672" s="8"/>
      <c r="K2672" s="8"/>
      <c r="L2672" s="8"/>
      <c r="M2672" s="8"/>
      <c r="N2672" s="8"/>
      <c r="O2672" s="8"/>
      <c r="P2672" s="8"/>
    </row>
    <row r="2673" spans="1:16" s="7" customFormat="1" ht="42.75" customHeight="1" thickBot="1">
      <c r="A2673" s="113" t="s">
        <v>18</v>
      </c>
      <c r="B2673" s="114"/>
      <c r="C2673" s="114"/>
      <c r="D2673" s="115"/>
      <c r="J2673" s="8"/>
      <c r="K2673" s="8"/>
      <c r="L2673" s="8"/>
      <c r="M2673" s="8"/>
      <c r="N2673" s="8"/>
      <c r="O2673" s="8"/>
      <c r="P2673" s="8"/>
    </row>
    <row r="2674" spans="1:16" s="7" customFormat="1" ht="42.75" customHeight="1" thickBot="1">
      <c r="A2674" s="126" t="s">
        <v>19</v>
      </c>
      <c r="B2674" s="127"/>
      <c r="C2674" s="127"/>
      <c r="D2674" s="128"/>
      <c r="J2674" s="8"/>
      <c r="K2674" s="8"/>
      <c r="L2674" s="8"/>
      <c r="M2674" s="8"/>
      <c r="N2674" s="8"/>
      <c r="O2674" s="8"/>
      <c r="P2674" s="8"/>
    </row>
    <row r="2675" spans="1:16" s="7" customFormat="1" ht="42.75" customHeight="1" thickBot="1">
      <c r="A2675" s="123" t="s">
        <v>11</v>
      </c>
      <c r="B2675" s="124"/>
      <c r="C2675" s="125" t="s">
        <v>603</v>
      </c>
      <c r="D2675" s="124"/>
      <c r="J2675" s="8"/>
      <c r="K2675" s="8"/>
      <c r="L2675" s="8"/>
      <c r="M2675" s="8"/>
      <c r="N2675" s="8"/>
      <c r="O2675" s="8"/>
      <c r="P2675" s="8"/>
    </row>
    <row r="2676" spans="1:16" s="7" customFormat="1" ht="42.75" customHeight="1" thickBot="1">
      <c r="A2676" s="1" t="s">
        <v>686</v>
      </c>
      <c r="B2676" s="26" t="s">
        <v>1</v>
      </c>
      <c r="C2676" s="90" t="s">
        <v>233</v>
      </c>
      <c r="D2676" s="91"/>
      <c r="J2676" s="8"/>
      <c r="K2676" s="8"/>
      <c r="L2676" s="8"/>
      <c r="M2676" s="8"/>
      <c r="N2676" s="8"/>
      <c r="O2676" s="8"/>
      <c r="P2676" s="8"/>
    </row>
    <row r="2677" spans="1:16" s="7" customFormat="1" ht="42.75" customHeight="1" thickBot="1">
      <c r="A2677" s="26"/>
      <c r="B2677" s="26" t="s">
        <v>0</v>
      </c>
      <c r="C2677" s="5" t="s">
        <v>687</v>
      </c>
      <c r="D2677" s="4" t="s">
        <v>2</v>
      </c>
      <c r="J2677" s="8"/>
      <c r="K2677" s="8"/>
      <c r="L2677" s="8"/>
      <c r="M2677" s="8"/>
      <c r="N2677" s="8"/>
      <c r="O2677" s="8"/>
      <c r="P2677" s="8"/>
    </row>
    <row r="2678" spans="1:16" s="7" customFormat="1" ht="42.75" customHeight="1" thickBot="1">
      <c r="A2678" s="92">
        <v>1375</v>
      </c>
      <c r="B2678" s="93"/>
      <c r="C2678" s="94" t="s">
        <v>3</v>
      </c>
      <c r="D2678" s="95"/>
      <c r="J2678" s="8"/>
      <c r="K2678" s="8"/>
      <c r="L2678" s="8"/>
      <c r="M2678" s="8"/>
      <c r="N2678" s="8"/>
      <c r="O2678" s="8"/>
      <c r="P2678" s="8"/>
    </row>
    <row r="2679" spans="1:16" s="7" customFormat="1" ht="42.75" customHeight="1" thickBot="1">
      <c r="A2679" s="92">
        <v>1375</v>
      </c>
      <c r="B2679" s="93"/>
      <c r="C2679" s="96" t="s">
        <v>4</v>
      </c>
      <c r="D2679" s="97"/>
      <c r="J2679" s="8"/>
      <c r="K2679" s="8"/>
      <c r="L2679" s="8"/>
      <c r="M2679" s="8"/>
      <c r="N2679" s="8"/>
      <c r="O2679" s="8"/>
      <c r="P2679" s="8"/>
    </row>
    <row r="2680" spans="1:16" s="7" customFormat="1" ht="42.75" customHeight="1" thickBot="1">
      <c r="A2680" s="98">
        <f>A2679-A2678</f>
        <v>0</v>
      </c>
      <c r="B2680" s="99"/>
      <c r="C2680" s="100" t="s">
        <v>5</v>
      </c>
      <c r="D2680" s="97"/>
      <c r="J2680" s="8"/>
      <c r="K2680" s="8"/>
      <c r="L2680" s="8"/>
      <c r="M2680" s="8"/>
      <c r="N2680" s="8"/>
      <c r="O2680" s="8"/>
      <c r="P2680" s="8"/>
    </row>
    <row r="2681" spans="1:16" s="7" customFormat="1" ht="42.75" customHeight="1" thickBot="1">
      <c r="A2681" s="101">
        <v>62</v>
      </c>
      <c r="B2681" s="102"/>
      <c r="C2681" s="96" t="s">
        <v>6</v>
      </c>
      <c r="D2681" s="97"/>
      <c r="J2681" s="8"/>
      <c r="K2681" s="8"/>
      <c r="L2681" s="8"/>
      <c r="M2681" s="8"/>
      <c r="N2681" s="8"/>
      <c r="O2681" s="8"/>
      <c r="P2681" s="8"/>
    </row>
    <row r="2682" spans="1:16" s="7" customFormat="1" ht="42.75" customHeight="1" thickBot="1">
      <c r="A2682" s="103"/>
      <c r="B2682" s="104"/>
      <c r="C2682" s="96" t="s">
        <v>21</v>
      </c>
      <c r="D2682" s="97"/>
      <c r="J2682" s="8"/>
      <c r="K2682" s="8"/>
      <c r="L2682" s="8"/>
      <c r="M2682" s="8"/>
      <c r="N2682" s="8"/>
      <c r="O2682" s="8"/>
      <c r="P2682" s="8"/>
    </row>
    <row r="2683" spans="1:16" s="7" customFormat="1" ht="42.75" customHeight="1" thickBot="1">
      <c r="A2683" s="105">
        <f>A2681*A2680</f>
        <v>0</v>
      </c>
      <c r="B2683" s="106"/>
      <c r="C2683" s="96" t="s">
        <v>7</v>
      </c>
      <c r="D2683" s="97"/>
      <c r="J2683" s="8"/>
      <c r="K2683" s="8"/>
      <c r="L2683" s="8"/>
      <c r="M2683" s="8"/>
      <c r="N2683" s="8"/>
      <c r="O2683" s="8"/>
      <c r="P2683" s="8"/>
    </row>
    <row r="2684" spans="1:16" s="7" customFormat="1" ht="42.75" customHeight="1" thickBot="1">
      <c r="A2684" s="107" t="s">
        <v>17</v>
      </c>
      <c r="B2684" s="108"/>
      <c r="C2684" s="108"/>
      <c r="D2684" s="109"/>
      <c r="J2684" s="8"/>
      <c r="K2684" s="8"/>
      <c r="L2684" s="8"/>
      <c r="M2684" s="8"/>
      <c r="N2684" s="8"/>
      <c r="O2684" s="8"/>
      <c r="P2684" s="8"/>
    </row>
    <row r="2685" spans="1:16" s="7" customFormat="1" ht="42.75" customHeight="1" thickBot="1">
      <c r="A2685" s="116" t="s">
        <v>20</v>
      </c>
      <c r="B2685" s="117"/>
      <c r="C2685" s="117"/>
      <c r="D2685" s="118"/>
      <c r="J2685" s="8"/>
      <c r="K2685" s="8"/>
      <c r="L2685" s="8"/>
      <c r="M2685" s="8"/>
      <c r="N2685" s="8"/>
      <c r="O2685" s="8"/>
      <c r="P2685" s="8"/>
    </row>
    <row r="2686" spans="1:16" s="7" customFormat="1" ht="42.75" customHeight="1" thickBot="1">
      <c r="A2686" s="113" t="s">
        <v>18</v>
      </c>
      <c r="B2686" s="114"/>
      <c r="C2686" s="114"/>
      <c r="D2686" s="115"/>
      <c r="J2686" s="8"/>
      <c r="K2686" s="8"/>
      <c r="L2686" s="8"/>
      <c r="M2686" s="8"/>
      <c r="N2686" s="8"/>
      <c r="O2686" s="8"/>
      <c r="P2686" s="8"/>
    </row>
    <row r="2687" spans="1:16" s="7" customFormat="1" ht="42.75" customHeight="1" thickBot="1">
      <c r="A2687" s="119"/>
      <c r="B2687" s="119"/>
      <c r="C2687" s="119"/>
      <c r="D2687" s="119"/>
      <c r="J2687" s="8"/>
      <c r="K2687" s="8"/>
      <c r="L2687" s="8"/>
      <c r="M2687" s="8"/>
      <c r="N2687" s="8"/>
      <c r="O2687" s="8"/>
      <c r="P2687" s="8"/>
    </row>
    <row r="2688" spans="1:16" s="7" customFormat="1" ht="42.75" customHeight="1" thickBot="1">
      <c r="A2688" s="126" t="s">
        <v>19</v>
      </c>
      <c r="B2688" s="127"/>
      <c r="C2688" s="127"/>
      <c r="D2688" s="128"/>
      <c r="J2688" s="8"/>
      <c r="K2688" s="8"/>
      <c r="L2688" s="8"/>
      <c r="M2688" s="8"/>
      <c r="N2688" s="8"/>
      <c r="O2688" s="8"/>
      <c r="P2688" s="8"/>
    </row>
    <row r="2689" spans="1:16" s="7" customFormat="1" ht="42.75" customHeight="1" thickBot="1">
      <c r="A2689" s="123" t="s">
        <v>11</v>
      </c>
      <c r="B2689" s="124"/>
      <c r="C2689" s="125" t="s">
        <v>603</v>
      </c>
      <c r="D2689" s="124"/>
      <c r="J2689" s="8"/>
      <c r="K2689" s="8"/>
      <c r="L2689" s="8"/>
      <c r="M2689" s="8"/>
      <c r="N2689" s="8"/>
      <c r="O2689" s="8"/>
      <c r="P2689" s="8"/>
    </row>
    <row r="2690" spans="1:16" s="7" customFormat="1" ht="42.75" customHeight="1" thickBot="1">
      <c r="A2690" s="1" t="s">
        <v>686</v>
      </c>
      <c r="B2690" s="26" t="s">
        <v>1</v>
      </c>
      <c r="C2690" s="90" t="s">
        <v>233</v>
      </c>
      <c r="D2690" s="91"/>
      <c r="J2690" s="8"/>
      <c r="K2690" s="8"/>
      <c r="L2690" s="8"/>
      <c r="M2690" s="8"/>
      <c r="N2690" s="8"/>
      <c r="O2690" s="8"/>
      <c r="P2690" s="8"/>
    </row>
    <row r="2691" spans="1:16" s="7" customFormat="1" ht="42.75" customHeight="1" thickBot="1">
      <c r="A2691" s="26"/>
      <c r="B2691" s="26" t="s">
        <v>0</v>
      </c>
      <c r="C2691" s="5" t="s">
        <v>687</v>
      </c>
      <c r="D2691" s="4" t="s">
        <v>2</v>
      </c>
      <c r="J2691" s="8"/>
      <c r="K2691" s="8"/>
      <c r="L2691" s="8"/>
      <c r="M2691" s="8"/>
      <c r="N2691" s="8"/>
      <c r="O2691" s="8"/>
      <c r="P2691" s="8"/>
    </row>
    <row r="2692" spans="1:16" s="7" customFormat="1" ht="42.75" customHeight="1" thickBot="1">
      <c r="A2692" s="92">
        <v>1365</v>
      </c>
      <c r="B2692" s="93"/>
      <c r="C2692" s="94" t="s">
        <v>3</v>
      </c>
      <c r="D2692" s="95"/>
      <c r="J2692" s="8"/>
      <c r="K2692" s="8"/>
      <c r="L2692" s="8"/>
      <c r="M2692" s="8"/>
      <c r="N2692" s="8"/>
      <c r="O2692" s="8"/>
      <c r="P2692" s="8"/>
    </row>
    <row r="2693" spans="1:16" s="7" customFormat="1" ht="42.75" customHeight="1" thickBot="1">
      <c r="A2693" s="92">
        <v>1375</v>
      </c>
      <c r="B2693" s="93"/>
      <c r="C2693" s="96" t="s">
        <v>4</v>
      </c>
      <c r="D2693" s="97"/>
      <c r="J2693" s="8"/>
      <c r="K2693" s="8"/>
      <c r="L2693" s="8"/>
      <c r="M2693" s="8"/>
      <c r="N2693" s="8"/>
      <c r="O2693" s="8"/>
      <c r="P2693" s="8"/>
    </row>
    <row r="2694" spans="1:16" s="7" customFormat="1" ht="42.75" customHeight="1" thickBot="1">
      <c r="A2694" s="98">
        <f>A2693-A2692</f>
        <v>10</v>
      </c>
      <c r="B2694" s="99"/>
      <c r="C2694" s="100" t="s">
        <v>5</v>
      </c>
      <c r="D2694" s="97"/>
      <c r="J2694" s="8"/>
      <c r="K2694" s="8"/>
      <c r="L2694" s="8"/>
      <c r="M2694" s="8"/>
      <c r="N2694" s="8"/>
      <c r="O2694" s="8"/>
      <c r="P2694" s="8"/>
    </row>
    <row r="2695" spans="1:16" s="7" customFormat="1" ht="42.75" customHeight="1" thickBot="1">
      <c r="A2695" s="101">
        <v>62</v>
      </c>
      <c r="B2695" s="102"/>
      <c r="C2695" s="96" t="s">
        <v>6</v>
      </c>
      <c r="D2695" s="97"/>
      <c r="J2695" s="8"/>
      <c r="K2695" s="8"/>
      <c r="L2695" s="8"/>
      <c r="M2695" s="8"/>
      <c r="N2695" s="8"/>
      <c r="O2695" s="8"/>
      <c r="P2695" s="8"/>
    </row>
    <row r="2696" spans="1:16" s="7" customFormat="1" ht="42.75" customHeight="1" thickBot="1">
      <c r="A2696" s="103"/>
      <c r="B2696" s="104"/>
      <c r="C2696" s="96" t="s">
        <v>21</v>
      </c>
      <c r="D2696" s="97"/>
      <c r="J2696" s="8"/>
      <c r="K2696" s="8"/>
      <c r="L2696" s="8"/>
      <c r="M2696" s="8"/>
      <c r="N2696" s="8"/>
      <c r="O2696" s="8"/>
      <c r="P2696" s="8"/>
    </row>
    <row r="2697" spans="1:16" s="7" customFormat="1" ht="42.75" customHeight="1" thickBot="1">
      <c r="A2697" s="105">
        <v>600</v>
      </c>
      <c r="B2697" s="106"/>
      <c r="C2697" s="96" t="s">
        <v>7</v>
      </c>
      <c r="D2697" s="97"/>
      <c r="J2697" s="8"/>
      <c r="K2697" s="8"/>
      <c r="L2697" s="8"/>
      <c r="M2697" s="8"/>
      <c r="N2697" s="8"/>
      <c r="O2697" s="8"/>
      <c r="P2697" s="8"/>
    </row>
    <row r="2698" spans="1:16" s="7" customFormat="1" ht="42.75" customHeight="1" thickBot="1">
      <c r="A2698" s="107" t="s">
        <v>17</v>
      </c>
      <c r="B2698" s="108"/>
      <c r="C2698" s="108"/>
      <c r="D2698" s="109"/>
      <c r="J2698" s="8"/>
      <c r="K2698" s="8"/>
      <c r="L2698" s="8"/>
      <c r="M2698" s="8"/>
      <c r="N2698" s="8"/>
      <c r="O2698" s="8"/>
      <c r="P2698" s="8"/>
    </row>
    <row r="2699" spans="1:16" s="7" customFormat="1" ht="42.75" customHeight="1" thickBot="1">
      <c r="A2699" s="110" t="s">
        <v>20</v>
      </c>
      <c r="B2699" s="111"/>
      <c r="C2699" s="111"/>
      <c r="D2699" s="112"/>
      <c r="J2699" s="8"/>
      <c r="K2699" s="8"/>
      <c r="L2699" s="8"/>
      <c r="M2699" s="8"/>
      <c r="N2699" s="8"/>
      <c r="O2699" s="8"/>
      <c r="P2699" s="8"/>
    </row>
    <row r="2700" spans="1:16" s="7" customFormat="1" ht="42.75" customHeight="1" thickBot="1">
      <c r="A2700" s="113" t="s">
        <v>18</v>
      </c>
      <c r="B2700" s="114"/>
      <c r="C2700" s="114"/>
      <c r="D2700" s="115"/>
      <c r="J2700" s="8"/>
      <c r="K2700" s="8"/>
      <c r="L2700" s="8"/>
      <c r="M2700" s="8"/>
      <c r="N2700" s="8"/>
      <c r="O2700" s="8"/>
      <c r="P2700" s="8"/>
    </row>
    <row r="2701" spans="1:16" s="7" customFormat="1" ht="42.75" customHeight="1" thickBot="1">
      <c r="A2701" s="126" t="s">
        <v>19</v>
      </c>
      <c r="B2701" s="127"/>
      <c r="C2701" s="127"/>
      <c r="D2701" s="128"/>
      <c r="J2701" s="8"/>
      <c r="K2701" s="8"/>
      <c r="L2701" s="8"/>
      <c r="M2701" s="8"/>
      <c r="N2701" s="8"/>
      <c r="O2701" s="8"/>
      <c r="P2701" s="8"/>
    </row>
    <row r="2702" spans="1:16" s="7" customFormat="1" ht="42.75" customHeight="1" thickBot="1">
      <c r="A2702" s="123" t="s">
        <v>11</v>
      </c>
      <c r="B2702" s="124"/>
      <c r="C2702" s="125" t="s">
        <v>603</v>
      </c>
      <c r="D2702" s="124"/>
      <c r="J2702" s="8"/>
      <c r="K2702" s="8"/>
      <c r="L2702" s="8"/>
      <c r="M2702" s="8"/>
      <c r="N2702" s="8"/>
      <c r="O2702" s="8"/>
      <c r="P2702" s="8"/>
    </row>
    <row r="2703" spans="1:16" s="7" customFormat="1" ht="42.75" customHeight="1" thickBot="1">
      <c r="A2703" s="1" t="s">
        <v>686</v>
      </c>
      <c r="B2703" s="26" t="s">
        <v>1</v>
      </c>
      <c r="C2703" s="90" t="s">
        <v>289</v>
      </c>
      <c r="D2703" s="91"/>
      <c r="J2703" s="8"/>
      <c r="K2703" s="8"/>
      <c r="L2703" s="8"/>
      <c r="M2703" s="8"/>
      <c r="N2703" s="8"/>
      <c r="O2703" s="8"/>
      <c r="P2703" s="8"/>
    </row>
    <row r="2704" spans="1:16" s="7" customFormat="1" ht="42.75" customHeight="1" thickBot="1">
      <c r="A2704" s="26"/>
      <c r="B2704" s="26" t="s">
        <v>0</v>
      </c>
      <c r="C2704" s="5" t="s">
        <v>687</v>
      </c>
      <c r="D2704" s="4" t="s">
        <v>2</v>
      </c>
      <c r="J2704" s="8"/>
      <c r="K2704" s="8"/>
      <c r="L2704" s="8"/>
      <c r="M2704" s="8"/>
      <c r="N2704" s="8"/>
      <c r="O2704" s="8"/>
      <c r="P2704" s="8"/>
    </row>
    <row r="2705" spans="1:16" s="7" customFormat="1" ht="42.75" customHeight="1" thickBot="1">
      <c r="A2705" s="92">
        <v>1155</v>
      </c>
      <c r="B2705" s="93"/>
      <c r="C2705" s="94" t="s">
        <v>3</v>
      </c>
      <c r="D2705" s="95"/>
      <c r="J2705" s="8"/>
      <c r="K2705" s="8"/>
      <c r="L2705" s="8"/>
      <c r="M2705" s="8"/>
      <c r="N2705" s="8"/>
      <c r="O2705" s="8"/>
      <c r="P2705" s="8"/>
    </row>
    <row r="2706" spans="1:16" s="7" customFormat="1" ht="42.75" customHeight="1" thickBot="1">
      <c r="A2706" s="92">
        <v>1155</v>
      </c>
      <c r="B2706" s="93"/>
      <c r="C2706" s="96" t="s">
        <v>4</v>
      </c>
      <c r="D2706" s="97"/>
      <c r="J2706" s="8"/>
      <c r="K2706" s="8"/>
      <c r="L2706" s="8"/>
      <c r="M2706" s="8"/>
      <c r="N2706" s="8"/>
      <c r="O2706" s="8"/>
      <c r="P2706" s="8"/>
    </row>
    <row r="2707" spans="1:16" s="7" customFormat="1" ht="42.75" customHeight="1" thickBot="1">
      <c r="A2707" s="98">
        <f>A2706-A2705</f>
        <v>0</v>
      </c>
      <c r="B2707" s="99"/>
      <c r="C2707" s="100" t="s">
        <v>5</v>
      </c>
      <c r="D2707" s="97"/>
      <c r="J2707" s="8"/>
      <c r="K2707" s="8"/>
      <c r="L2707" s="8"/>
      <c r="M2707" s="8"/>
      <c r="N2707" s="8"/>
      <c r="O2707" s="8"/>
      <c r="P2707" s="8"/>
    </row>
    <row r="2708" spans="1:16" s="7" customFormat="1" ht="42.75" customHeight="1" thickBot="1">
      <c r="A2708" s="101">
        <v>62</v>
      </c>
      <c r="B2708" s="102"/>
      <c r="C2708" s="96" t="s">
        <v>6</v>
      </c>
      <c r="D2708" s="97"/>
      <c r="J2708" s="8"/>
      <c r="K2708" s="8"/>
      <c r="L2708" s="8"/>
      <c r="M2708" s="8"/>
      <c r="N2708" s="8"/>
      <c r="O2708" s="8"/>
      <c r="P2708" s="8"/>
    </row>
    <row r="2709" spans="1:16" s="7" customFormat="1" ht="42.75" customHeight="1" thickBot="1">
      <c r="A2709" s="103"/>
      <c r="B2709" s="104"/>
      <c r="C2709" s="96" t="s">
        <v>21</v>
      </c>
      <c r="D2709" s="97"/>
      <c r="J2709" s="8"/>
      <c r="K2709" s="8"/>
      <c r="L2709" s="8"/>
      <c r="M2709" s="8"/>
      <c r="N2709" s="8"/>
      <c r="O2709" s="8"/>
      <c r="P2709" s="8"/>
    </row>
    <row r="2710" spans="1:16" s="7" customFormat="1" ht="42.75" customHeight="1" thickBot="1">
      <c r="A2710" s="105">
        <f>A2708*A2707</f>
        <v>0</v>
      </c>
      <c r="B2710" s="106"/>
      <c r="C2710" s="96" t="s">
        <v>7</v>
      </c>
      <c r="D2710" s="97"/>
      <c r="J2710" s="8"/>
      <c r="K2710" s="8"/>
      <c r="L2710" s="8"/>
      <c r="M2710" s="8"/>
      <c r="N2710" s="8"/>
      <c r="O2710" s="8"/>
      <c r="P2710" s="8"/>
    </row>
    <row r="2711" spans="1:16" s="7" customFormat="1" ht="42.75" customHeight="1" thickBot="1">
      <c r="A2711" s="107" t="s">
        <v>17</v>
      </c>
      <c r="B2711" s="108"/>
      <c r="C2711" s="108"/>
      <c r="D2711" s="109"/>
      <c r="J2711" s="8"/>
      <c r="K2711" s="8"/>
      <c r="L2711" s="8"/>
      <c r="M2711" s="8"/>
      <c r="N2711" s="8"/>
      <c r="O2711" s="8"/>
      <c r="P2711" s="8"/>
    </row>
    <row r="2712" spans="1:16" s="7" customFormat="1" ht="42.75" customHeight="1" thickBot="1">
      <c r="A2712" s="116" t="s">
        <v>20</v>
      </c>
      <c r="B2712" s="117"/>
      <c r="C2712" s="117"/>
      <c r="D2712" s="118"/>
      <c r="J2712" s="8"/>
      <c r="K2712" s="8"/>
      <c r="L2712" s="8"/>
      <c r="M2712" s="8"/>
      <c r="N2712" s="8"/>
      <c r="O2712" s="8"/>
      <c r="P2712" s="8"/>
    </row>
    <row r="2713" spans="1:16" s="7" customFormat="1" ht="42.75" customHeight="1" thickBot="1">
      <c r="A2713" s="113" t="s">
        <v>18</v>
      </c>
      <c r="B2713" s="114"/>
      <c r="C2713" s="114"/>
      <c r="D2713" s="115"/>
      <c r="J2713" s="8"/>
      <c r="K2713" s="8"/>
      <c r="L2713" s="8"/>
      <c r="M2713" s="8"/>
      <c r="N2713" s="8"/>
      <c r="O2713" s="8"/>
      <c r="P2713" s="8"/>
    </row>
    <row r="2714" spans="1:16" s="7" customFormat="1" ht="42.75" customHeight="1" thickBot="1">
      <c r="A2714" s="119"/>
      <c r="B2714" s="119"/>
      <c r="C2714" s="119"/>
      <c r="D2714" s="119"/>
      <c r="J2714" s="8"/>
      <c r="K2714" s="8"/>
      <c r="L2714" s="8"/>
      <c r="M2714" s="8"/>
      <c r="N2714" s="8"/>
      <c r="O2714" s="8"/>
      <c r="P2714" s="8"/>
    </row>
    <row r="2715" spans="1:16" s="7" customFormat="1" ht="42.75" customHeight="1" thickBot="1">
      <c r="A2715" s="126" t="s">
        <v>19</v>
      </c>
      <c r="B2715" s="127"/>
      <c r="C2715" s="127"/>
      <c r="D2715" s="128"/>
      <c r="J2715" s="8"/>
      <c r="K2715" s="8"/>
      <c r="L2715" s="8"/>
      <c r="M2715" s="8"/>
      <c r="N2715" s="8"/>
      <c r="O2715" s="8"/>
      <c r="P2715" s="8"/>
    </row>
    <row r="2716" spans="1:16" s="7" customFormat="1" ht="42.75" customHeight="1" thickBot="1">
      <c r="A2716" s="123" t="s">
        <v>11</v>
      </c>
      <c r="B2716" s="124"/>
      <c r="C2716" s="125" t="s">
        <v>603</v>
      </c>
      <c r="D2716" s="124"/>
      <c r="J2716" s="8"/>
      <c r="K2716" s="8"/>
      <c r="L2716" s="8"/>
      <c r="M2716" s="8"/>
      <c r="N2716" s="8"/>
      <c r="O2716" s="8"/>
      <c r="P2716" s="8"/>
    </row>
    <row r="2717" spans="1:16" s="7" customFormat="1" ht="42.75" customHeight="1" thickBot="1">
      <c r="A2717" s="1" t="s">
        <v>686</v>
      </c>
      <c r="B2717" s="26" t="s">
        <v>1</v>
      </c>
      <c r="C2717" s="90" t="s">
        <v>289</v>
      </c>
      <c r="D2717" s="91"/>
      <c r="J2717" s="8"/>
      <c r="K2717" s="8"/>
      <c r="L2717" s="8"/>
      <c r="M2717" s="8"/>
      <c r="N2717" s="8"/>
      <c r="O2717" s="8"/>
      <c r="P2717" s="8"/>
    </row>
    <row r="2718" spans="1:16" s="7" customFormat="1" ht="42.75" customHeight="1" thickBot="1">
      <c r="A2718" s="26"/>
      <c r="B2718" s="26" t="s">
        <v>0</v>
      </c>
      <c r="C2718" s="5" t="s">
        <v>687</v>
      </c>
      <c r="D2718" s="4" t="s">
        <v>2</v>
      </c>
      <c r="J2718" s="8"/>
      <c r="K2718" s="8"/>
      <c r="L2718" s="8"/>
      <c r="M2718" s="8"/>
      <c r="N2718" s="8"/>
      <c r="O2718" s="8"/>
      <c r="P2718" s="8"/>
    </row>
    <row r="2719" spans="1:16" s="7" customFormat="1" ht="42.75" customHeight="1" thickBot="1">
      <c r="A2719" s="92">
        <v>1135</v>
      </c>
      <c r="B2719" s="93"/>
      <c r="C2719" s="94" t="s">
        <v>3</v>
      </c>
      <c r="D2719" s="95"/>
      <c r="J2719" s="8"/>
      <c r="K2719" s="8"/>
      <c r="L2719" s="8"/>
      <c r="M2719" s="8"/>
      <c r="N2719" s="8"/>
      <c r="O2719" s="8"/>
      <c r="P2719" s="8"/>
    </row>
    <row r="2720" spans="1:16" s="7" customFormat="1" ht="42.75" customHeight="1" thickBot="1">
      <c r="A2720" s="92">
        <v>1155</v>
      </c>
      <c r="B2720" s="93"/>
      <c r="C2720" s="96" t="s">
        <v>4</v>
      </c>
      <c r="D2720" s="97"/>
      <c r="J2720" s="8"/>
      <c r="K2720" s="8"/>
      <c r="L2720" s="8"/>
      <c r="M2720" s="8"/>
      <c r="N2720" s="8"/>
      <c r="O2720" s="8"/>
      <c r="P2720" s="8"/>
    </row>
    <row r="2721" spans="1:16" s="7" customFormat="1" ht="42.75" customHeight="1" thickBot="1">
      <c r="A2721" s="98">
        <f>A2720-A2719</f>
        <v>20</v>
      </c>
      <c r="B2721" s="99"/>
      <c r="C2721" s="100" t="s">
        <v>5</v>
      </c>
      <c r="D2721" s="97"/>
      <c r="J2721" s="8"/>
      <c r="K2721" s="8"/>
      <c r="L2721" s="8"/>
      <c r="M2721" s="8"/>
      <c r="N2721" s="8"/>
      <c r="O2721" s="8"/>
      <c r="P2721" s="8"/>
    </row>
    <row r="2722" spans="1:16" s="7" customFormat="1" ht="42.75" customHeight="1" thickBot="1">
      <c r="A2722" s="101">
        <v>62</v>
      </c>
      <c r="B2722" s="102"/>
      <c r="C2722" s="96" t="s">
        <v>6</v>
      </c>
      <c r="D2722" s="97"/>
      <c r="J2722" s="8"/>
      <c r="K2722" s="8"/>
      <c r="L2722" s="8"/>
      <c r="M2722" s="8"/>
      <c r="N2722" s="8"/>
      <c r="O2722" s="8"/>
      <c r="P2722" s="8"/>
    </row>
    <row r="2723" spans="1:16" s="7" customFormat="1" ht="42.75" customHeight="1" thickBot="1">
      <c r="A2723" s="103"/>
      <c r="B2723" s="104"/>
      <c r="C2723" s="96" t="s">
        <v>21</v>
      </c>
      <c r="D2723" s="97"/>
      <c r="J2723" s="8"/>
      <c r="K2723" s="8"/>
      <c r="L2723" s="8"/>
      <c r="M2723" s="8"/>
      <c r="N2723" s="8"/>
      <c r="O2723" s="8"/>
      <c r="P2723" s="8"/>
    </row>
    <row r="2724" spans="1:16" s="7" customFormat="1" ht="42.75" customHeight="1" thickBot="1">
      <c r="A2724" s="105">
        <v>1250</v>
      </c>
      <c r="B2724" s="106"/>
      <c r="C2724" s="96" t="s">
        <v>7</v>
      </c>
      <c r="D2724" s="97"/>
      <c r="J2724" s="8"/>
      <c r="K2724" s="8"/>
      <c r="L2724" s="8"/>
      <c r="M2724" s="8"/>
      <c r="N2724" s="8"/>
      <c r="O2724" s="8"/>
      <c r="P2724" s="8"/>
    </row>
    <row r="2725" spans="1:16" s="7" customFormat="1" ht="42.75" customHeight="1" thickBot="1">
      <c r="A2725" s="107" t="s">
        <v>17</v>
      </c>
      <c r="B2725" s="108"/>
      <c r="C2725" s="108"/>
      <c r="D2725" s="109"/>
      <c r="J2725" s="8"/>
      <c r="K2725" s="8"/>
      <c r="L2725" s="8"/>
      <c r="M2725" s="8"/>
      <c r="N2725" s="8"/>
      <c r="O2725" s="8"/>
      <c r="P2725" s="8"/>
    </row>
    <row r="2726" spans="1:16" s="7" customFormat="1" ht="42.75" customHeight="1" thickBot="1">
      <c r="A2726" s="110" t="s">
        <v>20</v>
      </c>
      <c r="B2726" s="111"/>
      <c r="C2726" s="111"/>
      <c r="D2726" s="112"/>
      <c r="J2726" s="8"/>
      <c r="K2726" s="8"/>
      <c r="L2726" s="8"/>
      <c r="M2726" s="8"/>
      <c r="N2726" s="8"/>
      <c r="O2726" s="8"/>
      <c r="P2726" s="8"/>
    </row>
    <row r="2727" spans="1:16" s="7" customFormat="1" ht="42.75" customHeight="1" thickBot="1">
      <c r="A2727" s="113" t="s">
        <v>18</v>
      </c>
      <c r="B2727" s="114"/>
      <c r="C2727" s="114"/>
      <c r="D2727" s="115"/>
      <c r="J2727" s="8"/>
      <c r="K2727" s="8"/>
      <c r="L2727" s="8"/>
      <c r="M2727" s="8"/>
      <c r="N2727" s="8"/>
      <c r="O2727" s="8"/>
      <c r="P2727" s="8"/>
    </row>
    <row r="2728" spans="1:16" s="7" customFormat="1" ht="42.75" customHeight="1" thickBot="1">
      <c r="A2728" s="126" t="s">
        <v>19</v>
      </c>
      <c r="B2728" s="127"/>
      <c r="C2728" s="127"/>
      <c r="D2728" s="128"/>
      <c r="J2728" s="8"/>
      <c r="K2728" s="8"/>
      <c r="L2728" s="8"/>
      <c r="M2728" s="8"/>
      <c r="N2728" s="8"/>
      <c r="O2728" s="8"/>
      <c r="P2728" s="8"/>
    </row>
    <row r="2729" spans="1:16" s="7" customFormat="1" ht="42.75" customHeight="1" thickBot="1">
      <c r="A2729" s="123" t="s">
        <v>11</v>
      </c>
      <c r="B2729" s="124"/>
      <c r="C2729" s="125" t="s">
        <v>603</v>
      </c>
      <c r="D2729" s="124"/>
      <c r="J2729" s="8"/>
      <c r="K2729" s="8"/>
      <c r="L2729" s="8"/>
      <c r="M2729" s="8"/>
      <c r="N2729" s="8"/>
      <c r="O2729" s="8"/>
      <c r="P2729" s="8"/>
    </row>
    <row r="2730" spans="1:16" s="7" customFormat="1" ht="42.75" customHeight="1" thickBot="1">
      <c r="A2730" s="1" t="s">
        <v>686</v>
      </c>
      <c r="B2730" s="26" t="s">
        <v>1</v>
      </c>
      <c r="C2730" s="90" t="s">
        <v>290</v>
      </c>
      <c r="D2730" s="91"/>
      <c r="J2730" s="8"/>
      <c r="K2730" s="8"/>
      <c r="L2730" s="8"/>
      <c r="M2730" s="8"/>
      <c r="N2730" s="8"/>
      <c r="O2730" s="8"/>
      <c r="P2730" s="8"/>
    </row>
    <row r="2731" spans="1:16" s="7" customFormat="1" ht="42.75" customHeight="1" thickBot="1">
      <c r="A2731" s="26"/>
      <c r="B2731" s="26" t="s">
        <v>0</v>
      </c>
      <c r="C2731" s="5" t="s">
        <v>687</v>
      </c>
      <c r="D2731" s="4" t="s">
        <v>2</v>
      </c>
      <c r="J2731" s="8"/>
      <c r="K2731" s="8"/>
      <c r="L2731" s="8"/>
      <c r="M2731" s="8"/>
      <c r="N2731" s="8"/>
      <c r="O2731" s="8"/>
      <c r="P2731" s="8"/>
    </row>
    <row r="2732" spans="1:16" s="7" customFormat="1" ht="42.75" customHeight="1" thickBot="1">
      <c r="A2732" s="92">
        <v>2289</v>
      </c>
      <c r="B2732" s="93"/>
      <c r="C2732" s="94" t="s">
        <v>3</v>
      </c>
      <c r="D2732" s="95"/>
      <c r="J2732" s="8"/>
      <c r="K2732" s="8"/>
      <c r="L2732" s="8"/>
      <c r="M2732" s="8"/>
      <c r="N2732" s="8"/>
      <c r="O2732" s="8"/>
      <c r="P2732" s="8"/>
    </row>
    <row r="2733" spans="1:16" s="7" customFormat="1" ht="42.75" customHeight="1" thickBot="1">
      <c r="A2733" s="92">
        <v>2289</v>
      </c>
      <c r="B2733" s="93"/>
      <c r="C2733" s="96" t="s">
        <v>4</v>
      </c>
      <c r="D2733" s="97"/>
      <c r="J2733" s="8"/>
      <c r="K2733" s="8"/>
      <c r="L2733" s="8"/>
      <c r="M2733" s="8"/>
      <c r="N2733" s="8"/>
      <c r="O2733" s="8"/>
      <c r="P2733" s="8"/>
    </row>
    <row r="2734" spans="1:16" s="7" customFormat="1" ht="42.75" customHeight="1" thickBot="1">
      <c r="A2734" s="98">
        <f>A2733-A2732</f>
        <v>0</v>
      </c>
      <c r="B2734" s="99"/>
      <c r="C2734" s="100" t="s">
        <v>5</v>
      </c>
      <c r="D2734" s="97"/>
      <c r="J2734" s="8"/>
      <c r="K2734" s="8"/>
      <c r="L2734" s="8"/>
      <c r="M2734" s="8"/>
      <c r="N2734" s="8"/>
      <c r="O2734" s="8"/>
      <c r="P2734" s="8"/>
    </row>
    <row r="2735" spans="1:16" s="7" customFormat="1" ht="42.75" customHeight="1" thickBot="1">
      <c r="A2735" s="101">
        <v>62</v>
      </c>
      <c r="B2735" s="102"/>
      <c r="C2735" s="96" t="s">
        <v>6</v>
      </c>
      <c r="D2735" s="97"/>
      <c r="J2735" s="8"/>
      <c r="K2735" s="8"/>
      <c r="L2735" s="8"/>
      <c r="M2735" s="8"/>
      <c r="N2735" s="8"/>
      <c r="O2735" s="8"/>
      <c r="P2735" s="8"/>
    </row>
    <row r="2736" spans="1:16" s="7" customFormat="1" ht="42.75" customHeight="1" thickBot="1">
      <c r="A2736" s="103"/>
      <c r="B2736" s="104"/>
      <c r="C2736" s="96" t="s">
        <v>21</v>
      </c>
      <c r="D2736" s="97"/>
      <c r="J2736" s="8"/>
      <c r="K2736" s="8"/>
      <c r="L2736" s="8"/>
      <c r="M2736" s="8"/>
      <c r="N2736" s="8"/>
      <c r="O2736" s="8"/>
      <c r="P2736" s="8"/>
    </row>
    <row r="2737" spans="1:16" s="7" customFormat="1" ht="42.75" customHeight="1" thickBot="1">
      <c r="A2737" s="105">
        <f>A2735*A2734</f>
        <v>0</v>
      </c>
      <c r="B2737" s="106"/>
      <c r="C2737" s="96" t="s">
        <v>7</v>
      </c>
      <c r="D2737" s="97"/>
      <c r="J2737" s="8"/>
      <c r="K2737" s="8"/>
      <c r="L2737" s="8"/>
      <c r="M2737" s="8"/>
      <c r="N2737" s="8"/>
      <c r="O2737" s="8"/>
      <c r="P2737" s="8"/>
    </row>
    <row r="2738" spans="1:16" s="7" customFormat="1" ht="42.75" customHeight="1" thickBot="1">
      <c r="A2738" s="107" t="s">
        <v>17</v>
      </c>
      <c r="B2738" s="108"/>
      <c r="C2738" s="108"/>
      <c r="D2738" s="109"/>
      <c r="J2738" s="8"/>
      <c r="K2738" s="8"/>
      <c r="L2738" s="8"/>
      <c r="M2738" s="8"/>
      <c r="N2738" s="8"/>
      <c r="O2738" s="8"/>
      <c r="P2738" s="8"/>
    </row>
    <row r="2739" spans="1:16" s="7" customFormat="1" ht="42.75" customHeight="1" thickBot="1">
      <c r="A2739" s="116" t="s">
        <v>20</v>
      </c>
      <c r="B2739" s="117"/>
      <c r="C2739" s="117"/>
      <c r="D2739" s="118"/>
      <c r="J2739" s="8"/>
      <c r="K2739" s="8"/>
      <c r="L2739" s="8"/>
      <c r="M2739" s="8"/>
      <c r="N2739" s="8"/>
      <c r="O2739" s="8"/>
      <c r="P2739" s="8"/>
    </row>
    <row r="2740" spans="1:16" s="7" customFormat="1" ht="42.75" customHeight="1" thickBot="1">
      <c r="A2740" s="113" t="s">
        <v>18</v>
      </c>
      <c r="B2740" s="114"/>
      <c r="C2740" s="114"/>
      <c r="D2740" s="115"/>
      <c r="J2740" s="8"/>
      <c r="K2740" s="8"/>
      <c r="L2740" s="8"/>
      <c r="M2740" s="8"/>
      <c r="N2740" s="8"/>
      <c r="O2740" s="8"/>
      <c r="P2740" s="8"/>
    </row>
    <row r="2741" spans="1:16" s="7" customFormat="1" ht="42.75" customHeight="1" thickBot="1">
      <c r="A2741" s="119"/>
      <c r="B2741" s="119"/>
      <c r="C2741" s="119"/>
      <c r="D2741" s="119"/>
      <c r="J2741" s="8"/>
      <c r="K2741" s="8"/>
      <c r="L2741" s="8"/>
      <c r="M2741" s="8"/>
      <c r="N2741" s="8"/>
      <c r="O2741" s="8"/>
      <c r="P2741" s="8"/>
    </row>
    <row r="2742" spans="1:16" s="7" customFormat="1" ht="42.75" customHeight="1" thickBot="1">
      <c r="A2742" s="126" t="s">
        <v>19</v>
      </c>
      <c r="B2742" s="127"/>
      <c r="C2742" s="127"/>
      <c r="D2742" s="128"/>
      <c r="J2742" s="8"/>
      <c r="K2742" s="8"/>
      <c r="L2742" s="8"/>
      <c r="M2742" s="8"/>
      <c r="N2742" s="8"/>
      <c r="O2742" s="8"/>
      <c r="P2742" s="8"/>
    </row>
    <row r="2743" spans="1:16" s="7" customFormat="1" ht="42.75" customHeight="1" thickBot="1">
      <c r="A2743" s="123" t="s">
        <v>11</v>
      </c>
      <c r="B2743" s="124"/>
      <c r="C2743" s="125" t="s">
        <v>603</v>
      </c>
      <c r="D2743" s="124"/>
      <c r="J2743" s="8"/>
      <c r="K2743" s="8"/>
      <c r="L2743" s="8"/>
      <c r="M2743" s="8"/>
      <c r="N2743" s="8"/>
      <c r="O2743" s="8"/>
      <c r="P2743" s="8"/>
    </row>
    <row r="2744" spans="1:16" s="7" customFormat="1" ht="42.75" customHeight="1" thickBot="1">
      <c r="A2744" s="1" t="s">
        <v>686</v>
      </c>
      <c r="B2744" s="26" t="s">
        <v>1</v>
      </c>
      <c r="C2744" s="90" t="s">
        <v>290</v>
      </c>
      <c r="D2744" s="91"/>
      <c r="J2744" s="8"/>
      <c r="K2744" s="8"/>
      <c r="L2744" s="8"/>
      <c r="M2744" s="8"/>
      <c r="N2744" s="8"/>
      <c r="O2744" s="8"/>
      <c r="P2744" s="8"/>
    </row>
    <row r="2745" spans="1:16" s="7" customFormat="1" ht="42.75" customHeight="1" thickBot="1">
      <c r="A2745" s="26"/>
      <c r="B2745" s="26" t="s">
        <v>0</v>
      </c>
      <c r="C2745" s="5" t="s">
        <v>687</v>
      </c>
      <c r="D2745" s="4" t="s">
        <v>2</v>
      </c>
      <c r="J2745" s="8"/>
      <c r="K2745" s="8"/>
      <c r="L2745" s="8"/>
      <c r="M2745" s="8"/>
      <c r="N2745" s="8"/>
      <c r="O2745" s="8"/>
      <c r="P2745" s="8"/>
    </row>
    <row r="2746" spans="1:16" s="7" customFormat="1" ht="42.75" customHeight="1" thickBot="1">
      <c r="A2746" s="92">
        <v>2280</v>
      </c>
      <c r="B2746" s="93"/>
      <c r="C2746" s="94" t="s">
        <v>3</v>
      </c>
      <c r="D2746" s="95"/>
      <c r="J2746" s="8"/>
      <c r="K2746" s="8"/>
      <c r="L2746" s="8"/>
      <c r="M2746" s="8"/>
      <c r="N2746" s="8"/>
      <c r="O2746" s="8"/>
      <c r="P2746" s="8"/>
    </row>
    <row r="2747" spans="1:16" s="7" customFormat="1" ht="42.75" customHeight="1" thickBot="1">
      <c r="A2747" s="92">
        <v>2289</v>
      </c>
      <c r="B2747" s="93"/>
      <c r="C2747" s="96" t="s">
        <v>4</v>
      </c>
      <c r="D2747" s="97"/>
      <c r="J2747" s="8"/>
      <c r="K2747" s="8"/>
      <c r="L2747" s="8"/>
      <c r="M2747" s="8"/>
      <c r="N2747" s="8"/>
      <c r="O2747" s="8"/>
      <c r="P2747" s="8"/>
    </row>
    <row r="2748" spans="1:16" s="7" customFormat="1" ht="42.75" customHeight="1" thickBot="1">
      <c r="A2748" s="98">
        <v>10</v>
      </c>
      <c r="B2748" s="99"/>
      <c r="C2748" s="100" t="s">
        <v>5</v>
      </c>
      <c r="D2748" s="97"/>
      <c r="J2748" s="8"/>
      <c r="K2748" s="8"/>
      <c r="L2748" s="8"/>
      <c r="M2748" s="8"/>
      <c r="N2748" s="8"/>
      <c r="O2748" s="8"/>
      <c r="P2748" s="8"/>
    </row>
    <row r="2749" spans="1:16" s="7" customFormat="1" ht="42.75" customHeight="1" thickBot="1">
      <c r="A2749" s="101">
        <v>62</v>
      </c>
      <c r="B2749" s="102"/>
      <c r="C2749" s="96" t="s">
        <v>6</v>
      </c>
      <c r="D2749" s="97"/>
      <c r="J2749" s="8"/>
      <c r="K2749" s="8"/>
      <c r="L2749" s="8"/>
      <c r="M2749" s="8"/>
      <c r="N2749" s="8"/>
      <c r="O2749" s="8"/>
      <c r="P2749" s="8"/>
    </row>
    <row r="2750" spans="1:16" s="7" customFormat="1" ht="42.75" customHeight="1" thickBot="1">
      <c r="A2750" s="103"/>
      <c r="B2750" s="104"/>
      <c r="C2750" s="96" t="s">
        <v>21</v>
      </c>
      <c r="D2750" s="97"/>
      <c r="J2750" s="8"/>
      <c r="K2750" s="8"/>
      <c r="L2750" s="8"/>
      <c r="M2750" s="8"/>
      <c r="N2750" s="8"/>
      <c r="O2750" s="8"/>
      <c r="P2750" s="8"/>
    </row>
    <row r="2751" spans="1:16" s="7" customFormat="1" ht="42.75" customHeight="1" thickBot="1">
      <c r="A2751" s="105">
        <v>600</v>
      </c>
      <c r="B2751" s="106"/>
      <c r="C2751" s="96" t="s">
        <v>7</v>
      </c>
      <c r="D2751" s="97"/>
      <c r="J2751" s="8"/>
      <c r="K2751" s="8"/>
      <c r="L2751" s="8"/>
      <c r="M2751" s="8"/>
      <c r="N2751" s="8"/>
      <c r="O2751" s="8"/>
      <c r="P2751" s="8"/>
    </row>
    <row r="2752" spans="1:16" s="7" customFormat="1" ht="42.75" customHeight="1" thickBot="1">
      <c r="A2752" s="107" t="s">
        <v>17</v>
      </c>
      <c r="B2752" s="108"/>
      <c r="C2752" s="108"/>
      <c r="D2752" s="109"/>
      <c r="J2752" s="8"/>
      <c r="K2752" s="8"/>
      <c r="L2752" s="8"/>
      <c r="M2752" s="8"/>
      <c r="N2752" s="8"/>
      <c r="O2752" s="8"/>
      <c r="P2752" s="8"/>
    </row>
    <row r="2753" spans="1:16" s="7" customFormat="1" ht="42.75" customHeight="1" thickBot="1">
      <c r="A2753" s="110" t="s">
        <v>20</v>
      </c>
      <c r="B2753" s="111"/>
      <c r="C2753" s="111"/>
      <c r="D2753" s="112"/>
      <c r="J2753" s="8"/>
      <c r="K2753" s="8"/>
      <c r="L2753" s="8"/>
      <c r="M2753" s="8"/>
      <c r="N2753" s="8"/>
      <c r="O2753" s="8"/>
      <c r="P2753" s="8"/>
    </row>
    <row r="2754" spans="1:16" s="7" customFormat="1" ht="42.75" customHeight="1" thickBot="1">
      <c r="A2754" s="113" t="s">
        <v>18</v>
      </c>
      <c r="B2754" s="114"/>
      <c r="C2754" s="114"/>
      <c r="D2754" s="115"/>
      <c r="J2754" s="8"/>
      <c r="K2754" s="8"/>
      <c r="L2754" s="8"/>
      <c r="M2754" s="8"/>
      <c r="N2754" s="8"/>
      <c r="O2754" s="8"/>
      <c r="P2754" s="8"/>
    </row>
    <row r="2755" spans="1:16" s="7" customFormat="1" ht="42.75" customHeight="1" thickBot="1">
      <c r="A2755" s="126" t="s">
        <v>19</v>
      </c>
      <c r="B2755" s="127"/>
      <c r="C2755" s="127"/>
      <c r="D2755" s="128"/>
      <c r="J2755" s="8"/>
      <c r="K2755" s="8"/>
      <c r="L2755" s="8"/>
      <c r="M2755" s="8"/>
      <c r="N2755" s="8"/>
      <c r="O2755" s="8"/>
      <c r="P2755" s="8"/>
    </row>
    <row r="2756" spans="1:16" s="7" customFormat="1" ht="42.75" customHeight="1" thickBot="1">
      <c r="A2756" s="123" t="s">
        <v>11</v>
      </c>
      <c r="B2756" s="124"/>
      <c r="C2756" s="125" t="s">
        <v>603</v>
      </c>
      <c r="D2756" s="124"/>
      <c r="J2756" s="8"/>
      <c r="K2756" s="8"/>
      <c r="L2756" s="8"/>
      <c r="M2756" s="8"/>
      <c r="N2756" s="8"/>
      <c r="O2756" s="8"/>
      <c r="P2756" s="8"/>
    </row>
    <row r="2757" spans="1:16" s="7" customFormat="1" ht="42.75" customHeight="1" thickBot="1">
      <c r="A2757" s="1" t="s">
        <v>686</v>
      </c>
      <c r="B2757" s="26" t="s">
        <v>1</v>
      </c>
      <c r="C2757" s="90" t="s">
        <v>291</v>
      </c>
      <c r="D2757" s="91"/>
      <c r="J2757" s="8"/>
      <c r="K2757" s="8"/>
      <c r="L2757" s="8"/>
      <c r="M2757" s="8"/>
      <c r="N2757" s="8"/>
      <c r="O2757" s="8"/>
      <c r="P2757" s="8"/>
    </row>
    <row r="2758" spans="1:16" s="7" customFormat="1" ht="42.75" customHeight="1" thickBot="1">
      <c r="A2758" s="26"/>
      <c r="B2758" s="26" t="s">
        <v>0</v>
      </c>
      <c r="C2758" s="5" t="s">
        <v>687</v>
      </c>
      <c r="D2758" s="4" t="s">
        <v>2</v>
      </c>
      <c r="J2758" s="8"/>
      <c r="K2758" s="8"/>
      <c r="L2758" s="8"/>
      <c r="M2758" s="8"/>
      <c r="N2758" s="8"/>
      <c r="O2758" s="8"/>
      <c r="P2758" s="8"/>
    </row>
    <row r="2759" spans="1:16" s="7" customFormat="1" ht="42.75" customHeight="1" thickBot="1">
      <c r="A2759" s="92">
        <v>1009</v>
      </c>
      <c r="B2759" s="93"/>
      <c r="C2759" s="94" t="s">
        <v>3</v>
      </c>
      <c r="D2759" s="95"/>
      <c r="J2759" s="8"/>
      <c r="K2759" s="8"/>
      <c r="L2759" s="8"/>
      <c r="M2759" s="8"/>
      <c r="N2759" s="8"/>
      <c r="O2759" s="8"/>
      <c r="P2759" s="8"/>
    </row>
    <row r="2760" spans="1:16" s="7" customFormat="1" ht="42.75" customHeight="1" thickBot="1">
      <c r="A2760" s="92">
        <v>1009</v>
      </c>
      <c r="B2760" s="93"/>
      <c r="C2760" s="96" t="s">
        <v>4</v>
      </c>
      <c r="D2760" s="97"/>
      <c r="J2760" s="8"/>
      <c r="K2760" s="8"/>
      <c r="L2760" s="8"/>
      <c r="M2760" s="8"/>
      <c r="N2760" s="8"/>
      <c r="O2760" s="8"/>
      <c r="P2760" s="8"/>
    </row>
    <row r="2761" spans="1:16" s="7" customFormat="1" ht="42.75" customHeight="1" thickBot="1">
      <c r="A2761" s="98">
        <f>A2760-A2759</f>
        <v>0</v>
      </c>
      <c r="B2761" s="99"/>
      <c r="C2761" s="100" t="s">
        <v>5</v>
      </c>
      <c r="D2761" s="97"/>
      <c r="J2761" s="8"/>
      <c r="K2761" s="8"/>
      <c r="L2761" s="8"/>
      <c r="M2761" s="8"/>
      <c r="N2761" s="8"/>
      <c r="O2761" s="8"/>
      <c r="P2761" s="8"/>
    </row>
    <row r="2762" spans="1:16" s="7" customFormat="1" ht="42.75" customHeight="1" thickBot="1">
      <c r="A2762" s="101">
        <v>62</v>
      </c>
      <c r="B2762" s="102"/>
      <c r="C2762" s="96" t="s">
        <v>6</v>
      </c>
      <c r="D2762" s="97"/>
      <c r="J2762" s="8"/>
      <c r="K2762" s="8"/>
      <c r="L2762" s="8"/>
      <c r="M2762" s="8"/>
      <c r="N2762" s="8"/>
      <c r="O2762" s="8"/>
      <c r="P2762" s="8"/>
    </row>
    <row r="2763" spans="1:16" s="7" customFormat="1" ht="42.75" customHeight="1" thickBot="1">
      <c r="A2763" s="103"/>
      <c r="B2763" s="104"/>
      <c r="C2763" s="96" t="s">
        <v>21</v>
      </c>
      <c r="D2763" s="97"/>
      <c r="J2763" s="8"/>
      <c r="K2763" s="8"/>
      <c r="L2763" s="8"/>
      <c r="M2763" s="8"/>
      <c r="N2763" s="8"/>
      <c r="O2763" s="8"/>
      <c r="P2763" s="8"/>
    </row>
    <row r="2764" spans="1:16" s="7" customFormat="1" ht="42.75" customHeight="1" thickBot="1">
      <c r="A2764" s="105">
        <f>A2762*A2761</f>
        <v>0</v>
      </c>
      <c r="B2764" s="106"/>
      <c r="C2764" s="96" t="s">
        <v>7</v>
      </c>
      <c r="D2764" s="97"/>
      <c r="J2764" s="8"/>
      <c r="K2764" s="8"/>
      <c r="L2764" s="8"/>
      <c r="M2764" s="8"/>
      <c r="N2764" s="8"/>
      <c r="O2764" s="8"/>
      <c r="P2764" s="8"/>
    </row>
    <row r="2765" spans="1:16" s="7" customFormat="1" ht="42.75" customHeight="1" thickBot="1">
      <c r="A2765" s="107" t="s">
        <v>17</v>
      </c>
      <c r="B2765" s="108"/>
      <c r="C2765" s="108"/>
      <c r="D2765" s="109"/>
      <c r="J2765" s="8"/>
      <c r="K2765" s="8"/>
      <c r="L2765" s="8"/>
      <c r="M2765" s="8"/>
      <c r="N2765" s="8"/>
      <c r="O2765" s="8"/>
      <c r="P2765" s="8"/>
    </row>
    <row r="2766" spans="1:16" s="7" customFormat="1" ht="42.75" customHeight="1" thickBot="1">
      <c r="A2766" s="116" t="s">
        <v>20</v>
      </c>
      <c r="B2766" s="117"/>
      <c r="C2766" s="117"/>
      <c r="D2766" s="118"/>
      <c r="J2766" s="8"/>
      <c r="K2766" s="8"/>
      <c r="L2766" s="8"/>
      <c r="M2766" s="8"/>
      <c r="N2766" s="8"/>
      <c r="O2766" s="8"/>
      <c r="P2766" s="8"/>
    </row>
    <row r="2767" spans="1:16" s="7" customFormat="1" ht="42.75" customHeight="1" thickBot="1">
      <c r="A2767" s="113" t="s">
        <v>18</v>
      </c>
      <c r="B2767" s="114"/>
      <c r="C2767" s="114"/>
      <c r="D2767" s="115"/>
      <c r="J2767" s="8"/>
      <c r="K2767" s="8"/>
      <c r="L2767" s="8"/>
      <c r="M2767" s="8"/>
      <c r="N2767" s="8"/>
      <c r="O2767" s="8"/>
      <c r="P2767" s="8"/>
    </row>
    <row r="2768" spans="1:16" s="7" customFormat="1" ht="42.75" customHeight="1" thickBot="1">
      <c r="A2768" s="119"/>
      <c r="B2768" s="119"/>
      <c r="C2768" s="119"/>
      <c r="D2768" s="119"/>
      <c r="J2768" s="8"/>
      <c r="K2768" s="8"/>
      <c r="L2768" s="8"/>
      <c r="M2768" s="8"/>
      <c r="N2768" s="8"/>
      <c r="O2768" s="8"/>
      <c r="P2768" s="8"/>
    </row>
    <row r="2769" spans="1:16" s="7" customFormat="1" ht="42.75" customHeight="1" thickBot="1">
      <c r="A2769" s="126" t="s">
        <v>19</v>
      </c>
      <c r="B2769" s="127"/>
      <c r="C2769" s="127"/>
      <c r="D2769" s="128"/>
      <c r="J2769" s="8"/>
      <c r="K2769" s="8"/>
      <c r="L2769" s="8"/>
      <c r="M2769" s="8"/>
      <c r="N2769" s="8"/>
      <c r="O2769" s="8"/>
      <c r="P2769" s="8"/>
    </row>
    <row r="2770" spans="1:16" s="7" customFormat="1" ht="42.75" customHeight="1" thickBot="1">
      <c r="A2770" s="123" t="s">
        <v>11</v>
      </c>
      <c r="B2770" s="124"/>
      <c r="C2770" s="125" t="s">
        <v>603</v>
      </c>
      <c r="D2770" s="124"/>
      <c r="J2770" s="8"/>
      <c r="K2770" s="8"/>
      <c r="L2770" s="8"/>
      <c r="M2770" s="8"/>
      <c r="N2770" s="8"/>
      <c r="O2770" s="8"/>
      <c r="P2770" s="8"/>
    </row>
    <row r="2771" spans="1:16" s="7" customFormat="1" ht="42.75" customHeight="1" thickBot="1">
      <c r="A2771" s="1" t="s">
        <v>686</v>
      </c>
      <c r="B2771" s="26" t="s">
        <v>1</v>
      </c>
      <c r="C2771" s="90" t="s">
        <v>291</v>
      </c>
      <c r="D2771" s="91"/>
      <c r="J2771" s="8"/>
      <c r="K2771" s="8"/>
      <c r="L2771" s="8"/>
      <c r="M2771" s="8"/>
      <c r="N2771" s="8"/>
      <c r="O2771" s="8"/>
      <c r="P2771" s="8"/>
    </row>
    <row r="2772" spans="1:16" s="7" customFormat="1" ht="42.75" customHeight="1" thickBot="1">
      <c r="A2772" s="26"/>
      <c r="B2772" s="26" t="s">
        <v>0</v>
      </c>
      <c r="C2772" s="5" t="s">
        <v>687</v>
      </c>
      <c r="D2772" s="4" t="s">
        <v>2</v>
      </c>
      <c r="J2772" s="8"/>
      <c r="K2772" s="8"/>
      <c r="L2772" s="8"/>
      <c r="M2772" s="8"/>
      <c r="N2772" s="8"/>
      <c r="O2772" s="8"/>
      <c r="P2772" s="8"/>
    </row>
    <row r="2773" spans="1:16" s="7" customFormat="1" ht="42.75" customHeight="1" thickBot="1">
      <c r="A2773" s="92">
        <v>1003</v>
      </c>
      <c r="B2773" s="93"/>
      <c r="C2773" s="94" t="s">
        <v>3</v>
      </c>
      <c r="D2773" s="95"/>
      <c r="J2773" s="8"/>
      <c r="K2773" s="8"/>
      <c r="L2773" s="8"/>
      <c r="M2773" s="8"/>
      <c r="N2773" s="8"/>
      <c r="O2773" s="8"/>
      <c r="P2773" s="8"/>
    </row>
    <row r="2774" spans="1:16" s="7" customFormat="1" ht="42.75" customHeight="1" thickBot="1">
      <c r="A2774" s="92">
        <v>1009</v>
      </c>
      <c r="B2774" s="93"/>
      <c r="C2774" s="96" t="s">
        <v>4</v>
      </c>
      <c r="D2774" s="97"/>
      <c r="J2774" s="8"/>
      <c r="K2774" s="8"/>
      <c r="L2774" s="8"/>
      <c r="M2774" s="8"/>
      <c r="N2774" s="8"/>
      <c r="O2774" s="8"/>
      <c r="P2774" s="8"/>
    </row>
    <row r="2775" spans="1:16" s="7" customFormat="1" ht="42.75" customHeight="1" thickBot="1">
      <c r="A2775" s="98">
        <v>10</v>
      </c>
      <c r="B2775" s="99"/>
      <c r="C2775" s="100" t="s">
        <v>5</v>
      </c>
      <c r="D2775" s="97"/>
      <c r="J2775" s="8"/>
      <c r="K2775" s="8"/>
      <c r="L2775" s="8"/>
      <c r="M2775" s="8"/>
      <c r="N2775" s="8"/>
      <c r="O2775" s="8"/>
      <c r="P2775" s="8"/>
    </row>
    <row r="2776" spans="1:16" s="7" customFormat="1" ht="42.75" customHeight="1" thickBot="1">
      <c r="A2776" s="101">
        <v>62</v>
      </c>
      <c r="B2776" s="102"/>
      <c r="C2776" s="96" t="s">
        <v>6</v>
      </c>
      <c r="D2776" s="97"/>
      <c r="J2776" s="8"/>
      <c r="K2776" s="8"/>
      <c r="L2776" s="8"/>
      <c r="M2776" s="8"/>
      <c r="N2776" s="8"/>
      <c r="O2776" s="8"/>
      <c r="P2776" s="8"/>
    </row>
    <row r="2777" spans="1:16" s="7" customFormat="1" ht="42.75" customHeight="1" thickBot="1">
      <c r="A2777" s="103"/>
      <c r="B2777" s="104"/>
      <c r="C2777" s="96" t="s">
        <v>21</v>
      </c>
      <c r="D2777" s="97"/>
      <c r="J2777" s="8"/>
      <c r="K2777" s="8"/>
      <c r="L2777" s="8"/>
      <c r="M2777" s="8"/>
      <c r="N2777" s="8"/>
      <c r="O2777" s="8"/>
      <c r="P2777" s="8"/>
    </row>
    <row r="2778" spans="1:16" s="7" customFormat="1" ht="42.75" customHeight="1" thickBot="1">
      <c r="A2778" s="105">
        <v>600</v>
      </c>
      <c r="B2778" s="106"/>
      <c r="C2778" s="96" t="s">
        <v>7</v>
      </c>
      <c r="D2778" s="97"/>
      <c r="J2778" s="8"/>
      <c r="K2778" s="8"/>
      <c r="L2778" s="8"/>
      <c r="M2778" s="8"/>
      <c r="N2778" s="8"/>
      <c r="O2778" s="8"/>
      <c r="P2778" s="8"/>
    </row>
    <row r="2779" spans="1:16" s="7" customFormat="1" ht="42.75" customHeight="1" thickBot="1">
      <c r="A2779" s="107" t="s">
        <v>17</v>
      </c>
      <c r="B2779" s="108"/>
      <c r="C2779" s="108"/>
      <c r="D2779" s="109"/>
      <c r="J2779" s="8"/>
      <c r="K2779" s="8"/>
      <c r="L2779" s="8"/>
      <c r="M2779" s="8"/>
      <c r="N2779" s="8"/>
      <c r="O2779" s="8"/>
      <c r="P2779" s="8"/>
    </row>
    <row r="2780" spans="1:16" s="7" customFormat="1" ht="42.75" customHeight="1" thickBot="1">
      <c r="A2780" s="110" t="s">
        <v>20</v>
      </c>
      <c r="B2780" s="111"/>
      <c r="C2780" s="111"/>
      <c r="D2780" s="112"/>
      <c r="J2780" s="8"/>
      <c r="K2780" s="8"/>
      <c r="L2780" s="8"/>
      <c r="M2780" s="8"/>
      <c r="N2780" s="8"/>
      <c r="O2780" s="8"/>
      <c r="P2780" s="8"/>
    </row>
    <row r="2781" spans="1:16" s="7" customFormat="1" ht="42.75" customHeight="1" thickBot="1">
      <c r="A2781" s="113" t="s">
        <v>18</v>
      </c>
      <c r="B2781" s="114"/>
      <c r="C2781" s="114"/>
      <c r="D2781" s="115"/>
      <c r="J2781" s="8"/>
      <c r="K2781" s="8"/>
      <c r="L2781" s="8"/>
      <c r="M2781" s="8"/>
      <c r="N2781" s="8"/>
      <c r="O2781" s="8"/>
      <c r="P2781" s="8"/>
    </row>
    <row r="2782" spans="1:16" s="7" customFormat="1" ht="42.75" customHeight="1" thickBot="1">
      <c r="A2782" s="126" t="s">
        <v>19</v>
      </c>
      <c r="B2782" s="127"/>
      <c r="C2782" s="127"/>
      <c r="D2782" s="128"/>
      <c r="J2782" s="8"/>
      <c r="K2782" s="8"/>
      <c r="L2782" s="8"/>
      <c r="M2782" s="8"/>
      <c r="N2782" s="8"/>
      <c r="O2782" s="8"/>
      <c r="P2782" s="8"/>
    </row>
    <row r="2783" spans="1:16" s="7" customFormat="1" ht="42.75" customHeight="1" thickBot="1">
      <c r="A2783" s="123" t="s">
        <v>11</v>
      </c>
      <c r="B2783" s="124"/>
      <c r="C2783" s="125" t="s">
        <v>603</v>
      </c>
      <c r="D2783" s="124"/>
      <c r="J2783" s="8"/>
      <c r="K2783" s="8"/>
      <c r="L2783" s="8"/>
      <c r="M2783" s="8"/>
      <c r="N2783" s="8"/>
      <c r="O2783" s="8"/>
      <c r="P2783" s="8"/>
    </row>
    <row r="2784" spans="1:16" s="7" customFormat="1" ht="42.75" customHeight="1" thickBot="1">
      <c r="A2784" s="1" t="s">
        <v>686</v>
      </c>
      <c r="B2784" s="26" t="s">
        <v>1</v>
      </c>
      <c r="C2784" s="90" t="s">
        <v>292</v>
      </c>
      <c r="D2784" s="91"/>
      <c r="J2784" s="8"/>
      <c r="K2784" s="8"/>
      <c r="L2784" s="8"/>
      <c r="M2784" s="8"/>
      <c r="N2784" s="8"/>
      <c r="O2784" s="8"/>
      <c r="P2784" s="8"/>
    </row>
    <row r="2785" spans="1:16" s="7" customFormat="1" ht="42.75" customHeight="1" thickBot="1">
      <c r="A2785" s="26"/>
      <c r="B2785" s="26" t="s">
        <v>0</v>
      </c>
      <c r="C2785" s="5" t="s">
        <v>687</v>
      </c>
      <c r="D2785" s="4" t="s">
        <v>2</v>
      </c>
      <c r="J2785" s="8"/>
      <c r="K2785" s="8"/>
      <c r="L2785" s="8"/>
      <c r="M2785" s="8"/>
      <c r="N2785" s="8"/>
      <c r="O2785" s="8"/>
      <c r="P2785" s="8"/>
    </row>
    <row r="2786" spans="1:16" s="7" customFormat="1" ht="42.75" customHeight="1" thickBot="1">
      <c r="A2786" s="92">
        <v>235</v>
      </c>
      <c r="B2786" s="93"/>
      <c r="C2786" s="94" t="s">
        <v>3</v>
      </c>
      <c r="D2786" s="95"/>
      <c r="J2786" s="8"/>
      <c r="K2786" s="8"/>
      <c r="L2786" s="8"/>
      <c r="M2786" s="8"/>
      <c r="N2786" s="8"/>
      <c r="O2786" s="8"/>
      <c r="P2786" s="8"/>
    </row>
    <row r="2787" spans="1:16" s="7" customFormat="1" ht="42.75" customHeight="1" thickBot="1">
      <c r="A2787" s="92">
        <v>235</v>
      </c>
      <c r="B2787" s="93"/>
      <c r="C2787" s="96" t="s">
        <v>4</v>
      </c>
      <c r="D2787" s="97"/>
      <c r="J2787" s="8"/>
      <c r="K2787" s="8"/>
      <c r="L2787" s="8"/>
      <c r="M2787" s="8"/>
      <c r="N2787" s="8"/>
      <c r="O2787" s="8"/>
      <c r="P2787" s="8"/>
    </row>
    <row r="2788" spans="1:16" s="7" customFormat="1" ht="42.75" customHeight="1" thickBot="1">
      <c r="A2788" s="98">
        <f>A2787-A2786</f>
        <v>0</v>
      </c>
      <c r="B2788" s="99"/>
      <c r="C2788" s="100" t="s">
        <v>5</v>
      </c>
      <c r="D2788" s="97"/>
      <c r="J2788" s="8"/>
      <c r="K2788" s="8"/>
      <c r="L2788" s="8"/>
      <c r="M2788" s="8"/>
      <c r="N2788" s="8"/>
      <c r="O2788" s="8"/>
      <c r="P2788" s="8"/>
    </row>
    <row r="2789" spans="1:16" s="7" customFormat="1" ht="42.75" customHeight="1" thickBot="1">
      <c r="A2789" s="101">
        <v>62</v>
      </c>
      <c r="B2789" s="102"/>
      <c r="C2789" s="96" t="s">
        <v>6</v>
      </c>
      <c r="D2789" s="97"/>
      <c r="J2789" s="8"/>
      <c r="K2789" s="8"/>
      <c r="L2789" s="8"/>
      <c r="M2789" s="8"/>
      <c r="N2789" s="8"/>
      <c r="O2789" s="8"/>
      <c r="P2789" s="8"/>
    </row>
    <row r="2790" spans="1:16" s="7" customFormat="1" ht="42.75" customHeight="1" thickBot="1">
      <c r="A2790" s="103"/>
      <c r="B2790" s="104"/>
      <c r="C2790" s="96" t="s">
        <v>21</v>
      </c>
      <c r="D2790" s="97"/>
      <c r="J2790" s="8"/>
      <c r="K2790" s="8"/>
      <c r="L2790" s="8"/>
      <c r="M2790" s="8"/>
      <c r="N2790" s="8"/>
      <c r="O2790" s="8"/>
      <c r="P2790" s="8"/>
    </row>
    <row r="2791" spans="1:16" s="7" customFormat="1" ht="42.75" customHeight="1" thickBot="1">
      <c r="A2791" s="105">
        <f>A2789*A2788</f>
        <v>0</v>
      </c>
      <c r="B2791" s="106"/>
      <c r="C2791" s="96" t="s">
        <v>7</v>
      </c>
      <c r="D2791" s="97"/>
      <c r="J2791" s="8"/>
      <c r="K2791" s="8"/>
      <c r="L2791" s="8"/>
      <c r="M2791" s="8"/>
      <c r="N2791" s="8"/>
      <c r="O2791" s="8"/>
      <c r="P2791" s="8"/>
    </row>
    <row r="2792" spans="1:16" s="7" customFormat="1" ht="42.75" customHeight="1" thickBot="1">
      <c r="A2792" s="107" t="s">
        <v>17</v>
      </c>
      <c r="B2792" s="108"/>
      <c r="C2792" s="108"/>
      <c r="D2792" s="109"/>
      <c r="J2792" s="8"/>
      <c r="K2792" s="8"/>
      <c r="L2792" s="8"/>
      <c r="M2792" s="8"/>
      <c r="N2792" s="8"/>
      <c r="O2792" s="8"/>
      <c r="P2792" s="8"/>
    </row>
    <row r="2793" spans="1:16" s="7" customFormat="1" ht="42.75" customHeight="1" thickBot="1">
      <c r="A2793" s="116" t="s">
        <v>20</v>
      </c>
      <c r="B2793" s="117"/>
      <c r="C2793" s="117"/>
      <c r="D2793" s="118"/>
      <c r="J2793" s="8"/>
      <c r="K2793" s="8"/>
      <c r="L2793" s="8"/>
      <c r="M2793" s="8"/>
      <c r="N2793" s="8"/>
      <c r="O2793" s="8"/>
      <c r="P2793" s="8"/>
    </row>
    <row r="2794" spans="1:16" s="7" customFormat="1" ht="42.75" customHeight="1" thickBot="1">
      <c r="A2794" s="113" t="s">
        <v>18</v>
      </c>
      <c r="B2794" s="114"/>
      <c r="C2794" s="114"/>
      <c r="D2794" s="115"/>
      <c r="J2794" s="8"/>
      <c r="K2794" s="8"/>
      <c r="L2794" s="8"/>
      <c r="M2794" s="8"/>
      <c r="N2794" s="8"/>
      <c r="O2794" s="8"/>
      <c r="P2794" s="8"/>
    </row>
    <row r="2795" spans="1:16" s="7" customFormat="1" ht="42.75" customHeight="1" thickBot="1">
      <c r="A2795" s="119"/>
      <c r="B2795" s="119"/>
      <c r="C2795" s="119"/>
      <c r="D2795" s="119"/>
      <c r="J2795" s="8"/>
      <c r="K2795" s="8"/>
      <c r="L2795" s="8"/>
      <c r="M2795" s="8"/>
      <c r="N2795" s="8"/>
      <c r="O2795" s="8"/>
      <c r="P2795" s="8"/>
    </row>
    <row r="2796" spans="1:16" s="7" customFormat="1" ht="42.75" customHeight="1" thickBot="1">
      <c r="A2796" s="126" t="s">
        <v>19</v>
      </c>
      <c r="B2796" s="127"/>
      <c r="C2796" s="127"/>
      <c r="D2796" s="128"/>
      <c r="J2796" s="8"/>
      <c r="K2796" s="8"/>
      <c r="L2796" s="8"/>
      <c r="M2796" s="8"/>
      <c r="N2796" s="8"/>
      <c r="O2796" s="8"/>
      <c r="P2796" s="8"/>
    </row>
    <row r="2797" spans="1:16" s="7" customFormat="1" ht="42.75" customHeight="1" thickBot="1">
      <c r="A2797" s="123" t="s">
        <v>11</v>
      </c>
      <c r="B2797" s="124"/>
      <c r="C2797" s="125" t="s">
        <v>603</v>
      </c>
      <c r="D2797" s="124"/>
      <c r="J2797" s="8"/>
      <c r="K2797" s="8"/>
      <c r="L2797" s="8"/>
      <c r="M2797" s="8"/>
      <c r="N2797" s="8"/>
      <c r="O2797" s="8"/>
      <c r="P2797" s="8"/>
    </row>
    <row r="2798" spans="1:16" s="7" customFormat="1" ht="42.75" customHeight="1" thickBot="1">
      <c r="A2798" s="1" t="s">
        <v>686</v>
      </c>
      <c r="B2798" s="26" t="s">
        <v>1</v>
      </c>
      <c r="C2798" s="90" t="s">
        <v>292</v>
      </c>
      <c r="D2798" s="91"/>
      <c r="J2798" s="8"/>
      <c r="K2798" s="8"/>
      <c r="L2798" s="8"/>
      <c r="M2798" s="8"/>
      <c r="N2798" s="8"/>
      <c r="O2798" s="8"/>
      <c r="P2798" s="8"/>
    </row>
    <row r="2799" spans="1:16" s="7" customFormat="1" ht="42.75" customHeight="1" thickBot="1">
      <c r="A2799" s="26"/>
      <c r="B2799" s="26" t="s">
        <v>0</v>
      </c>
      <c r="C2799" s="5" t="s">
        <v>687</v>
      </c>
      <c r="D2799" s="4" t="s">
        <v>2</v>
      </c>
      <c r="J2799" s="8"/>
      <c r="K2799" s="8"/>
      <c r="L2799" s="8"/>
      <c r="M2799" s="8"/>
      <c r="N2799" s="8"/>
      <c r="O2799" s="8"/>
      <c r="P2799" s="8"/>
    </row>
    <row r="2800" spans="1:16" s="7" customFormat="1" ht="42.75" customHeight="1" thickBot="1">
      <c r="A2800" s="92">
        <v>228</v>
      </c>
      <c r="B2800" s="93"/>
      <c r="C2800" s="94" t="s">
        <v>3</v>
      </c>
      <c r="D2800" s="95"/>
      <c r="J2800" s="8"/>
      <c r="K2800" s="8"/>
      <c r="L2800" s="8"/>
      <c r="M2800" s="8"/>
      <c r="N2800" s="8"/>
      <c r="O2800" s="8"/>
      <c r="P2800" s="8"/>
    </row>
    <row r="2801" spans="1:16" s="7" customFormat="1" ht="42.75" customHeight="1" thickBot="1">
      <c r="A2801" s="92">
        <v>235</v>
      </c>
      <c r="B2801" s="93"/>
      <c r="C2801" s="96" t="s">
        <v>4</v>
      </c>
      <c r="D2801" s="97"/>
      <c r="J2801" s="8"/>
      <c r="K2801" s="8"/>
      <c r="L2801" s="8"/>
      <c r="M2801" s="8"/>
      <c r="N2801" s="8"/>
      <c r="O2801" s="8"/>
      <c r="P2801" s="8"/>
    </row>
    <row r="2802" spans="1:16" s="7" customFormat="1" ht="42.75" customHeight="1" thickBot="1">
      <c r="A2802" s="98">
        <v>10</v>
      </c>
      <c r="B2802" s="99"/>
      <c r="C2802" s="100" t="s">
        <v>5</v>
      </c>
      <c r="D2802" s="97"/>
      <c r="J2802" s="8"/>
      <c r="K2802" s="8"/>
      <c r="L2802" s="8"/>
      <c r="M2802" s="8"/>
      <c r="N2802" s="8"/>
      <c r="O2802" s="8"/>
      <c r="P2802" s="8"/>
    </row>
    <row r="2803" spans="1:16" s="7" customFormat="1" ht="42.75" customHeight="1" thickBot="1">
      <c r="A2803" s="101">
        <v>62</v>
      </c>
      <c r="B2803" s="102"/>
      <c r="C2803" s="96" t="s">
        <v>6</v>
      </c>
      <c r="D2803" s="97"/>
      <c r="J2803" s="8"/>
      <c r="K2803" s="8"/>
      <c r="L2803" s="8"/>
      <c r="M2803" s="8"/>
      <c r="N2803" s="8"/>
      <c r="O2803" s="8"/>
      <c r="P2803" s="8"/>
    </row>
    <row r="2804" spans="1:16" s="7" customFormat="1" ht="42.75" customHeight="1" thickBot="1">
      <c r="A2804" s="103"/>
      <c r="B2804" s="104"/>
      <c r="C2804" s="96" t="s">
        <v>21</v>
      </c>
      <c r="D2804" s="97"/>
      <c r="J2804" s="8"/>
      <c r="K2804" s="8"/>
      <c r="L2804" s="8"/>
      <c r="M2804" s="8"/>
      <c r="N2804" s="8"/>
      <c r="O2804" s="8"/>
      <c r="P2804" s="8"/>
    </row>
    <row r="2805" spans="1:16" s="7" customFormat="1" ht="42.75" customHeight="1" thickBot="1">
      <c r="A2805" s="105">
        <v>600</v>
      </c>
      <c r="B2805" s="106"/>
      <c r="C2805" s="96" t="s">
        <v>7</v>
      </c>
      <c r="D2805" s="97"/>
      <c r="J2805" s="8"/>
      <c r="K2805" s="8"/>
      <c r="L2805" s="8"/>
      <c r="M2805" s="8"/>
      <c r="N2805" s="8"/>
      <c r="O2805" s="8"/>
      <c r="P2805" s="8"/>
    </row>
    <row r="2806" spans="1:16" s="7" customFormat="1" ht="42.75" customHeight="1" thickBot="1">
      <c r="A2806" s="107" t="s">
        <v>17</v>
      </c>
      <c r="B2806" s="108"/>
      <c r="C2806" s="108"/>
      <c r="D2806" s="109"/>
      <c r="J2806" s="8"/>
      <c r="K2806" s="8"/>
      <c r="L2806" s="8"/>
      <c r="M2806" s="8"/>
      <c r="N2806" s="8"/>
      <c r="O2806" s="8"/>
      <c r="P2806" s="8"/>
    </row>
    <row r="2807" spans="1:16" s="7" customFormat="1" ht="42.75" customHeight="1" thickBot="1">
      <c r="A2807" s="110" t="s">
        <v>20</v>
      </c>
      <c r="B2807" s="111"/>
      <c r="C2807" s="111"/>
      <c r="D2807" s="112"/>
      <c r="J2807" s="8"/>
      <c r="K2807" s="8"/>
      <c r="L2807" s="8"/>
      <c r="M2807" s="8"/>
      <c r="N2807" s="8"/>
      <c r="O2807" s="8"/>
      <c r="P2807" s="8"/>
    </row>
    <row r="2808" spans="1:16" s="7" customFormat="1" ht="42.75" customHeight="1" thickBot="1">
      <c r="A2808" s="113" t="s">
        <v>18</v>
      </c>
      <c r="B2808" s="114"/>
      <c r="C2808" s="114"/>
      <c r="D2808" s="115"/>
      <c r="J2808" s="8"/>
      <c r="K2808" s="8"/>
      <c r="L2808" s="8"/>
      <c r="M2808" s="8"/>
      <c r="N2808" s="8"/>
      <c r="O2808" s="8"/>
      <c r="P2808" s="8"/>
    </row>
    <row r="2809" spans="1:16" s="7" customFormat="1" ht="42.75" customHeight="1" thickBot="1">
      <c r="A2809" s="126" t="s">
        <v>19</v>
      </c>
      <c r="B2809" s="127"/>
      <c r="C2809" s="127"/>
      <c r="D2809" s="128"/>
      <c r="J2809" s="8"/>
      <c r="K2809" s="8"/>
      <c r="L2809" s="8"/>
      <c r="M2809" s="8"/>
      <c r="N2809" s="8"/>
      <c r="O2809" s="8"/>
      <c r="P2809" s="8"/>
    </row>
    <row r="2810" spans="1:16" s="7" customFormat="1" ht="42.75" customHeight="1" thickBot="1">
      <c r="A2810" s="123" t="s">
        <v>11</v>
      </c>
      <c r="B2810" s="124"/>
      <c r="C2810" s="125" t="s">
        <v>603</v>
      </c>
      <c r="D2810" s="124"/>
      <c r="J2810" s="8"/>
      <c r="K2810" s="8"/>
      <c r="L2810" s="8"/>
      <c r="M2810" s="8"/>
      <c r="N2810" s="8"/>
      <c r="O2810" s="8"/>
      <c r="P2810" s="8"/>
    </row>
    <row r="2811" spans="1:16" s="7" customFormat="1" ht="42.75" customHeight="1" thickBot="1">
      <c r="A2811" s="1" t="s">
        <v>686</v>
      </c>
      <c r="B2811" s="26" t="s">
        <v>1</v>
      </c>
      <c r="C2811" s="90" t="s">
        <v>293</v>
      </c>
      <c r="D2811" s="91"/>
      <c r="J2811" s="8"/>
      <c r="K2811" s="8"/>
      <c r="L2811" s="8"/>
      <c r="M2811" s="8"/>
      <c r="N2811" s="8"/>
      <c r="O2811" s="8"/>
      <c r="P2811" s="8"/>
    </row>
    <row r="2812" spans="1:16" s="7" customFormat="1" ht="42.75" customHeight="1" thickBot="1">
      <c r="A2812" s="26"/>
      <c r="B2812" s="26" t="s">
        <v>0</v>
      </c>
      <c r="C2812" s="5" t="s">
        <v>687</v>
      </c>
      <c r="D2812" s="4" t="s">
        <v>2</v>
      </c>
      <c r="J2812" s="8"/>
      <c r="K2812" s="8"/>
      <c r="L2812" s="8"/>
      <c r="M2812" s="8"/>
      <c r="N2812" s="8"/>
      <c r="O2812" s="8"/>
      <c r="P2812" s="8"/>
    </row>
    <row r="2813" spans="1:16" s="7" customFormat="1" ht="42.75" customHeight="1" thickBot="1">
      <c r="A2813" s="92">
        <v>805</v>
      </c>
      <c r="B2813" s="93"/>
      <c r="C2813" s="94" t="s">
        <v>3</v>
      </c>
      <c r="D2813" s="95"/>
      <c r="J2813" s="8"/>
      <c r="K2813" s="8"/>
      <c r="L2813" s="8"/>
      <c r="M2813" s="8"/>
      <c r="N2813" s="8"/>
      <c r="O2813" s="8"/>
      <c r="P2813" s="8"/>
    </row>
    <row r="2814" spans="1:16" s="7" customFormat="1" ht="42.75" customHeight="1" thickBot="1">
      <c r="A2814" s="92">
        <v>805</v>
      </c>
      <c r="B2814" s="93"/>
      <c r="C2814" s="96" t="s">
        <v>4</v>
      </c>
      <c r="D2814" s="97"/>
      <c r="J2814" s="8"/>
      <c r="K2814" s="8"/>
      <c r="L2814" s="8"/>
      <c r="M2814" s="8"/>
      <c r="N2814" s="8"/>
      <c r="O2814" s="8"/>
      <c r="P2814" s="8"/>
    </row>
    <row r="2815" spans="1:16" s="7" customFormat="1" ht="42.75" customHeight="1" thickBot="1">
      <c r="A2815" s="98">
        <f>A2814-A2813</f>
        <v>0</v>
      </c>
      <c r="B2815" s="99"/>
      <c r="C2815" s="100" t="s">
        <v>5</v>
      </c>
      <c r="D2815" s="97"/>
      <c r="J2815" s="8"/>
      <c r="K2815" s="8"/>
      <c r="L2815" s="8"/>
      <c r="M2815" s="8"/>
      <c r="N2815" s="8"/>
      <c r="O2815" s="8"/>
      <c r="P2815" s="8"/>
    </row>
    <row r="2816" spans="1:16" s="7" customFormat="1" ht="42.75" customHeight="1" thickBot="1">
      <c r="A2816" s="101">
        <v>62</v>
      </c>
      <c r="B2816" s="102"/>
      <c r="C2816" s="96" t="s">
        <v>6</v>
      </c>
      <c r="D2816" s="97"/>
      <c r="J2816" s="8"/>
      <c r="K2816" s="8"/>
      <c r="L2816" s="8"/>
      <c r="M2816" s="8"/>
      <c r="N2816" s="8"/>
      <c r="O2816" s="8"/>
      <c r="P2816" s="8"/>
    </row>
    <row r="2817" spans="1:16" s="7" customFormat="1" ht="42.75" customHeight="1" thickBot="1">
      <c r="A2817" s="103"/>
      <c r="B2817" s="104"/>
      <c r="C2817" s="96" t="s">
        <v>21</v>
      </c>
      <c r="D2817" s="97"/>
      <c r="J2817" s="8"/>
      <c r="K2817" s="8"/>
      <c r="L2817" s="8"/>
      <c r="M2817" s="8"/>
      <c r="N2817" s="8"/>
      <c r="O2817" s="8"/>
      <c r="P2817" s="8"/>
    </row>
    <row r="2818" spans="1:16" s="7" customFormat="1" ht="42.75" customHeight="1" thickBot="1">
      <c r="A2818" s="105">
        <f>A2816*A2815</f>
        <v>0</v>
      </c>
      <c r="B2818" s="106"/>
      <c r="C2818" s="96" t="s">
        <v>7</v>
      </c>
      <c r="D2818" s="97"/>
      <c r="J2818" s="8"/>
      <c r="K2818" s="8"/>
      <c r="L2818" s="8"/>
      <c r="M2818" s="8"/>
      <c r="N2818" s="8"/>
      <c r="O2818" s="8"/>
      <c r="P2818" s="8"/>
    </row>
    <row r="2819" spans="1:16" s="7" customFormat="1" ht="42.75" customHeight="1" thickBot="1">
      <c r="A2819" s="107" t="s">
        <v>17</v>
      </c>
      <c r="B2819" s="108"/>
      <c r="C2819" s="108"/>
      <c r="D2819" s="109"/>
      <c r="J2819" s="8"/>
      <c r="K2819" s="8"/>
      <c r="L2819" s="8"/>
      <c r="M2819" s="8"/>
      <c r="N2819" s="8"/>
      <c r="O2819" s="8"/>
      <c r="P2819" s="8"/>
    </row>
    <row r="2820" spans="1:16" s="7" customFormat="1" ht="42.75" customHeight="1" thickBot="1">
      <c r="A2820" s="116" t="s">
        <v>20</v>
      </c>
      <c r="B2820" s="117"/>
      <c r="C2820" s="117"/>
      <c r="D2820" s="118"/>
      <c r="J2820" s="8"/>
      <c r="K2820" s="8"/>
      <c r="L2820" s="8"/>
      <c r="M2820" s="8"/>
      <c r="N2820" s="8"/>
      <c r="O2820" s="8"/>
      <c r="P2820" s="8"/>
    </row>
    <row r="2821" spans="1:16" s="7" customFormat="1" ht="42.75" customHeight="1" thickBot="1">
      <c r="A2821" s="113" t="s">
        <v>18</v>
      </c>
      <c r="B2821" s="114"/>
      <c r="C2821" s="114"/>
      <c r="D2821" s="115"/>
      <c r="J2821" s="8"/>
      <c r="K2821" s="8"/>
      <c r="L2821" s="8"/>
      <c r="M2821" s="8"/>
      <c r="N2821" s="8"/>
      <c r="O2821" s="8"/>
      <c r="P2821" s="8"/>
    </row>
    <row r="2822" spans="1:16" s="7" customFormat="1" ht="42.75" customHeight="1" thickBot="1">
      <c r="A2822" s="119"/>
      <c r="B2822" s="119"/>
      <c r="C2822" s="119"/>
      <c r="D2822" s="119"/>
      <c r="J2822" s="8"/>
      <c r="K2822" s="8"/>
      <c r="L2822" s="8"/>
      <c r="M2822" s="8"/>
      <c r="N2822" s="8"/>
      <c r="O2822" s="8"/>
      <c r="P2822" s="8"/>
    </row>
    <row r="2823" spans="1:16" s="7" customFormat="1" ht="42.75" customHeight="1" thickBot="1">
      <c r="A2823" s="126" t="s">
        <v>19</v>
      </c>
      <c r="B2823" s="127"/>
      <c r="C2823" s="127"/>
      <c r="D2823" s="128"/>
      <c r="J2823" s="8"/>
      <c r="K2823" s="8"/>
      <c r="L2823" s="8"/>
      <c r="M2823" s="8"/>
      <c r="N2823" s="8"/>
      <c r="O2823" s="8"/>
      <c r="P2823" s="8"/>
    </row>
    <row r="2824" spans="1:16" s="7" customFormat="1" ht="42.75" customHeight="1" thickBot="1">
      <c r="A2824" s="123" t="s">
        <v>11</v>
      </c>
      <c r="B2824" s="124"/>
      <c r="C2824" s="125" t="s">
        <v>603</v>
      </c>
      <c r="D2824" s="124"/>
      <c r="J2824" s="8"/>
      <c r="K2824" s="8"/>
      <c r="L2824" s="8"/>
      <c r="M2824" s="8"/>
      <c r="N2824" s="8"/>
      <c r="O2824" s="8"/>
      <c r="P2824" s="8"/>
    </row>
    <row r="2825" spans="1:16" s="7" customFormat="1" ht="42.75" customHeight="1" thickBot="1">
      <c r="A2825" s="1" t="s">
        <v>686</v>
      </c>
      <c r="B2825" s="26" t="s">
        <v>1</v>
      </c>
      <c r="C2825" s="90" t="s">
        <v>293</v>
      </c>
      <c r="D2825" s="91"/>
      <c r="J2825" s="8"/>
      <c r="K2825" s="8"/>
      <c r="L2825" s="8"/>
      <c r="M2825" s="8"/>
      <c r="N2825" s="8"/>
      <c r="O2825" s="8"/>
      <c r="P2825" s="8"/>
    </row>
    <row r="2826" spans="1:16" s="7" customFormat="1" ht="42.75" customHeight="1" thickBot="1">
      <c r="A2826" s="26"/>
      <c r="B2826" s="26" t="s">
        <v>0</v>
      </c>
      <c r="C2826" s="5" t="s">
        <v>687</v>
      </c>
      <c r="D2826" s="4" t="s">
        <v>2</v>
      </c>
      <c r="J2826" s="8"/>
      <c r="K2826" s="8"/>
      <c r="L2826" s="8"/>
      <c r="M2826" s="8"/>
      <c r="N2826" s="8"/>
      <c r="O2826" s="8"/>
      <c r="P2826" s="8"/>
    </row>
    <row r="2827" spans="1:16" s="7" customFormat="1" ht="42.75" customHeight="1" thickBot="1">
      <c r="A2827" s="92">
        <v>800</v>
      </c>
      <c r="B2827" s="93"/>
      <c r="C2827" s="94" t="s">
        <v>3</v>
      </c>
      <c r="D2827" s="95"/>
      <c r="J2827" s="8"/>
      <c r="K2827" s="8"/>
      <c r="L2827" s="8"/>
      <c r="M2827" s="8"/>
      <c r="N2827" s="8"/>
      <c r="O2827" s="8"/>
      <c r="P2827" s="8"/>
    </row>
    <row r="2828" spans="1:16" s="7" customFormat="1" ht="42.75" customHeight="1" thickBot="1">
      <c r="A2828" s="92">
        <v>805</v>
      </c>
      <c r="B2828" s="93"/>
      <c r="C2828" s="96" t="s">
        <v>4</v>
      </c>
      <c r="D2828" s="97"/>
      <c r="J2828" s="8"/>
      <c r="K2828" s="8"/>
      <c r="L2828" s="8"/>
      <c r="M2828" s="8"/>
      <c r="N2828" s="8"/>
      <c r="O2828" s="8"/>
      <c r="P2828" s="8"/>
    </row>
    <row r="2829" spans="1:16" s="7" customFormat="1" ht="42.75" customHeight="1" thickBot="1">
      <c r="A2829" s="98">
        <v>10</v>
      </c>
      <c r="B2829" s="99"/>
      <c r="C2829" s="100" t="s">
        <v>5</v>
      </c>
      <c r="D2829" s="97"/>
      <c r="J2829" s="8"/>
      <c r="K2829" s="8"/>
      <c r="L2829" s="8"/>
      <c r="M2829" s="8"/>
      <c r="N2829" s="8"/>
      <c r="O2829" s="8"/>
      <c r="P2829" s="8"/>
    </row>
    <row r="2830" spans="1:16" s="7" customFormat="1" ht="42.75" customHeight="1" thickBot="1">
      <c r="A2830" s="101">
        <v>62</v>
      </c>
      <c r="B2830" s="102"/>
      <c r="C2830" s="96" t="s">
        <v>6</v>
      </c>
      <c r="D2830" s="97"/>
      <c r="J2830" s="8"/>
      <c r="K2830" s="8"/>
      <c r="L2830" s="8"/>
      <c r="M2830" s="8"/>
      <c r="N2830" s="8"/>
      <c r="O2830" s="8"/>
      <c r="P2830" s="8"/>
    </row>
    <row r="2831" spans="1:16" s="7" customFormat="1" ht="42.75" customHeight="1" thickBot="1">
      <c r="A2831" s="103"/>
      <c r="B2831" s="104"/>
      <c r="C2831" s="96" t="s">
        <v>21</v>
      </c>
      <c r="D2831" s="97"/>
      <c r="J2831" s="8"/>
      <c r="K2831" s="8"/>
      <c r="L2831" s="8"/>
      <c r="M2831" s="8"/>
      <c r="N2831" s="8"/>
      <c r="O2831" s="8"/>
      <c r="P2831" s="8"/>
    </row>
    <row r="2832" spans="1:16" s="7" customFormat="1" ht="42.75" customHeight="1" thickBot="1">
      <c r="A2832" s="105">
        <v>600</v>
      </c>
      <c r="B2832" s="106"/>
      <c r="C2832" s="96" t="s">
        <v>7</v>
      </c>
      <c r="D2832" s="97"/>
      <c r="J2832" s="8"/>
      <c r="K2832" s="8"/>
      <c r="L2832" s="8"/>
      <c r="M2832" s="8"/>
      <c r="N2832" s="8"/>
      <c r="O2832" s="8"/>
      <c r="P2832" s="8"/>
    </row>
    <row r="2833" spans="1:16" s="7" customFormat="1" ht="42.75" customHeight="1" thickBot="1">
      <c r="A2833" s="107" t="s">
        <v>17</v>
      </c>
      <c r="B2833" s="108"/>
      <c r="C2833" s="108"/>
      <c r="D2833" s="109"/>
      <c r="J2833" s="8"/>
      <c r="K2833" s="8"/>
      <c r="L2833" s="8"/>
      <c r="M2833" s="8"/>
      <c r="N2833" s="8"/>
      <c r="O2833" s="8"/>
      <c r="P2833" s="8"/>
    </row>
    <row r="2834" spans="1:16" s="7" customFormat="1" ht="42.75" customHeight="1" thickBot="1">
      <c r="A2834" s="110" t="s">
        <v>20</v>
      </c>
      <c r="B2834" s="111"/>
      <c r="C2834" s="111"/>
      <c r="D2834" s="112"/>
      <c r="J2834" s="8"/>
      <c r="K2834" s="8"/>
      <c r="L2834" s="8"/>
      <c r="M2834" s="8"/>
      <c r="N2834" s="8"/>
      <c r="O2834" s="8"/>
      <c r="P2834" s="8"/>
    </row>
    <row r="2835" spans="1:16" s="7" customFormat="1" ht="42.75" customHeight="1" thickBot="1">
      <c r="A2835" s="113" t="s">
        <v>18</v>
      </c>
      <c r="B2835" s="114"/>
      <c r="C2835" s="114"/>
      <c r="D2835" s="115"/>
      <c r="J2835" s="8"/>
      <c r="K2835" s="8"/>
      <c r="L2835" s="8"/>
      <c r="M2835" s="8"/>
      <c r="N2835" s="8"/>
      <c r="O2835" s="8"/>
      <c r="P2835" s="8"/>
    </row>
    <row r="2836" spans="1:16" s="7" customFormat="1" ht="42.75" customHeight="1" thickBot="1">
      <c r="A2836" s="126" t="s">
        <v>19</v>
      </c>
      <c r="B2836" s="127"/>
      <c r="C2836" s="127"/>
      <c r="D2836" s="128"/>
      <c r="J2836" s="8"/>
      <c r="K2836" s="8"/>
      <c r="L2836" s="8"/>
      <c r="M2836" s="8"/>
      <c r="N2836" s="8"/>
      <c r="O2836" s="8"/>
      <c r="P2836" s="8"/>
    </row>
    <row r="2837" spans="1:16" s="7" customFormat="1" ht="42.75" customHeight="1" thickBot="1">
      <c r="A2837" s="123" t="s">
        <v>11</v>
      </c>
      <c r="B2837" s="124"/>
      <c r="C2837" s="125" t="s">
        <v>603</v>
      </c>
      <c r="D2837" s="124"/>
      <c r="J2837" s="8"/>
      <c r="K2837" s="8"/>
      <c r="L2837" s="8"/>
      <c r="M2837" s="8"/>
      <c r="N2837" s="8"/>
      <c r="O2837" s="8"/>
      <c r="P2837" s="8"/>
    </row>
    <row r="2838" spans="1:16" s="7" customFormat="1" ht="42.75" customHeight="1" thickBot="1">
      <c r="A2838" s="1" t="s">
        <v>686</v>
      </c>
      <c r="B2838" s="26" t="s">
        <v>1</v>
      </c>
      <c r="C2838" s="90" t="s">
        <v>294</v>
      </c>
      <c r="D2838" s="91"/>
      <c r="J2838" s="8"/>
      <c r="K2838" s="8"/>
      <c r="L2838" s="8"/>
      <c r="M2838" s="8"/>
      <c r="N2838" s="8"/>
      <c r="O2838" s="8"/>
      <c r="P2838" s="8"/>
    </row>
    <row r="2839" spans="1:16" s="7" customFormat="1" ht="42.75" customHeight="1" thickBot="1">
      <c r="A2839" s="26"/>
      <c r="B2839" s="26" t="s">
        <v>0</v>
      </c>
      <c r="C2839" s="5" t="s">
        <v>687</v>
      </c>
      <c r="D2839" s="4" t="s">
        <v>2</v>
      </c>
      <c r="J2839" s="8"/>
      <c r="K2839" s="8"/>
      <c r="L2839" s="8"/>
      <c r="M2839" s="8"/>
      <c r="N2839" s="8"/>
      <c r="O2839" s="8"/>
      <c r="P2839" s="8"/>
    </row>
    <row r="2840" spans="1:16" s="7" customFormat="1" ht="42.75" customHeight="1" thickBot="1">
      <c r="A2840" s="92">
        <v>2565</v>
      </c>
      <c r="B2840" s="93"/>
      <c r="C2840" s="94" t="s">
        <v>3</v>
      </c>
      <c r="D2840" s="95"/>
      <c r="J2840" s="8"/>
      <c r="K2840" s="8"/>
      <c r="L2840" s="8"/>
      <c r="M2840" s="8"/>
      <c r="N2840" s="8"/>
      <c r="O2840" s="8"/>
      <c r="P2840" s="8"/>
    </row>
    <row r="2841" spans="1:16" s="7" customFormat="1" ht="42.75" customHeight="1" thickBot="1">
      <c r="A2841" s="92">
        <v>2565</v>
      </c>
      <c r="B2841" s="93"/>
      <c r="C2841" s="96" t="s">
        <v>4</v>
      </c>
      <c r="D2841" s="97"/>
      <c r="J2841" s="8"/>
      <c r="K2841" s="8"/>
      <c r="L2841" s="8"/>
      <c r="M2841" s="8"/>
      <c r="N2841" s="8"/>
      <c r="O2841" s="8"/>
      <c r="P2841" s="8"/>
    </row>
    <row r="2842" spans="1:16" s="7" customFormat="1" ht="42.75" customHeight="1" thickBot="1">
      <c r="A2842" s="98">
        <f>A2841-A2840</f>
        <v>0</v>
      </c>
      <c r="B2842" s="99"/>
      <c r="C2842" s="100" t="s">
        <v>5</v>
      </c>
      <c r="D2842" s="97"/>
      <c r="J2842" s="8"/>
      <c r="K2842" s="8"/>
      <c r="L2842" s="8"/>
      <c r="M2842" s="8"/>
      <c r="N2842" s="8"/>
      <c r="O2842" s="8"/>
      <c r="P2842" s="8"/>
    </row>
    <row r="2843" spans="1:16" s="7" customFormat="1" ht="42.75" customHeight="1" thickBot="1">
      <c r="A2843" s="101">
        <v>62</v>
      </c>
      <c r="B2843" s="102"/>
      <c r="C2843" s="96" t="s">
        <v>6</v>
      </c>
      <c r="D2843" s="97"/>
      <c r="J2843" s="8"/>
      <c r="K2843" s="8"/>
      <c r="L2843" s="8"/>
      <c r="M2843" s="8"/>
      <c r="N2843" s="8"/>
      <c r="O2843" s="8"/>
      <c r="P2843" s="8"/>
    </row>
    <row r="2844" spans="1:16" s="7" customFormat="1" ht="42.75" customHeight="1" thickBot="1">
      <c r="A2844" s="103"/>
      <c r="B2844" s="104"/>
      <c r="C2844" s="96" t="s">
        <v>21</v>
      </c>
      <c r="D2844" s="97"/>
      <c r="J2844" s="8"/>
      <c r="K2844" s="8"/>
      <c r="L2844" s="8"/>
      <c r="M2844" s="8"/>
      <c r="N2844" s="8"/>
      <c r="O2844" s="8"/>
      <c r="P2844" s="8"/>
    </row>
    <row r="2845" spans="1:16" s="7" customFormat="1" ht="42.75" customHeight="1" thickBot="1">
      <c r="A2845" s="105">
        <f>A2843*A2842</f>
        <v>0</v>
      </c>
      <c r="B2845" s="106"/>
      <c r="C2845" s="96" t="s">
        <v>7</v>
      </c>
      <c r="D2845" s="97"/>
      <c r="J2845" s="8"/>
      <c r="K2845" s="8"/>
      <c r="L2845" s="8"/>
      <c r="M2845" s="8"/>
      <c r="N2845" s="8"/>
      <c r="O2845" s="8"/>
      <c r="P2845" s="8"/>
    </row>
    <row r="2846" spans="1:16" s="7" customFormat="1" ht="42.75" customHeight="1" thickBot="1">
      <c r="A2846" s="107" t="s">
        <v>17</v>
      </c>
      <c r="B2846" s="108"/>
      <c r="C2846" s="108"/>
      <c r="D2846" s="109"/>
      <c r="J2846" s="8"/>
      <c r="K2846" s="8"/>
      <c r="L2846" s="8"/>
      <c r="M2846" s="8"/>
      <c r="N2846" s="8"/>
      <c r="O2846" s="8"/>
      <c r="P2846" s="8"/>
    </row>
    <row r="2847" spans="1:16" s="7" customFormat="1" ht="42.75" customHeight="1" thickBot="1">
      <c r="A2847" s="116" t="s">
        <v>20</v>
      </c>
      <c r="B2847" s="117"/>
      <c r="C2847" s="117"/>
      <c r="D2847" s="118"/>
      <c r="J2847" s="8"/>
      <c r="K2847" s="8"/>
      <c r="L2847" s="8"/>
      <c r="M2847" s="8"/>
      <c r="N2847" s="8"/>
      <c r="O2847" s="8"/>
      <c r="P2847" s="8"/>
    </row>
    <row r="2848" spans="1:16" s="7" customFormat="1" ht="42.75" customHeight="1" thickBot="1">
      <c r="A2848" s="113" t="s">
        <v>18</v>
      </c>
      <c r="B2848" s="114"/>
      <c r="C2848" s="114"/>
      <c r="D2848" s="115"/>
      <c r="J2848" s="8"/>
      <c r="K2848" s="8"/>
      <c r="L2848" s="8"/>
      <c r="M2848" s="8"/>
      <c r="N2848" s="8"/>
      <c r="O2848" s="8"/>
      <c r="P2848" s="8"/>
    </row>
    <row r="2849" spans="1:16" s="7" customFormat="1" ht="42.75" customHeight="1" thickBot="1">
      <c r="A2849" s="119"/>
      <c r="B2849" s="119"/>
      <c r="C2849" s="119"/>
      <c r="D2849" s="119"/>
      <c r="J2849" s="8"/>
      <c r="K2849" s="8"/>
      <c r="L2849" s="8"/>
      <c r="M2849" s="8"/>
      <c r="N2849" s="8"/>
      <c r="O2849" s="8"/>
      <c r="P2849" s="8"/>
    </row>
    <row r="2850" spans="1:16" s="7" customFormat="1" ht="42.75" customHeight="1" thickBot="1">
      <c r="A2850" s="126" t="s">
        <v>19</v>
      </c>
      <c r="B2850" s="127"/>
      <c r="C2850" s="127"/>
      <c r="D2850" s="128"/>
      <c r="J2850" s="8"/>
      <c r="K2850" s="8"/>
      <c r="L2850" s="8"/>
      <c r="M2850" s="8"/>
      <c r="N2850" s="8"/>
      <c r="O2850" s="8"/>
      <c r="P2850" s="8"/>
    </row>
    <row r="2851" spans="1:16" s="7" customFormat="1" ht="42.75" customHeight="1" thickBot="1">
      <c r="A2851" s="123" t="s">
        <v>11</v>
      </c>
      <c r="B2851" s="124"/>
      <c r="C2851" s="125" t="s">
        <v>603</v>
      </c>
      <c r="D2851" s="124"/>
      <c r="J2851" s="8"/>
      <c r="K2851" s="8"/>
      <c r="L2851" s="8"/>
      <c r="M2851" s="8"/>
      <c r="N2851" s="8"/>
      <c r="O2851" s="8"/>
      <c r="P2851" s="8"/>
    </row>
    <row r="2852" spans="1:16" s="7" customFormat="1" ht="42.75" customHeight="1" thickBot="1">
      <c r="A2852" s="1" t="s">
        <v>686</v>
      </c>
      <c r="B2852" s="26" t="s">
        <v>1</v>
      </c>
      <c r="C2852" s="90" t="s">
        <v>294</v>
      </c>
      <c r="D2852" s="91"/>
      <c r="J2852" s="8"/>
      <c r="K2852" s="8"/>
      <c r="L2852" s="8"/>
      <c r="M2852" s="8"/>
      <c r="N2852" s="8"/>
      <c r="O2852" s="8"/>
      <c r="P2852" s="8"/>
    </row>
    <row r="2853" spans="1:16" s="7" customFormat="1" ht="42.75" customHeight="1" thickBot="1">
      <c r="A2853" s="26"/>
      <c r="B2853" s="26" t="s">
        <v>0</v>
      </c>
      <c r="C2853" s="5" t="s">
        <v>687</v>
      </c>
      <c r="D2853" s="4" t="s">
        <v>2</v>
      </c>
      <c r="J2853" s="8"/>
      <c r="K2853" s="8"/>
      <c r="L2853" s="8"/>
      <c r="M2853" s="8"/>
      <c r="N2853" s="8"/>
      <c r="O2853" s="8"/>
      <c r="P2853" s="8"/>
    </row>
    <row r="2854" spans="1:16" s="7" customFormat="1" ht="42.75" customHeight="1" thickBot="1">
      <c r="A2854" s="92">
        <v>2560</v>
      </c>
      <c r="B2854" s="93"/>
      <c r="C2854" s="94" t="s">
        <v>3</v>
      </c>
      <c r="D2854" s="95"/>
      <c r="J2854" s="8"/>
      <c r="K2854" s="8"/>
      <c r="L2854" s="8"/>
      <c r="M2854" s="8"/>
      <c r="N2854" s="8"/>
      <c r="O2854" s="8"/>
      <c r="P2854" s="8"/>
    </row>
    <row r="2855" spans="1:16" s="7" customFormat="1" ht="42.75" customHeight="1" thickBot="1">
      <c r="A2855" s="92">
        <v>2565</v>
      </c>
      <c r="B2855" s="93"/>
      <c r="C2855" s="96" t="s">
        <v>4</v>
      </c>
      <c r="D2855" s="97"/>
      <c r="J2855" s="8"/>
      <c r="K2855" s="8"/>
      <c r="L2855" s="8"/>
      <c r="M2855" s="8"/>
      <c r="N2855" s="8"/>
      <c r="O2855" s="8"/>
      <c r="P2855" s="8"/>
    </row>
    <row r="2856" spans="1:16" s="7" customFormat="1" ht="42.75" customHeight="1" thickBot="1">
      <c r="A2856" s="98">
        <v>10</v>
      </c>
      <c r="B2856" s="99"/>
      <c r="C2856" s="100" t="s">
        <v>5</v>
      </c>
      <c r="D2856" s="97"/>
      <c r="J2856" s="8"/>
      <c r="K2856" s="8"/>
      <c r="L2856" s="8"/>
      <c r="M2856" s="8"/>
      <c r="N2856" s="8"/>
      <c r="O2856" s="8"/>
      <c r="P2856" s="8"/>
    </row>
    <row r="2857" spans="1:16" s="7" customFormat="1" ht="42.75" customHeight="1" thickBot="1">
      <c r="A2857" s="101">
        <v>62</v>
      </c>
      <c r="B2857" s="102"/>
      <c r="C2857" s="96" t="s">
        <v>6</v>
      </c>
      <c r="D2857" s="97"/>
      <c r="J2857" s="8"/>
      <c r="K2857" s="8"/>
      <c r="L2857" s="8"/>
      <c r="M2857" s="8"/>
      <c r="N2857" s="8"/>
      <c r="O2857" s="8"/>
      <c r="P2857" s="8"/>
    </row>
    <row r="2858" spans="1:16" s="7" customFormat="1" ht="42.75" customHeight="1" thickBot="1">
      <c r="A2858" s="103"/>
      <c r="B2858" s="104"/>
      <c r="C2858" s="96" t="s">
        <v>21</v>
      </c>
      <c r="D2858" s="97"/>
      <c r="J2858" s="8"/>
      <c r="K2858" s="8"/>
      <c r="L2858" s="8"/>
      <c r="M2858" s="8"/>
      <c r="N2858" s="8"/>
      <c r="O2858" s="8"/>
      <c r="P2858" s="8"/>
    </row>
    <row r="2859" spans="1:16" s="7" customFormat="1" ht="42.75" customHeight="1" thickBot="1">
      <c r="A2859" s="105">
        <v>600</v>
      </c>
      <c r="B2859" s="106"/>
      <c r="C2859" s="96" t="s">
        <v>7</v>
      </c>
      <c r="D2859" s="97"/>
      <c r="J2859" s="8"/>
      <c r="K2859" s="8"/>
      <c r="L2859" s="8"/>
      <c r="M2859" s="8"/>
      <c r="N2859" s="8"/>
      <c r="O2859" s="8"/>
      <c r="P2859" s="8"/>
    </row>
    <row r="2860" spans="1:16" s="7" customFormat="1" ht="42.75" customHeight="1" thickBot="1">
      <c r="A2860" s="107" t="s">
        <v>17</v>
      </c>
      <c r="B2860" s="108"/>
      <c r="C2860" s="108"/>
      <c r="D2860" s="109"/>
      <c r="J2860" s="8"/>
      <c r="K2860" s="8"/>
      <c r="L2860" s="8"/>
      <c r="M2860" s="8"/>
      <c r="N2860" s="8"/>
      <c r="O2860" s="8"/>
      <c r="P2860" s="8"/>
    </row>
    <row r="2861" spans="1:16" s="7" customFormat="1" ht="42.75" customHeight="1" thickBot="1">
      <c r="A2861" s="110" t="s">
        <v>20</v>
      </c>
      <c r="B2861" s="111"/>
      <c r="C2861" s="111"/>
      <c r="D2861" s="112"/>
      <c r="J2861" s="8"/>
      <c r="K2861" s="8"/>
      <c r="L2861" s="8"/>
      <c r="M2861" s="8"/>
      <c r="N2861" s="8"/>
      <c r="O2861" s="8"/>
      <c r="P2861" s="8"/>
    </row>
    <row r="2862" spans="1:16" s="7" customFormat="1" ht="42.75" customHeight="1" thickBot="1">
      <c r="A2862" s="113" t="s">
        <v>18</v>
      </c>
      <c r="B2862" s="114"/>
      <c r="C2862" s="114"/>
      <c r="D2862" s="115"/>
      <c r="J2862" s="8"/>
      <c r="K2862" s="8"/>
      <c r="L2862" s="8"/>
      <c r="M2862" s="8"/>
      <c r="N2862" s="8"/>
      <c r="O2862" s="8"/>
      <c r="P2862" s="8"/>
    </row>
    <row r="2863" spans="1:16" s="7" customFormat="1" ht="42.75" customHeight="1" thickBot="1">
      <c r="A2863" s="126" t="s">
        <v>19</v>
      </c>
      <c r="B2863" s="127"/>
      <c r="C2863" s="127"/>
      <c r="D2863" s="128"/>
      <c r="J2863" s="8"/>
      <c r="K2863" s="8"/>
      <c r="L2863" s="8"/>
      <c r="M2863" s="8"/>
      <c r="N2863" s="8"/>
      <c r="O2863" s="8"/>
      <c r="P2863" s="8"/>
    </row>
    <row r="2864" spans="1:16" s="7" customFormat="1" ht="42.75" customHeight="1" thickBot="1">
      <c r="A2864" s="123" t="s">
        <v>11</v>
      </c>
      <c r="B2864" s="124"/>
      <c r="C2864" s="125" t="s">
        <v>603</v>
      </c>
      <c r="D2864" s="124"/>
      <c r="J2864" s="8"/>
      <c r="K2864" s="8"/>
      <c r="L2864" s="8"/>
      <c r="M2864" s="8"/>
      <c r="N2864" s="8"/>
      <c r="O2864" s="8"/>
      <c r="P2864" s="8"/>
    </row>
    <row r="2865" spans="1:16" s="7" customFormat="1" ht="42.75" customHeight="1" thickBot="1">
      <c r="A2865" s="1" t="s">
        <v>686</v>
      </c>
      <c r="B2865" s="26" t="s">
        <v>1</v>
      </c>
      <c r="C2865" s="90" t="s">
        <v>636</v>
      </c>
      <c r="D2865" s="91"/>
      <c r="J2865" s="8"/>
      <c r="K2865" s="8"/>
      <c r="L2865" s="8"/>
      <c r="M2865" s="8"/>
      <c r="N2865" s="8"/>
      <c r="O2865" s="8"/>
      <c r="P2865" s="8"/>
    </row>
    <row r="2866" spans="1:16" s="7" customFormat="1" ht="42.75" customHeight="1" thickBot="1">
      <c r="A2866" s="26"/>
      <c r="B2866" s="26" t="s">
        <v>0</v>
      </c>
      <c r="C2866" s="5" t="s">
        <v>687</v>
      </c>
      <c r="D2866" s="4" t="s">
        <v>2</v>
      </c>
      <c r="J2866" s="8"/>
      <c r="K2866" s="8"/>
      <c r="L2866" s="8"/>
      <c r="M2866" s="8"/>
      <c r="N2866" s="8"/>
      <c r="O2866" s="8"/>
      <c r="P2866" s="8"/>
    </row>
    <row r="2867" spans="1:16" s="7" customFormat="1" ht="42.75" customHeight="1" thickBot="1">
      <c r="A2867" s="92">
        <v>809</v>
      </c>
      <c r="B2867" s="93"/>
      <c r="C2867" s="94" t="s">
        <v>3</v>
      </c>
      <c r="D2867" s="95"/>
      <c r="J2867" s="8"/>
      <c r="K2867" s="8"/>
      <c r="L2867" s="8"/>
      <c r="M2867" s="8"/>
      <c r="N2867" s="8"/>
      <c r="O2867" s="8"/>
      <c r="P2867" s="8"/>
    </row>
    <row r="2868" spans="1:16" s="7" customFormat="1" ht="42.75" customHeight="1" thickBot="1">
      <c r="A2868" s="92">
        <v>809</v>
      </c>
      <c r="B2868" s="93"/>
      <c r="C2868" s="96" t="s">
        <v>4</v>
      </c>
      <c r="D2868" s="97"/>
      <c r="J2868" s="8"/>
      <c r="K2868" s="8"/>
      <c r="L2868" s="8"/>
      <c r="M2868" s="8"/>
      <c r="N2868" s="8"/>
      <c r="O2868" s="8"/>
      <c r="P2868" s="8"/>
    </row>
    <row r="2869" spans="1:16" s="7" customFormat="1" ht="42.75" customHeight="1" thickBot="1">
      <c r="A2869" s="98">
        <f>A2868-A2867</f>
        <v>0</v>
      </c>
      <c r="B2869" s="99"/>
      <c r="C2869" s="100" t="s">
        <v>5</v>
      </c>
      <c r="D2869" s="97"/>
      <c r="J2869" s="8"/>
      <c r="K2869" s="8"/>
      <c r="L2869" s="8"/>
      <c r="M2869" s="8"/>
      <c r="N2869" s="8"/>
      <c r="O2869" s="8"/>
      <c r="P2869" s="8"/>
    </row>
    <row r="2870" spans="1:16" s="7" customFormat="1" ht="42.75" customHeight="1" thickBot="1">
      <c r="A2870" s="101">
        <v>62</v>
      </c>
      <c r="B2870" s="102"/>
      <c r="C2870" s="96" t="s">
        <v>6</v>
      </c>
      <c r="D2870" s="97"/>
      <c r="J2870" s="8"/>
      <c r="K2870" s="8"/>
      <c r="L2870" s="8"/>
      <c r="M2870" s="8"/>
      <c r="N2870" s="8"/>
      <c r="O2870" s="8"/>
      <c r="P2870" s="8"/>
    </row>
    <row r="2871" spans="1:16" s="7" customFormat="1" ht="42.75" customHeight="1" thickBot="1">
      <c r="A2871" s="103"/>
      <c r="B2871" s="104"/>
      <c r="C2871" s="96" t="s">
        <v>21</v>
      </c>
      <c r="D2871" s="97"/>
      <c r="J2871" s="8"/>
      <c r="K2871" s="8"/>
      <c r="L2871" s="8"/>
      <c r="M2871" s="8"/>
      <c r="N2871" s="8"/>
      <c r="O2871" s="8"/>
      <c r="P2871" s="8"/>
    </row>
    <row r="2872" spans="1:16" s="7" customFormat="1" ht="42.75" customHeight="1" thickBot="1">
      <c r="A2872" s="105">
        <f>A2870*A2869</f>
        <v>0</v>
      </c>
      <c r="B2872" s="106"/>
      <c r="C2872" s="96" t="s">
        <v>7</v>
      </c>
      <c r="D2872" s="97"/>
      <c r="J2872" s="8"/>
      <c r="K2872" s="8"/>
      <c r="L2872" s="8"/>
      <c r="M2872" s="8"/>
      <c r="N2872" s="8"/>
      <c r="O2872" s="8"/>
      <c r="P2872" s="8"/>
    </row>
    <row r="2873" spans="1:16" s="7" customFormat="1" ht="42.75" customHeight="1" thickBot="1">
      <c r="A2873" s="107" t="s">
        <v>17</v>
      </c>
      <c r="B2873" s="108"/>
      <c r="C2873" s="108"/>
      <c r="D2873" s="109"/>
      <c r="J2873" s="8"/>
      <c r="K2873" s="8"/>
      <c r="L2873" s="8"/>
      <c r="M2873" s="8"/>
      <c r="N2873" s="8"/>
      <c r="O2873" s="8"/>
      <c r="P2873" s="8"/>
    </row>
    <row r="2874" spans="1:16" s="7" customFormat="1" ht="42.75" customHeight="1" thickBot="1">
      <c r="A2874" s="116" t="s">
        <v>20</v>
      </c>
      <c r="B2874" s="117"/>
      <c r="C2874" s="117"/>
      <c r="D2874" s="118"/>
      <c r="J2874" s="8"/>
      <c r="K2874" s="8"/>
      <c r="L2874" s="8"/>
      <c r="M2874" s="8"/>
      <c r="N2874" s="8"/>
      <c r="O2874" s="8"/>
      <c r="P2874" s="8"/>
    </row>
    <row r="2875" spans="1:16" s="7" customFormat="1" ht="42.75" customHeight="1" thickBot="1">
      <c r="A2875" s="113" t="s">
        <v>18</v>
      </c>
      <c r="B2875" s="114"/>
      <c r="C2875" s="114"/>
      <c r="D2875" s="115"/>
      <c r="J2875" s="8"/>
      <c r="K2875" s="8"/>
      <c r="L2875" s="8"/>
      <c r="M2875" s="8"/>
      <c r="N2875" s="8"/>
      <c r="O2875" s="8"/>
      <c r="P2875" s="8"/>
    </row>
    <row r="2876" spans="1:16" s="7" customFormat="1" ht="42.75" customHeight="1" thickBot="1">
      <c r="A2876" s="119"/>
      <c r="B2876" s="119"/>
      <c r="C2876" s="119"/>
      <c r="D2876" s="119"/>
      <c r="J2876" s="8"/>
      <c r="K2876" s="8"/>
      <c r="L2876" s="8"/>
      <c r="M2876" s="8"/>
      <c r="N2876" s="8"/>
      <c r="O2876" s="8"/>
      <c r="P2876" s="8"/>
    </row>
    <row r="2877" spans="1:16" s="7" customFormat="1" ht="42.75" customHeight="1" thickBot="1">
      <c r="A2877" s="126" t="s">
        <v>19</v>
      </c>
      <c r="B2877" s="127"/>
      <c r="C2877" s="127"/>
      <c r="D2877" s="128"/>
      <c r="J2877" s="8"/>
      <c r="K2877" s="8"/>
      <c r="L2877" s="8"/>
      <c r="M2877" s="8"/>
      <c r="N2877" s="8"/>
      <c r="O2877" s="8"/>
      <c r="P2877" s="8"/>
    </row>
    <row r="2878" spans="1:16" s="7" customFormat="1" ht="42.75" customHeight="1" thickBot="1">
      <c r="A2878" s="123" t="s">
        <v>11</v>
      </c>
      <c r="B2878" s="124"/>
      <c r="C2878" s="125" t="s">
        <v>603</v>
      </c>
      <c r="D2878" s="124"/>
      <c r="J2878" s="8"/>
      <c r="K2878" s="8"/>
      <c r="L2878" s="8"/>
      <c r="M2878" s="8"/>
      <c r="N2878" s="8"/>
      <c r="O2878" s="8"/>
      <c r="P2878" s="8"/>
    </row>
    <row r="2879" spans="1:16" s="7" customFormat="1" ht="42.75" customHeight="1" thickBot="1">
      <c r="A2879" s="1" t="s">
        <v>686</v>
      </c>
      <c r="B2879" s="26" t="s">
        <v>1</v>
      </c>
      <c r="C2879" s="90" t="s">
        <v>636</v>
      </c>
      <c r="D2879" s="91"/>
      <c r="J2879" s="8"/>
      <c r="K2879" s="8"/>
      <c r="L2879" s="8"/>
      <c r="M2879" s="8"/>
      <c r="N2879" s="8"/>
      <c r="O2879" s="8"/>
      <c r="P2879" s="8"/>
    </row>
    <row r="2880" spans="1:16" s="7" customFormat="1" ht="42.75" customHeight="1" thickBot="1">
      <c r="A2880" s="26"/>
      <c r="B2880" s="26" t="s">
        <v>0</v>
      </c>
      <c r="C2880" s="5" t="s">
        <v>687</v>
      </c>
      <c r="D2880" s="4" t="s">
        <v>2</v>
      </c>
      <c r="J2880" s="8"/>
      <c r="K2880" s="8"/>
      <c r="L2880" s="8"/>
      <c r="M2880" s="8"/>
      <c r="N2880" s="8"/>
      <c r="O2880" s="8"/>
      <c r="P2880" s="8"/>
    </row>
    <row r="2881" spans="1:16" s="7" customFormat="1" ht="42.75" customHeight="1" thickBot="1">
      <c r="A2881" s="92">
        <v>804</v>
      </c>
      <c r="B2881" s="93"/>
      <c r="C2881" s="94" t="s">
        <v>3</v>
      </c>
      <c r="D2881" s="95"/>
      <c r="J2881" s="8"/>
      <c r="K2881" s="8"/>
      <c r="L2881" s="8"/>
      <c r="M2881" s="8"/>
      <c r="N2881" s="8"/>
      <c r="O2881" s="8"/>
      <c r="P2881" s="8"/>
    </row>
    <row r="2882" spans="1:16" s="7" customFormat="1" ht="42.75" customHeight="1" thickBot="1">
      <c r="A2882" s="92">
        <v>809</v>
      </c>
      <c r="B2882" s="93"/>
      <c r="C2882" s="96" t="s">
        <v>4</v>
      </c>
      <c r="D2882" s="97"/>
      <c r="J2882" s="8"/>
      <c r="K2882" s="8"/>
      <c r="L2882" s="8"/>
      <c r="M2882" s="8"/>
      <c r="N2882" s="8"/>
      <c r="O2882" s="8"/>
      <c r="P2882" s="8"/>
    </row>
    <row r="2883" spans="1:16" s="7" customFormat="1" ht="42.75" customHeight="1" thickBot="1">
      <c r="A2883" s="98">
        <v>10</v>
      </c>
      <c r="B2883" s="99"/>
      <c r="C2883" s="100" t="s">
        <v>5</v>
      </c>
      <c r="D2883" s="97"/>
      <c r="J2883" s="8"/>
      <c r="K2883" s="8"/>
      <c r="L2883" s="8"/>
      <c r="M2883" s="8"/>
      <c r="N2883" s="8"/>
      <c r="O2883" s="8"/>
      <c r="P2883" s="8"/>
    </row>
    <row r="2884" spans="1:16" s="7" customFormat="1" ht="42.75" customHeight="1" thickBot="1">
      <c r="A2884" s="101">
        <v>62</v>
      </c>
      <c r="B2884" s="102"/>
      <c r="C2884" s="96" t="s">
        <v>6</v>
      </c>
      <c r="D2884" s="97"/>
      <c r="J2884" s="8"/>
      <c r="K2884" s="8"/>
      <c r="L2884" s="8"/>
      <c r="M2884" s="8"/>
      <c r="N2884" s="8"/>
      <c r="O2884" s="8"/>
      <c r="P2884" s="8"/>
    </row>
    <row r="2885" spans="1:16" s="7" customFormat="1" ht="42.75" customHeight="1" thickBot="1">
      <c r="A2885" s="103"/>
      <c r="B2885" s="104"/>
      <c r="C2885" s="96" t="s">
        <v>21</v>
      </c>
      <c r="D2885" s="97"/>
      <c r="J2885" s="8"/>
      <c r="K2885" s="8"/>
      <c r="L2885" s="8"/>
      <c r="M2885" s="8"/>
      <c r="N2885" s="8"/>
      <c r="O2885" s="8"/>
      <c r="P2885" s="8"/>
    </row>
    <row r="2886" spans="1:16" s="7" customFormat="1" ht="42.75" customHeight="1" thickBot="1">
      <c r="A2886" s="105">
        <v>600</v>
      </c>
      <c r="B2886" s="106"/>
      <c r="C2886" s="96" t="s">
        <v>7</v>
      </c>
      <c r="D2886" s="97"/>
      <c r="J2886" s="8"/>
      <c r="K2886" s="8"/>
      <c r="L2886" s="8"/>
      <c r="M2886" s="8"/>
      <c r="N2886" s="8"/>
      <c r="O2886" s="8"/>
      <c r="P2886" s="8"/>
    </row>
    <row r="2887" spans="1:16" s="7" customFormat="1" ht="42.75" customHeight="1" thickBot="1">
      <c r="A2887" s="107" t="s">
        <v>17</v>
      </c>
      <c r="B2887" s="108"/>
      <c r="C2887" s="108"/>
      <c r="D2887" s="109"/>
      <c r="J2887" s="8"/>
      <c r="K2887" s="8"/>
      <c r="L2887" s="8"/>
      <c r="M2887" s="8"/>
      <c r="N2887" s="8"/>
      <c r="O2887" s="8"/>
      <c r="P2887" s="8"/>
    </row>
    <row r="2888" spans="1:16" s="7" customFormat="1" ht="42.75" customHeight="1" thickBot="1">
      <c r="A2888" s="110" t="s">
        <v>20</v>
      </c>
      <c r="B2888" s="111"/>
      <c r="C2888" s="111"/>
      <c r="D2888" s="112"/>
      <c r="J2888" s="8"/>
      <c r="K2888" s="8"/>
      <c r="L2888" s="8"/>
      <c r="M2888" s="8"/>
      <c r="N2888" s="8"/>
      <c r="O2888" s="8"/>
      <c r="P2888" s="8"/>
    </row>
    <row r="2889" spans="1:16" s="7" customFormat="1" ht="42.75" customHeight="1" thickBot="1">
      <c r="A2889" s="113" t="s">
        <v>18</v>
      </c>
      <c r="B2889" s="114"/>
      <c r="C2889" s="114"/>
      <c r="D2889" s="115"/>
      <c r="J2889" s="8"/>
      <c r="K2889" s="8"/>
      <c r="L2889" s="8"/>
      <c r="M2889" s="8"/>
      <c r="N2889" s="8"/>
      <c r="O2889" s="8"/>
      <c r="P2889" s="8"/>
    </row>
    <row r="2890" spans="1:16" s="7" customFormat="1" ht="42.75" customHeight="1" thickBot="1">
      <c r="A2890" s="126" t="s">
        <v>19</v>
      </c>
      <c r="B2890" s="127"/>
      <c r="C2890" s="127"/>
      <c r="D2890" s="128"/>
      <c r="J2890" s="8"/>
      <c r="K2890" s="8"/>
      <c r="L2890" s="8"/>
      <c r="M2890" s="8"/>
      <c r="N2890" s="8"/>
      <c r="O2890" s="8"/>
      <c r="P2890" s="8"/>
    </row>
    <row r="2891" spans="1:16" s="7" customFormat="1" ht="42.75" customHeight="1" thickBot="1">
      <c r="A2891" s="123" t="s">
        <v>11</v>
      </c>
      <c r="B2891" s="124"/>
      <c r="C2891" s="125" t="s">
        <v>603</v>
      </c>
      <c r="D2891" s="124"/>
      <c r="J2891" s="8"/>
      <c r="K2891" s="8"/>
      <c r="L2891" s="8"/>
      <c r="M2891" s="8"/>
      <c r="N2891" s="8"/>
      <c r="O2891" s="8"/>
      <c r="P2891" s="8"/>
    </row>
    <row r="2892" spans="1:16" s="7" customFormat="1" ht="42.75" customHeight="1" thickBot="1">
      <c r="A2892" s="1" t="s">
        <v>686</v>
      </c>
      <c r="B2892" s="26" t="s">
        <v>1</v>
      </c>
      <c r="C2892" s="90" t="s">
        <v>295</v>
      </c>
      <c r="D2892" s="91"/>
      <c r="J2892" s="8"/>
      <c r="K2892" s="8"/>
      <c r="L2892" s="8"/>
      <c r="M2892" s="8"/>
      <c r="N2892" s="8"/>
      <c r="O2892" s="8"/>
      <c r="P2892" s="8"/>
    </row>
    <row r="2893" spans="1:16" s="7" customFormat="1" ht="42.75" customHeight="1" thickBot="1">
      <c r="A2893" s="26"/>
      <c r="B2893" s="26" t="s">
        <v>0</v>
      </c>
      <c r="C2893" s="5" t="s">
        <v>687</v>
      </c>
      <c r="D2893" s="4" t="s">
        <v>2</v>
      </c>
      <c r="J2893" s="8"/>
      <c r="K2893" s="8"/>
      <c r="L2893" s="8"/>
      <c r="M2893" s="8"/>
      <c r="N2893" s="8"/>
      <c r="O2893" s="8"/>
      <c r="P2893" s="8"/>
    </row>
    <row r="2894" spans="1:16" s="7" customFormat="1" ht="42.75" customHeight="1" thickBot="1">
      <c r="A2894" s="92">
        <v>2315</v>
      </c>
      <c r="B2894" s="93"/>
      <c r="C2894" s="94" t="s">
        <v>3</v>
      </c>
      <c r="D2894" s="95"/>
      <c r="J2894" s="8"/>
      <c r="K2894" s="8"/>
      <c r="L2894" s="8"/>
      <c r="M2894" s="8"/>
      <c r="N2894" s="8"/>
      <c r="O2894" s="8"/>
      <c r="P2894" s="8"/>
    </row>
    <row r="2895" spans="1:16" s="7" customFormat="1" ht="42.75" customHeight="1" thickBot="1">
      <c r="A2895" s="92">
        <v>2315</v>
      </c>
      <c r="B2895" s="93"/>
      <c r="C2895" s="96" t="s">
        <v>4</v>
      </c>
      <c r="D2895" s="97"/>
      <c r="J2895" s="8"/>
      <c r="K2895" s="8"/>
      <c r="L2895" s="8"/>
      <c r="M2895" s="8"/>
      <c r="N2895" s="8"/>
      <c r="O2895" s="8"/>
      <c r="P2895" s="8"/>
    </row>
    <row r="2896" spans="1:16" s="7" customFormat="1" ht="42.75" customHeight="1" thickBot="1">
      <c r="A2896" s="98">
        <f>A2895-A2894</f>
        <v>0</v>
      </c>
      <c r="B2896" s="99"/>
      <c r="C2896" s="100" t="s">
        <v>5</v>
      </c>
      <c r="D2896" s="97"/>
      <c r="J2896" s="8"/>
      <c r="K2896" s="8"/>
      <c r="L2896" s="8"/>
      <c r="M2896" s="8"/>
      <c r="N2896" s="8"/>
      <c r="O2896" s="8"/>
      <c r="P2896" s="8"/>
    </row>
    <row r="2897" spans="1:16" s="7" customFormat="1" ht="42.75" customHeight="1" thickBot="1">
      <c r="A2897" s="101">
        <v>62</v>
      </c>
      <c r="B2897" s="102"/>
      <c r="C2897" s="96" t="s">
        <v>6</v>
      </c>
      <c r="D2897" s="97"/>
      <c r="J2897" s="8"/>
      <c r="K2897" s="8"/>
      <c r="L2897" s="8"/>
      <c r="M2897" s="8"/>
      <c r="N2897" s="8"/>
      <c r="O2897" s="8"/>
      <c r="P2897" s="8"/>
    </row>
    <row r="2898" spans="1:16" s="7" customFormat="1" ht="42.75" customHeight="1" thickBot="1">
      <c r="A2898" s="103"/>
      <c r="B2898" s="104"/>
      <c r="C2898" s="96" t="s">
        <v>21</v>
      </c>
      <c r="D2898" s="97"/>
      <c r="J2898" s="8"/>
      <c r="K2898" s="8"/>
      <c r="L2898" s="8"/>
      <c r="M2898" s="8"/>
      <c r="N2898" s="8"/>
      <c r="O2898" s="8"/>
      <c r="P2898" s="8"/>
    </row>
    <row r="2899" spans="1:16" s="7" customFormat="1" ht="42.75" customHeight="1" thickBot="1">
      <c r="A2899" s="105">
        <f>A2897*A2896</f>
        <v>0</v>
      </c>
      <c r="B2899" s="106"/>
      <c r="C2899" s="96" t="s">
        <v>7</v>
      </c>
      <c r="D2899" s="97"/>
      <c r="J2899" s="8"/>
      <c r="K2899" s="8"/>
      <c r="L2899" s="8"/>
      <c r="M2899" s="8"/>
      <c r="N2899" s="8"/>
      <c r="O2899" s="8"/>
      <c r="P2899" s="8"/>
    </row>
    <row r="2900" spans="1:16" s="7" customFormat="1" ht="42.75" customHeight="1" thickBot="1">
      <c r="A2900" s="107" t="s">
        <v>17</v>
      </c>
      <c r="B2900" s="108"/>
      <c r="C2900" s="108"/>
      <c r="D2900" s="109"/>
      <c r="J2900" s="8"/>
      <c r="K2900" s="8"/>
      <c r="L2900" s="8"/>
      <c r="M2900" s="8"/>
      <c r="N2900" s="8"/>
      <c r="O2900" s="8"/>
      <c r="P2900" s="8"/>
    </row>
    <row r="2901" spans="1:16" s="7" customFormat="1" ht="42.75" customHeight="1" thickBot="1">
      <c r="A2901" s="116" t="s">
        <v>20</v>
      </c>
      <c r="B2901" s="117"/>
      <c r="C2901" s="117"/>
      <c r="D2901" s="118"/>
      <c r="J2901" s="8"/>
      <c r="K2901" s="8"/>
      <c r="L2901" s="8"/>
      <c r="M2901" s="8"/>
      <c r="N2901" s="8"/>
      <c r="O2901" s="8"/>
      <c r="P2901" s="8"/>
    </row>
    <row r="2902" spans="1:16" s="7" customFormat="1" ht="42.75" customHeight="1" thickBot="1">
      <c r="A2902" s="113" t="s">
        <v>18</v>
      </c>
      <c r="B2902" s="114"/>
      <c r="C2902" s="114"/>
      <c r="D2902" s="115"/>
      <c r="J2902" s="8"/>
      <c r="K2902" s="8"/>
      <c r="L2902" s="8"/>
      <c r="M2902" s="8"/>
      <c r="N2902" s="8"/>
      <c r="O2902" s="8"/>
      <c r="P2902" s="8"/>
    </row>
    <row r="2903" spans="1:16" s="7" customFormat="1" ht="42.75" customHeight="1" thickBot="1">
      <c r="A2903" s="119"/>
      <c r="B2903" s="119"/>
      <c r="C2903" s="119"/>
      <c r="D2903" s="119"/>
      <c r="J2903" s="8"/>
      <c r="K2903" s="8"/>
      <c r="L2903" s="8"/>
      <c r="M2903" s="8"/>
      <c r="N2903" s="8"/>
      <c r="O2903" s="8"/>
      <c r="P2903" s="8"/>
    </row>
    <row r="2904" spans="1:16" s="7" customFormat="1" ht="42.75" customHeight="1" thickBot="1">
      <c r="A2904" s="126" t="s">
        <v>19</v>
      </c>
      <c r="B2904" s="127"/>
      <c r="C2904" s="127"/>
      <c r="D2904" s="128"/>
      <c r="J2904" s="8"/>
      <c r="K2904" s="8"/>
      <c r="L2904" s="8"/>
      <c r="M2904" s="8"/>
      <c r="N2904" s="8"/>
      <c r="O2904" s="8"/>
      <c r="P2904" s="8"/>
    </row>
    <row r="2905" spans="1:16" s="7" customFormat="1" ht="42.75" customHeight="1" thickBot="1">
      <c r="A2905" s="123" t="s">
        <v>11</v>
      </c>
      <c r="B2905" s="124"/>
      <c r="C2905" s="125" t="s">
        <v>603</v>
      </c>
      <c r="D2905" s="124"/>
      <c r="J2905" s="8"/>
      <c r="K2905" s="8"/>
      <c r="L2905" s="8"/>
      <c r="M2905" s="8"/>
      <c r="N2905" s="8"/>
      <c r="O2905" s="8"/>
      <c r="P2905" s="8"/>
    </row>
    <row r="2906" spans="1:16" s="7" customFormat="1" ht="42.75" customHeight="1" thickBot="1">
      <c r="A2906" s="1" t="s">
        <v>686</v>
      </c>
      <c r="B2906" s="26" t="s">
        <v>1</v>
      </c>
      <c r="C2906" s="90" t="s">
        <v>295</v>
      </c>
      <c r="D2906" s="91"/>
      <c r="J2906" s="8"/>
      <c r="K2906" s="8"/>
      <c r="L2906" s="8"/>
      <c r="M2906" s="8"/>
      <c r="N2906" s="8"/>
      <c r="O2906" s="8"/>
      <c r="P2906" s="8"/>
    </row>
    <row r="2907" spans="1:16" s="7" customFormat="1" ht="42.75" customHeight="1" thickBot="1">
      <c r="A2907" s="26"/>
      <c r="B2907" s="26" t="s">
        <v>0</v>
      </c>
      <c r="C2907" s="5" t="s">
        <v>687</v>
      </c>
      <c r="D2907" s="4" t="s">
        <v>2</v>
      </c>
      <c r="J2907" s="8"/>
      <c r="K2907" s="8"/>
      <c r="L2907" s="8"/>
      <c r="M2907" s="8"/>
      <c r="N2907" s="8"/>
      <c r="O2907" s="8"/>
      <c r="P2907" s="8"/>
    </row>
    <row r="2908" spans="1:16" s="7" customFormat="1" ht="42.75" customHeight="1" thickBot="1">
      <c r="A2908" s="92">
        <v>2295</v>
      </c>
      <c r="B2908" s="93"/>
      <c r="C2908" s="94" t="s">
        <v>3</v>
      </c>
      <c r="D2908" s="95"/>
      <c r="J2908" s="8"/>
      <c r="K2908" s="8"/>
      <c r="L2908" s="8"/>
      <c r="M2908" s="8"/>
      <c r="N2908" s="8"/>
      <c r="O2908" s="8"/>
      <c r="P2908" s="8"/>
    </row>
    <row r="2909" spans="1:16" s="7" customFormat="1" ht="42.75" customHeight="1" thickBot="1">
      <c r="A2909" s="92">
        <v>2315</v>
      </c>
      <c r="B2909" s="93"/>
      <c r="C2909" s="96" t="s">
        <v>4</v>
      </c>
      <c r="D2909" s="97"/>
      <c r="J2909" s="8"/>
      <c r="K2909" s="8"/>
      <c r="L2909" s="8"/>
      <c r="M2909" s="8"/>
      <c r="N2909" s="8"/>
      <c r="O2909" s="8"/>
      <c r="P2909" s="8"/>
    </row>
    <row r="2910" spans="1:16" s="7" customFormat="1" ht="42.75" customHeight="1" thickBot="1">
      <c r="A2910" s="98">
        <f>A2909-A2908</f>
        <v>20</v>
      </c>
      <c r="B2910" s="99"/>
      <c r="C2910" s="100" t="s">
        <v>5</v>
      </c>
      <c r="D2910" s="97"/>
      <c r="J2910" s="8"/>
      <c r="K2910" s="8"/>
      <c r="L2910" s="8"/>
      <c r="M2910" s="8"/>
      <c r="N2910" s="8"/>
      <c r="O2910" s="8"/>
      <c r="P2910" s="8"/>
    </row>
    <row r="2911" spans="1:16" s="7" customFormat="1" ht="42.75" customHeight="1" thickBot="1">
      <c r="A2911" s="101">
        <v>62</v>
      </c>
      <c r="B2911" s="102"/>
      <c r="C2911" s="96" t="s">
        <v>6</v>
      </c>
      <c r="D2911" s="97"/>
      <c r="J2911" s="8"/>
      <c r="K2911" s="8"/>
      <c r="L2911" s="8"/>
      <c r="M2911" s="8"/>
      <c r="N2911" s="8"/>
      <c r="O2911" s="8"/>
      <c r="P2911" s="8"/>
    </row>
    <row r="2912" spans="1:16" s="7" customFormat="1" ht="42.75" customHeight="1" thickBot="1">
      <c r="A2912" s="103"/>
      <c r="B2912" s="104"/>
      <c r="C2912" s="96" t="s">
        <v>21</v>
      </c>
      <c r="D2912" s="97"/>
      <c r="J2912" s="8"/>
      <c r="K2912" s="8"/>
      <c r="L2912" s="8"/>
      <c r="M2912" s="8"/>
      <c r="N2912" s="8"/>
      <c r="O2912" s="8"/>
      <c r="P2912" s="8"/>
    </row>
    <row r="2913" spans="1:16" s="7" customFormat="1" ht="42.75" customHeight="1" thickBot="1">
      <c r="A2913" s="105">
        <v>1250</v>
      </c>
      <c r="B2913" s="106"/>
      <c r="C2913" s="96" t="s">
        <v>7</v>
      </c>
      <c r="D2913" s="97"/>
      <c r="J2913" s="8"/>
      <c r="K2913" s="8"/>
      <c r="L2913" s="8"/>
      <c r="M2913" s="8"/>
      <c r="N2913" s="8"/>
      <c r="O2913" s="8"/>
      <c r="P2913" s="8"/>
    </row>
    <row r="2914" spans="1:16" s="7" customFormat="1" ht="42.75" customHeight="1" thickBot="1">
      <c r="A2914" s="107" t="s">
        <v>17</v>
      </c>
      <c r="B2914" s="108"/>
      <c r="C2914" s="108"/>
      <c r="D2914" s="109"/>
      <c r="J2914" s="8"/>
      <c r="K2914" s="8"/>
      <c r="L2914" s="8"/>
      <c r="M2914" s="8"/>
      <c r="N2914" s="8"/>
      <c r="O2914" s="8"/>
      <c r="P2914" s="8"/>
    </row>
    <row r="2915" spans="1:16" s="7" customFormat="1" ht="42.75" customHeight="1" thickBot="1">
      <c r="A2915" s="110" t="s">
        <v>20</v>
      </c>
      <c r="B2915" s="111"/>
      <c r="C2915" s="111"/>
      <c r="D2915" s="112"/>
      <c r="J2915" s="8"/>
      <c r="K2915" s="8"/>
      <c r="L2915" s="8"/>
      <c r="M2915" s="8"/>
      <c r="N2915" s="8"/>
      <c r="O2915" s="8"/>
      <c r="P2915" s="8"/>
    </row>
    <row r="2916" spans="1:16" s="7" customFormat="1" ht="42.75" customHeight="1" thickBot="1">
      <c r="A2916" s="113" t="s">
        <v>18</v>
      </c>
      <c r="B2916" s="114"/>
      <c r="C2916" s="114"/>
      <c r="D2916" s="115"/>
      <c r="J2916" s="8"/>
      <c r="K2916" s="8"/>
      <c r="L2916" s="8"/>
      <c r="M2916" s="8"/>
      <c r="N2916" s="8"/>
      <c r="O2916" s="8"/>
      <c r="P2916" s="8"/>
    </row>
    <row r="2917" spans="1:16" s="7" customFormat="1" ht="42.75" customHeight="1" thickBot="1">
      <c r="A2917" s="126" t="s">
        <v>19</v>
      </c>
      <c r="B2917" s="127"/>
      <c r="C2917" s="127"/>
      <c r="D2917" s="128"/>
      <c r="J2917" s="8"/>
      <c r="K2917" s="8"/>
      <c r="L2917" s="8"/>
      <c r="M2917" s="8"/>
      <c r="N2917" s="8"/>
      <c r="O2917" s="8"/>
      <c r="P2917" s="8"/>
    </row>
    <row r="2918" spans="1:16" s="7" customFormat="1" ht="42.75" customHeight="1" thickBot="1">
      <c r="A2918" s="123" t="s">
        <v>11</v>
      </c>
      <c r="B2918" s="124"/>
      <c r="C2918" s="125" t="s">
        <v>603</v>
      </c>
      <c r="D2918" s="124"/>
      <c r="J2918" s="8"/>
      <c r="K2918" s="8"/>
      <c r="L2918" s="8"/>
      <c r="M2918" s="8"/>
      <c r="N2918" s="8"/>
      <c r="O2918" s="8"/>
      <c r="P2918" s="8"/>
    </row>
    <row r="2919" spans="1:16" s="7" customFormat="1" ht="42.75" customHeight="1" thickBot="1">
      <c r="A2919" s="1" t="s">
        <v>686</v>
      </c>
      <c r="B2919" s="26" t="s">
        <v>1</v>
      </c>
      <c r="C2919" s="90" t="s">
        <v>296</v>
      </c>
      <c r="D2919" s="91"/>
      <c r="J2919" s="8"/>
      <c r="K2919" s="8"/>
      <c r="L2919" s="8"/>
      <c r="M2919" s="8"/>
      <c r="N2919" s="8"/>
      <c r="O2919" s="8"/>
      <c r="P2919" s="8"/>
    </row>
    <row r="2920" spans="1:16" s="7" customFormat="1" ht="42.75" customHeight="1" thickBot="1">
      <c r="A2920" s="26"/>
      <c r="B2920" s="26" t="s">
        <v>0</v>
      </c>
      <c r="C2920" s="5" t="s">
        <v>687</v>
      </c>
      <c r="D2920" s="4" t="s">
        <v>2</v>
      </c>
      <c r="J2920" s="8"/>
      <c r="K2920" s="8"/>
      <c r="L2920" s="8"/>
      <c r="M2920" s="8"/>
      <c r="N2920" s="8"/>
      <c r="O2920" s="8"/>
      <c r="P2920" s="8"/>
    </row>
    <row r="2921" spans="1:16" s="7" customFormat="1" ht="42.75" customHeight="1" thickBot="1">
      <c r="A2921" s="92">
        <v>1380</v>
      </c>
      <c r="B2921" s="93"/>
      <c r="C2921" s="94" t="s">
        <v>3</v>
      </c>
      <c r="D2921" s="95"/>
      <c r="J2921" s="8"/>
      <c r="K2921" s="8"/>
      <c r="L2921" s="8"/>
      <c r="M2921" s="8"/>
      <c r="N2921" s="8"/>
      <c r="O2921" s="8"/>
      <c r="P2921" s="8"/>
    </row>
    <row r="2922" spans="1:16" s="7" customFormat="1" ht="42.75" customHeight="1" thickBot="1">
      <c r="A2922" s="92">
        <v>1380</v>
      </c>
      <c r="B2922" s="93"/>
      <c r="C2922" s="96" t="s">
        <v>4</v>
      </c>
      <c r="D2922" s="97"/>
      <c r="J2922" s="8"/>
      <c r="K2922" s="8"/>
      <c r="L2922" s="8"/>
      <c r="M2922" s="8"/>
      <c r="N2922" s="8"/>
      <c r="O2922" s="8"/>
      <c r="P2922" s="8"/>
    </row>
    <row r="2923" spans="1:16" s="7" customFormat="1" ht="42.75" customHeight="1" thickBot="1">
      <c r="A2923" s="98">
        <f>A2922-A2921</f>
        <v>0</v>
      </c>
      <c r="B2923" s="99"/>
      <c r="C2923" s="100" t="s">
        <v>5</v>
      </c>
      <c r="D2923" s="97"/>
      <c r="J2923" s="8"/>
      <c r="K2923" s="8"/>
      <c r="L2923" s="8"/>
      <c r="M2923" s="8"/>
      <c r="N2923" s="8"/>
      <c r="O2923" s="8"/>
      <c r="P2923" s="8"/>
    </row>
    <row r="2924" spans="1:16" s="7" customFormat="1" ht="42.75" customHeight="1" thickBot="1">
      <c r="A2924" s="101">
        <v>62</v>
      </c>
      <c r="B2924" s="102"/>
      <c r="C2924" s="96" t="s">
        <v>6</v>
      </c>
      <c r="D2924" s="97"/>
      <c r="J2924" s="8"/>
      <c r="K2924" s="8"/>
      <c r="L2924" s="8"/>
      <c r="M2924" s="8"/>
      <c r="N2924" s="8"/>
      <c r="O2924" s="8"/>
      <c r="P2924" s="8"/>
    </row>
    <row r="2925" spans="1:16" s="7" customFormat="1" ht="42.75" customHeight="1" thickBot="1">
      <c r="A2925" s="103"/>
      <c r="B2925" s="104"/>
      <c r="C2925" s="96" t="s">
        <v>21</v>
      </c>
      <c r="D2925" s="97"/>
      <c r="J2925" s="8"/>
      <c r="K2925" s="8"/>
      <c r="L2925" s="8"/>
      <c r="M2925" s="8"/>
      <c r="N2925" s="8"/>
      <c r="O2925" s="8"/>
      <c r="P2925" s="8"/>
    </row>
    <row r="2926" spans="1:16" s="7" customFormat="1" ht="42.75" customHeight="1" thickBot="1">
      <c r="A2926" s="105">
        <f>A2924*A2923</f>
        <v>0</v>
      </c>
      <c r="B2926" s="106"/>
      <c r="C2926" s="96" t="s">
        <v>7</v>
      </c>
      <c r="D2926" s="97"/>
      <c r="J2926" s="8"/>
      <c r="K2926" s="8"/>
      <c r="L2926" s="8"/>
      <c r="M2926" s="8"/>
      <c r="N2926" s="8"/>
      <c r="O2926" s="8"/>
      <c r="P2926" s="8"/>
    </row>
    <row r="2927" spans="1:16" s="7" customFormat="1" ht="42.75" customHeight="1" thickBot="1">
      <c r="A2927" s="107" t="s">
        <v>17</v>
      </c>
      <c r="B2927" s="108"/>
      <c r="C2927" s="108"/>
      <c r="D2927" s="109"/>
      <c r="J2927" s="8"/>
      <c r="K2927" s="8"/>
      <c r="L2927" s="8"/>
      <c r="M2927" s="8"/>
      <c r="N2927" s="8"/>
      <c r="O2927" s="8"/>
      <c r="P2927" s="8"/>
    </row>
    <row r="2928" spans="1:16" s="7" customFormat="1" ht="42.75" customHeight="1" thickBot="1">
      <c r="A2928" s="116" t="s">
        <v>20</v>
      </c>
      <c r="B2928" s="117"/>
      <c r="C2928" s="117"/>
      <c r="D2928" s="118"/>
      <c r="J2928" s="8"/>
      <c r="K2928" s="8"/>
      <c r="L2928" s="8"/>
      <c r="M2928" s="8"/>
      <c r="N2928" s="8"/>
      <c r="O2928" s="8"/>
      <c r="P2928" s="8"/>
    </row>
    <row r="2929" spans="1:16" s="7" customFormat="1" ht="42.75" customHeight="1" thickBot="1">
      <c r="A2929" s="113" t="s">
        <v>18</v>
      </c>
      <c r="B2929" s="114"/>
      <c r="C2929" s="114"/>
      <c r="D2929" s="115"/>
      <c r="J2929" s="8"/>
      <c r="K2929" s="8"/>
      <c r="L2929" s="8"/>
      <c r="M2929" s="8"/>
      <c r="N2929" s="8"/>
      <c r="O2929" s="8"/>
      <c r="P2929" s="8"/>
    </row>
    <row r="2930" spans="1:16" s="7" customFormat="1" ht="42.75" customHeight="1" thickBot="1">
      <c r="A2930" s="119"/>
      <c r="B2930" s="119"/>
      <c r="C2930" s="119"/>
      <c r="D2930" s="119"/>
      <c r="J2930" s="8"/>
      <c r="K2930" s="8"/>
      <c r="L2930" s="8"/>
      <c r="M2930" s="8"/>
      <c r="N2930" s="8"/>
      <c r="O2930" s="8"/>
      <c r="P2930" s="8"/>
    </row>
    <row r="2931" spans="1:16" s="7" customFormat="1" ht="42.75" customHeight="1" thickBot="1">
      <c r="A2931" s="126" t="s">
        <v>19</v>
      </c>
      <c r="B2931" s="127"/>
      <c r="C2931" s="127"/>
      <c r="D2931" s="128"/>
      <c r="J2931" s="8"/>
      <c r="K2931" s="8"/>
      <c r="L2931" s="8"/>
      <c r="M2931" s="8"/>
      <c r="N2931" s="8"/>
      <c r="O2931" s="8"/>
      <c r="P2931" s="8"/>
    </row>
    <row r="2932" spans="1:16" s="7" customFormat="1" ht="42.75" customHeight="1" thickBot="1">
      <c r="A2932" s="123" t="s">
        <v>11</v>
      </c>
      <c r="B2932" s="124"/>
      <c r="C2932" s="125" t="s">
        <v>603</v>
      </c>
      <c r="D2932" s="124"/>
      <c r="J2932" s="8"/>
      <c r="K2932" s="8"/>
      <c r="L2932" s="8"/>
      <c r="M2932" s="8"/>
      <c r="N2932" s="8"/>
      <c r="O2932" s="8"/>
      <c r="P2932" s="8"/>
    </row>
    <row r="2933" spans="1:16" s="7" customFormat="1" ht="42.75" customHeight="1" thickBot="1">
      <c r="A2933" s="1" t="s">
        <v>686</v>
      </c>
      <c r="B2933" s="26" t="s">
        <v>1</v>
      </c>
      <c r="C2933" s="90" t="s">
        <v>296</v>
      </c>
      <c r="D2933" s="91"/>
      <c r="J2933" s="8"/>
      <c r="K2933" s="8"/>
      <c r="L2933" s="8"/>
      <c r="M2933" s="8"/>
      <c r="N2933" s="8"/>
      <c r="O2933" s="8"/>
      <c r="P2933" s="8"/>
    </row>
    <row r="2934" spans="1:16" s="7" customFormat="1" ht="42.75" customHeight="1" thickBot="1">
      <c r="A2934" s="26"/>
      <c r="B2934" s="26" t="s">
        <v>0</v>
      </c>
      <c r="C2934" s="5" t="s">
        <v>687</v>
      </c>
      <c r="D2934" s="4" t="s">
        <v>2</v>
      </c>
      <c r="J2934" s="8"/>
      <c r="K2934" s="8"/>
      <c r="L2934" s="8"/>
      <c r="M2934" s="8"/>
      <c r="N2934" s="8"/>
      <c r="O2934" s="8"/>
      <c r="P2934" s="8"/>
    </row>
    <row r="2935" spans="1:16" s="7" customFormat="1" ht="42.75" customHeight="1" thickBot="1">
      <c r="A2935" s="92">
        <v>1375</v>
      </c>
      <c r="B2935" s="93"/>
      <c r="C2935" s="94" t="s">
        <v>3</v>
      </c>
      <c r="D2935" s="95"/>
      <c r="J2935" s="8"/>
      <c r="K2935" s="8"/>
      <c r="L2935" s="8"/>
      <c r="M2935" s="8"/>
      <c r="N2935" s="8"/>
      <c r="O2935" s="8"/>
      <c r="P2935" s="8"/>
    </row>
    <row r="2936" spans="1:16" s="7" customFormat="1" ht="42.75" customHeight="1" thickBot="1">
      <c r="A2936" s="92">
        <v>1380</v>
      </c>
      <c r="B2936" s="93"/>
      <c r="C2936" s="96" t="s">
        <v>4</v>
      </c>
      <c r="D2936" s="97"/>
      <c r="J2936" s="8"/>
      <c r="K2936" s="8"/>
      <c r="L2936" s="8"/>
      <c r="M2936" s="8"/>
      <c r="N2936" s="8"/>
      <c r="O2936" s="8"/>
      <c r="P2936" s="8"/>
    </row>
    <row r="2937" spans="1:16" s="7" customFormat="1" ht="42.75" customHeight="1" thickBot="1">
      <c r="A2937" s="98">
        <v>8</v>
      </c>
      <c r="B2937" s="99"/>
      <c r="C2937" s="100" t="s">
        <v>5</v>
      </c>
      <c r="D2937" s="97"/>
      <c r="J2937" s="8"/>
      <c r="K2937" s="8"/>
      <c r="L2937" s="8"/>
      <c r="M2937" s="8"/>
      <c r="N2937" s="8"/>
      <c r="O2937" s="8"/>
      <c r="P2937" s="8"/>
    </row>
    <row r="2938" spans="1:16" s="7" customFormat="1" ht="42.75" customHeight="1" thickBot="1">
      <c r="A2938" s="101">
        <v>62</v>
      </c>
      <c r="B2938" s="102"/>
      <c r="C2938" s="96" t="s">
        <v>6</v>
      </c>
      <c r="D2938" s="97"/>
      <c r="J2938" s="8"/>
      <c r="K2938" s="8"/>
      <c r="L2938" s="8"/>
      <c r="M2938" s="8"/>
      <c r="N2938" s="8"/>
      <c r="O2938" s="8"/>
      <c r="P2938" s="8"/>
    </row>
    <row r="2939" spans="1:16" s="7" customFormat="1" ht="42.75" customHeight="1" thickBot="1">
      <c r="A2939" s="103"/>
      <c r="B2939" s="104"/>
      <c r="C2939" s="96" t="s">
        <v>21</v>
      </c>
      <c r="D2939" s="97"/>
      <c r="J2939" s="8"/>
      <c r="K2939" s="8"/>
      <c r="L2939" s="8"/>
      <c r="M2939" s="8"/>
      <c r="N2939" s="8"/>
      <c r="O2939" s="8"/>
      <c r="P2939" s="8"/>
    </row>
    <row r="2940" spans="1:16" s="7" customFormat="1" ht="42.75" customHeight="1" thickBot="1">
      <c r="A2940" s="105">
        <v>500</v>
      </c>
      <c r="B2940" s="106"/>
      <c r="C2940" s="96" t="s">
        <v>7</v>
      </c>
      <c r="D2940" s="97"/>
      <c r="J2940" s="8"/>
      <c r="K2940" s="8"/>
      <c r="L2940" s="8"/>
      <c r="M2940" s="8"/>
      <c r="N2940" s="8"/>
      <c r="O2940" s="8"/>
      <c r="P2940" s="8"/>
    </row>
    <row r="2941" spans="1:16" s="7" customFormat="1" ht="42.75" customHeight="1" thickBot="1">
      <c r="A2941" s="107" t="s">
        <v>17</v>
      </c>
      <c r="B2941" s="108"/>
      <c r="C2941" s="108"/>
      <c r="D2941" s="109"/>
      <c r="J2941" s="8"/>
      <c r="K2941" s="8"/>
      <c r="L2941" s="8"/>
      <c r="M2941" s="8"/>
      <c r="N2941" s="8"/>
      <c r="O2941" s="8"/>
      <c r="P2941" s="8"/>
    </row>
    <row r="2942" spans="1:16" s="7" customFormat="1" ht="42.75" customHeight="1" thickBot="1">
      <c r="A2942" s="110" t="s">
        <v>20</v>
      </c>
      <c r="B2942" s="111"/>
      <c r="C2942" s="111"/>
      <c r="D2942" s="112"/>
      <c r="J2942" s="8"/>
      <c r="K2942" s="8"/>
      <c r="L2942" s="8"/>
      <c r="M2942" s="8"/>
      <c r="N2942" s="8"/>
      <c r="O2942" s="8"/>
      <c r="P2942" s="8"/>
    </row>
    <row r="2943" spans="1:16" s="7" customFormat="1" ht="42.75" customHeight="1" thickBot="1">
      <c r="A2943" s="113" t="s">
        <v>18</v>
      </c>
      <c r="B2943" s="114"/>
      <c r="C2943" s="114"/>
      <c r="D2943" s="115"/>
      <c r="J2943" s="8"/>
      <c r="K2943" s="8"/>
      <c r="L2943" s="8"/>
      <c r="M2943" s="8"/>
      <c r="N2943" s="8"/>
      <c r="O2943" s="8"/>
      <c r="P2943" s="8"/>
    </row>
    <row r="2944" spans="1:16" s="7" customFormat="1" ht="42.75" customHeight="1" thickBot="1">
      <c r="A2944" s="126" t="s">
        <v>19</v>
      </c>
      <c r="B2944" s="127"/>
      <c r="C2944" s="127"/>
      <c r="D2944" s="128"/>
      <c r="J2944" s="8"/>
      <c r="K2944" s="8"/>
      <c r="L2944" s="8"/>
      <c r="M2944" s="8"/>
      <c r="N2944" s="8"/>
      <c r="O2944" s="8"/>
      <c r="P2944" s="8"/>
    </row>
    <row r="2945" spans="1:16" s="7" customFormat="1" ht="42.75" customHeight="1" thickBot="1">
      <c r="A2945" s="123" t="s">
        <v>11</v>
      </c>
      <c r="B2945" s="124"/>
      <c r="C2945" s="125" t="s">
        <v>603</v>
      </c>
      <c r="D2945" s="124"/>
      <c r="J2945" s="8"/>
      <c r="K2945" s="8"/>
      <c r="L2945" s="8"/>
      <c r="M2945" s="8"/>
      <c r="N2945" s="8"/>
      <c r="O2945" s="8"/>
      <c r="P2945" s="8"/>
    </row>
    <row r="2946" spans="1:16" s="7" customFormat="1" ht="42.75" customHeight="1" thickBot="1">
      <c r="A2946" s="1" t="s">
        <v>686</v>
      </c>
      <c r="B2946" s="26" t="s">
        <v>1</v>
      </c>
      <c r="C2946" s="90" t="s">
        <v>297</v>
      </c>
      <c r="D2946" s="91"/>
      <c r="J2946" s="8"/>
      <c r="K2946" s="8"/>
      <c r="L2946" s="8"/>
      <c r="M2946" s="8"/>
      <c r="N2946" s="8"/>
      <c r="O2946" s="8"/>
      <c r="P2946" s="8"/>
    </row>
    <row r="2947" spans="1:16" s="7" customFormat="1" ht="42.75" customHeight="1" thickBot="1">
      <c r="A2947" s="26"/>
      <c r="B2947" s="26" t="s">
        <v>0</v>
      </c>
      <c r="C2947" s="5" t="s">
        <v>687</v>
      </c>
      <c r="D2947" s="4" t="s">
        <v>2</v>
      </c>
      <c r="J2947" s="8"/>
      <c r="K2947" s="8"/>
      <c r="L2947" s="8"/>
      <c r="M2947" s="8"/>
      <c r="N2947" s="8"/>
      <c r="O2947" s="8"/>
      <c r="P2947" s="8"/>
    </row>
    <row r="2948" spans="1:16" s="7" customFormat="1" ht="42.75" customHeight="1" thickBot="1">
      <c r="A2948" s="92">
        <v>3565</v>
      </c>
      <c r="B2948" s="93"/>
      <c r="C2948" s="94" t="s">
        <v>3</v>
      </c>
      <c r="D2948" s="95"/>
      <c r="J2948" s="8"/>
      <c r="K2948" s="8"/>
      <c r="L2948" s="8"/>
      <c r="M2948" s="8"/>
      <c r="N2948" s="8"/>
      <c r="O2948" s="8"/>
      <c r="P2948" s="8"/>
    </row>
    <row r="2949" spans="1:16" s="7" customFormat="1" ht="42.75" customHeight="1" thickBot="1">
      <c r="A2949" s="92">
        <v>3565</v>
      </c>
      <c r="B2949" s="93"/>
      <c r="C2949" s="96" t="s">
        <v>4</v>
      </c>
      <c r="D2949" s="97"/>
      <c r="J2949" s="8"/>
      <c r="K2949" s="8"/>
      <c r="L2949" s="8"/>
      <c r="M2949" s="8"/>
      <c r="N2949" s="8"/>
      <c r="O2949" s="8"/>
      <c r="P2949" s="8"/>
    </row>
    <row r="2950" spans="1:16" s="7" customFormat="1" ht="42.75" customHeight="1" thickBot="1">
      <c r="A2950" s="98">
        <f>A2949-A2948</f>
        <v>0</v>
      </c>
      <c r="B2950" s="99"/>
      <c r="C2950" s="100" t="s">
        <v>5</v>
      </c>
      <c r="D2950" s="97"/>
      <c r="J2950" s="8"/>
      <c r="K2950" s="8"/>
      <c r="L2950" s="8"/>
      <c r="M2950" s="8"/>
      <c r="N2950" s="8"/>
      <c r="O2950" s="8"/>
      <c r="P2950" s="8"/>
    </row>
    <row r="2951" spans="1:16" s="7" customFormat="1" ht="42.75" customHeight="1" thickBot="1">
      <c r="A2951" s="101">
        <v>40</v>
      </c>
      <c r="B2951" s="102"/>
      <c r="C2951" s="96" t="s">
        <v>6</v>
      </c>
      <c r="D2951" s="97"/>
      <c r="J2951" s="8"/>
      <c r="K2951" s="8"/>
      <c r="L2951" s="8"/>
      <c r="M2951" s="8"/>
      <c r="N2951" s="8"/>
      <c r="O2951" s="8"/>
      <c r="P2951" s="8"/>
    </row>
    <row r="2952" spans="1:16" s="7" customFormat="1" ht="42.75" customHeight="1" thickBot="1">
      <c r="A2952" s="103"/>
      <c r="B2952" s="104"/>
      <c r="C2952" s="96" t="s">
        <v>21</v>
      </c>
      <c r="D2952" s="97"/>
      <c r="J2952" s="8"/>
      <c r="K2952" s="8"/>
      <c r="L2952" s="8"/>
      <c r="M2952" s="8"/>
      <c r="N2952" s="8"/>
      <c r="O2952" s="8"/>
      <c r="P2952" s="8"/>
    </row>
    <row r="2953" spans="1:16" s="7" customFormat="1" ht="42.75" customHeight="1" thickBot="1">
      <c r="A2953" s="105">
        <f>A2951*A2950</f>
        <v>0</v>
      </c>
      <c r="B2953" s="106"/>
      <c r="C2953" s="96" t="s">
        <v>7</v>
      </c>
      <c r="D2953" s="97"/>
      <c r="J2953" s="8"/>
      <c r="K2953" s="8"/>
      <c r="L2953" s="8"/>
      <c r="M2953" s="8"/>
      <c r="N2953" s="8"/>
      <c r="O2953" s="8"/>
      <c r="P2953" s="8"/>
    </row>
    <row r="2954" spans="1:16" s="7" customFormat="1" ht="42.75" customHeight="1" thickBot="1">
      <c r="A2954" s="107" t="s">
        <v>17</v>
      </c>
      <c r="B2954" s="108"/>
      <c r="C2954" s="108"/>
      <c r="D2954" s="109"/>
      <c r="J2954" s="8"/>
      <c r="K2954" s="8"/>
      <c r="L2954" s="8"/>
      <c r="M2954" s="8"/>
      <c r="N2954" s="8"/>
      <c r="O2954" s="8"/>
      <c r="P2954" s="8"/>
    </row>
    <row r="2955" spans="1:16" s="7" customFormat="1" ht="42.75" customHeight="1" thickBot="1">
      <c r="A2955" s="116" t="s">
        <v>20</v>
      </c>
      <c r="B2955" s="117"/>
      <c r="C2955" s="117"/>
      <c r="D2955" s="118"/>
      <c r="J2955" s="8"/>
      <c r="K2955" s="8"/>
      <c r="L2955" s="8"/>
      <c r="M2955" s="8"/>
      <c r="N2955" s="8"/>
      <c r="O2955" s="8"/>
      <c r="P2955" s="8"/>
    </row>
    <row r="2956" spans="1:16" s="7" customFormat="1" ht="42.75" customHeight="1" thickBot="1">
      <c r="A2956" s="113" t="s">
        <v>18</v>
      </c>
      <c r="B2956" s="114"/>
      <c r="C2956" s="114"/>
      <c r="D2956" s="115"/>
      <c r="J2956" s="8"/>
      <c r="K2956" s="8"/>
      <c r="L2956" s="8"/>
      <c r="M2956" s="8"/>
      <c r="N2956" s="8"/>
      <c r="O2956" s="8"/>
      <c r="P2956" s="8"/>
    </row>
    <row r="2957" spans="1:16" s="7" customFormat="1" ht="42.75" customHeight="1" thickBot="1">
      <c r="A2957" s="119"/>
      <c r="B2957" s="119"/>
      <c r="C2957" s="119"/>
      <c r="D2957" s="119"/>
      <c r="J2957" s="8"/>
      <c r="K2957" s="8"/>
      <c r="L2957" s="8"/>
      <c r="M2957" s="8"/>
      <c r="N2957" s="8"/>
      <c r="O2957" s="8"/>
      <c r="P2957" s="8"/>
    </row>
    <row r="2958" spans="1:16" s="7" customFormat="1" ht="42.75" customHeight="1" thickBot="1">
      <c r="A2958" s="126" t="s">
        <v>19</v>
      </c>
      <c r="B2958" s="127"/>
      <c r="C2958" s="127"/>
      <c r="D2958" s="128"/>
      <c r="J2958" s="8"/>
      <c r="K2958" s="8"/>
      <c r="L2958" s="8"/>
      <c r="M2958" s="8"/>
      <c r="N2958" s="8"/>
      <c r="O2958" s="8"/>
      <c r="P2958" s="8"/>
    </row>
    <row r="2959" spans="1:16" s="7" customFormat="1" ht="42.75" customHeight="1" thickBot="1">
      <c r="A2959" s="123" t="s">
        <v>11</v>
      </c>
      <c r="B2959" s="124"/>
      <c r="C2959" s="125" t="s">
        <v>603</v>
      </c>
      <c r="D2959" s="124"/>
      <c r="J2959" s="8"/>
      <c r="K2959" s="8"/>
      <c r="L2959" s="8"/>
      <c r="M2959" s="8"/>
      <c r="N2959" s="8"/>
      <c r="O2959" s="8"/>
      <c r="P2959" s="8"/>
    </row>
    <row r="2960" spans="1:16" s="7" customFormat="1" ht="42.75" customHeight="1" thickBot="1">
      <c r="A2960" s="1" t="s">
        <v>686</v>
      </c>
      <c r="B2960" s="26" t="s">
        <v>1</v>
      </c>
      <c r="C2960" s="90" t="s">
        <v>297</v>
      </c>
      <c r="D2960" s="91"/>
      <c r="J2960" s="8"/>
      <c r="K2960" s="8"/>
      <c r="L2960" s="8"/>
      <c r="M2960" s="8"/>
      <c r="N2960" s="8"/>
      <c r="O2960" s="8"/>
      <c r="P2960" s="8"/>
    </row>
    <row r="2961" spans="1:16" s="7" customFormat="1" ht="42.75" customHeight="1" thickBot="1">
      <c r="A2961" s="26"/>
      <c r="B2961" s="26" t="s">
        <v>0</v>
      </c>
      <c r="C2961" s="5" t="s">
        <v>687</v>
      </c>
      <c r="D2961" s="4" t="s">
        <v>2</v>
      </c>
      <c r="J2961" s="8"/>
      <c r="K2961" s="8"/>
      <c r="L2961" s="8"/>
      <c r="M2961" s="8"/>
      <c r="N2961" s="8"/>
      <c r="O2961" s="8"/>
      <c r="P2961" s="8"/>
    </row>
    <row r="2962" spans="1:16" s="7" customFormat="1" ht="42.75" customHeight="1" thickBot="1">
      <c r="A2962" s="92">
        <v>3530</v>
      </c>
      <c r="B2962" s="93"/>
      <c r="C2962" s="94" t="s">
        <v>3</v>
      </c>
      <c r="D2962" s="95"/>
      <c r="J2962" s="8"/>
      <c r="K2962" s="8"/>
      <c r="L2962" s="8"/>
      <c r="M2962" s="8"/>
      <c r="N2962" s="8"/>
      <c r="O2962" s="8"/>
      <c r="P2962" s="8"/>
    </row>
    <row r="2963" spans="1:16" s="7" customFormat="1" ht="42.75" customHeight="1" thickBot="1">
      <c r="A2963" s="92">
        <v>3565</v>
      </c>
      <c r="B2963" s="93"/>
      <c r="C2963" s="96" t="s">
        <v>4</v>
      </c>
      <c r="D2963" s="97"/>
      <c r="J2963" s="8"/>
      <c r="K2963" s="8"/>
      <c r="L2963" s="8"/>
      <c r="M2963" s="8"/>
      <c r="N2963" s="8"/>
      <c r="O2963" s="8"/>
      <c r="P2963" s="8"/>
    </row>
    <row r="2964" spans="1:16" s="7" customFormat="1" ht="42.75" customHeight="1" thickBot="1">
      <c r="A2964" s="98">
        <f>A2963-A2962</f>
        <v>35</v>
      </c>
      <c r="B2964" s="99"/>
      <c r="C2964" s="100" t="s">
        <v>5</v>
      </c>
      <c r="D2964" s="97"/>
      <c r="J2964" s="8"/>
      <c r="K2964" s="8"/>
      <c r="L2964" s="8"/>
      <c r="M2964" s="8"/>
      <c r="N2964" s="8"/>
      <c r="O2964" s="8"/>
      <c r="P2964" s="8"/>
    </row>
    <row r="2965" spans="1:16" s="7" customFormat="1" ht="42.75" customHeight="1" thickBot="1">
      <c r="A2965" s="101">
        <v>62</v>
      </c>
      <c r="B2965" s="102"/>
      <c r="C2965" s="96" t="s">
        <v>6</v>
      </c>
      <c r="D2965" s="97"/>
      <c r="J2965" s="8"/>
      <c r="K2965" s="8"/>
      <c r="L2965" s="8"/>
      <c r="M2965" s="8"/>
      <c r="N2965" s="8"/>
      <c r="O2965" s="8"/>
      <c r="P2965" s="8"/>
    </row>
    <row r="2966" spans="1:16" s="7" customFormat="1" ht="42.75" customHeight="1" thickBot="1">
      <c r="A2966" s="103"/>
      <c r="B2966" s="104"/>
      <c r="C2966" s="96" t="s">
        <v>21</v>
      </c>
      <c r="D2966" s="97"/>
      <c r="J2966" s="8"/>
      <c r="K2966" s="8"/>
      <c r="L2966" s="8"/>
      <c r="M2966" s="8"/>
      <c r="N2966" s="8"/>
      <c r="O2966" s="8"/>
      <c r="P2966" s="8"/>
    </row>
    <row r="2967" spans="1:16" s="7" customFormat="1" ht="42.75" customHeight="1" thickBot="1">
      <c r="A2967" s="105">
        <f>A2965*A2964</f>
        <v>2170</v>
      </c>
      <c r="B2967" s="106"/>
      <c r="C2967" s="96" t="s">
        <v>7</v>
      </c>
      <c r="D2967" s="97"/>
      <c r="J2967" s="8"/>
      <c r="K2967" s="8"/>
      <c r="L2967" s="8"/>
      <c r="M2967" s="8"/>
      <c r="N2967" s="8"/>
      <c r="O2967" s="8"/>
      <c r="P2967" s="8"/>
    </row>
    <row r="2968" spans="1:16" s="7" customFormat="1" ht="42.75" customHeight="1" thickBot="1">
      <c r="A2968" s="107" t="s">
        <v>17</v>
      </c>
      <c r="B2968" s="108"/>
      <c r="C2968" s="108"/>
      <c r="D2968" s="109"/>
      <c r="J2968" s="8"/>
      <c r="K2968" s="8"/>
      <c r="L2968" s="8"/>
      <c r="M2968" s="8"/>
      <c r="N2968" s="8"/>
      <c r="O2968" s="8"/>
      <c r="P2968" s="8"/>
    </row>
    <row r="2969" spans="1:16" s="7" customFormat="1" ht="42.75" customHeight="1" thickBot="1">
      <c r="A2969" s="110" t="s">
        <v>20</v>
      </c>
      <c r="B2969" s="111"/>
      <c r="C2969" s="111"/>
      <c r="D2969" s="112"/>
      <c r="J2969" s="8"/>
      <c r="K2969" s="8"/>
      <c r="L2969" s="8"/>
      <c r="M2969" s="8"/>
      <c r="N2969" s="8"/>
      <c r="O2969" s="8"/>
      <c r="P2969" s="8"/>
    </row>
    <row r="2970" spans="1:16" s="7" customFormat="1" ht="42.75" customHeight="1" thickBot="1">
      <c r="A2970" s="113" t="s">
        <v>18</v>
      </c>
      <c r="B2970" s="114"/>
      <c r="C2970" s="114"/>
      <c r="D2970" s="115"/>
      <c r="J2970" s="8"/>
      <c r="K2970" s="8"/>
      <c r="L2970" s="8"/>
      <c r="M2970" s="8"/>
      <c r="N2970" s="8"/>
      <c r="O2970" s="8"/>
      <c r="P2970" s="8"/>
    </row>
    <row r="2971" spans="1:16" s="7" customFormat="1" ht="42.75" customHeight="1" thickBot="1">
      <c r="A2971" s="126" t="s">
        <v>19</v>
      </c>
      <c r="B2971" s="127"/>
      <c r="C2971" s="127"/>
      <c r="D2971" s="128"/>
      <c r="J2971" s="8"/>
      <c r="K2971" s="8"/>
      <c r="L2971" s="8"/>
      <c r="M2971" s="8"/>
      <c r="N2971" s="8"/>
      <c r="O2971" s="8"/>
      <c r="P2971" s="8"/>
    </row>
    <row r="2972" spans="1:16" s="7" customFormat="1" ht="42.75" customHeight="1" thickBot="1">
      <c r="A2972" s="123" t="s">
        <v>11</v>
      </c>
      <c r="B2972" s="124"/>
      <c r="C2972" s="125" t="s">
        <v>603</v>
      </c>
      <c r="D2972" s="124"/>
      <c r="J2972" s="8"/>
      <c r="K2972" s="8"/>
      <c r="L2972" s="8"/>
      <c r="M2972" s="8"/>
      <c r="N2972" s="8"/>
      <c r="O2972" s="8"/>
      <c r="P2972" s="8"/>
    </row>
    <row r="2973" spans="1:16" s="7" customFormat="1" ht="42.75" customHeight="1" thickBot="1">
      <c r="A2973" s="1" t="s">
        <v>686</v>
      </c>
      <c r="B2973" s="26" t="s">
        <v>1</v>
      </c>
      <c r="C2973" s="90" t="s">
        <v>298</v>
      </c>
      <c r="D2973" s="91"/>
      <c r="J2973" s="8"/>
      <c r="K2973" s="8"/>
      <c r="L2973" s="8"/>
      <c r="M2973" s="8"/>
      <c r="N2973" s="8"/>
      <c r="O2973" s="8"/>
      <c r="P2973" s="8"/>
    </row>
    <row r="2974" spans="1:16" s="7" customFormat="1" ht="42.75" customHeight="1" thickBot="1">
      <c r="A2974" s="26"/>
      <c r="B2974" s="26" t="s">
        <v>0</v>
      </c>
      <c r="C2974" s="5" t="s">
        <v>687</v>
      </c>
      <c r="D2974" s="4" t="s">
        <v>2</v>
      </c>
      <c r="J2974" s="8"/>
      <c r="K2974" s="8"/>
      <c r="L2974" s="8"/>
      <c r="M2974" s="8"/>
      <c r="N2974" s="8"/>
      <c r="O2974" s="8"/>
      <c r="P2974" s="8"/>
    </row>
    <row r="2975" spans="1:16" s="7" customFormat="1" ht="42.75" customHeight="1" thickBot="1">
      <c r="A2975" s="92">
        <v>845</v>
      </c>
      <c r="B2975" s="93"/>
      <c r="C2975" s="94" t="s">
        <v>3</v>
      </c>
      <c r="D2975" s="95"/>
      <c r="J2975" s="8"/>
      <c r="K2975" s="8"/>
      <c r="L2975" s="8"/>
      <c r="M2975" s="8"/>
      <c r="N2975" s="8"/>
      <c r="O2975" s="8"/>
      <c r="P2975" s="8"/>
    </row>
    <row r="2976" spans="1:16" s="7" customFormat="1" ht="42.75" customHeight="1" thickBot="1">
      <c r="A2976" s="92">
        <v>845</v>
      </c>
      <c r="B2976" s="93"/>
      <c r="C2976" s="96" t="s">
        <v>4</v>
      </c>
      <c r="D2976" s="97"/>
      <c r="J2976" s="8"/>
      <c r="K2976" s="8"/>
      <c r="L2976" s="8"/>
      <c r="M2976" s="8"/>
      <c r="N2976" s="8"/>
      <c r="O2976" s="8"/>
      <c r="P2976" s="8"/>
    </row>
    <row r="2977" spans="1:16" s="7" customFormat="1" ht="42.75" customHeight="1" thickBot="1">
      <c r="A2977" s="98">
        <f>A2976-A2975</f>
        <v>0</v>
      </c>
      <c r="B2977" s="99"/>
      <c r="C2977" s="100" t="s">
        <v>5</v>
      </c>
      <c r="D2977" s="97"/>
      <c r="J2977" s="8"/>
      <c r="K2977" s="8"/>
      <c r="L2977" s="8"/>
      <c r="M2977" s="8"/>
      <c r="N2977" s="8"/>
      <c r="O2977" s="8"/>
      <c r="P2977" s="8"/>
    </row>
    <row r="2978" spans="1:16" s="7" customFormat="1" ht="42.75" customHeight="1" thickBot="1">
      <c r="A2978" s="101">
        <v>62</v>
      </c>
      <c r="B2978" s="102"/>
      <c r="C2978" s="96" t="s">
        <v>6</v>
      </c>
      <c r="D2978" s="97"/>
      <c r="J2978" s="8"/>
      <c r="K2978" s="8"/>
      <c r="L2978" s="8"/>
      <c r="M2978" s="8"/>
      <c r="N2978" s="8"/>
      <c r="O2978" s="8"/>
      <c r="P2978" s="8"/>
    </row>
    <row r="2979" spans="1:16" s="7" customFormat="1" ht="42.75" customHeight="1" thickBot="1">
      <c r="A2979" s="103"/>
      <c r="B2979" s="104"/>
      <c r="C2979" s="96" t="s">
        <v>21</v>
      </c>
      <c r="D2979" s="97"/>
      <c r="J2979" s="8"/>
      <c r="K2979" s="8"/>
      <c r="L2979" s="8"/>
      <c r="M2979" s="8"/>
      <c r="N2979" s="8"/>
      <c r="O2979" s="8"/>
      <c r="P2979" s="8"/>
    </row>
    <row r="2980" spans="1:16" s="7" customFormat="1" ht="42.75" customHeight="1" thickBot="1">
      <c r="A2980" s="105">
        <f>A2978*A2977</f>
        <v>0</v>
      </c>
      <c r="B2980" s="106"/>
      <c r="C2980" s="96" t="s">
        <v>7</v>
      </c>
      <c r="D2980" s="97"/>
      <c r="J2980" s="8"/>
      <c r="K2980" s="8"/>
      <c r="L2980" s="8"/>
      <c r="M2980" s="8"/>
      <c r="N2980" s="8"/>
      <c r="O2980" s="8"/>
      <c r="P2980" s="8"/>
    </row>
    <row r="2981" spans="1:16" s="7" customFormat="1" ht="42.75" customHeight="1" thickBot="1">
      <c r="A2981" s="107" t="s">
        <v>17</v>
      </c>
      <c r="B2981" s="108"/>
      <c r="C2981" s="108"/>
      <c r="D2981" s="109"/>
      <c r="J2981" s="8"/>
      <c r="K2981" s="8"/>
      <c r="L2981" s="8"/>
      <c r="M2981" s="8"/>
      <c r="N2981" s="8"/>
      <c r="O2981" s="8"/>
      <c r="P2981" s="8"/>
    </row>
    <row r="2982" spans="1:16" s="7" customFormat="1" ht="42.75" customHeight="1" thickBot="1">
      <c r="A2982" s="116" t="s">
        <v>20</v>
      </c>
      <c r="B2982" s="117"/>
      <c r="C2982" s="117"/>
      <c r="D2982" s="118"/>
      <c r="J2982" s="8"/>
      <c r="K2982" s="8"/>
      <c r="L2982" s="8"/>
      <c r="M2982" s="8"/>
      <c r="N2982" s="8"/>
      <c r="O2982" s="8"/>
      <c r="P2982" s="8"/>
    </row>
    <row r="2983" spans="1:16" s="7" customFormat="1" ht="42.75" customHeight="1" thickBot="1">
      <c r="A2983" s="113" t="s">
        <v>18</v>
      </c>
      <c r="B2983" s="114"/>
      <c r="C2983" s="114"/>
      <c r="D2983" s="115"/>
      <c r="J2983" s="8"/>
      <c r="K2983" s="8"/>
      <c r="L2983" s="8"/>
      <c r="M2983" s="8"/>
      <c r="N2983" s="8"/>
      <c r="O2983" s="8"/>
      <c r="P2983" s="8"/>
    </row>
    <row r="2984" spans="1:16" s="7" customFormat="1" ht="42.75" customHeight="1" thickBot="1">
      <c r="A2984" s="119"/>
      <c r="B2984" s="119"/>
      <c r="C2984" s="119"/>
      <c r="D2984" s="119"/>
      <c r="J2984" s="8"/>
      <c r="K2984" s="8"/>
      <c r="L2984" s="8"/>
      <c r="M2984" s="8"/>
      <c r="N2984" s="8"/>
      <c r="O2984" s="8"/>
      <c r="P2984" s="8"/>
    </row>
    <row r="2985" spans="1:16" s="7" customFormat="1" ht="42.75" customHeight="1" thickBot="1">
      <c r="A2985" s="126" t="s">
        <v>19</v>
      </c>
      <c r="B2985" s="127"/>
      <c r="C2985" s="127"/>
      <c r="D2985" s="128"/>
      <c r="J2985" s="8"/>
      <c r="K2985" s="8"/>
      <c r="L2985" s="8"/>
      <c r="M2985" s="8"/>
      <c r="N2985" s="8"/>
      <c r="O2985" s="8"/>
      <c r="P2985" s="8"/>
    </row>
    <row r="2986" spans="1:16" s="7" customFormat="1" ht="42.75" customHeight="1" thickBot="1">
      <c r="A2986" s="123" t="s">
        <v>11</v>
      </c>
      <c r="B2986" s="124"/>
      <c r="C2986" s="125" t="s">
        <v>603</v>
      </c>
      <c r="D2986" s="124"/>
      <c r="J2986" s="8"/>
      <c r="K2986" s="8"/>
      <c r="L2986" s="8"/>
      <c r="M2986" s="8"/>
      <c r="N2986" s="8"/>
      <c r="O2986" s="8"/>
      <c r="P2986" s="8"/>
    </row>
    <row r="2987" spans="1:16" s="7" customFormat="1" ht="42.75" customHeight="1" thickBot="1">
      <c r="A2987" s="1" t="s">
        <v>686</v>
      </c>
      <c r="B2987" s="26" t="s">
        <v>1</v>
      </c>
      <c r="C2987" s="90" t="s">
        <v>298</v>
      </c>
      <c r="D2987" s="91"/>
      <c r="J2987" s="8"/>
      <c r="K2987" s="8"/>
      <c r="L2987" s="8"/>
      <c r="M2987" s="8"/>
      <c r="N2987" s="8"/>
      <c r="O2987" s="8"/>
      <c r="P2987" s="8"/>
    </row>
    <row r="2988" spans="1:16" s="7" customFormat="1" ht="42.75" customHeight="1" thickBot="1">
      <c r="A2988" s="26"/>
      <c r="B2988" s="26" t="s">
        <v>0</v>
      </c>
      <c r="C2988" s="5" t="s">
        <v>687</v>
      </c>
      <c r="D2988" s="4" t="s">
        <v>2</v>
      </c>
      <c r="J2988" s="8"/>
      <c r="K2988" s="8"/>
      <c r="L2988" s="8"/>
      <c r="M2988" s="8"/>
      <c r="N2988" s="8"/>
      <c r="O2988" s="8"/>
      <c r="P2988" s="8"/>
    </row>
    <row r="2989" spans="1:16" s="7" customFormat="1" ht="42.75" customHeight="1" thickBot="1">
      <c r="A2989" s="92">
        <v>825</v>
      </c>
      <c r="B2989" s="93"/>
      <c r="C2989" s="94" t="s">
        <v>3</v>
      </c>
      <c r="D2989" s="95"/>
      <c r="J2989" s="8"/>
      <c r="K2989" s="8"/>
      <c r="L2989" s="8"/>
      <c r="M2989" s="8"/>
      <c r="N2989" s="8"/>
      <c r="O2989" s="8"/>
      <c r="P2989" s="8"/>
    </row>
    <row r="2990" spans="1:16" s="7" customFormat="1" ht="42.75" customHeight="1" thickBot="1">
      <c r="A2990" s="92">
        <v>845</v>
      </c>
      <c r="B2990" s="93"/>
      <c r="C2990" s="96" t="s">
        <v>4</v>
      </c>
      <c r="D2990" s="97"/>
      <c r="J2990" s="8"/>
      <c r="K2990" s="8"/>
      <c r="L2990" s="8"/>
      <c r="M2990" s="8"/>
      <c r="N2990" s="8"/>
      <c r="O2990" s="8"/>
      <c r="P2990" s="8"/>
    </row>
    <row r="2991" spans="1:16" s="7" customFormat="1" ht="42.75" customHeight="1" thickBot="1">
      <c r="A2991" s="98">
        <f>A2990-A2989</f>
        <v>20</v>
      </c>
      <c r="B2991" s="99"/>
      <c r="C2991" s="100" t="s">
        <v>5</v>
      </c>
      <c r="D2991" s="97"/>
      <c r="J2991" s="8"/>
      <c r="K2991" s="8"/>
      <c r="L2991" s="8"/>
      <c r="M2991" s="8"/>
      <c r="N2991" s="8"/>
      <c r="O2991" s="8"/>
      <c r="P2991" s="8"/>
    </row>
    <row r="2992" spans="1:16" s="7" customFormat="1" ht="42.75" customHeight="1" thickBot="1">
      <c r="A2992" s="101">
        <v>62</v>
      </c>
      <c r="B2992" s="102"/>
      <c r="C2992" s="96" t="s">
        <v>6</v>
      </c>
      <c r="D2992" s="97"/>
      <c r="J2992" s="8"/>
      <c r="K2992" s="8"/>
      <c r="L2992" s="8"/>
      <c r="M2992" s="8"/>
      <c r="N2992" s="8"/>
      <c r="O2992" s="8"/>
      <c r="P2992" s="8"/>
    </row>
    <row r="2993" spans="1:16" s="7" customFormat="1" ht="42.75" customHeight="1" thickBot="1">
      <c r="A2993" s="103"/>
      <c r="B2993" s="104"/>
      <c r="C2993" s="96" t="s">
        <v>21</v>
      </c>
      <c r="D2993" s="97"/>
      <c r="J2993" s="8"/>
      <c r="K2993" s="8"/>
      <c r="L2993" s="8"/>
      <c r="M2993" s="8"/>
      <c r="N2993" s="8"/>
      <c r="O2993" s="8"/>
      <c r="P2993" s="8"/>
    </row>
    <row r="2994" spans="1:16" s="7" customFormat="1" ht="42.75" customHeight="1" thickBot="1">
      <c r="A2994" s="105">
        <v>1250</v>
      </c>
      <c r="B2994" s="106"/>
      <c r="C2994" s="96" t="s">
        <v>7</v>
      </c>
      <c r="D2994" s="97"/>
      <c r="J2994" s="8"/>
      <c r="K2994" s="8"/>
      <c r="L2994" s="8"/>
      <c r="M2994" s="8"/>
      <c r="N2994" s="8"/>
      <c r="O2994" s="8"/>
      <c r="P2994" s="8"/>
    </row>
    <row r="2995" spans="1:16" s="7" customFormat="1" ht="42.75" customHeight="1" thickBot="1">
      <c r="A2995" s="107" t="s">
        <v>17</v>
      </c>
      <c r="B2995" s="108"/>
      <c r="C2995" s="108"/>
      <c r="D2995" s="109"/>
      <c r="J2995" s="8"/>
      <c r="K2995" s="8"/>
      <c r="L2995" s="8"/>
      <c r="M2995" s="8"/>
      <c r="N2995" s="8"/>
      <c r="O2995" s="8"/>
      <c r="P2995" s="8"/>
    </row>
    <row r="2996" spans="1:16" s="7" customFormat="1" ht="42.75" customHeight="1" thickBot="1">
      <c r="A2996" s="110" t="s">
        <v>20</v>
      </c>
      <c r="B2996" s="111"/>
      <c r="C2996" s="111"/>
      <c r="D2996" s="112"/>
      <c r="J2996" s="8"/>
      <c r="K2996" s="8"/>
      <c r="L2996" s="8"/>
      <c r="M2996" s="8"/>
      <c r="N2996" s="8"/>
      <c r="O2996" s="8"/>
      <c r="P2996" s="8"/>
    </row>
    <row r="2997" spans="1:16" s="7" customFormat="1" ht="42.75" customHeight="1" thickBot="1">
      <c r="A2997" s="113" t="s">
        <v>18</v>
      </c>
      <c r="B2997" s="114"/>
      <c r="C2997" s="114"/>
      <c r="D2997" s="115"/>
      <c r="J2997" s="8"/>
      <c r="K2997" s="8"/>
      <c r="L2997" s="8"/>
      <c r="M2997" s="8"/>
      <c r="N2997" s="8"/>
      <c r="O2997" s="8"/>
      <c r="P2997" s="8"/>
    </row>
    <row r="2998" spans="1:16" s="7" customFormat="1" ht="42.75" customHeight="1" thickBot="1">
      <c r="A2998" s="126" t="s">
        <v>19</v>
      </c>
      <c r="B2998" s="127"/>
      <c r="C2998" s="127"/>
      <c r="D2998" s="128"/>
      <c r="J2998" s="8"/>
      <c r="K2998" s="8"/>
      <c r="L2998" s="8"/>
      <c r="M2998" s="8"/>
      <c r="N2998" s="8"/>
      <c r="O2998" s="8"/>
      <c r="P2998" s="8"/>
    </row>
    <row r="2999" spans="1:16" s="7" customFormat="1" ht="42.75" customHeight="1" thickBot="1">
      <c r="A2999" s="123" t="s">
        <v>11</v>
      </c>
      <c r="B2999" s="124"/>
      <c r="C2999" s="125" t="s">
        <v>603</v>
      </c>
      <c r="D2999" s="124"/>
      <c r="J2999" s="8"/>
      <c r="K2999" s="8"/>
      <c r="L2999" s="8"/>
      <c r="M2999" s="8"/>
      <c r="N2999" s="8"/>
      <c r="O2999" s="8"/>
      <c r="P2999" s="8"/>
    </row>
    <row r="3000" spans="1:16" s="7" customFormat="1" ht="42.75" customHeight="1" thickBot="1">
      <c r="A3000" s="1" t="s">
        <v>686</v>
      </c>
      <c r="B3000" s="26" t="s">
        <v>1</v>
      </c>
      <c r="C3000" s="90" t="s">
        <v>299</v>
      </c>
      <c r="D3000" s="91"/>
      <c r="J3000" s="8"/>
      <c r="K3000" s="8"/>
      <c r="L3000" s="8"/>
      <c r="M3000" s="8"/>
      <c r="N3000" s="8"/>
      <c r="O3000" s="8"/>
      <c r="P3000" s="8"/>
    </row>
    <row r="3001" spans="1:16" s="7" customFormat="1" ht="42.75" customHeight="1" thickBot="1">
      <c r="A3001" s="26"/>
      <c r="B3001" s="26" t="s">
        <v>0</v>
      </c>
      <c r="C3001" s="5" t="s">
        <v>687</v>
      </c>
      <c r="D3001" s="4" t="s">
        <v>2</v>
      </c>
      <c r="J3001" s="8"/>
      <c r="K3001" s="8"/>
      <c r="L3001" s="8"/>
      <c r="M3001" s="8"/>
      <c r="N3001" s="8"/>
      <c r="O3001" s="8"/>
      <c r="P3001" s="8"/>
    </row>
    <row r="3002" spans="1:16" s="7" customFormat="1" ht="42.75" customHeight="1" thickBot="1">
      <c r="A3002" s="92">
        <v>3100</v>
      </c>
      <c r="B3002" s="93"/>
      <c r="C3002" s="94" t="s">
        <v>3</v>
      </c>
      <c r="D3002" s="95"/>
      <c r="J3002" s="8"/>
      <c r="K3002" s="8"/>
      <c r="L3002" s="8"/>
      <c r="M3002" s="8"/>
      <c r="N3002" s="8"/>
      <c r="O3002" s="8"/>
      <c r="P3002" s="8"/>
    </row>
    <row r="3003" spans="1:16" s="7" customFormat="1" ht="42.75" customHeight="1" thickBot="1">
      <c r="A3003" s="92">
        <v>3100</v>
      </c>
      <c r="B3003" s="93"/>
      <c r="C3003" s="96" t="s">
        <v>4</v>
      </c>
      <c r="D3003" s="97"/>
      <c r="J3003" s="8"/>
      <c r="K3003" s="8"/>
      <c r="L3003" s="8"/>
      <c r="M3003" s="8"/>
      <c r="N3003" s="8"/>
      <c r="O3003" s="8"/>
      <c r="P3003" s="8"/>
    </row>
    <row r="3004" spans="1:16" s="7" customFormat="1" ht="42.75" customHeight="1" thickBot="1">
      <c r="A3004" s="98">
        <f>A3003-A3002</f>
        <v>0</v>
      </c>
      <c r="B3004" s="99"/>
      <c r="C3004" s="100" t="s">
        <v>5</v>
      </c>
      <c r="D3004" s="97"/>
      <c r="J3004" s="8"/>
      <c r="K3004" s="8"/>
      <c r="L3004" s="8"/>
      <c r="M3004" s="8"/>
      <c r="N3004" s="8"/>
      <c r="O3004" s="8"/>
      <c r="P3004" s="8"/>
    </row>
    <row r="3005" spans="1:16" s="7" customFormat="1" ht="42.75" customHeight="1" thickBot="1">
      <c r="A3005" s="101">
        <v>55</v>
      </c>
      <c r="B3005" s="102"/>
      <c r="C3005" s="96" t="s">
        <v>6</v>
      </c>
      <c r="D3005" s="97"/>
      <c r="J3005" s="8"/>
      <c r="K3005" s="8"/>
      <c r="L3005" s="8"/>
      <c r="M3005" s="8"/>
      <c r="N3005" s="8"/>
      <c r="O3005" s="8"/>
      <c r="P3005" s="8"/>
    </row>
    <row r="3006" spans="1:16" s="7" customFormat="1" ht="42.75" customHeight="1" thickBot="1">
      <c r="A3006" s="103"/>
      <c r="B3006" s="104"/>
      <c r="C3006" s="96" t="s">
        <v>21</v>
      </c>
      <c r="D3006" s="97"/>
      <c r="J3006" s="8"/>
      <c r="K3006" s="8"/>
      <c r="L3006" s="8"/>
      <c r="M3006" s="8"/>
      <c r="N3006" s="8"/>
      <c r="O3006" s="8"/>
      <c r="P3006" s="8"/>
    </row>
    <row r="3007" spans="1:16" s="7" customFormat="1" ht="42.75" customHeight="1" thickBot="1">
      <c r="A3007" s="105">
        <f>A3005*A3004</f>
        <v>0</v>
      </c>
      <c r="B3007" s="106"/>
      <c r="C3007" s="96" t="s">
        <v>7</v>
      </c>
      <c r="D3007" s="97"/>
      <c r="J3007" s="8"/>
      <c r="K3007" s="8"/>
      <c r="L3007" s="8"/>
      <c r="M3007" s="8"/>
      <c r="N3007" s="8"/>
      <c r="O3007" s="8"/>
      <c r="P3007" s="8"/>
    </row>
    <row r="3008" spans="1:16" s="7" customFormat="1" ht="42.75" customHeight="1" thickBot="1">
      <c r="A3008" s="107" t="s">
        <v>17</v>
      </c>
      <c r="B3008" s="108"/>
      <c r="C3008" s="108"/>
      <c r="D3008" s="109"/>
      <c r="J3008" s="8"/>
      <c r="K3008" s="8"/>
      <c r="L3008" s="8"/>
      <c r="M3008" s="8"/>
      <c r="N3008" s="8"/>
      <c r="O3008" s="8"/>
      <c r="P3008" s="8"/>
    </row>
    <row r="3009" spans="1:16" s="7" customFormat="1" ht="42.75" customHeight="1" thickBot="1">
      <c r="A3009" s="116" t="s">
        <v>20</v>
      </c>
      <c r="B3009" s="117"/>
      <c r="C3009" s="117"/>
      <c r="D3009" s="118"/>
      <c r="J3009" s="8"/>
      <c r="K3009" s="8"/>
      <c r="L3009" s="8"/>
      <c r="M3009" s="8"/>
      <c r="N3009" s="8"/>
      <c r="O3009" s="8"/>
      <c r="P3009" s="8"/>
    </row>
    <row r="3010" spans="1:16" s="7" customFormat="1" ht="42.75" customHeight="1" thickBot="1">
      <c r="A3010" s="113" t="s">
        <v>18</v>
      </c>
      <c r="B3010" s="114"/>
      <c r="C3010" s="114"/>
      <c r="D3010" s="115"/>
      <c r="J3010" s="8"/>
      <c r="K3010" s="8"/>
      <c r="L3010" s="8"/>
      <c r="M3010" s="8"/>
      <c r="N3010" s="8"/>
      <c r="O3010" s="8"/>
      <c r="P3010" s="8"/>
    </row>
    <row r="3011" spans="1:16" s="7" customFormat="1" ht="42.75" customHeight="1" thickBot="1">
      <c r="A3011" s="119"/>
      <c r="B3011" s="119"/>
      <c r="C3011" s="119"/>
      <c r="D3011" s="119"/>
      <c r="J3011" s="8"/>
      <c r="K3011" s="8"/>
      <c r="L3011" s="8"/>
      <c r="M3011" s="8"/>
      <c r="N3011" s="8"/>
      <c r="O3011" s="8"/>
      <c r="P3011" s="8"/>
    </row>
    <row r="3012" spans="1:16" s="7" customFormat="1" ht="42.75" customHeight="1" thickBot="1">
      <c r="A3012" s="126" t="s">
        <v>19</v>
      </c>
      <c r="B3012" s="127"/>
      <c r="C3012" s="127"/>
      <c r="D3012" s="128"/>
      <c r="J3012" s="8"/>
      <c r="K3012" s="8"/>
      <c r="L3012" s="8"/>
      <c r="M3012" s="8"/>
      <c r="N3012" s="8"/>
      <c r="O3012" s="8"/>
      <c r="P3012" s="8"/>
    </row>
    <row r="3013" spans="1:16" s="7" customFormat="1" ht="42.75" customHeight="1" thickBot="1">
      <c r="A3013" s="123" t="s">
        <v>11</v>
      </c>
      <c r="B3013" s="124"/>
      <c r="C3013" s="125" t="s">
        <v>603</v>
      </c>
      <c r="D3013" s="124"/>
      <c r="J3013" s="8"/>
      <c r="K3013" s="8"/>
      <c r="L3013" s="8"/>
      <c r="M3013" s="8"/>
      <c r="N3013" s="8"/>
      <c r="O3013" s="8"/>
      <c r="P3013" s="8"/>
    </row>
    <row r="3014" spans="1:16" s="7" customFormat="1" ht="42.75" customHeight="1" thickBot="1">
      <c r="A3014" s="1" t="s">
        <v>686</v>
      </c>
      <c r="B3014" s="26" t="s">
        <v>1</v>
      </c>
      <c r="C3014" s="90" t="s">
        <v>299</v>
      </c>
      <c r="D3014" s="91"/>
      <c r="J3014" s="8"/>
      <c r="K3014" s="8"/>
      <c r="L3014" s="8"/>
      <c r="M3014" s="8"/>
      <c r="N3014" s="8"/>
      <c r="O3014" s="8"/>
      <c r="P3014" s="8"/>
    </row>
    <row r="3015" spans="1:16" s="7" customFormat="1" ht="42.75" customHeight="1" thickBot="1">
      <c r="A3015" s="26"/>
      <c r="B3015" s="26" t="s">
        <v>0</v>
      </c>
      <c r="C3015" s="5" t="s">
        <v>687</v>
      </c>
      <c r="D3015" s="4" t="s">
        <v>2</v>
      </c>
      <c r="J3015" s="8"/>
      <c r="K3015" s="8"/>
      <c r="L3015" s="8"/>
      <c r="M3015" s="8"/>
      <c r="N3015" s="8"/>
      <c r="O3015" s="8"/>
      <c r="P3015" s="8"/>
    </row>
    <row r="3016" spans="1:16" s="7" customFormat="1" ht="42.75" customHeight="1" thickBot="1">
      <c r="A3016" s="92">
        <v>3070</v>
      </c>
      <c r="B3016" s="93"/>
      <c r="C3016" s="94" t="s">
        <v>3</v>
      </c>
      <c r="D3016" s="95"/>
      <c r="J3016" s="8"/>
      <c r="K3016" s="8"/>
      <c r="L3016" s="8"/>
      <c r="M3016" s="8"/>
      <c r="N3016" s="8"/>
      <c r="O3016" s="8"/>
      <c r="P3016" s="8"/>
    </row>
    <row r="3017" spans="1:16" s="7" customFormat="1" ht="42.75" customHeight="1" thickBot="1">
      <c r="A3017" s="92">
        <v>3100</v>
      </c>
      <c r="B3017" s="93"/>
      <c r="C3017" s="96" t="s">
        <v>4</v>
      </c>
      <c r="D3017" s="97"/>
      <c r="J3017" s="8"/>
      <c r="K3017" s="8"/>
      <c r="L3017" s="8"/>
      <c r="M3017" s="8"/>
      <c r="N3017" s="8"/>
      <c r="O3017" s="8"/>
      <c r="P3017" s="8"/>
    </row>
    <row r="3018" spans="1:16" s="7" customFormat="1" ht="42.75" customHeight="1" thickBot="1">
      <c r="A3018" s="98">
        <f>A3017-A3016</f>
        <v>30</v>
      </c>
      <c r="B3018" s="99"/>
      <c r="C3018" s="100" t="s">
        <v>5</v>
      </c>
      <c r="D3018" s="97"/>
      <c r="J3018" s="8"/>
      <c r="K3018" s="8"/>
      <c r="L3018" s="8"/>
      <c r="M3018" s="8"/>
      <c r="N3018" s="8"/>
      <c r="O3018" s="8"/>
      <c r="P3018" s="8"/>
    </row>
    <row r="3019" spans="1:16" s="7" customFormat="1" ht="42.75" customHeight="1" thickBot="1">
      <c r="A3019" s="101">
        <v>62</v>
      </c>
      <c r="B3019" s="102"/>
      <c r="C3019" s="96" t="s">
        <v>6</v>
      </c>
      <c r="D3019" s="97"/>
      <c r="J3019" s="8"/>
      <c r="K3019" s="8"/>
      <c r="L3019" s="8"/>
      <c r="M3019" s="8"/>
      <c r="N3019" s="8"/>
      <c r="O3019" s="8"/>
      <c r="P3019" s="8"/>
    </row>
    <row r="3020" spans="1:16" s="7" customFormat="1" ht="42.75" customHeight="1" thickBot="1">
      <c r="A3020" s="103"/>
      <c r="B3020" s="104"/>
      <c r="C3020" s="96" t="s">
        <v>21</v>
      </c>
      <c r="D3020" s="97"/>
      <c r="J3020" s="8"/>
      <c r="K3020" s="8"/>
      <c r="L3020" s="8"/>
      <c r="M3020" s="8"/>
      <c r="N3020" s="8"/>
      <c r="O3020" s="8"/>
      <c r="P3020" s="8"/>
    </row>
    <row r="3021" spans="1:16" s="7" customFormat="1" ht="42.75" customHeight="1" thickBot="1">
      <c r="A3021" s="105">
        <f>A3019*A3018</f>
        <v>1860</v>
      </c>
      <c r="B3021" s="106"/>
      <c r="C3021" s="96" t="s">
        <v>7</v>
      </c>
      <c r="D3021" s="97"/>
      <c r="J3021" s="8"/>
      <c r="K3021" s="8"/>
      <c r="L3021" s="8"/>
      <c r="M3021" s="8"/>
      <c r="N3021" s="8"/>
      <c r="O3021" s="8"/>
      <c r="P3021" s="8"/>
    </row>
    <row r="3022" spans="1:16" s="7" customFormat="1" ht="42.75" customHeight="1" thickBot="1">
      <c r="A3022" s="107" t="s">
        <v>17</v>
      </c>
      <c r="B3022" s="108"/>
      <c r="C3022" s="108"/>
      <c r="D3022" s="109"/>
      <c r="J3022" s="8"/>
      <c r="K3022" s="8"/>
      <c r="L3022" s="8"/>
      <c r="M3022" s="8"/>
      <c r="N3022" s="8"/>
      <c r="O3022" s="8"/>
      <c r="P3022" s="8"/>
    </row>
    <row r="3023" spans="1:16" s="7" customFormat="1" ht="42.75" customHeight="1" thickBot="1">
      <c r="A3023" s="110" t="s">
        <v>20</v>
      </c>
      <c r="B3023" s="111"/>
      <c r="C3023" s="111"/>
      <c r="D3023" s="112"/>
      <c r="J3023" s="8"/>
      <c r="K3023" s="8"/>
      <c r="L3023" s="8"/>
      <c r="M3023" s="8"/>
      <c r="N3023" s="8"/>
      <c r="O3023" s="8"/>
      <c r="P3023" s="8"/>
    </row>
    <row r="3024" spans="1:16" s="7" customFormat="1" ht="42.75" customHeight="1" thickBot="1">
      <c r="A3024" s="113" t="s">
        <v>18</v>
      </c>
      <c r="B3024" s="114"/>
      <c r="C3024" s="114"/>
      <c r="D3024" s="115"/>
      <c r="J3024" s="8"/>
      <c r="K3024" s="8"/>
      <c r="L3024" s="8"/>
      <c r="M3024" s="8"/>
      <c r="N3024" s="8"/>
      <c r="O3024" s="8"/>
      <c r="P3024" s="8"/>
    </row>
    <row r="3025" spans="1:16" s="7" customFormat="1" ht="42.75" customHeight="1" thickBot="1">
      <c r="A3025" s="126" t="s">
        <v>19</v>
      </c>
      <c r="B3025" s="127"/>
      <c r="C3025" s="127"/>
      <c r="D3025" s="128"/>
      <c r="J3025" s="8"/>
      <c r="K3025" s="8"/>
      <c r="L3025" s="8"/>
      <c r="M3025" s="8"/>
      <c r="N3025" s="8"/>
      <c r="O3025" s="8"/>
      <c r="P3025" s="8"/>
    </row>
    <row r="3026" spans="1:16" s="7" customFormat="1" ht="42.75" customHeight="1" thickBot="1">
      <c r="A3026" s="123" t="s">
        <v>11</v>
      </c>
      <c r="B3026" s="124"/>
      <c r="C3026" s="125" t="s">
        <v>603</v>
      </c>
      <c r="D3026" s="124"/>
      <c r="J3026" s="8"/>
      <c r="K3026" s="8"/>
      <c r="L3026" s="8"/>
      <c r="M3026" s="8"/>
      <c r="N3026" s="8"/>
      <c r="O3026" s="8"/>
      <c r="P3026" s="8"/>
    </row>
    <row r="3027" spans="1:16" s="7" customFormat="1" ht="42.75" customHeight="1" thickBot="1">
      <c r="A3027" s="1" t="s">
        <v>686</v>
      </c>
      <c r="B3027" s="26" t="s">
        <v>1</v>
      </c>
      <c r="C3027" s="90" t="s">
        <v>300</v>
      </c>
      <c r="D3027" s="91"/>
      <c r="J3027" s="8"/>
      <c r="K3027" s="8"/>
      <c r="L3027" s="8"/>
      <c r="M3027" s="8"/>
      <c r="N3027" s="8"/>
      <c r="O3027" s="8"/>
      <c r="P3027" s="8"/>
    </row>
    <row r="3028" spans="1:16" s="7" customFormat="1" ht="42.75" customHeight="1" thickBot="1">
      <c r="A3028" s="26"/>
      <c r="B3028" s="26" t="s">
        <v>0</v>
      </c>
      <c r="C3028" s="5" t="s">
        <v>687</v>
      </c>
      <c r="D3028" s="4" t="s">
        <v>2</v>
      </c>
      <c r="J3028" s="8"/>
      <c r="K3028" s="8"/>
      <c r="L3028" s="8"/>
      <c r="M3028" s="8"/>
      <c r="N3028" s="8"/>
      <c r="O3028" s="8"/>
      <c r="P3028" s="8"/>
    </row>
    <row r="3029" spans="1:16" s="7" customFormat="1" ht="42.75" customHeight="1" thickBot="1">
      <c r="A3029" s="92">
        <v>215</v>
      </c>
      <c r="B3029" s="93"/>
      <c r="C3029" s="94" t="s">
        <v>3</v>
      </c>
      <c r="D3029" s="95"/>
      <c r="J3029" s="8"/>
      <c r="K3029" s="8"/>
      <c r="L3029" s="8"/>
      <c r="M3029" s="8"/>
      <c r="N3029" s="8"/>
      <c r="O3029" s="8"/>
      <c r="P3029" s="8"/>
    </row>
    <row r="3030" spans="1:16" s="7" customFormat="1" ht="42.75" customHeight="1" thickBot="1">
      <c r="A3030" s="92">
        <v>215</v>
      </c>
      <c r="B3030" s="93"/>
      <c r="C3030" s="96" t="s">
        <v>4</v>
      </c>
      <c r="D3030" s="97"/>
      <c r="J3030" s="8"/>
      <c r="K3030" s="8"/>
      <c r="L3030" s="8"/>
      <c r="M3030" s="8"/>
      <c r="N3030" s="8"/>
      <c r="O3030" s="8"/>
      <c r="P3030" s="8"/>
    </row>
    <row r="3031" spans="1:16" s="7" customFormat="1" ht="42.75" customHeight="1" thickBot="1">
      <c r="A3031" s="98">
        <f>A3030-A3029</f>
        <v>0</v>
      </c>
      <c r="B3031" s="99"/>
      <c r="C3031" s="100" t="s">
        <v>5</v>
      </c>
      <c r="D3031" s="97"/>
      <c r="J3031" s="8"/>
      <c r="K3031" s="8"/>
      <c r="L3031" s="8"/>
      <c r="M3031" s="8"/>
      <c r="N3031" s="8"/>
      <c r="O3031" s="8"/>
      <c r="P3031" s="8"/>
    </row>
    <row r="3032" spans="1:16" s="7" customFormat="1" ht="42.75" customHeight="1" thickBot="1">
      <c r="A3032" s="101">
        <v>62</v>
      </c>
      <c r="B3032" s="102"/>
      <c r="C3032" s="96" t="s">
        <v>6</v>
      </c>
      <c r="D3032" s="97"/>
      <c r="J3032" s="8"/>
      <c r="K3032" s="8"/>
      <c r="L3032" s="8"/>
      <c r="M3032" s="8"/>
      <c r="N3032" s="8"/>
      <c r="O3032" s="8"/>
      <c r="P3032" s="8"/>
    </row>
    <row r="3033" spans="1:16" s="7" customFormat="1" ht="42.75" customHeight="1" thickBot="1">
      <c r="A3033" s="103"/>
      <c r="B3033" s="104"/>
      <c r="C3033" s="96" t="s">
        <v>21</v>
      </c>
      <c r="D3033" s="97"/>
      <c r="J3033" s="8"/>
      <c r="K3033" s="8"/>
      <c r="L3033" s="8"/>
      <c r="M3033" s="8"/>
      <c r="N3033" s="8"/>
      <c r="O3033" s="8"/>
      <c r="P3033" s="8"/>
    </row>
    <row r="3034" spans="1:16" s="7" customFormat="1" ht="42.75" customHeight="1" thickBot="1">
      <c r="A3034" s="105">
        <f>A3032*A3031</f>
        <v>0</v>
      </c>
      <c r="B3034" s="106"/>
      <c r="C3034" s="96" t="s">
        <v>7</v>
      </c>
      <c r="D3034" s="97"/>
      <c r="J3034" s="8"/>
      <c r="K3034" s="8"/>
      <c r="L3034" s="8"/>
      <c r="M3034" s="8"/>
      <c r="N3034" s="8"/>
      <c r="O3034" s="8"/>
      <c r="P3034" s="8"/>
    </row>
    <row r="3035" spans="1:16" s="7" customFormat="1" ht="42.75" customHeight="1" thickBot="1">
      <c r="A3035" s="107" t="s">
        <v>17</v>
      </c>
      <c r="B3035" s="108"/>
      <c r="C3035" s="108"/>
      <c r="D3035" s="109"/>
      <c r="J3035" s="8"/>
      <c r="K3035" s="8"/>
      <c r="L3035" s="8"/>
      <c r="M3035" s="8"/>
      <c r="N3035" s="8"/>
      <c r="O3035" s="8"/>
      <c r="P3035" s="8"/>
    </row>
    <row r="3036" spans="1:16" s="7" customFormat="1" ht="42.75" customHeight="1" thickBot="1">
      <c r="A3036" s="116" t="s">
        <v>20</v>
      </c>
      <c r="B3036" s="117"/>
      <c r="C3036" s="117"/>
      <c r="D3036" s="118"/>
      <c r="J3036" s="8"/>
      <c r="K3036" s="8"/>
      <c r="L3036" s="8"/>
      <c r="M3036" s="8"/>
      <c r="N3036" s="8"/>
      <c r="O3036" s="8"/>
      <c r="P3036" s="8"/>
    </row>
    <row r="3037" spans="1:16" s="7" customFormat="1" ht="42.75" customHeight="1" thickBot="1">
      <c r="A3037" s="113" t="s">
        <v>18</v>
      </c>
      <c r="B3037" s="114"/>
      <c r="C3037" s="114"/>
      <c r="D3037" s="115"/>
      <c r="J3037" s="8"/>
      <c r="K3037" s="8"/>
      <c r="L3037" s="8"/>
      <c r="M3037" s="8"/>
      <c r="N3037" s="8"/>
      <c r="O3037" s="8"/>
      <c r="P3037" s="8"/>
    </row>
    <row r="3038" spans="1:16" s="7" customFormat="1" ht="42.75" customHeight="1" thickBot="1">
      <c r="A3038" s="119"/>
      <c r="B3038" s="119"/>
      <c r="C3038" s="119"/>
      <c r="D3038" s="119"/>
      <c r="J3038" s="8"/>
      <c r="K3038" s="8"/>
      <c r="L3038" s="8"/>
      <c r="M3038" s="8"/>
      <c r="N3038" s="8"/>
      <c r="O3038" s="8"/>
      <c r="P3038" s="8"/>
    </row>
    <row r="3039" spans="1:16" s="7" customFormat="1" ht="42.75" customHeight="1" thickBot="1">
      <c r="A3039" s="126" t="s">
        <v>19</v>
      </c>
      <c r="B3039" s="127"/>
      <c r="C3039" s="127"/>
      <c r="D3039" s="128"/>
      <c r="J3039" s="8"/>
      <c r="K3039" s="8"/>
      <c r="L3039" s="8"/>
      <c r="M3039" s="8"/>
      <c r="N3039" s="8"/>
      <c r="O3039" s="8"/>
      <c r="P3039" s="8"/>
    </row>
    <row r="3040" spans="1:16" s="7" customFormat="1" ht="42.75" customHeight="1" thickBot="1">
      <c r="A3040" s="123" t="s">
        <v>11</v>
      </c>
      <c r="B3040" s="124"/>
      <c r="C3040" s="125" t="s">
        <v>603</v>
      </c>
      <c r="D3040" s="124"/>
      <c r="J3040" s="8"/>
      <c r="K3040" s="8"/>
      <c r="L3040" s="8"/>
      <c r="M3040" s="8"/>
      <c r="N3040" s="8"/>
      <c r="O3040" s="8"/>
      <c r="P3040" s="8"/>
    </row>
    <row r="3041" spans="1:16" s="7" customFormat="1" ht="42.75" customHeight="1" thickBot="1">
      <c r="A3041" s="1" t="s">
        <v>686</v>
      </c>
      <c r="B3041" s="26" t="s">
        <v>1</v>
      </c>
      <c r="C3041" s="90" t="s">
        <v>300</v>
      </c>
      <c r="D3041" s="91"/>
      <c r="J3041" s="8"/>
      <c r="K3041" s="8"/>
      <c r="L3041" s="8"/>
      <c r="M3041" s="8"/>
      <c r="N3041" s="8"/>
      <c r="O3041" s="8"/>
      <c r="P3041" s="8"/>
    </row>
    <row r="3042" spans="1:16" s="7" customFormat="1" ht="42.75" customHeight="1" thickBot="1">
      <c r="A3042" s="26"/>
      <c r="B3042" s="26" t="s">
        <v>0</v>
      </c>
      <c r="C3042" s="5" t="s">
        <v>687</v>
      </c>
      <c r="D3042" s="4" t="s">
        <v>2</v>
      </c>
      <c r="J3042" s="8"/>
      <c r="K3042" s="8"/>
      <c r="L3042" s="8"/>
      <c r="M3042" s="8"/>
      <c r="N3042" s="8"/>
      <c r="O3042" s="8"/>
      <c r="P3042" s="8"/>
    </row>
    <row r="3043" spans="1:16" s="7" customFormat="1" ht="42.75" customHeight="1" thickBot="1">
      <c r="A3043" s="92">
        <v>185</v>
      </c>
      <c r="B3043" s="93"/>
      <c r="C3043" s="94" t="s">
        <v>3</v>
      </c>
      <c r="D3043" s="95"/>
      <c r="J3043" s="8"/>
      <c r="K3043" s="8"/>
      <c r="L3043" s="8"/>
      <c r="M3043" s="8"/>
      <c r="N3043" s="8"/>
      <c r="O3043" s="8"/>
      <c r="P3043" s="8"/>
    </row>
    <row r="3044" spans="1:16" s="7" customFormat="1" ht="42.75" customHeight="1" thickBot="1">
      <c r="A3044" s="92">
        <v>215</v>
      </c>
      <c r="B3044" s="93"/>
      <c r="C3044" s="96" t="s">
        <v>4</v>
      </c>
      <c r="D3044" s="97"/>
      <c r="J3044" s="8"/>
      <c r="K3044" s="8"/>
      <c r="L3044" s="8"/>
      <c r="M3044" s="8"/>
      <c r="N3044" s="8"/>
      <c r="O3044" s="8"/>
      <c r="P3044" s="8"/>
    </row>
    <row r="3045" spans="1:16" s="7" customFormat="1" ht="42.75" customHeight="1" thickBot="1">
      <c r="A3045" s="98">
        <f>A3044-A3043</f>
        <v>30</v>
      </c>
      <c r="B3045" s="99"/>
      <c r="C3045" s="100" t="s">
        <v>5</v>
      </c>
      <c r="D3045" s="97"/>
      <c r="J3045" s="8"/>
      <c r="K3045" s="8"/>
      <c r="L3045" s="8"/>
      <c r="M3045" s="8"/>
      <c r="N3045" s="8"/>
      <c r="O3045" s="8"/>
      <c r="P3045" s="8"/>
    </row>
    <row r="3046" spans="1:16" s="7" customFormat="1" ht="42.75" customHeight="1" thickBot="1">
      <c r="A3046" s="101">
        <v>62</v>
      </c>
      <c r="B3046" s="102"/>
      <c r="C3046" s="96" t="s">
        <v>6</v>
      </c>
      <c r="D3046" s="97"/>
      <c r="J3046" s="8"/>
      <c r="K3046" s="8"/>
      <c r="L3046" s="8"/>
      <c r="M3046" s="8"/>
      <c r="N3046" s="8"/>
      <c r="O3046" s="8"/>
      <c r="P3046" s="8"/>
    </row>
    <row r="3047" spans="1:16" s="7" customFormat="1" ht="42.75" customHeight="1" thickBot="1">
      <c r="A3047" s="103"/>
      <c r="B3047" s="104"/>
      <c r="C3047" s="96" t="s">
        <v>21</v>
      </c>
      <c r="D3047" s="97"/>
      <c r="J3047" s="8"/>
      <c r="K3047" s="8"/>
      <c r="L3047" s="8"/>
      <c r="M3047" s="8"/>
      <c r="N3047" s="8"/>
      <c r="O3047" s="8"/>
      <c r="P3047" s="8"/>
    </row>
    <row r="3048" spans="1:16" s="7" customFormat="1" ht="42.75" customHeight="1" thickBot="1">
      <c r="A3048" s="105">
        <f>A3046*A3045</f>
        <v>1860</v>
      </c>
      <c r="B3048" s="106"/>
      <c r="C3048" s="96" t="s">
        <v>7</v>
      </c>
      <c r="D3048" s="97"/>
      <c r="J3048" s="8"/>
      <c r="K3048" s="8"/>
      <c r="L3048" s="8"/>
      <c r="M3048" s="8"/>
      <c r="N3048" s="8"/>
      <c r="O3048" s="8"/>
      <c r="P3048" s="8"/>
    </row>
    <row r="3049" spans="1:16" s="7" customFormat="1" ht="42.75" customHeight="1" thickBot="1">
      <c r="A3049" s="107" t="s">
        <v>17</v>
      </c>
      <c r="B3049" s="108"/>
      <c r="C3049" s="108"/>
      <c r="D3049" s="109"/>
      <c r="J3049" s="8"/>
      <c r="K3049" s="8"/>
      <c r="L3049" s="8"/>
      <c r="M3049" s="8"/>
      <c r="N3049" s="8"/>
      <c r="O3049" s="8"/>
      <c r="P3049" s="8"/>
    </row>
    <row r="3050" spans="1:16" s="7" customFormat="1" ht="42.75" customHeight="1" thickBot="1">
      <c r="A3050" s="110" t="s">
        <v>20</v>
      </c>
      <c r="B3050" s="111"/>
      <c r="C3050" s="111"/>
      <c r="D3050" s="112"/>
      <c r="J3050" s="8"/>
      <c r="K3050" s="8"/>
      <c r="L3050" s="8"/>
      <c r="M3050" s="8"/>
      <c r="N3050" s="8"/>
      <c r="O3050" s="8"/>
      <c r="P3050" s="8"/>
    </row>
    <row r="3051" spans="1:16" s="7" customFormat="1" ht="42.75" customHeight="1" thickBot="1">
      <c r="A3051" s="113" t="s">
        <v>18</v>
      </c>
      <c r="B3051" s="114"/>
      <c r="C3051" s="114"/>
      <c r="D3051" s="115"/>
      <c r="J3051" s="8"/>
      <c r="K3051" s="8"/>
      <c r="L3051" s="8"/>
      <c r="M3051" s="8"/>
      <c r="N3051" s="8"/>
      <c r="O3051" s="8"/>
      <c r="P3051" s="8"/>
    </row>
    <row r="3052" spans="1:16" s="7" customFormat="1" ht="42.75" customHeight="1" thickBot="1">
      <c r="A3052" s="126" t="s">
        <v>19</v>
      </c>
      <c r="B3052" s="127"/>
      <c r="C3052" s="127"/>
      <c r="D3052" s="128"/>
      <c r="J3052" s="8"/>
      <c r="K3052" s="8"/>
      <c r="L3052" s="8"/>
      <c r="M3052" s="8"/>
      <c r="N3052" s="8"/>
      <c r="O3052" s="8"/>
      <c r="P3052" s="8"/>
    </row>
    <row r="3053" spans="1:16" s="7" customFormat="1" ht="42.75" customHeight="1" thickBot="1">
      <c r="A3053" s="123" t="s">
        <v>11</v>
      </c>
      <c r="B3053" s="124"/>
      <c r="C3053" s="125" t="s">
        <v>603</v>
      </c>
      <c r="D3053" s="124"/>
      <c r="J3053" s="8"/>
      <c r="K3053" s="8"/>
      <c r="L3053" s="8"/>
      <c r="M3053" s="8"/>
      <c r="N3053" s="8"/>
      <c r="O3053" s="8"/>
      <c r="P3053" s="8"/>
    </row>
    <row r="3054" spans="1:16" s="7" customFormat="1" ht="42.75" customHeight="1" thickBot="1">
      <c r="A3054" s="1" t="s">
        <v>686</v>
      </c>
      <c r="B3054" s="26" t="s">
        <v>1</v>
      </c>
      <c r="C3054" s="90" t="s">
        <v>301</v>
      </c>
      <c r="D3054" s="91"/>
      <c r="J3054" s="8"/>
      <c r="K3054" s="8"/>
      <c r="L3054" s="8"/>
      <c r="M3054" s="8"/>
      <c r="N3054" s="8"/>
      <c r="O3054" s="8"/>
      <c r="P3054" s="8"/>
    </row>
    <row r="3055" spans="1:16" s="7" customFormat="1" ht="42.75" customHeight="1" thickBot="1">
      <c r="A3055" s="26"/>
      <c r="B3055" s="26" t="s">
        <v>0</v>
      </c>
      <c r="C3055" s="5" t="s">
        <v>687</v>
      </c>
      <c r="D3055" s="4" t="s">
        <v>2</v>
      </c>
      <c r="J3055" s="8"/>
      <c r="K3055" s="8"/>
      <c r="L3055" s="8"/>
      <c r="M3055" s="8"/>
      <c r="N3055" s="8"/>
      <c r="O3055" s="8"/>
      <c r="P3055" s="8"/>
    </row>
    <row r="3056" spans="1:16" s="7" customFormat="1" ht="42.75" customHeight="1" thickBot="1">
      <c r="A3056" s="92">
        <v>415</v>
      </c>
      <c r="B3056" s="93"/>
      <c r="C3056" s="94" t="s">
        <v>3</v>
      </c>
      <c r="D3056" s="95"/>
      <c r="J3056" s="8"/>
      <c r="K3056" s="8"/>
      <c r="L3056" s="8"/>
      <c r="M3056" s="8"/>
      <c r="N3056" s="8"/>
      <c r="O3056" s="8"/>
      <c r="P3056" s="8"/>
    </row>
    <row r="3057" spans="1:16" s="7" customFormat="1" ht="42.75" customHeight="1" thickBot="1">
      <c r="A3057" s="92">
        <v>415</v>
      </c>
      <c r="B3057" s="93"/>
      <c r="C3057" s="96" t="s">
        <v>4</v>
      </c>
      <c r="D3057" s="97"/>
      <c r="J3057" s="8"/>
      <c r="K3057" s="8"/>
      <c r="L3057" s="8"/>
      <c r="M3057" s="8"/>
      <c r="N3057" s="8"/>
      <c r="O3057" s="8"/>
      <c r="P3057" s="8"/>
    </row>
    <row r="3058" spans="1:16" s="7" customFormat="1" ht="42.75" customHeight="1" thickBot="1">
      <c r="A3058" s="98">
        <f>A3057-A3056</f>
        <v>0</v>
      </c>
      <c r="B3058" s="99"/>
      <c r="C3058" s="100" t="s">
        <v>5</v>
      </c>
      <c r="D3058" s="97"/>
      <c r="J3058" s="8"/>
      <c r="K3058" s="8"/>
      <c r="L3058" s="8"/>
      <c r="M3058" s="8"/>
      <c r="N3058" s="8"/>
      <c r="O3058" s="8"/>
      <c r="P3058" s="8"/>
    </row>
    <row r="3059" spans="1:16" s="7" customFormat="1" ht="42.75" customHeight="1" thickBot="1">
      <c r="A3059" s="101">
        <v>62</v>
      </c>
      <c r="B3059" s="102"/>
      <c r="C3059" s="96" t="s">
        <v>6</v>
      </c>
      <c r="D3059" s="97"/>
      <c r="J3059" s="8"/>
      <c r="K3059" s="8"/>
      <c r="L3059" s="8"/>
      <c r="M3059" s="8"/>
      <c r="N3059" s="8"/>
      <c r="O3059" s="8"/>
      <c r="P3059" s="8"/>
    </row>
    <row r="3060" spans="1:16" s="7" customFormat="1" ht="42.75" customHeight="1" thickBot="1">
      <c r="A3060" s="103"/>
      <c r="B3060" s="104"/>
      <c r="C3060" s="96" t="s">
        <v>21</v>
      </c>
      <c r="D3060" s="97"/>
      <c r="J3060" s="8"/>
      <c r="K3060" s="8"/>
      <c r="L3060" s="8"/>
      <c r="M3060" s="8"/>
      <c r="N3060" s="8"/>
      <c r="O3060" s="8"/>
      <c r="P3060" s="8"/>
    </row>
    <row r="3061" spans="1:16" s="7" customFormat="1" ht="42.75" customHeight="1" thickBot="1">
      <c r="A3061" s="105">
        <f>A3059*A3058</f>
        <v>0</v>
      </c>
      <c r="B3061" s="106"/>
      <c r="C3061" s="96" t="s">
        <v>7</v>
      </c>
      <c r="D3061" s="97"/>
      <c r="J3061" s="8"/>
      <c r="K3061" s="8"/>
      <c r="L3061" s="8"/>
      <c r="M3061" s="8"/>
      <c r="N3061" s="8"/>
      <c r="O3061" s="8"/>
      <c r="P3061" s="8"/>
    </row>
    <row r="3062" spans="1:16" s="7" customFormat="1" ht="42.75" customHeight="1" thickBot="1">
      <c r="A3062" s="107" t="s">
        <v>17</v>
      </c>
      <c r="B3062" s="108"/>
      <c r="C3062" s="108"/>
      <c r="D3062" s="109"/>
      <c r="J3062" s="8"/>
      <c r="K3062" s="8"/>
      <c r="L3062" s="8"/>
      <c r="M3062" s="8"/>
      <c r="N3062" s="8"/>
      <c r="O3062" s="8"/>
      <c r="P3062" s="8"/>
    </row>
    <row r="3063" spans="1:16" s="7" customFormat="1" ht="42.75" customHeight="1" thickBot="1">
      <c r="A3063" s="116" t="s">
        <v>20</v>
      </c>
      <c r="B3063" s="117"/>
      <c r="C3063" s="117"/>
      <c r="D3063" s="118"/>
      <c r="J3063" s="8"/>
      <c r="K3063" s="8"/>
      <c r="L3063" s="8"/>
      <c r="M3063" s="8"/>
      <c r="N3063" s="8"/>
      <c r="O3063" s="8"/>
      <c r="P3063" s="8"/>
    </row>
    <row r="3064" spans="1:16" s="7" customFormat="1" ht="42.75" customHeight="1" thickBot="1">
      <c r="A3064" s="113" t="s">
        <v>18</v>
      </c>
      <c r="B3064" s="114"/>
      <c r="C3064" s="114"/>
      <c r="D3064" s="115"/>
      <c r="J3064" s="8"/>
      <c r="K3064" s="8"/>
      <c r="L3064" s="8"/>
      <c r="M3064" s="8"/>
      <c r="N3064" s="8"/>
      <c r="O3064" s="8"/>
      <c r="P3064" s="8"/>
    </row>
    <row r="3065" spans="1:16" s="7" customFormat="1" ht="42.75" customHeight="1" thickBot="1">
      <c r="A3065" s="119"/>
      <c r="B3065" s="119"/>
      <c r="C3065" s="119"/>
      <c r="D3065" s="119"/>
      <c r="J3065" s="8"/>
      <c r="K3065" s="8"/>
      <c r="L3065" s="8"/>
      <c r="M3065" s="8"/>
      <c r="N3065" s="8"/>
      <c r="O3065" s="8"/>
      <c r="P3065" s="8"/>
    </row>
    <row r="3066" spans="1:16" s="7" customFormat="1" ht="42.75" customHeight="1" thickBot="1">
      <c r="A3066" s="126" t="s">
        <v>19</v>
      </c>
      <c r="B3066" s="127"/>
      <c r="C3066" s="127"/>
      <c r="D3066" s="128"/>
      <c r="J3066" s="8"/>
      <c r="K3066" s="8"/>
      <c r="L3066" s="8"/>
      <c r="M3066" s="8"/>
      <c r="N3066" s="8"/>
      <c r="O3066" s="8"/>
      <c r="P3066" s="8"/>
    </row>
    <row r="3067" spans="1:16" s="7" customFormat="1" ht="42.75" customHeight="1" thickBot="1">
      <c r="A3067" s="123" t="s">
        <v>11</v>
      </c>
      <c r="B3067" s="124"/>
      <c r="C3067" s="125" t="s">
        <v>603</v>
      </c>
      <c r="D3067" s="124"/>
      <c r="J3067" s="8"/>
      <c r="K3067" s="8"/>
      <c r="L3067" s="8"/>
      <c r="M3067" s="8"/>
      <c r="N3067" s="8"/>
      <c r="O3067" s="8"/>
      <c r="P3067" s="8"/>
    </row>
    <row r="3068" spans="1:16" s="7" customFormat="1" ht="42.75" customHeight="1" thickBot="1">
      <c r="A3068" s="1" t="s">
        <v>686</v>
      </c>
      <c r="B3068" s="26" t="s">
        <v>1</v>
      </c>
      <c r="C3068" s="90" t="s">
        <v>301</v>
      </c>
      <c r="D3068" s="91"/>
      <c r="J3068" s="8"/>
      <c r="K3068" s="8"/>
      <c r="L3068" s="8"/>
      <c r="M3068" s="8"/>
      <c r="N3068" s="8"/>
      <c r="O3068" s="8"/>
      <c r="P3068" s="8"/>
    </row>
    <row r="3069" spans="1:16" s="7" customFormat="1" ht="42.75" customHeight="1" thickBot="1">
      <c r="A3069" s="26"/>
      <c r="B3069" s="26" t="s">
        <v>0</v>
      </c>
      <c r="C3069" s="5" t="s">
        <v>687</v>
      </c>
      <c r="D3069" s="4" t="s">
        <v>2</v>
      </c>
      <c r="J3069" s="8"/>
      <c r="K3069" s="8"/>
      <c r="L3069" s="8"/>
      <c r="M3069" s="8"/>
      <c r="N3069" s="8"/>
      <c r="O3069" s="8"/>
      <c r="P3069" s="8"/>
    </row>
    <row r="3070" spans="1:16" s="7" customFormat="1" ht="42.75" customHeight="1" thickBot="1">
      <c r="A3070" s="92">
        <v>375</v>
      </c>
      <c r="B3070" s="93"/>
      <c r="C3070" s="94" t="s">
        <v>3</v>
      </c>
      <c r="D3070" s="95"/>
      <c r="J3070" s="8"/>
      <c r="K3070" s="8"/>
      <c r="L3070" s="8"/>
      <c r="M3070" s="8"/>
      <c r="N3070" s="8"/>
      <c r="O3070" s="8"/>
      <c r="P3070" s="8"/>
    </row>
    <row r="3071" spans="1:16" s="7" customFormat="1" ht="42.75" customHeight="1" thickBot="1">
      <c r="A3071" s="92">
        <v>415</v>
      </c>
      <c r="B3071" s="93"/>
      <c r="C3071" s="96" t="s">
        <v>4</v>
      </c>
      <c r="D3071" s="97"/>
      <c r="J3071" s="8"/>
      <c r="K3071" s="8"/>
      <c r="L3071" s="8"/>
      <c r="M3071" s="8"/>
      <c r="N3071" s="8"/>
      <c r="O3071" s="8"/>
      <c r="P3071" s="8"/>
    </row>
    <row r="3072" spans="1:16" s="7" customFormat="1" ht="42.75" customHeight="1" thickBot="1">
      <c r="A3072" s="98">
        <f>A3071-A3070</f>
        <v>40</v>
      </c>
      <c r="B3072" s="99"/>
      <c r="C3072" s="100" t="s">
        <v>5</v>
      </c>
      <c r="D3072" s="97"/>
      <c r="J3072" s="8"/>
      <c r="K3072" s="8"/>
      <c r="L3072" s="8"/>
      <c r="M3072" s="8"/>
      <c r="N3072" s="8"/>
      <c r="O3072" s="8"/>
      <c r="P3072" s="8"/>
    </row>
    <row r="3073" spans="1:16" s="7" customFormat="1" ht="42.75" customHeight="1" thickBot="1">
      <c r="A3073" s="101">
        <v>62</v>
      </c>
      <c r="B3073" s="102"/>
      <c r="C3073" s="96" t="s">
        <v>6</v>
      </c>
      <c r="D3073" s="97"/>
      <c r="J3073" s="8"/>
      <c r="K3073" s="8"/>
      <c r="L3073" s="8"/>
      <c r="M3073" s="8"/>
      <c r="N3073" s="8"/>
      <c r="O3073" s="8"/>
      <c r="P3073" s="8"/>
    </row>
    <row r="3074" spans="1:16" s="7" customFormat="1" ht="42.75" customHeight="1" thickBot="1">
      <c r="A3074" s="103"/>
      <c r="B3074" s="104"/>
      <c r="C3074" s="96" t="s">
        <v>21</v>
      </c>
      <c r="D3074" s="97"/>
      <c r="J3074" s="8"/>
      <c r="K3074" s="8"/>
      <c r="L3074" s="8"/>
      <c r="M3074" s="8"/>
      <c r="N3074" s="8"/>
      <c r="O3074" s="8"/>
      <c r="P3074" s="8"/>
    </row>
    <row r="3075" spans="1:16" s="7" customFormat="1" ht="42.75" customHeight="1" thickBot="1">
      <c r="A3075" s="105">
        <v>2500</v>
      </c>
      <c r="B3075" s="106"/>
      <c r="C3075" s="96" t="s">
        <v>7</v>
      </c>
      <c r="D3075" s="97"/>
      <c r="J3075" s="8"/>
      <c r="K3075" s="8"/>
      <c r="L3075" s="8"/>
      <c r="M3075" s="8"/>
      <c r="N3075" s="8"/>
      <c r="O3075" s="8"/>
      <c r="P3075" s="8"/>
    </row>
    <row r="3076" spans="1:16" s="7" customFormat="1" ht="42.75" customHeight="1" thickBot="1">
      <c r="A3076" s="107" t="s">
        <v>17</v>
      </c>
      <c r="B3076" s="108"/>
      <c r="C3076" s="108"/>
      <c r="D3076" s="109"/>
      <c r="J3076" s="8"/>
      <c r="K3076" s="8"/>
      <c r="L3076" s="8"/>
      <c r="M3076" s="8"/>
      <c r="N3076" s="8"/>
      <c r="O3076" s="8"/>
      <c r="P3076" s="8"/>
    </row>
    <row r="3077" spans="1:16" s="7" customFormat="1" ht="42.75" customHeight="1" thickBot="1">
      <c r="A3077" s="110" t="s">
        <v>20</v>
      </c>
      <c r="B3077" s="111"/>
      <c r="C3077" s="111"/>
      <c r="D3077" s="112"/>
      <c r="J3077" s="8"/>
      <c r="K3077" s="8"/>
      <c r="L3077" s="8"/>
      <c r="M3077" s="8"/>
      <c r="N3077" s="8"/>
      <c r="O3077" s="8"/>
      <c r="P3077" s="8"/>
    </row>
    <row r="3078" spans="1:16" s="7" customFormat="1" ht="42.75" customHeight="1" thickBot="1">
      <c r="A3078" s="113" t="s">
        <v>18</v>
      </c>
      <c r="B3078" s="114"/>
      <c r="C3078" s="114"/>
      <c r="D3078" s="115"/>
      <c r="J3078" s="8"/>
      <c r="K3078" s="8"/>
      <c r="L3078" s="8"/>
      <c r="M3078" s="8"/>
      <c r="N3078" s="8"/>
      <c r="O3078" s="8"/>
      <c r="P3078" s="8"/>
    </row>
    <row r="3079" spans="1:16" s="7" customFormat="1" ht="42.75" customHeight="1" thickBot="1">
      <c r="A3079" s="126" t="s">
        <v>19</v>
      </c>
      <c r="B3079" s="127"/>
      <c r="C3079" s="127"/>
      <c r="D3079" s="128"/>
      <c r="J3079" s="8"/>
      <c r="K3079" s="8"/>
      <c r="L3079" s="8"/>
      <c r="M3079" s="8"/>
      <c r="N3079" s="8"/>
      <c r="O3079" s="8"/>
      <c r="P3079" s="8"/>
    </row>
    <row r="3080" spans="1:16" s="7" customFormat="1" ht="42.75" customHeight="1" thickBot="1">
      <c r="A3080" s="123" t="s">
        <v>11</v>
      </c>
      <c r="B3080" s="124"/>
      <c r="C3080" s="125" t="s">
        <v>603</v>
      </c>
      <c r="D3080" s="124"/>
      <c r="J3080" s="8"/>
      <c r="K3080" s="8"/>
      <c r="L3080" s="8"/>
      <c r="M3080" s="8"/>
      <c r="N3080" s="8"/>
      <c r="O3080" s="8"/>
      <c r="P3080" s="8"/>
    </row>
    <row r="3081" spans="1:16" s="7" customFormat="1" ht="42.75" customHeight="1" thickBot="1">
      <c r="A3081" s="1" t="s">
        <v>686</v>
      </c>
      <c r="B3081" s="26" t="s">
        <v>1</v>
      </c>
      <c r="C3081" s="90" t="s">
        <v>302</v>
      </c>
      <c r="D3081" s="91"/>
      <c r="J3081" s="8"/>
      <c r="K3081" s="8"/>
      <c r="L3081" s="8"/>
      <c r="M3081" s="8"/>
      <c r="N3081" s="8"/>
      <c r="O3081" s="8"/>
      <c r="P3081" s="8"/>
    </row>
    <row r="3082" spans="1:16" s="7" customFormat="1" ht="42.75" customHeight="1" thickBot="1">
      <c r="A3082" s="26"/>
      <c r="B3082" s="26" t="s">
        <v>0</v>
      </c>
      <c r="C3082" s="5" t="s">
        <v>687</v>
      </c>
      <c r="D3082" s="4" t="s">
        <v>2</v>
      </c>
      <c r="J3082" s="8"/>
      <c r="K3082" s="8"/>
      <c r="L3082" s="8"/>
      <c r="M3082" s="8"/>
      <c r="N3082" s="8"/>
      <c r="O3082" s="8"/>
      <c r="P3082" s="8"/>
    </row>
    <row r="3083" spans="1:16" s="7" customFormat="1" ht="42.75" customHeight="1" thickBot="1">
      <c r="A3083" s="92">
        <v>305</v>
      </c>
      <c r="B3083" s="93"/>
      <c r="C3083" s="94" t="s">
        <v>3</v>
      </c>
      <c r="D3083" s="95"/>
      <c r="J3083" s="8"/>
      <c r="K3083" s="8"/>
      <c r="L3083" s="8"/>
      <c r="M3083" s="8"/>
      <c r="N3083" s="8"/>
      <c r="O3083" s="8"/>
      <c r="P3083" s="8"/>
    </row>
    <row r="3084" spans="1:16" s="7" customFormat="1" ht="42.75" customHeight="1" thickBot="1">
      <c r="A3084" s="92">
        <v>305</v>
      </c>
      <c r="B3084" s="93"/>
      <c r="C3084" s="96" t="s">
        <v>4</v>
      </c>
      <c r="D3084" s="97"/>
      <c r="J3084" s="8"/>
      <c r="K3084" s="8"/>
      <c r="L3084" s="8"/>
      <c r="M3084" s="8"/>
      <c r="N3084" s="8"/>
      <c r="O3084" s="8"/>
      <c r="P3084" s="8"/>
    </row>
    <row r="3085" spans="1:16" s="7" customFormat="1" ht="42.75" customHeight="1" thickBot="1">
      <c r="A3085" s="98">
        <f>A3084-A3083</f>
        <v>0</v>
      </c>
      <c r="B3085" s="99"/>
      <c r="C3085" s="100" t="s">
        <v>5</v>
      </c>
      <c r="D3085" s="97"/>
      <c r="J3085" s="8"/>
      <c r="K3085" s="8"/>
      <c r="L3085" s="8"/>
      <c r="M3085" s="8"/>
      <c r="N3085" s="8"/>
      <c r="O3085" s="8"/>
      <c r="P3085" s="8"/>
    </row>
    <row r="3086" spans="1:16" s="7" customFormat="1" ht="42.75" customHeight="1" thickBot="1">
      <c r="A3086" s="101">
        <v>62</v>
      </c>
      <c r="B3086" s="102"/>
      <c r="C3086" s="96" t="s">
        <v>6</v>
      </c>
      <c r="D3086" s="97"/>
      <c r="J3086" s="8"/>
      <c r="K3086" s="8"/>
      <c r="L3086" s="8"/>
      <c r="M3086" s="8"/>
      <c r="N3086" s="8"/>
      <c r="O3086" s="8"/>
      <c r="P3086" s="8"/>
    </row>
    <row r="3087" spans="1:16" s="7" customFormat="1" ht="42.75" customHeight="1" thickBot="1">
      <c r="A3087" s="103"/>
      <c r="B3087" s="104"/>
      <c r="C3087" s="96" t="s">
        <v>21</v>
      </c>
      <c r="D3087" s="97"/>
      <c r="J3087" s="8"/>
      <c r="K3087" s="8"/>
      <c r="L3087" s="8"/>
      <c r="M3087" s="8"/>
      <c r="N3087" s="8"/>
      <c r="O3087" s="8"/>
      <c r="P3087" s="8"/>
    </row>
    <row r="3088" spans="1:16" s="7" customFormat="1" ht="42.75" customHeight="1" thickBot="1">
      <c r="A3088" s="105">
        <f>A3086*A3085</f>
        <v>0</v>
      </c>
      <c r="B3088" s="106"/>
      <c r="C3088" s="96" t="s">
        <v>7</v>
      </c>
      <c r="D3088" s="97"/>
      <c r="J3088" s="8"/>
      <c r="K3088" s="8"/>
      <c r="L3088" s="8"/>
      <c r="M3088" s="8"/>
      <c r="N3088" s="8"/>
      <c r="O3088" s="8"/>
      <c r="P3088" s="8"/>
    </row>
    <row r="3089" spans="1:16" s="7" customFormat="1" ht="42.75" customHeight="1" thickBot="1">
      <c r="A3089" s="107" t="s">
        <v>17</v>
      </c>
      <c r="B3089" s="108"/>
      <c r="C3089" s="108"/>
      <c r="D3089" s="109"/>
      <c r="J3089" s="8"/>
      <c r="K3089" s="8"/>
      <c r="L3089" s="8"/>
      <c r="M3089" s="8"/>
      <c r="N3089" s="8"/>
      <c r="O3089" s="8"/>
      <c r="P3089" s="8"/>
    </row>
    <row r="3090" spans="1:16" s="7" customFormat="1" ht="42.75" customHeight="1" thickBot="1">
      <c r="A3090" s="116" t="s">
        <v>20</v>
      </c>
      <c r="B3090" s="117"/>
      <c r="C3090" s="117"/>
      <c r="D3090" s="118"/>
      <c r="J3090" s="8"/>
      <c r="K3090" s="8"/>
      <c r="L3090" s="8"/>
      <c r="M3090" s="8"/>
      <c r="N3090" s="8"/>
      <c r="O3090" s="8"/>
      <c r="P3090" s="8"/>
    </row>
    <row r="3091" spans="1:16" s="7" customFormat="1" ht="42.75" customHeight="1" thickBot="1">
      <c r="A3091" s="113" t="s">
        <v>18</v>
      </c>
      <c r="B3091" s="114"/>
      <c r="C3091" s="114"/>
      <c r="D3091" s="115"/>
      <c r="J3091" s="8"/>
      <c r="K3091" s="8"/>
      <c r="L3091" s="8"/>
      <c r="M3091" s="8"/>
      <c r="N3091" s="8"/>
      <c r="O3091" s="8"/>
      <c r="P3091" s="8"/>
    </row>
    <row r="3092" spans="1:16" s="7" customFormat="1" ht="42.75" customHeight="1" thickBot="1">
      <c r="A3092" s="119"/>
      <c r="B3092" s="119"/>
      <c r="C3092" s="119"/>
      <c r="D3092" s="119"/>
      <c r="J3092" s="8"/>
      <c r="K3092" s="8"/>
      <c r="L3092" s="8"/>
      <c r="M3092" s="8"/>
      <c r="N3092" s="8"/>
      <c r="O3092" s="8"/>
      <c r="P3092" s="8"/>
    </row>
    <row r="3093" spans="1:16" s="7" customFormat="1" ht="42.75" customHeight="1" thickBot="1">
      <c r="A3093" s="126" t="s">
        <v>19</v>
      </c>
      <c r="B3093" s="127"/>
      <c r="C3093" s="127"/>
      <c r="D3093" s="128"/>
      <c r="J3093" s="8"/>
      <c r="K3093" s="8"/>
      <c r="L3093" s="8"/>
      <c r="M3093" s="8"/>
      <c r="N3093" s="8"/>
      <c r="O3093" s="8"/>
      <c r="P3093" s="8"/>
    </row>
    <row r="3094" spans="1:16" s="7" customFormat="1" ht="42.75" customHeight="1" thickBot="1">
      <c r="A3094" s="123" t="s">
        <v>11</v>
      </c>
      <c r="B3094" s="124"/>
      <c r="C3094" s="125" t="s">
        <v>603</v>
      </c>
      <c r="D3094" s="124"/>
      <c r="J3094" s="8"/>
      <c r="K3094" s="8"/>
      <c r="L3094" s="8"/>
      <c r="M3094" s="8"/>
      <c r="N3094" s="8"/>
      <c r="O3094" s="8"/>
      <c r="P3094" s="8"/>
    </row>
    <row r="3095" spans="1:16" s="7" customFormat="1" ht="42.75" customHeight="1" thickBot="1">
      <c r="A3095" s="1" t="s">
        <v>686</v>
      </c>
      <c r="B3095" s="26" t="s">
        <v>1</v>
      </c>
      <c r="C3095" s="90" t="s">
        <v>302</v>
      </c>
      <c r="D3095" s="91"/>
      <c r="J3095" s="8"/>
      <c r="K3095" s="8"/>
      <c r="L3095" s="8"/>
      <c r="M3095" s="8"/>
      <c r="N3095" s="8"/>
      <c r="O3095" s="8"/>
      <c r="P3095" s="8"/>
    </row>
    <row r="3096" spans="1:16" s="7" customFormat="1" ht="42.75" customHeight="1" thickBot="1">
      <c r="A3096" s="26"/>
      <c r="B3096" s="26" t="s">
        <v>0</v>
      </c>
      <c r="C3096" s="5" t="s">
        <v>687</v>
      </c>
      <c r="D3096" s="4" t="s">
        <v>2</v>
      </c>
      <c r="J3096" s="8"/>
      <c r="K3096" s="8"/>
      <c r="L3096" s="8"/>
      <c r="M3096" s="8"/>
      <c r="N3096" s="8"/>
      <c r="O3096" s="8"/>
      <c r="P3096" s="8"/>
    </row>
    <row r="3097" spans="1:16" s="7" customFormat="1" ht="42.75" customHeight="1" thickBot="1">
      <c r="A3097" s="92">
        <v>275</v>
      </c>
      <c r="B3097" s="93"/>
      <c r="C3097" s="94" t="s">
        <v>3</v>
      </c>
      <c r="D3097" s="95"/>
      <c r="J3097" s="8"/>
      <c r="K3097" s="8"/>
      <c r="L3097" s="8"/>
      <c r="M3097" s="8"/>
      <c r="N3097" s="8"/>
      <c r="O3097" s="8"/>
      <c r="P3097" s="8"/>
    </row>
    <row r="3098" spans="1:16" s="7" customFormat="1" ht="42.75" customHeight="1" thickBot="1">
      <c r="A3098" s="92">
        <v>305</v>
      </c>
      <c r="B3098" s="93"/>
      <c r="C3098" s="96" t="s">
        <v>4</v>
      </c>
      <c r="D3098" s="97"/>
      <c r="J3098" s="8"/>
      <c r="K3098" s="8"/>
      <c r="L3098" s="8"/>
      <c r="M3098" s="8"/>
      <c r="N3098" s="8"/>
      <c r="O3098" s="8"/>
      <c r="P3098" s="8"/>
    </row>
    <row r="3099" spans="1:16" s="7" customFormat="1" ht="42.75" customHeight="1" thickBot="1">
      <c r="A3099" s="98">
        <f>A3098-A3097</f>
        <v>30</v>
      </c>
      <c r="B3099" s="99"/>
      <c r="C3099" s="100" t="s">
        <v>5</v>
      </c>
      <c r="D3099" s="97"/>
      <c r="J3099" s="8"/>
      <c r="K3099" s="8"/>
      <c r="L3099" s="8"/>
      <c r="M3099" s="8"/>
      <c r="N3099" s="8"/>
      <c r="O3099" s="8"/>
      <c r="P3099" s="8"/>
    </row>
    <row r="3100" spans="1:16" s="7" customFormat="1" ht="42.75" customHeight="1" thickBot="1">
      <c r="A3100" s="101">
        <v>62</v>
      </c>
      <c r="B3100" s="102"/>
      <c r="C3100" s="96" t="s">
        <v>6</v>
      </c>
      <c r="D3100" s="97"/>
      <c r="J3100" s="8"/>
      <c r="K3100" s="8"/>
      <c r="L3100" s="8"/>
      <c r="M3100" s="8"/>
      <c r="N3100" s="8"/>
      <c r="O3100" s="8"/>
      <c r="P3100" s="8"/>
    </row>
    <row r="3101" spans="1:16" s="7" customFormat="1" ht="42.75" customHeight="1" thickBot="1">
      <c r="A3101" s="103"/>
      <c r="B3101" s="104"/>
      <c r="C3101" s="96" t="s">
        <v>21</v>
      </c>
      <c r="D3101" s="97"/>
      <c r="J3101" s="8"/>
      <c r="K3101" s="8"/>
      <c r="L3101" s="8"/>
      <c r="M3101" s="8"/>
      <c r="N3101" s="8"/>
      <c r="O3101" s="8"/>
      <c r="P3101" s="8"/>
    </row>
    <row r="3102" spans="1:16" s="7" customFormat="1" ht="42.75" customHeight="1" thickBot="1">
      <c r="A3102" s="105">
        <v>1850</v>
      </c>
      <c r="B3102" s="106"/>
      <c r="C3102" s="96" t="s">
        <v>7</v>
      </c>
      <c r="D3102" s="97"/>
      <c r="J3102" s="8"/>
      <c r="K3102" s="8"/>
      <c r="L3102" s="8"/>
      <c r="M3102" s="8"/>
      <c r="N3102" s="8"/>
      <c r="O3102" s="8"/>
      <c r="P3102" s="8"/>
    </row>
    <row r="3103" spans="1:16" s="7" customFormat="1" ht="42.75" customHeight="1" thickBot="1">
      <c r="A3103" s="107" t="s">
        <v>17</v>
      </c>
      <c r="B3103" s="108"/>
      <c r="C3103" s="108"/>
      <c r="D3103" s="109"/>
      <c r="J3103" s="8"/>
      <c r="K3103" s="8"/>
      <c r="L3103" s="8"/>
      <c r="M3103" s="8"/>
      <c r="N3103" s="8"/>
      <c r="O3103" s="8"/>
      <c r="P3103" s="8"/>
    </row>
    <row r="3104" spans="1:16" s="7" customFormat="1" ht="42.75" customHeight="1" thickBot="1">
      <c r="A3104" s="110" t="s">
        <v>20</v>
      </c>
      <c r="B3104" s="111"/>
      <c r="C3104" s="111"/>
      <c r="D3104" s="112"/>
      <c r="J3104" s="8"/>
      <c r="K3104" s="8"/>
      <c r="L3104" s="8"/>
      <c r="M3104" s="8"/>
      <c r="N3104" s="8"/>
      <c r="O3104" s="8"/>
      <c r="P3104" s="8"/>
    </row>
    <row r="3105" spans="1:16" s="7" customFormat="1" ht="42.75" customHeight="1" thickBot="1">
      <c r="A3105" s="113" t="s">
        <v>18</v>
      </c>
      <c r="B3105" s="114"/>
      <c r="C3105" s="114"/>
      <c r="D3105" s="115"/>
      <c r="J3105" s="8"/>
      <c r="K3105" s="8"/>
      <c r="L3105" s="8"/>
      <c r="M3105" s="8"/>
      <c r="N3105" s="8"/>
      <c r="O3105" s="8"/>
      <c r="P3105" s="8"/>
    </row>
    <row r="3106" spans="1:16" s="7" customFormat="1" ht="42.75" customHeight="1" thickBot="1">
      <c r="A3106" s="126" t="s">
        <v>19</v>
      </c>
      <c r="B3106" s="127"/>
      <c r="C3106" s="127"/>
      <c r="D3106" s="128"/>
      <c r="J3106" s="8"/>
      <c r="K3106" s="8"/>
      <c r="L3106" s="8"/>
      <c r="M3106" s="8"/>
      <c r="N3106" s="8"/>
      <c r="O3106" s="8"/>
      <c r="P3106" s="8"/>
    </row>
    <row r="3107" spans="1:16" s="7" customFormat="1" ht="42.75" customHeight="1" thickBot="1">
      <c r="A3107" s="123" t="s">
        <v>11</v>
      </c>
      <c r="B3107" s="124"/>
      <c r="C3107" s="125" t="s">
        <v>603</v>
      </c>
      <c r="D3107" s="124"/>
      <c r="J3107" s="8"/>
      <c r="K3107" s="8"/>
      <c r="L3107" s="8"/>
      <c r="M3107" s="8"/>
      <c r="N3107" s="8"/>
      <c r="O3107" s="8"/>
      <c r="P3107" s="8"/>
    </row>
    <row r="3108" spans="1:16" s="7" customFormat="1" ht="42.75" customHeight="1" thickBot="1">
      <c r="A3108" s="1" t="s">
        <v>686</v>
      </c>
      <c r="B3108" s="26" t="s">
        <v>1</v>
      </c>
      <c r="C3108" s="90" t="s">
        <v>303</v>
      </c>
      <c r="D3108" s="91"/>
      <c r="J3108" s="8"/>
      <c r="K3108" s="8"/>
      <c r="L3108" s="8"/>
      <c r="M3108" s="8"/>
      <c r="N3108" s="8"/>
      <c r="O3108" s="8"/>
      <c r="P3108" s="8"/>
    </row>
    <row r="3109" spans="1:16" s="7" customFormat="1" ht="42.75" customHeight="1" thickBot="1">
      <c r="A3109" s="26"/>
      <c r="B3109" s="26" t="s">
        <v>0</v>
      </c>
      <c r="C3109" s="5" t="s">
        <v>687</v>
      </c>
      <c r="D3109" s="4" t="s">
        <v>2</v>
      </c>
      <c r="J3109" s="8"/>
      <c r="K3109" s="8"/>
      <c r="L3109" s="8"/>
      <c r="M3109" s="8"/>
      <c r="N3109" s="8"/>
      <c r="O3109" s="8"/>
      <c r="P3109" s="8"/>
    </row>
    <row r="3110" spans="1:16" s="7" customFormat="1" ht="42.75" customHeight="1" thickBot="1">
      <c r="A3110" s="92">
        <v>1067</v>
      </c>
      <c r="B3110" s="93"/>
      <c r="C3110" s="94" t="s">
        <v>3</v>
      </c>
      <c r="D3110" s="95"/>
      <c r="J3110" s="8"/>
      <c r="K3110" s="8"/>
      <c r="L3110" s="8"/>
      <c r="M3110" s="8"/>
      <c r="N3110" s="8"/>
      <c r="O3110" s="8"/>
      <c r="P3110" s="8"/>
    </row>
    <row r="3111" spans="1:16" s="7" customFormat="1" ht="42.75" customHeight="1" thickBot="1">
      <c r="A3111" s="92">
        <v>1067</v>
      </c>
      <c r="B3111" s="93"/>
      <c r="C3111" s="96" t="s">
        <v>4</v>
      </c>
      <c r="D3111" s="97"/>
      <c r="J3111" s="8"/>
      <c r="K3111" s="8"/>
      <c r="L3111" s="8"/>
      <c r="M3111" s="8"/>
      <c r="N3111" s="8"/>
      <c r="O3111" s="8"/>
      <c r="P3111" s="8"/>
    </row>
    <row r="3112" spans="1:16" s="7" customFormat="1" ht="42.75" customHeight="1" thickBot="1">
      <c r="A3112" s="98">
        <f>A3111-A3110</f>
        <v>0</v>
      </c>
      <c r="B3112" s="99"/>
      <c r="C3112" s="100" t="s">
        <v>5</v>
      </c>
      <c r="D3112" s="97"/>
      <c r="J3112" s="8"/>
      <c r="K3112" s="8"/>
      <c r="L3112" s="8"/>
      <c r="M3112" s="8"/>
      <c r="N3112" s="8"/>
      <c r="O3112" s="8"/>
      <c r="P3112" s="8"/>
    </row>
    <row r="3113" spans="1:16" s="7" customFormat="1" ht="42.75" customHeight="1" thickBot="1">
      <c r="A3113" s="101">
        <v>62</v>
      </c>
      <c r="B3113" s="102"/>
      <c r="C3113" s="96" t="s">
        <v>6</v>
      </c>
      <c r="D3113" s="97"/>
      <c r="J3113" s="8"/>
      <c r="K3113" s="8"/>
      <c r="L3113" s="8"/>
      <c r="M3113" s="8"/>
      <c r="N3113" s="8"/>
      <c r="O3113" s="8"/>
      <c r="P3113" s="8"/>
    </row>
    <row r="3114" spans="1:16" s="7" customFormat="1" ht="42.75" customHeight="1" thickBot="1">
      <c r="A3114" s="103"/>
      <c r="B3114" s="104"/>
      <c r="C3114" s="96" t="s">
        <v>21</v>
      </c>
      <c r="D3114" s="97"/>
      <c r="J3114" s="8"/>
      <c r="K3114" s="8"/>
      <c r="L3114" s="8"/>
      <c r="M3114" s="8"/>
      <c r="N3114" s="8"/>
      <c r="O3114" s="8"/>
      <c r="P3114" s="8"/>
    </row>
    <row r="3115" spans="1:16" s="7" customFormat="1" ht="42.75" customHeight="1" thickBot="1">
      <c r="A3115" s="105">
        <f>A3113*A3112</f>
        <v>0</v>
      </c>
      <c r="B3115" s="106"/>
      <c r="C3115" s="96" t="s">
        <v>7</v>
      </c>
      <c r="D3115" s="97"/>
      <c r="J3115" s="8"/>
      <c r="K3115" s="8"/>
      <c r="L3115" s="8"/>
      <c r="M3115" s="8"/>
      <c r="N3115" s="8"/>
      <c r="O3115" s="8"/>
      <c r="P3115" s="8"/>
    </row>
    <row r="3116" spans="1:16" s="7" customFormat="1" ht="42.75" customHeight="1" thickBot="1">
      <c r="A3116" s="107" t="s">
        <v>17</v>
      </c>
      <c r="B3116" s="108"/>
      <c r="C3116" s="108"/>
      <c r="D3116" s="109"/>
      <c r="J3116" s="8"/>
      <c r="K3116" s="8"/>
      <c r="L3116" s="8"/>
      <c r="M3116" s="8"/>
      <c r="N3116" s="8"/>
      <c r="O3116" s="8"/>
      <c r="P3116" s="8"/>
    </row>
    <row r="3117" spans="1:16" s="7" customFormat="1" ht="42.75" customHeight="1" thickBot="1">
      <c r="A3117" s="116" t="s">
        <v>20</v>
      </c>
      <c r="B3117" s="117"/>
      <c r="C3117" s="117"/>
      <c r="D3117" s="118"/>
      <c r="J3117" s="8"/>
      <c r="K3117" s="8"/>
      <c r="L3117" s="8"/>
      <c r="M3117" s="8"/>
      <c r="N3117" s="8"/>
      <c r="O3117" s="8"/>
      <c r="P3117" s="8"/>
    </row>
    <row r="3118" spans="1:16" s="7" customFormat="1" ht="42.75" customHeight="1" thickBot="1">
      <c r="A3118" s="113" t="s">
        <v>18</v>
      </c>
      <c r="B3118" s="114"/>
      <c r="C3118" s="114"/>
      <c r="D3118" s="115"/>
      <c r="J3118" s="8"/>
      <c r="K3118" s="8"/>
      <c r="L3118" s="8"/>
      <c r="M3118" s="8"/>
      <c r="N3118" s="8"/>
      <c r="O3118" s="8"/>
      <c r="P3118" s="8"/>
    </row>
    <row r="3119" spans="1:16" s="7" customFormat="1" ht="42.75" customHeight="1" thickBot="1">
      <c r="A3119" s="119"/>
      <c r="B3119" s="119"/>
      <c r="C3119" s="119"/>
      <c r="D3119" s="119"/>
      <c r="J3119" s="8"/>
      <c r="K3119" s="8"/>
      <c r="L3119" s="8"/>
      <c r="M3119" s="8"/>
      <c r="N3119" s="8"/>
      <c r="O3119" s="8"/>
      <c r="P3119" s="8"/>
    </row>
    <row r="3120" spans="1:16" s="7" customFormat="1" ht="42.75" customHeight="1" thickBot="1">
      <c r="A3120" s="126" t="s">
        <v>19</v>
      </c>
      <c r="B3120" s="127"/>
      <c r="C3120" s="127"/>
      <c r="D3120" s="128"/>
      <c r="J3120" s="8"/>
      <c r="K3120" s="8"/>
      <c r="L3120" s="8"/>
      <c r="M3120" s="8"/>
      <c r="N3120" s="8"/>
      <c r="O3120" s="8"/>
      <c r="P3120" s="8"/>
    </row>
    <row r="3121" spans="1:16" s="7" customFormat="1" ht="42.75" customHeight="1" thickBot="1">
      <c r="A3121" s="123" t="s">
        <v>11</v>
      </c>
      <c r="B3121" s="124"/>
      <c r="C3121" s="125" t="s">
        <v>603</v>
      </c>
      <c r="D3121" s="124"/>
      <c r="J3121" s="8"/>
      <c r="K3121" s="8"/>
      <c r="L3121" s="8"/>
      <c r="M3121" s="8"/>
      <c r="N3121" s="8"/>
      <c r="O3121" s="8"/>
      <c r="P3121" s="8"/>
    </row>
    <row r="3122" spans="1:16" s="7" customFormat="1" ht="42.75" customHeight="1" thickBot="1">
      <c r="A3122" s="1" t="s">
        <v>686</v>
      </c>
      <c r="B3122" s="26" t="s">
        <v>1</v>
      </c>
      <c r="C3122" s="90" t="s">
        <v>303</v>
      </c>
      <c r="D3122" s="91"/>
      <c r="J3122" s="8"/>
      <c r="K3122" s="8"/>
      <c r="L3122" s="8"/>
      <c r="M3122" s="8"/>
      <c r="N3122" s="8"/>
      <c r="O3122" s="8"/>
      <c r="P3122" s="8"/>
    </row>
    <row r="3123" spans="1:16" s="7" customFormat="1" ht="42.75" customHeight="1" thickBot="1">
      <c r="A3123" s="26"/>
      <c r="B3123" s="26" t="s">
        <v>0</v>
      </c>
      <c r="C3123" s="5" t="s">
        <v>687</v>
      </c>
      <c r="D3123" s="4" t="s">
        <v>2</v>
      </c>
      <c r="J3123" s="8"/>
      <c r="K3123" s="8"/>
      <c r="L3123" s="8"/>
      <c r="M3123" s="8"/>
      <c r="N3123" s="8"/>
      <c r="O3123" s="8"/>
      <c r="P3123" s="8"/>
    </row>
    <row r="3124" spans="1:16" s="7" customFormat="1" ht="42.75" customHeight="1" thickBot="1">
      <c r="A3124" s="92">
        <v>1057</v>
      </c>
      <c r="B3124" s="93"/>
      <c r="C3124" s="94" t="s">
        <v>3</v>
      </c>
      <c r="D3124" s="95"/>
      <c r="J3124" s="8"/>
      <c r="K3124" s="8"/>
      <c r="L3124" s="8"/>
      <c r="M3124" s="8"/>
      <c r="N3124" s="8"/>
      <c r="O3124" s="8"/>
      <c r="P3124" s="8"/>
    </row>
    <row r="3125" spans="1:16" s="7" customFormat="1" ht="42.75" customHeight="1" thickBot="1">
      <c r="A3125" s="92">
        <v>1067</v>
      </c>
      <c r="B3125" s="93"/>
      <c r="C3125" s="96" t="s">
        <v>4</v>
      </c>
      <c r="D3125" s="97"/>
      <c r="J3125" s="8"/>
      <c r="K3125" s="8"/>
      <c r="L3125" s="8"/>
      <c r="M3125" s="8"/>
      <c r="N3125" s="8"/>
      <c r="O3125" s="8"/>
      <c r="P3125" s="8"/>
    </row>
    <row r="3126" spans="1:16" s="7" customFormat="1" ht="42.75" customHeight="1" thickBot="1">
      <c r="A3126" s="98">
        <f>A3125-A3124</f>
        <v>10</v>
      </c>
      <c r="B3126" s="99"/>
      <c r="C3126" s="100" t="s">
        <v>5</v>
      </c>
      <c r="D3126" s="97"/>
      <c r="J3126" s="8"/>
      <c r="K3126" s="8"/>
      <c r="L3126" s="8"/>
      <c r="M3126" s="8"/>
      <c r="N3126" s="8"/>
      <c r="O3126" s="8"/>
      <c r="P3126" s="8"/>
    </row>
    <row r="3127" spans="1:16" s="7" customFormat="1" ht="42.75" customHeight="1" thickBot="1">
      <c r="A3127" s="101">
        <v>62</v>
      </c>
      <c r="B3127" s="102"/>
      <c r="C3127" s="96" t="s">
        <v>6</v>
      </c>
      <c r="D3127" s="97"/>
      <c r="J3127" s="8"/>
      <c r="K3127" s="8"/>
      <c r="L3127" s="8"/>
      <c r="M3127" s="8"/>
      <c r="N3127" s="8"/>
      <c r="O3127" s="8"/>
      <c r="P3127" s="8"/>
    </row>
    <row r="3128" spans="1:16" s="7" customFormat="1" ht="42.75" customHeight="1" thickBot="1">
      <c r="A3128" s="103"/>
      <c r="B3128" s="104"/>
      <c r="C3128" s="96" t="s">
        <v>21</v>
      </c>
      <c r="D3128" s="97"/>
      <c r="J3128" s="8"/>
      <c r="K3128" s="8"/>
      <c r="L3128" s="8"/>
      <c r="M3128" s="8"/>
      <c r="N3128" s="8"/>
      <c r="O3128" s="8"/>
      <c r="P3128" s="8"/>
    </row>
    <row r="3129" spans="1:16" s="7" customFormat="1" ht="42.75" customHeight="1" thickBot="1">
      <c r="A3129" s="105">
        <v>600</v>
      </c>
      <c r="B3129" s="106"/>
      <c r="C3129" s="96" t="s">
        <v>7</v>
      </c>
      <c r="D3129" s="97"/>
      <c r="J3129" s="8"/>
      <c r="K3129" s="8"/>
      <c r="L3129" s="8"/>
      <c r="M3129" s="8"/>
      <c r="N3129" s="8"/>
      <c r="O3129" s="8"/>
      <c r="P3129" s="8"/>
    </row>
    <row r="3130" spans="1:16" s="7" customFormat="1" ht="42.75" customHeight="1" thickBot="1">
      <c r="A3130" s="107" t="s">
        <v>17</v>
      </c>
      <c r="B3130" s="108"/>
      <c r="C3130" s="108"/>
      <c r="D3130" s="109"/>
      <c r="J3130" s="8"/>
      <c r="K3130" s="8"/>
      <c r="L3130" s="8"/>
      <c r="M3130" s="8"/>
      <c r="N3130" s="8"/>
      <c r="O3130" s="8"/>
      <c r="P3130" s="8"/>
    </row>
    <row r="3131" spans="1:16" s="7" customFormat="1" ht="42.75" customHeight="1" thickBot="1">
      <c r="A3131" s="110" t="s">
        <v>20</v>
      </c>
      <c r="B3131" s="111"/>
      <c r="C3131" s="111"/>
      <c r="D3131" s="112"/>
      <c r="J3131" s="8"/>
      <c r="K3131" s="8"/>
      <c r="L3131" s="8"/>
      <c r="M3131" s="8"/>
      <c r="N3131" s="8"/>
      <c r="O3131" s="8"/>
      <c r="P3131" s="8"/>
    </row>
    <row r="3132" spans="1:16" s="7" customFormat="1" ht="42.75" customHeight="1" thickBot="1">
      <c r="A3132" s="113" t="s">
        <v>18</v>
      </c>
      <c r="B3132" s="114"/>
      <c r="C3132" s="114"/>
      <c r="D3132" s="115"/>
      <c r="J3132" s="8"/>
      <c r="K3132" s="8"/>
      <c r="L3132" s="8"/>
      <c r="M3132" s="8"/>
      <c r="N3132" s="8"/>
      <c r="O3132" s="8"/>
      <c r="P3132" s="8"/>
    </row>
    <row r="3133" spans="1:16" s="7" customFormat="1" ht="42.75" customHeight="1" thickBot="1">
      <c r="A3133" s="126" t="s">
        <v>19</v>
      </c>
      <c r="B3133" s="127"/>
      <c r="C3133" s="127"/>
      <c r="D3133" s="128"/>
      <c r="J3133" s="8"/>
      <c r="K3133" s="8"/>
      <c r="L3133" s="8"/>
      <c r="M3133" s="8"/>
      <c r="N3133" s="8"/>
      <c r="O3133" s="8"/>
      <c r="P3133" s="8"/>
    </row>
    <row r="3134" spans="1:16" s="7" customFormat="1" ht="42.75" customHeight="1" thickBot="1">
      <c r="A3134" s="123" t="s">
        <v>11</v>
      </c>
      <c r="B3134" s="124"/>
      <c r="C3134" s="125" t="s">
        <v>603</v>
      </c>
      <c r="D3134" s="124"/>
      <c r="J3134" s="8"/>
      <c r="K3134" s="8"/>
      <c r="L3134" s="8"/>
      <c r="M3134" s="8"/>
      <c r="N3134" s="8"/>
      <c r="O3134" s="8"/>
      <c r="P3134" s="8"/>
    </row>
    <row r="3135" spans="1:16" s="7" customFormat="1" ht="42.75" customHeight="1" thickBot="1">
      <c r="A3135" s="1" t="s">
        <v>686</v>
      </c>
      <c r="B3135" s="26" t="s">
        <v>1</v>
      </c>
      <c r="C3135" s="90" t="s">
        <v>511</v>
      </c>
      <c r="D3135" s="91"/>
      <c r="J3135" s="8"/>
      <c r="K3135" s="8"/>
      <c r="L3135" s="8"/>
      <c r="M3135" s="8"/>
      <c r="N3135" s="8"/>
      <c r="O3135" s="8"/>
      <c r="P3135" s="8"/>
    </row>
    <row r="3136" spans="1:16" s="7" customFormat="1" ht="42.75" customHeight="1" thickBot="1">
      <c r="A3136" s="26"/>
      <c r="B3136" s="26" t="s">
        <v>0</v>
      </c>
      <c r="C3136" s="5" t="s">
        <v>687</v>
      </c>
      <c r="D3136" s="4" t="s">
        <v>2</v>
      </c>
      <c r="J3136" s="8"/>
      <c r="K3136" s="8"/>
      <c r="L3136" s="8"/>
      <c r="M3136" s="8"/>
      <c r="N3136" s="8"/>
      <c r="O3136" s="8"/>
      <c r="P3136" s="8"/>
    </row>
    <row r="3137" spans="1:16" s="7" customFormat="1" ht="42.75" customHeight="1" thickBot="1">
      <c r="A3137" s="92">
        <v>42</v>
      </c>
      <c r="B3137" s="93"/>
      <c r="C3137" s="94" t="s">
        <v>3</v>
      </c>
      <c r="D3137" s="95"/>
      <c r="J3137" s="8"/>
      <c r="K3137" s="8"/>
      <c r="L3137" s="8"/>
      <c r="M3137" s="8"/>
      <c r="N3137" s="8"/>
      <c r="O3137" s="8"/>
      <c r="P3137" s="8"/>
    </row>
    <row r="3138" spans="1:16" s="7" customFormat="1" ht="42.75" customHeight="1" thickBot="1">
      <c r="A3138" s="92">
        <v>42</v>
      </c>
      <c r="B3138" s="93"/>
      <c r="C3138" s="96" t="s">
        <v>4</v>
      </c>
      <c r="D3138" s="97"/>
      <c r="J3138" s="8"/>
      <c r="K3138" s="8"/>
      <c r="L3138" s="8"/>
      <c r="M3138" s="8"/>
      <c r="N3138" s="8"/>
      <c r="O3138" s="8"/>
      <c r="P3138" s="8"/>
    </row>
    <row r="3139" spans="1:16" s="7" customFormat="1" ht="42.75" customHeight="1" thickBot="1">
      <c r="A3139" s="98">
        <f>A3138-A3137</f>
        <v>0</v>
      </c>
      <c r="B3139" s="99"/>
      <c r="C3139" s="100" t="s">
        <v>5</v>
      </c>
      <c r="D3139" s="97"/>
      <c r="J3139" s="8"/>
      <c r="K3139" s="8"/>
      <c r="L3139" s="8"/>
      <c r="M3139" s="8"/>
      <c r="N3139" s="8"/>
      <c r="O3139" s="8"/>
      <c r="P3139" s="8"/>
    </row>
    <row r="3140" spans="1:16" s="7" customFormat="1" ht="42.75" customHeight="1" thickBot="1">
      <c r="A3140" s="101">
        <v>62</v>
      </c>
      <c r="B3140" s="102"/>
      <c r="C3140" s="96" t="s">
        <v>6</v>
      </c>
      <c r="D3140" s="97"/>
      <c r="J3140" s="8"/>
      <c r="K3140" s="8"/>
      <c r="L3140" s="8"/>
      <c r="M3140" s="8"/>
      <c r="N3140" s="8"/>
      <c r="O3140" s="8"/>
      <c r="P3140" s="8"/>
    </row>
    <row r="3141" spans="1:16" s="7" customFormat="1" ht="42.75" customHeight="1" thickBot="1">
      <c r="A3141" s="103"/>
      <c r="B3141" s="104"/>
      <c r="C3141" s="96" t="s">
        <v>21</v>
      </c>
      <c r="D3141" s="97"/>
      <c r="J3141" s="8"/>
      <c r="K3141" s="8"/>
      <c r="L3141" s="8"/>
      <c r="M3141" s="8"/>
      <c r="N3141" s="8"/>
      <c r="O3141" s="8"/>
      <c r="P3141" s="8"/>
    </row>
    <row r="3142" spans="1:16" s="7" customFormat="1" ht="42.75" customHeight="1" thickBot="1">
      <c r="A3142" s="105">
        <f>A3140*A3139</f>
        <v>0</v>
      </c>
      <c r="B3142" s="106"/>
      <c r="C3142" s="96" t="s">
        <v>7</v>
      </c>
      <c r="D3142" s="97"/>
      <c r="J3142" s="8"/>
      <c r="K3142" s="8"/>
      <c r="L3142" s="8"/>
      <c r="M3142" s="8"/>
      <c r="N3142" s="8"/>
      <c r="O3142" s="8"/>
      <c r="P3142" s="8"/>
    </row>
    <row r="3143" spans="1:16" s="7" customFormat="1" ht="42.75" customHeight="1" thickBot="1">
      <c r="A3143" s="107" t="s">
        <v>17</v>
      </c>
      <c r="B3143" s="108"/>
      <c r="C3143" s="108"/>
      <c r="D3143" s="109"/>
      <c r="J3143" s="8"/>
      <c r="K3143" s="8"/>
      <c r="L3143" s="8"/>
      <c r="M3143" s="8"/>
      <c r="N3143" s="8"/>
      <c r="O3143" s="8"/>
      <c r="P3143" s="8"/>
    </row>
    <row r="3144" spans="1:16" s="7" customFormat="1" ht="42.75" customHeight="1" thickBot="1">
      <c r="A3144" s="116" t="s">
        <v>20</v>
      </c>
      <c r="B3144" s="117"/>
      <c r="C3144" s="117"/>
      <c r="D3144" s="118"/>
      <c r="J3144" s="8"/>
      <c r="K3144" s="8"/>
      <c r="L3144" s="8"/>
      <c r="M3144" s="8"/>
      <c r="N3144" s="8"/>
      <c r="O3144" s="8"/>
      <c r="P3144" s="8"/>
    </row>
    <row r="3145" spans="1:16" s="7" customFormat="1" ht="42.75" customHeight="1" thickBot="1">
      <c r="A3145" s="113" t="s">
        <v>18</v>
      </c>
      <c r="B3145" s="114"/>
      <c r="C3145" s="114"/>
      <c r="D3145" s="115"/>
      <c r="J3145" s="8"/>
      <c r="K3145" s="8"/>
      <c r="L3145" s="8"/>
      <c r="M3145" s="8"/>
      <c r="N3145" s="8"/>
      <c r="O3145" s="8"/>
      <c r="P3145" s="8"/>
    </row>
    <row r="3146" spans="1:16" s="7" customFormat="1" ht="42.75" customHeight="1" thickBot="1">
      <c r="A3146" s="119"/>
      <c r="B3146" s="119"/>
      <c r="C3146" s="119"/>
      <c r="D3146" s="119"/>
      <c r="J3146" s="8"/>
      <c r="K3146" s="8"/>
      <c r="L3146" s="8"/>
      <c r="M3146" s="8"/>
      <c r="N3146" s="8"/>
      <c r="O3146" s="8"/>
      <c r="P3146" s="8"/>
    </row>
    <row r="3147" spans="1:16" s="7" customFormat="1" ht="42.75" customHeight="1" thickBot="1">
      <c r="A3147" s="126" t="s">
        <v>19</v>
      </c>
      <c r="B3147" s="127"/>
      <c r="C3147" s="127"/>
      <c r="D3147" s="128"/>
      <c r="J3147" s="8"/>
      <c r="K3147" s="8"/>
      <c r="L3147" s="8"/>
      <c r="M3147" s="8"/>
      <c r="N3147" s="8"/>
      <c r="O3147" s="8"/>
      <c r="P3147" s="8"/>
    </row>
    <row r="3148" spans="1:16" s="7" customFormat="1" ht="42.75" customHeight="1" thickBot="1">
      <c r="A3148" s="123" t="s">
        <v>11</v>
      </c>
      <c r="B3148" s="124"/>
      <c r="C3148" s="125" t="s">
        <v>603</v>
      </c>
      <c r="D3148" s="124"/>
      <c r="J3148" s="8"/>
      <c r="K3148" s="8"/>
      <c r="L3148" s="8"/>
      <c r="M3148" s="8"/>
      <c r="N3148" s="8"/>
      <c r="O3148" s="8"/>
      <c r="P3148" s="8"/>
    </row>
    <row r="3149" spans="1:16" s="7" customFormat="1" ht="42.75" customHeight="1" thickBot="1">
      <c r="A3149" s="1" t="s">
        <v>686</v>
      </c>
      <c r="B3149" s="26" t="s">
        <v>1</v>
      </c>
      <c r="C3149" s="90" t="s">
        <v>511</v>
      </c>
      <c r="D3149" s="91"/>
      <c r="J3149" s="8"/>
      <c r="K3149" s="8"/>
      <c r="L3149" s="8"/>
      <c r="M3149" s="8"/>
      <c r="N3149" s="8"/>
      <c r="O3149" s="8"/>
      <c r="P3149" s="8"/>
    </row>
    <row r="3150" spans="1:16" s="7" customFormat="1" ht="42.75" customHeight="1" thickBot="1">
      <c r="A3150" s="26"/>
      <c r="B3150" s="26" t="s">
        <v>0</v>
      </c>
      <c r="C3150" s="5" t="s">
        <v>687</v>
      </c>
      <c r="D3150" s="4" t="s">
        <v>2</v>
      </c>
      <c r="J3150" s="8"/>
      <c r="K3150" s="8"/>
      <c r="L3150" s="8"/>
      <c r="M3150" s="8"/>
      <c r="N3150" s="8"/>
      <c r="O3150" s="8"/>
      <c r="P3150" s="8"/>
    </row>
    <row r="3151" spans="1:16" s="7" customFormat="1" ht="42.75" customHeight="1" thickBot="1">
      <c r="A3151" s="92">
        <v>35</v>
      </c>
      <c r="B3151" s="93"/>
      <c r="C3151" s="94" t="s">
        <v>3</v>
      </c>
      <c r="D3151" s="95"/>
      <c r="J3151" s="8"/>
      <c r="K3151" s="8"/>
      <c r="L3151" s="8"/>
      <c r="M3151" s="8"/>
      <c r="N3151" s="8"/>
      <c r="O3151" s="8"/>
      <c r="P3151" s="8"/>
    </row>
    <row r="3152" spans="1:16" s="7" customFormat="1" ht="42.75" customHeight="1" thickBot="1">
      <c r="A3152" s="92">
        <v>42</v>
      </c>
      <c r="B3152" s="93"/>
      <c r="C3152" s="96" t="s">
        <v>4</v>
      </c>
      <c r="D3152" s="97"/>
      <c r="J3152" s="8"/>
      <c r="K3152" s="8"/>
      <c r="L3152" s="8"/>
      <c r="M3152" s="8"/>
      <c r="N3152" s="8"/>
      <c r="O3152" s="8"/>
      <c r="P3152" s="8"/>
    </row>
    <row r="3153" spans="1:16" s="7" customFormat="1" ht="42.75" customHeight="1" thickBot="1">
      <c r="A3153" s="98">
        <v>10</v>
      </c>
      <c r="B3153" s="99"/>
      <c r="C3153" s="100" t="s">
        <v>5</v>
      </c>
      <c r="D3153" s="97"/>
      <c r="J3153" s="8"/>
      <c r="K3153" s="8"/>
      <c r="L3153" s="8"/>
      <c r="M3153" s="8"/>
      <c r="N3153" s="8"/>
      <c r="O3153" s="8"/>
      <c r="P3153" s="8"/>
    </row>
    <row r="3154" spans="1:16" s="7" customFormat="1" ht="42.75" customHeight="1" thickBot="1">
      <c r="A3154" s="101">
        <v>62</v>
      </c>
      <c r="B3154" s="102"/>
      <c r="C3154" s="96" t="s">
        <v>6</v>
      </c>
      <c r="D3154" s="97"/>
      <c r="J3154" s="8"/>
      <c r="K3154" s="8"/>
      <c r="L3154" s="8"/>
      <c r="M3154" s="8"/>
      <c r="N3154" s="8"/>
      <c r="O3154" s="8"/>
      <c r="P3154" s="8"/>
    </row>
    <row r="3155" spans="1:16" s="7" customFormat="1" ht="42.75" customHeight="1" thickBot="1">
      <c r="A3155" s="103"/>
      <c r="B3155" s="104"/>
      <c r="C3155" s="96" t="s">
        <v>21</v>
      </c>
      <c r="D3155" s="97"/>
      <c r="J3155" s="8"/>
      <c r="K3155" s="8"/>
      <c r="L3155" s="8"/>
      <c r="M3155" s="8"/>
      <c r="N3155" s="8"/>
      <c r="O3155" s="8"/>
      <c r="P3155" s="8"/>
    </row>
    <row r="3156" spans="1:16" s="7" customFormat="1" ht="42.75" customHeight="1" thickBot="1">
      <c r="A3156" s="105">
        <v>600</v>
      </c>
      <c r="B3156" s="106"/>
      <c r="C3156" s="96" t="s">
        <v>7</v>
      </c>
      <c r="D3156" s="97"/>
      <c r="J3156" s="8"/>
      <c r="K3156" s="8"/>
      <c r="L3156" s="8"/>
      <c r="M3156" s="8"/>
      <c r="N3156" s="8"/>
      <c r="O3156" s="8"/>
      <c r="P3156" s="8"/>
    </row>
    <row r="3157" spans="1:16" s="7" customFormat="1" ht="42.75" customHeight="1" thickBot="1">
      <c r="A3157" s="107" t="s">
        <v>17</v>
      </c>
      <c r="B3157" s="108"/>
      <c r="C3157" s="108"/>
      <c r="D3157" s="109"/>
      <c r="J3157" s="8"/>
      <c r="K3157" s="8"/>
      <c r="L3157" s="8"/>
      <c r="M3157" s="8"/>
      <c r="N3157" s="8"/>
      <c r="O3157" s="8"/>
      <c r="P3157" s="8"/>
    </row>
    <row r="3158" spans="1:16" s="7" customFormat="1" ht="42.75" customHeight="1" thickBot="1">
      <c r="A3158" s="110" t="s">
        <v>20</v>
      </c>
      <c r="B3158" s="111"/>
      <c r="C3158" s="111"/>
      <c r="D3158" s="112"/>
      <c r="J3158" s="8"/>
      <c r="K3158" s="8"/>
      <c r="L3158" s="8"/>
      <c r="M3158" s="8"/>
      <c r="N3158" s="8"/>
      <c r="O3158" s="8"/>
      <c r="P3158" s="8"/>
    </row>
    <row r="3159" spans="1:16" s="7" customFormat="1" ht="42.75" customHeight="1" thickBot="1">
      <c r="A3159" s="113" t="s">
        <v>18</v>
      </c>
      <c r="B3159" s="114"/>
      <c r="C3159" s="114"/>
      <c r="D3159" s="115"/>
      <c r="J3159" s="8"/>
      <c r="K3159" s="8"/>
      <c r="L3159" s="8"/>
      <c r="M3159" s="8"/>
      <c r="N3159" s="8"/>
      <c r="O3159" s="8"/>
      <c r="P3159" s="8"/>
    </row>
    <row r="3160" spans="1:16" s="7" customFormat="1" ht="42.75" customHeight="1" thickBot="1">
      <c r="A3160" s="126" t="s">
        <v>19</v>
      </c>
      <c r="B3160" s="127"/>
      <c r="C3160" s="127"/>
      <c r="D3160" s="128"/>
      <c r="J3160" s="8"/>
      <c r="K3160" s="8"/>
      <c r="L3160" s="8"/>
      <c r="M3160" s="8"/>
      <c r="N3160" s="8"/>
      <c r="O3160" s="8"/>
      <c r="P3160" s="8"/>
    </row>
    <row r="3161" spans="1:16" s="7" customFormat="1" ht="42.75" customHeight="1" thickBot="1">
      <c r="A3161" s="123" t="s">
        <v>11</v>
      </c>
      <c r="B3161" s="124"/>
      <c r="C3161" s="125" t="s">
        <v>603</v>
      </c>
      <c r="D3161" s="124"/>
      <c r="J3161" s="8"/>
      <c r="K3161" s="8"/>
      <c r="L3161" s="8"/>
      <c r="M3161" s="8"/>
      <c r="N3161" s="8"/>
      <c r="O3161" s="8"/>
      <c r="P3161" s="8"/>
    </row>
    <row r="3162" spans="1:16" s="7" customFormat="1" ht="42.75" customHeight="1" thickBot="1">
      <c r="A3162" s="1" t="s">
        <v>686</v>
      </c>
      <c r="B3162" s="26" t="s">
        <v>1</v>
      </c>
      <c r="C3162" s="90" t="s">
        <v>564</v>
      </c>
      <c r="D3162" s="91"/>
      <c r="J3162" s="8"/>
      <c r="K3162" s="8"/>
      <c r="L3162" s="8"/>
      <c r="M3162" s="8"/>
      <c r="N3162" s="8"/>
      <c r="O3162" s="8"/>
      <c r="P3162" s="8"/>
    </row>
    <row r="3163" spans="1:16" s="7" customFormat="1" ht="42.75" customHeight="1" thickBot="1">
      <c r="A3163" s="26"/>
      <c r="B3163" s="26" t="s">
        <v>0</v>
      </c>
      <c r="C3163" s="5" t="s">
        <v>687</v>
      </c>
      <c r="D3163" s="4" t="s">
        <v>2</v>
      </c>
      <c r="J3163" s="8"/>
      <c r="K3163" s="8"/>
      <c r="L3163" s="8"/>
      <c r="M3163" s="8"/>
      <c r="N3163" s="8"/>
      <c r="O3163" s="8"/>
      <c r="P3163" s="8"/>
    </row>
    <row r="3164" spans="1:16" s="7" customFormat="1" ht="42.75" customHeight="1" thickBot="1">
      <c r="A3164" s="92">
        <v>36</v>
      </c>
      <c r="B3164" s="93"/>
      <c r="C3164" s="94" t="s">
        <v>3</v>
      </c>
      <c r="D3164" s="95"/>
      <c r="J3164" s="8"/>
      <c r="K3164" s="8"/>
      <c r="L3164" s="8"/>
      <c r="M3164" s="8"/>
      <c r="N3164" s="8"/>
      <c r="O3164" s="8"/>
      <c r="P3164" s="8"/>
    </row>
    <row r="3165" spans="1:16" s="7" customFormat="1" ht="42.75" customHeight="1" thickBot="1">
      <c r="A3165" s="92">
        <v>36</v>
      </c>
      <c r="B3165" s="93"/>
      <c r="C3165" s="96" t="s">
        <v>4</v>
      </c>
      <c r="D3165" s="97"/>
      <c r="J3165" s="8"/>
      <c r="K3165" s="8"/>
      <c r="L3165" s="8"/>
      <c r="M3165" s="8"/>
      <c r="N3165" s="8"/>
      <c r="O3165" s="8"/>
      <c r="P3165" s="8"/>
    </row>
    <row r="3166" spans="1:16" s="7" customFormat="1" ht="42.75" customHeight="1" thickBot="1">
      <c r="A3166" s="98">
        <f>A3165-A3164</f>
        <v>0</v>
      </c>
      <c r="B3166" s="99"/>
      <c r="C3166" s="100" t="s">
        <v>5</v>
      </c>
      <c r="D3166" s="97"/>
      <c r="J3166" s="8"/>
      <c r="K3166" s="8"/>
      <c r="L3166" s="8"/>
      <c r="M3166" s="8"/>
      <c r="N3166" s="8"/>
      <c r="O3166" s="8"/>
      <c r="P3166" s="8"/>
    </row>
    <row r="3167" spans="1:16" s="7" customFormat="1" ht="42.75" customHeight="1" thickBot="1">
      <c r="A3167" s="101">
        <v>62</v>
      </c>
      <c r="B3167" s="102"/>
      <c r="C3167" s="96" t="s">
        <v>6</v>
      </c>
      <c r="D3167" s="97"/>
      <c r="J3167" s="8"/>
      <c r="K3167" s="8"/>
      <c r="L3167" s="8"/>
      <c r="M3167" s="8"/>
      <c r="N3167" s="8"/>
      <c r="O3167" s="8"/>
      <c r="P3167" s="8"/>
    </row>
    <row r="3168" spans="1:16" s="7" customFormat="1" ht="42.75" customHeight="1" thickBot="1">
      <c r="A3168" s="103"/>
      <c r="B3168" s="104"/>
      <c r="C3168" s="96" t="s">
        <v>21</v>
      </c>
      <c r="D3168" s="97"/>
      <c r="J3168" s="8"/>
      <c r="K3168" s="8"/>
      <c r="L3168" s="8"/>
      <c r="M3168" s="8"/>
      <c r="N3168" s="8"/>
      <c r="O3168" s="8"/>
      <c r="P3168" s="8"/>
    </row>
    <row r="3169" spans="1:16" s="7" customFormat="1" ht="42.75" customHeight="1" thickBot="1">
      <c r="A3169" s="105">
        <f>A3167*A3166</f>
        <v>0</v>
      </c>
      <c r="B3169" s="106"/>
      <c r="C3169" s="96" t="s">
        <v>7</v>
      </c>
      <c r="D3169" s="97"/>
      <c r="J3169" s="8"/>
      <c r="K3169" s="8"/>
      <c r="L3169" s="8"/>
      <c r="M3169" s="8"/>
      <c r="N3169" s="8"/>
      <c r="O3169" s="8"/>
      <c r="P3169" s="8"/>
    </row>
    <row r="3170" spans="1:16" s="7" customFormat="1" ht="42.75" customHeight="1" thickBot="1">
      <c r="A3170" s="107" t="s">
        <v>17</v>
      </c>
      <c r="B3170" s="108"/>
      <c r="C3170" s="108"/>
      <c r="D3170" s="109"/>
      <c r="J3170" s="8"/>
      <c r="K3170" s="8"/>
      <c r="L3170" s="8"/>
      <c r="M3170" s="8"/>
      <c r="N3170" s="8"/>
      <c r="O3170" s="8"/>
      <c r="P3170" s="8"/>
    </row>
    <row r="3171" spans="1:16" s="7" customFormat="1" ht="42.75" customHeight="1" thickBot="1">
      <c r="A3171" s="116" t="s">
        <v>20</v>
      </c>
      <c r="B3171" s="117"/>
      <c r="C3171" s="117"/>
      <c r="D3171" s="118"/>
      <c r="J3171" s="8"/>
      <c r="K3171" s="8"/>
      <c r="L3171" s="8"/>
      <c r="M3171" s="8"/>
      <c r="N3171" s="8"/>
      <c r="O3171" s="8"/>
      <c r="P3171" s="8"/>
    </row>
    <row r="3172" spans="1:16" s="7" customFormat="1" ht="42.75" customHeight="1" thickBot="1">
      <c r="A3172" s="113" t="s">
        <v>18</v>
      </c>
      <c r="B3172" s="114"/>
      <c r="C3172" s="114"/>
      <c r="D3172" s="115"/>
      <c r="J3172" s="8"/>
      <c r="K3172" s="8"/>
      <c r="L3172" s="8"/>
      <c r="M3172" s="8"/>
      <c r="N3172" s="8"/>
      <c r="O3172" s="8"/>
      <c r="P3172" s="8"/>
    </row>
    <row r="3173" spans="1:16" s="7" customFormat="1" ht="42.75" customHeight="1" thickBot="1">
      <c r="A3173" s="119"/>
      <c r="B3173" s="119"/>
      <c r="C3173" s="119"/>
      <c r="D3173" s="119"/>
      <c r="J3173" s="8"/>
      <c r="K3173" s="8"/>
      <c r="L3173" s="8"/>
      <c r="M3173" s="8"/>
      <c r="N3173" s="8"/>
      <c r="O3173" s="8"/>
      <c r="P3173" s="8"/>
    </row>
    <row r="3174" spans="1:16" s="7" customFormat="1" ht="42.75" customHeight="1" thickBot="1">
      <c r="A3174" s="126" t="s">
        <v>19</v>
      </c>
      <c r="B3174" s="127"/>
      <c r="C3174" s="127"/>
      <c r="D3174" s="128"/>
      <c r="J3174" s="8"/>
      <c r="K3174" s="8"/>
      <c r="L3174" s="8"/>
      <c r="M3174" s="8"/>
      <c r="N3174" s="8"/>
      <c r="O3174" s="8"/>
      <c r="P3174" s="8"/>
    </row>
    <row r="3175" spans="1:16" s="7" customFormat="1" ht="42.75" customHeight="1" thickBot="1">
      <c r="A3175" s="123" t="s">
        <v>11</v>
      </c>
      <c r="B3175" s="124"/>
      <c r="C3175" s="125" t="s">
        <v>603</v>
      </c>
      <c r="D3175" s="124"/>
      <c r="J3175" s="8"/>
      <c r="K3175" s="8"/>
      <c r="L3175" s="8"/>
      <c r="M3175" s="8"/>
      <c r="N3175" s="8"/>
      <c r="O3175" s="8"/>
      <c r="P3175" s="8"/>
    </row>
    <row r="3176" spans="1:16" s="7" customFormat="1" ht="42.75" customHeight="1" thickBot="1">
      <c r="A3176" s="1" t="s">
        <v>686</v>
      </c>
      <c r="B3176" s="26" t="s">
        <v>1</v>
      </c>
      <c r="C3176" s="90" t="s">
        <v>564</v>
      </c>
      <c r="D3176" s="91"/>
      <c r="J3176" s="8"/>
      <c r="K3176" s="8"/>
      <c r="L3176" s="8"/>
      <c r="M3176" s="8"/>
      <c r="N3176" s="8"/>
      <c r="O3176" s="8"/>
      <c r="P3176" s="8"/>
    </row>
    <row r="3177" spans="1:16" s="7" customFormat="1" ht="42.75" customHeight="1" thickBot="1">
      <c r="A3177" s="26"/>
      <c r="B3177" s="26" t="s">
        <v>0</v>
      </c>
      <c r="C3177" s="5" t="s">
        <v>687</v>
      </c>
      <c r="D3177" s="4" t="s">
        <v>2</v>
      </c>
      <c r="J3177" s="8"/>
      <c r="K3177" s="8"/>
      <c r="L3177" s="8"/>
      <c r="M3177" s="8"/>
      <c r="N3177" s="8"/>
      <c r="O3177" s="8"/>
      <c r="P3177" s="8"/>
    </row>
    <row r="3178" spans="1:16" s="7" customFormat="1" ht="42.75" customHeight="1" thickBot="1">
      <c r="A3178" s="92">
        <v>35</v>
      </c>
      <c r="B3178" s="93"/>
      <c r="C3178" s="94" t="s">
        <v>3</v>
      </c>
      <c r="D3178" s="95"/>
      <c r="J3178" s="8"/>
      <c r="K3178" s="8"/>
      <c r="L3178" s="8"/>
      <c r="M3178" s="8"/>
      <c r="N3178" s="8"/>
      <c r="O3178" s="8"/>
      <c r="P3178" s="8"/>
    </row>
    <row r="3179" spans="1:16" s="7" customFormat="1" ht="42.75" customHeight="1" thickBot="1">
      <c r="A3179" s="92">
        <v>36</v>
      </c>
      <c r="B3179" s="93"/>
      <c r="C3179" s="96" t="s">
        <v>4</v>
      </c>
      <c r="D3179" s="97"/>
      <c r="J3179" s="8"/>
      <c r="K3179" s="8"/>
      <c r="L3179" s="8"/>
      <c r="M3179" s="8"/>
      <c r="N3179" s="8"/>
      <c r="O3179" s="8"/>
      <c r="P3179" s="8"/>
    </row>
    <row r="3180" spans="1:16" s="7" customFormat="1" ht="42.75" customHeight="1" thickBot="1">
      <c r="A3180" s="98">
        <v>10</v>
      </c>
      <c r="B3180" s="99"/>
      <c r="C3180" s="100" t="s">
        <v>5</v>
      </c>
      <c r="D3180" s="97"/>
      <c r="J3180" s="8"/>
      <c r="K3180" s="8"/>
      <c r="L3180" s="8"/>
      <c r="M3180" s="8"/>
      <c r="N3180" s="8"/>
      <c r="O3180" s="8"/>
      <c r="P3180" s="8"/>
    </row>
    <row r="3181" spans="1:16" s="7" customFormat="1" ht="42.75" customHeight="1" thickBot="1">
      <c r="A3181" s="101">
        <v>62</v>
      </c>
      <c r="B3181" s="102"/>
      <c r="C3181" s="96" t="s">
        <v>6</v>
      </c>
      <c r="D3181" s="97"/>
      <c r="J3181" s="8"/>
      <c r="K3181" s="8"/>
      <c r="L3181" s="8"/>
      <c r="M3181" s="8"/>
      <c r="N3181" s="8"/>
      <c r="O3181" s="8"/>
      <c r="P3181" s="8"/>
    </row>
    <row r="3182" spans="1:16" s="7" customFormat="1" ht="42.75" customHeight="1" thickBot="1">
      <c r="A3182" s="103"/>
      <c r="B3182" s="104"/>
      <c r="C3182" s="96" t="s">
        <v>21</v>
      </c>
      <c r="D3182" s="97"/>
      <c r="J3182" s="8"/>
      <c r="K3182" s="8"/>
      <c r="L3182" s="8"/>
      <c r="M3182" s="8"/>
      <c r="N3182" s="8"/>
      <c r="O3182" s="8"/>
      <c r="P3182" s="8"/>
    </row>
    <row r="3183" spans="1:16" s="7" customFormat="1" ht="42.75" customHeight="1" thickBot="1">
      <c r="A3183" s="105">
        <v>600</v>
      </c>
      <c r="B3183" s="106"/>
      <c r="C3183" s="96" t="s">
        <v>7</v>
      </c>
      <c r="D3183" s="97"/>
      <c r="J3183" s="8"/>
      <c r="K3183" s="8"/>
      <c r="L3183" s="8"/>
      <c r="M3183" s="8"/>
      <c r="N3183" s="8"/>
      <c r="O3183" s="8"/>
      <c r="P3183" s="8"/>
    </row>
    <row r="3184" spans="1:16" s="7" customFormat="1" ht="42.75" customHeight="1" thickBot="1">
      <c r="A3184" s="107" t="s">
        <v>17</v>
      </c>
      <c r="B3184" s="108"/>
      <c r="C3184" s="108"/>
      <c r="D3184" s="109"/>
      <c r="J3184" s="8"/>
      <c r="K3184" s="8"/>
      <c r="L3184" s="8"/>
      <c r="M3184" s="8"/>
      <c r="N3184" s="8"/>
      <c r="O3184" s="8"/>
      <c r="P3184" s="8"/>
    </row>
    <row r="3185" spans="1:16" s="7" customFormat="1" ht="42.75" customHeight="1" thickBot="1">
      <c r="A3185" s="110" t="s">
        <v>20</v>
      </c>
      <c r="B3185" s="111"/>
      <c r="C3185" s="111"/>
      <c r="D3185" s="112"/>
      <c r="J3185" s="8"/>
      <c r="K3185" s="8"/>
      <c r="L3185" s="8"/>
      <c r="M3185" s="8"/>
      <c r="N3185" s="8"/>
      <c r="O3185" s="8"/>
      <c r="P3185" s="8"/>
    </row>
    <row r="3186" spans="1:16" s="7" customFormat="1" ht="42.75" customHeight="1" thickBot="1">
      <c r="A3186" s="113" t="s">
        <v>18</v>
      </c>
      <c r="B3186" s="114"/>
      <c r="C3186" s="114"/>
      <c r="D3186" s="115"/>
      <c r="J3186" s="8"/>
      <c r="K3186" s="8"/>
      <c r="L3186" s="8"/>
      <c r="M3186" s="8"/>
      <c r="N3186" s="8"/>
      <c r="O3186" s="8"/>
      <c r="P3186" s="8"/>
    </row>
    <row r="3187" spans="1:16" s="7" customFormat="1" ht="42.75" customHeight="1" thickBot="1">
      <c r="A3187" s="126" t="s">
        <v>19</v>
      </c>
      <c r="B3187" s="127"/>
      <c r="C3187" s="127"/>
      <c r="D3187" s="128"/>
      <c r="J3187" s="8"/>
      <c r="K3187" s="8"/>
      <c r="L3187" s="8"/>
      <c r="M3187" s="8"/>
      <c r="N3187" s="8"/>
      <c r="O3187" s="8"/>
      <c r="P3187" s="8"/>
    </row>
    <row r="3188" spans="1:16" s="7" customFormat="1" ht="42.75" customHeight="1" thickBot="1">
      <c r="A3188" s="123" t="s">
        <v>11</v>
      </c>
      <c r="B3188" s="124"/>
      <c r="C3188" s="125" t="s">
        <v>603</v>
      </c>
      <c r="D3188" s="124"/>
      <c r="J3188" s="8"/>
      <c r="K3188" s="8"/>
      <c r="L3188" s="8"/>
      <c r="M3188" s="8"/>
      <c r="N3188" s="8"/>
      <c r="O3188" s="8"/>
      <c r="P3188" s="8"/>
    </row>
    <row r="3189" spans="1:16" s="7" customFormat="1" ht="42.75" customHeight="1" thickBot="1">
      <c r="A3189" s="1" t="s">
        <v>686</v>
      </c>
      <c r="B3189" s="26" t="s">
        <v>1</v>
      </c>
      <c r="C3189" s="90" t="s">
        <v>43</v>
      </c>
      <c r="D3189" s="91"/>
      <c r="J3189" s="8"/>
      <c r="K3189" s="8"/>
      <c r="L3189" s="8"/>
      <c r="M3189" s="8"/>
      <c r="N3189" s="8"/>
      <c r="O3189" s="8"/>
      <c r="P3189" s="8"/>
    </row>
    <row r="3190" spans="1:16" s="7" customFormat="1" ht="42.75" customHeight="1" thickBot="1">
      <c r="A3190" s="26"/>
      <c r="B3190" s="26" t="s">
        <v>0</v>
      </c>
      <c r="C3190" s="5" t="s">
        <v>687</v>
      </c>
      <c r="D3190" s="4" t="s">
        <v>2</v>
      </c>
      <c r="J3190" s="8"/>
      <c r="K3190" s="8"/>
      <c r="L3190" s="8"/>
      <c r="M3190" s="8"/>
      <c r="N3190" s="8"/>
      <c r="O3190" s="8"/>
      <c r="P3190" s="8"/>
    </row>
    <row r="3191" spans="1:16" s="7" customFormat="1" ht="42.75" customHeight="1" thickBot="1">
      <c r="A3191" s="92">
        <v>8065</v>
      </c>
      <c r="B3191" s="93"/>
      <c r="C3191" s="94" t="s">
        <v>3</v>
      </c>
      <c r="D3191" s="95"/>
      <c r="J3191" s="8"/>
      <c r="K3191" s="8"/>
      <c r="L3191" s="8"/>
      <c r="M3191" s="8"/>
      <c r="N3191" s="8"/>
      <c r="O3191" s="8"/>
      <c r="P3191" s="8"/>
    </row>
    <row r="3192" spans="1:16" s="7" customFormat="1" ht="42.75" customHeight="1" thickBot="1">
      <c r="A3192" s="92">
        <v>8065</v>
      </c>
      <c r="B3192" s="93"/>
      <c r="C3192" s="96" t="s">
        <v>4</v>
      </c>
      <c r="D3192" s="97"/>
      <c r="J3192" s="8"/>
      <c r="K3192" s="8"/>
      <c r="L3192" s="8"/>
      <c r="M3192" s="8"/>
      <c r="N3192" s="8"/>
      <c r="O3192" s="8"/>
      <c r="P3192" s="8"/>
    </row>
    <row r="3193" spans="1:16" s="7" customFormat="1" ht="42.75" customHeight="1" thickBot="1">
      <c r="A3193" s="98">
        <f>A3192-A3191</f>
        <v>0</v>
      </c>
      <c r="B3193" s="99"/>
      <c r="C3193" s="100" t="s">
        <v>5</v>
      </c>
      <c r="D3193" s="97"/>
      <c r="J3193" s="8"/>
      <c r="K3193" s="8"/>
      <c r="L3193" s="8"/>
      <c r="M3193" s="8"/>
      <c r="N3193" s="8"/>
      <c r="O3193" s="8"/>
      <c r="P3193" s="8"/>
    </row>
    <row r="3194" spans="1:16" s="7" customFormat="1" ht="42.75" customHeight="1" thickBot="1">
      <c r="A3194" s="101">
        <v>62</v>
      </c>
      <c r="B3194" s="102"/>
      <c r="C3194" s="96" t="s">
        <v>6</v>
      </c>
      <c r="D3194" s="97"/>
      <c r="J3194" s="8"/>
      <c r="K3194" s="8"/>
      <c r="L3194" s="8"/>
      <c r="M3194" s="8"/>
      <c r="N3194" s="8"/>
      <c r="O3194" s="8"/>
      <c r="P3194" s="8"/>
    </row>
    <row r="3195" spans="1:16" s="7" customFormat="1" ht="42.75" customHeight="1" thickBot="1">
      <c r="A3195" s="103"/>
      <c r="B3195" s="104"/>
      <c r="C3195" s="96" t="s">
        <v>21</v>
      </c>
      <c r="D3195" s="97"/>
      <c r="J3195" s="8"/>
      <c r="K3195" s="8"/>
      <c r="L3195" s="8"/>
      <c r="M3195" s="8"/>
      <c r="N3195" s="8"/>
      <c r="O3195" s="8"/>
      <c r="P3195" s="8"/>
    </row>
    <row r="3196" spans="1:16" s="7" customFormat="1" ht="42.75" customHeight="1" thickBot="1">
      <c r="A3196" s="105">
        <f>A3194*A3193</f>
        <v>0</v>
      </c>
      <c r="B3196" s="106"/>
      <c r="C3196" s="96" t="s">
        <v>7</v>
      </c>
      <c r="D3196" s="97"/>
      <c r="J3196" s="8"/>
      <c r="K3196" s="8"/>
      <c r="L3196" s="8"/>
      <c r="M3196" s="8"/>
      <c r="N3196" s="8"/>
      <c r="O3196" s="8"/>
      <c r="P3196" s="8"/>
    </row>
    <row r="3197" spans="1:16" s="7" customFormat="1" ht="42.75" customHeight="1" thickBot="1">
      <c r="A3197" s="107" t="s">
        <v>17</v>
      </c>
      <c r="B3197" s="108"/>
      <c r="C3197" s="108"/>
      <c r="D3197" s="109"/>
      <c r="J3197" s="8"/>
      <c r="K3197" s="8"/>
      <c r="L3197" s="8"/>
      <c r="M3197" s="8"/>
      <c r="N3197" s="8"/>
      <c r="O3197" s="8"/>
      <c r="P3197" s="8"/>
    </row>
    <row r="3198" spans="1:16" s="7" customFormat="1" ht="42.75" customHeight="1" thickBot="1">
      <c r="A3198" s="116" t="s">
        <v>20</v>
      </c>
      <c r="B3198" s="117"/>
      <c r="C3198" s="117"/>
      <c r="D3198" s="118"/>
      <c r="J3198" s="8"/>
      <c r="K3198" s="8"/>
      <c r="L3198" s="8"/>
      <c r="M3198" s="8"/>
      <c r="N3198" s="8"/>
      <c r="O3198" s="8"/>
      <c r="P3198" s="8"/>
    </row>
    <row r="3199" spans="1:16" s="7" customFormat="1" ht="42.75" customHeight="1" thickBot="1">
      <c r="A3199" s="113" t="s">
        <v>18</v>
      </c>
      <c r="B3199" s="114"/>
      <c r="C3199" s="114"/>
      <c r="D3199" s="115"/>
      <c r="J3199" s="8"/>
      <c r="K3199" s="8"/>
      <c r="L3199" s="8"/>
      <c r="M3199" s="8"/>
      <c r="N3199" s="8"/>
      <c r="O3199" s="8"/>
      <c r="P3199" s="8"/>
    </row>
    <row r="3200" spans="1:16" s="7" customFormat="1" ht="42.75" customHeight="1" thickBot="1">
      <c r="A3200" s="119"/>
      <c r="B3200" s="119"/>
      <c r="C3200" s="119"/>
      <c r="D3200" s="119"/>
      <c r="J3200" s="8"/>
      <c r="K3200" s="8"/>
      <c r="L3200" s="8"/>
      <c r="M3200" s="8"/>
      <c r="N3200" s="8"/>
      <c r="O3200" s="8"/>
      <c r="P3200" s="8"/>
    </row>
    <row r="3201" spans="1:16" s="7" customFormat="1" ht="42.75" customHeight="1" thickBot="1">
      <c r="A3201" s="126" t="s">
        <v>19</v>
      </c>
      <c r="B3201" s="127"/>
      <c r="C3201" s="127"/>
      <c r="D3201" s="128"/>
      <c r="J3201" s="8"/>
      <c r="K3201" s="8"/>
      <c r="L3201" s="8"/>
      <c r="M3201" s="8"/>
      <c r="N3201" s="8"/>
      <c r="O3201" s="8"/>
      <c r="P3201" s="8"/>
    </row>
    <row r="3202" spans="1:16" s="7" customFormat="1" ht="42.75" customHeight="1" thickBot="1">
      <c r="A3202" s="123" t="s">
        <v>11</v>
      </c>
      <c r="B3202" s="124"/>
      <c r="C3202" s="125" t="s">
        <v>603</v>
      </c>
      <c r="D3202" s="124"/>
      <c r="J3202" s="8"/>
      <c r="K3202" s="8"/>
      <c r="L3202" s="8"/>
      <c r="M3202" s="8"/>
      <c r="N3202" s="8"/>
      <c r="O3202" s="8"/>
      <c r="P3202" s="8"/>
    </row>
    <row r="3203" spans="1:16" s="7" customFormat="1" ht="42.75" customHeight="1" thickBot="1">
      <c r="A3203" s="1" t="s">
        <v>686</v>
      </c>
      <c r="B3203" s="26" t="s">
        <v>1</v>
      </c>
      <c r="C3203" s="90" t="s">
        <v>43</v>
      </c>
      <c r="D3203" s="91"/>
      <c r="J3203" s="8"/>
      <c r="K3203" s="8"/>
      <c r="L3203" s="8"/>
      <c r="M3203" s="8"/>
      <c r="N3203" s="8"/>
      <c r="O3203" s="8"/>
      <c r="P3203" s="8"/>
    </row>
    <row r="3204" spans="1:16" s="7" customFormat="1" ht="42.75" customHeight="1" thickBot="1">
      <c r="A3204" s="26"/>
      <c r="B3204" s="26" t="s">
        <v>0</v>
      </c>
      <c r="C3204" s="5" t="s">
        <v>687</v>
      </c>
      <c r="D3204" s="4" t="s">
        <v>2</v>
      </c>
      <c r="J3204" s="8"/>
      <c r="K3204" s="8"/>
      <c r="L3204" s="8"/>
      <c r="M3204" s="8"/>
      <c r="N3204" s="8"/>
      <c r="O3204" s="8"/>
      <c r="P3204" s="8"/>
    </row>
    <row r="3205" spans="1:16" s="7" customFormat="1" ht="42.75" customHeight="1" thickBot="1">
      <c r="A3205" s="92">
        <v>8035</v>
      </c>
      <c r="B3205" s="93"/>
      <c r="C3205" s="94" t="s">
        <v>3</v>
      </c>
      <c r="D3205" s="95"/>
      <c r="J3205" s="8"/>
      <c r="K3205" s="8"/>
      <c r="L3205" s="8"/>
      <c r="M3205" s="8"/>
      <c r="N3205" s="8"/>
      <c r="O3205" s="8"/>
      <c r="P3205" s="8"/>
    </row>
    <row r="3206" spans="1:16" s="7" customFormat="1" ht="42.75" customHeight="1" thickBot="1">
      <c r="A3206" s="92">
        <v>8065</v>
      </c>
      <c r="B3206" s="93"/>
      <c r="C3206" s="96" t="s">
        <v>4</v>
      </c>
      <c r="D3206" s="97"/>
      <c r="J3206" s="8"/>
      <c r="K3206" s="8"/>
      <c r="L3206" s="8"/>
      <c r="M3206" s="8"/>
      <c r="N3206" s="8"/>
      <c r="O3206" s="8"/>
      <c r="P3206" s="8"/>
    </row>
    <row r="3207" spans="1:16" s="7" customFormat="1" ht="42.75" customHeight="1" thickBot="1">
      <c r="A3207" s="98">
        <f>A3206-A3205</f>
        <v>30</v>
      </c>
      <c r="B3207" s="99"/>
      <c r="C3207" s="100" t="s">
        <v>5</v>
      </c>
      <c r="D3207" s="97"/>
      <c r="J3207" s="8"/>
      <c r="K3207" s="8"/>
      <c r="L3207" s="8"/>
      <c r="M3207" s="8"/>
      <c r="N3207" s="8"/>
      <c r="O3207" s="8"/>
      <c r="P3207" s="8"/>
    </row>
    <row r="3208" spans="1:16" s="7" customFormat="1" ht="42.75" customHeight="1" thickBot="1">
      <c r="A3208" s="101">
        <v>62</v>
      </c>
      <c r="B3208" s="102"/>
      <c r="C3208" s="96" t="s">
        <v>6</v>
      </c>
      <c r="D3208" s="97"/>
      <c r="J3208" s="8"/>
      <c r="K3208" s="8"/>
      <c r="L3208" s="8"/>
      <c r="M3208" s="8"/>
      <c r="N3208" s="8"/>
      <c r="O3208" s="8"/>
      <c r="P3208" s="8"/>
    </row>
    <row r="3209" spans="1:16" s="7" customFormat="1" ht="42.75" customHeight="1" thickBot="1">
      <c r="A3209" s="103"/>
      <c r="B3209" s="104"/>
      <c r="C3209" s="96" t="s">
        <v>21</v>
      </c>
      <c r="D3209" s="97"/>
      <c r="J3209" s="8"/>
      <c r="K3209" s="8"/>
      <c r="L3209" s="8"/>
      <c r="M3209" s="8"/>
      <c r="N3209" s="8"/>
      <c r="O3209" s="8"/>
      <c r="P3209" s="8"/>
    </row>
    <row r="3210" spans="1:16" s="7" customFormat="1" ht="42.75" customHeight="1" thickBot="1">
      <c r="A3210" s="105">
        <v>1850</v>
      </c>
      <c r="B3210" s="106"/>
      <c r="C3210" s="96" t="s">
        <v>7</v>
      </c>
      <c r="D3210" s="97"/>
      <c r="J3210" s="8"/>
      <c r="K3210" s="8"/>
      <c r="L3210" s="8"/>
      <c r="M3210" s="8"/>
      <c r="N3210" s="8"/>
      <c r="O3210" s="8"/>
      <c r="P3210" s="8"/>
    </row>
    <row r="3211" spans="1:16" s="7" customFormat="1" ht="42.75" customHeight="1" thickBot="1">
      <c r="A3211" s="107" t="s">
        <v>17</v>
      </c>
      <c r="B3211" s="108"/>
      <c r="C3211" s="108"/>
      <c r="D3211" s="109"/>
      <c r="J3211" s="8"/>
      <c r="K3211" s="8"/>
      <c r="L3211" s="8"/>
      <c r="M3211" s="8"/>
      <c r="N3211" s="8"/>
      <c r="O3211" s="8"/>
      <c r="P3211" s="8"/>
    </row>
    <row r="3212" spans="1:16" s="7" customFormat="1" ht="42.75" customHeight="1" thickBot="1">
      <c r="A3212" s="110" t="s">
        <v>20</v>
      </c>
      <c r="B3212" s="111"/>
      <c r="C3212" s="111"/>
      <c r="D3212" s="112"/>
      <c r="J3212" s="8"/>
      <c r="K3212" s="8"/>
      <c r="L3212" s="8"/>
      <c r="M3212" s="8"/>
      <c r="N3212" s="8"/>
      <c r="O3212" s="8"/>
      <c r="P3212" s="8"/>
    </row>
    <row r="3213" spans="1:16" s="7" customFormat="1" ht="42.75" customHeight="1" thickBot="1">
      <c r="A3213" s="113" t="s">
        <v>18</v>
      </c>
      <c r="B3213" s="114"/>
      <c r="C3213" s="114"/>
      <c r="D3213" s="115"/>
      <c r="J3213" s="8"/>
      <c r="K3213" s="8"/>
      <c r="L3213" s="8"/>
      <c r="M3213" s="8"/>
      <c r="N3213" s="8"/>
      <c r="O3213" s="8"/>
      <c r="P3213" s="8"/>
    </row>
    <row r="3214" spans="1:16" s="7" customFormat="1" ht="42.75" customHeight="1" thickBot="1">
      <c r="A3214" s="126" t="s">
        <v>19</v>
      </c>
      <c r="B3214" s="127"/>
      <c r="C3214" s="127"/>
      <c r="D3214" s="128"/>
      <c r="J3214" s="8"/>
      <c r="K3214" s="8"/>
      <c r="L3214" s="8"/>
      <c r="M3214" s="8"/>
      <c r="N3214" s="8"/>
      <c r="O3214" s="8"/>
      <c r="P3214" s="8"/>
    </row>
    <row r="3215" spans="1:16" s="7" customFormat="1" ht="42.75" customHeight="1" thickBot="1">
      <c r="A3215" s="123" t="s">
        <v>11</v>
      </c>
      <c r="B3215" s="124"/>
      <c r="C3215" s="125" t="s">
        <v>603</v>
      </c>
      <c r="D3215" s="124"/>
      <c r="J3215" s="8"/>
      <c r="K3215" s="8"/>
      <c r="L3215" s="8"/>
      <c r="M3215" s="8"/>
      <c r="N3215" s="8"/>
      <c r="O3215" s="8"/>
      <c r="P3215" s="8"/>
    </row>
    <row r="3216" spans="1:16" s="7" customFormat="1" ht="42.75" customHeight="1" thickBot="1">
      <c r="A3216" s="1" t="s">
        <v>686</v>
      </c>
      <c r="B3216" s="26" t="s">
        <v>1</v>
      </c>
      <c r="C3216" s="90" t="s">
        <v>304</v>
      </c>
      <c r="D3216" s="91"/>
      <c r="J3216" s="8"/>
      <c r="K3216" s="8"/>
      <c r="L3216" s="8"/>
      <c r="M3216" s="8"/>
      <c r="N3216" s="8"/>
      <c r="O3216" s="8"/>
      <c r="P3216" s="8"/>
    </row>
    <row r="3217" spans="1:16" s="7" customFormat="1" ht="42.75" customHeight="1" thickBot="1">
      <c r="A3217" s="26"/>
      <c r="B3217" s="26" t="s">
        <v>0</v>
      </c>
      <c r="C3217" s="5" t="s">
        <v>687</v>
      </c>
      <c r="D3217" s="4" t="s">
        <v>2</v>
      </c>
      <c r="J3217" s="8"/>
      <c r="K3217" s="8"/>
      <c r="L3217" s="8"/>
      <c r="M3217" s="8"/>
      <c r="N3217" s="8"/>
      <c r="O3217" s="8"/>
      <c r="P3217" s="8"/>
    </row>
    <row r="3218" spans="1:16" s="7" customFormat="1" ht="42.75" customHeight="1" thickBot="1">
      <c r="A3218" s="92">
        <v>2080</v>
      </c>
      <c r="B3218" s="93"/>
      <c r="C3218" s="94" t="s">
        <v>3</v>
      </c>
      <c r="D3218" s="95"/>
      <c r="J3218" s="8"/>
      <c r="K3218" s="8"/>
      <c r="L3218" s="8"/>
      <c r="M3218" s="8"/>
      <c r="N3218" s="8"/>
      <c r="O3218" s="8"/>
      <c r="P3218" s="8"/>
    </row>
    <row r="3219" spans="1:16" s="7" customFormat="1" ht="42.75" customHeight="1" thickBot="1">
      <c r="A3219" s="92">
        <v>2080</v>
      </c>
      <c r="B3219" s="93"/>
      <c r="C3219" s="96" t="s">
        <v>4</v>
      </c>
      <c r="D3219" s="97"/>
      <c r="J3219" s="8"/>
      <c r="K3219" s="8"/>
      <c r="L3219" s="8"/>
      <c r="M3219" s="8"/>
      <c r="N3219" s="8"/>
      <c r="O3219" s="8"/>
      <c r="P3219" s="8"/>
    </row>
    <row r="3220" spans="1:16" s="7" customFormat="1" ht="42.75" customHeight="1" thickBot="1">
      <c r="A3220" s="98">
        <f>A3219-A3218</f>
        <v>0</v>
      </c>
      <c r="B3220" s="99"/>
      <c r="C3220" s="100" t="s">
        <v>5</v>
      </c>
      <c r="D3220" s="97"/>
      <c r="J3220" s="8"/>
      <c r="K3220" s="8"/>
      <c r="L3220" s="8"/>
      <c r="M3220" s="8"/>
      <c r="N3220" s="8"/>
      <c r="O3220" s="8"/>
      <c r="P3220" s="8"/>
    </row>
    <row r="3221" spans="1:16" s="7" customFormat="1" ht="42.75" customHeight="1" thickBot="1">
      <c r="A3221" s="101">
        <v>62</v>
      </c>
      <c r="B3221" s="102"/>
      <c r="C3221" s="96" t="s">
        <v>6</v>
      </c>
      <c r="D3221" s="97"/>
      <c r="J3221" s="8"/>
      <c r="K3221" s="8"/>
      <c r="L3221" s="8"/>
      <c r="M3221" s="8"/>
      <c r="N3221" s="8"/>
      <c r="O3221" s="8"/>
      <c r="P3221" s="8"/>
    </row>
    <row r="3222" spans="1:16" s="7" customFormat="1" ht="42.75" customHeight="1" thickBot="1">
      <c r="A3222" s="103"/>
      <c r="B3222" s="104"/>
      <c r="C3222" s="96" t="s">
        <v>21</v>
      </c>
      <c r="D3222" s="97"/>
      <c r="J3222" s="8"/>
      <c r="K3222" s="8"/>
      <c r="L3222" s="8"/>
      <c r="M3222" s="8"/>
      <c r="N3222" s="8"/>
      <c r="O3222" s="8"/>
      <c r="P3222" s="8"/>
    </row>
    <row r="3223" spans="1:16" s="7" customFormat="1" ht="42.75" customHeight="1" thickBot="1">
      <c r="A3223" s="105">
        <f>A3221*A3220</f>
        <v>0</v>
      </c>
      <c r="B3223" s="106"/>
      <c r="C3223" s="96" t="s">
        <v>7</v>
      </c>
      <c r="D3223" s="97"/>
      <c r="J3223" s="8"/>
      <c r="K3223" s="8"/>
      <c r="L3223" s="8"/>
      <c r="M3223" s="8"/>
      <c r="N3223" s="8"/>
      <c r="O3223" s="8"/>
      <c r="P3223" s="8"/>
    </row>
    <row r="3224" spans="1:16" s="7" customFormat="1" ht="42.75" customHeight="1" thickBot="1">
      <c r="A3224" s="107" t="s">
        <v>17</v>
      </c>
      <c r="B3224" s="108"/>
      <c r="C3224" s="108"/>
      <c r="D3224" s="109"/>
      <c r="J3224" s="8"/>
      <c r="K3224" s="8"/>
      <c r="L3224" s="8"/>
      <c r="M3224" s="8"/>
      <c r="N3224" s="8"/>
      <c r="O3224" s="8"/>
      <c r="P3224" s="8"/>
    </row>
    <row r="3225" spans="1:16" s="7" customFormat="1" ht="42.75" customHeight="1" thickBot="1">
      <c r="A3225" s="116" t="s">
        <v>20</v>
      </c>
      <c r="B3225" s="117"/>
      <c r="C3225" s="117"/>
      <c r="D3225" s="118"/>
      <c r="J3225" s="8"/>
      <c r="K3225" s="8"/>
      <c r="L3225" s="8"/>
      <c r="M3225" s="8"/>
      <c r="N3225" s="8"/>
      <c r="O3225" s="8"/>
      <c r="P3225" s="8"/>
    </row>
    <row r="3226" spans="1:16" s="7" customFormat="1" ht="42.75" customHeight="1" thickBot="1">
      <c r="A3226" s="113" t="s">
        <v>18</v>
      </c>
      <c r="B3226" s="114"/>
      <c r="C3226" s="114"/>
      <c r="D3226" s="115"/>
      <c r="J3226" s="8"/>
      <c r="K3226" s="8"/>
      <c r="L3226" s="8"/>
      <c r="M3226" s="8"/>
      <c r="N3226" s="8"/>
      <c r="O3226" s="8"/>
      <c r="P3226" s="8"/>
    </row>
    <row r="3227" spans="1:16" s="7" customFormat="1" ht="42.75" customHeight="1" thickBot="1">
      <c r="A3227" s="119"/>
      <c r="B3227" s="119"/>
      <c r="C3227" s="119"/>
      <c r="D3227" s="119"/>
      <c r="J3227" s="8"/>
      <c r="K3227" s="8"/>
      <c r="L3227" s="8"/>
      <c r="M3227" s="8"/>
      <c r="N3227" s="8"/>
      <c r="O3227" s="8"/>
      <c r="P3227" s="8"/>
    </row>
    <row r="3228" spans="1:16" s="7" customFormat="1" ht="42.75" customHeight="1" thickBot="1">
      <c r="A3228" s="126" t="s">
        <v>19</v>
      </c>
      <c r="B3228" s="127"/>
      <c r="C3228" s="127"/>
      <c r="D3228" s="128"/>
      <c r="J3228" s="8"/>
      <c r="K3228" s="8"/>
      <c r="L3228" s="8"/>
      <c r="M3228" s="8"/>
      <c r="N3228" s="8"/>
      <c r="O3228" s="8"/>
      <c r="P3228" s="8"/>
    </row>
    <row r="3229" spans="1:16" s="7" customFormat="1" ht="42.75" customHeight="1" thickBot="1">
      <c r="A3229" s="123" t="s">
        <v>11</v>
      </c>
      <c r="B3229" s="124"/>
      <c r="C3229" s="125" t="s">
        <v>603</v>
      </c>
      <c r="D3229" s="124"/>
      <c r="J3229" s="8"/>
      <c r="K3229" s="8"/>
      <c r="L3229" s="8"/>
      <c r="M3229" s="8"/>
      <c r="N3229" s="8"/>
      <c r="O3229" s="8"/>
      <c r="P3229" s="8"/>
    </row>
    <row r="3230" spans="1:16" s="7" customFormat="1" ht="42.75" customHeight="1" thickBot="1">
      <c r="A3230" s="1" t="s">
        <v>686</v>
      </c>
      <c r="B3230" s="26" t="s">
        <v>1</v>
      </c>
      <c r="C3230" s="90" t="s">
        <v>304</v>
      </c>
      <c r="D3230" s="91"/>
      <c r="J3230" s="8"/>
      <c r="K3230" s="8"/>
      <c r="L3230" s="8"/>
      <c r="M3230" s="8"/>
      <c r="N3230" s="8"/>
      <c r="O3230" s="8"/>
      <c r="P3230" s="8"/>
    </row>
    <row r="3231" spans="1:16" s="7" customFormat="1" ht="42.75" customHeight="1" thickBot="1">
      <c r="A3231" s="26"/>
      <c r="B3231" s="26" t="s">
        <v>0</v>
      </c>
      <c r="C3231" s="5" t="s">
        <v>687</v>
      </c>
      <c r="D3231" s="4" t="s">
        <v>2</v>
      </c>
      <c r="J3231" s="8"/>
      <c r="K3231" s="8"/>
      <c r="L3231" s="8"/>
      <c r="M3231" s="8"/>
      <c r="N3231" s="8"/>
      <c r="O3231" s="8"/>
      <c r="P3231" s="8"/>
    </row>
    <row r="3232" spans="1:16" s="7" customFormat="1" ht="42.75" customHeight="1" thickBot="1">
      <c r="A3232" s="92">
        <v>2050</v>
      </c>
      <c r="B3232" s="93"/>
      <c r="C3232" s="94" t="s">
        <v>3</v>
      </c>
      <c r="D3232" s="95"/>
      <c r="J3232" s="8"/>
      <c r="K3232" s="8"/>
      <c r="L3232" s="8"/>
      <c r="M3232" s="8"/>
      <c r="N3232" s="8"/>
      <c r="O3232" s="8"/>
      <c r="P3232" s="8"/>
    </row>
    <row r="3233" spans="1:16" s="7" customFormat="1" ht="42.75" customHeight="1" thickBot="1">
      <c r="A3233" s="92">
        <v>2080</v>
      </c>
      <c r="B3233" s="93"/>
      <c r="C3233" s="96" t="s">
        <v>4</v>
      </c>
      <c r="D3233" s="97"/>
      <c r="J3233" s="8"/>
      <c r="K3233" s="8"/>
      <c r="L3233" s="8"/>
      <c r="M3233" s="8"/>
      <c r="N3233" s="8"/>
      <c r="O3233" s="8"/>
      <c r="P3233" s="8"/>
    </row>
    <row r="3234" spans="1:16" s="7" customFormat="1" ht="42.75" customHeight="1" thickBot="1">
      <c r="A3234" s="98">
        <f>A3233-A3232</f>
        <v>30</v>
      </c>
      <c r="B3234" s="99"/>
      <c r="C3234" s="100" t="s">
        <v>5</v>
      </c>
      <c r="D3234" s="97"/>
      <c r="J3234" s="8"/>
      <c r="K3234" s="8"/>
      <c r="L3234" s="8"/>
      <c r="M3234" s="8"/>
      <c r="N3234" s="8"/>
      <c r="O3234" s="8"/>
      <c r="P3234" s="8"/>
    </row>
    <row r="3235" spans="1:16" s="7" customFormat="1" ht="42.75" customHeight="1" thickBot="1">
      <c r="A3235" s="101">
        <v>62</v>
      </c>
      <c r="B3235" s="102"/>
      <c r="C3235" s="96" t="s">
        <v>6</v>
      </c>
      <c r="D3235" s="97"/>
      <c r="J3235" s="8"/>
      <c r="K3235" s="8"/>
      <c r="L3235" s="8"/>
      <c r="M3235" s="8"/>
      <c r="N3235" s="8"/>
      <c r="O3235" s="8"/>
      <c r="P3235" s="8"/>
    </row>
    <row r="3236" spans="1:16" s="7" customFormat="1" ht="42.75" customHeight="1" thickBot="1">
      <c r="A3236" s="103"/>
      <c r="B3236" s="104"/>
      <c r="C3236" s="96" t="s">
        <v>21</v>
      </c>
      <c r="D3236" s="97"/>
      <c r="J3236" s="8"/>
      <c r="K3236" s="8"/>
      <c r="L3236" s="8"/>
      <c r="M3236" s="8"/>
      <c r="N3236" s="8"/>
      <c r="O3236" s="8"/>
      <c r="P3236" s="8"/>
    </row>
    <row r="3237" spans="1:16" s="7" customFormat="1" ht="42.75" customHeight="1" thickBot="1">
      <c r="A3237" s="105">
        <v>1850</v>
      </c>
      <c r="B3237" s="106"/>
      <c r="C3237" s="96" t="s">
        <v>7</v>
      </c>
      <c r="D3237" s="97"/>
      <c r="J3237" s="8"/>
      <c r="K3237" s="8"/>
      <c r="L3237" s="8"/>
      <c r="M3237" s="8"/>
      <c r="N3237" s="8"/>
      <c r="O3237" s="8"/>
      <c r="P3237" s="8"/>
    </row>
    <row r="3238" spans="1:16" s="7" customFormat="1" ht="42.75" customHeight="1" thickBot="1">
      <c r="A3238" s="107" t="s">
        <v>17</v>
      </c>
      <c r="B3238" s="108"/>
      <c r="C3238" s="108"/>
      <c r="D3238" s="109"/>
      <c r="J3238" s="8"/>
      <c r="K3238" s="8"/>
      <c r="L3238" s="8"/>
      <c r="M3238" s="8"/>
      <c r="N3238" s="8"/>
      <c r="O3238" s="8"/>
      <c r="P3238" s="8"/>
    </row>
    <row r="3239" spans="1:16" s="7" customFormat="1" ht="42.75" customHeight="1" thickBot="1">
      <c r="A3239" s="110" t="s">
        <v>20</v>
      </c>
      <c r="B3239" s="111"/>
      <c r="C3239" s="111"/>
      <c r="D3239" s="112"/>
      <c r="J3239" s="8"/>
      <c r="K3239" s="8"/>
      <c r="L3239" s="8"/>
      <c r="M3239" s="8"/>
      <c r="N3239" s="8"/>
      <c r="O3239" s="8"/>
      <c r="P3239" s="8"/>
    </row>
    <row r="3240" spans="1:16" s="7" customFormat="1" ht="42.75" customHeight="1" thickBot="1">
      <c r="A3240" s="113" t="s">
        <v>18</v>
      </c>
      <c r="B3240" s="114"/>
      <c r="C3240" s="114"/>
      <c r="D3240" s="115"/>
      <c r="J3240" s="8"/>
      <c r="K3240" s="8"/>
      <c r="L3240" s="8"/>
      <c r="M3240" s="8"/>
      <c r="N3240" s="8"/>
      <c r="O3240" s="8"/>
      <c r="P3240" s="8"/>
    </row>
    <row r="3241" spans="1:16" s="7" customFormat="1" ht="42.75" customHeight="1" thickBot="1">
      <c r="A3241" s="126" t="s">
        <v>19</v>
      </c>
      <c r="B3241" s="127"/>
      <c r="C3241" s="127"/>
      <c r="D3241" s="128"/>
      <c r="J3241" s="8"/>
      <c r="K3241" s="8"/>
      <c r="L3241" s="8"/>
      <c r="M3241" s="8"/>
      <c r="N3241" s="8"/>
      <c r="O3241" s="8"/>
      <c r="P3241" s="8"/>
    </row>
    <row r="3242" spans="1:16" s="7" customFormat="1" ht="42.75" customHeight="1" thickBot="1">
      <c r="A3242" s="123" t="s">
        <v>11</v>
      </c>
      <c r="B3242" s="124"/>
      <c r="C3242" s="125" t="s">
        <v>603</v>
      </c>
      <c r="D3242" s="124"/>
      <c r="J3242" s="8"/>
      <c r="K3242" s="8"/>
      <c r="L3242" s="8"/>
      <c r="M3242" s="8"/>
      <c r="N3242" s="8"/>
      <c r="O3242" s="8"/>
      <c r="P3242" s="8"/>
    </row>
    <row r="3243" spans="1:16" s="7" customFormat="1" ht="42.75" customHeight="1" thickBot="1">
      <c r="A3243" s="1" t="s">
        <v>686</v>
      </c>
      <c r="B3243" s="26" t="s">
        <v>1</v>
      </c>
      <c r="C3243" s="90" t="s">
        <v>24</v>
      </c>
      <c r="D3243" s="91"/>
      <c r="J3243" s="8"/>
      <c r="K3243" s="8"/>
      <c r="L3243" s="8"/>
      <c r="M3243" s="8"/>
      <c r="N3243" s="8"/>
      <c r="O3243" s="8"/>
      <c r="P3243" s="8"/>
    </row>
    <row r="3244" spans="1:16" s="7" customFormat="1" ht="42.75" customHeight="1" thickBot="1">
      <c r="A3244" s="26"/>
      <c r="B3244" s="26" t="s">
        <v>0</v>
      </c>
      <c r="C3244" s="5" t="s">
        <v>687</v>
      </c>
      <c r="D3244" s="4" t="s">
        <v>2</v>
      </c>
      <c r="J3244" s="8"/>
      <c r="K3244" s="8"/>
      <c r="L3244" s="8"/>
      <c r="M3244" s="8"/>
      <c r="N3244" s="8"/>
      <c r="O3244" s="8"/>
      <c r="P3244" s="8"/>
    </row>
    <row r="3245" spans="1:16" s="7" customFormat="1" ht="42.75" customHeight="1" thickBot="1">
      <c r="A3245" s="92">
        <v>2815</v>
      </c>
      <c r="B3245" s="93"/>
      <c r="C3245" s="94" t="s">
        <v>3</v>
      </c>
      <c r="D3245" s="95"/>
      <c r="J3245" s="8"/>
      <c r="K3245" s="8"/>
      <c r="L3245" s="8"/>
      <c r="M3245" s="8"/>
      <c r="N3245" s="8"/>
      <c r="O3245" s="8"/>
      <c r="P3245" s="8"/>
    </row>
    <row r="3246" spans="1:16" s="7" customFormat="1" ht="42.75" customHeight="1" thickBot="1">
      <c r="A3246" s="92">
        <v>2815</v>
      </c>
      <c r="B3246" s="93"/>
      <c r="C3246" s="96" t="s">
        <v>4</v>
      </c>
      <c r="D3246" s="97"/>
      <c r="J3246" s="8"/>
      <c r="K3246" s="8"/>
      <c r="L3246" s="8"/>
      <c r="M3246" s="8"/>
      <c r="N3246" s="8"/>
      <c r="O3246" s="8"/>
      <c r="P3246" s="8"/>
    </row>
    <row r="3247" spans="1:16" s="7" customFormat="1" ht="42.75" customHeight="1" thickBot="1">
      <c r="A3247" s="98">
        <f>A3246-A3245</f>
        <v>0</v>
      </c>
      <c r="B3247" s="99"/>
      <c r="C3247" s="100" t="s">
        <v>5</v>
      </c>
      <c r="D3247" s="97"/>
      <c r="J3247" s="8"/>
      <c r="K3247" s="8"/>
      <c r="L3247" s="8"/>
      <c r="M3247" s="8"/>
      <c r="N3247" s="8"/>
      <c r="O3247" s="8"/>
      <c r="P3247" s="8"/>
    </row>
    <row r="3248" spans="1:16" s="7" customFormat="1" ht="42.75" customHeight="1" thickBot="1">
      <c r="A3248" s="101">
        <v>62</v>
      </c>
      <c r="B3248" s="102"/>
      <c r="C3248" s="96" t="s">
        <v>6</v>
      </c>
      <c r="D3248" s="97"/>
      <c r="J3248" s="8"/>
      <c r="K3248" s="8"/>
      <c r="L3248" s="8"/>
      <c r="M3248" s="8"/>
      <c r="N3248" s="8"/>
      <c r="O3248" s="8"/>
      <c r="P3248" s="8"/>
    </row>
    <row r="3249" spans="1:16" s="7" customFormat="1" ht="42.75" customHeight="1" thickBot="1">
      <c r="A3249" s="103"/>
      <c r="B3249" s="104"/>
      <c r="C3249" s="96" t="s">
        <v>21</v>
      </c>
      <c r="D3249" s="97"/>
      <c r="J3249" s="8"/>
      <c r="K3249" s="8"/>
      <c r="L3249" s="8"/>
      <c r="M3249" s="8"/>
      <c r="N3249" s="8"/>
      <c r="O3249" s="8"/>
      <c r="P3249" s="8"/>
    </row>
    <row r="3250" spans="1:16" s="7" customFormat="1" ht="42.75" customHeight="1" thickBot="1">
      <c r="A3250" s="105">
        <f>A3248*A3247</f>
        <v>0</v>
      </c>
      <c r="B3250" s="106"/>
      <c r="C3250" s="96" t="s">
        <v>7</v>
      </c>
      <c r="D3250" s="97"/>
      <c r="J3250" s="8"/>
      <c r="K3250" s="8"/>
      <c r="L3250" s="8"/>
      <c r="M3250" s="8"/>
      <c r="N3250" s="8"/>
      <c r="O3250" s="8"/>
      <c r="P3250" s="8"/>
    </row>
    <row r="3251" spans="1:16" s="7" customFormat="1" ht="42.75" customHeight="1" thickBot="1">
      <c r="A3251" s="107" t="s">
        <v>17</v>
      </c>
      <c r="B3251" s="108"/>
      <c r="C3251" s="108"/>
      <c r="D3251" s="109"/>
      <c r="J3251" s="8"/>
      <c r="K3251" s="8"/>
      <c r="L3251" s="8"/>
      <c r="M3251" s="8"/>
      <c r="N3251" s="8"/>
      <c r="O3251" s="8"/>
      <c r="P3251" s="8"/>
    </row>
    <row r="3252" spans="1:16" s="7" customFormat="1" ht="42.75" customHeight="1" thickBot="1">
      <c r="A3252" s="116" t="s">
        <v>20</v>
      </c>
      <c r="B3252" s="117"/>
      <c r="C3252" s="117"/>
      <c r="D3252" s="118"/>
      <c r="J3252" s="8"/>
      <c r="K3252" s="8"/>
      <c r="L3252" s="8"/>
      <c r="M3252" s="8"/>
      <c r="N3252" s="8"/>
      <c r="O3252" s="8"/>
      <c r="P3252" s="8"/>
    </row>
    <row r="3253" spans="1:16" s="7" customFormat="1" ht="42.75" customHeight="1" thickBot="1">
      <c r="A3253" s="113" t="s">
        <v>18</v>
      </c>
      <c r="B3253" s="114"/>
      <c r="C3253" s="114"/>
      <c r="D3253" s="115"/>
      <c r="J3253" s="8"/>
      <c r="K3253" s="8"/>
      <c r="L3253" s="8"/>
      <c r="M3253" s="8"/>
      <c r="N3253" s="8"/>
      <c r="O3253" s="8"/>
      <c r="P3253" s="8"/>
    </row>
    <row r="3254" spans="1:16" s="7" customFormat="1" ht="42.75" customHeight="1" thickBot="1">
      <c r="A3254" s="119"/>
      <c r="B3254" s="119"/>
      <c r="C3254" s="119"/>
      <c r="D3254" s="119"/>
      <c r="J3254" s="8"/>
      <c r="K3254" s="8"/>
      <c r="L3254" s="8"/>
      <c r="M3254" s="8"/>
      <c r="N3254" s="8"/>
      <c r="O3254" s="8"/>
      <c r="P3254" s="8"/>
    </row>
    <row r="3255" spans="1:16" s="7" customFormat="1" ht="42.75" customHeight="1" thickBot="1">
      <c r="A3255" s="126" t="s">
        <v>19</v>
      </c>
      <c r="B3255" s="127"/>
      <c r="C3255" s="127"/>
      <c r="D3255" s="128"/>
      <c r="J3255" s="8"/>
      <c r="K3255" s="8"/>
      <c r="L3255" s="8"/>
      <c r="M3255" s="8"/>
      <c r="N3255" s="8"/>
      <c r="O3255" s="8"/>
      <c r="P3255" s="8"/>
    </row>
    <row r="3256" spans="1:16" s="7" customFormat="1" ht="42.75" customHeight="1" thickBot="1">
      <c r="A3256" s="123" t="s">
        <v>11</v>
      </c>
      <c r="B3256" s="124"/>
      <c r="C3256" s="125" t="s">
        <v>603</v>
      </c>
      <c r="D3256" s="124"/>
      <c r="J3256" s="8"/>
      <c r="K3256" s="8"/>
      <c r="L3256" s="8"/>
      <c r="M3256" s="8"/>
      <c r="N3256" s="8"/>
      <c r="O3256" s="8"/>
      <c r="P3256" s="8"/>
    </row>
    <row r="3257" spans="1:16" s="7" customFormat="1" ht="42.75" customHeight="1" thickBot="1">
      <c r="A3257" s="1" t="s">
        <v>686</v>
      </c>
      <c r="B3257" s="26" t="s">
        <v>1</v>
      </c>
      <c r="C3257" s="90" t="s">
        <v>24</v>
      </c>
      <c r="D3257" s="91"/>
      <c r="J3257" s="8"/>
      <c r="K3257" s="8"/>
      <c r="L3257" s="8"/>
      <c r="M3257" s="8"/>
      <c r="N3257" s="8"/>
      <c r="O3257" s="8"/>
      <c r="P3257" s="8"/>
    </row>
    <row r="3258" spans="1:16" s="7" customFormat="1" ht="42.75" customHeight="1" thickBot="1">
      <c r="A3258" s="26"/>
      <c r="B3258" s="26" t="s">
        <v>0</v>
      </c>
      <c r="C3258" s="5" t="s">
        <v>687</v>
      </c>
      <c r="D3258" s="4" t="s">
        <v>2</v>
      </c>
      <c r="J3258" s="8"/>
      <c r="K3258" s="8"/>
      <c r="L3258" s="8"/>
      <c r="M3258" s="8"/>
      <c r="N3258" s="8"/>
      <c r="O3258" s="8"/>
      <c r="P3258" s="8"/>
    </row>
    <row r="3259" spans="1:16" s="7" customFormat="1" ht="42.75" customHeight="1" thickBot="1">
      <c r="A3259" s="92">
        <v>2792</v>
      </c>
      <c r="B3259" s="93"/>
      <c r="C3259" s="94" t="s">
        <v>3</v>
      </c>
      <c r="D3259" s="95"/>
      <c r="J3259" s="8"/>
      <c r="K3259" s="8"/>
      <c r="L3259" s="8"/>
      <c r="M3259" s="8"/>
      <c r="N3259" s="8"/>
      <c r="O3259" s="8"/>
      <c r="P3259" s="8"/>
    </row>
    <row r="3260" spans="1:16" s="7" customFormat="1" ht="42.75" customHeight="1" thickBot="1">
      <c r="A3260" s="92">
        <v>2815</v>
      </c>
      <c r="B3260" s="93"/>
      <c r="C3260" s="96" t="s">
        <v>4</v>
      </c>
      <c r="D3260" s="97"/>
      <c r="J3260" s="8"/>
      <c r="K3260" s="8"/>
      <c r="L3260" s="8"/>
      <c r="M3260" s="8"/>
      <c r="N3260" s="8"/>
      <c r="O3260" s="8"/>
      <c r="P3260" s="8"/>
    </row>
    <row r="3261" spans="1:16" s="7" customFormat="1" ht="42.75" customHeight="1" thickBot="1">
      <c r="A3261" s="98">
        <f>A3260-A3259</f>
        <v>23</v>
      </c>
      <c r="B3261" s="99"/>
      <c r="C3261" s="100" t="s">
        <v>5</v>
      </c>
      <c r="D3261" s="97"/>
      <c r="J3261" s="8"/>
      <c r="K3261" s="8"/>
      <c r="L3261" s="8"/>
      <c r="M3261" s="8"/>
      <c r="N3261" s="8"/>
      <c r="O3261" s="8"/>
      <c r="P3261" s="8"/>
    </row>
    <row r="3262" spans="1:16" s="7" customFormat="1" ht="42.75" customHeight="1" thickBot="1">
      <c r="A3262" s="101">
        <v>62</v>
      </c>
      <c r="B3262" s="102"/>
      <c r="C3262" s="96" t="s">
        <v>6</v>
      </c>
      <c r="D3262" s="97"/>
      <c r="J3262" s="8"/>
      <c r="K3262" s="8"/>
      <c r="L3262" s="8"/>
      <c r="M3262" s="8"/>
      <c r="N3262" s="8"/>
      <c r="O3262" s="8"/>
      <c r="P3262" s="8"/>
    </row>
    <row r="3263" spans="1:16" s="7" customFormat="1" ht="42.75" customHeight="1" thickBot="1">
      <c r="A3263" s="103"/>
      <c r="B3263" s="104"/>
      <c r="C3263" s="96" t="s">
        <v>21</v>
      </c>
      <c r="D3263" s="97"/>
      <c r="J3263" s="8"/>
      <c r="K3263" s="8"/>
      <c r="L3263" s="8"/>
      <c r="M3263" s="8"/>
      <c r="N3263" s="8"/>
      <c r="O3263" s="8"/>
      <c r="P3263" s="8"/>
    </row>
    <row r="3264" spans="1:16" s="7" customFormat="1" ht="42.75" customHeight="1" thickBot="1">
      <c r="A3264" s="105">
        <v>1400</v>
      </c>
      <c r="B3264" s="106"/>
      <c r="C3264" s="96" t="s">
        <v>7</v>
      </c>
      <c r="D3264" s="97"/>
      <c r="J3264" s="8"/>
      <c r="K3264" s="8"/>
      <c r="L3264" s="8"/>
      <c r="M3264" s="8"/>
      <c r="N3264" s="8"/>
      <c r="O3264" s="8"/>
      <c r="P3264" s="8"/>
    </row>
    <row r="3265" spans="1:16" s="7" customFormat="1" ht="42.75" customHeight="1" thickBot="1">
      <c r="A3265" s="107" t="s">
        <v>17</v>
      </c>
      <c r="B3265" s="108"/>
      <c r="C3265" s="108"/>
      <c r="D3265" s="109"/>
      <c r="J3265" s="8"/>
      <c r="K3265" s="8"/>
      <c r="L3265" s="8"/>
      <c r="M3265" s="8"/>
      <c r="N3265" s="8"/>
      <c r="O3265" s="8"/>
      <c r="P3265" s="8"/>
    </row>
    <row r="3266" spans="1:16" s="7" customFormat="1" ht="42.75" customHeight="1" thickBot="1">
      <c r="A3266" s="110" t="s">
        <v>20</v>
      </c>
      <c r="B3266" s="111"/>
      <c r="C3266" s="111"/>
      <c r="D3266" s="112"/>
      <c r="J3266" s="8"/>
      <c r="K3266" s="8"/>
      <c r="L3266" s="8"/>
      <c r="M3266" s="8"/>
      <c r="N3266" s="8"/>
      <c r="O3266" s="8"/>
      <c r="P3266" s="8"/>
    </row>
    <row r="3267" spans="1:16" s="7" customFormat="1" ht="42.75" customHeight="1" thickBot="1">
      <c r="A3267" s="113" t="s">
        <v>18</v>
      </c>
      <c r="B3267" s="114"/>
      <c r="C3267" s="114"/>
      <c r="D3267" s="115"/>
      <c r="J3267" s="8"/>
      <c r="K3267" s="8"/>
      <c r="L3267" s="8"/>
      <c r="M3267" s="8"/>
      <c r="N3267" s="8"/>
      <c r="O3267" s="8"/>
      <c r="P3267" s="8"/>
    </row>
    <row r="3268" spans="1:16" s="7" customFormat="1" ht="42.75" customHeight="1" thickBot="1">
      <c r="A3268" s="126" t="s">
        <v>19</v>
      </c>
      <c r="B3268" s="127"/>
      <c r="C3268" s="127"/>
      <c r="D3268" s="128"/>
      <c r="J3268" s="8"/>
      <c r="K3268" s="8"/>
      <c r="L3268" s="8"/>
      <c r="M3268" s="8"/>
      <c r="N3268" s="8"/>
      <c r="O3268" s="8"/>
      <c r="P3268" s="8"/>
    </row>
    <row r="3269" spans="1:16" s="7" customFormat="1" ht="42.75" customHeight="1" thickBot="1">
      <c r="A3269" s="123" t="s">
        <v>11</v>
      </c>
      <c r="B3269" s="124"/>
      <c r="C3269" s="125" t="s">
        <v>603</v>
      </c>
      <c r="D3269" s="124"/>
      <c r="J3269" s="8"/>
      <c r="K3269" s="8"/>
      <c r="L3269" s="8"/>
      <c r="M3269" s="8"/>
      <c r="N3269" s="8"/>
      <c r="O3269" s="8"/>
      <c r="P3269" s="8"/>
    </row>
    <row r="3270" spans="1:16" s="7" customFormat="1" ht="42.75" customHeight="1" thickBot="1">
      <c r="A3270" s="1" t="s">
        <v>686</v>
      </c>
      <c r="B3270" s="26" t="s">
        <v>1</v>
      </c>
      <c r="C3270" s="90" t="s">
        <v>44</v>
      </c>
      <c r="D3270" s="91"/>
      <c r="J3270" s="8"/>
      <c r="K3270" s="8"/>
      <c r="L3270" s="8"/>
      <c r="M3270" s="8"/>
      <c r="N3270" s="8"/>
      <c r="O3270" s="8"/>
      <c r="P3270" s="8"/>
    </row>
    <row r="3271" spans="1:16" s="7" customFormat="1" ht="42.75" customHeight="1" thickBot="1">
      <c r="A3271" s="26"/>
      <c r="B3271" s="26" t="s">
        <v>0</v>
      </c>
      <c r="C3271" s="5" t="s">
        <v>687</v>
      </c>
      <c r="D3271" s="4" t="s">
        <v>2</v>
      </c>
      <c r="J3271" s="8"/>
      <c r="K3271" s="8"/>
      <c r="L3271" s="8"/>
      <c r="M3271" s="8"/>
      <c r="N3271" s="8"/>
      <c r="O3271" s="8"/>
      <c r="P3271" s="8"/>
    </row>
    <row r="3272" spans="1:16" s="7" customFormat="1" ht="42.75" customHeight="1" thickBot="1">
      <c r="A3272" s="92">
        <v>1615</v>
      </c>
      <c r="B3272" s="93"/>
      <c r="C3272" s="94" t="s">
        <v>3</v>
      </c>
      <c r="D3272" s="95"/>
      <c r="J3272" s="8"/>
      <c r="K3272" s="8"/>
      <c r="L3272" s="8"/>
      <c r="M3272" s="8"/>
      <c r="N3272" s="8"/>
      <c r="O3272" s="8"/>
      <c r="P3272" s="8"/>
    </row>
    <row r="3273" spans="1:16" s="7" customFormat="1" ht="42.75" customHeight="1" thickBot="1">
      <c r="A3273" s="92">
        <v>1615</v>
      </c>
      <c r="B3273" s="93"/>
      <c r="C3273" s="96" t="s">
        <v>4</v>
      </c>
      <c r="D3273" s="97"/>
      <c r="J3273" s="8"/>
      <c r="K3273" s="8"/>
      <c r="L3273" s="8"/>
      <c r="M3273" s="8"/>
      <c r="N3273" s="8"/>
      <c r="O3273" s="8"/>
      <c r="P3273" s="8"/>
    </row>
    <row r="3274" spans="1:16" s="7" customFormat="1" ht="42.75" customHeight="1" thickBot="1">
      <c r="A3274" s="98">
        <f>A3273-A3272</f>
        <v>0</v>
      </c>
      <c r="B3274" s="99"/>
      <c r="C3274" s="100" t="s">
        <v>5</v>
      </c>
      <c r="D3274" s="97"/>
      <c r="J3274" s="8"/>
      <c r="K3274" s="8"/>
      <c r="L3274" s="8"/>
      <c r="M3274" s="8"/>
      <c r="N3274" s="8"/>
      <c r="O3274" s="8"/>
      <c r="P3274" s="8"/>
    </row>
    <row r="3275" spans="1:16" s="7" customFormat="1" ht="42.75" customHeight="1" thickBot="1">
      <c r="A3275" s="101">
        <v>62</v>
      </c>
      <c r="B3275" s="102"/>
      <c r="C3275" s="96" t="s">
        <v>6</v>
      </c>
      <c r="D3275" s="97"/>
      <c r="J3275" s="8"/>
      <c r="K3275" s="8"/>
      <c r="L3275" s="8"/>
      <c r="M3275" s="8"/>
      <c r="N3275" s="8"/>
      <c r="O3275" s="8"/>
      <c r="P3275" s="8"/>
    </row>
    <row r="3276" spans="1:16" s="7" customFormat="1" ht="42.75" customHeight="1" thickBot="1">
      <c r="A3276" s="103"/>
      <c r="B3276" s="104"/>
      <c r="C3276" s="96" t="s">
        <v>21</v>
      </c>
      <c r="D3276" s="97"/>
      <c r="J3276" s="8"/>
      <c r="K3276" s="8"/>
      <c r="L3276" s="8"/>
      <c r="M3276" s="8"/>
      <c r="N3276" s="8"/>
      <c r="O3276" s="8"/>
      <c r="P3276" s="8"/>
    </row>
    <row r="3277" spans="1:16" s="7" customFormat="1" ht="42.75" customHeight="1" thickBot="1">
      <c r="A3277" s="105">
        <f>A3275*A3274</f>
        <v>0</v>
      </c>
      <c r="B3277" s="106"/>
      <c r="C3277" s="96" t="s">
        <v>7</v>
      </c>
      <c r="D3277" s="97"/>
      <c r="J3277" s="8"/>
      <c r="K3277" s="8"/>
      <c r="L3277" s="8"/>
      <c r="M3277" s="8"/>
      <c r="N3277" s="8"/>
      <c r="O3277" s="8"/>
      <c r="P3277" s="8"/>
    </row>
    <row r="3278" spans="1:16" s="7" customFormat="1" ht="42.75" customHeight="1" thickBot="1">
      <c r="A3278" s="107" t="s">
        <v>17</v>
      </c>
      <c r="B3278" s="108"/>
      <c r="C3278" s="108"/>
      <c r="D3278" s="109"/>
      <c r="J3278" s="8"/>
      <c r="K3278" s="8"/>
      <c r="L3278" s="8"/>
      <c r="M3278" s="8"/>
      <c r="N3278" s="8"/>
      <c r="O3278" s="8"/>
      <c r="P3278" s="8"/>
    </row>
    <row r="3279" spans="1:16" s="7" customFormat="1" ht="42.75" customHeight="1" thickBot="1">
      <c r="A3279" s="116" t="s">
        <v>20</v>
      </c>
      <c r="B3279" s="117"/>
      <c r="C3279" s="117"/>
      <c r="D3279" s="118"/>
      <c r="J3279" s="8"/>
      <c r="K3279" s="8"/>
      <c r="L3279" s="8"/>
      <c r="M3279" s="8"/>
      <c r="N3279" s="8"/>
      <c r="O3279" s="8"/>
      <c r="P3279" s="8"/>
    </row>
    <row r="3280" spans="1:16" s="7" customFormat="1" ht="42.75" customHeight="1" thickBot="1">
      <c r="A3280" s="113" t="s">
        <v>18</v>
      </c>
      <c r="B3280" s="114"/>
      <c r="C3280" s="114"/>
      <c r="D3280" s="115"/>
      <c r="J3280" s="8"/>
      <c r="K3280" s="8"/>
      <c r="L3280" s="8"/>
      <c r="M3280" s="8"/>
      <c r="N3280" s="8"/>
      <c r="O3280" s="8"/>
      <c r="P3280" s="8"/>
    </row>
    <row r="3281" spans="1:16" s="7" customFormat="1" ht="42.75" customHeight="1" thickBot="1">
      <c r="A3281" s="119"/>
      <c r="B3281" s="119"/>
      <c r="C3281" s="119"/>
      <c r="D3281" s="119"/>
      <c r="J3281" s="8"/>
      <c r="K3281" s="8"/>
      <c r="L3281" s="8"/>
      <c r="M3281" s="8"/>
      <c r="N3281" s="8"/>
      <c r="O3281" s="8"/>
      <c r="P3281" s="8"/>
    </row>
    <row r="3282" spans="1:16" s="7" customFormat="1" ht="42.75" customHeight="1" thickBot="1">
      <c r="A3282" s="126" t="s">
        <v>19</v>
      </c>
      <c r="B3282" s="127"/>
      <c r="C3282" s="127"/>
      <c r="D3282" s="128"/>
      <c r="J3282" s="8"/>
      <c r="K3282" s="8"/>
      <c r="L3282" s="8"/>
      <c r="M3282" s="8"/>
      <c r="N3282" s="8"/>
      <c r="O3282" s="8"/>
      <c r="P3282" s="8"/>
    </row>
    <row r="3283" spans="1:16" s="7" customFormat="1" ht="42.75" customHeight="1" thickBot="1">
      <c r="A3283" s="123" t="s">
        <v>11</v>
      </c>
      <c r="B3283" s="124"/>
      <c r="C3283" s="125" t="s">
        <v>603</v>
      </c>
      <c r="D3283" s="124"/>
      <c r="J3283" s="8"/>
      <c r="K3283" s="8"/>
      <c r="L3283" s="8"/>
      <c r="M3283" s="8"/>
      <c r="N3283" s="8"/>
      <c r="O3283" s="8"/>
      <c r="P3283" s="8"/>
    </row>
    <row r="3284" spans="1:16" s="7" customFormat="1" ht="42.75" customHeight="1" thickBot="1">
      <c r="A3284" s="1" t="s">
        <v>686</v>
      </c>
      <c r="B3284" s="26" t="s">
        <v>1</v>
      </c>
      <c r="C3284" s="90" t="s">
        <v>44</v>
      </c>
      <c r="D3284" s="91"/>
      <c r="J3284" s="8"/>
      <c r="K3284" s="8"/>
      <c r="L3284" s="8"/>
      <c r="M3284" s="8"/>
      <c r="N3284" s="8"/>
      <c r="O3284" s="8"/>
      <c r="P3284" s="8"/>
    </row>
    <row r="3285" spans="1:16" s="7" customFormat="1" ht="42.75" customHeight="1" thickBot="1">
      <c r="A3285" s="26"/>
      <c r="B3285" s="26" t="s">
        <v>0</v>
      </c>
      <c r="C3285" s="5" t="s">
        <v>687</v>
      </c>
      <c r="D3285" s="4" t="s">
        <v>2</v>
      </c>
      <c r="J3285" s="8"/>
      <c r="K3285" s="8"/>
      <c r="L3285" s="8"/>
      <c r="M3285" s="8"/>
      <c r="N3285" s="8"/>
      <c r="O3285" s="8"/>
      <c r="P3285" s="8"/>
    </row>
    <row r="3286" spans="1:16" s="7" customFormat="1" ht="42.75" customHeight="1" thickBot="1">
      <c r="A3286" s="92">
        <v>1606</v>
      </c>
      <c r="B3286" s="93"/>
      <c r="C3286" s="94" t="s">
        <v>3</v>
      </c>
      <c r="D3286" s="95"/>
      <c r="J3286" s="8"/>
      <c r="K3286" s="8"/>
      <c r="L3286" s="8"/>
      <c r="M3286" s="8"/>
      <c r="N3286" s="8"/>
      <c r="O3286" s="8"/>
      <c r="P3286" s="8"/>
    </row>
    <row r="3287" spans="1:16" s="7" customFormat="1" ht="42.75" customHeight="1" thickBot="1">
      <c r="A3287" s="92">
        <v>1615</v>
      </c>
      <c r="B3287" s="93"/>
      <c r="C3287" s="96" t="s">
        <v>4</v>
      </c>
      <c r="D3287" s="97"/>
      <c r="J3287" s="8"/>
      <c r="K3287" s="8"/>
      <c r="L3287" s="8"/>
      <c r="M3287" s="8"/>
      <c r="N3287" s="8"/>
      <c r="O3287" s="8"/>
      <c r="P3287" s="8"/>
    </row>
    <row r="3288" spans="1:16" s="7" customFormat="1" ht="42.75" customHeight="1" thickBot="1">
      <c r="A3288" s="98">
        <f>A3287-A3286</f>
        <v>9</v>
      </c>
      <c r="B3288" s="99"/>
      <c r="C3288" s="100" t="s">
        <v>5</v>
      </c>
      <c r="D3288" s="97"/>
      <c r="J3288" s="8"/>
      <c r="K3288" s="8"/>
      <c r="L3288" s="8"/>
      <c r="M3288" s="8"/>
      <c r="N3288" s="8"/>
      <c r="O3288" s="8"/>
      <c r="P3288" s="8"/>
    </row>
    <row r="3289" spans="1:16" s="7" customFormat="1" ht="42.75" customHeight="1" thickBot="1">
      <c r="A3289" s="101">
        <v>62</v>
      </c>
      <c r="B3289" s="102"/>
      <c r="C3289" s="96" t="s">
        <v>6</v>
      </c>
      <c r="D3289" s="97"/>
      <c r="J3289" s="8"/>
      <c r="K3289" s="8"/>
      <c r="L3289" s="8"/>
      <c r="M3289" s="8"/>
      <c r="N3289" s="8"/>
      <c r="O3289" s="8"/>
      <c r="P3289" s="8"/>
    </row>
    <row r="3290" spans="1:16" s="7" customFormat="1" ht="42.75" customHeight="1" thickBot="1">
      <c r="A3290" s="103"/>
      <c r="B3290" s="104"/>
      <c r="C3290" s="96" t="s">
        <v>21</v>
      </c>
      <c r="D3290" s="97"/>
      <c r="J3290" s="8"/>
      <c r="K3290" s="8"/>
      <c r="L3290" s="8"/>
      <c r="M3290" s="8"/>
      <c r="N3290" s="8"/>
      <c r="O3290" s="8"/>
      <c r="P3290" s="8"/>
    </row>
    <row r="3291" spans="1:16" s="7" customFormat="1" ht="42.75" customHeight="1" thickBot="1">
      <c r="A3291" s="105">
        <v>550</v>
      </c>
      <c r="B3291" s="106"/>
      <c r="C3291" s="96" t="s">
        <v>7</v>
      </c>
      <c r="D3291" s="97"/>
      <c r="J3291" s="8"/>
      <c r="K3291" s="8"/>
      <c r="L3291" s="8"/>
      <c r="M3291" s="8"/>
      <c r="N3291" s="8"/>
      <c r="O3291" s="8"/>
      <c r="P3291" s="8"/>
    </row>
    <row r="3292" spans="1:16" s="7" customFormat="1" ht="42.75" customHeight="1" thickBot="1">
      <c r="A3292" s="107" t="s">
        <v>17</v>
      </c>
      <c r="B3292" s="108"/>
      <c r="C3292" s="108"/>
      <c r="D3292" s="109"/>
      <c r="J3292" s="8"/>
      <c r="K3292" s="8"/>
      <c r="L3292" s="8"/>
      <c r="M3292" s="8"/>
      <c r="N3292" s="8"/>
      <c r="O3292" s="8"/>
      <c r="P3292" s="8"/>
    </row>
    <row r="3293" spans="1:16" s="7" customFormat="1" ht="42.75" customHeight="1" thickBot="1">
      <c r="A3293" s="110" t="s">
        <v>20</v>
      </c>
      <c r="B3293" s="111"/>
      <c r="C3293" s="111"/>
      <c r="D3293" s="112"/>
      <c r="J3293" s="8"/>
      <c r="K3293" s="8"/>
      <c r="L3293" s="8"/>
      <c r="M3293" s="8"/>
      <c r="N3293" s="8"/>
      <c r="O3293" s="8"/>
      <c r="P3293" s="8"/>
    </row>
    <row r="3294" spans="1:16" s="7" customFormat="1" ht="42.75" customHeight="1" thickBot="1">
      <c r="A3294" s="113" t="s">
        <v>18</v>
      </c>
      <c r="B3294" s="114"/>
      <c r="C3294" s="114"/>
      <c r="D3294" s="115"/>
      <c r="J3294" s="8"/>
      <c r="K3294" s="8"/>
      <c r="L3294" s="8"/>
      <c r="M3294" s="8"/>
      <c r="N3294" s="8"/>
      <c r="O3294" s="8"/>
      <c r="P3294" s="8"/>
    </row>
    <row r="3295" spans="1:16" s="7" customFormat="1" ht="42.75" customHeight="1" thickBot="1">
      <c r="A3295" s="126" t="s">
        <v>19</v>
      </c>
      <c r="B3295" s="127"/>
      <c r="C3295" s="127"/>
      <c r="D3295" s="128"/>
      <c r="J3295" s="8"/>
      <c r="K3295" s="8"/>
      <c r="L3295" s="8"/>
      <c r="M3295" s="8"/>
      <c r="N3295" s="8"/>
      <c r="O3295" s="8"/>
      <c r="P3295" s="8"/>
    </row>
    <row r="3296" spans="1:16" s="7" customFormat="1" ht="42.75" customHeight="1" thickBot="1">
      <c r="A3296" s="123" t="s">
        <v>11</v>
      </c>
      <c r="B3296" s="124"/>
      <c r="C3296" s="125" t="s">
        <v>603</v>
      </c>
      <c r="D3296" s="124"/>
      <c r="J3296" s="8"/>
      <c r="K3296" s="8"/>
      <c r="L3296" s="8"/>
      <c r="M3296" s="8"/>
      <c r="N3296" s="8"/>
      <c r="O3296" s="8"/>
      <c r="P3296" s="8"/>
    </row>
    <row r="3297" spans="1:16" s="7" customFormat="1" ht="42.75" customHeight="1" thickBot="1">
      <c r="A3297" s="1" t="s">
        <v>686</v>
      </c>
      <c r="B3297" s="26" t="s">
        <v>1</v>
      </c>
      <c r="C3297" s="90" t="s">
        <v>305</v>
      </c>
      <c r="D3297" s="91"/>
      <c r="J3297" s="8"/>
      <c r="K3297" s="8"/>
      <c r="L3297" s="8"/>
      <c r="M3297" s="8"/>
      <c r="N3297" s="8"/>
      <c r="O3297" s="8"/>
      <c r="P3297" s="8"/>
    </row>
    <row r="3298" spans="1:16" s="7" customFormat="1" ht="42.75" customHeight="1" thickBot="1">
      <c r="A3298" s="26"/>
      <c r="B3298" s="26" t="s">
        <v>0</v>
      </c>
      <c r="C3298" s="5" t="s">
        <v>687</v>
      </c>
      <c r="D3298" s="4" t="s">
        <v>2</v>
      </c>
      <c r="J3298" s="8"/>
      <c r="K3298" s="8"/>
      <c r="L3298" s="8"/>
      <c r="M3298" s="8"/>
      <c r="N3298" s="8"/>
      <c r="O3298" s="8"/>
      <c r="P3298" s="8"/>
    </row>
    <row r="3299" spans="1:16" s="7" customFormat="1" ht="42.75" customHeight="1" thickBot="1">
      <c r="A3299" s="92">
        <v>993</v>
      </c>
      <c r="B3299" s="93"/>
      <c r="C3299" s="94" t="s">
        <v>3</v>
      </c>
      <c r="D3299" s="95"/>
      <c r="J3299" s="8"/>
      <c r="K3299" s="8"/>
      <c r="L3299" s="8"/>
      <c r="M3299" s="8"/>
      <c r="N3299" s="8"/>
      <c r="O3299" s="8"/>
      <c r="P3299" s="8"/>
    </row>
    <row r="3300" spans="1:16" s="7" customFormat="1" ht="42.75" customHeight="1" thickBot="1">
      <c r="A3300" s="92">
        <v>993</v>
      </c>
      <c r="B3300" s="93"/>
      <c r="C3300" s="96" t="s">
        <v>4</v>
      </c>
      <c r="D3300" s="97"/>
      <c r="J3300" s="8"/>
      <c r="K3300" s="8"/>
      <c r="L3300" s="8"/>
      <c r="M3300" s="8"/>
      <c r="N3300" s="8"/>
      <c r="O3300" s="8"/>
      <c r="P3300" s="8"/>
    </row>
    <row r="3301" spans="1:16" s="7" customFormat="1" ht="42.75" customHeight="1" thickBot="1">
      <c r="A3301" s="98">
        <f>A3300-A3299</f>
        <v>0</v>
      </c>
      <c r="B3301" s="99"/>
      <c r="C3301" s="100" t="s">
        <v>5</v>
      </c>
      <c r="D3301" s="97"/>
      <c r="J3301" s="8"/>
      <c r="K3301" s="8"/>
      <c r="L3301" s="8"/>
      <c r="M3301" s="8"/>
      <c r="N3301" s="8"/>
      <c r="O3301" s="8"/>
      <c r="P3301" s="8"/>
    </row>
    <row r="3302" spans="1:16" s="7" customFormat="1" ht="42.75" customHeight="1" thickBot="1">
      <c r="A3302" s="101">
        <v>62</v>
      </c>
      <c r="B3302" s="102"/>
      <c r="C3302" s="96" t="s">
        <v>6</v>
      </c>
      <c r="D3302" s="97"/>
      <c r="J3302" s="8"/>
      <c r="K3302" s="8"/>
      <c r="L3302" s="8"/>
      <c r="M3302" s="8"/>
      <c r="N3302" s="8"/>
      <c r="O3302" s="8"/>
      <c r="P3302" s="8"/>
    </row>
    <row r="3303" spans="1:16" s="7" customFormat="1" ht="42.75" customHeight="1" thickBot="1">
      <c r="A3303" s="103"/>
      <c r="B3303" s="104"/>
      <c r="C3303" s="96" t="s">
        <v>21</v>
      </c>
      <c r="D3303" s="97"/>
      <c r="J3303" s="8"/>
      <c r="K3303" s="8"/>
      <c r="L3303" s="8"/>
      <c r="M3303" s="8"/>
      <c r="N3303" s="8"/>
      <c r="O3303" s="8"/>
      <c r="P3303" s="8"/>
    </row>
    <row r="3304" spans="1:16" s="7" customFormat="1" ht="42.75" customHeight="1" thickBot="1">
      <c r="A3304" s="105">
        <f>A3302*A3301</f>
        <v>0</v>
      </c>
      <c r="B3304" s="106"/>
      <c r="C3304" s="96" t="s">
        <v>7</v>
      </c>
      <c r="D3304" s="97"/>
      <c r="J3304" s="8"/>
      <c r="K3304" s="8"/>
      <c r="L3304" s="8"/>
      <c r="M3304" s="8"/>
      <c r="N3304" s="8"/>
      <c r="O3304" s="8"/>
      <c r="P3304" s="8"/>
    </row>
    <row r="3305" spans="1:16" s="7" customFormat="1" ht="42.75" customHeight="1" thickBot="1">
      <c r="A3305" s="107" t="s">
        <v>17</v>
      </c>
      <c r="B3305" s="108"/>
      <c r="C3305" s="108"/>
      <c r="D3305" s="109"/>
      <c r="J3305" s="8"/>
      <c r="K3305" s="8"/>
      <c r="L3305" s="8"/>
      <c r="M3305" s="8"/>
      <c r="N3305" s="8"/>
      <c r="O3305" s="8"/>
      <c r="P3305" s="8"/>
    </row>
    <row r="3306" spans="1:16" s="7" customFormat="1" ht="42.75" customHeight="1" thickBot="1">
      <c r="A3306" s="116" t="s">
        <v>20</v>
      </c>
      <c r="B3306" s="117"/>
      <c r="C3306" s="117"/>
      <c r="D3306" s="118"/>
      <c r="J3306" s="8"/>
      <c r="K3306" s="8"/>
      <c r="L3306" s="8"/>
      <c r="M3306" s="8"/>
      <c r="N3306" s="8"/>
      <c r="O3306" s="8"/>
      <c r="P3306" s="8"/>
    </row>
    <row r="3307" spans="1:16" s="7" customFormat="1" ht="42.75" customHeight="1" thickBot="1">
      <c r="A3307" s="113" t="s">
        <v>18</v>
      </c>
      <c r="B3307" s="114"/>
      <c r="C3307" s="114"/>
      <c r="D3307" s="115"/>
      <c r="J3307" s="8"/>
      <c r="K3307" s="8"/>
      <c r="L3307" s="8"/>
      <c r="M3307" s="8"/>
      <c r="N3307" s="8"/>
      <c r="O3307" s="8"/>
      <c r="P3307" s="8"/>
    </row>
    <row r="3308" spans="1:16" s="7" customFormat="1" ht="42.75" customHeight="1" thickBot="1">
      <c r="A3308" s="119"/>
      <c r="B3308" s="119"/>
      <c r="C3308" s="119"/>
      <c r="D3308" s="119"/>
      <c r="J3308" s="8"/>
      <c r="K3308" s="8"/>
      <c r="L3308" s="8"/>
      <c r="M3308" s="8"/>
      <c r="N3308" s="8"/>
      <c r="O3308" s="8"/>
      <c r="P3308" s="8"/>
    </row>
    <row r="3309" spans="1:16" s="7" customFormat="1" ht="42.75" customHeight="1" thickBot="1">
      <c r="A3309" s="126" t="s">
        <v>19</v>
      </c>
      <c r="B3309" s="127"/>
      <c r="C3309" s="127"/>
      <c r="D3309" s="128"/>
      <c r="J3309" s="8"/>
      <c r="K3309" s="8"/>
      <c r="L3309" s="8"/>
      <c r="M3309" s="8"/>
      <c r="N3309" s="8"/>
      <c r="O3309" s="8"/>
      <c r="P3309" s="8"/>
    </row>
    <row r="3310" spans="1:16" s="7" customFormat="1" ht="42.75" customHeight="1" thickBot="1">
      <c r="A3310" s="123" t="s">
        <v>11</v>
      </c>
      <c r="B3310" s="124"/>
      <c r="C3310" s="125" t="s">
        <v>603</v>
      </c>
      <c r="D3310" s="124"/>
      <c r="J3310" s="8"/>
      <c r="K3310" s="8"/>
      <c r="L3310" s="8"/>
      <c r="M3310" s="8"/>
      <c r="N3310" s="8"/>
      <c r="O3310" s="8"/>
      <c r="P3310" s="8"/>
    </row>
    <row r="3311" spans="1:16" s="7" customFormat="1" ht="42.75" customHeight="1" thickBot="1">
      <c r="A3311" s="1" t="s">
        <v>686</v>
      </c>
      <c r="B3311" s="26" t="s">
        <v>1</v>
      </c>
      <c r="C3311" s="90" t="s">
        <v>305</v>
      </c>
      <c r="D3311" s="91"/>
      <c r="J3311" s="8"/>
      <c r="K3311" s="8"/>
      <c r="L3311" s="8"/>
      <c r="M3311" s="8"/>
      <c r="N3311" s="8"/>
      <c r="O3311" s="8"/>
      <c r="P3311" s="8"/>
    </row>
    <row r="3312" spans="1:16" s="7" customFormat="1" ht="42.75" customHeight="1" thickBot="1">
      <c r="A3312" s="26"/>
      <c r="B3312" s="26" t="s">
        <v>0</v>
      </c>
      <c r="C3312" s="5" t="s">
        <v>687</v>
      </c>
      <c r="D3312" s="4" t="s">
        <v>2</v>
      </c>
      <c r="J3312" s="8"/>
      <c r="K3312" s="8"/>
      <c r="L3312" s="8"/>
      <c r="M3312" s="8"/>
      <c r="N3312" s="8"/>
      <c r="O3312" s="8"/>
      <c r="P3312" s="8"/>
    </row>
    <row r="3313" spans="1:16" s="7" customFormat="1" ht="42.75" customHeight="1" thickBot="1">
      <c r="A3313" s="92">
        <v>985</v>
      </c>
      <c r="B3313" s="93"/>
      <c r="C3313" s="94" t="s">
        <v>3</v>
      </c>
      <c r="D3313" s="95"/>
      <c r="J3313" s="8"/>
      <c r="K3313" s="8"/>
      <c r="L3313" s="8"/>
      <c r="M3313" s="8"/>
      <c r="N3313" s="8"/>
      <c r="O3313" s="8"/>
      <c r="P3313" s="8"/>
    </row>
    <row r="3314" spans="1:16" s="7" customFormat="1" ht="42.75" customHeight="1" thickBot="1">
      <c r="A3314" s="92">
        <v>993</v>
      </c>
      <c r="B3314" s="93"/>
      <c r="C3314" s="96" t="s">
        <v>4</v>
      </c>
      <c r="D3314" s="97"/>
      <c r="J3314" s="8"/>
      <c r="K3314" s="8"/>
      <c r="L3314" s="8"/>
      <c r="M3314" s="8"/>
      <c r="N3314" s="8"/>
      <c r="O3314" s="8"/>
      <c r="P3314" s="8"/>
    </row>
    <row r="3315" spans="1:16" s="7" customFormat="1" ht="42.75" customHeight="1" thickBot="1">
      <c r="A3315" s="98">
        <v>10</v>
      </c>
      <c r="B3315" s="99"/>
      <c r="C3315" s="100" t="s">
        <v>5</v>
      </c>
      <c r="D3315" s="97"/>
      <c r="J3315" s="8"/>
      <c r="K3315" s="8"/>
      <c r="L3315" s="8"/>
      <c r="M3315" s="8"/>
      <c r="N3315" s="8"/>
      <c r="O3315" s="8"/>
      <c r="P3315" s="8"/>
    </row>
    <row r="3316" spans="1:16" s="7" customFormat="1" ht="42.75" customHeight="1" thickBot="1">
      <c r="A3316" s="101">
        <v>62</v>
      </c>
      <c r="B3316" s="102"/>
      <c r="C3316" s="96" t="s">
        <v>6</v>
      </c>
      <c r="D3316" s="97"/>
      <c r="J3316" s="8"/>
      <c r="K3316" s="8"/>
      <c r="L3316" s="8"/>
      <c r="M3316" s="8"/>
      <c r="N3316" s="8"/>
      <c r="O3316" s="8"/>
      <c r="P3316" s="8"/>
    </row>
    <row r="3317" spans="1:16" s="7" customFormat="1" ht="42.75" customHeight="1" thickBot="1">
      <c r="A3317" s="103"/>
      <c r="B3317" s="104"/>
      <c r="C3317" s="96" t="s">
        <v>21</v>
      </c>
      <c r="D3317" s="97"/>
      <c r="J3317" s="8"/>
      <c r="K3317" s="8"/>
      <c r="L3317" s="8"/>
      <c r="M3317" s="8"/>
      <c r="N3317" s="8"/>
      <c r="O3317" s="8"/>
      <c r="P3317" s="8"/>
    </row>
    <row r="3318" spans="1:16" s="7" customFormat="1" ht="42.75" customHeight="1" thickBot="1">
      <c r="A3318" s="105">
        <v>600</v>
      </c>
      <c r="B3318" s="106"/>
      <c r="C3318" s="96" t="s">
        <v>7</v>
      </c>
      <c r="D3318" s="97"/>
      <c r="J3318" s="8"/>
      <c r="K3318" s="8"/>
      <c r="L3318" s="8"/>
      <c r="M3318" s="8"/>
      <c r="N3318" s="8"/>
      <c r="O3318" s="8"/>
      <c r="P3318" s="8"/>
    </row>
    <row r="3319" spans="1:16" s="7" customFormat="1" ht="42.75" customHeight="1" thickBot="1">
      <c r="A3319" s="107" t="s">
        <v>17</v>
      </c>
      <c r="B3319" s="108"/>
      <c r="C3319" s="108"/>
      <c r="D3319" s="109"/>
      <c r="J3319" s="8"/>
      <c r="K3319" s="8"/>
      <c r="L3319" s="8"/>
      <c r="M3319" s="8"/>
      <c r="N3319" s="8"/>
      <c r="O3319" s="8"/>
      <c r="P3319" s="8"/>
    </row>
    <row r="3320" spans="1:16" s="7" customFormat="1" ht="42.75" customHeight="1" thickBot="1">
      <c r="A3320" s="110" t="s">
        <v>20</v>
      </c>
      <c r="B3320" s="111"/>
      <c r="C3320" s="111"/>
      <c r="D3320" s="112"/>
      <c r="J3320" s="8"/>
      <c r="K3320" s="8"/>
      <c r="L3320" s="8"/>
      <c r="M3320" s="8"/>
      <c r="N3320" s="8"/>
      <c r="O3320" s="8"/>
      <c r="P3320" s="8"/>
    </row>
    <row r="3321" spans="1:16" s="7" customFormat="1" ht="42.75" customHeight="1" thickBot="1">
      <c r="A3321" s="113" t="s">
        <v>18</v>
      </c>
      <c r="B3321" s="114"/>
      <c r="C3321" s="114"/>
      <c r="D3321" s="115"/>
      <c r="J3321" s="8"/>
      <c r="K3321" s="8"/>
      <c r="L3321" s="8"/>
      <c r="M3321" s="8"/>
      <c r="N3321" s="8"/>
      <c r="O3321" s="8"/>
      <c r="P3321" s="8"/>
    </row>
    <row r="3322" spans="1:16" s="7" customFormat="1" ht="42.75" customHeight="1" thickBot="1">
      <c r="A3322" s="126" t="s">
        <v>19</v>
      </c>
      <c r="B3322" s="127"/>
      <c r="C3322" s="127"/>
      <c r="D3322" s="128"/>
      <c r="J3322" s="8"/>
      <c r="K3322" s="8"/>
      <c r="L3322" s="8"/>
      <c r="M3322" s="8"/>
      <c r="N3322" s="8"/>
      <c r="O3322" s="8"/>
      <c r="P3322" s="8"/>
    </row>
    <row r="3323" spans="1:16" s="7" customFormat="1" ht="42.75" customHeight="1" thickBot="1">
      <c r="A3323" s="123" t="s">
        <v>11</v>
      </c>
      <c r="B3323" s="124"/>
      <c r="C3323" s="125" t="s">
        <v>603</v>
      </c>
      <c r="D3323" s="124"/>
      <c r="J3323" s="8"/>
      <c r="K3323" s="8"/>
      <c r="L3323" s="8"/>
      <c r="M3323" s="8"/>
      <c r="N3323" s="8"/>
      <c r="O3323" s="8"/>
      <c r="P3323" s="8"/>
    </row>
    <row r="3324" spans="1:16" s="7" customFormat="1" ht="42.75" customHeight="1" thickBot="1">
      <c r="A3324" s="1" t="s">
        <v>686</v>
      </c>
      <c r="B3324" s="26" t="s">
        <v>1</v>
      </c>
      <c r="C3324" s="90" t="s">
        <v>81</v>
      </c>
      <c r="D3324" s="91"/>
      <c r="J3324" s="8"/>
      <c r="K3324" s="8"/>
      <c r="L3324" s="8"/>
      <c r="M3324" s="8"/>
      <c r="N3324" s="8"/>
      <c r="O3324" s="8"/>
      <c r="P3324" s="8"/>
    </row>
    <row r="3325" spans="1:16" s="7" customFormat="1" ht="42.75" customHeight="1" thickBot="1">
      <c r="A3325" s="26"/>
      <c r="B3325" s="26" t="s">
        <v>0</v>
      </c>
      <c r="C3325" s="5" t="s">
        <v>687</v>
      </c>
      <c r="D3325" s="4" t="s">
        <v>2</v>
      </c>
      <c r="J3325" s="8"/>
      <c r="K3325" s="8"/>
      <c r="L3325" s="8"/>
      <c r="M3325" s="8"/>
      <c r="N3325" s="8"/>
      <c r="O3325" s="8"/>
      <c r="P3325" s="8"/>
    </row>
    <row r="3326" spans="1:16" s="7" customFormat="1" ht="42.75" customHeight="1" thickBot="1">
      <c r="A3326" s="92">
        <v>203</v>
      </c>
      <c r="B3326" s="93"/>
      <c r="C3326" s="94" t="s">
        <v>3</v>
      </c>
      <c r="D3326" s="95"/>
      <c r="J3326" s="8"/>
      <c r="K3326" s="8"/>
      <c r="L3326" s="8"/>
      <c r="M3326" s="8"/>
      <c r="N3326" s="8"/>
      <c r="O3326" s="8"/>
      <c r="P3326" s="8"/>
    </row>
    <row r="3327" spans="1:16" s="7" customFormat="1" ht="42.75" customHeight="1" thickBot="1">
      <c r="A3327" s="92">
        <v>203</v>
      </c>
      <c r="B3327" s="93"/>
      <c r="C3327" s="96" t="s">
        <v>4</v>
      </c>
      <c r="D3327" s="97"/>
      <c r="J3327" s="8"/>
      <c r="K3327" s="8"/>
      <c r="L3327" s="8"/>
      <c r="M3327" s="8"/>
      <c r="N3327" s="8"/>
      <c r="O3327" s="8"/>
      <c r="P3327" s="8"/>
    </row>
    <row r="3328" spans="1:16" s="7" customFormat="1" ht="42.75" customHeight="1" thickBot="1">
      <c r="A3328" s="98">
        <f>A3327-A3326</f>
        <v>0</v>
      </c>
      <c r="B3328" s="99"/>
      <c r="C3328" s="100" t="s">
        <v>5</v>
      </c>
      <c r="D3328" s="97"/>
      <c r="J3328" s="8"/>
      <c r="K3328" s="8"/>
      <c r="L3328" s="8"/>
      <c r="M3328" s="8"/>
      <c r="N3328" s="8"/>
      <c r="O3328" s="8"/>
      <c r="P3328" s="8"/>
    </row>
    <row r="3329" spans="1:16" s="7" customFormat="1" ht="42.75" customHeight="1" thickBot="1">
      <c r="A3329" s="101">
        <v>62</v>
      </c>
      <c r="B3329" s="102"/>
      <c r="C3329" s="96" t="s">
        <v>6</v>
      </c>
      <c r="D3329" s="97"/>
      <c r="J3329" s="8"/>
      <c r="K3329" s="8"/>
      <c r="L3329" s="8"/>
      <c r="M3329" s="8"/>
      <c r="N3329" s="8"/>
      <c r="O3329" s="8"/>
      <c r="P3329" s="8"/>
    </row>
    <row r="3330" spans="1:16" s="7" customFormat="1" ht="42.75" customHeight="1" thickBot="1">
      <c r="A3330" s="103"/>
      <c r="B3330" s="104"/>
      <c r="C3330" s="96" t="s">
        <v>21</v>
      </c>
      <c r="D3330" s="97"/>
      <c r="J3330" s="8"/>
      <c r="K3330" s="8"/>
      <c r="L3330" s="8"/>
      <c r="M3330" s="8"/>
      <c r="N3330" s="8"/>
      <c r="O3330" s="8"/>
      <c r="P3330" s="8"/>
    </row>
    <row r="3331" spans="1:16" s="7" customFormat="1" ht="42.75" customHeight="1" thickBot="1">
      <c r="A3331" s="105">
        <f>A3329*A3328</f>
        <v>0</v>
      </c>
      <c r="B3331" s="106"/>
      <c r="C3331" s="96" t="s">
        <v>7</v>
      </c>
      <c r="D3331" s="97"/>
      <c r="J3331" s="8"/>
      <c r="K3331" s="8"/>
      <c r="L3331" s="8"/>
      <c r="M3331" s="8"/>
      <c r="N3331" s="8"/>
      <c r="O3331" s="8"/>
      <c r="P3331" s="8"/>
    </row>
    <row r="3332" spans="1:16" s="7" customFormat="1" ht="42.75" customHeight="1" thickBot="1">
      <c r="A3332" s="107" t="s">
        <v>17</v>
      </c>
      <c r="B3332" s="108"/>
      <c r="C3332" s="108"/>
      <c r="D3332" s="109"/>
      <c r="J3332" s="8"/>
      <c r="K3332" s="8"/>
      <c r="L3332" s="8"/>
      <c r="M3332" s="8"/>
      <c r="N3332" s="8"/>
      <c r="O3332" s="8"/>
      <c r="P3332" s="8"/>
    </row>
    <row r="3333" spans="1:16" s="7" customFormat="1" ht="42.75" customHeight="1" thickBot="1">
      <c r="A3333" s="116" t="s">
        <v>20</v>
      </c>
      <c r="B3333" s="117"/>
      <c r="C3333" s="117"/>
      <c r="D3333" s="118"/>
      <c r="J3333" s="8"/>
      <c r="K3333" s="8"/>
      <c r="L3333" s="8"/>
      <c r="M3333" s="8"/>
      <c r="N3333" s="8"/>
      <c r="O3333" s="8"/>
      <c r="P3333" s="8"/>
    </row>
    <row r="3334" spans="1:16" s="7" customFormat="1" ht="42.75" customHeight="1" thickBot="1">
      <c r="A3334" s="113" t="s">
        <v>18</v>
      </c>
      <c r="B3334" s="114"/>
      <c r="C3334" s="114"/>
      <c r="D3334" s="115"/>
      <c r="J3334" s="8"/>
      <c r="K3334" s="8"/>
      <c r="L3334" s="8"/>
      <c r="M3334" s="8"/>
      <c r="N3334" s="8"/>
      <c r="O3334" s="8"/>
      <c r="P3334" s="8"/>
    </row>
    <row r="3335" spans="1:16" s="7" customFormat="1" ht="42.75" customHeight="1" thickBot="1">
      <c r="A3335" s="119"/>
      <c r="B3335" s="119"/>
      <c r="C3335" s="119"/>
      <c r="D3335" s="119"/>
      <c r="J3335" s="8"/>
      <c r="K3335" s="8"/>
      <c r="L3335" s="8"/>
      <c r="M3335" s="8"/>
      <c r="N3335" s="8"/>
      <c r="O3335" s="8"/>
      <c r="P3335" s="8"/>
    </row>
    <row r="3336" spans="1:16" s="7" customFormat="1" ht="42.75" customHeight="1" thickBot="1">
      <c r="A3336" s="126" t="s">
        <v>19</v>
      </c>
      <c r="B3336" s="127"/>
      <c r="C3336" s="127"/>
      <c r="D3336" s="128"/>
      <c r="J3336" s="8"/>
      <c r="K3336" s="8"/>
      <c r="L3336" s="8"/>
      <c r="M3336" s="8"/>
      <c r="N3336" s="8"/>
      <c r="O3336" s="8"/>
      <c r="P3336" s="8"/>
    </row>
    <row r="3337" spans="1:16" s="7" customFormat="1" ht="42.75" customHeight="1" thickBot="1">
      <c r="A3337" s="123" t="s">
        <v>11</v>
      </c>
      <c r="B3337" s="124"/>
      <c r="C3337" s="125" t="s">
        <v>603</v>
      </c>
      <c r="D3337" s="124"/>
      <c r="J3337" s="8"/>
      <c r="K3337" s="8"/>
      <c r="L3337" s="8"/>
      <c r="M3337" s="8"/>
      <c r="N3337" s="8"/>
      <c r="O3337" s="8"/>
      <c r="P3337" s="8"/>
    </row>
    <row r="3338" spans="1:16" s="7" customFormat="1" ht="42.75" customHeight="1" thickBot="1">
      <c r="A3338" s="1" t="s">
        <v>686</v>
      </c>
      <c r="B3338" s="26" t="s">
        <v>1</v>
      </c>
      <c r="C3338" s="90" t="s">
        <v>81</v>
      </c>
      <c r="D3338" s="91"/>
      <c r="J3338" s="8"/>
      <c r="K3338" s="8"/>
      <c r="L3338" s="8"/>
      <c r="M3338" s="8"/>
      <c r="N3338" s="8"/>
      <c r="O3338" s="8"/>
      <c r="P3338" s="8"/>
    </row>
    <row r="3339" spans="1:16" s="7" customFormat="1" ht="42.75" customHeight="1" thickBot="1">
      <c r="A3339" s="26"/>
      <c r="B3339" s="26" t="s">
        <v>0</v>
      </c>
      <c r="C3339" s="5" t="s">
        <v>687</v>
      </c>
      <c r="D3339" s="4" t="s">
        <v>2</v>
      </c>
      <c r="J3339" s="8"/>
      <c r="K3339" s="8"/>
      <c r="L3339" s="8"/>
      <c r="M3339" s="8"/>
      <c r="N3339" s="8"/>
      <c r="O3339" s="8"/>
      <c r="P3339" s="8"/>
    </row>
    <row r="3340" spans="1:16" s="7" customFormat="1" ht="42.75" customHeight="1" thickBot="1">
      <c r="A3340" s="92">
        <v>173</v>
      </c>
      <c r="B3340" s="93"/>
      <c r="C3340" s="94" t="s">
        <v>3</v>
      </c>
      <c r="D3340" s="95"/>
      <c r="J3340" s="8"/>
      <c r="K3340" s="8"/>
      <c r="L3340" s="8"/>
      <c r="M3340" s="8"/>
      <c r="N3340" s="8"/>
      <c r="O3340" s="8"/>
      <c r="P3340" s="8"/>
    </row>
    <row r="3341" spans="1:16" s="7" customFormat="1" ht="42.75" customHeight="1" thickBot="1">
      <c r="A3341" s="92">
        <v>203</v>
      </c>
      <c r="B3341" s="93"/>
      <c r="C3341" s="96" t="s">
        <v>4</v>
      </c>
      <c r="D3341" s="97"/>
      <c r="J3341" s="8"/>
      <c r="K3341" s="8"/>
      <c r="L3341" s="8"/>
      <c r="M3341" s="8"/>
      <c r="N3341" s="8"/>
      <c r="O3341" s="8"/>
      <c r="P3341" s="8"/>
    </row>
    <row r="3342" spans="1:16" s="7" customFormat="1" ht="42.75" customHeight="1" thickBot="1">
      <c r="A3342" s="98">
        <f>A3341-A3340</f>
        <v>30</v>
      </c>
      <c r="B3342" s="99"/>
      <c r="C3342" s="100" t="s">
        <v>5</v>
      </c>
      <c r="D3342" s="97"/>
      <c r="J3342" s="8"/>
      <c r="K3342" s="8"/>
      <c r="L3342" s="8"/>
      <c r="M3342" s="8"/>
      <c r="N3342" s="8"/>
      <c r="O3342" s="8"/>
      <c r="P3342" s="8"/>
    </row>
    <row r="3343" spans="1:16" s="7" customFormat="1" ht="42.75" customHeight="1" thickBot="1">
      <c r="A3343" s="101">
        <v>62</v>
      </c>
      <c r="B3343" s="102"/>
      <c r="C3343" s="96" t="s">
        <v>6</v>
      </c>
      <c r="D3343" s="97"/>
      <c r="J3343" s="8"/>
      <c r="K3343" s="8"/>
      <c r="L3343" s="8"/>
      <c r="M3343" s="8"/>
      <c r="N3343" s="8"/>
      <c r="O3343" s="8"/>
      <c r="P3343" s="8"/>
    </row>
    <row r="3344" spans="1:16" s="7" customFormat="1" ht="42.75" customHeight="1" thickBot="1">
      <c r="A3344" s="103"/>
      <c r="B3344" s="104"/>
      <c r="C3344" s="96" t="s">
        <v>21</v>
      </c>
      <c r="D3344" s="97"/>
      <c r="J3344" s="8"/>
      <c r="K3344" s="8"/>
      <c r="L3344" s="8"/>
      <c r="M3344" s="8"/>
      <c r="N3344" s="8"/>
      <c r="O3344" s="8"/>
      <c r="P3344" s="8"/>
    </row>
    <row r="3345" spans="1:16" s="7" customFormat="1" ht="42.75" customHeight="1" thickBot="1">
      <c r="A3345" s="105">
        <v>1850</v>
      </c>
      <c r="B3345" s="106"/>
      <c r="C3345" s="96" t="s">
        <v>7</v>
      </c>
      <c r="D3345" s="97"/>
      <c r="J3345" s="8"/>
      <c r="K3345" s="8"/>
      <c r="L3345" s="8"/>
      <c r="M3345" s="8"/>
      <c r="N3345" s="8"/>
      <c r="O3345" s="8"/>
      <c r="P3345" s="8"/>
    </row>
    <row r="3346" spans="1:16" s="7" customFormat="1" ht="42.75" customHeight="1" thickBot="1">
      <c r="A3346" s="107" t="s">
        <v>17</v>
      </c>
      <c r="B3346" s="108"/>
      <c r="C3346" s="108"/>
      <c r="D3346" s="109"/>
      <c r="J3346" s="8"/>
      <c r="K3346" s="8"/>
      <c r="L3346" s="8"/>
      <c r="M3346" s="8"/>
      <c r="N3346" s="8"/>
      <c r="O3346" s="8"/>
      <c r="P3346" s="8"/>
    </row>
    <row r="3347" spans="1:16" s="7" customFormat="1" ht="42.75" customHeight="1" thickBot="1">
      <c r="A3347" s="110" t="s">
        <v>20</v>
      </c>
      <c r="B3347" s="111"/>
      <c r="C3347" s="111"/>
      <c r="D3347" s="112"/>
      <c r="J3347" s="8"/>
      <c r="K3347" s="8"/>
      <c r="L3347" s="8"/>
      <c r="M3347" s="8"/>
      <c r="N3347" s="8"/>
      <c r="O3347" s="8"/>
      <c r="P3347" s="8"/>
    </row>
    <row r="3348" spans="1:16" s="7" customFormat="1" ht="42.75" customHeight="1" thickBot="1">
      <c r="A3348" s="113" t="s">
        <v>18</v>
      </c>
      <c r="B3348" s="114"/>
      <c r="C3348" s="114"/>
      <c r="D3348" s="115"/>
      <c r="J3348" s="8"/>
      <c r="K3348" s="8"/>
      <c r="L3348" s="8"/>
      <c r="M3348" s="8"/>
      <c r="N3348" s="8"/>
      <c r="O3348" s="8"/>
      <c r="P3348" s="8"/>
    </row>
    <row r="3349" spans="1:16" s="7" customFormat="1" ht="42.75" customHeight="1" thickBot="1">
      <c r="A3349" s="126" t="s">
        <v>19</v>
      </c>
      <c r="B3349" s="127"/>
      <c r="C3349" s="127"/>
      <c r="D3349" s="128"/>
      <c r="J3349" s="8"/>
      <c r="K3349" s="8"/>
      <c r="L3349" s="8"/>
      <c r="M3349" s="8"/>
      <c r="N3349" s="8"/>
      <c r="O3349" s="8"/>
      <c r="P3349" s="8"/>
    </row>
    <row r="3350" spans="1:16" s="7" customFormat="1" ht="42.75" customHeight="1" thickBot="1">
      <c r="A3350" s="123" t="s">
        <v>11</v>
      </c>
      <c r="B3350" s="124"/>
      <c r="C3350" s="125" t="s">
        <v>603</v>
      </c>
      <c r="D3350" s="124"/>
      <c r="J3350" s="8"/>
      <c r="K3350" s="8"/>
      <c r="L3350" s="8"/>
      <c r="M3350" s="8"/>
      <c r="N3350" s="8"/>
      <c r="O3350" s="8"/>
      <c r="P3350" s="8"/>
    </row>
    <row r="3351" spans="1:16" s="7" customFormat="1" ht="42.75" customHeight="1" thickBot="1">
      <c r="A3351" s="1" t="s">
        <v>686</v>
      </c>
      <c r="B3351" s="26" t="s">
        <v>1</v>
      </c>
      <c r="C3351" s="90" t="s">
        <v>565</v>
      </c>
      <c r="D3351" s="91"/>
      <c r="J3351" s="8"/>
      <c r="K3351" s="8"/>
      <c r="L3351" s="8"/>
      <c r="M3351" s="8"/>
      <c r="N3351" s="8"/>
      <c r="O3351" s="8"/>
      <c r="P3351" s="8"/>
    </row>
    <row r="3352" spans="1:16" s="7" customFormat="1" ht="42.75" customHeight="1" thickBot="1">
      <c r="A3352" s="26"/>
      <c r="B3352" s="26" t="s">
        <v>0</v>
      </c>
      <c r="C3352" s="5" t="s">
        <v>687</v>
      </c>
      <c r="D3352" s="4" t="s">
        <v>2</v>
      </c>
      <c r="J3352" s="8"/>
      <c r="K3352" s="8"/>
      <c r="L3352" s="8"/>
      <c r="M3352" s="8"/>
      <c r="N3352" s="8"/>
      <c r="O3352" s="8"/>
      <c r="P3352" s="8"/>
    </row>
    <row r="3353" spans="1:16" s="7" customFormat="1" ht="42.75" customHeight="1" thickBot="1">
      <c r="A3353" s="92">
        <v>268</v>
      </c>
      <c r="B3353" s="93"/>
      <c r="C3353" s="94" t="s">
        <v>3</v>
      </c>
      <c r="D3353" s="95"/>
      <c r="J3353" s="8"/>
      <c r="K3353" s="8"/>
      <c r="L3353" s="8"/>
      <c r="M3353" s="8"/>
      <c r="N3353" s="8"/>
      <c r="O3353" s="8"/>
      <c r="P3353" s="8"/>
    </row>
    <row r="3354" spans="1:16" s="7" customFormat="1" ht="42.75" customHeight="1" thickBot="1">
      <c r="A3354" s="92">
        <v>268</v>
      </c>
      <c r="B3354" s="93"/>
      <c r="C3354" s="96" t="s">
        <v>4</v>
      </c>
      <c r="D3354" s="97"/>
      <c r="J3354" s="8"/>
      <c r="K3354" s="8"/>
      <c r="L3354" s="8"/>
      <c r="M3354" s="8"/>
      <c r="N3354" s="8"/>
      <c r="O3354" s="8"/>
      <c r="P3354" s="8"/>
    </row>
    <row r="3355" spans="1:16" s="7" customFormat="1" ht="42.75" customHeight="1" thickBot="1">
      <c r="A3355" s="98">
        <f>A3354-A3353</f>
        <v>0</v>
      </c>
      <c r="B3355" s="99"/>
      <c r="C3355" s="100" t="s">
        <v>5</v>
      </c>
      <c r="D3355" s="97"/>
      <c r="J3355" s="8"/>
      <c r="K3355" s="8"/>
      <c r="L3355" s="8"/>
      <c r="M3355" s="8"/>
      <c r="N3355" s="8"/>
      <c r="O3355" s="8"/>
      <c r="P3355" s="8"/>
    </row>
    <row r="3356" spans="1:16" s="7" customFormat="1" ht="42.75" customHeight="1" thickBot="1">
      <c r="A3356" s="101">
        <v>62</v>
      </c>
      <c r="B3356" s="102"/>
      <c r="C3356" s="96" t="s">
        <v>6</v>
      </c>
      <c r="D3356" s="97"/>
      <c r="J3356" s="8"/>
      <c r="K3356" s="8"/>
      <c r="L3356" s="8"/>
      <c r="M3356" s="8"/>
      <c r="N3356" s="8"/>
      <c r="O3356" s="8"/>
      <c r="P3356" s="8"/>
    </row>
    <row r="3357" spans="1:16" s="7" customFormat="1" ht="42.75" customHeight="1" thickBot="1">
      <c r="A3357" s="103"/>
      <c r="B3357" s="104"/>
      <c r="C3357" s="96" t="s">
        <v>21</v>
      </c>
      <c r="D3357" s="97"/>
      <c r="J3357" s="8"/>
      <c r="K3357" s="8"/>
      <c r="L3357" s="8"/>
      <c r="M3357" s="8"/>
      <c r="N3357" s="8"/>
      <c r="O3357" s="8"/>
      <c r="P3357" s="8"/>
    </row>
    <row r="3358" spans="1:16" s="7" customFormat="1" ht="42.75" customHeight="1" thickBot="1">
      <c r="A3358" s="105">
        <f>A3356*A3355</f>
        <v>0</v>
      </c>
      <c r="B3358" s="106"/>
      <c r="C3358" s="96" t="s">
        <v>7</v>
      </c>
      <c r="D3358" s="97"/>
      <c r="J3358" s="8"/>
      <c r="K3358" s="8"/>
      <c r="L3358" s="8"/>
      <c r="M3358" s="8"/>
      <c r="N3358" s="8"/>
      <c r="O3358" s="8"/>
      <c r="P3358" s="8"/>
    </row>
    <row r="3359" spans="1:16" s="7" customFormat="1" ht="42.75" customHeight="1" thickBot="1">
      <c r="A3359" s="107" t="s">
        <v>17</v>
      </c>
      <c r="B3359" s="108"/>
      <c r="C3359" s="108"/>
      <c r="D3359" s="109"/>
      <c r="J3359" s="8"/>
      <c r="K3359" s="8"/>
      <c r="L3359" s="8"/>
      <c r="M3359" s="8"/>
      <c r="N3359" s="8"/>
      <c r="O3359" s="8"/>
      <c r="P3359" s="8"/>
    </row>
    <row r="3360" spans="1:16" s="7" customFormat="1" ht="42.75" customHeight="1" thickBot="1">
      <c r="A3360" s="116" t="s">
        <v>20</v>
      </c>
      <c r="B3360" s="117"/>
      <c r="C3360" s="117"/>
      <c r="D3360" s="118"/>
      <c r="J3360" s="8"/>
      <c r="K3360" s="8"/>
      <c r="L3360" s="8"/>
      <c r="M3360" s="8"/>
      <c r="N3360" s="8"/>
      <c r="O3360" s="8"/>
      <c r="P3360" s="8"/>
    </row>
    <row r="3361" spans="1:16" s="7" customFormat="1" ht="42.75" customHeight="1" thickBot="1">
      <c r="A3361" s="113" t="s">
        <v>18</v>
      </c>
      <c r="B3361" s="114"/>
      <c r="C3361" s="114"/>
      <c r="D3361" s="115"/>
      <c r="J3361" s="8"/>
      <c r="K3361" s="8"/>
      <c r="L3361" s="8"/>
      <c r="M3361" s="8"/>
      <c r="N3361" s="8"/>
      <c r="O3361" s="8"/>
      <c r="P3361" s="8"/>
    </row>
    <row r="3362" spans="1:16" s="7" customFormat="1" ht="42.75" customHeight="1" thickBot="1">
      <c r="A3362" s="119"/>
      <c r="B3362" s="119"/>
      <c r="C3362" s="119"/>
      <c r="D3362" s="119"/>
      <c r="J3362" s="8"/>
      <c r="K3362" s="8"/>
      <c r="L3362" s="8"/>
      <c r="M3362" s="8"/>
      <c r="N3362" s="8"/>
      <c r="O3362" s="8"/>
      <c r="P3362" s="8"/>
    </row>
    <row r="3363" spans="1:16" s="7" customFormat="1" ht="42.75" customHeight="1" thickBot="1">
      <c r="A3363" s="126" t="s">
        <v>19</v>
      </c>
      <c r="B3363" s="127"/>
      <c r="C3363" s="127"/>
      <c r="D3363" s="128"/>
      <c r="J3363" s="8"/>
      <c r="K3363" s="8"/>
      <c r="L3363" s="8"/>
      <c r="M3363" s="8"/>
      <c r="N3363" s="8"/>
      <c r="O3363" s="8"/>
      <c r="P3363" s="8"/>
    </row>
    <row r="3364" spans="1:16" s="7" customFormat="1" ht="42.75" customHeight="1" thickBot="1">
      <c r="A3364" s="123" t="s">
        <v>11</v>
      </c>
      <c r="B3364" s="124"/>
      <c r="C3364" s="125" t="s">
        <v>603</v>
      </c>
      <c r="D3364" s="124"/>
      <c r="J3364" s="8"/>
      <c r="K3364" s="8"/>
      <c r="L3364" s="8"/>
      <c r="M3364" s="8"/>
      <c r="N3364" s="8"/>
      <c r="O3364" s="8"/>
      <c r="P3364" s="8"/>
    </row>
    <row r="3365" spans="1:16" s="7" customFormat="1" ht="42.75" customHeight="1" thickBot="1">
      <c r="A3365" s="1" t="s">
        <v>686</v>
      </c>
      <c r="B3365" s="26" t="s">
        <v>1</v>
      </c>
      <c r="C3365" s="90" t="s">
        <v>565</v>
      </c>
      <c r="D3365" s="91"/>
      <c r="J3365" s="8"/>
      <c r="K3365" s="8"/>
      <c r="L3365" s="8"/>
      <c r="M3365" s="8"/>
      <c r="N3365" s="8"/>
      <c r="O3365" s="8"/>
      <c r="P3365" s="8"/>
    </row>
    <row r="3366" spans="1:16" s="7" customFormat="1" ht="42.75" customHeight="1" thickBot="1">
      <c r="A3366" s="26"/>
      <c r="B3366" s="26" t="s">
        <v>0</v>
      </c>
      <c r="C3366" s="5" t="s">
        <v>687</v>
      </c>
      <c r="D3366" s="4" t="s">
        <v>2</v>
      </c>
      <c r="J3366" s="8"/>
      <c r="K3366" s="8"/>
      <c r="L3366" s="8"/>
      <c r="M3366" s="8"/>
      <c r="N3366" s="8"/>
      <c r="O3366" s="8"/>
      <c r="P3366" s="8"/>
    </row>
    <row r="3367" spans="1:16" s="7" customFormat="1" ht="42.75" customHeight="1" thickBot="1">
      <c r="A3367" s="92">
        <v>260</v>
      </c>
      <c r="B3367" s="93"/>
      <c r="C3367" s="94" t="s">
        <v>3</v>
      </c>
      <c r="D3367" s="95"/>
      <c r="J3367" s="8"/>
      <c r="K3367" s="8"/>
      <c r="L3367" s="8"/>
      <c r="M3367" s="8"/>
      <c r="N3367" s="8"/>
      <c r="O3367" s="8"/>
      <c r="P3367" s="8"/>
    </row>
    <row r="3368" spans="1:16" s="7" customFormat="1" ht="42.75" customHeight="1" thickBot="1">
      <c r="A3368" s="92">
        <v>268</v>
      </c>
      <c r="B3368" s="93"/>
      <c r="C3368" s="96" t="s">
        <v>4</v>
      </c>
      <c r="D3368" s="97"/>
      <c r="J3368" s="8"/>
      <c r="K3368" s="8"/>
      <c r="L3368" s="8"/>
      <c r="M3368" s="8"/>
      <c r="N3368" s="8"/>
      <c r="O3368" s="8"/>
      <c r="P3368" s="8"/>
    </row>
    <row r="3369" spans="1:16" s="7" customFormat="1" ht="42.75" customHeight="1" thickBot="1">
      <c r="A3369" s="98">
        <v>10</v>
      </c>
      <c r="B3369" s="99"/>
      <c r="C3369" s="100" t="s">
        <v>5</v>
      </c>
      <c r="D3369" s="97"/>
      <c r="J3369" s="8"/>
      <c r="K3369" s="8"/>
      <c r="L3369" s="8"/>
      <c r="M3369" s="8"/>
      <c r="N3369" s="8"/>
      <c r="O3369" s="8"/>
      <c r="P3369" s="8"/>
    </row>
    <row r="3370" spans="1:16" s="7" customFormat="1" ht="42.75" customHeight="1" thickBot="1">
      <c r="A3370" s="101">
        <v>62</v>
      </c>
      <c r="B3370" s="102"/>
      <c r="C3370" s="96" t="s">
        <v>6</v>
      </c>
      <c r="D3370" s="97"/>
      <c r="J3370" s="8"/>
      <c r="K3370" s="8"/>
      <c r="L3370" s="8"/>
      <c r="M3370" s="8"/>
      <c r="N3370" s="8"/>
      <c r="O3370" s="8"/>
      <c r="P3370" s="8"/>
    </row>
    <row r="3371" spans="1:16" s="7" customFormat="1" ht="42.75" customHeight="1" thickBot="1">
      <c r="A3371" s="103"/>
      <c r="B3371" s="104"/>
      <c r="C3371" s="96" t="s">
        <v>21</v>
      </c>
      <c r="D3371" s="97"/>
      <c r="J3371" s="8"/>
      <c r="K3371" s="8"/>
      <c r="L3371" s="8"/>
      <c r="M3371" s="8"/>
      <c r="N3371" s="8"/>
      <c r="O3371" s="8"/>
      <c r="P3371" s="8"/>
    </row>
    <row r="3372" spans="1:16" s="7" customFormat="1" ht="42.75" customHeight="1" thickBot="1">
      <c r="A3372" s="105">
        <v>600</v>
      </c>
      <c r="B3372" s="106"/>
      <c r="C3372" s="96" t="s">
        <v>7</v>
      </c>
      <c r="D3372" s="97"/>
      <c r="J3372" s="8"/>
      <c r="K3372" s="8"/>
      <c r="L3372" s="8"/>
      <c r="M3372" s="8"/>
      <c r="N3372" s="8"/>
      <c r="O3372" s="8"/>
      <c r="P3372" s="8"/>
    </row>
    <row r="3373" spans="1:16" s="7" customFormat="1" ht="42.75" customHeight="1" thickBot="1">
      <c r="A3373" s="107" t="s">
        <v>17</v>
      </c>
      <c r="B3373" s="108"/>
      <c r="C3373" s="108"/>
      <c r="D3373" s="109"/>
      <c r="J3373" s="8"/>
      <c r="K3373" s="8"/>
      <c r="L3373" s="8"/>
      <c r="M3373" s="8"/>
      <c r="N3373" s="8"/>
      <c r="O3373" s="8"/>
      <c r="P3373" s="8"/>
    </row>
    <row r="3374" spans="1:16" s="7" customFormat="1" ht="42.75" customHeight="1" thickBot="1">
      <c r="A3374" s="110" t="s">
        <v>20</v>
      </c>
      <c r="B3374" s="111"/>
      <c r="C3374" s="111"/>
      <c r="D3374" s="112"/>
      <c r="J3374" s="8"/>
      <c r="K3374" s="8"/>
      <c r="L3374" s="8"/>
      <c r="M3374" s="8"/>
      <c r="N3374" s="8"/>
      <c r="O3374" s="8"/>
      <c r="P3374" s="8"/>
    </row>
    <row r="3375" spans="1:16" s="7" customFormat="1" ht="42.75" customHeight="1" thickBot="1">
      <c r="A3375" s="113" t="s">
        <v>18</v>
      </c>
      <c r="B3375" s="114"/>
      <c r="C3375" s="114"/>
      <c r="D3375" s="115"/>
      <c r="J3375" s="8"/>
      <c r="K3375" s="8"/>
      <c r="L3375" s="8"/>
      <c r="M3375" s="8"/>
      <c r="N3375" s="8"/>
      <c r="O3375" s="8"/>
      <c r="P3375" s="8"/>
    </row>
    <row r="3376" spans="1:16" s="7" customFormat="1" ht="42.75" customHeight="1" thickBot="1">
      <c r="A3376" s="126" t="s">
        <v>19</v>
      </c>
      <c r="B3376" s="127"/>
      <c r="C3376" s="127"/>
      <c r="D3376" s="128"/>
      <c r="J3376" s="8"/>
      <c r="K3376" s="8"/>
      <c r="L3376" s="8"/>
      <c r="M3376" s="8"/>
      <c r="N3376" s="8"/>
      <c r="O3376" s="8"/>
      <c r="P3376" s="8"/>
    </row>
    <row r="3377" spans="1:16" s="7" customFormat="1" ht="42.75" customHeight="1" thickBot="1">
      <c r="A3377" s="123" t="s">
        <v>11</v>
      </c>
      <c r="B3377" s="124"/>
      <c r="C3377" s="125" t="s">
        <v>603</v>
      </c>
      <c r="D3377" s="124"/>
      <c r="J3377" s="8"/>
      <c r="K3377" s="8"/>
      <c r="L3377" s="8"/>
      <c r="M3377" s="8"/>
      <c r="N3377" s="8"/>
      <c r="O3377" s="8"/>
      <c r="P3377" s="8"/>
    </row>
    <row r="3378" spans="1:16" s="7" customFormat="1" ht="42.75" customHeight="1" thickBot="1">
      <c r="A3378" s="1" t="s">
        <v>686</v>
      </c>
      <c r="B3378" s="26" t="s">
        <v>1</v>
      </c>
      <c r="C3378" s="90" t="s">
        <v>306</v>
      </c>
      <c r="D3378" s="91"/>
      <c r="J3378" s="8"/>
      <c r="K3378" s="8"/>
      <c r="L3378" s="8"/>
      <c r="M3378" s="8"/>
      <c r="N3378" s="8"/>
      <c r="O3378" s="8"/>
      <c r="P3378" s="8"/>
    </row>
    <row r="3379" spans="1:16" s="7" customFormat="1" ht="42.75" customHeight="1" thickBot="1">
      <c r="A3379" s="26"/>
      <c r="B3379" s="26" t="s">
        <v>0</v>
      </c>
      <c r="C3379" s="5" t="s">
        <v>687</v>
      </c>
      <c r="D3379" s="4" t="s">
        <v>2</v>
      </c>
      <c r="J3379" s="8"/>
      <c r="K3379" s="8"/>
      <c r="L3379" s="8"/>
      <c r="M3379" s="8"/>
      <c r="N3379" s="8"/>
      <c r="O3379" s="8"/>
      <c r="P3379" s="8"/>
    </row>
    <row r="3380" spans="1:16" s="7" customFormat="1" ht="42.75" customHeight="1" thickBot="1">
      <c r="A3380" s="92">
        <v>363</v>
      </c>
      <c r="B3380" s="93"/>
      <c r="C3380" s="94" t="s">
        <v>3</v>
      </c>
      <c r="D3380" s="95"/>
      <c r="J3380" s="8"/>
      <c r="K3380" s="8"/>
      <c r="L3380" s="8"/>
      <c r="M3380" s="8"/>
      <c r="N3380" s="8"/>
      <c r="O3380" s="8"/>
      <c r="P3380" s="8"/>
    </row>
    <row r="3381" spans="1:16" s="7" customFormat="1" ht="42.75" customHeight="1" thickBot="1">
      <c r="A3381" s="92">
        <v>363</v>
      </c>
      <c r="B3381" s="93"/>
      <c r="C3381" s="96" t="s">
        <v>4</v>
      </c>
      <c r="D3381" s="97"/>
      <c r="J3381" s="8"/>
      <c r="K3381" s="8"/>
      <c r="L3381" s="8"/>
      <c r="M3381" s="8"/>
      <c r="N3381" s="8"/>
      <c r="O3381" s="8"/>
      <c r="P3381" s="8"/>
    </row>
    <row r="3382" spans="1:16" s="7" customFormat="1" ht="42.75" customHeight="1" thickBot="1">
      <c r="A3382" s="98">
        <f>A3381-A3380</f>
        <v>0</v>
      </c>
      <c r="B3382" s="99"/>
      <c r="C3382" s="100" t="s">
        <v>5</v>
      </c>
      <c r="D3382" s="97"/>
      <c r="J3382" s="8"/>
      <c r="K3382" s="8"/>
      <c r="L3382" s="8"/>
      <c r="M3382" s="8"/>
      <c r="N3382" s="8"/>
      <c r="O3382" s="8"/>
      <c r="P3382" s="8"/>
    </row>
    <row r="3383" spans="1:16" s="7" customFormat="1" ht="42.75" customHeight="1" thickBot="1">
      <c r="A3383" s="101">
        <v>62</v>
      </c>
      <c r="B3383" s="102"/>
      <c r="C3383" s="96" t="s">
        <v>6</v>
      </c>
      <c r="D3383" s="97"/>
      <c r="J3383" s="8"/>
      <c r="K3383" s="8"/>
      <c r="L3383" s="8"/>
      <c r="M3383" s="8"/>
      <c r="N3383" s="8"/>
      <c r="O3383" s="8"/>
      <c r="P3383" s="8"/>
    </row>
    <row r="3384" spans="1:16" s="7" customFormat="1" ht="42.75" customHeight="1" thickBot="1">
      <c r="A3384" s="103"/>
      <c r="B3384" s="104"/>
      <c r="C3384" s="96" t="s">
        <v>21</v>
      </c>
      <c r="D3384" s="97"/>
      <c r="J3384" s="8"/>
      <c r="K3384" s="8"/>
      <c r="L3384" s="8"/>
      <c r="M3384" s="8"/>
      <c r="N3384" s="8"/>
      <c r="O3384" s="8"/>
      <c r="P3384" s="8"/>
    </row>
    <row r="3385" spans="1:16" s="7" customFormat="1" ht="42.75" customHeight="1" thickBot="1">
      <c r="A3385" s="105">
        <f>A3383*A3382</f>
        <v>0</v>
      </c>
      <c r="B3385" s="106"/>
      <c r="C3385" s="96" t="s">
        <v>7</v>
      </c>
      <c r="D3385" s="97"/>
      <c r="J3385" s="8"/>
      <c r="K3385" s="8"/>
      <c r="L3385" s="8"/>
      <c r="M3385" s="8"/>
      <c r="N3385" s="8"/>
      <c r="O3385" s="8"/>
      <c r="P3385" s="8"/>
    </row>
    <row r="3386" spans="1:16" s="7" customFormat="1" ht="42.75" customHeight="1" thickBot="1">
      <c r="A3386" s="107" t="s">
        <v>17</v>
      </c>
      <c r="B3386" s="108"/>
      <c r="C3386" s="108"/>
      <c r="D3386" s="109"/>
      <c r="J3386" s="8"/>
      <c r="K3386" s="8"/>
      <c r="L3386" s="8"/>
      <c r="M3386" s="8"/>
      <c r="N3386" s="8"/>
      <c r="O3386" s="8"/>
      <c r="P3386" s="8"/>
    </row>
    <row r="3387" spans="1:16" s="7" customFormat="1" ht="42.75" customHeight="1" thickBot="1">
      <c r="A3387" s="116" t="s">
        <v>20</v>
      </c>
      <c r="B3387" s="117"/>
      <c r="C3387" s="117"/>
      <c r="D3387" s="118"/>
      <c r="J3387" s="8"/>
      <c r="K3387" s="8"/>
      <c r="L3387" s="8"/>
      <c r="M3387" s="8"/>
      <c r="N3387" s="8"/>
      <c r="O3387" s="8"/>
      <c r="P3387" s="8"/>
    </row>
    <row r="3388" spans="1:16" s="7" customFormat="1" ht="42.75" customHeight="1" thickBot="1">
      <c r="A3388" s="113" t="s">
        <v>18</v>
      </c>
      <c r="B3388" s="114"/>
      <c r="C3388" s="114"/>
      <c r="D3388" s="115"/>
      <c r="J3388" s="8"/>
      <c r="K3388" s="8"/>
      <c r="L3388" s="8"/>
      <c r="M3388" s="8"/>
      <c r="N3388" s="8"/>
      <c r="O3388" s="8"/>
      <c r="P3388" s="8"/>
    </row>
    <row r="3389" spans="1:16" s="7" customFormat="1" ht="42.75" customHeight="1" thickBot="1">
      <c r="A3389" s="119"/>
      <c r="B3389" s="119"/>
      <c r="C3389" s="119"/>
      <c r="D3389" s="119"/>
      <c r="J3389" s="8"/>
      <c r="K3389" s="8"/>
      <c r="L3389" s="8"/>
      <c r="M3389" s="8"/>
      <c r="N3389" s="8"/>
      <c r="O3389" s="8"/>
      <c r="P3389" s="8"/>
    </row>
    <row r="3390" spans="1:16" s="7" customFormat="1" ht="42.75" customHeight="1" thickBot="1">
      <c r="A3390" s="126" t="s">
        <v>19</v>
      </c>
      <c r="B3390" s="127"/>
      <c r="C3390" s="127"/>
      <c r="D3390" s="128"/>
      <c r="J3390" s="8"/>
      <c r="K3390" s="8"/>
      <c r="L3390" s="8"/>
      <c r="M3390" s="8"/>
      <c r="N3390" s="8"/>
      <c r="O3390" s="8"/>
      <c r="P3390" s="8"/>
    </row>
    <row r="3391" spans="1:16" s="7" customFormat="1" ht="42.75" customHeight="1" thickBot="1">
      <c r="A3391" s="123" t="s">
        <v>11</v>
      </c>
      <c r="B3391" s="124"/>
      <c r="C3391" s="125" t="s">
        <v>603</v>
      </c>
      <c r="D3391" s="124"/>
      <c r="J3391" s="8"/>
      <c r="K3391" s="8"/>
      <c r="L3391" s="8"/>
      <c r="M3391" s="8"/>
      <c r="N3391" s="8"/>
      <c r="O3391" s="8"/>
      <c r="P3391" s="8"/>
    </row>
    <row r="3392" spans="1:16" s="7" customFormat="1" ht="42.75" customHeight="1" thickBot="1">
      <c r="A3392" s="1" t="s">
        <v>686</v>
      </c>
      <c r="B3392" s="26" t="s">
        <v>1</v>
      </c>
      <c r="C3392" s="90" t="s">
        <v>306</v>
      </c>
      <c r="D3392" s="91"/>
      <c r="J3392" s="8"/>
      <c r="K3392" s="8"/>
      <c r="L3392" s="8"/>
      <c r="M3392" s="8"/>
      <c r="N3392" s="8"/>
      <c r="O3392" s="8"/>
      <c r="P3392" s="8"/>
    </row>
    <row r="3393" spans="1:16" s="7" customFormat="1" ht="42.75" customHeight="1" thickBot="1">
      <c r="A3393" s="26"/>
      <c r="B3393" s="26" t="s">
        <v>0</v>
      </c>
      <c r="C3393" s="5" t="s">
        <v>687</v>
      </c>
      <c r="D3393" s="4" t="s">
        <v>2</v>
      </c>
      <c r="J3393" s="8"/>
      <c r="K3393" s="8"/>
      <c r="L3393" s="8"/>
      <c r="M3393" s="8"/>
      <c r="N3393" s="8"/>
      <c r="O3393" s="8"/>
      <c r="P3393" s="8"/>
    </row>
    <row r="3394" spans="1:16" s="7" customFormat="1" ht="42.75" customHeight="1" thickBot="1">
      <c r="A3394" s="92">
        <v>355</v>
      </c>
      <c r="B3394" s="93"/>
      <c r="C3394" s="94" t="s">
        <v>3</v>
      </c>
      <c r="D3394" s="95"/>
      <c r="J3394" s="8"/>
      <c r="K3394" s="8"/>
      <c r="L3394" s="8"/>
      <c r="M3394" s="8"/>
      <c r="N3394" s="8"/>
      <c r="O3394" s="8"/>
      <c r="P3394" s="8"/>
    </row>
    <row r="3395" spans="1:16" s="7" customFormat="1" ht="42.75" customHeight="1" thickBot="1">
      <c r="A3395" s="92">
        <v>363</v>
      </c>
      <c r="B3395" s="93"/>
      <c r="C3395" s="96" t="s">
        <v>4</v>
      </c>
      <c r="D3395" s="97"/>
      <c r="J3395" s="8"/>
      <c r="K3395" s="8"/>
      <c r="L3395" s="8"/>
      <c r="M3395" s="8"/>
      <c r="N3395" s="8"/>
      <c r="O3395" s="8"/>
      <c r="P3395" s="8"/>
    </row>
    <row r="3396" spans="1:16" s="7" customFormat="1" ht="42.75" customHeight="1" thickBot="1">
      <c r="A3396" s="98">
        <v>10</v>
      </c>
      <c r="B3396" s="99"/>
      <c r="C3396" s="100" t="s">
        <v>5</v>
      </c>
      <c r="D3396" s="97"/>
      <c r="J3396" s="8"/>
      <c r="K3396" s="8"/>
      <c r="L3396" s="8"/>
      <c r="M3396" s="8"/>
      <c r="N3396" s="8"/>
      <c r="O3396" s="8"/>
      <c r="P3396" s="8"/>
    </row>
    <row r="3397" spans="1:16" s="7" customFormat="1" ht="42.75" customHeight="1" thickBot="1">
      <c r="A3397" s="101">
        <v>62</v>
      </c>
      <c r="B3397" s="102"/>
      <c r="C3397" s="96" t="s">
        <v>6</v>
      </c>
      <c r="D3397" s="97"/>
      <c r="J3397" s="8"/>
      <c r="K3397" s="8"/>
      <c r="L3397" s="8"/>
      <c r="M3397" s="8"/>
      <c r="N3397" s="8"/>
      <c r="O3397" s="8"/>
      <c r="P3397" s="8"/>
    </row>
    <row r="3398" spans="1:16" s="7" customFormat="1" ht="42.75" customHeight="1" thickBot="1">
      <c r="A3398" s="103"/>
      <c r="B3398" s="104"/>
      <c r="C3398" s="96" t="s">
        <v>21</v>
      </c>
      <c r="D3398" s="97"/>
      <c r="J3398" s="8"/>
      <c r="K3398" s="8"/>
      <c r="L3398" s="8"/>
      <c r="M3398" s="8"/>
      <c r="N3398" s="8"/>
      <c r="O3398" s="8"/>
      <c r="P3398" s="8"/>
    </row>
    <row r="3399" spans="1:16" s="7" customFormat="1" ht="42.75" customHeight="1" thickBot="1">
      <c r="A3399" s="105">
        <v>600</v>
      </c>
      <c r="B3399" s="106"/>
      <c r="C3399" s="96" t="s">
        <v>7</v>
      </c>
      <c r="D3399" s="97"/>
      <c r="J3399" s="8"/>
      <c r="K3399" s="8"/>
      <c r="L3399" s="8"/>
      <c r="M3399" s="8"/>
      <c r="N3399" s="8"/>
      <c r="O3399" s="8"/>
      <c r="P3399" s="8"/>
    </row>
    <row r="3400" spans="1:16" s="7" customFormat="1" ht="42.75" customHeight="1" thickBot="1">
      <c r="A3400" s="107" t="s">
        <v>17</v>
      </c>
      <c r="B3400" s="108"/>
      <c r="C3400" s="108"/>
      <c r="D3400" s="109"/>
      <c r="J3400" s="8"/>
      <c r="K3400" s="8"/>
      <c r="L3400" s="8"/>
      <c r="M3400" s="8"/>
      <c r="N3400" s="8"/>
      <c r="O3400" s="8"/>
      <c r="P3400" s="8"/>
    </row>
    <row r="3401" spans="1:16" s="7" customFormat="1" ht="42.75" customHeight="1" thickBot="1">
      <c r="A3401" s="110" t="s">
        <v>20</v>
      </c>
      <c r="B3401" s="111"/>
      <c r="C3401" s="111"/>
      <c r="D3401" s="112"/>
      <c r="J3401" s="8"/>
      <c r="K3401" s="8"/>
      <c r="L3401" s="8"/>
      <c r="M3401" s="8"/>
      <c r="N3401" s="8"/>
      <c r="O3401" s="8"/>
      <c r="P3401" s="8"/>
    </row>
    <row r="3402" spans="1:16" s="7" customFormat="1" ht="42.75" customHeight="1" thickBot="1">
      <c r="A3402" s="113" t="s">
        <v>18</v>
      </c>
      <c r="B3402" s="114"/>
      <c r="C3402" s="114"/>
      <c r="D3402" s="115"/>
      <c r="J3402" s="8"/>
      <c r="K3402" s="8"/>
      <c r="L3402" s="8"/>
      <c r="M3402" s="8"/>
      <c r="N3402" s="8"/>
      <c r="O3402" s="8"/>
      <c r="P3402" s="8"/>
    </row>
    <row r="3403" spans="1:16" s="7" customFormat="1" ht="42.75" customHeight="1" thickBot="1">
      <c r="A3403" s="126" t="s">
        <v>19</v>
      </c>
      <c r="B3403" s="127"/>
      <c r="C3403" s="127"/>
      <c r="D3403" s="128"/>
      <c r="J3403" s="8"/>
      <c r="K3403" s="8"/>
      <c r="L3403" s="8"/>
      <c r="M3403" s="8"/>
      <c r="N3403" s="8"/>
      <c r="O3403" s="8"/>
      <c r="P3403" s="8"/>
    </row>
    <row r="3404" spans="1:16" s="7" customFormat="1" ht="42.75" customHeight="1" thickBot="1">
      <c r="A3404" s="123" t="s">
        <v>11</v>
      </c>
      <c r="B3404" s="124"/>
      <c r="C3404" s="125" t="s">
        <v>603</v>
      </c>
      <c r="D3404" s="124"/>
      <c r="J3404" s="8"/>
      <c r="K3404" s="8"/>
      <c r="L3404" s="8"/>
      <c r="M3404" s="8"/>
      <c r="N3404" s="8"/>
      <c r="O3404" s="8"/>
      <c r="P3404" s="8"/>
    </row>
    <row r="3405" spans="1:16" s="7" customFormat="1" ht="42.75" customHeight="1" thickBot="1">
      <c r="A3405" s="1" t="s">
        <v>686</v>
      </c>
      <c r="B3405" s="26" t="s">
        <v>1</v>
      </c>
      <c r="C3405" s="90" t="s">
        <v>307</v>
      </c>
      <c r="D3405" s="91"/>
      <c r="J3405" s="8"/>
      <c r="K3405" s="8"/>
      <c r="L3405" s="8"/>
      <c r="M3405" s="8"/>
      <c r="N3405" s="8"/>
      <c r="O3405" s="8"/>
      <c r="P3405" s="8"/>
    </row>
    <row r="3406" spans="1:16" s="7" customFormat="1" ht="42.75" customHeight="1" thickBot="1">
      <c r="A3406" s="26"/>
      <c r="B3406" s="26" t="s">
        <v>0</v>
      </c>
      <c r="C3406" s="5" t="s">
        <v>687</v>
      </c>
      <c r="D3406" s="4" t="s">
        <v>2</v>
      </c>
      <c r="J3406" s="8"/>
      <c r="K3406" s="8"/>
      <c r="L3406" s="8"/>
      <c r="M3406" s="8"/>
      <c r="N3406" s="8"/>
      <c r="O3406" s="8"/>
      <c r="P3406" s="8"/>
    </row>
    <row r="3407" spans="1:16" s="7" customFormat="1" ht="42.75" customHeight="1" thickBot="1">
      <c r="A3407" s="92">
        <v>3293</v>
      </c>
      <c r="B3407" s="93"/>
      <c r="C3407" s="94" t="s">
        <v>3</v>
      </c>
      <c r="D3407" s="95"/>
      <c r="J3407" s="8"/>
      <c r="K3407" s="8"/>
      <c r="L3407" s="8"/>
      <c r="M3407" s="8"/>
      <c r="N3407" s="8"/>
      <c r="O3407" s="8"/>
      <c r="P3407" s="8"/>
    </row>
    <row r="3408" spans="1:16" s="7" customFormat="1" ht="42.75" customHeight="1" thickBot="1">
      <c r="A3408" s="92">
        <v>3293</v>
      </c>
      <c r="B3408" s="93"/>
      <c r="C3408" s="96" t="s">
        <v>4</v>
      </c>
      <c r="D3408" s="97"/>
      <c r="J3408" s="8"/>
      <c r="K3408" s="8"/>
      <c r="L3408" s="8"/>
      <c r="M3408" s="8"/>
      <c r="N3408" s="8"/>
      <c r="O3408" s="8"/>
      <c r="P3408" s="8"/>
    </row>
    <row r="3409" spans="1:16" s="7" customFormat="1" ht="42.75" customHeight="1" thickBot="1">
      <c r="A3409" s="98">
        <f>A3408-A3407</f>
        <v>0</v>
      </c>
      <c r="B3409" s="99"/>
      <c r="C3409" s="100" t="s">
        <v>5</v>
      </c>
      <c r="D3409" s="97"/>
      <c r="J3409" s="8"/>
      <c r="K3409" s="8"/>
      <c r="L3409" s="8"/>
      <c r="M3409" s="8"/>
      <c r="N3409" s="8"/>
      <c r="O3409" s="8"/>
      <c r="P3409" s="8"/>
    </row>
    <row r="3410" spans="1:16" s="7" customFormat="1" ht="42.75" customHeight="1" thickBot="1">
      <c r="A3410" s="101">
        <v>62</v>
      </c>
      <c r="B3410" s="102"/>
      <c r="C3410" s="96" t="s">
        <v>6</v>
      </c>
      <c r="D3410" s="97"/>
      <c r="J3410" s="8"/>
      <c r="K3410" s="8"/>
      <c r="L3410" s="8"/>
      <c r="M3410" s="8"/>
      <c r="N3410" s="8"/>
      <c r="O3410" s="8"/>
      <c r="P3410" s="8"/>
    </row>
    <row r="3411" spans="1:16" s="7" customFormat="1" ht="42.75" customHeight="1" thickBot="1">
      <c r="A3411" s="103"/>
      <c r="B3411" s="104"/>
      <c r="C3411" s="96" t="s">
        <v>21</v>
      </c>
      <c r="D3411" s="97"/>
      <c r="J3411" s="8"/>
      <c r="K3411" s="8"/>
      <c r="L3411" s="8"/>
      <c r="M3411" s="8"/>
      <c r="N3411" s="8"/>
      <c r="O3411" s="8"/>
      <c r="P3411" s="8"/>
    </row>
    <row r="3412" spans="1:16" s="7" customFormat="1" ht="42.75" customHeight="1" thickBot="1">
      <c r="A3412" s="105">
        <f>A3410*A3409</f>
        <v>0</v>
      </c>
      <c r="B3412" s="106"/>
      <c r="C3412" s="96" t="s">
        <v>7</v>
      </c>
      <c r="D3412" s="97"/>
      <c r="J3412" s="8"/>
      <c r="K3412" s="8"/>
      <c r="L3412" s="8"/>
      <c r="M3412" s="8"/>
      <c r="N3412" s="8"/>
      <c r="O3412" s="8"/>
      <c r="P3412" s="8"/>
    </row>
    <row r="3413" spans="1:16" s="7" customFormat="1" ht="42.75" customHeight="1" thickBot="1">
      <c r="A3413" s="107" t="s">
        <v>17</v>
      </c>
      <c r="B3413" s="108"/>
      <c r="C3413" s="108"/>
      <c r="D3413" s="109"/>
      <c r="J3413" s="8"/>
      <c r="K3413" s="8"/>
      <c r="L3413" s="8"/>
      <c r="M3413" s="8"/>
      <c r="N3413" s="8"/>
      <c r="O3413" s="8"/>
      <c r="P3413" s="8"/>
    </row>
    <row r="3414" spans="1:16" s="7" customFormat="1" ht="42.75" customHeight="1" thickBot="1">
      <c r="A3414" s="116" t="s">
        <v>20</v>
      </c>
      <c r="B3414" s="117"/>
      <c r="C3414" s="117"/>
      <c r="D3414" s="118"/>
      <c r="J3414" s="8"/>
      <c r="K3414" s="8"/>
      <c r="L3414" s="8"/>
      <c r="M3414" s="8"/>
      <c r="N3414" s="8"/>
      <c r="O3414" s="8"/>
      <c r="P3414" s="8"/>
    </row>
    <row r="3415" spans="1:16" s="7" customFormat="1" ht="42.75" customHeight="1" thickBot="1">
      <c r="A3415" s="113" t="s">
        <v>18</v>
      </c>
      <c r="B3415" s="114"/>
      <c r="C3415" s="114"/>
      <c r="D3415" s="115"/>
      <c r="J3415" s="8"/>
      <c r="K3415" s="8"/>
      <c r="L3415" s="8"/>
      <c r="M3415" s="8"/>
      <c r="N3415" s="8"/>
      <c r="O3415" s="8"/>
      <c r="P3415" s="8"/>
    </row>
    <row r="3416" spans="1:16" s="7" customFormat="1" ht="42.75" customHeight="1" thickBot="1">
      <c r="A3416" s="119"/>
      <c r="B3416" s="119"/>
      <c r="C3416" s="119"/>
      <c r="D3416" s="119"/>
      <c r="J3416" s="8"/>
      <c r="K3416" s="8"/>
      <c r="L3416" s="8"/>
      <c r="M3416" s="8"/>
      <c r="N3416" s="8"/>
      <c r="O3416" s="8"/>
      <c r="P3416" s="8"/>
    </row>
    <row r="3417" spans="1:16" s="7" customFormat="1" ht="42.75" customHeight="1" thickBot="1">
      <c r="A3417" s="126" t="s">
        <v>19</v>
      </c>
      <c r="B3417" s="127"/>
      <c r="C3417" s="127"/>
      <c r="D3417" s="128"/>
      <c r="J3417" s="8"/>
      <c r="K3417" s="8"/>
      <c r="L3417" s="8"/>
      <c r="M3417" s="8"/>
      <c r="N3417" s="8"/>
      <c r="O3417" s="8"/>
      <c r="P3417" s="8"/>
    </row>
    <row r="3418" spans="1:16" s="7" customFormat="1" ht="42.75" customHeight="1" thickBot="1">
      <c r="A3418" s="123" t="s">
        <v>11</v>
      </c>
      <c r="B3418" s="124"/>
      <c r="C3418" s="125" t="s">
        <v>603</v>
      </c>
      <c r="D3418" s="124"/>
      <c r="J3418" s="8"/>
      <c r="K3418" s="8"/>
      <c r="L3418" s="8"/>
      <c r="M3418" s="8"/>
      <c r="N3418" s="8"/>
      <c r="O3418" s="8"/>
      <c r="P3418" s="8"/>
    </row>
    <row r="3419" spans="1:16" s="7" customFormat="1" ht="42.75" customHeight="1" thickBot="1">
      <c r="A3419" s="1" t="s">
        <v>686</v>
      </c>
      <c r="B3419" s="26" t="s">
        <v>1</v>
      </c>
      <c r="C3419" s="90" t="s">
        <v>307</v>
      </c>
      <c r="D3419" s="91"/>
      <c r="J3419" s="8"/>
      <c r="K3419" s="8"/>
      <c r="L3419" s="8"/>
      <c r="M3419" s="8"/>
      <c r="N3419" s="8"/>
      <c r="O3419" s="8"/>
      <c r="P3419" s="8"/>
    </row>
    <row r="3420" spans="1:16" s="7" customFormat="1" ht="42.75" customHeight="1" thickBot="1">
      <c r="A3420" s="26"/>
      <c r="B3420" s="26" t="s">
        <v>0</v>
      </c>
      <c r="C3420" s="5" t="s">
        <v>687</v>
      </c>
      <c r="D3420" s="4" t="s">
        <v>2</v>
      </c>
      <c r="J3420" s="8"/>
      <c r="K3420" s="8"/>
      <c r="L3420" s="8"/>
      <c r="M3420" s="8"/>
      <c r="N3420" s="8"/>
      <c r="O3420" s="8"/>
      <c r="P3420" s="8"/>
    </row>
    <row r="3421" spans="1:16" s="7" customFormat="1" ht="42.75" customHeight="1" thickBot="1">
      <c r="A3421" s="92">
        <v>3245</v>
      </c>
      <c r="B3421" s="93"/>
      <c r="C3421" s="94" t="s">
        <v>3</v>
      </c>
      <c r="D3421" s="95"/>
      <c r="J3421" s="8"/>
      <c r="K3421" s="8"/>
      <c r="L3421" s="8"/>
      <c r="M3421" s="8"/>
      <c r="N3421" s="8"/>
      <c r="O3421" s="8"/>
      <c r="P3421" s="8"/>
    </row>
    <row r="3422" spans="1:16" s="7" customFormat="1" ht="42.75" customHeight="1" thickBot="1">
      <c r="A3422" s="92">
        <v>3293</v>
      </c>
      <c r="B3422" s="93"/>
      <c r="C3422" s="96" t="s">
        <v>4</v>
      </c>
      <c r="D3422" s="97"/>
      <c r="J3422" s="8"/>
      <c r="K3422" s="8"/>
      <c r="L3422" s="8"/>
      <c r="M3422" s="8"/>
      <c r="N3422" s="8"/>
      <c r="O3422" s="8"/>
      <c r="P3422" s="8"/>
    </row>
    <row r="3423" spans="1:16" s="7" customFormat="1" ht="42.75" customHeight="1" thickBot="1">
      <c r="A3423" s="98">
        <f>A3422-A3421</f>
        <v>48</v>
      </c>
      <c r="B3423" s="99"/>
      <c r="C3423" s="100" t="s">
        <v>5</v>
      </c>
      <c r="D3423" s="97"/>
      <c r="J3423" s="8"/>
      <c r="K3423" s="8"/>
      <c r="L3423" s="8"/>
      <c r="M3423" s="8"/>
      <c r="N3423" s="8"/>
      <c r="O3423" s="8"/>
      <c r="P3423" s="8"/>
    </row>
    <row r="3424" spans="1:16" s="7" customFormat="1" ht="42.75" customHeight="1" thickBot="1">
      <c r="A3424" s="101">
        <v>62</v>
      </c>
      <c r="B3424" s="102"/>
      <c r="C3424" s="96" t="s">
        <v>6</v>
      </c>
      <c r="D3424" s="97"/>
      <c r="J3424" s="8"/>
      <c r="K3424" s="8"/>
      <c r="L3424" s="8"/>
      <c r="M3424" s="8"/>
      <c r="N3424" s="8"/>
      <c r="O3424" s="8"/>
      <c r="P3424" s="8"/>
    </row>
    <row r="3425" spans="1:16" s="7" customFormat="1" ht="42.75" customHeight="1" thickBot="1">
      <c r="A3425" s="103"/>
      <c r="B3425" s="104"/>
      <c r="C3425" s="96" t="s">
        <v>21</v>
      </c>
      <c r="D3425" s="97"/>
      <c r="J3425" s="8"/>
      <c r="K3425" s="8"/>
      <c r="L3425" s="8"/>
      <c r="M3425" s="8"/>
      <c r="N3425" s="8"/>
      <c r="O3425" s="8"/>
      <c r="P3425" s="8"/>
    </row>
    <row r="3426" spans="1:16" s="7" customFormat="1" ht="42.75" customHeight="1" thickBot="1">
      <c r="A3426" s="105">
        <v>3000</v>
      </c>
      <c r="B3426" s="106"/>
      <c r="C3426" s="96" t="s">
        <v>7</v>
      </c>
      <c r="D3426" s="97"/>
      <c r="J3426" s="8"/>
      <c r="K3426" s="8"/>
      <c r="L3426" s="8"/>
      <c r="M3426" s="8"/>
      <c r="N3426" s="8"/>
      <c r="O3426" s="8"/>
      <c r="P3426" s="8"/>
    </row>
    <row r="3427" spans="1:16" s="7" customFormat="1" ht="42.75" customHeight="1" thickBot="1">
      <c r="A3427" s="107" t="s">
        <v>17</v>
      </c>
      <c r="B3427" s="108"/>
      <c r="C3427" s="108"/>
      <c r="D3427" s="109"/>
      <c r="J3427" s="8"/>
      <c r="K3427" s="8"/>
      <c r="L3427" s="8"/>
      <c r="M3427" s="8"/>
      <c r="N3427" s="8"/>
      <c r="O3427" s="8"/>
      <c r="P3427" s="8"/>
    </row>
    <row r="3428" spans="1:16" s="7" customFormat="1" ht="42.75" customHeight="1" thickBot="1">
      <c r="A3428" s="110" t="s">
        <v>20</v>
      </c>
      <c r="B3428" s="111"/>
      <c r="C3428" s="111"/>
      <c r="D3428" s="112"/>
      <c r="J3428" s="8"/>
      <c r="K3428" s="8"/>
      <c r="L3428" s="8"/>
      <c r="M3428" s="8"/>
      <c r="N3428" s="8"/>
      <c r="O3428" s="8"/>
      <c r="P3428" s="8"/>
    </row>
    <row r="3429" spans="1:16" s="7" customFormat="1" ht="42.75" customHeight="1" thickBot="1">
      <c r="A3429" s="113" t="s">
        <v>18</v>
      </c>
      <c r="B3429" s="114"/>
      <c r="C3429" s="114"/>
      <c r="D3429" s="115"/>
      <c r="J3429" s="8"/>
      <c r="K3429" s="8"/>
      <c r="L3429" s="8"/>
      <c r="M3429" s="8"/>
      <c r="N3429" s="8"/>
      <c r="O3429" s="8"/>
      <c r="P3429" s="8"/>
    </row>
    <row r="3430" spans="1:16" s="7" customFormat="1" ht="42.75" customHeight="1" thickBot="1">
      <c r="A3430" s="126" t="s">
        <v>19</v>
      </c>
      <c r="B3430" s="127"/>
      <c r="C3430" s="127"/>
      <c r="D3430" s="128"/>
      <c r="J3430" s="8"/>
      <c r="K3430" s="8"/>
      <c r="L3430" s="8"/>
      <c r="M3430" s="8"/>
      <c r="N3430" s="8"/>
      <c r="O3430" s="8"/>
      <c r="P3430" s="8"/>
    </row>
    <row r="3431" spans="1:16" s="7" customFormat="1" ht="42.75" customHeight="1" thickBot="1">
      <c r="A3431" s="123" t="s">
        <v>11</v>
      </c>
      <c r="B3431" s="124"/>
      <c r="C3431" s="125" t="s">
        <v>603</v>
      </c>
      <c r="D3431" s="124"/>
      <c r="J3431" s="8"/>
      <c r="K3431" s="8"/>
      <c r="L3431" s="8"/>
      <c r="M3431" s="8"/>
      <c r="N3431" s="8"/>
      <c r="O3431" s="8"/>
      <c r="P3431" s="8"/>
    </row>
    <row r="3432" spans="1:16" s="7" customFormat="1" ht="42.75" customHeight="1" thickBot="1">
      <c r="A3432" s="1" t="s">
        <v>686</v>
      </c>
      <c r="B3432" s="26" t="s">
        <v>1</v>
      </c>
      <c r="C3432" s="90" t="s">
        <v>186</v>
      </c>
      <c r="D3432" s="91"/>
      <c r="J3432" s="8"/>
      <c r="K3432" s="8"/>
      <c r="L3432" s="8"/>
      <c r="M3432" s="8"/>
      <c r="N3432" s="8"/>
      <c r="O3432" s="8"/>
      <c r="P3432" s="8"/>
    </row>
    <row r="3433" spans="1:16" s="7" customFormat="1" ht="42.75" customHeight="1" thickBot="1">
      <c r="A3433" s="26"/>
      <c r="B3433" s="26" t="s">
        <v>0</v>
      </c>
      <c r="C3433" s="5" t="s">
        <v>687</v>
      </c>
      <c r="D3433" s="4" t="s">
        <v>2</v>
      </c>
      <c r="J3433" s="8"/>
      <c r="K3433" s="8"/>
      <c r="L3433" s="8"/>
      <c r="M3433" s="8"/>
      <c r="N3433" s="8"/>
      <c r="O3433" s="8"/>
      <c r="P3433" s="8"/>
    </row>
    <row r="3434" spans="1:16" s="7" customFormat="1" ht="42.75" customHeight="1" thickBot="1">
      <c r="A3434" s="92">
        <v>895</v>
      </c>
      <c r="B3434" s="93"/>
      <c r="C3434" s="94" t="s">
        <v>3</v>
      </c>
      <c r="D3434" s="95"/>
      <c r="J3434" s="8"/>
      <c r="K3434" s="8"/>
      <c r="L3434" s="8"/>
      <c r="M3434" s="8"/>
      <c r="N3434" s="8"/>
      <c r="O3434" s="8"/>
      <c r="P3434" s="8"/>
    </row>
    <row r="3435" spans="1:16" s="7" customFormat="1" ht="42.75" customHeight="1" thickBot="1">
      <c r="A3435" s="92">
        <v>895</v>
      </c>
      <c r="B3435" s="93"/>
      <c r="C3435" s="96" t="s">
        <v>4</v>
      </c>
      <c r="D3435" s="97"/>
      <c r="J3435" s="8"/>
      <c r="K3435" s="8"/>
      <c r="L3435" s="8"/>
      <c r="M3435" s="8"/>
      <c r="N3435" s="8"/>
      <c r="O3435" s="8"/>
      <c r="P3435" s="8"/>
    </row>
    <row r="3436" spans="1:16" s="7" customFormat="1" ht="42.75" customHeight="1" thickBot="1">
      <c r="A3436" s="98">
        <f>A3435-A3434</f>
        <v>0</v>
      </c>
      <c r="B3436" s="99"/>
      <c r="C3436" s="100" t="s">
        <v>5</v>
      </c>
      <c r="D3436" s="97"/>
      <c r="J3436" s="8"/>
      <c r="K3436" s="8"/>
      <c r="L3436" s="8"/>
      <c r="M3436" s="8"/>
      <c r="N3436" s="8"/>
      <c r="O3436" s="8"/>
      <c r="P3436" s="8"/>
    </row>
    <row r="3437" spans="1:16" s="7" customFormat="1" ht="42.75" customHeight="1" thickBot="1">
      <c r="A3437" s="101">
        <v>62</v>
      </c>
      <c r="B3437" s="102"/>
      <c r="C3437" s="96" t="s">
        <v>6</v>
      </c>
      <c r="D3437" s="97"/>
      <c r="J3437" s="8"/>
      <c r="K3437" s="8"/>
      <c r="L3437" s="8"/>
      <c r="M3437" s="8"/>
      <c r="N3437" s="8"/>
      <c r="O3437" s="8"/>
      <c r="P3437" s="8"/>
    </row>
    <row r="3438" spans="1:16" s="7" customFormat="1" ht="42.75" customHeight="1" thickBot="1">
      <c r="A3438" s="103"/>
      <c r="B3438" s="104"/>
      <c r="C3438" s="96" t="s">
        <v>21</v>
      </c>
      <c r="D3438" s="97"/>
      <c r="J3438" s="8"/>
      <c r="K3438" s="8"/>
      <c r="L3438" s="8"/>
      <c r="M3438" s="8"/>
      <c r="N3438" s="8"/>
      <c r="O3438" s="8"/>
      <c r="P3438" s="8"/>
    </row>
    <row r="3439" spans="1:16" s="7" customFormat="1" ht="42.75" customHeight="1" thickBot="1">
      <c r="A3439" s="105">
        <f>A3437*A3436</f>
        <v>0</v>
      </c>
      <c r="B3439" s="106"/>
      <c r="C3439" s="96" t="s">
        <v>7</v>
      </c>
      <c r="D3439" s="97"/>
      <c r="J3439" s="8"/>
      <c r="K3439" s="8"/>
      <c r="L3439" s="8"/>
      <c r="M3439" s="8"/>
      <c r="N3439" s="8"/>
      <c r="O3439" s="8"/>
      <c r="P3439" s="8"/>
    </row>
    <row r="3440" spans="1:16" s="7" customFormat="1" ht="42.75" customHeight="1" thickBot="1">
      <c r="A3440" s="107" t="s">
        <v>17</v>
      </c>
      <c r="B3440" s="108"/>
      <c r="C3440" s="108"/>
      <c r="D3440" s="109"/>
      <c r="J3440" s="8"/>
      <c r="K3440" s="8"/>
      <c r="L3440" s="8"/>
      <c r="M3440" s="8"/>
      <c r="N3440" s="8"/>
      <c r="O3440" s="8"/>
      <c r="P3440" s="8"/>
    </row>
    <row r="3441" spans="1:16" s="7" customFormat="1" ht="42.75" customHeight="1" thickBot="1">
      <c r="A3441" s="116" t="s">
        <v>20</v>
      </c>
      <c r="B3441" s="117"/>
      <c r="C3441" s="117"/>
      <c r="D3441" s="118"/>
      <c r="J3441" s="8"/>
      <c r="K3441" s="8"/>
      <c r="L3441" s="8"/>
      <c r="M3441" s="8"/>
      <c r="N3441" s="8"/>
      <c r="O3441" s="8"/>
      <c r="P3441" s="8"/>
    </row>
    <row r="3442" spans="1:16" s="7" customFormat="1" ht="42.75" customHeight="1" thickBot="1">
      <c r="A3442" s="113" t="s">
        <v>18</v>
      </c>
      <c r="B3442" s="114"/>
      <c r="C3442" s="114"/>
      <c r="D3442" s="115"/>
      <c r="J3442" s="8"/>
      <c r="K3442" s="8"/>
      <c r="L3442" s="8"/>
      <c r="M3442" s="8"/>
      <c r="N3442" s="8"/>
      <c r="O3442" s="8"/>
      <c r="P3442" s="8"/>
    </row>
    <row r="3443" spans="1:16" s="7" customFormat="1" ht="42.75" customHeight="1" thickBot="1">
      <c r="A3443" s="119"/>
      <c r="B3443" s="119"/>
      <c r="C3443" s="119"/>
      <c r="D3443" s="119"/>
      <c r="J3443" s="8"/>
      <c r="K3443" s="8"/>
      <c r="L3443" s="8"/>
      <c r="M3443" s="8"/>
      <c r="N3443" s="8"/>
      <c r="O3443" s="8"/>
      <c r="P3443" s="8"/>
    </row>
    <row r="3444" spans="1:16" s="7" customFormat="1" ht="42.75" customHeight="1" thickBot="1">
      <c r="A3444" s="126" t="s">
        <v>19</v>
      </c>
      <c r="B3444" s="127"/>
      <c r="C3444" s="127"/>
      <c r="D3444" s="128"/>
      <c r="J3444" s="8"/>
      <c r="K3444" s="8"/>
      <c r="L3444" s="8"/>
      <c r="M3444" s="8"/>
      <c r="N3444" s="8"/>
      <c r="O3444" s="8"/>
      <c r="P3444" s="8"/>
    </row>
    <row r="3445" spans="1:16" s="7" customFormat="1" ht="42.75" customHeight="1" thickBot="1">
      <c r="A3445" s="123" t="s">
        <v>11</v>
      </c>
      <c r="B3445" s="124"/>
      <c r="C3445" s="125" t="s">
        <v>603</v>
      </c>
      <c r="D3445" s="124"/>
      <c r="J3445" s="8"/>
      <c r="K3445" s="8"/>
      <c r="L3445" s="8"/>
      <c r="M3445" s="8"/>
      <c r="N3445" s="8"/>
      <c r="O3445" s="8"/>
      <c r="P3445" s="8"/>
    </row>
    <row r="3446" spans="1:16" s="7" customFormat="1" ht="42.75" customHeight="1" thickBot="1">
      <c r="A3446" s="1" t="s">
        <v>686</v>
      </c>
      <c r="B3446" s="26" t="s">
        <v>1</v>
      </c>
      <c r="C3446" s="90" t="s">
        <v>186</v>
      </c>
      <c r="D3446" s="91"/>
      <c r="J3446" s="8"/>
      <c r="K3446" s="8"/>
      <c r="L3446" s="8"/>
      <c r="M3446" s="8"/>
      <c r="N3446" s="8"/>
      <c r="O3446" s="8"/>
      <c r="P3446" s="8"/>
    </row>
    <row r="3447" spans="1:16" s="7" customFormat="1" ht="42.75" customHeight="1" thickBot="1">
      <c r="A3447" s="26"/>
      <c r="B3447" s="26" t="s">
        <v>0</v>
      </c>
      <c r="C3447" s="5" t="s">
        <v>687</v>
      </c>
      <c r="D3447" s="4" t="s">
        <v>2</v>
      </c>
      <c r="J3447" s="8"/>
      <c r="K3447" s="8"/>
      <c r="L3447" s="8"/>
      <c r="M3447" s="8"/>
      <c r="N3447" s="8"/>
      <c r="O3447" s="8"/>
      <c r="P3447" s="8"/>
    </row>
    <row r="3448" spans="1:16" s="7" customFormat="1" ht="42.75" customHeight="1" thickBot="1">
      <c r="A3448" s="92">
        <v>880</v>
      </c>
      <c r="B3448" s="93"/>
      <c r="C3448" s="94" t="s">
        <v>3</v>
      </c>
      <c r="D3448" s="95"/>
      <c r="J3448" s="8"/>
      <c r="K3448" s="8"/>
      <c r="L3448" s="8"/>
      <c r="M3448" s="8"/>
      <c r="N3448" s="8"/>
      <c r="O3448" s="8"/>
      <c r="P3448" s="8"/>
    </row>
    <row r="3449" spans="1:16" s="7" customFormat="1" ht="42.75" customHeight="1" thickBot="1">
      <c r="A3449" s="92">
        <v>895</v>
      </c>
      <c r="B3449" s="93"/>
      <c r="C3449" s="96" t="s">
        <v>4</v>
      </c>
      <c r="D3449" s="97"/>
      <c r="J3449" s="8"/>
      <c r="K3449" s="8"/>
      <c r="L3449" s="8"/>
      <c r="M3449" s="8"/>
      <c r="N3449" s="8"/>
      <c r="O3449" s="8"/>
      <c r="P3449" s="8"/>
    </row>
    <row r="3450" spans="1:16" s="7" customFormat="1" ht="42.75" customHeight="1" thickBot="1">
      <c r="A3450" s="98">
        <f>A3449-A3448</f>
        <v>15</v>
      </c>
      <c r="B3450" s="99"/>
      <c r="C3450" s="100" t="s">
        <v>5</v>
      </c>
      <c r="D3450" s="97"/>
      <c r="J3450" s="8"/>
      <c r="K3450" s="8"/>
      <c r="L3450" s="8"/>
      <c r="M3450" s="8"/>
      <c r="N3450" s="8"/>
      <c r="O3450" s="8"/>
      <c r="P3450" s="8"/>
    </row>
    <row r="3451" spans="1:16" s="7" customFormat="1" ht="42.75" customHeight="1" thickBot="1">
      <c r="A3451" s="101">
        <v>62</v>
      </c>
      <c r="B3451" s="102"/>
      <c r="C3451" s="96" t="s">
        <v>6</v>
      </c>
      <c r="D3451" s="97"/>
      <c r="J3451" s="8"/>
      <c r="K3451" s="8"/>
      <c r="L3451" s="8"/>
      <c r="M3451" s="8"/>
      <c r="N3451" s="8"/>
      <c r="O3451" s="8"/>
      <c r="P3451" s="8"/>
    </row>
    <row r="3452" spans="1:16" s="7" customFormat="1" ht="42.75" customHeight="1" thickBot="1">
      <c r="A3452" s="103"/>
      <c r="B3452" s="104"/>
      <c r="C3452" s="96" t="s">
        <v>21</v>
      </c>
      <c r="D3452" s="97"/>
      <c r="J3452" s="8"/>
      <c r="K3452" s="8"/>
      <c r="L3452" s="8"/>
      <c r="M3452" s="8"/>
      <c r="N3452" s="8"/>
      <c r="O3452" s="8"/>
      <c r="P3452" s="8"/>
    </row>
    <row r="3453" spans="1:16" s="7" customFormat="1" ht="42.75" customHeight="1" thickBot="1">
      <c r="A3453" s="105">
        <v>950</v>
      </c>
      <c r="B3453" s="106"/>
      <c r="C3453" s="96" t="s">
        <v>7</v>
      </c>
      <c r="D3453" s="97"/>
      <c r="J3453" s="8"/>
      <c r="K3453" s="8"/>
      <c r="L3453" s="8"/>
      <c r="M3453" s="8"/>
      <c r="N3453" s="8"/>
      <c r="O3453" s="8"/>
      <c r="P3453" s="8"/>
    </row>
    <row r="3454" spans="1:16" s="7" customFormat="1" ht="42.75" customHeight="1" thickBot="1">
      <c r="A3454" s="107" t="s">
        <v>17</v>
      </c>
      <c r="B3454" s="108"/>
      <c r="C3454" s="108"/>
      <c r="D3454" s="109"/>
      <c r="J3454" s="8"/>
      <c r="K3454" s="8"/>
      <c r="L3454" s="8"/>
      <c r="M3454" s="8"/>
      <c r="N3454" s="8"/>
      <c r="O3454" s="8"/>
      <c r="P3454" s="8"/>
    </row>
    <row r="3455" spans="1:16" s="7" customFormat="1" ht="42.75" customHeight="1" thickBot="1">
      <c r="A3455" s="110" t="s">
        <v>20</v>
      </c>
      <c r="B3455" s="111"/>
      <c r="C3455" s="111"/>
      <c r="D3455" s="112"/>
      <c r="J3455" s="8"/>
      <c r="K3455" s="8"/>
      <c r="L3455" s="8"/>
      <c r="M3455" s="8"/>
      <c r="N3455" s="8"/>
      <c r="O3455" s="8"/>
      <c r="P3455" s="8"/>
    </row>
    <row r="3456" spans="1:16" s="7" customFormat="1" ht="42.75" customHeight="1" thickBot="1">
      <c r="A3456" s="113" t="s">
        <v>18</v>
      </c>
      <c r="B3456" s="114"/>
      <c r="C3456" s="114"/>
      <c r="D3456" s="115"/>
      <c r="J3456" s="8"/>
      <c r="K3456" s="8"/>
      <c r="L3456" s="8"/>
      <c r="M3456" s="8"/>
      <c r="N3456" s="8"/>
      <c r="O3456" s="8"/>
      <c r="P3456" s="8"/>
    </row>
    <row r="3457" spans="1:16" s="7" customFormat="1" ht="42.75" customHeight="1" thickBot="1">
      <c r="A3457" s="126" t="s">
        <v>19</v>
      </c>
      <c r="B3457" s="127"/>
      <c r="C3457" s="127"/>
      <c r="D3457" s="128"/>
      <c r="J3457" s="8"/>
      <c r="K3457" s="8"/>
      <c r="L3457" s="8"/>
      <c r="M3457" s="8"/>
      <c r="N3457" s="8"/>
      <c r="O3457" s="8"/>
      <c r="P3457" s="8"/>
    </row>
    <row r="3458" spans="1:16" s="7" customFormat="1" ht="42.75" customHeight="1" thickBot="1">
      <c r="A3458" s="123" t="s">
        <v>11</v>
      </c>
      <c r="B3458" s="124"/>
      <c r="C3458" s="125" t="s">
        <v>603</v>
      </c>
      <c r="D3458" s="124"/>
      <c r="J3458" s="8"/>
      <c r="K3458" s="8"/>
      <c r="L3458" s="8"/>
      <c r="M3458" s="8"/>
      <c r="N3458" s="8"/>
      <c r="O3458" s="8"/>
      <c r="P3458" s="8"/>
    </row>
    <row r="3459" spans="1:16" s="7" customFormat="1" ht="42.75" customHeight="1" thickBot="1">
      <c r="A3459" s="1" t="s">
        <v>686</v>
      </c>
      <c r="B3459" s="26" t="s">
        <v>1</v>
      </c>
      <c r="C3459" s="90" t="s">
        <v>308</v>
      </c>
      <c r="D3459" s="91"/>
      <c r="J3459" s="8"/>
      <c r="K3459" s="8"/>
      <c r="L3459" s="8"/>
      <c r="M3459" s="8"/>
      <c r="N3459" s="8"/>
      <c r="O3459" s="8"/>
      <c r="P3459" s="8"/>
    </row>
    <row r="3460" spans="1:16" s="7" customFormat="1" ht="42.75" customHeight="1" thickBot="1">
      <c r="A3460" s="26"/>
      <c r="B3460" s="26" t="s">
        <v>0</v>
      </c>
      <c r="C3460" s="5" t="s">
        <v>687</v>
      </c>
      <c r="D3460" s="4" t="s">
        <v>2</v>
      </c>
      <c r="J3460" s="8"/>
      <c r="K3460" s="8"/>
      <c r="L3460" s="8"/>
      <c r="M3460" s="8"/>
      <c r="N3460" s="8"/>
      <c r="O3460" s="8"/>
      <c r="P3460" s="8"/>
    </row>
    <row r="3461" spans="1:16" s="7" customFormat="1" ht="42.75" customHeight="1" thickBot="1">
      <c r="A3461" s="92">
        <v>1375</v>
      </c>
      <c r="B3461" s="93"/>
      <c r="C3461" s="94" t="s">
        <v>3</v>
      </c>
      <c r="D3461" s="95"/>
      <c r="J3461" s="8"/>
      <c r="K3461" s="8"/>
      <c r="L3461" s="8"/>
      <c r="M3461" s="8"/>
      <c r="N3461" s="8"/>
      <c r="O3461" s="8"/>
      <c r="P3461" s="8"/>
    </row>
    <row r="3462" spans="1:16" s="7" customFormat="1" ht="42.75" customHeight="1" thickBot="1">
      <c r="A3462" s="92">
        <v>1375</v>
      </c>
      <c r="B3462" s="93"/>
      <c r="C3462" s="96" t="s">
        <v>4</v>
      </c>
      <c r="D3462" s="97"/>
      <c r="J3462" s="8"/>
      <c r="K3462" s="8"/>
      <c r="L3462" s="8"/>
      <c r="M3462" s="8"/>
      <c r="N3462" s="8"/>
      <c r="O3462" s="8"/>
      <c r="P3462" s="8"/>
    </row>
    <row r="3463" spans="1:16" s="7" customFormat="1" ht="42.75" customHeight="1" thickBot="1">
      <c r="A3463" s="98">
        <f>A3462-A3461</f>
        <v>0</v>
      </c>
      <c r="B3463" s="99"/>
      <c r="C3463" s="100" t="s">
        <v>5</v>
      </c>
      <c r="D3463" s="97"/>
      <c r="J3463" s="8"/>
      <c r="K3463" s="8"/>
      <c r="L3463" s="8"/>
      <c r="M3463" s="8"/>
      <c r="N3463" s="8"/>
      <c r="O3463" s="8"/>
      <c r="P3463" s="8"/>
    </row>
    <row r="3464" spans="1:16" s="7" customFormat="1" ht="42.75" customHeight="1" thickBot="1">
      <c r="A3464" s="101">
        <v>63</v>
      </c>
      <c r="B3464" s="102"/>
      <c r="C3464" s="96" t="s">
        <v>6</v>
      </c>
      <c r="D3464" s="97"/>
      <c r="J3464" s="8"/>
      <c r="K3464" s="8"/>
      <c r="L3464" s="8"/>
      <c r="M3464" s="8"/>
      <c r="N3464" s="8"/>
      <c r="O3464" s="8"/>
      <c r="P3464" s="8"/>
    </row>
    <row r="3465" spans="1:16" s="7" customFormat="1" ht="42.75" customHeight="1" thickBot="1">
      <c r="A3465" s="103"/>
      <c r="B3465" s="104"/>
      <c r="C3465" s="96" t="s">
        <v>21</v>
      </c>
      <c r="D3465" s="97"/>
      <c r="J3465" s="8"/>
      <c r="K3465" s="8"/>
      <c r="L3465" s="8"/>
      <c r="M3465" s="8"/>
      <c r="N3465" s="8"/>
      <c r="O3465" s="8"/>
      <c r="P3465" s="8"/>
    </row>
    <row r="3466" spans="1:16" s="7" customFormat="1" ht="42.75" customHeight="1" thickBot="1">
      <c r="A3466" s="105">
        <f>A3464*A3463</f>
        <v>0</v>
      </c>
      <c r="B3466" s="106"/>
      <c r="C3466" s="96" t="s">
        <v>7</v>
      </c>
      <c r="D3466" s="97"/>
      <c r="J3466" s="8"/>
      <c r="K3466" s="8"/>
      <c r="L3466" s="8"/>
      <c r="M3466" s="8"/>
      <c r="N3466" s="8"/>
      <c r="O3466" s="8"/>
      <c r="P3466" s="8"/>
    </row>
    <row r="3467" spans="1:16" s="7" customFormat="1" ht="42.75" customHeight="1" thickBot="1">
      <c r="A3467" s="107" t="s">
        <v>17</v>
      </c>
      <c r="B3467" s="108"/>
      <c r="C3467" s="108"/>
      <c r="D3467" s="109"/>
      <c r="J3467" s="8"/>
      <c r="K3467" s="8"/>
      <c r="L3467" s="8"/>
      <c r="M3467" s="8"/>
      <c r="N3467" s="8"/>
      <c r="O3467" s="8"/>
      <c r="P3467" s="8"/>
    </row>
    <row r="3468" spans="1:16" s="7" customFormat="1" ht="42.75" customHeight="1" thickBot="1">
      <c r="A3468" s="116" t="s">
        <v>20</v>
      </c>
      <c r="B3468" s="117"/>
      <c r="C3468" s="117"/>
      <c r="D3468" s="118"/>
      <c r="J3468" s="8"/>
      <c r="K3468" s="8"/>
      <c r="L3468" s="8"/>
      <c r="M3468" s="8"/>
      <c r="N3468" s="8"/>
      <c r="O3468" s="8"/>
      <c r="P3468" s="8"/>
    </row>
    <row r="3469" spans="1:16" s="7" customFormat="1" ht="42.75" customHeight="1" thickBot="1">
      <c r="A3469" s="113" t="s">
        <v>18</v>
      </c>
      <c r="B3469" s="114"/>
      <c r="C3469" s="114"/>
      <c r="D3469" s="115"/>
      <c r="J3469" s="8"/>
      <c r="K3469" s="8"/>
      <c r="L3469" s="8"/>
      <c r="M3469" s="8"/>
      <c r="N3469" s="8"/>
      <c r="O3469" s="8"/>
      <c r="P3469" s="8"/>
    </row>
    <row r="3470" spans="1:16" s="7" customFormat="1" ht="42.75" customHeight="1" thickBot="1">
      <c r="A3470" s="119"/>
      <c r="B3470" s="119"/>
      <c r="C3470" s="119"/>
      <c r="D3470" s="119"/>
      <c r="J3470" s="8"/>
      <c r="K3470" s="8"/>
      <c r="L3470" s="8"/>
      <c r="M3470" s="8"/>
      <c r="N3470" s="8"/>
      <c r="O3470" s="8"/>
      <c r="P3470" s="8"/>
    </row>
    <row r="3471" spans="1:16" s="7" customFormat="1" ht="42.75" customHeight="1" thickBot="1">
      <c r="A3471" s="126" t="s">
        <v>19</v>
      </c>
      <c r="B3471" s="127"/>
      <c r="C3471" s="127"/>
      <c r="D3471" s="128"/>
      <c r="J3471" s="8"/>
      <c r="K3471" s="8"/>
      <c r="L3471" s="8"/>
      <c r="M3471" s="8"/>
      <c r="N3471" s="8"/>
      <c r="O3471" s="8"/>
      <c r="P3471" s="8"/>
    </row>
    <row r="3472" spans="1:16" s="7" customFormat="1" ht="42.75" customHeight="1" thickBot="1">
      <c r="A3472" s="123" t="s">
        <v>11</v>
      </c>
      <c r="B3472" s="124"/>
      <c r="C3472" s="125" t="s">
        <v>603</v>
      </c>
      <c r="D3472" s="124"/>
      <c r="J3472" s="8"/>
      <c r="K3472" s="8"/>
      <c r="L3472" s="8"/>
      <c r="M3472" s="8"/>
      <c r="N3472" s="8"/>
      <c r="O3472" s="8"/>
      <c r="P3472" s="8"/>
    </row>
    <row r="3473" spans="1:16" s="7" customFormat="1" ht="42.75" customHeight="1" thickBot="1">
      <c r="A3473" s="1" t="s">
        <v>686</v>
      </c>
      <c r="B3473" s="26" t="s">
        <v>1</v>
      </c>
      <c r="C3473" s="90" t="s">
        <v>308</v>
      </c>
      <c r="D3473" s="91"/>
      <c r="J3473" s="8"/>
      <c r="K3473" s="8"/>
      <c r="L3473" s="8"/>
      <c r="M3473" s="8"/>
      <c r="N3473" s="8"/>
      <c r="O3473" s="8"/>
      <c r="P3473" s="8"/>
    </row>
    <row r="3474" spans="1:16" s="7" customFormat="1" ht="42.75" customHeight="1" thickBot="1">
      <c r="A3474" s="26"/>
      <c r="B3474" s="26" t="s">
        <v>0</v>
      </c>
      <c r="C3474" s="5" t="s">
        <v>687</v>
      </c>
      <c r="D3474" s="4" t="s">
        <v>2</v>
      </c>
      <c r="J3474" s="8"/>
      <c r="K3474" s="8"/>
      <c r="L3474" s="8"/>
      <c r="M3474" s="8"/>
      <c r="N3474" s="8"/>
      <c r="O3474" s="8"/>
      <c r="P3474" s="8"/>
    </row>
    <row r="3475" spans="1:16" s="7" customFormat="1" ht="42.75" customHeight="1" thickBot="1">
      <c r="A3475" s="92">
        <v>1370</v>
      </c>
      <c r="B3475" s="93"/>
      <c r="C3475" s="94" t="s">
        <v>3</v>
      </c>
      <c r="D3475" s="95"/>
      <c r="J3475" s="8"/>
      <c r="K3475" s="8"/>
      <c r="L3475" s="8"/>
      <c r="M3475" s="8"/>
      <c r="N3475" s="8"/>
      <c r="O3475" s="8"/>
      <c r="P3475" s="8"/>
    </row>
    <row r="3476" spans="1:16" s="7" customFormat="1" ht="42.75" customHeight="1" thickBot="1">
      <c r="A3476" s="92">
        <v>1375</v>
      </c>
      <c r="B3476" s="93"/>
      <c r="C3476" s="96" t="s">
        <v>4</v>
      </c>
      <c r="D3476" s="97"/>
      <c r="J3476" s="8"/>
      <c r="K3476" s="8"/>
      <c r="L3476" s="8"/>
      <c r="M3476" s="8"/>
      <c r="N3476" s="8"/>
      <c r="O3476" s="8"/>
      <c r="P3476" s="8"/>
    </row>
    <row r="3477" spans="1:16" s="7" customFormat="1" ht="42.75" customHeight="1" thickBot="1">
      <c r="A3477" s="98">
        <f>A3476-A3475</f>
        <v>5</v>
      </c>
      <c r="B3477" s="99"/>
      <c r="C3477" s="100" t="s">
        <v>5</v>
      </c>
      <c r="D3477" s="97"/>
      <c r="J3477" s="8"/>
      <c r="K3477" s="8"/>
      <c r="L3477" s="8"/>
      <c r="M3477" s="8"/>
      <c r="N3477" s="8"/>
      <c r="O3477" s="8"/>
      <c r="P3477" s="8"/>
    </row>
    <row r="3478" spans="1:16" s="7" customFormat="1" ht="42.75" customHeight="1" thickBot="1">
      <c r="A3478" s="101">
        <v>63</v>
      </c>
      <c r="B3478" s="102"/>
      <c r="C3478" s="96" t="s">
        <v>6</v>
      </c>
      <c r="D3478" s="97"/>
      <c r="J3478" s="8"/>
      <c r="K3478" s="8"/>
      <c r="L3478" s="8"/>
      <c r="M3478" s="8"/>
      <c r="N3478" s="8"/>
      <c r="O3478" s="8"/>
      <c r="P3478" s="8"/>
    </row>
    <row r="3479" spans="1:16" s="7" customFormat="1" ht="42.75" customHeight="1" thickBot="1">
      <c r="A3479" s="103"/>
      <c r="B3479" s="104"/>
      <c r="C3479" s="96" t="s">
        <v>21</v>
      </c>
      <c r="D3479" s="97"/>
      <c r="J3479" s="8"/>
      <c r="K3479" s="8"/>
      <c r="L3479" s="8"/>
      <c r="M3479" s="8"/>
      <c r="N3479" s="8"/>
      <c r="O3479" s="8"/>
      <c r="P3479" s="8"/>
    </row>
    <row r="3480" spans="1:16" s="7" customFormat="1" ht="42.75" customHeight="1" thickBot="1">
      <c r="A3480" s="105">
        <v>300</v>
      </c>
      <c r="B3480" s="106"/>
      <c r="C3480" s="96" t="s">
        <v>7</v>
      </c>
      <c r="D3480" s="97"/>
      <c r="J3480" s="8"/>
      <c r="K3480" s="8"/>
      <c r="L3480" s="8"/>
      <c r="M3480" s="8"/>
      <c r="N3480" s="8"/>
      <c r="O3480" s="8"/>
      <c r="P3480" s="8"/>
    </row>
    <row r="3481" spans="1:16" s="7" customFormat="1" ht="42.75" customHeight="1" thickBot="1">
      <c r="A3481" s="107" t="s">
        <v>17</v>
      </c>
      <c r="B3481" s="108"/>
      <c r="C3481" s="108"/>
      <c r="D3481" s="109"/>
      <c r="J3481" s="8"/>
      <c r="K3481" s="8"/>
      <c r="L3481" s="8"/>
      <c r="M3481" s="8"/>
      <c r="N3481" s="8"/>
      <c r="O3481" s="8"/>
      <c r="P3481" s="8"/>
    </row>
    <row r="3482" spans="1:16" s="7" customFormat="1" ht="42.75" customHeight="1" thickBot="1">
      <c r="A3482" s="110" t="s">
        <v>20</v>
      </c>
      <c r="B3482" s="111"/>
      <c r="C3482" s="111"/>
      <c r="D3482" s="112"/>
      <c r="J3482" s="8"/>
      <c r="K3482" s="8"/>
      <c r="L3482" s="8"/>
      <c r="M3482" s="8"/>
      <c r="N3482" s="8"/>
      <c r="O3482" s="8"/>
      <c r="P3482" s="8"/>
    </row>
    <row r="3483" spans="1:16" s="7" customFormat="1" ht="42.75" customHeight="1" thickBot="1">
      <c r="A3483" s="113" t="s">
        <v>18</v>
      </c>
      <c r="B3483" s="114"/>
      <c r="C3483" s="114"/>
      <c r="D3483" s="115"/>
      <c r="J3483" s="8"/>
      <c r="K3483" s="8"/>
      <c r="L3483" s="8"/>
      <c r="M3483" s="8"/>
      <c r="N3483" s="8"/>
      <c r="O3483" s="8"/>
      <c r="P3483" s="8"/>
    </row>
    <row r="3484" spans="1:16" s="7" customFormat="1" ht="42.75" customHeight="1" thickBot="1">
      <c r="A3484" s="126" t="s">
        <v>19</v>
      </c>
      <c r="B3484" s="127"/>
      <c r="C3484" s="127"/>
      <c r="D3484" s="128"/>
      <c r="J3484" s="8"/>
      <c r="K3484" s="8"/>
      <c r="L3484" s="8"/>
      <c r="M3484" s="8"/>
      <c r="N3484" s="8"/>
      <c r="O3484" s="8"/>
      <c r="P3484" s="8"/>
    </row>
    <row r="3485" spans="1:16" s="7" customFormat="1" ht="42.75" customHeight="1" thickBot="1">
      <c r="A3485" s="123" t="s">
        <v>11</v>
      </c>
      <c r="B3485" s="124"/>
      <c r="C3485" s="125" t="s">
        <v>603</v>
      </c>
      <c r="D3485" s="124"/>
      <c r="J3485" s="8"/>
      <c r="K3485" s="8"/>
      <c r="L3485" s="8"/>
      <c r="M3485" s="8"/>
      <c r="N3485" s="8"/>
      <c r="O3485" s="8"/>
      <c r="P3485" s="8"/>
    </row>
    <row r="3486" spans="1:16" s="7" customFormat="1" ht="42.75" customHeight="1" thickBot="1">
      <c r="A3486" s="1" t="s">
        <v>686</v>
      </c>
      <c r="B3486" s="26" t="s">
        <v>1</v>
      </c>
      <c r="C3486" s="90" t="s">
        <v>310</v>
      </c>
      <c r="D3486" s="91"/>
      <c r="J3486" s="8"/>
      <c r="K3486" s="8"/>
      <c r="L3486" s="8"/>
      <c r="M3486" s="8"/>
      <c r="N3486" s="8"/>
      <c r="O3486" s="8"/>
      <c r="P3486" s="8"/>
    </row>
    <row r="3487" spans="1:16" s="7" customFormat="1" ht="42.75" customHeight="1" thickBot="1">
      <c r="A3487" s="26"/>
      <c r="B3487" s="26" t="s">
        <v>0</v>
      </c>
      <c r="C3487" s="5" t="s">
        <v>687</v>
      </c>
      <c r="D3487" s="4" t="s">
        <v>2</v>
      </c>
      <c r="J3487" s="8"/>
      <c r="K3487" s="8"/>
      <c r="L3487" s="8"/>
      <c r="M3487" s="8"/>
      <c r="N3487" s="8"/>
      <c r="O3487" s="8"/>
      <c r="P3487" s="8"/>
    </row>
    <row r="3488" spans="1:16" s="7" customFormat="1" ht="42.75" customHeight="1" thickBot="1">
      <c r="A3488" s="92">
        <v>2435</v>
      </c>
      <c r="B3488" s="93"/>
      <c r="C3488" s="94" t="s">
        <v>3</v>
      </c>
      <c r="D3488" s="95"/>
      <c r="J3488" s="8"/>
      <c r="K3488" s="8"/>
      <c r="L3488" s="8"/>
      <c r="M3488" s="8"/>
      <c r="N3488" s="8"/>
      <c r="O3488" s="8"/>
      <c r="P3488" s="8"/>
    </row>
    <row r="3489" spans="1:16" s="7" customFormat="1" ht="42.75" customHeight="1" thickBot="1">
      <c r="A3489" s="92">
        <v>2435</v>
      </c>
      <c r="B3489" s="93"/>
      <c r="C3489" s="96" t="s">
        <v>4</v>
      </c>
      <c r="D3489" s="97"/>
      <c r="J3489" s="8"/>
      <c r="K3489" s="8"/>
      <c r="L3489" s="8"/>
      <c r="M3489" s="8"/>
      <c r="N3489" s="8"/>
      <c r="O3489" s="8"/>
      <c r="P3489" s="8"/>
    </row>
    <row r="3490" spans="1:16" s="7" customFormat="1" ht="42.75" customHeight="1" thickBot="1">
      <c r="A3490" s="98">
        <f>A3489-A3488</f>
        <v>0</v>
      </c>
      <c r="B3490" s="99"/>
      <c r="C3490" s="100" t="s">
        <v>5</v>
      </c>
      <c r="D3490" s="97"/>
      <c r="J3490" s="8"/>
      <c r="K3490" s="8"/>
      <c r="L3490" s="8"/>
      <c r="M3490" s="8"/>
      <c r="N3490" s="8"/>
      <c r="O3490" s="8"/>
      <c r="P3490" s="8"/>
    </row>
    <row r="3491" spans="1:16" s="7" customFormat="1" ht="42.75" customHeight="1" thickBot="1">
      <c r="A3491" s="101">
        <v>40</v>
      </c>
      <c r="B3491" s="102"/>
      <c r="C3491" s="96" t="s">
        <v>6</v>
      </c>
      <c r="D3491" s="97"/>
      <c r="J3491" s="8"/>
      <c r="K3491" s="8"/>
      <c r="L3491" s="8"/>
      <c r="M3491" s="8"/>
      <c r="N3491" s="8"/>
      <c r="O3491" s="8"/>
      <c r="P3491" s="8"/>
    </row>
    <row r="3492" spans="1:16" s="7" customFormat="1" ht="42.75" customHeight="1" thickBot="1">
      <c r="A3492" s="103"/>
      <c r="B3492" s="104"/>
      <c r="C3492" s="96" t="s">
        <v>21</v>
      </c>
      <c r="D3492" s="97"/>
      <c r="J3492" s="8"/>
      <c r="K3492" s="8"/>
      <c r="L3492" s="8"/>
      <c r="M3492" s="8"/>
      <c r="N3492" s="8"/>
      <c r="O3492" s="8"/>
      <c r="P3492" s="8"/>
    </row>
    <row r="3493" spans="1:16" s="7" customFormat="1" ht="42.75" customHeight="1" thickBot="1">
      <c r="A3493" s="105">
        <f>A3491*A3490</f>
        <v>0</v>
      </c>
      <c r="B3493" s="106"/>
      <c r="C3493" s="96" t="s">
        <v>7</v>
      </c>
      <c r="D3493" s="97"/>
      <c r="J3493" s="8"/>
      <c r="K3493" s="8"/>
      <c r="L3493" s="8"/>
      <c r="M3493" s="8"/>
      <c r="N3493" s="8"/>
      <c r="O3493" s="8"/>
      <c r="P3493" s="8"/>
    </row>
    <row r="3494" spans="1:16" s="7" customFormat="1" ht="42.75" customHeight="1" thickBot="1">
      <c r="A3494" s="107" t="s">
        <v>17</v>
      </c>
      <c r="B3494" s="108"/>
      <c r="C3494" s="108"/>
      <c r="D3494" s="109"/>
      <c r="J3494" s="8"/>
      <c r="K3494" s="8"/>
      <c r="L3494" s="8"/>
      <c r="M3494" s="8"/>
      <c r="N3494" s="8"/>
      <c r="O3494" s="8"/>
      <c r="P3494" s="8"/>
    </row>
    <row r="3495" spans="1:16" s="7" customFormat="1" ht="42.75" customHeight="1" thickBot="1">
      <c r="A3495" s="116" t="s">
        <v>20</v>
      </c>
      <c r="B3495" s="117"/>
      <c r="C3495" s="117"/>
      <c r="D3495" s="118"/>
      <c r="J3495" s="8"/>
      <c r="K3495" s="8"/>
      <c r="L3495" s="8"/>
      <c r="M3495" s="8"/>
      <c r="N3495" s="8"/>
      <c r="O3495" s="8"/>
      <c r="P3495" s="8"/>
    </row>
    <row r="3496" spans="1:16" s="7" customFormat="1" ht="42.75" customHeight="1" thickBot="1">
      <c r="A3496" s="113" t="s">
        <v>18</v>
      </c>
      <c r="B3496" s="114"/>
      <c r="C3496" s="114"/>
      <c r="D3496" s="115"/>
      <c r="J3496" s="8"/>
      <c r="K3496" s="8"/>
      <c r="L3496" s="8"/>
      <c r="M3496" s="8"/>
      <c r="N3496" s="8"/>
      <c r="O3496" s="8"/>
      <c r="P3496" s="8"/>
    </row>
    <row r="3497" spans="1:16" s="7" customFormat="1" ht="42.75" customHeight="1" thickBot="1">
      <c r="A3497" s="119"/>
      <c r="B3497" s="119"/>
      <c r="C3497" s="119"/>
      <c r="D3497" s="119"/>
      <c r="J3497" s="8"/>
      <c r="K3497" s="8"/>
      <c r="L3497" s="8"/>
      <c r="M3497" s="8"/>
      <c r="N3497" s="8"/>
      <c r="O3497" s="8"/>
      <c r="P3497" s="8"/>
    </row>
    <row r="3498" spans="1:16" s="7" customFormat="1" ht="42.75" customHeight="1" thickBot="1">
      <c r="A3498" s="126" t="s">
        <v>19</v>
      </c>
      <c r="B3498" s="127"/>
      <c r="C3498" s="127"/>
      <c r="D3498" s="128"/>
      <c r="J3498" s="8"/>
      <c r="K3498" s="8"/>
      <c r="L3498" s="8"/>
      <c r="M3498" s="8"/>
      <c r="N3498" s="8"/>
      <c r="O3498" s="8"/>
      <c r="P3498" s="8"/>
    </row>
    <row r="3499" spans="1:16" s="7" customFormat="1" ht="42.75" customHeight="1" thickBot="1">
      <c r="A3499" s="123" t="s">
        <v>11</v>
      </c>
      <c r="B3499" s="124"/>
      <c r="C3499" s="125" t="s">
        <v>603</v>
      </c>
      <c r="D3499" s="124"/>
      <c r="J3499" s="8"/>
      <c r="K3499" s="8"/>
      <c r="L3499" s="8"/>
      <c r="M3499" s="8"/>
      <c r="N3499" s="8"/>
      <c r="O3499" s="8"/>
      <c r="P3499" s="8"/>
    </row>
    <row r="3500" spans="1:16" s="7" customFormat="1" ht="42.75" customHeight="1" thickBot="1">
      <c r="A3500" s="1" t="s">
        <v>686</v>
      </c>
      <c r="B3500" s="26" t="s">
        <v>1</v>
      </c>
      <c r="C3500" s="90" t="s">
        <v>310</v>
      </c>
      <c r="D3500" s="91"/>
      <c r="J3500" s="8"/>
      <c r="K3500" s="8"/>
      <c r="L3500" s="8"/>
      <c r="M3500" s="8"/>
      <c r="N3500" s="8"/>
      <c r="O3500" s="8"/>
      <c r="P3500" s="8"/>
    </row>
    <row r="3501" spans="1:16" s="7" customFormat="1" ht="42.75" customHeight="1" thickBot="1">
      <c r="A3501" s="26"/>
      <c r="B3501" s="26" t="s">
        <v>0</v>
      </c>
      <c r="C3501" s="5" t="s">
        <v>687</v>
      </c>
      <c r="D3501" s="4" t="s">
        <v>2</v>
      </c>
      <c r="J3501" s="8"/>
      <c r="K3501" s="8"/>
      <c r="L3501" s="8"/>
      <c r="M3501" s="8"/>
      <c r="N3501" s="8"/>
      <c r="O3501" s="8"/>
      <c r="P3501" s="8"/>
    </row>
    <row r="3502" spans="1:16" s="7" customFormat="1" ht="42.75" customHeight="1" thickBot="1">
      <c r="A3502" s="92">
        <v>2350</v>
      </c>
      <c r="B3502" s="93"/>
      <c r="C3502" s="94" t="s">
        <v>3</v>
      </c>
      <c r="D3502" s="95"/>
      <c r="J3502" s="8"/>
      <c r="K3502" s="8"/>
      <c r="L3502" s="8"/>
      <c r="M3502" s="8"/>
      <c r="N3502" s="8"/>
      <c r="O3502" s="8"/>
      <c r="P3502" s="8"/>
    </row>
    <row r="3503" spans="1:16" s="7" customFormat="1" ht="42.75" customHeight="1" thickBot="1">
      <c r="A3503" s="92">
        <v>2435</v>
      </c>
      <c r="B3503" s="93"/>
      <c r="C3503" s="96" t="s">
        <v>4</v>
      </c>
      <c r="D3503" s="97"/>
      <c r="J3503" s="8"/>
      <c r="K3503" s="8"/>
      <c r="L3503" s="8"/>
      <c r="M3503" s="8"/>
      <c r="N3503" s="8"/>
      <c r="O3503" s="8"/>
      <c r="P3503" s="8"/>
    </row>
    <row r="3504" spans="1:16" s="7" customFormat="1" ht="42.75" customHeight="1" thickBot="1">
      <c r="A3504" s="98">
        <f>A3503-A3502</f>
        <v>85</v>
      </c>
      <c r="B3504" s="99"/>
      <c r="C3504" s="100" t="s">
        <v>5</v>
      </c>
      <c r="D3504" s="97"/>
      <c r="J3504" s="8"/>
      <c r="K3504" s="8"/>
      <c r="L3504" s="8"/>
      <c r="M3504" s="8"/>
      <c r="N3504" s="8"/>
      <c r="O3504" s="8"/>
      <c r="P3504" s="8"/>
    </row>
    <row r="3505" spans="1:16" s="7" customFormat="1" ht="42.75" customHeight="1" thickBot="1">
      <c r="A3505" s="101">
        <v>62</v>
      </c>
      <c r="B3505" s="102"/>
      <c r="C3505" s="96" t="s">
        <v>6</v>
      </c>
      <c r="D3505" s="97"/>
      <c r="J3505" s="8"/>
      <c r="K3505" s="8"/>
      <c r="L3505" s="8"/>
      <c r="M3505" s="8"/>
      <c r="N3505" s="8"/>
      <c r="O3505" s="8"/>
      <c r="P3505" s="8"/>
    </row>
    <row r="3506" spans="1:16" s="7" customFormat="1" ht="42.75" customHeight="1" thickBot="1">
      <c r="A3506" s="103"/>
      <c r="B3506" s="104"/>
      <c r="C3506" s="96" t="s">
        <v>21</v>
      </c>
      <c r="D3506" s="97"/>
      <c r="J3506" s="8"/>
      <c r="K3506" s="8"/>
      <c r="L3506" s="8"/>
      <c r="M3506" s="8"/>
      <c r="N3506" s="8"/>
      <c r="O3506" s="8"/>
      <c r="P3506" s="8"/>
    </row>
    <row r="3507" spans="1:16" s="7" customFormat="1" ht="42.75" customHeight="1" thickBot="1">
      <c r="A3507" s="105">
        <f>A3505*A3504</f>
        <v>5270</v>
      </c>
      <c r="B3507" s="106"/>
      <c r="C3507" s="96" t="s">
        <v>7</v>
      </c>
      <c r="D3507" s="97"/>
      <c r="J3507" s="8"/>
      <c r="K3507" s="8"/>
      <c r="L3507" s="8"/>
      <c r="M3507" s="8"/>
      <c r="N3507" s="8"/>
      <c r="O3507" s="8"/>
      <c r="P3507" s="8"/>
    </row>
    <row r="3508" spans="1:16" s="7" customFormat="1" ht="42.75" customHeight="1" thickBot="1">
      <c r="A3508" s="107" t="s">
        <v>17</v>
      </c>
      <c r="B3508" s="108"/>
      <c r="C3508" s="108"/>
      <c r="D3508" s="109"/>
      <c r="J3508" s="8"/>
      <c r="K3508" s="8"/>
      <c r="L3508" s="8"/>
      <c r="M3508" s="8"/>
      <c r="N3508" s="8"/>
      <c r="O3508" s="8"/>
      <c r="P3508" s="8"/>
    </row>
    <row r="3509" spans="1:16" s="7" customFormat="1" ht="42.75" customHeight="1" thickBot="1">
      <c r="A3509" s="110" t="s">
        <v>20</v>
      </c>
      <c r="B3509" s="111"/>
      <c r="C3509" s="111"/>
      <c r="D3509" s="112"/>
      <c r="J3509" s="8"/>
      <c r="K3509" s="8"/>
      <c r="L3509" s="8"/>
      <c r="M3509" s="8"/>
      <c r="N3509" s="8"/>
      <c r="O3509" s="8"/>
      <c r="P3509" s="8"/>
    </row>
    <row r="3510" spans="1:16" s="7" customFormat="1" ht="42.75" customHeight="1" thickBot="1">
      <c r="A3510" s="113" t="s">
        <v>18</v>
      </c>
      <c r="B3510" s="114"/>
      <c r="C3510" s="114"/>
      <c r="D3510" s="115"/>
      <c r="J3510" s="8"/>
      <c r="K3510" s="8"/>
      <c r="L3510" s="8"/>
      <c r="M3510" s="8"/>
      <c r="N3510" s="8"/>
      <c r="O3510" s="8"/>
      <c r="P3510" s="8"/>
    </row>
    <row r="3511" spans="1:16" s="7" customFormat="1" ht="42.75" customHeight="1" thickBot="1">
      <c r="A3511" s="126" t="s">
        <v>19</v>
      </c>
      <c r="B3511" s="127"/>
      <c r="C3511" s="127"/>
      <c r="D3511" s="128"/>
      <c r="J3511" s="8"/>
      <c r="K3511" s="8"/>
      <c r="L3511" s="8"/>
      <c r="M3511" s="8"/>
      <c r="N3511" s="8"/>
      <c r="O3511" s="8"/>
      <c r="P3511" s="8"/>
    </row>
    <row r="3512" spans="1:16" s="7" customFormat="1" ht="42.75" customHeight="1" thickBot="1">
      <c r="A3512" s="123" t="s">
        <v>11</v>
      </c>
      <c r="B3512" s="124"/>
      <c r="C3512" s="125" t="s">
        <v>603</v>
      </c>
      <c r="D3512" s="124"/>
      <c r="J3512" s="8"/>
      <c r="K3512" s="8"/>
      <c r="L3512" s="8"/>
      <c r="M3512" s="8"/>
      <c r="N3512" s="8"/>
      <c r="O3512" s="8"/>
      <c r="P3512" s="8"/>
    </row>
    <row r="3513" spans="1:16" s="7" customFormat="1" ht="42.75" customHeight="1" thickBot="1">
      <c r="A3513" s="1" t="s">
        <v>686</v>
      </c>
      <c r="B3513" s="26" t="s">
        <v>1</v>
      </c>
      <c r="C3513" s="90" t="s">
        <v>311</v>
      </c>
      <c r="D3513" s="91"/>
      <c r="J3513" s="8"/>
      <c r="K3513" s="8"/>
      <c r="L3513" s="8"/>
      <c r="M3513" s="8"/>
      <c r="N3513" s="8"/>
      <c r="O3513" s="8"/>
      <c r="P3513" s="8"/>
    </row>
    <row r="3514" spans="1:16" s="7" customFormat="1" ht="42.75" customHeight="1" thickBot="1">
      <c r="A3514" s="26"/>
      <c r="B3514" s="26" t="s">
        <v>0</v>
      </c>
      <c r="C3514" s="5" t="s">
        <v>687</v>
      </c>
      <c r="D3514" s="4" t="s">
        <v>2</v>
      </c>
      <c r="J3514" s="8"/>
      <c r="K3514" s="8"/>
      <c r="L3514" s="8"/>
      <c r="M3514" s="8"/>
      <c r="N3514" s="8"/>
      <c r="O3514" s="8"/>
      <c r="P3514" s="8"/>
    </row>
    <row r="3515" spans="1:16" s="7" customFormat="1" ht="42.75" customHeight="1" thickBot="1">
      <c r="A3515" s="92">
        <v>207</v>
      </c>
      <c r="B3515" s="93"/>
      <c r="C3515" s="94" t="s">
        <v>3</v>
      </c>
      <c r="D3515" s="95"/>
      <c r="J3515" s="8"/>
      <c r="K3515" s="8"/>
      <c r="L3515" s="8"/>
      <c r="M3515" s="8"/>
      <c r="N3515" s="8"/>
      <c r="O3515" s="8"/>
      <c r="P3515" s="8"/>
    </row>
    <row r="3516" spans="1:16" s="7" customFormat="1" ht="42.75" customHeight="1" thickBot="1">
      <c r="A3516" s="92">
        <v>207</v>
      </c>
      <c r="B3516" s="93"/>
      <c r="C3516" s="96" t="s">
        <v>4</v>
      </c>
      <c r="D3516" s="97"/>
      <c r="J3516" s="8"/>
      <c r="K3516" s="8"/>
      <c r="L3516" s="8"/>
      <c r="M3516" s="8"/>
      <c r="N3516" s="8"/>
      <c r="O3516" s="8"/>
      <c r="P3516" s="8"/>
    </row>
    <row r="3517" spans="1:16" s="7" customFormat="1" ht="42.75" customHeight="1" thickBot="1">
      <c r="A3517" s="98">
        <f>A3516-A3515</f>
        <v>0</v>
      </c>
      <c r="B3517" s="99"/>
      <c r="C3517" s="100" t="s">
        <v>5</v>
      </c>
      <c r="D3517" s="97"/>
      <c r="J3517" s="8"/>
      <c r="K3517" s="8"/>
      <c r="L3517" s="8"/>
      <c r="M3517" s="8"/>
      <c r="N3517" s="8"/>
      <c r="O3517" s="8"/>
      <c r="P3517" s="8"/>
    </row>
    <row r="3518" spans="1:16" s="7" customFormat="1" ht="42.75" customHeight="1" thickBot="1">
      <c r="A3518" s="101">
        <v>62</v>
      </c>
      <c r="B3518" s="102"/>
      <c r="C3518" s="96" t="s">
        <v>6</v>
      </c>
      <c r="D3518" s="97"/>
      <c r="J3518" s="8"/>
      <c r="K3518" s="8"/>
      <c r="L3518" s="8"/>
      <c r="M3518" s="8"/>
      <c r="N3518" s="8"/>
      <c r="O3518" s="8"/>
      <c r="P3518" s="8"/>
    </row>
    <row r="3519" spans="1:16" s="7" customFormat="1" ht="42.75" customHeight="1" thickBot="1">
      <c r="A3519" s="103"/>
      <c r="B3519" s="104"/>
      <c r="C3519" s="96" t="s">
        <v>21</v>
      </c>
      <c r="D3519" s="97"/>
      <c r="J3519" s="8"/>
      <c r="K3519" s="8"/>
      <c r="L3519" s="8"/>
      <c r="M3519" s="8"/>
      <c r="N3519" s="8"/>
      <c r="O3519" s="8"/>
      <c r="P3519" s="8"/>
    </row>
    <row r="3520" spans="1:16" s="7" customFormat="1" ht="42.75" customHeight="1" thickBot="1">
      <c r="A3520" s="105">
        <f>A3518*A3517</f>
        <v>0</v>
      </c>
      <c r="B3520" s="106"/>
      <c r="C3520" s="96" t="s">
        <v>7</v>
      </c>
      <c r="D3520" s="97"/>
      <c r="J3520" s="8"/>
      <c r="K3520" s="8"/>
      <c r="L3520" s="8"/>
      <c r="M3520" s="8"/>
      <c r="N3520" s="8"/>
      <c r="O3520" s="8"/>
      <c r="P3520" s="8"/>
    </row>
    <row r="3521" spans="1:16" s="7" customFormat="1" ht="42.75" customHeight="1" thickBot="1">
      <c r="A3521" s="107" t="s">
        <v>17</v>
      </c>
      <c r="B3521" s="108"/>
      <c r="C3521" s="108"/>
      <c r="D3521" s="109"/>
      <c r="J3521" s="8"/>
      <c r="K3521" s="8"/>
      <c r="L3521" s="8"/>
      <c r="M3521" s="8"/>
      <c r="N3521" s="8"/>
      <c r="O3521" s="8"/>
      <c r="P3521" s="8"/>
    </row>
    <row r="3522" spans="1:16" s="7" customFormat="1" ht="42.75" customHeight="1" thickBot="1">
      <c r="A3522" s="116" t="s">
        <v>20</v>
      </c>
      <c r="B3522" s="117"/>
      <c r="C3522" s="117"/>
      <c r="D3522" s="118"/>
      <c r="J3522" s="8"/>
      <c r="K3522" s="8"/>
      <c r="L3522" s="8"/>
      <c r="M3522" s="8"/>
      <c r="N3522" s="8"/>
      <c r="O3522" s="8"/>
      <c r="P3522" s="8"/>
    </row>
    <row r="3523" spans="1:16" s="7" customFormat="1" ht="42.75" customHeight="1" thickBot="1">
      <c r="A3523" s="113" t="s">
        <v>18</v>
      </c>
      <c r="B3523" s="114"/>
      <c r="C3523" s="114"/>
      <c r="D3523" s="115"/>
      <c r="J3523" s="8"/>
      <c r="K3523" s="8"/>
      <c r="L3523" s="8"/>
      <c r="M3523" s="8"/>
      <c r="N3523" s="8"/>
      <c r="O3523" s="8"/>
      <c r="P3523" s="8"/>
    </row>
    <row r="3524" spans="1:16" s="7" customFormat="1" ht="42.75" customHeight="1" thickBot="1">
      <c r="A3524" s="119"/>
      <c r="B3524" s="119"/>
      <c r="C3524" s="119"/>
      <c r="D3524" s="119"/>
      <c r="J3524" s="8"/>
      <c r="K3524" s="8"/>
      <c r="L3524" s="8"/>
      <c r="M3524" s="8"/>
      <c r="N3524" s="8"/>
      <c r="O3524" s="8"/>
      <c r="P3524" s="8"/>
    </row>
    <row r="3525" spans="1:16" s="7" customFormat="1" ht="42.75" customHeight="1" thickBot="1">
      <c r="A3525" s="126" t="s">
        <v>19</v>
      </c>
      <c r="B3525" s="127"/>
      <c r="C3525" s="127"/>
      <c r="D3525" s="128"/>
      <c r="J3525" s="8"/>
      <c r="K3525" s="8"/>
      <c r="L3525" s="8"/>
      <c r="M3525" s="8"/>
      <c r="N3525" s="8"/>
      <c r="O3525" s="8"/>
      <c r="P3525" s="8"/>
    </row>
    <row r="3526" spans="1:16" s="7" customFormat="1" ht="42.75" customHeight="1" thickBot="1">
      <c r="A3526" s="123" t="s">
        <v>11</v>
      </c>
      <c r="B3526" s="124"/>
      <c r="C3526" s="125" t="s">
        <v>603</v>
      </c>
      <c r="D3526" s="124"/>
      <c r="J3526" s="8"/>
      <c r="K3526" s="8"/>
      <c r="L3526" s="8"/>
      <c r="M3526" s="8"/>
      <c r="N3526" s="8"/>
      <c r="O3526" s="8"/>
      <c r="P3526" s="8"/>
    </row>
    <row r="3527" spans="1:16" s="7" customFormat="1" ht="42.75" customHeight="1" thickBot="1">
      <c r="A3527" s="1" t="s">
        <v>686</v>
      </c>
      <c r="B3527" s="26" t="s">
        <v>1</v>
      </c>
      <c r="C3527" s="90" t="s">
        <v>311</v>
      </c>
      <c r="D3527" s="91"/>
      <c r="J3527" s="8"/>
      <c r="K3527" s="8"/>
      <c r="L3527" s="8"/>
      <c r="M3527" s="8"/>
      <c r="N3527" s="8"/>
      <c r="O3527" s="8"/>
      <c r="P3527" s="8"/>
    </row>
    <row r="3528" spans="1:16" s="7" customFormat="1" ht="42.75" customHeight="1" thickBot="1">
      <c r="A3528" s="26"/>
      <c r="B3528" s="26" t="s">
        <v>0</v>
      </c>
      <c r="C3528" s="5" t="s">
        <v>687</v>
      </c>
      <c r="D3528" s="4" t="s">
        <v>2</v>
      </c>
      <c r="J3528" s="8"/>
      <c r="K3528" s="8"/>
      <c r="L3528" s="8"/>
      <c r="M3528" s="8"/>
      <c r="N3528" s="8"/>
      <c r="O3528" s="8"/>
      <c r="P3528" s="8"/>
    </row>
    <row r="3529" spans="1:16" s="7" customFormat="1" ht="42.75" customHeight="1" thickBot="1">
      <c r="A3529" s="92">
        <v>202</v>
      </c>
      <c r="B3529" s="93"/>
      <c r="C3529" s="94" t="s">
        <v>3</v>
      </c>
      <c r="D3529" s="95"/>
      <c r="J3529" s="8"/>
      <c r="K3529" s="8"/>
      <c r="L3529" s="8"/>
      <c r="M3529" s="8"/>
      <c r="N3529" s="8"/>
      <c r="O3529" s="8"/>
      <c r="P3529" s="8"/>
    </row>
    <row r="3530" spans="1:16" s="7" customFormat="1" ht="42.75" customHeight="1" thickBot="1">
      <c r="A3530" s="92">
        <v>207</v>
      </c>
      <c r="B3530" s="93"/>
      <c r="C3530" s="96" t="s">
        <v>4</v>
      </c>
      <c r="D3530" s="97"/>
      <c r="J3530" s="8"/>
      <c r="K3530" s="8"/>
      <c r="L3530" s="8"/>
      <c r="M3530" s="8"/>
      <c r="N3530" s="8"/>
      <c r="O3530" s="8"/>
      <c r="P3530" s="8"/>
    </row>
    <row r="3531" spans="1:16" s="7" customFormat="1" ht="42.75" customHeight="1" thickBot="1">
      <c r="A3531" s="98">
        <v>10</v>
      </c>
      <c r="B3531" s="99"/>
      <c r="C3531" s="100" t="s">
        <v>5</v>
      </c>
      <c r="D3531" s="97"/>
      <c r="J3531" s="8"/>
      <c r="K3531" s="8"/>
      <c r="L3531" s="8"/>
      <c r="M3531" s="8"/>
      <c r="N3531" s="8"/>
      <c r="O3531" s="8"/>
      <c r="P3531" s="8"/>
    </row>
    <row r="3532" spans="1:16" s="7" customFormat="1" ht="42.75" customHeight="1" thickBot="1">
      <c r="A3532" s="101">
        <v>62</v>
      </c>
      <c r="B3532" s="102"/>
      <c r="C3532" s="96" t="s">
        <v>6</v>
      </c>
      <c r="D3532" s="97"/>
      <c r="J3532" s="8"/>
      <c r="K3532" s="8"/>
      <c r="L3532" s="8"/>
      <c r="M3532" s="8"/>
      <c r="N3532" s="8"/>
      <c r="O3532" s="8"/>
      <c r="P3532" s="8"/>
    </row>
    <row r="3533" spans="1:16" s="7" customFormat="1" ht="42.75" customHeight="1" thickBot="1">
      <c r="A3533" s="103"/>
      <c r="B3533" s="104"/>
      <c r="C3533" s="96" t="s">
        <v>21</v>
      </c>
      <c r="D3533" s="97"/>
      <c r="J3533" s="8"/>
      <c r="K3533" s="8"/>
      <c r="L3533" s="8"/>
      <c r="M3533" s="8"/>
      <c r="N3533" s="8"/>
      <c r="O3533" s="8"/>
      <c r="P3533" s="8"/>
    </row>
    <row r="3534" spans="1:16" s="7" customFormat="1" ht="42.75" customHeight="1" thickBot="1">
      <c r="A3534" s="105">
        <v>600</v>
      </c>
      <c r="B3534" s="106"/>
      <c r="C3534" s="96" t="s">
        <v>7</v>
      </c>
      <c r="D3534" s="97"/>
      <c r="J3534" s="8"/>
      <c r="K3534" s="8"/>
      <c r="L3534" s="8"/>
      <c r="M3534" s="8"/>
      <c r="N3534" s="8"/>
      <c r="O3534" s="8"/>
      <c r="P3534" s="8"/>
    </row>
    <row r="3535" spans="1:16" s="7" customFormat="1" ht="42.75" customHeight="1" thickBot="1">
      <c r="A3535" s="107" t="s">
        <v>17</v>
      </c>
      <c r="B3535" s="108"/>
      <c r="C3535" s="108"/>
      <c r="D3535" s="109"/>
      <c r="J3535" s="8"/>
      <c r="K3535" s="8"/>
      <c r="L3535" s="8"/>
      <c r="M3535" s="8"/>
      <c r="N3535" s="8"/>
      <c r="O3535" s="8"/>
      <c r="P3535" s="8"/>
    </row>
    <row r="3536" spans="1:16" s="7" customFormat="1" ht="42.75" customHeight="1" thickBot="1">
      <c r="A3536" s="110" t="s">
        <v>20</v>
      </c>
      <c r="B3536" s="111"/>
      <c r="C3536" s="111"/>
      <c r="D3536" s="112"/>
      <c r="J3536" s="8"/>
      <c r="K3536" s="8"/>
      <c r="L3536" s="8"/>
      <c r="M3536" s="8"/>
      <c r="N3536" s="8"/>
      <c r="O3536" s="8"/>
      <c r="P3536" s="8"/>
    </row>
    <row r="3537" spans="1:16" s="7" customFormat="1" ht="42.75" customHeight="1" thickBot="1">
      <c r="A3537" s="113" t="s">
        <v>18</v>
      </c>
      <c r="B3537" s="114"/>
      <c r="C3537" s="114"/>
      <c r="D3537" s="115"/>
      <c r="J3537" s="8"/>
      <c r="K3537" s="8"/>
      <c r="L3537" s="8"/>
      <c r="M3537" s="8"/>
      <c r="N3537" s="8"/>
      <c r="O3537" s="8"/>
      <c r="P3537" s="8"/>
    </row>
    <row r="3538" spans="1:16" s="7" customFormat="1" ht="42.75" customHeight="1" thickBot="1">
      <c r="A3538" s="126" t="s">
        <v>19</v>
      </c>
      <c r="B3538" s="127"/>
      <c r="C3538" s="127"/>
      <c r="D3538" s="128"/>
      <c r="J3538" s="8"/>
      <c r="K3538" s="8"/>
      <c r="L3538" s="8"/>
      <c r="M3538" s="8"/>
      <c r="N3538" s="8"/>
      <c r="O3538" s="8"/>
      <c r="P3538" s="8"/>
    </row>
    <row r="3539" spans="1:16" s="7" customFormat="1" ht="42.75" customHeight="1" thickBot="1">
      <c r="A3539" s="123" t="s">
        <v>11</v>
      </c>
      <c r="B3539" s="124"/>
      <c r="C3539" s="125" t="s">
        <v>603</v>
      </c>
      <c r="D3539" s="124"/>
      <c r="J3539" s="8"/>
      <c r="K3539" s="8"/>
      <c r="L3539" s="8"/>
      <c r="M3539" s="8"/>
      <c r="N3539" s="8"/>
      <c r="O3539" s="8"/>
      <c r="P3539" s="8"/>
    </row>
    <row r="3540" spans="1:16" s="7" customFormat="1" ht="42.75" customHeight="1" thickBot="1">
      <c r="A3540" s="1" t="s">
        <v>686</v>
      </c>
      <c r="B3540" s="26" t="s">
        <v>1</v>
      </c>
      <c r="C3540" s="90" t="s">
        <v>312</v>
      </c>
      <c r="D3540" s="91"/>
      <c r="J3540" s="8"/>
      <c r="K3540" s="8"/>
      <c r="L3540" s="8"/>
      <c r="M3540" s="8"/>
      <c r="N3540" s="8"/>
      <c r="O3540" s="8"/>
      <c r="P3540" s="8"/>
    </row>
    <row r="3541" spans="1:16" s="7" customFormat="1" ht="42.75" customHeight="1" thickBot="1">
      <c r="A3541" s="26"/>
      <c r="B3541" s="26" t="s">
        <v>0</v>
      </c>
      <c r="C3541" s="5" t="s">
        <v>687</v>
      </c>
      <c r="D3541" s="4" t="s">
        <v>2</v>
      </c>
      <c r="J3541" s="8"/>
      <c r="K3541" s="8"/>
      <c r="L3541" s="8"/>
      <c r="M3541" s="8"/>
      <c r="N3541" s="8"/>
      <c r="O3541" s="8"/>
      <c r="P3541" s="8"/>
    </row>
    <row r="3542" spans="1:16" s="7" customFormat="1" ht="42.75" customHeight="1" thickBot="1">
      <c r="A3542" s="92">
        <v>231</v>
      </c>
      <c r="B3542" s="93"/>
      <c r="C3542" s="94" t="s">
        <v>3</v>
      </c>
      <c r="D3542" s="95"/>
      <c r="J3542" s="8"/>
      <c r="K3542" s="8"/>
      <c r="L3542" s="8"/>
      <c r="M3542" s="8"/>
      <c r="N3542" s="8"/>
      <c r="O3542" s="8"/>
      <c r="P3542" s="8"/>
    </row>
    <row r="3543" spans="1:16" s="7" customFormat="1" ht="42.75" customHeight="1" thickBot="1">
      <c r="A3543" s="92">
        <v>231</v>
      </c>
      <c r="B3543" s="93"/>
      <c r="C3543" s="96" t="s">
        <v>4</v>
      </c>
      <c r="D3543" s="97"/>
      <c r="J3543" s="8"/>
      <c r="K3543" s="8"/>
      <c r="L3543" s="8"/>
      <c r="M3543" s="8"/>
      <c r="N3543" s="8"/>
      <c r="O3543" s="8"/>
      <c r="P3543" s="8"/>
    </row>
    <row r="3544" spans="1:16" s="7" customFormat="1" ht="42.75" customHeight="1" thickBot="1">
      <c r="A3544" s="98">
        <f>A3543-A3542</f>
        <v>0</v>
      </c>
      <c r="B3544" s="99"/>
      <c r="C3544" s="100" t="s">
        <v>5</v>
      </c>
      <c r="D3544" s="97"/>
      <c r="J3544" s="8"/>
      <c r="K3544" s="8"/>
      <c r="L3544" s="8"/>
      <c r="M3544" s="8"/>
      <c r="N3544" s="8"/>
      <c r="O3544" s="8"/>
      <c r="P3544" s="8"/>
    </row>
    <row r="3545" spans="1:16" s="7" customFormat="1" ht="42.75" customHeight="1" thickBot="1">
      <c r="A3545" s="101">
        <v>62</v>
      </c>
      <c r="B3545" s="102"/>
      <c r="C3545" s="96" t="s">
        <v>6</v>
      </c>
      <c r="D3545" s="97"/>
      <c r="J3545" s="8"/>
      <c r="K3545" s="8"/>
      <c r="L3545" s="8"/>
      <c r="M3545" s="8"/>
      <c r="N3545" s="8"/>
      <c r="O3545" s="8"/>
      <c r="P3545" s="8"/>
    </row>
    <row r="3546" spans="1:16" s="7" customFormat="1" ht="42.75" customHeight="1" thickBot="1">
      <c r="A3546" s="103"/>
      <c r="B3546" s="104"/>
      <c r="C3546" s="96" t="s">
        <v>21</v>
      </c>
      <c r="D3546" s="97"/>
      <c r="J3546" s="8"/>
      <c r="K3546" s="8"/>
      <c r="L3546" s="8"/>
      <c r="M3546" s="8"/>
      <c r="N3546" s="8"/>
      <c r="O3546" s="8"/>
      <c r="P3546" s="8"/>
    </row>
    <row r="3547" spans="1:16" s="7" customFormat="1" ht="42.75" customHeight="1" thickBot="1">
      <c r="A3547" s="105">
        <f>A3545*A3544</f>
        <v>0</v>
      </c>
      <c r="B3547" s="106"/>
      <c r="C3547" s="96" t="s">
        <v>7</v>
      </c>
      <c r="D3547" s="97"/>
      <c r="J3547" s="8"/>
      <c r="K3547" s="8"/>
      <c r="L3547" s="8"/>
      <c r="M3547" s="8"/>
      <c r="N3547" s="8"/>
      <c r="O3547" s="8"/>
      <c r="P3547" s="8"/>
    </row>
    <row r="3548" spans="1:16" s="7" customFormat="1" ht="42.75" customHeight="1" thickBot="1">
      <c r="A3548" s="107" t="s">
        <v>17</v>
      </c>
      <c r="B3548" s="108"/>
      <c r="C3548" s="108"/>
      <c r="D3548" s="109"/>
      <c r="J3548" s="8"/>
      <c r="K3548" s="8"/>
      <c r="L3548" s="8"/>
      <c r="M3548" s="8"/>
      <c r="N3548" s="8"/>
      <c r="O3548" s="8"/>
      <c r="P3548" s="8"/>
    </row>
    <row r="3549" spans="1:16" s="7" customFormat="1" ht="42.75" customHeight="1" thickBot="1">
      <c r="A3549" s="116" t="s">
        <v>20</v>
      </c>
      <c r="B3549" s="117"/>
      <c r="C3549" s="117"/>
      <c r="D3549" s="118"/>
      <c r="J3549" s="8"/>
      <c r="K3549" s="8"/>
      <c r="L3549" s="8"/>
      <c r="M3549" s="8"/>
      <c r="N3549" s="8"/>
      <c r="O3549" s="8"/>
      <c r="P3549" s="8"/>
    </row>
    <row r="3550" spans="1:16" s="7" customFormat="1" ht="42.75" customHeight="1" thickBot="1">
      <c r="A3550" s="113" t="s">
        <v>18</v>
      </c>
      <c r="B3550" s="114"/>
      <c r="C3550" s="114"/>
      <c r="D3550" s="115"/>
      <c r="J3550" s="8"/>
      <c r="K3550" s="8"/>
      <c r="L3550" s="8"/>
      <c r="M3550" s="8"/>
      <c r="N3550" s="8"/>
      <c r="O3550" s="8"/>
      <c r="P3550" s="8"/>
    </row>
    <row r="3551" spans="1:16" s="7" customFormat="1" ht="42.75" customHeight="1" thickBot="1">
      <c r="A3551" s="119"/>
      <c r="B3551" s="119"/>
      <c r="C3551" s="119"/>
      <c r="D3551" s="119"/>
      <c r="J3551" s="8"/>
      <c r="K3551" s="8"/>
      <c r="L3551" s="8"/>
      <c r="M3551" s="8"/>
      <c r="N3551" s="8"/>
      <c r="O3551" s="8"/>
      <c r="P3551" s="8"/>
    </row>
    <row r="3552" spans="1:16" s="7" customFormat="1" ht="42.75" customHeight="1" thickBot="1">
      <c r="A3552" s="126" t="s">
        <v>19</v>
      </c>
      <c r="B3552" s="127"/>
      <c r="C3552" s="127"/>
      <c r="D3552" s="128"/>
      <c r="J3552" s="8"/>
      <c r="K3552" s="8"/>
      <c r="L3552" s="8"/>
      <c r="M3552" s="8"/>
      <c r="N3552" s="8"/>
      <c r="O3552" s="8"/>
      <c r="P3552" s="8"/>
    </row>
    <row r="3553" spans="1:16" s="7" customFormat="1" ht="42.75" customHeight="1" thickBot="1">
      <c r="A3553" s="123" t="s">
        <v>11</v>
      </c>
      <c r="B3553" s="124"/>
      <c r="C3553" s="125" t="s">
        <v>603</v>
      </c>
      <c r="D3553" s="124"/>
      <c r="J3553" s="8"/>
      <c r="K3553" s="8"/>
      <c r="L3553" s="8"/>
      <c r="M3553" s="8"/>
      <c r="N3553" s="8"/>
      <c r="O3553" s="8"/>
      <c r="P3553" s="8"/>
    </row>
    <row r="3554" spans="1:16" s="7" customFormat="1" ht="42.75" customHeight="1" thickBot="1">
      <c r="A3554" s="1" t="s">
        <v>686</v>
      </c>
      <c r="B3554" s="26" t="s">
        <v>1</v>
      </c>
      <c r="C3554" s="90" t="s">
        <v>312</v>
      </c>
      <c r="D3554" s="91"/>
      <c r="J3554" s="8"/>
      <c r="K3554" s="8"/>
      <c r="L3554" s="8"/>
      <c r="M3554" s="8"/>
      <c r="N3554" s="8"/>
      <c r="O3554" s="8"/>
      <c r="P3554" s="8"/>
    </row>
    <row r="3555" spans="1:16" s="7" customFormat="1" ht="42.75" customHeight="1" thickBot="1">
      <c r="A3555" s="26"/>
      <c r="B3555" s="26" t="s">
        <v>0</v>
      </c>
      <c r="C3555" s="5" t="s">
        <v>687</v>
      </c>
      <c r="D3555" s="4" t="s">
        <v>2</v>
      </c>
      <c r="J3555" s="8"/>
      <c r="K3555" s="8"/>
      <c r="L3555" s="8"/>
      <c r="M3555" s="8"/>
      <c r="N3555" s="8"/>
      <c r="O3555" s="8"/>
      <c r="P3555" s="8"/>
    </row>
    <row r="3556" spans="1:16" s="7" customFormat="1" ht="42.75" customHeight="1" thickBot="1">
      <c r="A3556" s="92">
        <v>230</v>
      </c>
      <c r="B3556" s="93"/>
      <c r="C3556" s="94" t="s">
        <v>3</v>
      </c>
      <c r="D3556" s="95"/>
      <c r="J3556" s="8"/>
      <c r="K3556" s="8"/>
      <c r="L3556" s="8"/>
      <c r="M3556" s="8"/>
      <c r="N3556" s="8"/>
      <c r="O3556" s="8"/>
      <c r="P3556" s="8"/>
    </row>
    <row r="3557" spans="1:16" s="7" customFormat="1" ht="42.75" customHeight="1" thickBot="1">
      <c r="A3557" s="92">
        <v>231</v>
      </c>
      <c r="B3557" s="93"/>
      <c r="C3557" s="96" t="s">
        <v>4</v>
      </c>
      <c r="D3557" s="97"/>
      <c r="J3557" s="8"/>
      <c r="K3557" s="8"/>
      <c r="L3557" s="8"/>
      <c r="M3557" s="8"/>
      <c r="N3557" s="8"/>
      <c r="O3557" s="8"/>
      <c r="P3557" s="8"/>
    </row>
    <row r="3558" spans="1:16" s="7" customFormat="1" ht="42.75" customHeight="1" thickBot="1">
      <c r="A3558" s="98">
        <v>10</v>
      </c>
      <c r="B3558" s="99"/>
      <c r="C3558" s="100" t="s">
        <v>5</v>
      </c>
      <c r="D3558" s="97"/>
      <c r="J3558" s="8"/>
      <c r="K3558" s="8"/>
      <c r="L3558" s="8"/>
      <c r="M3558" s="8"/>
      <c r="N3558" s="8"/>
      <c r="O3558" s="8"/>
      <c r="P3558" s="8"/>
    </row>
    <row r="3559" spans="1:16" s="7" customFormat="1" ht="42.75" customHeight="1" thickBot="1">
      <c r="A3559" s="101">
        <v>62</v>
      </c>
      <c r="B3559" s="102"/>
      <c r="C3559" s="96" t="s">
        <v>6</v>
      </c>
      <c r="D3559" s="97"/>
      <c r="J3559" s="8"/>
      <c r="K3559" s="8"/>
      <c r="L3559" s="8"/>
      <c r="M3559" s="8"/>
      <c r="N3559" s="8"/>
      <c r="O3559" s="8"/>
      <c r="P3559" s="8"/>
    </row>
    <row r="3560" spans="1:16" s="7" customFormat="1" ht="42.75" customHeight="1" thickBot="1">
      <c r="A3560" s="103"/>
      <c r="B3560" s="104"/>
      <c r="C3560" s="96" t="s">
        <v>21</v>
      </c>
      <c r="D3560" s="97"/>
      <c r="J3560" s="8"/>
      <c r="K3560" s="8"/>
      <c r="L3560" s="8"/>
      <c r="M3560" s="8"/>
      <c r="N3560" s="8"/>
      <c r="O3560" s="8"/>
      <c r="P3560" s="8"/>
    </row>
    <row r="3561" spans="1:16" s="7" customFormat="1" ht="42.75" customHeight="1" thickBot="1">
      <c r="A3561" s="105">
        <v>600</v>
      </c>
      <c r="B3561" s="106"/>
      <c r="C3561" s="96" t="s">
        <v>7</v>
      </c>
      <c r="D3561" s="97"/>
      <c r="J3561" s="8"/>
      <c r="K3561" s="8"/>
      <c r="L3561" s="8"/>
      <c r="M3561" s="8"/>
      <c r="N3561" s="8"/>
      <c r="O3561" s="8"/>
      <c r="P3561" s="8"/>
    </row>
    <row r="3562" spans="1:16" s="7" customFormat="1" ht="42.75" customHeight="1" thickBot="1">
      <c r="A3562" s="107" t="s">
        <v>17</v>
      </c>
      <c r="B3562" s="108"/>
      <c r="C3562" s="108"/>
      <c r="D3562" s="109"/>
      <c r="J3562" s="8"/>
      <c r="K3562" s="8"/>
      <c r="L3562" s="8"/>
      <c r="M3562" s="8"/>
      <c r="N3562" s="8"/>
      <c r="O3562" s="8"/>
      <c r="P3562" s="8"/>
    </row>
    <row r="3563" spans="1:16" s="7" customFormat="1" ht="42.75" customHeight="1" thickBot="1">
      <c r="A3563" s="110" t="s">
        <v>20</v>
      </c>
      <c r="B3563" s="111"/>
      <c r="C3563" s="111"/>
      <c r="D3563" s="112"/>
      <c r="J3563" s="8"/>
      <c r="K3563" s="8"/>
      <c r="L3563" s="8"/>
      <c r="M3563" s="8"/>
      <c r="N3563" s="8"/>
      <c r="O3563" s="8"/>
      <c r="P3563" s="8"/>
    </row>
    <row r="3564" spans="1:16" s="7" customFormat="1" ht="42.75" customHeight="1" thickBot="1">
      <c r="A3564" s="113" t="s">
        <v>18</v>
      </c>
      <c r="B3564" s="114"/>
      <c r="C3564" s="114"/>
      <c r="D3564" s="115"/>
      <c r="J3564" s="8"/>
      <c r="K3564" s="8"/>
      <c r="L3564" s="8"/>
      <c r="M3564" s="8"/>
      <c r="N3564" s="8"/>
      <c r="O3564" s="8"/>
      <c r="P3564" s="8"/>
    </row>
    <row r="3565" spans="1:16" s="7" customFormat="1" ht="42.75" customHeight="1" thickBot="1">
      <c r="A3565" s="126" t="s">
        <v>19</v>
      </c>
      <c r="B3565" s="127"/>
      <c r="C3565" s="127"/>
      <c r="D3565" s="128"/>
      <c r="J3565" s="8"/>
      <c r="K3565" s="8"/>
      <c r="L3565" s="8"/>
      <c r="M3565" s="8"/>
      <c r="N3565" s="8"/>
      <c r="O3565" s="8"/>
      <c r="P3565" s="8"/>
    </row>
    <row r="3566" spans="1:16" s="7" customFormat="1" ht="42.75" customHeight="1" thickBot="1">
      <c r="A3566" s="123" t="s">
        <v>11</v>
      </c>
      <c r="B3566" s="124"/>
      <c r="C3566" s="125" t="s">
        <v>603</v>
      </c>
      <c r="D3566" s="124"/>
      <c r="J3566" s="8"/>
      <c r="K3566" s="8"/>
      <c r="L3566" s="8"/>
      <c r="M3566" s="8"/>
      <c r="N3566" s="8"/>
      <c r="O3566" s="8"/>
      <c r="P3566" s="8"/>
    </row>
    <row r="3567" spans="1:16" s="7" customFormat="1" ht="42.75" customHeight="1" thickBot="1">
      <c r="A3567" s="1" t="s">
        <v>686</v>
      </c>
      <c r="B3567" s="26" t="s">
        <v>1</v>
      </c>
      <c r="C3567" s="90" t="s">
        <v>313</v>
      </c>
      <c r="D3567" s="91"/>
      <c r="J3567" s="8"/>
      <c r="K3567" s="8"/>
      <c r="L3567" s="8"/>
      <c r="M3567" s="8"/>
      <c r="N3567" s="8"/>
      <c r="O3567" s="8"/>
      <c r="P3567" s="8"/>
    </row>
    <row r="3568" spans="1:16" s="7" customFormat="1" ht="42.75" customHeight="1" thickBot="1">
      <c r="A3568" s="26"/>
      <c r="B3568" s="26" t="s">
        <v>0</v>
      </c>
      <c r="C3568" s="5" t="s">
        <v>687</v>
      </c>
      <c r="D3568" s="4" t="s">
        <v>2</v>
      </c>
      <c r="J3568" s="8"/>
      <c r="K3568" s="8"/>
      <c r="L3568" s="8"/>
      <c r="M3568" s="8"/>
      <c r="N3568" s="8"/>
      <c r="O3568" s="8"/>
      <c r="P3568" s="8"/>
    </row>
    <row r="3569" spans="1:16" s="7" customFormat="1" ht="42.75" customHeight="1" thickBot="1">
      <c r="A3569" s="92">
        <v>103</v>
      </c>
      <c r="B3569" s="93"/>
      <c r="C3569" s="94" t="s">
        <v>3</v>
      </c>
      <c r="D3569" s="95"/>
      <c r="J3569" s="8"/>
      <c r="K3569" s="8"/>
      <c r="L3569" s="8"/>
      <c r="M3569" s="8"/>
      <c r="N3569" s="8"/>
      <c r="O3569" s="8"/>
      <c r="P3569" s="8"/>
    </row>
    <row r="3570" spans="1:16" s="7" customFormat="1" ht="42.75" customHeight="1" thickBot="1">
      <c r="A3570" s="92">
        <v>103</v>
      </c>
      <c r="B3570" s="93"/>
      <c r="C3570" s="96" t="s">
        <v>4</v>
      </c>
      <c r="D3570" s="97"/>
      <c r="J3570" s="8"/>
      <c r="K3570" s="8"/>
      <c r="L3570" s="8"/>
      <c r="M3570" s="8"/>
      <c r="N3570" s="8"/>
      <c r="O3570" s="8"/>
      <c r="P3570" s="8"/>
    </row>
    <row r="3571" spans="1:16" s="7" customFormat="1" ht="42.75" customHeight="1" thickBot="1">
      <c r="A3571" s="98">
        <f>A3570-A3569</f>
        <v>0</v>
      </c>
      <c r="B3571" s="99"/>
      <c r="C3571" s="100" t="s">
        <v>5</v>
      </c>
      <c r="D3571" s="97"/>
      <c r="J3571" s="8"/>
      <c r="K3571" s="8"/>
      <c r="L3571" s="8"/>
      <c r="M3571" s="8"/>
      <c r="N3571" s="8"/>
      <c r="O3571" s="8"/>
      <c r="P3571" s="8"/>
    </row>
    <row r="3572" spans="1:16" s="7" customFormat="1" ht="42.75" customHeight="1" thickBot="1">
      <c r="A3572" s="101">
        <v>62</v>
      </c>
      <c r="B3572" s="102"/>
      <c r="C3572" s="96" t="s">
        <v>6</v>
      </c>
      <c r="D3572" s="97"/>
      <c r="J3572" s="8"/>
      <c r="K3572" s="8"/>
      <c r="L3572" s="8"/>
      <c r="M3572" s="8"/>
      <c r="N3572" s="8"/>
      <c r="O3572" s="8"/>
      <c r="P3572" s="8"/>
    </row>
    <row r="3573" spans="1:16" s="7" customFormat="1" ht="42.75" customHeight="1" thickBot="1">
      <c r="A3573" s="103"/>
      <c r="B3573" s="104"/>
      <c r="C3573" s="96" t="s">
        <v>21</v>
      </c>
      <c r="D3573" s="97"/>
      <c r="J3573" s="8"/>
      <c r="K3573" s="8"/>
      <c r="L3573" s="8"/>
      <c r="M3573" s="8"/>
      <c r="N3573" s="8"/>
      <c r="O3573" s="8"/>
      <c r="P3573" s="8"/>
    </row>
    <row r="3574" spans="1:16" s="7" customFormat="1" ht="42.75" customHeight="1" thickBot="1">
      <c r="A3574" s="105">
        <f>A3572*A3571</f>
        <v>0</v>
      </c>
      <c r="B3574" s="106"/>
      <c r="C3574" s="96" t="s">
        <v>7</v>
      </c>
      <c r="D3574" s="97"/>
      <c r="J3574" s="8"/>
      <c r="K3574" s="8"/>
      <c r="L3574" s="8"/>
      <c r="M3574" s="8"/>
      <c r="N3574" s="8"/>
      <c r="O3574" s="8"/>
      <c r="P3574" s="8"/>
    </row>
    <row r="3575" spans="1:16" s="7" customFormat="1" ht="42.75" customHeight="1" thickBot="1">
      <c r="A3575" s="107" t="s">
        <v>17</v>
      </c>
      <c r="B3575" s="108"/>
      <c r="C3575" s="108"/>
      <c r="D3575" s="109"/>
      <c r="J3575" s="8"/>
      <c r="K3575" s="8"/>
      <c r="L3575" s="8"/>
      <c r="M3575" s="8"/>
      <c r="N3575" s="8"/>
      <c r="O3575" s="8"/>
      <c r="P3575" s="8"/>
    </row>
    <row r="3576" spans="1:16" s="7" customFormat="1" ht="42.75" customHeight="1" thickBot="1">
      <c r="A3576" s="116" t="s">
        <v>20</v>
      </c>
      <c r="B3576" s="117"/>
      <c r="C3576" s="117"/>
      <c r="D3576" s="118"/>
      <c r="J3576" s="8"/>
      <c r="K3576" s="8"/>
      <c r="L3576" s="8"/>
      <c r="M3576" s="8"/>
      <c r="N3576" s="8"/>
      <c r="O3576" s="8"/>
      <c r="P3576" s="8"/>
    </row>
    <row r="3577" spans="1:16" s="7" customFormat="1" ht="42.75" customHeight="1" thickBot="1">
      <c r="A3577" s="113" t="s">
        <v>18</v>
      </c>
      <c r="B3577" s="114"/>
      <c r="C3577" s="114"/>
      <c r="D3577" s="115"/>
      <c r="J3577" s="8"/>
      <c r="K3577" s="8"/>
      <c r="L3577" s="8"/>
      <c r="M3577" s="8"/>
      <c r="N3577" s="8"/>
      <c r="O3577" s="8"/>
      <c r="P3577" s="8"/>
    </row>
    <row r="3578" spans="1:16" s="7" customFormat="1" ht="42.75" customHeight="1" thickBot="1">
      <c r="A3578" s="119"/>
      <c r="B3578" s="119"/>
      <c r="C3578" s="119"/>
      <c r="D3578" s="119"/>
      <c r="J3578" s="8"/>
      <c r="K3578" s="8"/>
      <c r="L3578" s="8"/>
      <c r="M3578" s="8"/>
      <c r="N3578" s="8"/>
      <c r="O3578" s="8"/>
      <c r="P3578" s="8"/>
    </row>
    <row r="3579" spans="1:16" s="7" customFormat="1" ht="42.75" customHeight="1" thickBot="1">
      <c r="A3579" s="126" t="s">
        <v>19</v>
      </c>
      <c r="B3579" s="127"/>
      <c r="C3579" s="127"/>
      <c r="D3579" s="128"/>
      <c r="J3579" s="8"/>
      <c r="K3579" s="8"/>
      <c r="L3579" s="8"/>
      <c r="M3579" s="8"/>
      <c r="N3579" s="8"/>
      <c r="O3579" s="8"/>
      <c r="P3579" s="8"/>
    </row>
    <row r="3580" spans="1:16" s="7" customFormat="1" ht="42.75" customHeight="1" thickBot="1">
      <c r="A3580" s="123" t="s">
        <v>11</v>
      </c>
      <c r="B3580" s="124"/>
      <c r="C3580" s="125" t="s">
        <v>603</v>
      </c>
      <c r="D3580" s="124"/>
      <c r="J3580" s="8"/>
      <c r="K3580" s="8"/>
      <c r="L3580" s="8"/>
      <c r="M3580" s="8"/>
      <c r="N3580" s="8"/>
      <c r="O3580" s="8"/>
      <c r="P3580" s="8"/>
    </row>
    <row r="3581" spans="1:16" s="7" customFormat="1" ht="42.75" customHeight="1" thickBot="1">
      <c r="A3581" s="1" t="s">
        <v>686</v>
      </c>
      <c r="B3581" s="26" t="s">
        <v>1</v>
      </c>
      <c r="C3581" s="90" t="s">
        <v>313</v>
      </c>
      <c r="D3581" s="91"/>
      <c r="J3581" s="8"/>
      <c r="K3581" s="8"/>
      <c r="L3581" s="8"/>
      <c r="M3581" s="8"/>
      <c r="N3581" s="8"/>
      <c r="O3581" s="8"/>
      <c r="P3581" s="8"/>
    </row>
    <row r="3582" spans="1:16" s="7" customFormat="1" ht="42.75" customHeight="1" thickBot="1">
      <c r="A3582" s="26"/>
      <c r="B3582" s="26" t="s">
        <v>0</v>
      </c>
      <c r="C3582" s="5" t="s">
        <v>687</v>
      </c>
      <c r="D3582" s="4" t="s">
        <v>2</v>
      </c>
      <c r="J3582" s="8"/>
      <c r="K3582" s="8"/>
      <c r="L3582" s="8"/>
      <c r="M3582" s="8"/>
      <c r="N3582" s="8"/>
      <c r="O3582" s="8"/>
      <c r="P3582" s="8"/>
    </row>
    <row r="3583" spans="1:16" s="7" customFormat="1" ht="42.75" customHeight="1" thickBot="1">
      <c r="A3583" s="92">
        <v>96</v>
      </c>
      <c r="B3583" s="93"/>
      <c r="C3583" s="94" t="s">
        <v>3</v>
      </c>
      <c r="D3583" s="95"/>
      <c r="J3583" s="8"/>
      <c r="K3583" s="8"/>
      <c r="L3583" s="8"/>
      <c r="M3583" s="8"/>
      <c r="N3583" s="8"/>
      <c r="O3583" s="8"/>
      <c r="P3583" s="8"/>
    </row>
    <row r="3584" spans="1:16" s="7" customFormat="1" ht="42.75" customHeight="1" thickBot="1">
      <c r="A3584" s="92">
        <v>103</v>
      </c>
      <c r="B3584" s="93"/>
      <c r="C3584" s="96" t="s">
        <v>4</v>
      </c>
      <c r="D3584" s="97"/>
      <c r="J3584" s="8"/>
      <c r="K3584" s="8"/>
      <c r="L3584" s="8"/>
      <c r="M3584" s="8"/>
      <c r="N3584" s="8"/>
      <c r="O3584" s="8"/>
      <c r="P3584" s="8"/>
    </row>
    <row r="3585" spans="1:16" s="7" customFormat="1" ht="42.75" customHeight="1" thickBot="1">
      <c r="A3585" s="98">
        <v>10</v>
      </c>
      <c r="B3585" s="99"/>
      <c r="C3585" s="100" t="s">
        <v>5</v>
      </c>
      <c r="D3585" s="97"/>
      <c r="J3585" s="8"/>
      <c r="K3585" s="8"/>
      <c r="L3585" s="8"/>
      <c r="M3585" s="8"/>
      <c r="N3585" s="8"/>
      <c r="O3585" s="8"/>
      <c r="P3585" s="8"/>
    </row>
    <row r="3586" spans="1:16" s="7" customFormat="1" ht="42.75" customHeight="1" thickBot="1">
      <c r="A3586" s="101">
        <v>62</v>
      </c>
      <c r="B3586" s="102"/>
      <c r="C3586" s="96" t="s">
        <v>6</v>
      </c>
      <c r="D3586" s="97"/>
      <c r="J3586" s="8"/>
      <c r="K3586" s="8"/>
      <c r="L3586" s="8"/>
      <c r="M3586" s="8"/>
      <c r="N3586" s="8"/>
      <c r="O3586" s="8"/>
      <c r="P3586" s="8"/>
    </row>
    <row r="3587" spans="1:16" s="7" customFormat="1" ht="42.75" customHeight="1" thickBot="1">
      <c r="A3587" s="103"/>
      <c r="B3587" s="104"/>
      <c r="C3587" s="96" t="s">
        <v>21</v>
      </c>
      <c r="D3587" s="97"/>
      <c r="J3587" s="8"/>
      <c r="K3587" s="8"/>
      <c r="L3587" s="8"/>
      <c r="M3587" s="8"/>
      <c r="N3587" s="8"/>
      <c r="O3587" s="8"/>
      <c r="P3587" s="8"/>
    </row>
    <row r="3588" spans="1:16" s="7" customFormat="1" ht="42.75" customHeight="1" thickBot="1">
      <c r="A3588" s="105">
        <v>600</v>
      </c>
      <c r="B3588" s="106"/>
      <c r="C3588" s="96" t="s">
        <v>7</v>
      </c>
      <c r="D3588" s="97"/>
      <c r="J3588" s="8"/>
      <c r="K3588" s="8"/>
      <c r="L3588" s="8"/>
      <c r="M3588" s="8"/>
      <c r="N3588" s="8"/>
      <c r="O3588" s="8"/>
      <c r="P3588" s="8"/>
    </row>
    <row r="3589" spans="1:16" s="7" customFormat="1" ht="42.75" customHeight="1" thickBot="1">
      <c r="A3589" s="107" t="s">
        <v>17</v>
      </c>
      <c r="B3589" s="108"/>
      <c r="C3589" s="108"/>
      <c r="D3589" s="109"/>
      <c r="J3589" s="8"/>
      <c r="K3589" s="8"/>
      <c r="L3589" s="8"/>
      <c r="M3589" s="8"/>
      <c r="N3589" s="8"/>
      <c r="O3589" s="8"/>
      <c r="P3589" s="8"/>
    </row>
    <row r="3590" spans="1:16" s="7" customFormat="1" ht="42.75" customHeight="1" thickBot="1">
      <c r="A3590" s="110" t="s">
        <v>20</v>
      </c>
      <c r="B3590" s="111"/>
      <c r="C3590" s="111"/>
      <c r="D3590" s="112"/>
      <c r="J3590" s="8"/>
      <c r="K3590" s="8"/>
      <c r="L3590" s="8"/>
      <c r="M3590" s="8"/>
      <c r="N3590" s="8"/>
      <c r="O3590" s="8"/>
      <c r="P3590" s="8"/>
    </row>
    <row r="3591" spans="1:16" s="7" customFormat="1" ht="42.75" customHeight="1" thickBot="1">
      <c r="A3591" s="113" t="s">
        <v>18</v>
      </c>
      <c r="B3591" s="114"/>
      <c r="C3591" s="114"/>
      <c r="D3591" s="115"/>
      <c r="J3591" s="8"/>
      <c r="K3591" s="8"/>
      <c r="L3591" s="8"/>
      <c r="M3591" s="8"/>
      <c r="N3591" s="8"/>
      <c r="O3591" s="8"/>
      <c r="P3591" s="8"/>
    </row>
    <row r="3592" spans="1:16" s="7" customFormat="1" ht="42.75" customHeight="1" thickBot="1">
      <c r="A3592" s="126" t="s">
        <v>19</v>
      </c>
      <c r="B3592" s="127"/>
      <c r="C3592" s="127"/>
      <c r="D3592" s="128"/>
      <c r="J3592" s="8"/>
      <c r="K3592" s="8"/>
      <c r="L3592" s="8"/>
      <c r="M3592" s="8"/>
      <c r="N3592" s="8"/>
      <c r="O3592" s="8"/>
      <c r="P3592" s="8"/>
    </row>
    <row r="3593" spans="1:16" s="7" customFormat="1" ht="42.75" customHeight="1" thickBot="1">
      <c r="A3593" s="123" t="s">
        <v>11</v>
      </c>
      <c r="B3593" s="124"/>
      <c r="C3593" s="125" t="s">
        <v>603</v>
      </c>
      <c r="D3593" s="124"/>
      <c r="J3593" s="8"/>
      <c r="K3593" s="8"/>
      <c r="L3593" s="8"/>
      <c r="M3593" s="8"/>
      <c r="N3593" s="8"/>
      <c r="O3593" s="8"/>
      <c r="P3593" s="8"/>
    </row>
    <row r="3594" spans="1:16" s="7" customFormat="1" ht="42.75" customHeight="1" thickBot="1">
      <c r="A3594" s="1" t="s">
        <v>686</v>
      </c>
      <c r="B3594" s="26" t="s">
        <v>1</v>
      </c>
      <c r="C3594" s="90" t="s">
        <v>314</v>
      </c>
      <c r="D3594" s="91"/>
      <c r="J3594" s="8"/>
      <c r="K3594" s="8"/>
      <c r="L3594" s="8"/>
      <c r="M3594" s="8"/>
      <c r="N3594" s="8"/>
      <c r="O3594" s="8"/>
      <c r="P3594" s="8"/>
    </row>
    <row r="3595" spans="1:16" s="7" customFormat="1" ht="42.75" customHeight="1" thickBot="1">
      <c r="A3595" s="26"/>
      <c r="B3595" s="26" t="s">
        <v>0</v>
      </c>
      <c r="C3595" s="5" t="s">
        <v>687</v>
      </c>
      <c r="D3595" s="4" t="s">
        <v>2</v>
      </c>
      <c r="J3595" s="8"/>
      <c r="K3595" s="8"/>
      <c r="L3595" s="8"/>
      <c r="M3595" s="8"/>
      <c r="N3595" s="8"/>
      <c r="O3595" s="8"/>
      <c r="P3595" s="8"/>
    </row>
    <row r="3596" spans="1:16" s="7" customFormat="1" ht="42.75" customHeight="1" thickBot="1">
      <c r="A3596" s="92">
        <v>163</v>
      </c>
      <c r="B3596" s="93"/>
      <c r="C3596" s="94" t="s">
        <v>3</v>
      </c>
      <c r="D3596" s="95"/>
      <c r="J3596" s="8"/>
      <c r="K3596" s="8"/>
      <c r="L3596" s="8"/>
      <c r="M3596" s="8"/>
      <c r="N3596" s="8"/>
      <c r="O3596" s="8"/>
      <c r="P3596" s="8"/>
    </row>
    <row r="3597" spans="1:16" s="7" customFormat="1" ht="42.75" customHeight="1" thickBot="1">
      <c r="A3597" s="92">
        <v>163</v>
      </c>
      <c r="B3597" s="93"/>
      <c r="C3597" s="96" t="s">
        <v>4</v>
      </c>
      <c r="D3597" s="97"/>
      <c r="J3597" s="8"/>
      <c r="K3597" s="8"/>
      <c r="L3597" s="8"/>
      <c r="M3597" s="8"/>
      <c r="N3597" s="8"/>
      <c r="O3597" s="8"/>
      <c r="P3597" s="8"/>
    </row>
    <row r="3598" spans="1:16" s="7" customFormat="1" ht="42.75" customHeight="1" thickBot="1">
      <c r="A3598" s="98">
        <f>A3597-A3596</f>
        <v>0</v>
      </c>
      <c r="B3598" s="99"/>
      <c r="C3598" s="100" t="s">
        <v>5</v>
      </c>
      <c r="D3598" s="97"/>
      <c r="J3598" s="8"/>
      <c r="K3598" s="8"/>
      <c r="L3598" s="8"/>
      <c r="M3598" s="8"/>
      <c r="N3598" s="8"/>
      <c r="O3598" s="8"/>
      <c r="P3598" s="8"/>
    </row>
    <row r="3599" spans="1:16" s="7" customFormat="1" ht="42.75" customHeight="1" thickBot="1">
      <c r="A3599" s="101">
        <v>62</v>
      </c>
      <c r="B3599" s="102"/>
      <c r="C3599" s="96" t="s">
        <v>6</v>
      </c>
      <c r="D3599" s="97"/>
      <c r="J3599" s="8"/>
      <c r="K3599" s="8"/>
      <c r="L3599" s="8"/>
      <c r="M3599" s="8"/>
      <c r="N3599" s="8"/>
      <c r="O3599" s="8"/>
      <c r="P3599" s="8"/>
    </row>
    <row r="3600" spans="1:16" s="7" customFormat="1" ht="42.75" customHeight="1" thickBot="1">
      <c r="A3600" s="103"/>
      <c r="B3600" s="104"/>
      <c r="C3600" s="96" t="s">
        <v>21</v>
      </c>
      <c r="D3600" s="97"/>
      <c r="J3600" s="8"/>
      <c r="K3600" s="8"/>
      <c r="L3600" s="8"/>
      <c r="M3600" s="8"/>
      <c r="N3600" s="8"/>
      <c r="O3600" s="8"/>
      <c r="P3600" s="8"/>
    </row>
    <row r="3601" spans="1:16" s="7" customFormat="1" ht="42.75" customHeight="1" thickBot="1">
      <c r="A3601" s="105">
        <f>A3599*A3598</f>
        <v>0</v>
      </c>
      <c r="B3601" s="106"/>
      <c r="C3601" s="96" t="s">
        <v>7</v>
      </c>
      <c r="D3601" s="97"/>
      <c r="J3601" s="8"/>
      <c r="K3601" s="8"/>
      <c r="L3601" s="8"/>
      <c r="M3601" s="8"/>
      <c r="N3601" s="8"/>
      <c r="O3601" s="8"/>
      <c r="P3601" s="8"/>
    </row>
    <row r="3602" spans="1:16" s="7" customFormat="1" ht="42.75" customHeight="1" thickBot="1">
      <c r="A3602" s="107" t="s">
        <v>17</v>
      </c>
      <c r="B3602" s="108"/>
      <c r="C3602" s="108"/>
      <c r="D3602" s="109"/>
      <c r="J3602" s="8"/>
      <c r="K3602" s="8"/>
      <c r="L3602" s="8"/>
      <c r="M3602" s="8"/>
      <c r="N3602" s="8"/>
      <c r="O3602" s="8"/>
      <c r="P3602" s="8"/>
    </row>
    <row r="3603" spans="1:16" s="7" customFormat="1" ht="42.75" customHeight="1" thickBot="1">
      <c r="A3603" s="116" t="s">
        <v>20</v>
      </c>
      <c r="B3603" s="117"/>
      <c r="C3603" s="117"/>
      <c r="D3603" s="118"/>
      <c r="J3603" s="8"/>
      <c r="K3603" s="8"/>
      <c r="L3603" s="8"/>
      <c r="M3603" s="8"/>
      <c r="N3603" s="8"/>
      <c r="O3603" s="8"/>
      <c r="P3603" s="8"/>
    </row>
    <row r="3604" spans="1:16" s="7" customFormat="1" ht="42.75" customHeight="1" thickBot="1">
      <c r="A3604" s="113" t="s">
        <v>18</v>
      </c>
      <c r="B3604" s="114"/>
      <c r="C3604" s="114"/>
      <c r="D3604" s="115"/>
      <c r="J3604" s="8"/>
      <c r="K3604" s="8"/>
      <c r="L3604" s="8"/>
      <c r="M3604" s="8"/>
      <c r="N3604" s="8"/>
      <c r="O3604" s="8"/>
      <c r="P3604" s="8"/>
    </row>
    <row r="3605" spans="1:16" s="7" customFormat="1" ht="42.75" customHeight="1" thickBot="1">
      <c r="A3605" s="119"/>
      <c r="B3605" s="119"/>
      <c r="C3605" s="119"/>
      <c r="D3605" s="119"/>
      <c r="J3605" s="8"/>
      <c r="K3605" s="8"/>
      <c r="L3605" s="8"/>
      <c r="M3605" s="8"/>
      <c r="N3605" s="8"/>
      <c r="O3605" s="8"/>
      <c r="P3605" s="8"/>
    </row>
    <row r="3606" spans="1:16" s="7" customFormat="1" ht="42.75" customHeight="1" thickBot="1">
      <c r="A3606" s="126" t="s">
        <v>19</v>
      </c>
      <c r="B3606" s="127"/>
      <c r="C3606" s="127"/>
      <c r="D3606" s="128"/>
      <c r="J3606" s="8"/>
      <c r="K3606" s="8"/>
      <c r="L3606" s="8"/>
      <c r="M3606" s="8"/>
      <c r="N3606" s="8"/>
      <c r="O3606" s="8"/>
      <c r="P3606" s="8"/>
    </row>
    <row r="3607" spans="1:16" s="7" customFormat="1" ht="42.75" customHeight="1" thickBot="1">
      <c r="A3607" s="123" t="s">
        <v>11</v>
      </c>
      <c r="B3607" s="124"/>
      <c r="C3607" s="125" t="s">
        <v>603</v>
      </c>
      <c r="D3607" s="124"/>
      <c r="J3607" s="8"/>
      <c r="K3607" s="8"/>
      <c r="L3607" s="8"/>
      <c r="M3607" s="8"/>
      <c r="N3607" s="8"/>
      <c r="O3607" s="8"/>
      <c r="P3607" s="8"/>
    </row>
    <row r="3608" spans="1:16" s="7" customFormat="1" ht="42.75" customHeight="1" thickBot="1">
      <c r="A3608" s="1" t="s">
        <v>686</v>
      </c>
      <c r="B3608" s="26" t="s">
        <v>1</v>
      </c>
      <c r="C3608" s="90" t="s">
        <v>314</v>
      </c>
      <c r="D3608" s="91"/>
      <c r="J3608" s="8"/>
      <c r="K3608" s="8"/>
      <c r="L3608" s="8"/>
      <c r="M3608" s="8"/>
      <c r="N3608" s="8"/>
      <c r="O3608" s="8"/>
      <c r="P3608" s="8"/>
    </row>
    <row r="3609" spans="1:16" s="7" customFormat="1" ht="42.75" customHeight="1" thickBot="1">
      <c r="A3609" s="26"/>
      <c r="B3609" s="26" t="s">
        <v>0</v>
      </c>
      <c r="C3609" s="5" t="s">
        <v>687</v>
      </c>
      <c r="D3609" s="4" t="s">
        <v>2</v>
      </c>
      <c r="J3609" s="8"/>
      <c r="K3609" s="8"/>
      <c r="L3609" s="8"/>
      <c r="M3609" s="8"/>
      <c r="N3609" s="8"/>
      <c r="O3609" s="8"/>
      <c r="P3609" s="8"/>
    </row>
    <row r="3610" spans="1:16" s="7" customFormat="1" ht="42.75" customHeight="1" thickBot="1">
      <c r="A3610" s="92">
        <v>150</v>
      </c>
      <c r="B3610" s="93"/>
      <c r="C3610" s="94" t="s">
        <v>3</v>
      </c>
      <c r="D3610" s="95"/>
      <c r="J3610" s="8"/>
      <c r="K3610" s="8"/>
      <c r="L3610" s="8"/>
      <c r="M3610" s="8"/>
      <c r="N3610" s="8"/>
      <c r="O3610" s="8"/>
      <c r="P3610" s="8"/>
    </row>
    <row r="3611" spans="1:16" s="7" customFormat="1" ht="42.75" customHeight="1" thickBot="1">
      <c r="A3611" s="92">
        <v>163</v>
      </c>
      <c r="B3611" s="93"/>
      <c r="C3611" s="96" t="s">
        <v>4</v>
      </c>
      <c r="D3611" s="97"/>
      <c r="J3611" s="8"/>
      <c r="K3611" s="8"/>
      <c r="L3611" s="8"/>
      <c r="M3611" s="8"/>
      <c r="N3611" s="8"/>
      <c r="O3611" s="8"/>
      <c r="P3611" s="8"/>
    </row>
    <row r="3612" spans="1:16" s="7" customFormat="1" ht="42.75" customHeight="1" thickBot="1">
      <c r="A3612" s="98">
        <f>A3611-A3610</f>
        <v>13</v>
      </c>
      <c r="B3612" s="99"/>
      <c r="C3612" s="100" t="s">
        <v>5</v>
      </c>
      <c r="D3612" s="97"/>
      <c r="J3612" s="8"/>
      <c r="K3612" s="8"/>
      <c r="L3612" s="8"/>
      <c r="M3612" s="8"/>
      <c r="N3612" s="8"/>
      <c r="O3612" s="8"/>
      <c r="P3612" s="8"/>
    </row>
    <row r="3613" spans="1:16" s="7" customFormat="1" ht="42.75" customHeight="1" thickBot="1">
      <c r="A3613" s="101">
        <v>62</v>
      </c>
      <c r="B3613" s="102"/>
      <c r="C3613" s="96" t="s">
        <v>6</v>
      </c>
      <c r="D3613" s="97"/>
      <c r="J3613" s="8"/>
      <c r="K3613" s="8"/>
      <c r="L3613" s="8"/>
      <c r="M3613" s="8"/>
      <c r="N3613" s="8"/>
      <c r="O3613" s="8"/>
      <c r="P3613" s="8"/>
    </row>
    <row r="3614" spans="1:16" s="7" customFormat="1" ht="42.75" customHeight="1" thickBot="1">
      <c r="A3614" s="103"/>
      <c r="B3614" s="104"/>
      <c r="C3614" s="96" t="s">
        <v>21</v>
      </c>
      <c r="D3614" s="97"/>
      <c r="J3614" s="8"/>
      <c r="K3614" s="8"/>
      <c r="L3614" s="8"/>
      <c r="M3614" s="8"/>
      <c r="N3614" s="8"/>
      <c r="O3614" s="8"/>
      <c r="P3614" s="8"/>
    </row>
    <row r="3615" spans="1:16" s="7" customFormat="1" ht="42.75" customHeight="1" thickBot="1">
      <c r="A3615" s="105">
        <f>A3613*A3612</f>
        <v>806</v>
      </c>
      <c r="B3615" s="106"/>
      <c r="C3615" s="96" t="s">
        <v>7</v>
      </c>
      <c r="D3615" s="97"/>
      <c r="J3615" s="8"/>
      <c r="K3615" s="8"/>
      <c r="L3615" s="8"/>
      <c r="M3615" s="8"/>
      <c r="N3615" s="8"/>
      <c r="O3615" s="8"/>
      <c r="P3615" s="8"/>
    </row>
    <row r="3616" spans="1:16" s="7" customFormat="1" ht="42.75" customHeight="1" thickBot="1">
      <c r="A3616" s="107" t="s">
        <v>17</v>
      </c>
      <c r="B3616" s="108"/>
      <c r="C3616" s="108"/>
      <c r="D3616" s="109"/>
      <c r="J3616" s="8"/>
      <c r="K3616" s="8"/>
      <c r="L3616" s="8"/>
      <c r="M3616" s="8"/>
      <c r="N3616" s="8"/>
      <c r="O3616" s="8"/>
      <c r="P3616" s="8"/>
    </row>
    <row r="3617" spans="1:16" s="7" customFormat="1" ht="42.75" customHeight="1" thickBot="1">
      <c r="A3617" s="110" t="s">
        <v>20</v>
      </c>
      <c r="B3617" s="111"/>
      <c r="C3617" s="111"/>
      <c r="D3617" s="112"/>
      <c r="J3617" s="8"/>
      <c r="K3617" s="8"/>
      <c r="L3617" s="8"/>
      <c r="M3617" s="8"/>
      <c r="N3617" s="8"/>
      <c r="O3617" s="8"/>
      <c r="P3617" s="8"/>
    </row>
    <row r="3618" spans="1:16" s="7" customFormat="1" ht="42.75" customHeight="1" thickBot="1">
      <c r="A3618" s="113" t="s">
        <v>18</v>
      </c>
      <c r="B3618" s="114"/>
      <c r="C3618" s="114"/>
      <c r="D3618" s="115"/>
      <c r="J3618" s="8"/>
      <c r="K3618" s="8"/>
      <c r="L3618" s="8"/>
      <c r="M3618" s="8"/>
      <c r="N3618" s="8"/>
      <c r="O3618" s="8"/>
      <c r="P3618" s="8"/>
    </row>
    <row r="3619" spans="1:16" s="7" customFormat="1" ht="42.75" customHeight="1" thickBot="1">
      <c r="A3619" s="126" t="s">
        <v>19</v>
      </c>
      <c r="B3619" s="127"/>
      <c r="C3619" s="127"/>
      <c r="D3619" s="128"/>
      <c r="J3619" s="8"/>
      <c r="K3619" s="8"/>
      <c r="L3619" s="8"/>
      <c r="M3619" s="8"/>
      <c r="N3619" s="8"/>
      <c r="O3619" s="8"/>
      <c r="P3619" s="8"/>
    </row>
    <row r="3620" spans="1:16" s="7" customFormat="1" ht="42.75" customHeight="1" thickBot="1">
      <c r="A3620" s="123" t="s">
        <v>11</v>
      </c>
      <c r="B3620" s="124"/>
      <c r="C3620" s="125" t="s">
        <v>603</v>
      </c>
      <c r="D3620" s="124"/>
      <c r="J3620" s="8"/>
      <c r="K3620" s="8"/>
      <c r="L3620" s="8"/>
      <c r="M3620" s="8"/>
      <c r="N3620" s="8"/>
      <c r="O3620" s="8"/>
      <c r="P3620" s="8"/>
    </row>
    <row r="3621" spans="1:16" s="7" customFormat="1" ht="42.75" customHeight="1" thickBot="1">
      <c r="A3621" s="1" t="s">
        <v>686</v>
      </c>
      <c r="B3621" s="26" t="s">
        <v>1</v>
      </c>
      <c r="C3621" s="90" t="s">
        <v>315</v>
      </c>
      <c r="D3621" s="91"/>
      <c r="J3621" s="8"/>
      <c r="K3621" s="8"/>
      <c r="L3621" s="8"/>
      <c r="M3621" s="8"/>
      <c r="N3621" s="8"/>
      <c r="O3621" s="8"/>
      <c r="P3621" s="8"/>
    </row>
    <row r="3622" spans="1:16" s="7" customFormat="1" ht="42.75" customHeight="1" thickBot="1">
      <c r="A3622" s="26"/>
      <c r="B3622" s="26" t="s">
        <v>0</v>
      </c>
      <c r="C3622" s="5" t="s">
        <v>687</v>
      </c>
      <c r="D3622" s="4" t="s">
        <v>2</v>
      </c>
      <c r="J3622" s="8"/>
      <c r="K3622" s="8"/>
      <c r="L3622" s="8"/>
      <c r="M3622" s="8"/>
      <c r="N3622" s="8"/>
      <c r="O3622" s="8"/>
      <c r="P3622" s="8"/>
    </row>
    <row r="3623" spans="1:16" s="7" customFormat="1" ht="42.75" customHeight="1" thickBot="1">
      <c r="A3623" s="92">
        <v>92</v>
      </c>
      <c r="B3623" s="93"/>
      <c r="C3623" s="94" t="s">
        <v>3</v>
      </c>
      <c r="D3623" s="95"/>
      <c r="J3623" s="8"/>
      <c r="K3623" s="8"/>
      <c r="L3623" s="8"/>
      <c r="M3623" s="8"/>
      <c r="N3623" s="8"/>
      <c r="O3623" s="8"/>
      <c r="P3623" s="8"/>
    </row>
    <row r="3624" spans="1:16" s="7" customFormat="1" ht="42.75" customHeight="1" thickBot="1">
      <c r="A3624" s="92">
        <v>92</v>
      </c>
      <c r="B3624" s="93"/>
      <c r="C3624" s="96" t="s">
        <v>4</v>
      </c>
      <c r="D3624" s="97"/>
      <c r="J3624" s="8"/>
      <c r="K3624" s="8"/>
      <c r="L3624" s="8"/>
      <c r="M3624" s="8"/>
      <c r="N3624" s="8"/>
      <c r="O3624" s="8"/>
      <c r="P3624" s="8"/>
    </row>
    <row r="3625" spans="1:16" s="7" customFormat="1" ht="42.75" customHeight="1" thickBot="1">
      <c r="A3625" s="98">
        <f>A3624-A3623</f>
        <v>0</v>
      </c>
      <c r="B3625" s="99"/>
      <c r="C3625" s="100" t="s">
        <v>5</v>
      </c>
      <c r="D3625" s="97"/>
      <c r="J3625" s="8"/>
      <c r="K3625" s="8"/>
      <c r="L3625" s="8"/>
      <c r="M3625" s="8"/>
      <c r="N3625" s="8"/>
      <c r="O3625" s="8"/>
      <c r="P3625" s="8"/>
    </row>
    <row r="3626" spans="1:16" s="7" customFormat="1" ht="42.75" customHeight="1" thickBot="1">
      <c r="A3626" s="101">
        <v>62</v>
      </c>
      <c r="B3626" s="102"/>
      <c r="C3626" s="96" t="s">
        <v>6</v>
      </c>
      <c r="D3626" s="97"/>
      <c r="J3626" s="8"/>
      <c r="K3626" s="8"/>
      <c r="L3626" s="8"/>
      <c r="M3626" s="8"/>
      <c r="N3626" s="8"/>
      <c r="O3626" s="8"/>
      <c r="P3626" s="8"/>
    </row>
    <row r="3627" spans="1:16" s="7" customFormat="1" ht="42.75" customHeight="1" thickBot="1">
      <c r="A3627" s="103"/>
      <c r="B3627" s="104"/>
      <c r="C3627" s="96" t="s">
        <v>21</v>
      </c>
      <c r="D3627" s="97"/>
      <c r="J3627" s="8"/>
      <c r="K3627" s="8"/>
      <c r="L3627" s="8"/>
      <c r="M3627" s="8"/>
      <c r="N3627" s="8"/>
      <c r="O3627" s="8"/>
      <c r="P3627" s="8"/>
    </row>
    <row r="3628" spans="1:16" s="7" customFormat="1" ht="42.75" customHeight="1" thickBot="1">
      <c r="A3628" s="105">
        <f>A3626*A3625</f>
        <v>0</v>
      </c>
      <c r="B3628" s="106"/>
      <c r="C3628" s="96" t="s">
        <v>7</v>
      </c>
      <c r="D3628" s="97"/>
      <c r="J3628" s="8"/>
      <c r="K3628" s="8"/>
      <c r="L3628" s="8"/>
      <c r="M3628" s="8"/>
      <c r="N3628" s="8"/>
      <c r="O3628" s="8"/>
      <c r="P3628" s="8"/>
    </row>
    <row r="3629" spans="1:16" s="7" customFormat="1" ht="42.75" customHeight="1" thickBot="1">
      <c r="A3629" s="107" t="s">
        <v>17</v>
      </c>
      <c r="B3629" s="108"/>
      <c r="C3629" s="108"/>
      <c r="D3629" s="109"/>
      <c r="J3629" s="8"/>
      <c r="K3629" s="8"/>
      <c r="L3629" s="8"/>
      <c r="M3629" s="8"/>
      <c r="N3629" s="8"/>
      <c r="O3629" s="8"/>
      <c r="P3629" s="8"/>
    </row>
    <row r="3630" spans="1:16" s="7" customFormat="1" ht="42.75" customHeight="1" thickBot="1">
      <c r="A3630" s="116" t="s">
        <v>20</v>
      </c>
      <c r="B3630" s="117"/>
      <c r="C3630" s="117"/>
      <c r="D3630" s="118"/>
      <c r="J3630" s="8"/>
      <c r="K3630" s="8"/>
      <c r="L3630" s="8"/>
      <c r="M3630" s="8"/>
      <c r="N3630" s="8"/>
      <c r="O3630" s="8"/>
      <c r="P3630" s="8"/>
    </row>
    <row r="3631" spans="1:16" s="7" customFormat="1" ht="42.75" customHeight="1" thickBot="1">
      <c r="A3631" s="113" t="s">
        <v>18</v>
      </c>
      <c r="B3631" s="114"/>
      <c r="C3631" s="114"/>
      <c r="D3631" s="115"/>
      <c r="J3631" s="8"/>
      <c r="K3631" s="8"/>
      <c r="L3631" s="8"/>
      <c r="M3631" s="8"/>
      <c r="N3631" s="8"/>
      <c r="O3631" s="8"/>
      <c r="P3631" s="8"/>
    </row>
    <row r="3632" spans="1:16" s="7" customFormat="1" ht="42.75" customHeight="1" thickBot="1">
      <c r="A3632" s="119"/>
      <c r="B3632" s="119"/>
      <c r="C3632" s="119"/>
      <c r="D3632" s="119"/>
      <c r="J3632" s="8"/>
      <c r="K3632" s="8"/>
      <c r="L3632" s="8"/>
      <c r="M3632" s="8"/>
      <c r="N3632" s="8"/>
      <c r="O3632" s="8"/>
      <c r="P3632" s="8"/>
    </row>
    <row r="3633" spans="1:16" s="7" customFormat="1" ht="42.75" customHeight="1" thickBot="1">
      <c r="A3633" s="126" t="s">
        <v>19</v>
      </c>
      <c r="B3633" s="127"/>
      <c r="C3633" s="127"/>
      <c r="D3633" s="128"/>
      <c r="J3633" s="8"/>
      <c r="K3633" s="8"/>
      <c r="L3633" s="8"/>
      <c r="M3633" s="8"/>
      <c r="N3633" s="8"/>
      <c r="O3633" s="8"/>
      <c r="P3633" s="8"/>
    </row>
    <row r="3634" spans="1:16" s="7" customFormat="1" ht="42.75" customHeight="1" thickBot="1">
      <c r="A3634" s="123" t="s">
        <v>11</v>
      </c>
      <c r="B3634" s="124"/>
      <c r="C3634" s="125" t="s">
        <v>603</v>
      </c>
      <c r="D3634" s="124"/>
      <c r="J3634" s="8"/>
      <c r="K3634" s="8"/>
      <c r="L3634" s="8"/>
      <c r="M3634" s="8"/>
      <c r="N3634" s="8"/>
      <c r="O3634" s="8"/>
      <c r="P3634" s="8"/>
    </row>
    <row r="3635" spans="1:16" s="7" customFormat="1" ht="42.75" customHeight="1" thickBot="1">
      <c r="A3635" s="1" t="s">
        <v>686</v>
      </c>
      <c r="B3635" s="26" t="s">
        <v>1</v>
      </c>
      <c r="C3635" s="90" t="s">
        <v>315</v>
      </c>
      <c r="D3635" s="91"/>
      <c r="J3635" s="8"/>
      <c r="K3635" s="8"/>
      <c r="L3635" s="8"/>
      <c r="M3635" s="8"/>
      <c r="N3635" s="8"/>
      <c r="O3635" s="8"/>
      <c r="P3635" s="8"/>
    </row>
    <row r="3636" spans="1:16" s="7" customFormat="1" ht="42.75" customHeight="1" thickBot="1">
      <c r="A3636" s="26"/>
      <c r="B3636" s="26" t="s">
        <v>0</v>
      </c>
      <c r="C3636" s="5" t="s">
        <v>687</v>
      </c>
      <c r="D3636" s="4" t="s">
        <v>2</v>
      </c>
      <c r="J3636" s="8"/>
      <c r="K3636" s="8"/>
      <c r="L3636" s="8"/>
      <c r="M3636" s="8"/>
      <c r="N3636" s="8"/>
      <c r="O3636" s="8"/>
      <c r="P3636" s="8"/>
    </row>
    <row r="3637" spans="1:16" s="7" customFormat="1" ht="42.75" customHeight="1" thickBot="1">
      <c r="A3637" s="92">
        <v>87</v>
      </c>
      <c r="B3637" s="93"/>
      <c r="C3637" s="94" t="s">
        <v>3</v>
      </c>
      <c r="D3637" s="95"/>
      <c r="J3637" s="8"/>
      <c r="K3637" s="8"/>
      <c r="L3637" s="8"/>
      <c r="M3637" s="8"/>
      <c r="N3637" s="8"/>
      <c r="O3637" s="8"/>
      <c r="P3637" s="8"/>
    </row>
    <row r="3638" spans="1:16" s="7" customFormat="1" ht="42.75" customHeight="1" thickBot="1">
      <c r="A3638" s="92">
        <v>92</v>
      </c>
      <c r="B3638" s="93"/>
      <c r="C3638" s="96" t="s">
        <v>4</v>
      </c>
      <c r="D3638" s="97"/>
      <c r="J3638" s="8"/>
      <c r="K3638" s="8"/>
      <c r="L3638" s="8"/>
      <c r="M3638" s="8"/>
      <c r="N3638" s="8"/>
      <c r="O3638" s="8"/>
      <c r="P3638" s="8"/>
    </row>
    <row r="3639" spans="1:16" s="7" customFormat="1" ht="42.75" customHeight="1" thickBot="1">
      <c r="A3639" s="98">
        <v>10</v>
      </c>
      <c r="B3639" s="99"/>
      <c r="C3639" s="100" t="s">
        <v>5</v>
      </c>
      <c r="D3639" s="97"/>
      <c r="J3639" s="8"/>
      <c r="K3639" s="8"/>
      <c r="L3639" s="8"/>
      <c r="M3639" s="8"/>
      <c r="N3639" s="8"/>
      <c r="O3639" s="8"/>
      <c r="P3639" s="8"/>
    </row>
    <row r="3640" spans="1:16" s="7" customFormat="1" ht="42.75" customHeight="1" thickBot="1">
      <c r="A3640" s="101">
        <v>62</v>
      </c>
      <c r="B3640" s="102"/>
      <c r="C3640" s="96" t="s">
        <v>6</v>
      </c>
      <c r="D3640" s="97"/>
      <c r="J3640" s="8"/>
      <c r="K3640" s="8"/>
      <c r="L3640" s="8"/>
      <c r="M3640" s="8"/>
      <c r="N3640" s="8"/>
      <c r="O3640" s="8"/>
      <c r="P3640" s="8"/>
    </row>
    <row r="3641" spans="1:16" s="7" customFormat="1" ht="42.75" customHeight="1" thickBot="1">
      <c r="A3641" s="103"/>
      <c r="B3641" s="104"/>
      <c r="C3641" s="96" t="s">
        <v>21</v>
      </c>
      <c r="D3641" s="97"/>
      <c r="J3641" s="8"/>
      <c r="K3641" s="8"/>
      <c r="L3641" s="8"/>
      <c r="M3641" s="8"/>
      <c r="N3641" s="8"/>
      <c r="O3641" s="8"/>
      <c r="P3641" s="8"/>
    </row>
    <row r="3642" spans="1:16" s="7" customFormat="1" ht="42.75" customHeight="1" thickBot="1">
      <c r="A3642" s="105">
        <v>600</v>
      </c>
      <c r="B3642" s="106"/>
      <c r="C3642" s="96" t="s">
        <v>7</v>
      </c>
      <c r="D3642" s="97"/>
      <c r="J3642" s="8"/>
      <c r="K3642" s="8"/>
      <c r="L3642" s="8"/>
      <c r="M3642" s="8"/>
      <c r="N3642" s="8"/>
      <c r="O3642" s="8"/>
      <c r="P3642" s="8"/>
    </row>
    <row r="3643" spans="1:16" s="7" customFormat="1" ht="42.75" customHeight="1" thickBot="1">
      <c r="A3643" s="107" t="s">
        <v>17</v>
      </c>
      <c r="B3643" s="108"/>
      <c r="C3643" s="108"/>
      <c r="D3643" s="109"/>
      <c r="J3643" s="8"/>
      <c r="K3643" s="8"/>
      <c r="L3643" s="8"/>
      <c r="M3643" s="8"/>
      <c r="N3643" s="8"/>
      <c r="O3643" s="8"/>
      <c r="P3643" s="8"/>
    </row>
    <row r="3644" spans="1:16" s="7" customFormat="1" ht="42.75" customHeight="1" thickBot="1">
      <c r="A3644" s="110" t="s">
        <v>20</v>
      </c>
      <c r="B3644" s="111"/>
      <c r="C3644" s="111"/>
      <c r="D3644" s="112"/>
      <c r="J3644" s="8"/>
      <c r="K3644" s="8"/>
      <c r="L3644" s="8"/>
      <c r="M3644" s="8"/>
      <c r="N3644" s="8"/>
      <c r="O3644" s="8"/>
      <c r="P3644" s="8"/>
    </row>
    <row r="3645" spans="1:16" s="7" customFormat="1" ht="42.75" customHeight="1" thickBot="1">
      <c r="A3645" s="113" t="s">
        <v>18</v>
      </c>
      <c r="B3645" s="114"/>
      <c r="C3645" s="114"/>
      <c r="D3645" s="115"/>
      <c r="J3645" s="8"/>
      <c r="K3645" s="8"/>
      <c r="L3645" s="8"/>
      <c r="M3645" s="8"/>
      <c r="N3645" s="8"/>
      <c r="O3645" s="8"/>
      <c r="P3645" s="8"/>
    </row>
    <row r="3646" spans="1:16" s="7" customFormat="1" ht="42.75" customHeight="1" thickBot="1">
      <c r="A3646" s="126" t="s">
        <v>19</v>
      </c>
      <c r="B3646" s="127"/>
      <c r="C3646" s="127"/>
      <c r="D3646" s="128"/>
      <c r="J3646" s="8"/>
      <c r="K3646" s="8"/>
      <c r="L3646" s="8"/>
      <c r="M3646" s="8"/>
      <c r="N3646" s="8"/>
      <c r="O3646" s="8"/>
      <c r="P3646" s="8"/>
    </row>
    <row r="3647" spans="1:16" s="7" customFormat="1" ht="42.75" customHeight="1" thickBot="1">
      <c r="A3647" s="123" t="s">
        <v>11</v>
      </c>
      <c r="B3647" s="124"/>
      <c r="C3647" s="125" t="s">
        <v>603</v>
      </c>
      <c r="D3647" s="124"/>
      <c r="J3647" s="8"/>
      <c r="K3647" s="8"/>
      <c r="L3647" s="8"/>
      <c r="M3647" s="8"/>
      <c r="N3647" s="8"/>
      <c r="O3647" s="8"/>
      <c r="P3647" s="8"/>
    </row>
    <row r="3648" spans="1:16" s="7" customFormat="1" ht="42.75" customHeight="1" thickBot="1">
      <c r="A3648" s="1" t="s">
        <v>686</v>
      </c>
      <c r="B3648" s="26" t="s">
        <v>1</v>
      </c>
      <c r="C3648" s="90" t="s">
        <v>51</v>
      </c>
      <c r="D3648" s="91"/>
      <c r="J3648" s="8"/>
      <c r="K3648" s="8"/>
      <c r="L3648" s="8"/>
      <c r="M3648" s="8"/>
      <c r="N3648" s="8"/>
      <c r="O3648" s="8"/>
      <c r="P3648" s="8"/>
    </row>
    <row r="3649" spans="1:16" s="7" customFormat="1" ht="42.75" customHeight="1" thickBot="1">
      <c r="A3649" s="26"/>
      <c r="B3649" s="26" t="s">
        <v>0</v>
      </c>
      <c r="C3649" s="5" t="s">
        <v>687</v>
      </c>
      <c r="D3649" s="4" t="s">
        <v>2</v>
      </c>
      <c r="J3649" s="8"/>
      <c r="K3649" s="8"/>
      <c r="L3649" s="8"/>
      <c r="M3649" s="8"/>
      <c r="N3649" s="8"/>
      <c r="O3649" s="8"/>
      <c r="P3649" s="8"/>
    </row>
    <row r="3650" spans="1:16" s="7" customFormat="1" ht="42.75" customHeight="1" thickBot="1">
      <c r="A3650" s="92">
        <v>43</v>
      </c>
      <c r="B3650" s="93"/>
      <c r="C3650" s="94" t="s">
        <v>3</v>
      </c>
      <c r="D3650" s="95"/>
      <c r="J3650" s="8"/>
      <c r="K3650" s="8"/>
      <c r="L3650" s="8"/>
      <c r="M3650" s="8"/>
      <c r="N3650" s="8"/>
      <c r="O3650" s="8"/>
      <c r="P3650" s="8"/>
    </row>
    <row r="3651" spans="1:16" s="7" customFormat="1" ht="42.75" customHeight="1" thickBot="1">
      <c r="A3651" s="92">
        <v>43</v>
      </c>
      <c r="B3651" s="93"/>
      <c r="C3651" s="96" t="s">
        <v>4</v>
      </c>
      <c r="D3651" s="97"/>
      <c r="J3651" s="8"/>
      <c r="K3651" s="8"/>
      <c r="L3651" s="8"/>
      <c r="M3651" s="8"/>
      <c r="N3651" s="8"/>
      <c r="O3651" s="8"/>
      <c r="P3651" s="8"/>
    </row>
    <row r="3652" spans="1:16" s="7" customFormat="1" ht="42.75" customHeight="1" thickBot="1">
      <c r="A3652" s="98">
        <f>A3651-A3650</f>
        <v>0</v>
      </c>
      <c r="B3652" s="99"/>
      <c r="C3652" s="100" t="s">
        <v>5</v>
      </c>
      <c r="D3652" s="97"/>
      <c r="J3652" s="8"/>
      <c r="K3652" s="8"/>
      <c r="L3652" s="8"/>
      <c r="M3652" s="8"/>
      <c r="N3652" s="8"/>
      <c r="O3652" s="8"/>
      <c r="P3652" s="8"/>
    </row>
    <row r="3653" spans="1:16" s="7" customFormat="1" ht="42.75" customHeight="1" thickBot="1">
      <c r="A3653" s="101">
        <v>62</v>
      </c>
      <c r="B3653" s="102"/>
      <c r="C3653" s="96" t="s">
        <v>6</v>
      </c>
      <c r="D3653" s="97"/>
      <c r="J3653" s="8"/>
      <c r="K3653" s="8"/>
      <c r="L3653" s="8"/>
      <c r="M3653" s="8"/>
      <c r="N3653" s="8"/>
      <c r="O3653" s="8"/>
      <c r="P3653" s="8"/>
    </row>
    <row r="3654" spans="1:16" s="7" customFormat="1" ht="42.75" customHeight="1" thickBot="1">
      <c r="A3654" s="103"/>
      <c r="B3654" s="104"/>
      <c r="C3654" s="96" t="s">
        <v>21</v>
      </c>
      <c r="D3654" s="97"/>
      <c r="J3654" s="8"/>
      <c r="K3654" s="8"/>
      <c r="L3654" s="8"/>
      <c r="M3654" s="8"/>
      <c r="N3654" s="8"/>
      <c r="O3654" s="8"/>
      <c r="P3654" s="8"/>
    </row>
    <row r="3655" spans="1:16" s="7" customFormat="1" ht="42.75" customHeight="1" thickBot="1">
      <c r="A3655" s="105">
        <f>A3653*A3652</f>
        <v>0</v>
      </c>
      <c r="B3655" s="106"/>
      <c r="C3655" s="96" t="s">
        <v>7</v>
      </c>
      <c r="D3655" s="97"/>
      <c r="J3655" s="8"/>
      <c r="K3655" s="8"/>
      <c r="L3655" s="8"/>
      <c r="M3655" s="8"/>
      <c r="N3655" s="8"/>
      <c r="O3655" s="8"/>
      <c r="P3655" s="8"/>
    </row>
    <row r="3656" spans="1:16" s="7" customFormat="1" ht="42.75" customHeight="1" thickBot="1">
      <c r="A3656" s="107" t="s">
        <v>17</v>
      </c>
      <c r="B3656" s="108"/>
      <c r="C3656" s="108"/>
      <c r="D3656" s="109"/>
      <c r="J3656" s="8"/>
      <c r="K3656" s="8"/>
      <c r="L3656" s="8"/>
      <c r="M3656" s="8"/>
      <c r="N3656" s="8"/>
      <c r="O3656" s="8"/>
      <c r="P3656" s="8"/>
    </row>
    <row r="3657" spans="1:16" s="7" customFormat="1" ht="42.75" customHeight="1" thickBot="1">
      <c r="A3657" s="116" t="s">
        <v>20</v>
      </c>
      <c r="B3657" s="117"/>
      <c r="C3657" s="117"/>
      <c r="D3657" s="118"/>
      <c r="J3657" s="8"/>
      <c r="K3657" s="8"/>
      <c r="L3657" s="8"/>
      <c r="M3657" s="8"/>
      <c r="N3657" s="8"/>
      <c r="O3657" s="8"/>
      <c r="P3657" s="8"/>
    </row>
    <row r="3658" spans="1:16" s="7" customFormat="1" ht="42.75" customHeight="1" thickBot="1">
      <c r="A3658" s="113" t="s">
        <v>18</v>
      </c>
      <c r="B3658" s="114"/>
      <c r="C3658" s="114"/>
      <c r="D3658" s="115"/>
      <c r="J3658" s="8"/>
      <c r="K3658" s="8"/>
      <c r="L3658" s="8"/>
      <c r="M3658" s="8"/>
      <c r="N3658" s="8"/>
      <c r="O3658" s="8"/>
      <c r="P3658" s="8"/>
    </row>
    <row r="3659" spans="1:16" s="7" customFormat="1" ht="42.75" customHeight="1" thickBot="1">
      <c r="A3659" s="119"/>
      <c r="B3659" s="119"/>
      <c r="C3659" s="119"/>
      <c r="D3659" s="119"/>
      <c r="J3659" s="8"/>
      <c r="K3659" s="8"/>
      <c r="L3659" s="8"/>
      <c r="M3659" s="8"/>
      <c r="N3659" s="8"/>
      <c r="O3659" s="8"/>
      <c r="P3659" s="8"/>
    </row>
    <row r="3660" spans="1:16" s="7" customFormat="1" ht="42.75" customHeight="1" thickBot="1">
      <c r="A3660" s="126" t="s">
        <v>19</v>
      </c>
      <c r="B3660" s="127"/>
      <c r="C3660" s="127"/>
      <c r="D3660" s="128"/>
      <c r="J3660" s="8"/>
      <c r="K3660" s="8"/>
      <c r="L3660" s="8"/>
      <c r="M3660" s="8"/>
      <c r="N3660" s="8"/>
      <c r="O3660" s="8"/>
      <c r="P3660" s="8"/>
    </row>
    <row r="3661" spans="1:16" s="7" customFormat="1" ht="42.75" customHeight="1" thickBot="1">
      <c r="A3661" s="123" t="s">
        <v>11</v>
      </c>
      <c r="B3661" s="124"/>
      <c r="C3661" s="125" t="s">
        <v>603</v>
      </c>
      <c r="D3661" s="124"/>
      <c r="J3661" s="8"/>
      <c r="K3661" s="8"/>
      <c r="L3661" s="8"/>
      <c r="M3661" s="8"/>
      <c r="N3661" s="8"/>
      <c r="O3661" s="8"/>
      <c r="P3661" s="8"/>
    </row>
    <row r="3662" spans="1:16" s="7" customFormat="1" ht="42.75" customHeight="1" thickBot="1">
      <c r="A3662" s="1" t="s">
        <v>686</v>
      </c>
      <c r="B3662" s="26" t="s">
        <v>1</v>
      </c>
      <c r="C3662" s="90" t="s">
        <v>51</v>
      </c>
      <c r="D3662" s="91"/>
      <c r="J3662" s="8"/>
      <c r="K3662" s="8"/>
      <c r="L3662" s="8"/>
      <c r="M3662" s="8"/>
      <c r="N3662" s="8"/>
      <c r="O3662" s="8"/>
      <c r="P3662" s="8"/>
    </row>
    <row r="3663" spans="1:16" s="7" customFormat="1" ht="42.75" customHeight="1" thickBot="1">
      <c r="A3663" s="26"/>
      <c r="B3663" s="26" t="s">
        <v>0</v>
      </c>
      <c r="C3663" s="5" t="s">
        <v>687</v>
      </c>
      <c r="D3663" s="4" t="s">
        <v>2</v>
      </c>
      <c r="J3663" s="8"/>
      <c r="K3663" s="8"/>
      <c r="L3663" s="8"/>
      <c r="M3663" s="8"/>
      <c r="N3663" s="8"/>
      <c r="O3663" s="8"/>
      <c r="P3663" s="8"/>
    </row>
    <row r="3664" spans="1:16" s="7" customFormat="1" ht="42.75" customHeight="1" thickBot="1">
      <c r="A3664" s="92">
        <v>40</v>
      </c>
      <c r="B3664" s="93"/>
      <c r="C3664" s="94" t="s">
        <v>3</v>
      </c>
      <c r="D3664" s="95"/>
      <c r="J3664" s="8"/>
      <c r="K3664" s="8"/>
      <c r="L3664" s="8"/>
      <c r="M3664" s="8"/>
      <c r="N3664" s="8"/>
      <c r="O3664" s="8"/>
      <c r="P3664" s="8"/>
    </row>
    <row r="3665" spans="1:16" s="7" customFormat="1" ht="42.75" customHeight="1" thickBot="1">
      <c r="A3665" s="92">
        <v>43</v>
      </c>
      <c r="B3665" s="93"/>
      <c r="C3665" s="96" t="s">
        <v>4</v>
      </c>
      <c r="D3665" s="97"/>
      <c r="J3665" s="8"/>
      <c r="K3665" s="8"/>
      <c r="L3665" s="8"/>
      <c r="M3665" s="8"/>
      <c r="N3665" s="8"/>
      <c r="O3665" s="8"/>
      <c r="P3665" s="8"/>
    </row>
    <row r="3666" spans="1:16" s="7" customFormat="1" ht="42.75" customHeight="1" thickBot="1">
      <c r="A3666" s="98">
        <v>10</v>
      </c>
      <c r="B3666" s="99"/>
      <c r="C3666" s="100" t="s">
        <v>5</v>
      </c>
      <c r="D3666" s="97"/>
      <c r="J3666" s="8"/>
      <c r="K3666" s="8"/>
      <c r="L3666" s="8"/>
      <c r="M3666" s="8"/>
      <c r="N3666" s="8"/>
      <c r="O3666" s="8"/>
      <c r="P3666" s="8"/>
    </row>
    <row r="3667" spans="1:16" s="7" customFormat="1" ht="42.75" customHeight="1" thickBot="1">
      <c r="A3667" s="101">
        <v>62</v>
      </c>
      <c r="B3667" s="102"/>
      <c r="C3667" s="96" t="s">
        <v>6</v>
      </c>
      <c r="D3667" s="97"/>
      <c r="J3667" s="8"/>
      <c r="K3667" s="8"/>
      <c r="L3667" s="8"/>
      <c r="M3667" s="8"/>
      <c r="N3667" s="8"/>
      <c r="O3667" s="8"/>
      <c r="P3667" s="8"/>
    </row>
    <row r="3668" spans="1:16" s="7" customFormat="1" ht="42.75" customHeight="1" thickBot="1">
      <c r="A3668" s="103"/>
      <c r="B3668" s="104"/>
      <c r="C3668" s="96" t="s">
        <v>21</v>
      </c>
      <c r="D3668" s="97"/>
      <c r="J3668" s="8"/>
      <c r="K3668" s="8"/>
      <c r="L3668" s="8"/>
      <c r="M3668" s="8"/>
      <c r="N3668" s="8"/>
      <c r="O3668" s="8"/>
      <c r="P3668" s="8"/>
    </row>
    <row r="3669" spans="1:16" s="7" customFormat="1" ht="42.75" customHeight="1" thickBot="1">
      <c r="A3669" s="105">
        <v>600</v>
      </c>
      <c r="B3669" s="106"/>
      <c r="C3669" s="96" t="s">
        <v>7</v>
      </c>
      <c r="D3669" s="97"/>
      <c r="J3669" s="8"/>
      <c r="K3669" s="8"/>
      <c r="L3669" s="8"/>
      <c r="M3669" s="8"/>
      <c r="N3669" s="8"/>
      <c r="O3669" s="8"/>
      <c r="P3669" s="8"/>
    </row>
    <row r="3670" spans="1:16" s="7" customFormat="1" ht="42.75" customHeight="1" thickBot="1">
      <c r="A3670" s="107" t="s">
        <v>17</v>
      </c>
      <c r="B3670" s="108"/>
      <c r="C3670" s="108"/>
      <c r="D3670" s="109"/>
      <c r="J3670" s="8"/>
      <c r="K3670" s="8"/>
      <c r="L3670" s="8"/>
      <c r="M3670" s="8"/>
      <c r="N3670" s="8"/>
      <c r="O3670" s="8"/>
      <c r="P3670" s="8"/>
    </row>
    <row r="3671" spans="1:16" s="7" customFormat="1" ht="42.75" customHeight="1" thickBot="1">
      <c r="A3671" s="110" t="s">
        <v>20</v>
      </c>
      <c r="B3671" s="111"/>
      <c r="C3671" s="111"/>
      <c r="D3671" s="112"/>
      <c r="J3671" s="8"/>
      <c r="K3671" s="8"/>
      <c r="L3671" s="8"/>
      <c r="M3671" s="8"/>
      <c r="N3671" s="8"/>
      <c r="O3671" s="8"/>
      <c r="P3671" s="8"/>
    </row>
    <row r="3672" spans="1:16" s="7" customFormat="1" ht="42.75" customHeight="1" thickBot="1">
      <c r="A3672" s="113" t="s">
        <v>18</v>
      </c>
      <c r="B3672" s="114"/>
      <c r="C3672" s="114"/>
      <c r="D3672" s="115"/>
      <c r="J3672" s="8"/>
      <c r="K3672" s="8"/>
      <c r="L3672" s="8"/>
      <c r="M3672" s="8"/>
      <c r="N3672" s="8"/>
      <c r="O3672" s="8"/>
      <c r="P3672" s="8"/>
    </row>
    <row r="3673" spans="1:16" ht="42.75" customHeight="1" thickBot="1">
      <c r="A3673" s="126" t="s">
        <v>19</v>
      </c>
      <c r="B3673" s="127"/>
      <c r="C3673" s="127"/>
      <c r="D3673" s="128"/>
    </row>
    <row r="3674" spans="1:16" ht="42.75" customHeight="1" thickBot="1">
      <c r="A3674" s="123" t="s">
        <v>11</v>
      </c>
      <c r="B3674" s="124"/>
      <c r="C3674" s="125" t="s">
        <v>603</v>
      </c>
      <c r="D3674" s="124"/>
    </row>
    <row r="3675" spans="1:16" ht="42.75" customHeight="1" thickBot="1">
      <c r="A3675" s="1" t="s">
        <v>686</v>
      </c>
      <c r="B3675" s="26" t="s">
        <v>1</v>
      </c>
      <c r="C3675" s="90" t="s">
        <v>316</v>
      </c>
      <c r="D3675" s="91"/>
    </row>
    <row r="3676" spans="1:16" ht="42.75" customHeight="1" thickBot="1">
      <c r="A3676" s="26"/>
      <c r="B3676" s="26" t="s">
        <v>0</v>
      </c>
      <c r="C3676" s="5" t="s">
        <v>687</v>
      </c>
      <c r="D3676" s="4" t="s">
        <v>2</v>
      </c>
    </row>
    <row r="3677" spans="1:16" ht="42.75" customHeight="1" thickBot="1">
      <c r="A3677" s="92">
        <v>341</v>
      </c>
      <c r="B3677" s="93"/>
      <c r="C3677" s="94" t="s">
        <v>3</v>
      </c>
      <c r="D3677" s="95"/>
    </row>
    <row r="3678" spans="1:16" ht="42.75" customHeight="1" thickBot="1">
      <c r="A3678" s="92">
        <v>341</v>
      </c>
      <c r="B3678" s="93"/>
      <c r="C3678" s="96" t="s">
        <v>4</v>
      </c>
      <c r="D3678" s="97"/>
    </row>
    <row r="3679" spans="1:16" ht="42.75" customHeight="1" thickBot="1">
      <c r="A3679" s="98">
        <f>A3678-A3677</f>
        <v>0</v>
      </c>
      <c r="B3679" s="99"/>
      <c r="C3679" s="100" t="s">
        <v>5</v>
      </c>
      <c r="D3679" s="97"/>
    </row>
    <row r="3680" spans="1:16" ht="42.75" customHeight="1" thickBot="1">
      <c r="A3680" s="101">
        <v>62</v>
      </c>
      <c r="B3680" s="102"/>
      <c r="C3680" s="96" t="s">
        <v>6</v>
      </c>
      <c r="D3680" s="97"/>
    </row>
    <row r="3681" spans="1:4" ht="42.75" customHeight="1" thickBot="1">
      <c r="A3681" s="103"/>
      <c r="B3681" s="104"/>
      <c r="C3681" s="96" t="s">
        <v>21</v>
      </c>
      <c r="D3681" s="97"/>
    </row>
    <row r="3682" spans="1:4" ht="42.75" customHeight="1" thickBot="1">
      <c r="A3682" s="105">
        <f>A3680*A3679</f>
        <v>0</v>
      </c>
      <c r="B3682" s="106"/>
      <c r="C3682" s="96" t="s">
        <v>7</v>
      </c>
      <c r="D3682" s="97"/>
    </row>
    <row r="3683" spans="1:4" ht="42.75" customHeight="1" thickBot="1">
      <c r="A3683" s="107" t="s">
        <v>17</v>
      </c>
      <c r="B3683" s="108"/>
      <c r="C3683" s="108"/>
      <c r="D3683" s="109"/>
    </row>
    <row r="3684" spans="1:4" ht="42.75" customHeight="1" thickBot="1">
      <c r="A3684" s="116" t="s">
        <v>20</v>
      </c>
      <c r="B3684" s="117"/>
      <c r="C3684" s="117"/>
      <c r="D3684" s="118"/>
    </row>
    <row r="3685" spans="1:4" ht="42.75" customHeight="1" thickBot="1">
      <c r="A3685" s="113" t="s">
        <v>18</v>
      </c>
      <c r="B3685" s="114"/>
      <c r="C3685" s="114"/>
      <c r="D3685" s="115"/>
    </row>
    <row r="3686" spans="1:4" ht="42.75" customHeight="1" thickBot="1">
      <c r="A3686" s="119"/>
      <c r="B3686" s="119"/>
      <c r="C3686" s="119"/>
      <c r="D3686" s="119"/>
    </row>
    <row r="3687" spans="1:4" ht="42.75" customHeight="1" thickBot="1">
      <c r="A3687" s="126" t="s">
        <v>19</v>
      </c>
      <c r="B3687" s="127"/>
      <c r="C3687" s="127"/>
      <c r="D3687" s="128"/>
    </row>
    <row r="3688" spans="1:4" ht="42.75" customHeight="1" thickBot="1">
      <c r="A3688" s="123" t="s">
        <v>11</v>
      </c>
      <c r="B3688" s="124"/>
      <c r="C3688" s="125" t="s">
        <v>603</v>
      </c>
      <c r="D3688" s="124"/>
    </row>
    <row r="3689" spans="1:4" ht="42.75" customHeight="1" thickBot="1">
      <c r="A3689" s="1" t="s">
        <v>686</v>
      </c>
      <c r="B3689" s="26" t="s">
        <v>1</v>
      </c>
      <c r="C3689" s="90" t="s">
        <v>316</v>
      </c>
      <c r="D3689" s="91"/>
    </row>
    <row r="3690" spans="1:4" ht="42.75" customHeight="1" thickBot="1">
      <c r="A3690" s="26"/>
      <c r="B3690" s="26" t="s">
        <v>0</v>
      </c>
      <c r="C3690" s="5" t="s">
        <v>687</v>
      </c>
      <c r="D3690" s="4" t="s">
        <v>2</v>
      </c>
    </row>
    <row r="3691" spans="1:4" ht="42.75" customHeight="1" thickBot="1">
      <c r="A3691" s="92">
        <v>335</v>
      </c>
      <c r="B3691" s="93"/>
      <c r="C3691" s="94" t="s">
        <v>3</v>
      </c>
      <c r="D3691" s="95"/>
    </row>
    <row r="3692" spans="1:4" ht="42.75" customHeight="1" thickBot="1">
      <c r="A3692" s="92">
        <v>341</v>
      </c>
      <c r="B3692" s="93"/>
      <c r="C3692" s="96" t="s">
        <v>4</v>
      </c>
      <c r="D3692" s="97"/>
    </row>
    <row r="3693" spans="1:4" ht="42.75" customHeight="1" thickBot="1">
      <c r="A3693" s="98">
        <v>10</v>
      </c>
      <c r="B3693" s="99"/>
      <c r="C3693" s="100" t="s">
        <v>5</v>
      </c>
      <c r="D3693" s="97"/>
    </row>
    <row r="3694" spans="1:4" ht="42.75" customHeight="1" thickBot="1">
      <c r="A3694" s="101">
        <v>62</v>
      </c>
      <c r="B3694" s="102"/>
      <c r="C3694" s="96" t="s">
        <v>6</v>
      </c>
      <c r="D3694" s="97"/>
    </row>
    <row r="3695" spans="1:4" ht="42.75" customHeight="1" thickBot="1">
      <c r="A3695" s="103"/>
      <c r="B3695" s="104"/>
      <c r="C3695" s="96" t="s">
        <v>21</v>
      </c>
      <c r="D3695" s="97"/>
    </row>
    <row r="3696" spans="1:4" ht="42.75" customHeight="1" thickBot="1">
      <c r="A3696" s="105">
        <v>600</v>
      </c>
      <c r="B3696" s="106"/>
      <c r="C3696" s="96" t="s">
        <v>7</v>
      </c>
      <c r="D3696" s="97"/>
    </row>
    <row r="3697" spans="1:4" ht="42.75" customHeight="1" thickBot="1">
      <c r="A3697" s="107" t="s">
        <v>17</v>
      </c>
      <c r="B3697" s="108"/>
      <c r="C3697" s="108"/>
      <c r="D3697" s="109"/>
    </row>
    <row r="3698" spans="1:4" ht="42.75" customHeight="1" thickBot="1">
      <c r="A3698" s="110" t="s">
        <v>20</v>
      </c>
      <c r="B3698" s="111"/>
      <c r="C3698" s="111"/>
      <c r="D3698" s="112"/>
    </row>
    <row r="3699" spans="1:4" ht="42.75" customHeight="1" thickBot="1">
      <c r="A3699" s="113" t="s">
        <v>18</v>
      </c>
      <c r="B3699" s="114"/>
      <c r="C3699" s="114"/>
      <c r="D3699" s="115"/>
    </row>
    <row r="3700" spans="1:4" ht="42.75" customHeight="1" thickBot="1">
      <c r="A3700" s="126" t="s">
        <v>19</v>
      </c>
      <c r="B3700" s="127"/>
      <c r="C3700" s="127"/>
      <c r="D3700" s="128"/>
    </row>
    <row r="3701" spans="1:4" ht="42.75" customHeight="1" thickBot="1">
      <c r="A3701" s="123" t="s">
        <v>11</v>
      </c>
      <c r="B3701" s="124"/>
      <c r="C3701" s="125" t="s">
        <v>603</v>
      </c>
      <c r="D3701" s="124"/>
    </row>
    <row r="3702" spans="1:4" ht="42.75" customHeight="1" thickBot="1">
      <c r="A3702" s="1" t="s">
        <v>686</v>
      </c>
      <c r="B3702" s="26" t="s">
        <v>1</v>
      </c>
      <c r="C3702" s="90" t="s">
        <v>203</v>
      </c>
      <c r="D3702" s="91"/>
    </row>
    <row r="3703" spans="1:4" ht="42.75" customHeight="1" thickBot="1">
      <c r="A3703" s="26"/>
      <c r="B3703" s="26" t="s">
        <v>0</v>
      </c>
      <c r="C3703" s="5" t="s">
        <v>687</v>
      </c>
      <c r="D3703" s="4" t="s">
        <v>2</v>
      </c>
    </row>
    <row r="3704" spans="1:4" ht="42.75" customHeight="1" thickBot="1">
      <c r="A3704" s="92">
        <v>740</v>
      </c>
      <c r="B3704" s="93"/>
      <c r="C3704" s="94" t="s">
        <v>3</v>
      </c>
      <c r="D3704" s="95"/>
    </row>
    <row r="3705" spans="1:4" ht="42.75" customHeight="1" thickBot="1">
      <c r="A3705" s="92">
        <v>740</v>
      </c>
      <c r="B3705" s="93"/>
      <c r="C3705" s="96" t="s">
        <v>4</v>
      </c>
      <c r="D3705" s="97"/>
    </row>
    <row r="3706" spans="1:4" ht="42.75" customHeight="1" thickBot="1">
      <c r="A3706" s="98">
        <f>A3705-A3704</f>
        <v>0</v>
      </c>
      <c r="B3706" s="99"/>
      <c r="C3706" s="100" t="s">
        <v>5</v>
      </c>
      <c r="D3706" s="97"/>
    </row>
    <row r="3707" spans="1:4" ht="42.75" customHeight="1" thickBot="1">
      <c r="A3707" s="101">
        <v>62</v>
      </c>
      <c r="B3707" s="102"/>
      <c r="C3707" s="96" t="s">
        <v>6</v>
      </c>
      <c r="D3707" s="97"/>
    </row>
    <row r="3708" spans="1:4" ht="42.75" customHeight="1" thickBot="1">
      <c r="A3708" s="103"/>
      <c r="B3708" s="104"/>
      <c r="C3708" s="96" t="s">
        <v>21</v>
      </c>
      <c r="D3708" s="97"/>
    </row>
    <row r="3709" spans="1:4" ht="42.75" customHeight="1" thickBot="1">
      <c r="A3709" s="105">
        <f>A3707*A3706</f>
        <v>0</v>
      </c>
      <c r="B3709" s="106"/>
      <c r="C3709" s="96" t="s">
        <v>7</v>
      </c>
      <c r="D3709" s="97"/>
    </row>
    <row r="3710" spans="1:4" ht="42.75" customHeight="1" thickBot="1">
      <c r="A3710" s="107" t="s">
        <v>17</v>
      </c>
      <c r="B3710" s="108"/>
      <c r="C3710" s="108"/>
      <c r="D3710" s="109"/>
    </row>
    <row r="3711" spans="1:4" ht="42.75" customHeight="1" thickBot="1">
      <c r="A3711" s="116" t="s">
        <v>20</v>
      </c>
      <c r="B3711" s="117"/>
      <c r="C3711" s="117"/>
      <c r="D3711" s="118"/>
    </row>
    <row r="3712" spans="1:4" ht="42.75" customHeight="1" thickBot="1">
      <c r="A3712" s="113" t="s">
        <v>18</v>
      </c>
      <c r="B3712" s="114"/>
      <c r="C3712" s="114"/>
      <c r="D3712" s="115"/>
    </row>
    <row r="3713" spans="1:4" ht="42.75" customHeight="1" thickBot="1">
      <c r="A3713" s="119"/>
      <c r="B3713" s="119"/>
      <c r="C3713" s="119"/>
      <c r="D3713" s="119"/>
    </row>
    <row r="3714" spans="1:4" ht="42.75" customHeight="1" thickBot="1">
      <c r="A3714" s="126" t="s">
        <v>19</v>
      </c>
      <c r="B3714" s="127"/>
      <c r="C3714" s="127"/>
      <c r="D3714" s="128"/>
    </row>
    <row r="3715" spans="1:4" ht="42.75" customHeight="1" thickBot="1">
      <c r="A3715" s="123" t="s">
        <v>11</v>
      </c>
      <c r="B3715" s="124"/>
      <c r="C3715" s="125" t="s">
        <v>603</v>
      </c>
      <c r="D3715" s="124"/>
    </row>
    <row r="3716" spans="1:4" ht="42.75" customHeight="1" thickBot="1">
      <c r="A3716" s="1" t="s">
        <v>686</v>
      </c>
      <c r="B3716" s="26" t="s">
        <v>1</v>
      </c>
      <c r="C3716" s="90" t="s">
        <v>203</v>
      </c>
      <c r="D3716" s="91"/>
    </row>
    <row r="3717" spans="1:4" ht="42.75" customHeight="1" thickBot="1">
      <c r="A3717" s="26"/>
      <c r="B3717" s="26" t="s">
        <v>0</v>
      </c>
      <c r="C3717" s="5" t="s">
        <v>687</v>
      </c>
      <c r="D3717" s="4" t="s">
        <v>2</v>
      </c>
    </row>
    <row r="3718" spans="1:4" ht="42.75" customHeight="1" thickBot="1">
      <c r="A3718" s="92">
        <v>725</v>
      </c>
      <c r="B3718" s="93"/>
      <c r="C3718" s="94" t="s">
        <v>3</v>
      </c>
      <c r="D3718" s="95"/>
    </row>
    <row r="3719" spans="1:4" ht="42.75" customHeight="1" thickBot="1">
      <c r="A3719" s="92">
        <v>740</v>
      </c>
      <c r="B3719" s="93"/>
      <c r="C3719" s="96" t="s">
        <v>4</v>
      </c>
      <c r="D3719" s="97"/>
    </row>
    <row r="3720" spans="1:4" ht="42.75" customHeight="1" thickBot="1">
      <c r="A3720" s="98">
        <f>A3719-A3718</f>
        <v>15</v>
      </c>
      <c r="B3720" s="99"/>
      <c r="C3720" s="100" t="s">
        <v>5</v>
      </c>
      <c r="D3720" s="97"/>
    </row>
    <row r="3721" spans="1:4" ht="42.75" customHeight="1" thickBot="1">
      <c r="A3721" s="101">
        <v>62</v>
      </c>
      <c r="B3721" s="102"/>
      <c r="C3721" s="96" t="s">
        <v>6</v>
      </c>
      <c r="D3721" s="97"/>
    </row>
    <row r="3722" spans="1:4" ht="42.75" customHeight="1" thickBot="1">
      <c r="A3722" s="103"/>
      <c r="B3722" s="104"/>
      <c r="C3722" s="96" t="s">
        <v>21</v>
      </c>
      <c r="D3722" s="97"/>
    </row>
    <row r="3723" spans="1:4" ht="42.75" customHeight="1" thickBot="1">
      <c r="A3723" s="105">
        <v>950</v>
      </c>
      <c r="B3723" s="106"/>
      <c r="C3723" s="96" t="s">
        <v>7</v>
      </c>
      <c r="D3723" s="97"/>
    </row>
    <row r="3724" spans="1:4" ht="42.75" customHeight="1" thickBot="1">
      <c r="A3724" s="107" t="s">
        <v>17</v>
      </c>
      <c r="B3724" s="108"/>
      <c r="C3724" s="108"/>
      <c r="D3724" s="109"/>
    </row>
    <row r="3725" spans="1:4" ht="42.75" customHeight="1" thickBot="1">
      <c r="A3725" s="110" t="s">
        <v>20</v>
      </c>
      <c r="B3725" s="111"/>
      <c r="C3725" s="111"/>
      <c r="D3725" s="112"/>
    </row>
    <row r="3726" spans="1:4" ht="42.75" customHeight="1" thickBot="1">
      <c r="A3726" s="113" t="s">
        <v>18</v>
      </c>
      <c r="B3726" s="114"/>
      <c r="C3726" s="114"/>
      <c r="D3726" s="115"/>
    </row>
    <row r="3727" spans="1:4" ht="42.75" customHeight="1" thickBot="1">
      <c r="A3727" s="126" t="s">
        <v>19</v>
      </c>
      <c r="B3727" s="127"/>
      <c r="C3727" s="127"/>
      <c r="D3727" s="128"/>
    </row>
    <row r="3728" spans="1:4" ht="42.75" customHeight="1" thickBot="1">
      <c r="A3728" s="123" t="s">
        <v>11</v>
      </c>
      <c r="B3728" s="124"/>
      <c r="C3728" s="125" t="s">
        <v>603</v>
      </c>
      <c r="D3728" s="124"/>
    </row>
    <row r="3729" spans="1:4" ht="42.75" customHeight="1" thickBot="1">
      <c r="A3729" s="1" t="s">
        <v>686</v>
      </c>
      <c r="B3729" s="26" t="s">
        <v>1</v>
      </c>
      <c r="C3729" s="90" t="s">
        <v>317</v>
      </c>
      <c r="D3729" s="91"/>
    </row>
    <row r="3730" spans="1:4" ht="42.75" customHeight="1" thickBot="1">
      <c r="A3730" s="26"/>
      <c r="B3730" s="26" t="s">
        <v>0</v>
      </c>
      <c r="C3730" s="5" t="s">
        <v>687</v>
      </c>
      <c r="D3730" s="4" t="s">
        <v>2</v>
      </c>
    </row>
    <row r="3731" spans="1:4" ht="42.75" customHeight="1" thickBot="1">
      <c r="A3731" s="92">
        <v>88</v>
      </c>
      <c r="B3731" s="93"/>
      <c r="C3731" s="94" t="s">
        <v>3</v>
      </c>
      <c r="D3731" s="95"/>
    </row>
    <row r="3732" spans="1:4" ht="42.75" customHeight="1" thickBot="1">
      <c r="A3732" s="92">
        <v>88</v>
      </c>
      <c r="B3732" s="93"/>
      <c r="C3732" s="96" t="s">
        <v>4</v>
      </c>
      <c r="D3732" s="97"/>
    </row>
    <row r="3733" spans="1:4" ht="42.75" customHeight="1" thickBot="1">
      <c r="A3733" s="98">
        <f>A3732-A3731</f>
        <v>0</v>
      </c>
      <c r="B3733" s="99"/>
      <c r="C3733" s="100" t="s">
        <v>5</v>
      </c>
      <c r="D3733" s="97"/>
    </row>
    <row r="3734" spans="1:4" ht="42.75" customHeight="1" thickBot="1">
      <c r="A3734" s="101">
        <v>62</v>
      </c>
      <c r="B3734" s="102"/>
      <c r="C3734" s="96" t="s">
        <v>6</v>
      </c>
      <c r="D3734" s="97"/>
    </row>
    <row r="3735" spans="1:4" ht="42.75" customHeight="1" thickBot="1">
      <c r="A3735" s="103"/>
      <c r="B3735" s="104"/>
      <c r="C3735" s="96" t="s">
        <v>21</v>
      </c>
      <c r="D3735" s="97"/>
    </row>
    <row r="3736" spans="1:4" ht="42.75" customHeight="1" thickBot="1">
      <c r="A3736" s="105">
        <f>A3734*A3733</f>
        <v>0</v>
      </c>
      <c r="B3736" s="106"/>
      <c r="C3736" s="96" t="s">
        <v>7</v>
      </c>
      <c r="D3736" s="97"/>
    </row>
    <row r="3737" spans="1:4" ht="42.75" customHeight="1" thickBot="1">
      <c r="A3737" s="107" t="s">
        <v>17</v>
      </c>
      <c r="B3737" s="108"/>
      <c r="C3737" s="108"/>
      <c r="D3737" s="109"/>
    </row>
    <row r="3738" spans="1:4" ht="42.75" customHeight="1" thickBot="1">
      <c r="A3738" s="116" t="s">
        <v>20</v>
      </c>
      <c r="B3738" s="117"/>
      <c r="C3738" s="117"/>
      <c r="D3738" s="118"/>
    </row>
    <row r="3739" spans="1:4" ht="42.75" customHeight="1" thickBot="1">
      <c r="A3739" s="113" t="s">
        <v>18</v>
      </c>
      <c r="B3739" s="114"/>
      <c r="C3739" s="114"/>
      <c r="D3739" s="115"/>
    </row>
    <row r="3740" spans="1:4" ht="42.75" customHeight="1" thickBot="1">
      <c r="A3740" s="119"/>
      <c r="B3740" s="119"/>
      <c r="C3740" s="119"/>
      <c r="D3740" s="119"/>
    </row>
    <row r="3741" spans="1:4" ht="42.75" customHeight="1" thickBot="1">
      <c r="A3741" s="126" t="s">
        <v>19</v>
      </c>
      <c r="B3741" s="127"/>
      <c r="C3741" s="127"/>
      <c r="D3741" s="128"/>
    </row>
    <row r="3742" spans="1:4" ht="42.75" customHeight="1" thickBot="1">
      <c r="A3742" s="123" t="s">
        <v>11</v>
      </c>
      <c r="B3742" s="124"/>
      <c r="C3742" s="125" t="s">
        <v>603</v>
      </c>
      <c r="D3742" s="124"/>
    </row>
    <row r="3743" spans="1:4" ht="42.75" customHeight="1" thickBot="1">
      <c r="A3743" s="1" t="s">
        <v>686</v>
      </c>
      <c r="B3743" s="26" t="s">
        <v>1</v>
      </c>
      <c r="C3743" s="90" t="s">
        <v>317</v>
      </c>
      <c r="D3743" s="91"/>
    </row>
    <row r="3744" spans="1:4" ht="42.75" customHeight="1" thickBot="1">
      <c r="A3744" s="26"/>
      <c r="B3744" s="26" t="s">
        <v>0</v>
      </c>
      <c r="C3744" s="5" t="s">
        <v>687</v>
      </c>
      <c r="D3744" s="4" t="s">
        <v>2</v>
      </c>
    </row>
    <row r="3745" spans="1:4" ht="42.75" customHeight="1" thickBot="1">
      <c r="A3745" s="92">
        <v>83</v>
      </c>
      <c r="B3745" s="93"/>
      <c r="C3745" s="94" t="s">
        <v>3</v>
      </c>
      <c r="D3745" s="95"/>
    </row>
    <row r="3746" spans="1:4" ht="42.75" customHeight="1" thickBot="1">
      <c r="A3746" s="92">
        <v>88</v>
      </c>
      <c r="B3746" s="93"/>
      <c r="C3746" s="96" t="s">
        <v>4</v>
      </c>
      <c r="D3746" s="97"/>
    </row>
    <row r="3747" spans="1:4" ht="42.75" customHeight="1" thickBot="1">
      <c r="A3747" s="98">
        <v>10</v>
      </c>
      <c r="B3747" s="99"/>
      <c r="C3747" s="100" t="s">
        <v>5</v>
      </c>
      <c r="D3747" s="97"/>
    </row>
    <row r="3748" spans="1:4" ht="42.75" customHeight="1" thickBot="1">
      <c r="A3748" s="101">
        <v>62</v>
      </c>
      <c r="B3748" s="102"/>
      <c r="C3748" s="96" t="s">
        <v>6</v>
      </c>
      <c r="D3748" s="97"/>
    </row>
    <row r="3749" spans="1:4" ht="42.75" customHeight="1" thickBot="1">
      <c r="A3749" s="103"/>
      <c r="B3749" s="104"/>
      <c r="C3749" s="96" t="s">
        <v>21</v>
      </c>
      <c r="D3749" s="97"/>
    </row>
    <row r="3750" spans="1:4" ht="42.75" customHeight="1" thickBot="1">
      <c r="A3750" s="105">
        <v>600</v>
      </c>
      <c r="B3750" s="106"/>
      <c r="C3750" s="96" t="s">
        <v>7</v>
      </c>
      <c r="D3750" s="97"/>
    </row>
    <row r="3751" spans="1:4" ht="42.75" customHeight="1" thickBot="1">
      <c r="A3751" s="107" t="s">
        <v>17</v>
      </c>
      <c r="B3751" s="108"/>
      <c r="C3751" s="108"/>
      <c r="D3751" s="109"/>
    </row>
    <row r="3752" spans="1:4" ht="42.75" customHeight="1" thickBot="1">
      <c r="A3752" s="110" t="s">
        <v>20</v>
      </c>
      <c r="B3752" s="111"/>
      <c r="C3752" s="111"/>
      <c r="D3752" s="112"/>
    </row>
    <row r="3753" spans="1:4" ht="42.75" customHeight="1" thickBot="1">
      <c r="A3753" s="113" t="s">
        <v>18</v>
      </c>
      <c r="B3753" s="114"/>
      <c r="C3753" s="114"/>
      <c r="D3753" s="115"/>
    </row>
    <row r="3754" spans="1:4" ht="42.75" customHeight="1" thickBot="1">
      <c r="A3754" s="126" t="s">
        <v>19</v>
      </c>
      <c r="B3754" s="127"/>
      <c r="C3754" s="127"/>
      <c r="D3754" s="128"/>
    </row>
    <row r="3755" spans="1:4" ht="42.75" customHeight="1" thickBot="1">
      <c r="A3755" s="123" t="s">
        <v>11</v>
      </c>
      <c r="B3755" s="124"/>
      <c r="C3755" s="125" t="s">
        <v>603</v>
      </c>
      <c r="D3755" s="124"/>
    </row>
    <row r="3756" spans="1:4" ht="42.75" customHeight="1" thickBot="1">
      <c r="A3756" s="1" t="s">
        <v>686</v>
      </c>
      <c r="B3756" s="26" t="s">
        <v>1</v>
      </c>
      <c r="C3756" s="90" t="s">
        <v>318</v>
      </c>
      <c r="D3756" s="91"/>
    </row>
    <row r="3757" spans="1:4" ht="42.75" customHeight="1" thickBot="1">
      <c r="A3757" s="26"/>
      <c r="B3757" s="26" t="s">
        <v>0</v>
      </c>
      <c r="C3757" s="5" t="s">
        <v>687</v>
      </c>
      <c r="D3757" s="4" t="s">
        <v>2</v>
      </c>
    </row>
    <row r="3758" spans="1:4" ht="42.75" customHeight="1" thickBot="1">
      <c r="A3758" s="92">
        <v>530</v>
      </c>
      <c r="B3758" s="93"/>
      <c r="C3758" s="94" t="s">
        <v>3</v>
      </c>
      <c r="D3758" s="95"/>
    </row>
    <row r="3759" spans="1:4" ht="42.75" customHeight="1" thickBot="1">
      <c r="A3759" s="92">
        <v>530</v>
      </c>
      <c r="B3759" s="93"/>
      <c r="C3759" s="96" t="s">
        <v>4</v>
      </c>
      <c r="D3759" s="97"/>
    </row>
    <row r="3760" spans="1:4" ht="42.75" customHeight="1" thickBot="1">
      <c r="A3760" s="98">
        <f>A3759-A3758</f>
        <v>0</v>
      </c>
      <c r="B3760" s="99"/>
      <c r="C3760" s="100" t="s">
        <v>5</v>
      </c>
      <c r="D3760" s="97"/>
    </row>
    <row r="3761" spans="1:4" ht="42.75" customHeight="1" thickBot="1">
      <c r="A3761" s="101">
        <v>62</v>
      </c>
      <c r="B3761" s="102"/>
      <c r="C3761" s="96" t="s">
        <v>6</v>
      </c>
      <c r="D3761" s="97"/>
    </row>
    <row r="3762" spans="1:4" ht="42.75" customHeight="1" thickBot="1">
      <c r="A3762" s="103"/>
      <c r="B3762" s="104"/>
      <c r="C3762" s="96" t="s">
        <v>21</v>
      </c>
      <c r="D3762" s="97"/>
    </row>
    <row r="3763" spans="1:4" ht="42.75" customHeight="1" thickBot="1">
      <c r="A3763" s="105">
        <f>A3761*A3760</f>
        <v>0</v>
      </c>
      <c r="B3763" s="106"/>
      <c r="C3763" s="96" t="s">
        <v>7</v>
      </c>
      <c r="D3763" s="97"/>
    </row>
    <row r="3764" spans="1:4" ht="42.75" customHeight="1" thickBot="1">
      <c r="A3764" s="107" t="s">
        <v>17</v>
      </c>
      <c r="B3764" s="108"/>
      <c r="C3764" s="108"/>
      <c r="D3764" s="109"/>
    </row>
    <row r="3765" spans="1:4" ht="42.75" customHeight="1" thickBot="1">
      <c r="A3765" s="116" t="s">
        <v>20</v>
      </c>
      <c r="B3765" s="117"/>
      <c r="C3765" s="117"/>
      <c r="D3765" s="118"/>
    </row>
    <row r="3766" spans="1:4" ht="42.75" customHeight="1" thickBot="1">
      <c r="A3766" s="113" t="s">
        <v>18</v>
      </c>
      <c r="B3766" s="114"/>
      <c r="C3766" s="114"/>
      <c r="D3766" s="115"/>
    </row>
    <row r="3767" spans="1:4" ht="42.75" customHeight="1" thickBot="1">
      <c r="A3767" s="119"/>
      <c r="B3767" s="119"/>
      <c r="C3767" s="119"/>
      <c r="D3767" s="119"/>
    </row>
    <row r="3768" spans="1:4" ht="42.75" customHeight="1" thickBot="1">
      <c r="A3768" s="126" t="s">
        <v>19</v>
      </c>
      <c r="B3768" s="127"/>
      <c r="C3768" s="127"/>
      <c r="D3768" s="128"/>
    </row>
    <row r="3769" spans="1:4" ht="42.75" customHeight="1" thickBot="1">
      <c r="A3769" s="123" t="s">
        <v>11</v>
      </c>
      <c r="B3769" s="124"/>
      <c r="C3769" s="125" t="s">
        <v>603</v>
      </c>
      <c r="D3769" s="124"/>
    </row>
    <row r="3770" spans="1:4" ht="42.75" customHeight="1" thickBot="1">
      <c r="A3770" s="1" t="s">
        <v>686</v>
      </c>
      <c r="B3770" s="26" t="s">
        <v>1</v>
      </c>
      <c r="C3770" s="90" t="s">
        <v>318</v>
      </c>
      <c r="D3770" s="91"/>
    </row>
    <row r="3771" spans="1:4" ht="42.75" customHeight="1" thickBot="1">
      <c r="A3771" s="26"/>
      <c r="B3771" s="26" t="s">
        <v>0</v>
      </c>
      <c r="C3771" s="5" t="s">
        <v>687</v>
      </c>
      <c r="D3771" s="4" t="s">
        <v>2</v>
      </c>
    </row>
    <row r="3772" spans="1:4" ht="42.75" customHeight="1" thickBot="1">
      <c r="A3772" s="92">
        <v>515</v>
      </c>
      <c r="B3772" s="93"/>
      <c r="C3772" s="94" t="s">
        <v>3</v>
      </c>
      <c r="D3772" s="95"/>
    </row>
    <row r="3773" spans="1:4" ht="42.75" customHeight="1" thickBot="1">
      <c r="A3773" s="92">
        <v>530</v>
      </c>
      <c r="B3773" s="93"/>
      <c r="C3773" s="96" t="s">
        <v>4</v>
      </c>
      <c r="D3773" s="97"/>
    </row>
    <row r="3774" spans="1:4" ht="42.75" customHeight="1" thickBot="1">
      <c r="A3774" s="98">
        <f>A3773-A3772</f>
        <v>15</v>
      </c>
      <c r="B3774" s="99"/>
      <c r="C3774" s="100" t="s">
        <v>5</v>
      </c>
      <c r="D3774" s="97"/>
    </row>
    <row r="3775" spans="1:4" ht="42.75" customHeight="1" thickBot="1">
      <c r="A3775" s="101">
        <v>62</v>
      </c>
      <c r="B3775" s="102"/>
      <c r="C3775" s="96" t="s">
        <v>6</v>
      </c>
      <c r="D3775" s="97"/>
    </row>
    <row r="3776" spans="1:4" ht="42.75" customHeight="1" thickBot="1">
      <c r="A3776" s="103"/>
      <c r="B3776" s="104"/>
      <c r="C3776" s="96" t="s">
        <v>21</v>
      </c>
      <c r="D3776" s="97"/>
    </row>
    <row r="3777" spans="1:4" ht="42.75" customHeight="1" thickBot="1">
      <c r="A3777" s="105">
        <v>950</v>
      </c>
      <c r="B3777" s="106"/>
      <c r="C3777" s="96" t="s">
        <v>7</v>
      </c>
      <c r="D3777" s="97"/>
    </row>
    <row r="3778" spans="1:4" ht="42.75" customHeight="1" thickBot="1">
      <c r="A3778" s="107" t="s">
        <v>17</v>
      </c>
      <c r="B3778" s="108"/>
      <c r="C3778" s="108"/>
      <c r="D3778" s="109"/>
    </row>
    <row r="3779" spans="1:4" ht="42.75" customHeight="1" thickBot="1">
      <c r="A3779" s="110" t="s">
        <v>20</v>
      </c>
      <c r="B3779" s="111"/>
      <c r="C3779" s="111"/>
      <c r="D3779" s="112"/>
    </row>
    <row r="3780" spans="1:4" ht="42.75" customHeight="1" thickBot="1">
      <c r="A3780" s="113" t="s">
        <v>18</v>
      </c>
      <c r="B3780" s="114"/>
      <c r="C3780" s="114"/>
      <c r="D3780" s="115"/>
    </row>
    <row r="3781" spans="1:4" ht="42.75" customHeight="1" thickBot="1">
      <c r="A3781" s="126" t="s">
        <v>19</v>
      </c>
      <c r="B3781" s="127"/>
      <c r="C3781" s="127"/>
      <c r="D3781" s="128"/>
    </row>
    <row r="3782" spans="1:4" ht="42.75" customHeight="1" thickBot="1">
      <c r="A3782" s="123" t="s">
        <v>11</v>
      </c>
      <c r="B3782" s="124"/>
      <c r="C3782" s="125" t="s">
        <v>603</v>
      </c>
      <c r="D3782" s="124"/>
    </row>
    <row r="3783" spans="1:4" ht="42.75" customHeight="1" thickBot="1">
      <c r="A3783" s="1" t="s">
        <v>686</v>
      </c>
      <c r="B3783" s="26" t="s">
        <v>1</v>
      </c>
      <c r="C3783" s="90" t="s">
        <v>319</v>
      </c>
      <c r="D3783" s="91"/>
    </row>
    <row r="3784" spans="1:4" ht="42.75" customHeight="1" thickBot="1">
      <c r="A3784" s="26"/>
      <c r="B3784" s="26" t="s">
        <v>0</v>
      </c>
      <c r="C3784" s="5" t="s">
        <v>687</v>
      </c>
      <c r="D3784" s="4" t="s">
        <v>2</v>
      </c>
    </row>
    <row r="3785" spans="1:4" ht="42.75" customHeight="1" thickBot="1">
      <c r="A3785" s="92">
        <v>394</v>
      </c>
      <c r="B3785" s="93"/>
      <c r="C3785" s="94" t="s">
        <v>3</v>
      </c>
      <c r="D3785" s="95"/>
    </row>
    <row r="3786" spans="1:4" ht="42.75" customHeight="1" thickBot="1">
      <c r="A3786" s="92">
        <v>394</v>
      </c>
      <c r="B3786" s="93"/>
      <c r="C3786" s="96" t="s">
        <v>4</v>
      </c>
      <c r="D3786" s="97"/>
    </row>
    <row r="3787" spans="1:4" ht="42.75" customHeight="1" thickBot="1">
      <c r="A3787" s="98">
        <f>A3786-A3785</f>
        <v>0</v>
      </c>
      <c r="B3787" s="99"/>
      <c r="C3787" s="100" t="s">
        <v>5</v>
      </c>
      <c r="D3787" s="97"/>
    </row>
    <row r="3788" spans="1:4" ht="42.75" customHeight="1" thickBot="1">
      <c r="A3788" s="101">
        <v>62</v>
      </c>
      <c r="B3788" s="102"/>
      <c r="C3788" s="96" t="s">
        <v>6</v>
      </c>
      <c r="D3788" s="97"/>
    </row>
    <row r="3789" spans="1:4" ht="42.75" customHeight="1" thickBot="1">
      <c r="A3789" s="103"/>
      <c r="B3789" s="104"/>
      <c r="C3789" s="96" t="s">
        <v>21</v>
      </c>
      <c r="D3789" s="97"/>
    </row>
    <row r="3790" spans="1:4" ht="42.75" customHeight="1" thickBot="1">
      <c r="A3790" s="105">
        <f>A3788*A3787</f>
        <v>0</v>
      </c>
      <c r="B3790" s="106"/>
      <c r="C3790" s="96" t="s">
        <v>7</v>
      </c>
      <c r="D3790" s="97"/>
    </row>
    <row r="3791" spans="1:4" ht="42.75" customHeight="1" thickBot="1">
      <c r="A3791" s="107" t="s">
        <v>17</v>
      </c>
      <c r="B3791" s="108"/>
      <c r="C3791" s="108"/>
      <c r="D3791" s="109"/>
    </row>
    <row r="3792" spans="1:4" ht="42.75" customHeight="1" thickBot="1">
      <c r="A3792" s="116" t="s">
        <v>20</v>
      </c>
      <c r="B3792" s="117"/>
      <c r="C3792" s="117"/>
      <c r="D3792" s="118"/>
    </row>
    <row r="3793" spans="1:4" ht="42.75" customHeight="1" thickBot="1">
      <c r="A3793" s="113" t="s">
        <v>18</v>
      </c>
      <c r="B3793" s="114"/>
      <c r="C3793" s="114"/>
      <c r="D3793" s="115"/>
    </row>
    <row r="3794" spans="1:4" ht="42.75" customHeight="1" thickBot="1">
      <c r="A3794" s="119"/>
      <c r="B3794" s="119"/>
      <c r="C3794" s="119"/>
      <c r="D3794" s="119"/>
    </row>
    <row r="3795" spans="1:4" ht="42.75" customHeight="1" thickBot="1">
      <c r="A3795" s="126" t="s">
        <v>19</v>
      </c>
      <c r="B3795" s="127"/>
      <c r="C3795" s="127"/>
      <c r="D3795" s="128"/>
    </row>
    <row r="3796" spans="1:4" ht="42.75" customHeight="1" thickBot="1">
      <c r="A3796" s="123" t="s">
        <v>11</v>
      </c>
      <c r="B3796" s="124"/>
      <c r="C3796" s="125" t="s">
        <v>603</v>
      </c>
      <c r="D3796" s="124"/>
    </row>
    <row r="3797" spans="1:4" ht="42.75" customHeight="1" thickBot="1">
      <c r="A3797" s="1" t="s">
        <v>686</v>
      </c>
      <c r="B3797" s="26" t="s">
        <v>1</v>
      </c>
      <c r="C3797" s="90" t="s">
        <v>319</v>
      </c>
      <c r="D3797" s="91"/>
    </row>
    <row r="3798" spans="1:4" ht="42.75" customHeight="1" thickBot="1">
      <c r="A3798" s="26"/>
      <c r="B3798" s="26" t="s">
        <v>0</v>
      </c>
      <c r="C3798" s="5" t="s">
        <v>687</v>
      </c>
      <c r="D3798" s="4" t="s">
        <v>2</v>
      </c>
    </row>
    <row r="3799" spans="1:4" ht="42.75" customHeight="1" thickBot="1">
      <c r="A3799" s="92">
        <v>385</v>
      </c>
      <c r="B3799" s="93"/>
      <c r="C3799" s="94" t="s">
        <v>3</v>
      </c>
      <c r="D3799" s="95"/>
    </row>
    <row r="3800" spans="1:4" ht="42.75" customHeight="1" thickBot="1">
      <c r="A3800" s="92">
        <v>394</v>
      </c>
      <c r="B3800" s="93"/>
      <c r="C3800" s="96" t="s">
        <v>4</v>
      </c>
      <c r="D3800" s="97"/>
    </row>
    <row r="3801" spans="1:4" ht="42.75" customHeight="1" thickBot="1">
      <c r="A3801" s="98">
        <v>10</v>
      </c>
      <c r="B3801" s="99"/>
      <c r="C3801" s="100" t="s">
        <v>5</v>
      </c>
      <c r="D3801" s="97"/>
    </row>
    <row r="3802" spans="1:4" ht="42.75" customHeight="1" thickBot="1">
      <c r="A3802" s="101">
        <v>62</v>
      </c>
      <c r="B3802" s="102"/>
      <c r="C3802" s="96" t="s">
        <v>6</v>
      </c>
      <c r="D3802" s="97"/>
    </row>
    <row r="3803" spans="1:4" ht="42.75" customHeight="1" thickBot="1">
      <c r="A3803" s="103"/>
      <c r="B3803" s="104"/>
      <c r="C3803" s="96" t="s">
        <v>21</v>
      </c>
      <c r="D3803" s="97"/>
    </row>
    <row r="3804" spans="1:4" ht="42.75" customHeight="1" thickBot="1">
      <c r="A3804" s="105">
        <v>600</v>
      </c>
      <c r="B3804" s="106"/>
      <c r="C3804" s="96" t="s">
        <v>7</v>
      </c>
      <c r="D3804" s="97"/>
    </row>
    <row r="3805" spans="1:4" ht="42.75" customHeight="1" thickBot="1">
      <c r="A3805" s="107" t="s">
        <v>17</v>
      </c>
      <c r="B3805" s="108"/>
      <c r="C3805" s="108"/>
      <c r="D3805" s="109"/>
    </row>
    <row r="3806" spans="1:4" ht="42.75" customHeight="1" thickBot="1">
      <c r="A3806" s="110" t="s">
        <v>20</v>
      </c>
      <c r="B3806" s="111"/>
      <c r="C3806" s="111"/>
      <c r="D3806" s="112"/>
    </row>
    <row r="3807" spans="1:4" ht="42.75" customHeight="1" thickBot="1">
      <c r="A3807" s="113" t="s">
        <v>18</v>
      </c>
      <c r="B3807" s="114"/>
      <c r="C3807" s="114"/>
      <c r="D3807" s="115"/>
    </row>
    <row r="3808" spans="1:4" ht="42.75" customHeight="1" thickBot="1">
      <c r="A3808" s="126" t="s">
        <v>19</v>
      </c>
      <c r="B3808" s="127"/>
      <c r="C3808" s="127"/>
      <c r="D3808" s="128"/>
    </row>
    <row r="3809" spans="1:4" ht="42.75" customHeight="1" thickBot="1">
      <c r="A3809" s="123" t="s">
        <v>11</v>
      </c>
      <c r="B3809" s="124"/>
      <c r="C3809" s="125" t="s">
        <v>603</v>
      </c>
      <c r="D3809" s="124"/>
    </row>
    <row r="3810" spans="1:4" ht="42.75" customHeight="1" thickBot="1">
      <c r="A3810" s="1" t="s">
        <v>686</v>
      </c>
      <c r="B3810" s="26" t="s">
        <v>1</v>
      </c>
      <c r="C3810" s="90" t="s">
        <v>681</v>
      </c>
      <c r="D3810" s="91"/>
    </row>
    <row r="3811" spans="1:4" ht="42.75" customHeight="1" thickBot="1">
      <c r="A3811" s="26"/>
      <c r="B3811" s="26" t="s">
        <v>0</v>
      </c>
      <c r="C3811" s="5" t="s">
        <v>687</v>
      </c>
      <c r="D3811" s="4" t="s">
        <v>2</v>
      </c>
    </row>
    <row r="3812" spans="1:4" ht="42.75" customHeight="1" thickBot="1">
      <c r="A3812" s="92">
        <v>361</v>
      </c>
      <c r="B3812" s="93"/>
      <c r="C3812" s="94" t="s">
        <v>3</v>
      </c>
      <c r="D3812" s="95"/>
    </row>
    <row r="3813" spans="1:4" ht="42.75" customHeight="1" thickBot="1">
      <c r="A3813" s="92">
        <v>361</v>
      </c>
      <c r="B3813" s="93"/>
      <c r="C3813" s="96" t="s">
        <v>4</v>
      </c>
      <c r="D3813" s="97"/>
    </row>
    <row r="3814" spans="1:4" ht="42.75" customHeight="1" thickBot="1">
      <c r="A3814" s="98">
        <f>A3813-A3812</f>
        <v>0</v>
      </c>
      <c r="B3814" s="99"/>
      <c r="C3814" s="100" t="s">
        <v>5</v>
      </c>
      <c r="D3814" s="97"/>
    </row>
    <row r="3815" spans="1:4" ht="42.75" customHeight="1" thickBot="1">
      <c r="A3815" s="101">
        <v>62</v>
      </c>
      <c r="B3815" s="102"/>
      <c r="C3815" s="96" t="s">
        <v>6</v>
      </c>
      <c r="D3815" s="97"/>
    </row>
    <row r="3816" spans="1:4" ht="42.75" customHeight="1" thickBot="1">
      <c r="A3816" s="103"/>
      <c r="B3816" s="104"/>
      <c r="C3816" s="96" t="s">
        <v>21</v>
      </c>
      <c r="D3816" s="97"/>
    </row>
    <row r="3817" spans="1:4" ht="42.75" customHeight="1" thickBot="1">
      <c r="A3817" s="105">
        <f>A3815*A3814</f>
        <v>0</v>
      </c>
      <c r="B3817" s="106"/>
      <c r="C3817" s="96" t="s">
        <v>7</v>
      </c>
      <c r="D3817" s="97"/>
    </row>
    <row r="3818" spans="1:4" ht="42.75" customHeight="1" thickBot="1">
      <c r="A3818" s="107" t="s">
        <v>17</v>
      </c>
      <c r="B3818" s="108"/>
      <c r="C3818" s="108"/>
      <c r="D3818" s="109"/>
    </row>
    <row r="3819" spans="1:4" ht="42.75" customHeight="1" thickBot="1">
      <c r="A3819" s="116" t="s">
        <v>20</v>
      </c>
      <c r="B3819" s="117"/>
      <c r="C3819" s="117"/>
      <c r="D3819" s="118"/>
    </row>
    <row r="3820" spans="1:4" ht="42.75" customHeight="1" thickBot="1">
      <c r="A3820" s="113" t="s">
        <v>18</v>
      </c>
      <c r="B3820" s="114"/>
      <c r="C3820" s="114"/>
      <c r="D3820" s="115"/>
    </row>
    <row r="3821" spans="1:4" ht="42.75" customHeight="1" thickBot="1">
      <c r="A3821" s="119"/>
      <c r="B3821" s="119"/>
      <c r="C3821" s="119"/>
      <c r="D3821" s="119"/>
    </row>
    <row r="3822" spans="1:4" ht="42.75" customHeight="1" thickBot="1">
      <c r="A3822" s="126" t="s">
        <v>19</v>
      </c>
      <c r="B3822" s="127"/>
      <c r="C3822" s="127"/>
      <c r="D3822" s="128"/>
    </row>
    <row r="3823" spans="1:4" ht="42.75" customHeight="1" thickBot="1">
      <c r="A3823" s="123" t="s">
        <v>11</v>
      </c>
      <c r="B3823" s="124"/>
      <c r="C3823" s="125" t="s">
        <v>603</v>
      </c>
      <c r="D3823" s="124"/>
    </row>
    <row r="3824" spans="1:4" ht="42.75" customHeight="1" thickBot="1">
      <c r="A3824" s="1" t="s">
        <v>686</v>
      </c>
      <c r="B3824" s="26" t="s">
        <v>1</v>
      </c>
      <c r="C3824" s="90" t="s">
        <v>681</v>
      </c>
      <c r="D3824" s="91"/>
    </row>
    <row r="3825" spans="1:4" ht="42.75" customHeight="1" thickBot="1">
      <c r="A3825" s="26"/>
      <c r="B3825" s="26" t="s">
        <v>0</v>
      </c>
      <c r="C3825" s="5" t="s">
        <v>687</v>
      </c>
      <c r="D3825" s="4" t="s">
        <v>2</v>
      </c>
    </row>
    <row r="3826" spans="1:4" ht="42.75" customHeight="1" thickBot="1">
      <c r="A3826" s="92">
        <v>318</v>
      </c>
      <c r="B3826" s="93"/>
      <c r="C3826" s="94" t="s">
        <v>3</v>
      </c>
      <c r="D3826" s="95"/>
    </row>
    <row r="3827" spans="1:4" ht="42.75" customHeight="1" thickBot="1">
      <c r="A3827" s="92">
        <v>361</v>
      </c>
      <c r="B3827" s="93"/>
      <c r="C3827" s="96" t="s">
        <v>4</v>
      </c>
      <c r="D3827" s="97"/>
    </row>
    <row r="3828" spans="1:4" ht="42.75" customHeight="1" thickBot="1">
      <c r="A3828" s="98">
        <f>A3827-A3826</f>
        <v>43</v>
      </c>
      <c r="B3828" s="99"/>
      <c r="C3828" s="100" t="s">
        <v>5</v>
      </c>
      <c r="D3828" s="97"/>
    </row>
    <row r="3829" spans="1:4" ht="42.75" customHeight="1" thickBot="1">
      <c r="A3829" s="101">
        <v>62</v>
      </c>
      <c r="B3829" s="102"/>
      <c r="C3829" s="96" t="s">
        <v>6</v>
      </c>
      <c r="D3829" s="97"/>
    </row>
    <row r="3830" spans="1:4" ht="42.75" customHeight="1" thickBot="1">
      <c r="A3830" s="103"/>
      <c r="B3830" s="104"/>
      <c r="C3830" s="96" t="s">
        <v>21</v>
      </c>
      <c r="D3830" s="97"/>
    </row>
    <row r="3831" spans="1:4" ht="42.75" customHeight="1" thickBot="1">
      <c r="A3831" s="105">
        <v>2650</v>
      </c>
      <c r="B3831" s="106"/>
      <c r="C3831" s="96" t="s">
        <v>7</v>
      </c>
      <c r="D3831" s="97"/>
    </row>
    <row r="3832" spans="1:4" ht="42.75" customHeight="1" thickBot="1">
      <c r="A3832" s="107" t="s">
        <v>17</v>
      </c>
      <c r="B3832" s="108"/>
      <c r="C3832" s="108"/>
      <c r="D3832" s="109"/>
    </row>
    <row r="3833" spans="1:4" ht="42.75" customHeight="1" thickBot="1">
      <c r="A3833" s="110" t="s">
        <v>20</v>
      </c>
      <c r="B3833" s="111"/>
      <c r="C3833" s="111"/>
      <c r="D3833" s="112"/>
    </row>
    <row r="3834" spans="1:4" ht="42.75" customHeight="1" thickBot="1">
      <c r="A3834" s="113" t="s">
        <v>18</v>
      </c>
      <c r="B3834" s="114"/>
      <c r="C3834" s="114"/>
      <c r="D3834" s="115"/>
    </row>
    <row r="3835" spans="1:4" ht="42.75" customHeight="1" thickBot="1">
      <c r="A3835" s="126" t="s">
        <v>19</v>
      </c>
      <c r="B3835" s="127"/>
      <c r="C3835" s="127"/>
      <c r="D3835" s="128"/>
    </row>
    <row r="3836" spans="1:4" ht="42.75" customHeight="1" thickBot="1">
      <c r="A3836" s="123" t="s">
        <v>11</v>
      </c>
      <c r="B3836" s="124"/>
      <c r="C3836" s="125" t="s">
        <v>603</v>
      </c>
      <c r="D3836" s="124"/>
    </row>
    <row r="3837" spans="1:4" ht="42.75" customHeight="1" thickBot="1">
      <c r="A3837" s="1" t="s">
        <v>686</v>
      </c>
      <c r="B3837" s="26" t="s">
        <v>1</v>
      </c>
      <c r="C3837" s="90" t="s">
        <v>320</v>
      </c>
      <c r="D3837" s="91"/>
    </row>
    <row r="3838" spans="1:4" ht="42.75" customHeight="1" thickBot="1">
      <c r="A3838" s="26"/>
      <c r="B3838" s="26" t="s">
        <v>0</v>
      </c>
      <c r="C3838" s="5" t="s">
        <v>687</v>
      </c>
      <c r="D3838" s="4" t="s">
        <v>2</v>
      </c>
    </row>
    <row r="3839" spans="1:4" ht="42.75" customHeight="1" thickBot="1">
      <c r="A3839" s="92">
        <v>1675</v>
      </c>
      <c r="B3839" s="93"/>
      <c r="C3839" s="94" t="s">
        <v>3</v>
      </c>
      <c r="D3839" s="95"/>
    </row>
    <row r="3840" spans="1:4" ht="42.75" customHeight="1" thickBot="1">
      <c r="A3840" s="92">
        <v>1675</v>
      </c>
      <c r="B3840" s="93"/>
      <c r="C3840" s="96" t="s">
        <v>4</v>
      </c>
      <c r="D3840" s="97"/>
    </row>
    <row r="3841" spans="1:4" ht="42.75" customHeight="1" thickBot="1">
      <c r="A3841" s="98">
        <f>A3840-A3839</f>
        <v>0</v>
      </c>
      <c r="B3841" s="99"/>
      <c r="C3841" s="100" t="s">
        <v>5</v>
      </c>
      <c r="D3841" s="97"/>
    </row>
    <row r="3842" spans="1:4" ht="42.75" customHeight="1" thickBot="1">
      <c r="A3842" s="101">
        <v>62</v>
      </c>
      <c r="B3842" s="102"/>
      <c r="C3842" s="96" t="s">
        <v>6</v>
      </c>
      <c r="D3842" s="97"/>
    </row>
    <row r="3843" spans="1:4" ht="42.75" customHeight="1" thickBot="1">
      <c r="A3843" s="103"/>
      <c r="B3843" s="104"/>
      <c r="C3843" s="96" t="s">
        <v>21</v>
      </c>
      <c r="D3843" s="97"/>
    </row>
    <row r="3844" spans="1:4" ht="42.75" customHeight="1" thickBot="1">
      <c r="A3844" s="105">
        <f>A3842*A3841</f>
        <v>0</v>
      </c>
      <c r="B3844" s="106"/>
      <c r="C3844" s="96" t="s">
        <v>7</v>
      </c>
      <c r="D3844" s="97"/>
    </row>
    <row r="3845" spans="1:4" ht="42.75" customHeight="1" thickBot="1">
      <c r="A3845" s="107" t="s">
        <v>17</v>
      </c>
      <c r="B3845" s="108"/>
      <c r="C3845" s="108"/>
      <c r="D3845" s="109"/>
    </row>
    <row r="3846" spans="1:4" ht="42.75" customHeight="1" thickBot="1">
      <c r="A3846" s="116" t="s">
        <v>20</v>
      </c>
      <c r="B3846" s="117"/>
      <c r="C3846" s="117"/>
      <c r="D3846" s="118"/>
    </row>
    <row r="3847" spans="1:4" ht="42.75" customHeight="1" thickBot="1">
      <c r="A3847" s="113" t="s">
        <v>18</v>
      </c>
      <c r="B3847" s="114"/>
      <c r="C3847" s="114"/>
      <c r="D3847" s="115"/>
    </row>
    <row r="3848" spans="1:4" ht="42.75" customHeight="1" thickBot="1">
      <c r="A3848" s="119"/>
      <c r="B3848" s="119"/>
      <c r="C3848" s="119"/>
      <c r="D3848" s="119"/>
    </row>
    <row r="3849" spans="1:4" ht="42.75" customHeight="1" thickBot="1">
      <c r="A3849" s="126" t="s">
        <v>19</v>
      </c>
      <c r="B3849" s="127"/>
      <c r="C3849" s="127"/>
      <c r="D3849" s="128"/>
    </row>
    <row r="3850" spans="1:4" ht="42.75" customHeight="1" thickBot="1">
      <c r="A3850" s="123" t="s">
        <v>11</v>
      </c>
      <c r="B3850" s="124"/>
      <c r="C3850" s="125" t="s">
        <v>603</v>
      </c>
      <c r="D3850" s="124"/>
    </row>
    <row r="3851" spans="1:4" ht="42.75" customHeight="1" thickBot="1">
      <c r="A3851" s="1" t="s">
        <v>686</v>
      </c>
      <c r="B3851" s="26" t="s">
        <v>1</v>
      </c>
      <c r="C3851" s="90" t="s">
        <v>320</v>
      </c>
      <c r="D3851" s="91"/>
    </row>
    <row r="3852" spans="1:4" ht="42.75" customHeight="1" thickBot="1">
      <c r="A3852" s="26"/>
      <c r="B3852" s="26" t="s">
        <v>0</v>
      </c>
      <c r="C3852" s="5" t="s">
        <v>687</v>
      </c>
      <c r="D3852" s="4" t="s">
        <v>2</v>
      </c>
    </row>
    <row r="3853" spans="1:4" ht="42.75" customHeight="1" thickBot="1">
      <c r="A3853" s="92">
        <v>1645</v>
      </c>
      <c r="B3853" s="93"/>
      <c r="C3853" s="94" t="s">
        <v>3</v>
      </c>
      <c r="D3853" s="95"/>
    </row>
    <row r="3854" spans="1:4" ht="42.75" customHeight="1" thickBot="1">
      <c r="A3854" s="92">
        <v>1675</v>
      </c>
      <c r="B3854" s="93"/>
      <c r="C3854" s="96" t="s">
        <v>4</v>
      </c>
      <c r="D3854" s="97"/>
    </row>
    <row r="3855" spans="1:4" ht="42.75" customHeight="1" thickBot="1">
      <c r="A3855" s="98">
        <f>A3854-A3853</f>
        <v>30</v>
      </c>
      <c r="B3855" s="99"/>
      <c r="C3855" s="100" t="s">
        <v>5</v>
      </c>
      <c r="D3855" s="97"/>
    </row>
    <row r="3856" spans="1:4" ht="42.75" customHeight="1" thickBot="1">
      <c r="A3856" s="101">
        <v>62</v>
      </c>
      <c r="B3856" s="102"/>
      <c r="C3856" s="96" t="s">
        <v>6</v>
      </c>
      <c r="D3856" s="97"/>
    </row>
    <row r="3857" spans="1:4" ht="42.75" customHeight="1" thickBot="1">
      <c r="A3857" s="103"/>
      <c r="B3857" s="104"/>
      <c r="C3857" s="96" t="s">
        <v>21</v>
      </c>
      <c r="D3857" s="97"/>
    </row>
    <row r="3858" spans="1:4" ht="42.75" customHeight="1" thickBot="1">
      <c r="A3858" s="105">
        <v>1850</v>
      </c>
      <c r="B3858" s="106"/>
      <c r="C3858" s="96" t="s">
        <v>7</v>
      </c>
      <c r="D3858" s="97"/>
    </row>
    <row r="3859" spans="1:4" ht="42.75" customHeight="1" thickBot="1">
      <c r="A3859" s="107" t="s">
        <v>17</v>
      </c>
      <c r="B3859" s="108"/>
      <c r="C3859" s="108"/>
      <c r="D3859" s="109"/>
    </row>
    <row r="3860" spans="1:4" ht="42.75" customHeight="1" thickBot="1">
      <c r="A3860" s="110" t="s">
        <v>20</v>
      </c>
      <c r="B3860" s="111"/>
      <c r="C3860" s="111"/>
      <c r="D3860" s="112"/>
    </row>
    <row r="3861" spans="1:4" ht="42.75" customHeight="1" thickBot="1">
      <c r="A3861" s="113" t="s">
        <v>18</v>
      </c>
      <c r="B3861" s="114"/>
      <c r="C3861" s="114"/>
      <c r="D3861" s="115"/>
    </row>
    <row r="3862" spans="1:4" ht="42.75" customHeight="1" thickBot="1">
      <c r="A3862" s="126" t="s">
        <v>19</v>
      </c>
      <c r="B3862" s="127"/>
      <c r="C3862" s="127"/>
      <c r="D3862" s="128"/>
    </row>
    <row r="3863" spans="1:4" ht="42.75" customHeight="1" thickBot="1">
      <c r="A3863" s="123" t="s">
        <v>11</v>
      </c>
      <c r="B3863" s="124"/>
      <c r="C3863" s="125" t="s">
        <v>603</v>
      </c>
      <c r="D3863" s="124"/>
    </row>
    <row r="3864" spans="1:4" ht="42.75" customHeight="1" thickBot="1">
      <c r="A3864" s="1" t="s">
        <v>686</v>
      </c>
      <c r="B3864" s="26" t="s">
        <v>1</v>
      </c>
      <c r="C3864" s="90" t="s">
        <v>107</v>
      </c>
      <c r="D3864" s="91"/>
    </row>
    <row r="3865" spans="1:4" ht="42.75" customHeight="1" thickBot="1">
      <c r="A3865" s="26"/>
      <c r="B3865" s="26" t="s">
        <v>0</v>
      </c>
      <c r="C3865" s="5" t="s">
        <v>687</v>
      </c>
      <c r="D3865" s="4" t="s">
        <v>2</v>
      </c>
    </row>
    <row r="3866" spans="1:4" ht="42.75" customHeight="1" thickBot="1">
      <c r="A3866" s="92">
        <v>245</v>
      </c>
      <c r="B3866" s="93"/>
      <c r="C3866" s="94" t="s">
        <v>3</v>
      </c>
      <c r="D3866" s="95"/>
    </row>
    <row r="3867" spans="1:4" ht="42.75" customHeight="1" thickBot="1">
      <c r="A3867" s="92">
        <v>245</v>
      </c>
      <c r="B3867" s="93"/>
      <c r="C3867" s="96" t="s">
        <v>4</v>
      </c>
      <c r="D3867" s="97"/>
    </row>
    <row r="3868" spans="1:4" ht="42.75" customHeight="1" thickBot="1">
      <c r="A3868" s="98">
        <f>A3867-A3866</f>
        <v>0</v>
      </c>
      <c r="B3868" s="99"/>
      <c r="C3868" s="100" t="s">
        <v>5</v>
      </c>
      <c r="D3868" s="97"/>
    </row>
    <row r="3869" spans="1:4" ht="42.75" customHeight="1" thickBot="1">
      <c r="A3869" s="101">
        <v>62</v>
      </c>
      <c r="B3869" s="102"/>
      <c r="C3869" s="96" t="s">
        <v>6</v>
      </c>
      <c r="D3869" s="97"/>
    </row>
    <row r="3870" spans="1:4" ht="42.75" customHeight="1" thickBot="1">
      <c r="A3870" s="103"/>
      <c r="B3870" s="104"/>
      <c r="C3870" s="96" t="s">
        <v>21</v>
      </c>
      <c r="D3870" s="97"/>
    </row>
    <row r="3871" spans="1:4" ht="42.75" customHeight="1" thickBot="1">
      <c r="A3871" s="105">
        <f>A3869*A3868</f>
        <v>0</v>
      </c>
      <c r="B3871" s="106"/>
      <c r="C3871" s="96" t="s">
        <v>7</v>
      </c>
      <c r="D3871" s="97"/>
    </row>
    <row r="3872" spans="1:4" ht="42.75" customHeight="1" thickBot="1">
      <c r="A3872" s="107" t="s">
        <v>17</v>
      </c>
      <c r="B3872" s="108"/>
      <c r="C3872" s="108"/>
      <c r="D3872" s="109"/>
    </row>
    <row r="3873" spans="1:4" ht="42.75" customHeight="1" thickBot="1">
      <c r="A3873" s="116" t="s">
        <v>20</v>
      </c>
      <c r="B3873" s="117"/>
      <c r="C3873" s="117"/>
      <c r="D3873" s="118"/>
    </row>
    <row r="3874" spans="1:4" ht="42.75" customHeight="1" thickBot="1">
      <c r="A3874" s="113" t="s">
        <v>18</v>
      </c>
      <c r="B3874" s="114"/>
      <c r="C3874" s="114"/>
      <c r="D3874" s="115"/>
    </row>
    <row r="3875" spans="1:4" ht="42.75" customHeight="1" thickBot="1">
      <c r="A3875" s="119"/>
      <c r="B3875" s="119"/>
      <c r="C3875" s="119"/>
      <c r="D3875" s="119"/>
    </row>
    <row r="3876" spans="1:4" ht="42.75" customHeight="1" thickBot="1">
      <c r="A3876" s="126" t="s">
        <v>19</v>
      </c>
      <c r="B3876" s="127"/>
      <c r="C3876" s="127"/>
      <c r="D3876" s="128"/>
    </row>
    <row r="3877" spans="1:4" ht="42.75" customHeight="1" thickBot="1">
      <c r="A3877" s="123" t="s">
        <v>11</v>
      </c>
      <c r="B3877" s="124"/>
      <c r="C3877" s="125" t="s">
        <v>603</v>
      </c>
      <c r="D3877" s="124"/>
    </row>
    <row r="3878" spans="1:4" ht="42.75" customHeight="1" thickBot="1">
      <c r="A3878" s="1" t="s">
        <v>686</v>
      </c>
      <c r="B3878" s="26" t="s">
        <v>1</v>
      </c>
      <c r="C3878" s="90" t="s">
        <v>107</v>
      </c>
      <c r="D3878" s="91"/>
    </row>
    <row r="3879" spans="1:4" ht="42.75" customHeight="1" thickBot="1">
      <c r="A3879" s="26"/>
      <c r="B3879" s="26" t="s">
        <v>0</v>
      </c>
      <c r="C3879" s="5" t="s">
        <v>687</v>
      </c>
      <c r="D3879" s="4" t="s">
        <v>2</v>
      </c>
    </row>
    <row r="3880" spans="1:4" ht="42.75" customHeight="1" thickBot="1">
      <c r="A3880" s="92">
        <v>245</v>
      </c>
      <c r="B3880" s="93"/>
      <c r="C3880" s="94" t="s">
        <v>3</v>
      </c>
      <c r="D3880" s="95"/>
    </row>
    <row r="3881" spans="1:4" ht="42.75" customHeight="1" thickBot="1">
      <c r="A3881" s="92">
        <v>245</v>
      </c>
      <c r="B3881" s="93"/>
      <c r="C3881" s="96" t="s">
        <v>4</v>
      </c>
      <c r="D3881" s="97"/>
    </row>
    <row r="3882" spans="1:4" ht="42.75" customHeight="1" thickBot="1">
      <c r="A3882" s="98">
        <v>5</v>
      </c>
      <c r="B3882" s="99"/>
      <c r="C3882" s="100" t="s">
        <v>5</v>
      </c>
      <c r="D3882" s="97"/>
    </row>
    <row r="3883" spans="1:4" ht="42.75" customHeight="1" thickBot="1">
      <c r="A3883" s="101">
        <v>62</v>
      </c>
      <c r="B3883" s="102"/>
      <c r="C3883" s="96" t="s">
        <v>6</v>
      </c>
      <c r="D3883" s="97"/>
    </row>
    <row r="3884" spans="1:4" ht="42.75" customHeight="1" thickBot="1">
      <c r="A3884" s="103"/>
      <c r="B3884" s="104"/>
      <c r="C3884" s="96" t="s">
        <v>21</v>
      </c>
      <c r="D3884" s="97"/>
    </row>
    <row r="3885" spans="1:4" ht="42.75" customHeight="1" thickBot="1">
      <c r="A3885" s="105">
        <v>300</v>
      </c>
      <c r="B3885" s="106"/>
      <c r="C3885" s="96" t="s">
        <v>7</v>
      </c>
      <c r="D3885" s="97"/>
    </row>
    <row r="3886" spans="1:4" ht="42.75" customHeight="1" thickBot="1">
      <c r="A3886" s="107" t="s">
        <v>17</v>
      </c>
      <c r="B3886" s="108"/>
      <c r="C3886" s="108"/>
      <c r="D3886" s="109"/>
    </row>
    <row r="3887" spans="1:4" ht="42.75" customHeight="1" thickBot="1">
      <c r="A3887" s="110" t="s">
        <v>20</v>
      </c>
      <c r="B3887" s="111"/>
      <c r="C3887" s="111"/>
      <c r="D3887" s="112"/>
    </row>
    <row r="3888" spans="1:4" ht="42.75" customHeight="1" thickBot="1">
      <c r="A3888" s="113" t="s">
        <v>18</v>
      </c>
      <c r="B3888" s="114"/>
      <c r="C3888" s="114"/>
      <c r="D3888" s="115"/>
    </row>
    <row r="3889" spans="1:4" ht="42.75" customHeight="1" thickBot="1">
      <c r="A3889" s="126" t="s">
        <v>19</v>
      </c>
      <c r="B3889" s="127"/>
      <c r="C3889" s="127"/>
      <c r="D3889" s="128"/>
    </row>
    <row r="3890" spans="1:4" ht="42.75" customHeight="1" thickBot="1">
      <c r="A3890" s="123" t="s">
        <v>11</v>
      </c>
      <c r="B3890" s="124"/>
      <c r="C3890" s="125" t="s">
        <v>603</v>
      </c>
      <c r="D3890" s="124"/>
    </row>
    <row r="3891" spans="1:4" ht="42.75" customHeight="1" thickBot="1">
      <c r="A3891" s="1" t="s">
        <v>686</v>
      </c>
      <c r="B3891" s="26" t="s">
        <v>1</v>
      </c>
      <c r="C3891" s="90" t="s">
        <v>518</v>
      </c>
      <c r="D3891" s="91"/>
    </row>
    <row r="3892" spans="1:4" ht="42.75" customHeight="1" thickBot="1">
      <c r="A3892" s="26"/>
      <c r="B3892" s="26" t="s">
        <v>0</v>
      </c>
      <c r="C3892" s="5" t="s">
        <v>687</v>
      </c>
      <c r="D3892" s="4" t="s">
        <v>2</v>
      </c>
    </row>
    <row r="3893" spans="1:4" ht="42.75" customHeight="1" thickBot="1">
      <c r="A3893" s="92">
        <v>103</v>
      </c>
      <c r="B3893" s="93"/>
      <c r="C3893" s="94" t="s">
        <v>3</v>
      </c>
      <c r="D3893" s="95"/>
    </row>
    <row r="3894" spans="1:4" ht="42.75" customHeight="1" thickBot="1">
      <c r="A3894" s="92">
        <v>103</v>
      </c>
      <c r="B3894" s="93"/>
      <c r="C3894" s="96" t="s">
        <v>4</v>
      </c>
      <c r="D3894" s="97"/>
    </row>
    <row r="3895" spans="1:4" ht="42.75" customHeight="1" thickBot="1">
      <c r="A3895" s="98">
        <f>A3894-A3893</f>
        <v>0</v>
      </c>
      <c r="B3895" s="99"/>
      <c r="C3895" s="100" t="s">
        <v>5</v>
      </c>
      <c r="D3895" s="97"/>
    </row>
    <row r="3896" spans="1:4" ht="42.75" customHeight="1" thickBot="1">
      <c r="A3896" s="101">
        <v>62</v>
      </c>
      <c r="B3896" s="102"/>
      <c r="C3896" s="96" t="s">
        <v>6</v>
      </c>
      <c r="D3896" s="97"/>
    </row>
    <row r="3897" spans="1:4" ht="42.75" customHeight="1" thickBot="1">
      <c r="A3897" s="103"/>
      <c r="B3897" s="104"/>
      <c r="C3897" s="96" t="s">
        <v>21</v>
      </c>
      <c r="D3897" s="97"/>
    </row>
    <row r="3898" spans="1:4" ht="42.75" customHeight="1" thickBot="1">
      <c r="A3898" s="105">
        <f>A3896*A3895</f>
        <v>0</v>
      </c>
      <c r="B3898" s="106"/>
      <c r="C3898" s="96" t="s">
        <v>7</v>
      </c>
      <c r="D3898" s="97"/>
    </row>
    <row r="3899" spans="1:4" ht="42.75" customHeight="1" thickBot="1">
      <c r="A3899" s="107" t="s">
        <v>17</v>
      </c>
      <c r="B3899" s="108"/>
      <c r="C3899" s="108"/>
      <c r="D3899" s="109"/>
    </row>
    <row r="3900" spans="1:4" ht="42.75" customHeight="1" thickBot="1">
      <c r="A3900" s="116" t="s">
        <v>20</v>
      </c>
      <c r="B3900" s="117"/>
      <c r="C3900" s="117"/>
      <c r="D3900" s="118"/>
    </row>
    <row r="3901" spans="1:4" ht="42.75" customHeight="1" thickBot="1">
      <c r="A3901" s="113" t="s">
        <v>18</v>
      </c>
      <c r="B3901" s="114"/>
      <c r="C3901" s="114"/>
      <c r="D3901" s="115"/>
    </row>
    <row r="3902" spans="1:4" ht="42.75" customHeight="1" thickBot="1">
      <c r="A3902" s="119"/>
      <c r="B3902" s="119"/>
      <c r="C3902" s="119"/>
      <c r="D3902" s="119"/>
    </row>
    <row r="3903" spans="1:4" ht="42.75" customHeight="1" thickBot="1">
      <c r="A3903" s="126" t="s">
        <v>19</v>
      </c>
      <c r="B3903" s="127"/>
      <c r="C3903" s="127"/>
      <c r="D3903" s="128"/>
    </row>
    <row r="3904" spans="1:4" ht="42.75" customHeight="1" thickBot="1">
      <c r="A3904" s="123" t="s">
        <v>11</v>
      </c>
      <c r="B3904" s="124"/>
      <c r="C3904" s="125" t="s">
        <v>603</v>
      </c>
      <c r="D3904" s="124"/>
    </row>
    <row r="3905" spans="1:4" ht="42.75" customHeight="1" thickBot="1">
      <c r="A3905" s="1" t="s">
        <v>686</v>
      </c>
      <c r="B3905" s="26" t="s">
        <v>1</v>
      </c>
      <c r="C3905" s="90" t="s">
        <v>518</v>
      </c>
      <c r="D3905" s="91"/>
    </row>
    <row r="3906" spans="1:4" ht="42.75" customHeight="1" thickBot="1">
      <c r="A3906" s="26"/>
      <c r="B3906" s="26" t="s">
        <v>0</v>
      </c>
      <c r="C3906" s="5" t="s">
        <v>687</v>
      </c>
      <c r="D3906" s="4" t="s">
        <v>2</v>
      </c>
    </row>
    <row r="3907" spans="1:4" ht="42.75" customHeight="1" thickBot="1">
      <c r="A3907" s="92">
        <v>95</v>
      </c>
      <c r="B3907" s="93"/>
      <c r="C3907" s="94" t="s">
        <v>3</v>
      </c>
      <c r="D3907" s="95"/>
    </row>
    <row r="3908" spans="1:4" ht="42.75" customHeight="1" thickBot="1">
      <c r="A3908" s="92">
        <v>103</v>
      </c>
      <c r="B3908" s="93"/>
      <c r="C3908" s="96" t="s">
        <v>4</v>
      </c>
      <c r="D3908" s="97"/>
    </row>
    <row r="3909" spans="1:4" ht="42.75" customHeight="1" thickBot="1">
      <c r="A3909" s="98">
        <v>10</v>
      </c>
      <c r="B3909" s="99"/>
      <c r="C3909" s="100" t="s">
        <v>5</v>
      </c>
      <c r="D3909" s="97"/>
    </row>
    <row r="3910" spans="1:4" ht="42.75" customHeight="1" thickBot="1">
      <c r="A3910" s="101">
        <v>62</v>
      </c>
      <c r="B3910" s="102"/>
      <c r="C3910" s="96" t="s">
        <v>6</v>
      </c>
      <c r="D3910" s="97"/>
    </row>
    <row r="3911" spans="1:4" ht="42.75" customHeight="1" thickBot="1">
      <c r="A3911" s="103"/>
      <c r="B3911" s="104"/>
      <c r="C3911" s="96" t="s">
        <v>21</v>
      </c>
      <c r="D3911" s="97"/>
    </row>
    <row r="3912" spans="1:4" ht="42.75" customHeight="1" thickBot="1">
      <c r="A3912" s="105">
        <v>600</v>
      </c>
      <c r="B3912" s="106"/>
      <c r="C3912" s="96" t="s">
        <v>7</v>
      </c>
      <c r="D3912" s="97"/>
    </row>
    <row r="3913" spans="1:4" ht="42.75" customHeight="1" thickBot="1">
      <c r="A3913" s="107" t="s">
        <v>17</v>
      </c>
      <c r="B3913" s="108"/>
      <c r="C3913" s="108"/>
      <c r="D3913" s="109"/>
    </row>
    <row r="3914" spans="1:4" ht="42.75" customHeight="1" thickBot="1">
      <c r="A3914" s="110" t="s">
        <v>20</v>
      </c>
      <c r="B3914" s="111"/>
      <c r="C3914" s="111"/>
      <c r="D3914" s="112"/>
    </row>
    <row r="3915" spans="1:4" ht="42.75" customHeight="1" thickBot="1">
      <c r="A3915" s="113" t="s">
        <v>18</v>
      </c>
      <c r="B3915" s="114"/>
      <c r="C3915" s="114"/>
      <c r="D3915" s="115"/>
    </row>
    <row r="3916" spans="1:4" ht="42.75" customHeight="1" thickBot="1">
      <c r="A3916" s="126" t="s">
        <v>19</v>
      </c>
      <c r="B3916" s="127"/>
      <c r="C3916" s="127"/>
      <c r="D3916" s="128"/>
    </row>
    <row r="3917" spans="1:4" ht="42.75" customHeight="1" thickBot="1">
      <c r="A3917" s="123" t="s">
        <v>11</v>
      </c>
      <c r="B3917" s="124"/>
      <c r="C3917" s="125" t="s">
        <v>603</v>
      </c>
      <c r="D3917" s="124"/>
    </row>
    <row r="3918" spans="1:4" ht="42.75" customHeight="1" thickBot="1">
      <c r="A3918" s="1" t="s">
        <v>686</v>
      </c>
      <c r="B3918" s="26" t="s">
        <v>1</v>
      </c>
      <c r="C3918" s="90" t="s">
        <v>48</v>
      </c>
      <c r="D3918" s="91"/>
    </row>
    <row r="3919" spans="1:4" ht="42.75" customHeight="1" thickBot="1">
      <c r="A3919" s="26"/>
      <c r="B3919" s="26" t="s">
        <v>0</v>
      </c>
      <c r="C3919" s="5" t="s">
        <v>687</v>
      </c>
      <c r="D3919" s="4" t="s">
        <v>2</v>
      </c>
    </row>
    <row r="3920" spans="1:4" ht="42.75" customHeight="1" thickBot="1">
      <c r="A3920" s="92">
        <v>809</v>
      </c>
      <c r="B3920" s="93"/>
      <c r="C3920" s="94" t="s">
        <v>3</v>
      </c>
      <c r="D3920" s="95"/>
    </row>
    <row r="3921" spans="1:4" ht="42.75" customHeight="1" thickBot="1">
      <c r="A3921" s="92">
        <v>809</v>
      </c>
      <c r="B3921" s="93"/>
      <c r="C3921" s="96" t="s">
        <v>4</v>
      </c>
      <c r="D3921" s="97"/>
    </row>
    <row r="3922" spans="1:4" ht="42.75" customHeight="1" thickBot="1">
      <c r="A3922" s="98">
        <f>A3921-A3920</f>
        <v>0</v>
      </c>
      <c r="B3922" s="99"/>
      <c r="C3922" s="100" t="s">
        <v>5</v>
      </c>
      <c r="D3922" s="97"/>
    </row>
    <row r="3923" spans="1:4" ht="42.75" customHeight="1" thickBot="1">
      <c r="A3923" s="101">
        <v>62</v>
      </c>
      <c r="B3923" s="102"/>
      <c r="C3923" s="96" t="s">
        <v>6</v>
      </c>
      <c r="D3923" s="97"/>
    </row>
    <row r="3924" spans="1:4" ht="42.75" customHeight="1" thickBot="1">
      <c r="A3924" s="103"/>
      <c r="B3924" s="104"/>
      <c r="C3924" s="96" t="s">
        <v>21</v>
      </c>
      <c r="D3924" s="97"/>
    </row>
    <row r="3925" spans="1:4" ht="42.75" customHeight="1" thickBot="1">
      <c r="A3925" s="105">
        <f>A3923*A3922</f>
        <v>0</v>
      </c>
      <c r="B3925" s="106"/>
      <c r="C3925" s="96" t="s">
        <v>7</v>
      </c>
      <c r="D3925" s="97"/>
    </row>
    <row r="3926" spans="1:4" ht="42.75" customHeight="1" thickBot="1">
      <c r="A3926" s="107" t="s">
        <v>17</v>
      </c>
      <c r="B3926" s="108"/>
      <c r="C3926" s="108"/>
      <c r="D3926" s="109"/>
    </row>
    <row r="3927" spans="1:4" ht="42.75" customHeight="1" thickBot="1">
      <c r="A3927" s="116" t="s">
        <v>20</v>
      </c>
      <c r="B3927" s="117"/>
      <c r="C3927" s="117"/>
      <c r="D3927" s="118"/>
    </row>
    <row r="3928" spans="1:4" ht="42.75" customHeight="1" thickBot="1">
      <c r="A3928" s="113" t="s">
        <v>18</v>
      </c>
      <c r="B3928" s="114"/>
      <c r="C3928" s="114"/>
      <c r="D3928" s="115"/>
    </row>
    <row r="3929" spans="1:4" ht="42.75" customHeight="1" thickBot="1">
      <c r="A3929" s="119"/>
      <c r="B3929" s="119"/>
      <c r="C3929" s="119"/>
      <c r="D3929" s="119"/>
    </row>
    <row r="3930" spans="1:4" ht="42.75" customHeight="1" thickBot="1">
      <c r="A3930" s="126" t="s">
        <v>19</v>
      </c>
      <c r="B3930" s="127"/>
      <c r="C3930" s="127"/>
      <c r="D3930" s="128"/>
    </row>
    <row r="3931" spans="1:4" ht="42.75" customHeight="1" thickBot="1">
      <c r="A3931" s="123" t="s">
        <v>11</v>
      </c>
      <c r="B3931" s="124"/>
      <c r="C3931" s="125" t="s">
        <v>603</v>
      </c>
      <c r="D3931" s="124"/>
    </row>
    <row r="3932" spans="1:4" ht="42.75" customHeight="1" thickBot="1">
      <c r="A3932" s="1" t="s">
        <v>686</v>
      </c>
      <c r="B3932" s="26" t="s">
        <v>1</v>
      </c>
      <c r="C3932" s="90" t="s">
        <v>48</v>
      </c>
      <c r="D3932" s="91"/>
    </row>
    <row r="3933" spans="1:4" ht="42.75" customHeight="1" thickBot="1">
      <c r="A3933" s="26"/>
      <c r="B3933" s="26" t="s">
        <v>0</v>
      </c>
      <c r="C3933" s="5" t="s">
        <v>687</v>
      </c>
      <c r="D3933" s="4" t="s">
        <v>2</v>
      </c>
    </row>
    <row r="3934" spans="1:4" ht="42.75" customHeight="1" thickBot="1">
      <c r="A3934" s="92">
        <v>800</v>
      </c>
      <c r="B3934" s="93"/>
      <c r="C3934" s="94" t="s">
        <v>3</v>
      </c>
      <c r="D3934" s="95"/>
    </row>
    <row r="3935" spans="1:4" ht="42.75" customHeight="1" thickBot="1">
      <c r="A3935" s="92">
        <v>809</v>
      </c>
      <c r="B3935" s="93"/>
      <c r="C3935" s="96" t="s">
        <v>4</v>
      </c>
      <c r="D3935" s="97"/>
    </row>
    <row r="3936" spans="1:4" ht="42.75" customHeight="1" thickBot="1">
      <c r="A3936" s="98">
        <v>10</v>
      </c>
      <c r="B3936" s="99"/>
      <c r="C3936" s="100" t="s">
        <v>5</v>
      </c>
      <c r="D3936" s="97"/>
    </row>
    <row r="3937" spans="1:4" ht="42.75" customHeight="1" thickBot="1">
      <c r="A3937" s="101">
        <v>62</v>
      </c>
      <c r="B3937" s="102"/>
      <c r="C3937" s="96" t="s">
        <v>6</v>
      </c>
      <c r="D3937" s="97"/>
    </row>
    <row r="3938" spans="1:4" ht="42.75" customHeight="1" thickBot="1">
      <c r="A3938" s="103"/>
      <c r="B3938" s="104"/>
      <c r="C3938" s="96" t="s">
        <v>21</v>
      </c>
      <c r="D3938" s="97"/>
    </row>
    <row r="3939" spans="1:4" ht="42.75" customHeight="1" thickBot="1">
      <c r="A3939" s="105">
        <v>600</v>
      </c>
      <c r="B3939" s="106"/>
      <c r="C3939" s="96" t="s">
        <v>7</v>
      </c>
      <c r="D3939" s="97"/>
    </row>
    <row r="3940" spans="1:4" ht="42.75" customHeight="1" thickBot="1">
      <c r="A3940" s="107" t="s">
        <v>17</v>
      </c>
      <c r="B3940" s="108"/>
      <c r="C3940" s="108"/>
      <c r="D3940" s="109"/>
    </row>
    <row r="3941" spans="1:4" ht="42.75" customHeight="1" thickBot="1">
      <c r="A3941" s="110" t="s">
        <v>20</v>
      </c>
      <c r="B3941" s="111"/>
      <c r="C3941" s="111"/>
      <c r="D3941" s="112"/>
    </row>
    <row r="3942" spans="1:4" ht="42.75" customHeight="1" thickBot="1">
      <c r="A3942" s="113" t="s">
        <v>18</v>
      </c>
      <c r="B3942" s="114"/>
      <c r="C3942" s="114"/>
      <c r="D3942" s="115"/>
    </row>
    <row r="3943" spans="1:4" ht="42.75" customHeight="1" thickBot="1">
      <c r="A3943" s="126" t="s">
        <v>19</v>
      </c>
      <c r="B3943" s="127"/>
      <c r="C3943" s="127"/>
      <c r="D3943" s="128"/>
    </row>
    <row r="3944" spans="1:4" ht="42.75" customHeight="1" thickBot="1">
      <c r="A3944" s="123" t="s">
        <v>11</v>
      </c>
      <c r="B3944" s="124"/>
      <c r="C3944" s="125" t="s">
        <v>603</v>
      </c>
      <c r="D3944" s="124"/>
    </row>
    <row r="3945" spans="1:4" ht="42.75" customHeight="1" thickBot="1">
      <c r="A3945" s="1" t="s">
        <v>686</v>
      </c>
      <c r="B3945" s="26" t="s">
        <v>1</v>
      </c>
      <c r="C3945" s="90" t="s">
        <v>63</v>
      </c>
      <c r="D3945" s="91"/>
    </row>
    <row r="3946" spans="1:4" ht="42.75" customHeight="1" thickBot="1">
      <c r="A3946" s="26"/>
      <c r="B3946" s="26" t="s">
        <v>0</v>
      </c>
      <c r="C3946" s="5" t="s">
        <v>687</v>
      </c>
      <c r="D3946" s="4" t="s">
        <v>2</v>
      </c>
    </row>
    <row r="3947" spans="1:4" ht="42.75" customHeight="1" thickBot="1">
      <c r="A3947" s="92">
        <v>509</v>
      </c>
      <c r="B3947" s="93"/>
      <c r="C3947" s="94" t="s">
        <v>3</v>
      </c>
      <c r="D3947" s="95"/>
    </row>
    <row r="3948" spans="1:4" ht="42.75" customHeight="1" thickBot="1">
      <c r="A3948" s="92">
        <v>509</v>
      </c>
      <c r="B3948" s="93"/>
      <c r="C3948" s="96" t="s">
        <v>4</v>
      </c>
      <c r="D3948" s="97"/>
    </row>
    <row r="3949" spans="1:4" ht="42.75" customHeight="1" thickBot="1">
      <c r="A3949" s="98">
        <f>A3948-A3947</f>
        <v>0</v>
      </c>
      <c r="B3949" s="99"/>
      <c r="C3949" s="100" t="s">
        <v>5</v>
      </c>
      <c r="D3949" s="97"/>
    </row>
    <row r="3950" spans="1:4" ht="42.75" customHeight="1" thickBot="1">
      <c r="A3950" s="101">
        <v>62</v>
      </c>
      <c r="B3950" s="102"/>
      <c r="C3950" s="96" t="s">
        <v>6</v>
      </c>
      <c r="D3950" s="97"/>
    </row>
    <row r="3951" spans="1:4" ht="42.75" customHeight="1" thickBot="1">
      <c r="A3951" s="103"/>
      <c r="B3951" s="104"/>
      <c r="C3951" s="96" t="s">
        <v>21</v>
      </c>
      <c r="D3951" s="97"/>
    </row>
    <row r="3952" spans="1:4" ht="42.75" customHeight="1" thickBot="1">
      <c r="A3952" s="105">
        <f>A3950*A3949</f>
        <v>0</v>
      </c>
      <c r="B3952" s="106"/>
      <c r="C3952" s="96" t="s">
        <v>7</v>
      </c>
      <c r="D3952" s="97"/>
    </row>
    <row r="3953" spans="1:4" ht="42.75" customHeight="1" thickBot="1">
      <c r="A3953" s="107" t="s">
        <v>17</v>
      </c>
      <c r="B3953" s="108"/>
      <c r="C3953" s="108"/>
      <c r="D3953" s="109"/>
    </row>
    <row r="3954" spans="1:4" ht="42.75" customHeight="1" thickBot="1">
      <c r="A3954" s="116" t="s">
        <v>20</v>
      </c>
      <c r="B3954" s="117"/>
      <c r="C3954" s="117"/>
      <c r="D3954" s="118"/>
    </row>
    <row r="3955" spans="1:4" ht="42.75" customHeight="1" thickBot="1">
      <c r="A3955" s="113" t="s">
        <v>18</v>
      </c>
      <c r="B3955" s="114"/>
      <c r="C3955" s="114"/>
      <c r="D3955" s="115"/>
    </row>
    <row r="3956" spans="1:4" ht="42.75" customHeight="1" thickBot="1">
      <c r="A3956" s="119"/>
      <c r="B3956" s="119"/>
      <c r="C3956" s="119"/>
      <c r="D3956" s="119"/>
    </row>
    <row r="3957" spans="1:4" ht="42.75" customHeight="1" thickBot="1">
      <c r="A3957" s="126" t="s">
        <v>19</v>
      </c>
      <c r="B3957" s="127"/>
      <c r="C3957" s="127"/>
      <c r="D3957" s="128"/>
    </row>
    <row r="3958" spans="1:4" ht="42.75" customHeight="1" thickBot="1">
      <c r="A3958" s="123" t="s">
        <v>11</v>
      </c>
      <c r="B3958" s="124"/>
      <c r="C3958" s="125" t="s">
        <v>603</v>
      </c>
      <c r="D3958" s="124"/>
    </row>
    <row r="3959" spans="1:4" ht="42.75" customHeight="1" thickBot="1">
      <c r="A3959" s="1" t="s">
        <v>686</v>
      </c>
      <c r="B3959" s="26" t="s">
        <v>1</v>
      </c>
      <c r="C3959" s="90" t="s">
        <v>63</v>
      </c>
      <c r="D3959" s="91"/>
    </row>
    <row r="3960" spans="1:4" ht="42.75" customHeight="1" thickBot="1">
      <c r="A3960" s="26"/>
      <c r="B3960" s="26" t="s">
        <v>0</v>
      </c>
      <c r="C3960" s="5" t="s">
        <v>687</v>
      </c>
      <c r="D3960" s="4" t="s">
        <v>2</v>
      </c>
    </row>
    <row r="3961" spans="1:4" ht="42.75" customHeight="1" thickBot="1">
      <c r="A3961" s="92">
        <v>500</v>
      </c>
      <c r="B3961" s="93"/>
      <c r="C3961" s="94" t="s">
        <v>3</v>
      </c>
      <c r="D3961" s="95"/>
    </row>
    <row r="3962" spans="1:4" ht="42.75" customHeight="1" thickBot="1">
      <c r="A3962" s="92">
        <v>509</v>
      </c>
      <c r="B3962" s="93"/>
      <c r="C3962" s="96" t="s">
        <v>4</v>
      </c>
      <c r="D3962" s="97"/>
    </row>
    <row r="3963" spans="1:4" ht="42.75" customHeight="1" thickBot="1">
      <c r="A3963" s="98">
        <v>10</v>
      </c>
      <c r="B3963" s="99"/>
      <c r="C3963" s="100" t="s">
        <v>5</v>
      </c>
      <c r="D3963" s="97"/>
    </row>
    <row r="3964" spans="1:4" ht="42.75" customHeight="1" thickBot="1">
      <c r="A3964" s="101">
        <v>62</v>
      </c>
      <c r="B3964" s="102"/>
      <c r="C3964" s="96" t="s">
        <v>6</v>
      </c>
      <c r="D3964" s="97"/>
    </row>
    <row r="3965" spans="1:4" ht="42.75" customHeight="1" thickBot="1">
      <c r="A3965" s="103"/>
      <c r="B3965" s="104"/>
      <c r="C3965" s="96" t="s">
        <v>21</v>
      </c>
      <c r="D3965" s="97"/>
    </row>
    <row r="3966" spans="1:4" ht="42.75" customHeight="1" thickBot="1">
      <c r="A3966" s="105">
        <v>600</v>
      </c>
      <c r="B3966" s="106"/>
      <c r="C3966" s="96" t="s">
        <v>7</v>
      </c>
      <c r="D3966" s="97"/>
    </row>
    <row r="3967" spans="1:4" ht="42.75" customHeight="1" thickBot="1">
      <c r="A3967" s="107" t="s">
        <v>17</v>
      </c>
      <c r="B3967" s="108"/>
      <c r="C3967" s="108"/>
      <c r="D3967" s="109"/>
    </row>
    <row r="3968" spans="1:4" ht="42.75" customHeight="1" thickBot="1">
      <c r="A3968" s="110" t="s">
        <v>20</v>
      </c>
      <c r="B3968" s="111"/>
      <c r="C3968" s="111"/>
      <c r="D3968" s="112"/>
    </row>
    <row r="3969" spans="1:4" ht="42.75" customHeight="1" thickBot="1">
      <c r="A3969" s="113" t="s">
        <v>18</v>
      </c>
      <c r="B3969" s="114"/>
      <c r="C3969" s="114"/>
      <c r="D3969" s="115"/>
    </row>
    <row r="3970" spans="1:4" ht="42.75" customHeight="1" thickBot="1">
      <c r="A3970" s="126" t="s">
        <v>19</v>
      </c>
      <c r="B3970" s="127"/>
      <c r="C3970" s="127"/>
      <c r="D3970" s="128"/>
    </row>
    <row r="3971" spans="1:4" ht="42.75" customHeight="1" thickBot="1">
      <c r="A3971" s="123" t="s">
        <v>11</v>
      </c>
      <c r="B3971" s="124"/>
      <c r="C3971" s="125" t="s">
        <v>603</v>
      </c>
      <c r="D3971" s="124"/>
    </row>
    <row r="3972" spans="1:4" ht="42.75" customHeight="1" thickBot="1">
      <c r="A3972" s="1" t="s">
        <v>686</v>
      </c>
      <c r="B3972" s="26" t="s">
        <v>1</v>
      </c>
      <c r="C3972" s="90" t="s">
        <v>321</v>
      </c>
      <c r="D3972" s="91"/>
    </row>
    <row r="3973" spans="1:4" ht="42.75" customHeight="1" thickBot="1">
      <c r="A3973" s="26"/>
      <c r="B3973" s="26" t="s">
        <v>0</v>
      </c>
      <c r="C3973" s="5" t="s">
        <v>687</v>
      </c>
      <c r="D3973" s="4" t="s">
        <v>2</v>
      </c>
    </row>
    <row r="3974" spans="1:4" ht="42.75" customHeight="1" thickBot="1">
      <c r="A3974" s="92">
        <v>285</v>
      </c>
      <c r="B3974" s="93"/>
      <c r="C3974" s="94" t="s">
        <v>3</v>
      </c>
      <c r="D3974" s="95"/>
    </row>
    <row r="3975" spans="1:4" ht="42.75" customHeight="1" thickBot="1">
      <c r="A3975" s="92">
        <v>285</v>
      </c>
      <c r="B3975" s="93"/>
      <c r="C3975" s="96" t="s">
        <v>4</v>
      </c>
      <c r="D3975" s="97"/>
    </row>
    <row r="3976" spans="1:4" ht="42.75" customHeight="1" thickBot="1">
      <c r="A3976" s="98">
        <f>A3975-A3974</f>
        <v>0</v>
      </c>
      <c r="B3976" s="99"/>
      <c r="C3976" s="100" t="s">
        <v>5</v>
      </c>
      <c r="D3976" s="97"/>
    </row>
    <row r="3977" spans="1:4" ht="42.75" customHeight="1" thickBot="1">
      <c r="A3977" s="101">
        <v>62</v>
      </c>
      <c r="B3977" s="102"/>
      <c r="C3977" s="96" t="s">
        <v>6</v>
      </c>
      <c r="D3977" s="97"/>
    </row>
    <row r="3978" spans="1:4" ht="42.75" customHeight="1" thickBot="1">
      <c r="A3978" s="103"/>
      <c r="B3978" s="104"/>
      <c r="C3978" s="96" t="s">
        <v>21</v>
      </c>
      <c r="D3978" s="97"/>
    </row>
    <row r="3979" spans="1:4" ht="42.75" customHeight="1" thickBot="1">
      <c r="A3979" s="105">
        <f>A3977*A3976</f>
        <v>0</v>
      </c>
      <c r="B3979" s="106"/>
      <c r="C3979" s="96" t="s">
        <v>7</v>
      </c>
      <c r="D3979" s="97"/>
    </row>
    <row r="3980" spans="1:4" ht="42.75" customHeight="1" thickBot="1">
      <c r="A3980" s="107" t="s">
        <v>17</v>
      </c>
      <c r="B3980" s="108"/>
      <c r="C3980" s="108"/>
      <c r="D3980" s="109"/>
    </row>
    <row r="3981" spans="1:4" ht="42.75" customHeight="1" thickBot="1">
      <c r="A3981" s="116" t="s">
        <v>20</v>
      </c>
      <c r="B3981" s="117"/>
      <c r="C3981" s="117"/>
      <c r="D3981" s="118"/>
    </row>
    <row r="3982" spans="1:4" ht="42.75" customHeight="1" thickBot="1">
      <c r="A3982" s="113" t="s">
        <v>18</v>
      </c>
      <c r="B3982" s="114"/>
      <c r="C3982" s="114"/>
      <c r="D3982" s="115"/>
    </row>
    <row r="3983" spans="1:4" ht="42.75" customHeight="1" thickBot="1">
      <c r="A3983" s="119"/>
      <c r="B3983" s="119"/>
      <c r="C3983" s="119"/>
      <c r="D3983" s="119"/>
    </row>
    <row r="3984" spans="1:4" ht="42.75" customHeight="1" thickBot="1">
      <c r="A3984" s="126" t="s">
        <v>19</v>
      </c>
      <c r="B3984" s="127"/>
      <c r="C3984" s="127"/>
      <c r="D3984" s="128"/>
    </row>
    <row r="3985" spans="1:4" ht="42.75" customHeight="1" thickBot="1">
      <c r="A3985" s="123" t="s">
        <v>11</v>
      </c>
      <c r="B3985" s="124"/>
      <c r="C3985" s="125" t="s">
        <v>603</v>
      </c>
      <c r="D3985" s="124"/>
    </row>
    <row r="3986" spans="1:4" ht="42.75" customHeight="1" thickBot="1">
      <c r="A3986" s="1" t="s">
        <v>686</v>
      </c>
      <c r="B3986" s="26" t="s">
        <v>1</v>
      </c>
      <c r="C3986" s="90" t="s">
        <v>321</v>
      </c>
      <c r="D3986" s="91"/>
    </row>
    <row r="3987" spans="1:4" ht="42.75" customHeight="1" thickBot="1">
      <c r="A3987" s="26"/>
      <c r="B3987" s="26" t="s">
        <v>0</v>
      </c>
      <c r="C3987" s="5" t="s">
        <v>687</v>
      </c>
      <c r="D3987" s="4" t="s">
        <v>2</v>
      </c>
    </row>
    <row r="3988" spans="1:4" ht="42.75" customHeight="1" thickBot="1">
      <c r="A3988" s="92">
        <v>283</v>
      </c>
      <c r="B3988" s="93"/>
      <c r="C3988" s="94" t="s">
        <v>3</v>
      </c>
      <c r="D3988" s="95"/>
    </row>
    <row r="3989" spans="1:4" ht="42.75" customHeight="1" thickBot="1">
      <c r="A3989" s="92">
        <v>285</v>
      </c>
      <c r="B3989" s="93"/>
      <c r="C3989" s="96" t="s">
        <v>4</v>
      </c>
      <c r="D3989" s="97"/>
    </row>
    <row r="3990" spans="1:4" ht="42.75" customHeight="1" thickBot="1">
      <c r="A3990" s="98">
        <v>10</v>
      </c>
      <c r="B3990" s="99"/>
      <c r="C3990" s="100" t="s">
        <v>5</v>
      </c>
      <c r="D3990" s="97"/>
    </row>
    <row r="3991" spans="1:4" ht="42.75" customHeight="1" thickBot="1">
      <c r="A3991" s="101">
        <v>62</v>
      </c>
      <c r="B3991" s="102"/>
      <c r="C3991" s="96" t="s">
        <v>6</v>
      </c>
      <c r="D3991" s="97"/>
    </row>
    <row r="3992" spans="1:4" ht="42.75" customHeight="1" thickBot="1">
      <c r="A3992" s="103"/>
      <c r="B3992" s="104"/>
      <c r="C3992" s="96" t="s">
        <v>21</v>
      </c>
      <c r="D3992" s="97"/>
    </row>
    <row r="3993" spans="1:4" ht="42.75" customHeight="1" thickBot="1">
      <c r="A3993" s="105">
        <v>600</v>
      </c>
      <c r="B3993" s="106"/>
      <c r="C3993" s="96" t="s">
        <v>7</v>
      </c>
      <c r="D3993" s="97"/>
    </row>
    <row r="3994" spans="1:4" ht="42.75" customHeight="1" thickBot="1">
      <c r="A3994" s="107" t="s">
        <v>17</v>
      </c>
      <c r="B3994" s="108"/>
      <c r="C3994" s="108"/>
      <c r="D3994" s="109"/>
    </row>
    <row r="3995" spans="1:4" ht="42.75" customHeight="1" thickBot="1">
      <c r="A3995" s="110" t="s">
        <v>20</v>
      </c>
      <c r="B3995" s="111"/>
      <c r="C3995" s="111"/>
      <c r="D3995" s="112"/>
    </row>
    <row r="3996" spans="1:4" ht="42.75" customHeight="1" thickBot="1">
      <c r="A3996" s="113" t="s">
        <v>18</v>
      </c>
      <c r="B3996" s="114"/>
      <c r="C3996" s="114"/>
      <c r="D3996" s="115"/>
    </row>
    <row r="3997" spans="1:4" ht="42.75" customHeight="1" thickBot="1">
      <c r="A3997" s="126" t="s">
        <v>19</v>
      </c>
      <c r="B3997" s="127"/>
      <c r="C3997" s="127"/>
      <c r="D3997" s="128"/>
    </row>
    <row r="3998" spans="1:4" ht="42.75" customHeight="1" thickBot="1">
      <c r="A3998" s="123" t="s">
        <v>11</v>
      </c>
      <c r="B3998" s="124"/>
      <c r="C3998" s="125" t="s">
        <v>603</v>
      </c>
      <c r="D3998" s="124"/>
    </row>
    <row r="3999" spans="1:4" ht="42.75" customHeight="1" thickBot="1">
      <c r="A3999" s="1" t="s">
        <v>686</v>
      </c>
      <c r="B3999" s="26" t="s">
        <v>1</v>
      </c>
      <c r="C3999" s="90" t="s">
        <v>159</v>
      </c>
      <c r="D3999" s="91"/>
    </row>
    <row r="4000" spans="1:4" ht="42.75" customHeight="1" thickBot="1">
      <c r="A4000" s="26"/>
      <c r="B4000" s="26" t="s">
        <v>0</v>
      </c>
      <c r="C4000" s="5" t="s">
        <v>687</v>
      </c>
      <c r="D4000" s="4" t="s">
        <v>2</v>
      </c>
    </row>
    <row r="4001" spans="1:4" ht="42.75" customHeight="1" thickBot="1">
      <c r="A4001" s="92">
        <v>437</v>
      </c>
      <c r="B4001" s="93"/>
      <c r="C4001" s="94" t="s">
        <v>3</v>
      </c>
      <c r="D4001" s="95"/>
    </row>
    <row r="4002" spans="1:4" ht="42.75" customHeight="1" thickBot="1">
      <c r="A4002" s="92">
        <v>437</v>
      </c>
      <c r="B4002" s="93"/>
      <c r="C4002" s="96" t="s">
        <v>4</v>
      </c>
      <c r="D4002" s="97"/>
    </row>
    <row r="4003" spans="1:4" ht="42.75" customHeight="1" thickBot="1">
      <c r="A4003" s="98">
        <f>A4002-A4001</f>
        <v>0</v>
      </c>
      <c r="B4003" s="99"/>
      <c r="C4003" s="100" t="s">
        <v>5</v>
      </c>
      <c r="D4003" s="97"/>
    </row>
    <row r="4004" spans="1:4" ht="42.75" customHeight="1" thickBot="1">
      <c r="A4004" s="101">
        <v>62</v>
      </c>
      <c r="B4004" s="102"/>
      <c r="C4004" s="96" t="s">
        <v>6</v>
      </c>
      <c r="D4004" s="97"/>
    </row>
    <row r="4005" spans="1:4" ht="42.75" customHeight="1" thickBot="1">
      <c r="A4005" s="103"/>
      <c r="B4005" s="104"/>
      <c r="C4005" s="96" t="s">
        <v>21</v>
      </c>
      <c r="D4005" s="97"/>
    </row>
    <row r="4006" spans="1:4" ht="42.75" customHeight="1" thickBot="1">
      <c r="A4006" s="105">
        <f>A4004*A4003</f>
        <v>0</v>
      </c>
      <c r="B4006" s="106"/>
      <c r="C4006" s="96" t="s">
        <v>7</v>
      </c>
      <c r="D4006" s="97"/>
    </row>
    <row r="4007" spans="1:4" ht="42.75" customHeight="1" thickBot="1">
      <c r="A4007" s="107" t="s">
        <v>17</v>
      </c>
      <c r="B4007" s="108"/>
      <c r="C4007" s="108"/>
      <c r="D4007" s="109"/>
    </row>
    <row r="4008" spans="1:4" ht="42.75" customHeight="1" thickBot="1">
      <c r="A4008" s="116" t="s">
        <v>20</v>
      </c>
      <c r="B4008" s="117"/>
      <c r="C4008" s="117"/>
      <c r="D4008" s="118"/>
    </row>
    <row r="4009" spans="1:4" ht="42.75" customHeight="1" thickBot="1">
      <c r="A4009" s="113" t="s">
        <v>18</v>
      </c>
      <c r="B4009" s="114"/>
      <c r="C4009" s="114"/>
      <c r="D4009" s="115"/>
    </row>
    <row r="4010" spans="1:4" ht="42.75" customHeight="1" thickBot="1">
      <c r="A4010" s="119"/>
      <c r="B4010" s="119"/>
      <c r="C4010" s="119"/>
      <c r="D4010" s="119"/>
    </row>
    <row r="4011" spans="1:4" ht="42.75" customHeight="1" thickBot="1">
      <c r="A4011" s="126" t="s">
        <v>19</v>
      </c>
      <c r="B4011" s="127"/>
      <c r="C4011" s="127"/>
      <c r="D4011" s="128"/>
    </row>
    <row r="4012" spans="1:4" ht="42.75" customHeight="1" thickBot="1">
      <c r="A4012" s="123" t="s">
        <v>11</v>
      </c>
      <c r="B4012" s="124"/>
      <c r="C4012" s="125" t="s">
        <v>603</v>
      </c>
      <c r="D4012" s="124"/>
    </row>
    <row r="4013" spans="1:4" ht="42.75" customHeight="1" thickBot="1">
      <c r="A4013" s="1" t="s">
        <v>686</v>
      </c>
      <c r="B4013" s="26" t="s">
        <v>1</v>
      </c>
      <c r="C4013" s="90" t="s">
        <v>159</v>
      </c>
      <c r="D4013" s="91"/>
    </row>
    <row r="4014" spans="1:4" ht="42.75" customHeight="1" thickBot="1">
      <c r="A4014" s="26"/>
      <c r="B4014" s="26" t="s">
        <v>0</v>
      </c>
      <c r="C4014" s="5" t="s">
        <v>687</v>
      </c>
      <c r="D4014" s="4" t="s">
        <v>2</v>
      </c>
    </row>
    <row r="4015" spans="1:4" ht="42.75" customHeight="1" thickBot="1">
      <c r="A4015" s="92">
        <v>430</v>
      </c>
      <c r="B4015" s="93"/>
      <c r="C4015" s="94" t="s">
        <v>3</v>
      </c>
      <c r="D4015" s="95"/>
    </row>
    <row r="4016" spans="1:4" ht="42.75" customHeight="1" thickBot="1">
      <c r="A4016" s="92">
        <v>437</v>
      </c>
      <c r="B4016" s="93"/>
      <c r="C4016" s="96" t="s">
        <v>4</v>
      </c>
      <c r="D4016" s="97"/>
    </row>
    <row r="4017" spans="1:4" ht="42.75" customHeight="1" thickBot="1">
      <c r="A4017" s="98">
        <v>10</v>
      </c>
      <c r="B4017" s="99"/>
      <c r="C4017" s="100" t="s">
        <v>5</v>
      </c>
      <c r="D4017" s="97"/>
    </row>
    <row r="4018" spans="1:4" ht="42.75" customHeight="1" thickBot="1">
      <c r="A4018" s="101">
        <v>62</v>
      </c>
      <c r="B4018" s="102"/>
      <c r="C4018" s="96" t="s">
        <v>6</v>
      </c>
      <c r="D4018" s="97"/>
    </row>
    <row r="4019" spans="1:4" ht="42.75" customHeight="1" thickBot="1">
      <c r="A4019" s="103"/>
      <c r="B4019" s="104"/>
      <c r="C4019" s="96" t="s">
        <v>21</v>
      </c>
      <c r="D4019" s="97"/>
    </row>
    <row r="4020" spans="1:4" ht="42.75" customHeight="1" thickBot="1">
      <c r="A4020" s="105">
        <v>600</v>
      </c>
      <c r="B4020" s="106"/>
      <c r="C4020" s="96" t="s">
        <v>7</v>
      </c>
      <c r="D4020" s="97"/>
    </row>
    <row r="4021" spans="1:4" ht="42.75" customHeight="1" thickBot="1">
      <c r="A4021" s="107" t="s">
        <v>17</v>
      </c>
      <c r="B4021" s="108"/>
      <c r="C4021" s="108"/>
      <c r="D4021" s="109"/>
    </row>
    <row r="4022" spans="1:4" ht="42.75" customHeight="1" thickBot="1">
      <c r="A4022" s="110" t="s">
        <v>20</v>
      </c>
      <c r="B4022" s="111"/>
      <c r="C4022" s="111"/>
      <c r="D4022" s="112"/>
    </row>
    <row r="4023" spans="1:4" ht="42.75" customHeight="1" thickBot="1">
      <c r="A4023" s="113" t="s">
        <v>18</v>
      </c>
      <c r="B4023" s="114"/>
      <c r="C4023" s="114"/>
      <c r="D4023" s="115"/>
    </row>
    <row r="4024" spans="1:4" ht="42.75" customHeight="1" thickBot="1">
      <c r="A4024" s="126" t="s">
        <v>19</v>
      </c>
      <c r="B4024" s="127"/>
      <c r="C4024" s="127"/>
      <c r="D4024" s="128"/>
    </row>
    <row r="4025" spans="1:4" ht="42.75" customHeight="1" thickBot="1">
      <c r="A4025" s="123" t="s">
        <v>11</v>
      </c>
      <c r="B4025" s="124"/>
      <c r="C4025" s="125" t="s">
        <v>603</v>
      </c>
      <c r="D4025" s="124"/>
    </row>
    <row r="4026" spans="1:4" ht="42.75" customHeight="1" thickBot="1">
      <c r="A4026" s="1" t="s">
        <v>686</v>
      </c>
      <c r="B4026" s="26" t="s">
        <v>1</v>
      </c>
      <c r="C4026" s="90" t="s">
        <v>322</v>
      </c>
      <c r="D4026" s="91"/>
    </row>
    <row r="4027" spans="1:4" ht="42.75" customHeight="1" thickBot="1">
      <c r="A4027" s="26"/>
      <c r="B4027" s="26" t="s">
        <v>0</v>
      </c>
      <c r="C4027" s="5" t="s">
        <v>687</v>
      </c>
      <c r="D4027" s="4" t="s">
        <v>2</v>
      </c>
    </row>
    <row r="4028" spans="1:4" ht="42.75" customHeight="1" thickBot="1">
      <c r="A4028" s="92">
        <v>609</v>
      </c>
      <c r="B4028" s="93"/>
      <c r="C4028" s="94" t="s">
        <v>3</v>
      </c>
      <c r="D4028" s="95"/>
    </row>
    <row r="4029" spans="1:4" ht="42.75" customHeight="1" thickBot="1">
      <c r="A4029" s="92">
        <v>609</v>
      </c>
      <c r="B4029" s="93"/>
      <c r="C4029" s="96" t="s">
        <v>4</v>
      </c>
      <c r="D4029" s="97"/>
    </row>
    <row r="4030" spans="1:4" ht="42.75" customHeight="1" thickBot="1">
      <c r="A4030" s="98">
        <f>A4029-A4028</f>
        <v>0</v>
      </c>
      <c r="B4030" s="99"/>
      <c r="C4030" s="100" t="s">
        <v>5</v>
      </c>
      <c r="D4030" s="97"/>
    </row>
    <row r="4031" spans="1:4" ht="42.75" customHeight="1" thickBot="1">
      <c r="A4031" s="101">
        <v>62</v>
      </c>
      <c r="B4031" s="102"/>
      <c r="C4031" s="96" t="s">
        <v>6</v>
      </c>
      <c r="D4031" s="97"/>
    </row>
    <row r="4032" spans="1:4" ht="42.75" customHeight="1" thickBot="1">
      <c r="A4032" s="103"/>
      <c r="B4032" s="104"/>
      <c r="C4032" s="96" t="s">
        <v>21</v>
      </c>
      <c r="D4032" s="97"/>
    </row>
    <row r="4033" spans="1:4" ht="42.75" customHeight="1" thickBot="1">
      <c r="A4033" s="105">
        <f>A4031*A4030</f>
        <v>0</v>
      </c>
      <c r="B4033" s="106"/>
      <c r="C4033" s="96" t="s">
        <v>7</v>
      </c>
      <c r="D4033" s="97"/>
    </row>
    <row r="4034" spans="1:4" ht="42.75" customHeight="1" thickBot="1">
      <c r="A4034" s="107" t="s">
        <v>17</v>
      </c>
      <c r="B4034" s="108"/>
      <c r="C4034" s="108"/>
      <c r="D4034" s="109"/>
    </row>
    <row r="4035" spans="1:4" ht="42.75" customHeight="1" thickBot="1">
      <c r="A4035" s="116" t="s">
        <v>20</v>
      </c>
      <c r="B4035" s="117"/>
      <c r="C4035" s="117"/>
      <c r="D4035" s="118"/>
    </row>
    <row r="4036" spans="1:4" ht="42.75" customHeight="1" thickBot="1">
      <c r="A4036" s="113" t="s">
        <v>18</v>
      </c>
      <c r="B4036" s="114"/>
      <c r="C4036" s="114"/>
      <c r="D4036" s="115"/>
    </row>
    <row r="4037" spans="1:4" ht="42.75" customHeight="1" thickBot="1">
      <c r="A4037" s="119"/>
      <c r="B4037" s="119"/>
      <c r="C4037" s="119"/>
      <c r="D4037" s="119"/>
    </row>
    <row r="4038" spans="1:4" ht="42.75" customHeight="1" thickBot="1">
      <c r="A4038" s="126" t="s">
        <v>19</v>
      </c>
      <c r="B4038" s="127"/>
      <c r="C4038" s="127"/>
      <c r="D4038" s="128"/>
    </row>
    <row r="4039" spans="1:4" ht="42.75" customHeight="1" thickBot="1">
      <c r="A4039" s="123" t="s">
        <v>11</v>
      </c>
      <c r="B4039" s="124"/>
      <c r="C4039" s="125" t="s">
        <v>603</v>
      </c>
      <c r="D4039" s="124"/>
    </row>
    <row r="4040" spans="1:4" ht="42.75" customHeight="1" thickBot="1">
      <c r="A4040" s="1" t="s">
        <v>686</v>
      </c>
      <c r="B4040" s="26" t="s">
        <v>1</v>
      </c>
      <c r="C4040" s="90" t="s">
        <v>322</v>
      </c>
      <c r="D4040" s="91"/>
    </row>
    <row r="4041" spans="1:4" ht="42.75" customHeight="1" thickBot="1">
      <c r="A4041" s="26"/>
      <c r="B4041" s="26" t="s">
        <v>0</v>
      </c>
      <c r="C4041" s="5" t="s">
        <v>687</v>
      </c>
      <c r="D4041" s="4" t="s">
        <v>2</v>
      </c>
    </row>
    <row r="4042" spans="1:4" ht="42.75" customHeight="1" thickBot="1">
      <c r="A4042" s="92">
        <v>600</v>
      </c>
      <c r="B4042" s="93"/>
      <c r="C4042" s="94" t="s">
        <v>3</v>
      </c>
      <c r="D4042" s="95"/>
    </row>
    <row r="4043" spans="1:4" ht="42.75" customHeight="1" thickBot="1">
      <c r="A4043" s="92">
        <v>609</v>
      </c>
      <c r="B4043" s="93"/>
      <c r="C4043" s="96" t="s">
        <v>4</v>
      </c>
      <c r="D4043" s="97"/>
    </row>
    <row r="4044" spans="1:4" ht="42.75" customHeight="1" thickBot="1">
      <c r="A4044" s="98">
        <v>10</v>
      </c>
      <c r="B4044" s="99"/>
      <c r="C4044" s="100" t="s">
        <v>5</v>
      </c>
      <c r="D4044" s="97"/>
    </row>
    <row r="4045" spans="1:4" ht="42.75" customHeight="1" thickBot="1">
      <c r="A4045" s="101">
        <v>62</v>
      </c>
      <c r="B4045" s="102"/>
      <c r="C4045" s="96" t="s">
        <v>6</v>
      </c>
      <c r="D4045" s="97"/>
    </row>
    <row r="4046" spans="1:4" ht="42.75" customHeight="1" thickBot="1">
      <c r="A4046" s="103"/>
      <c r="B4046" s="104"/>
      <c r="C4046" s="96" t="s">
        <v>21</v>
      </c>
      <c r="D4046" s="97"/>
    </row>
    <row r="4047" spans="1:4" ht="42.75" customHeight="1" thickBot="1">
      <c r="A4047" s="105">
        <v>600</v>
      </c>
      <c r="B4047" s="106"/>
      <c r="C4047" s="96" t="s">
        <v>7</v>
      </c>
      <c r="D4047" s="97"/>
    </row>
    <row r="4048" spans="1:4" ht="42.75" customHeight="1" thickBot="1">
      <c r="A4048" s="107" t="s">
        <v>17</v>
      </c>
      <c r="B4048" s="108"/>
      <c r="C4048" s="108"/>
      <c r="D4048" s="109"/>
    </row>
    <row r="4049" spans="1:4" ht="42.75" customHeight="1" thickBot="1">
      <c r="A4049" s="110" t="s">
        <v>20</v>
      </c>
      <c r="B4049" s="111"/>
      <c r="C4049" s="111"/>
      <c r="D4049" s="112"/>
    </row>
    <row r="4050" spans="1:4" ht="42.75" customHeight="1" thickBot="1">
      <c r="A4050" s="113" t="s">
        <v>18</v>
      </c>
      <c r="B4050" s="114"/>
      <c r="C4050" s="114"/>
      <c r="D4050" s="115"/>
    </row>
    <row r="4051" spans="1:4" ht="42.75" customHeight="1" thickBot="1">
      <c r="A4051" s="126" t="s">
        <v>19</v>
      </c>
      <c r="B4051" s="127"/>
      <c r="C4051" s="127"/>
      <c r="D4051" s="128"/>
    </row>
    <row r="4052" spans="1:4" ht="42.75" customHeight="1" thickBot="1">
      <c r="A4052" s="123" t="s">
        <v>11</v>
      </c>
      <c r="B4052" s="124"/>
      <c r="C4052" s="125" t="s">
        <v>603</v>
      </c>
      <c r="D4052" s="124"/>
    </row>
    <row r="4053" spans="1:4" ht="42.75" customHeight="1" thickBot="1">
      <c r="A4053" s="1" t="s">
        <v>686</v>
      </c>
      <c r="B4053" s="26" t="s">
        <v>1</v>
      </c>
      <c r="C4053" s="90" t="s">
        <v>323</v>
      </c>
      <c r="D4053" s="91"/>
    </row>
    <row r="4054" spans="1:4" ht="42.75" customHeight="1" thickBot="1">
      <c r="A4054" s="26"/>
      <c r="B4054" s="26" t="s">
        <v>0</v>
      </c>
      <c r="C4054" s="5" t="s">
        <v>687</v>
      </c>
      <c r="D4054" s="4" t="s">
        <v>2</v>
      </c>
    </row>
    <row r="4055" spans="1:4" ht="42.75" customHeight="1" thickBot="1">
      <c r="A4055" s="92">
        <v>107</v>
      </c>
      <c r="B4055" s="93"/>
      <c r="C4055" s="94" t="s">
        <v>3</v>
      </c>
      <c r="D4055" s="95"/>
    </row>
    <row r="4056" spans="1:4" ht="42.75" customHeight="1" thickBot="1">
      <c r="A4056" s="92">
        <v>107</v>
      </c>
      <c r="B4056" s="93"/>
      <c r="C4056" s="96" t="s">
        <v>4</v>
      </c>
      <c r="D4056" s="97"/>
    </row>
    <row r="4057" spans="1:4" ht="42.75" customHeight="1" thickBot="1">
      <c r="A4057" s="98">
        <f>A4056-A4055</f>
        <v>0</v>
      </c>
      <c r="B4057" s="99"/>
      <c r="C4057" s="100" t="s">
        <v>5</v>
      </c>
      <c r="D4057" s="97"/>
    </row>
    <row r="4058" spans="1:4" ht="42.75" customHeight="1" thickBot="1">
      <c r="A4058" s="101">
        <v>62</v>
      </c>
      <c r="B4058" s="102"/>
      <c r="C4058" s="96" t="s">
        <v>6</v>
      </c>
      <c r="D4058" s="97"/>
    </row>
    <row r="4059" spans="1:4" ht="42.75" customHeight="1" thickBot="1">
      <c r="A4059" s="103"/>
      <c r="B4059" s="104"/>
      <c r="C4059" s="96" t="s">
        <v>21</v>
      </c>
      <c r="D4059" s="97"/>
    </row>
    <row r="4060" spans="1:4" ht="42.75" customHeight="1" thickBot="1">
      <c r="A4060" s="105">
        <f>A4058*A4057</f>
        <v>0</v>
      </c>
      <c r="B4060" s="106"/>
      <c r="C4060" s="96" t="s">
        <v>7</v>
      </c>
      <c r="D4060" s="97"/>
    </row>
    <row r="4061" spans="1:4" ht="42.75" customHeight="1" thickBot="1">
      <c r="A4061" s="107" t="s">
        <v>17</v>
      </c>
      <c r="B4061" s="108"/>
      <c r="C4061" s="108"/>
      <c r="D4061" s="109"/>
    </row>
    <row r="4062" spans="1:4" ht="42.75" customHeight="1" thickBot="1">
      <c r="A4062" s="116" t="s">
        <v>20</v>
      </c>
      <c r="B4062" s="117"/>
      <c r="C4062" s="117"/>
      <c r="D4062" s="118"/>
    </row>
    <row r="4063" spans="1:4" ht="42.75" customHeight="1" thickBot="1">
      <c r="A4063" s="113" t="s">
        <v>18</v>
      </c>
      <c r="B4063" s="114"/>
      <c r="C4063" s="114"/>
      <c r="D4063" s="115"/>
    </row>
    <row r="4064" spans="1:4" ht="42.75" customHeight="1" thickBot="1">
      <c r="A4064" s="119"/>
      <c r="B4064" s="119"/>
      <c r="C4064" s="119"/>
      <c r="D4064" s="119"/>
    </row>
    <row r="4065" spans="1:4" ht="42.75" customHeight="1" thickBot="1">
      <c r="A4065" s="126" t="s">
        <v>19</v>
      </c>
      <c r="B4065" s="127"/>
      <c r="C4065" s="127"/>
      <c r="D4065" s="128"/>
    </row>
    <row r="4066" spans="1:4" ht="42.75" customHeight="1" thickBot="1">
      <c r="A4066" s="123" t="s">
        <v>11</v>
      </c>
      <c r="B4066" s="124"/>
      <c r="C4066" s="125" t="s">
        <v>603</v>
      </c>
      <c r="D4066" s="124"/>
    </row>
    <row r="4067" spans="1:4" ht="42.75" customHeight="1" thickBot="1">
      <c r="A4067" s="1" t="s">
        <v>686</v>
      </c>
      <c r="B4067" s="26" t="s">
        <v>1</v>
      </c>
      <c r="C4067" s="90" t="s">
        <v>323</v>
      </c>
      <c r="D4067" s="91"/>
    </row>
    <row r="4068" spans="1:4" ht="42.75" customHeight="1" thickBot="1">
      <c r="A4068" s="26"/>
      <c r="B4068" s="26" t="s">
        <v>0</v>
      </c>
      <c r="C4068" s="5" t="s">
        <v>687</v>
      </c>
      <c r="D4068" s="4" t="s">
        <v>2</v>
      </c>
    </row>
    <row r="4069" spans="1:4" ht="42.75" customHeight="1" thickBot="1">
      <c r="A4069" s="92">
        <v>101</v>
      </c>
      <c r="B4069" s="93"/>
      <c r="C4069" s="94" t="s">
        <v>3</v>
      </c>
      <c r="D4069" s="95"/>
    </row>
    <row r="4070" spans="1:4" ht="42.75" customHeight="1" thickBot="1">
      <c r="A4070" s="92">
        <v>107</v>
      </c>
      <c r="B4070" s="93"/>
      <c r="C4070" s="96" t="s">
        <v>4</v>
      </c>
      <c r="D4070" s="97"/>
    </row>
    <row r="4071" spans="1:4" ht="42.75" customHeight="1" thickBot="1">
      <c r="A4071" s="98">
        <v>10</v>
      </c>
      <c r="B4071" s="99"/>
      <c r="C4071" s="100" t="s">
        <v>5</v>
      </c>
      <c r="D4071" s="97"/>
    </row>
    <row r="4072" spans="1:4" ht="42.75" customHeight="1" thickBot="1">
      <c r="A4072" s="101">
        <v>62</v>
      </c>
      <c r="B4072" s="102"/>
      <c r="C4072" s="96" t="s">
        <v>6</v>
      </c>
      <c r="D4072" s="97"/>
    </row>
    <row r="4073" spans="1:4" ht="42.75" customHeight="1" thickBot="1">
      <c r="A4073" s="103"/>
      <c r="B4073" s="104"/>
      <c r="C4073" s="96" t="s">
        <v>21</v>
      </c>
      <c r="D4073" s="97"/>
    </row>
    <row r="4074" spans="1:4" ht="42.75" customHeight="1" thickBot="1">
      <c r="A4074" s="105">
        <v>600</v>
      </c>
      <c r="B4074" s="106"/>
      <c r="C4074" s="96" t="s">
        <v>7</v>
      </c>
      <c r="D4074" s="97"/>
    </row>
    <row r="4075" spans="1:4" ht="42.75" customHeight="1" thickBot="1">
      <c r="A4075" s="107" t="s">
        <v>17</v>
      </c>
      <c r="B4075" s="108"/>
      <c r="C4075" s="108"/>
      <c r="D4075" s="109"/>
    </row>
    <row r="4076" spans="1:4" ht="42.75" customHeight="1" thickBot="1">
      <c r="A4076" s="110" t="s">
        <v>20</v>
      </c>
      <c r="B4076" s="111"/>
      <c r="C4076" s="111"/>
      <c r="D4076" s="112"/>
    </row>
    <row r="4077" spans="1:4" ht="42.75" customHeight="1" thickBot="1">
      <c r="A4077" s="113" t="s">
        <v>18</v>
      </c>
      <c r="B4077" s="114"/>
      <c r="C4077" s="114"/>
      <c r="D4077" s="115"/>
    </row>
    <row r="4078" spans="1:4" ht="42.75" customHeight="1" thickBot="1">
      <c r="A4078" s="126" t="s">
        <v>19</v>
      </c>
      <c r="B4078" s="127"/>
      <c r="C4078" s="127"/>
      <c r="D4078" s="128"/>
    </row>
    <row r="4079" spans="1:4" ht="42.75" customHeight="1" thickBot="1">
      <c r="A4079" s="123" t="s">
        <v>11</v>
      </c>
      <c r="B4079" s="124"/>
      <c r="C4079" s="125" t="s">
        <v>603</v>
      </c>
      <c r="D4079" s="124"/>
    </row>
    <row r="4080" spans="1:4" ht="42.75" customHeight="1" thickBot="1">
      <c r="A4080" s="1" t="s">
        <v>686</v>
      </c>
      <c r="B4080" s="26" t="s">
        <v>1</v>
      </c>
      <c r="C4080" s="90" t="s">
        <v>324</v>
      </c>
      <c r="D4080" s="91"/>
    </row>
    <row r="4081" spans="1:4" ht="42.75" customHeight="1" thickBot="1">
      <c r="A4081" s="26"/>
      <c r="B4081" s="26" t="s">
        <v>0</v>
      </c>
      <c r="C4081" s="5" t="s">
        <v>687</v>
      </c>
      <c r="D4081" s="4" t="s">
        <v>2</v>
      </c>
    </row>
    <row r="4082" spans="1:4" ht="42.75" customHeight="1" thickBot="1">
      <c r="A4082" s="92">
        <v>242</v>
      </c>
      <c r="B4082" s="93"/>
      <c r="C4082" s="94" t="s">
        <v>3</v>
      </c>
      <c r="D4082" s="95"/>
    </row>
    <row r="4083" spans="1:4" ht="42.75" customHeight="1" thickBot="1">
      <c r="A4083" s="92">
        <v>242</v>
      </c>
      <c r="B4083" s="93"/>
      <c r="C4083" s="96" t="s">
        <v>4</v>
      </c>
      <c r="D4083" s="97"/>
    </row>
    <row r="4084" spans="1:4" ht="42.75" customHeight="1" thickBot="1">
      <c r="A4084" s="98">
        <f>A4083-A4082</f>
        <v>0</v>
      </c>
      <c r="B4084" s="99"/>
      <c r="C4084" s="100" t="s">
        <v>5</v>
      </c>
      <c r="D4084" s="97"/>
    </row>
    <row r="4085" spans="1:4" ht="42.75" customHeight="1" thickBot="1">
      <c r="A4085" s="101">
        <v>62</v>
      </c>
      <c r="B4085" s="102"/>
      <c r="C4085" s="96" t="s">
        <v>6</v>
      </c>
      <c r="D4085" s="97"/>
    </row>
    <row r="4086" spans="1:4" ht="42.75" customHeight="1" thickBot="1">
      <c r="A4086" s="103"/>
      <c r="B4086" s="104"/>
      <c r="C4086" s="96" t="s">
        <v>21</v>
      </c>
      <c r="D4086" s="97"/>
    </row>
    <row r="4087" spans="1:4" ht="42.75" customHeight="1" thickBot="1">
      <c r="A4087" s="105">
        <f>A4085*A4084</f>
        <v>0</v>
      </c>
      <c r="B4087" s="106"/>
      <c r="C4087" s="96" t="s">
        <v>7</v>
      </c>
      <c r="D4087" s="97"/>
    </row>
    <row r="4088" spans="1:4" ht="42.75" customHeight="1" thickBot="1">
      <c r="A4088" s="107" t="s">
        <v>17</v>
      </c>
      <c r="B4088" s="108"/>
      <c r="C4088" s="108"/>
      <c r="D4088" s="109"/>
    </row>
    <row r="4089" spans="1:4" ht="42.75" customHeight="1" thickBot="1">
      <c r="A4089" s="116" t="s">
        <v>20</v>
      </c>
      <c r="B4089" s="117"/>
      <c r="C4089" s="117"/>
      <c r="D4089" s="118"/>
    </row>
    <row r="4090" spans="1:4" ht="42.75" customHeight="1" thickBot="1">
      <c r="A4090" s="113" t="s">
        <v>18</v>
      </c>
      <c r="B4090" s="114"/>
      <c r="C4090" s="114"/>
      <c r="D4090" s="115"/>
    </row>
    <row r="4091" spans="1:4" ht="42.75" customHeight="1" thickBot="1">
      <c r="A4091" s="119"/>
      <c r="B4091" s="119"/>
      <c r="C4091" s="119"/>
      <c r="D4091" s="119"/>
    </row>
    <row r="4092" spans="1:4" ht="42.75" customHeight="1" thickBot="1">
      <c r="A4092" s="126" t="s">
        <v>19</v>
      </c>
      <c r="B4092" s="127"/>
      <c r="C4092" s="127"/>
      <c r="D4092" s="128"/>
    </row>
    <row r="4093" spans="1:4" ht="42.75" customHeight="1" thickBot="1">
      <c r="A4093" s="123" t="s">
        <v>11</v>
      </c>
      <c r="B4093" s="124"/>
      <c r="C4093" s="125" t="s">
        <v>603</v>
      </c>
      <c r="D4093" s="124"/>
    </row>
    <row r="4094" spans="1:4" ht="42.75" customHeight="1" thickBot="1">
      <c r="A4094" s="1" t="s">
        <v>686</v>
      </c>
      <c r="B4094" s="26" t="s">
        <v>1</v>
      </c>
      <c r="C4094" s="90" t="s">
        <v>324</v>
      </c>
      <c r="D4094" s="91"/>
    </row>
    <row r="4095" spans="1:4" ht="42.75" customHeight="1" thickBot="1">
      <c r="A4095" s="26"/>
      <c r="B4095" s="26" t="s">
        <v>0</v>
      </c>
      <c r="C4095" s="5" t="s">
        <v>687</v>
      </c>
      <c r="D4095" s="4" t="s">
        <v>2</v>
      </c>
    </row>
    <row r="4096" spans="1:4" ht="42.75" customHeight="1" thickBot="1">
      <c r="A4096" s="92">
        <v>237</v>
      </c>
      <c r="B4096" s="93"/>
      <c r="C4096" s="94" t="s">
        <v>3</v>
      </c>
      <c r="D4096" s="95"/>
    </row>
    <row r="4097" spans="1:4" ht="42.75" customHeight="1" thickBot="1">
      <c r="A4097" s="92">
        <v>242</v>
      </c>
      <c r="B4097" s="93"/>
      <c r="C4097" s="96" t="s">
        <v>4</v>
      </c>
      <c r="D4097" s="97"/>
    </row>
    <row r="4098" spans="1:4" ht="42.75" customHeight="1" thickBot="1">
      <c r="A4098" s="98">
        <v>10</v>
      </c>
      <c r="B4098" s="99"/>
      <c r="C4098" s="100" t="s">
        <v>5</v>
      </c>
      <c r="D4098" s="97"/>
    </row>
    <row r="4099" spans="1:4" ht="42.75" customHeight="1" thickBot="1">
      <c r="A4099" s="101">
        <v>62</v>
      </c>
      <c r="B4099" s="102"/>
      <c r="C4099" s="96" t="s">
        <v>6</v>
      </c>
      <c r="D4099" s="97"/>
    </row>
    <row r="4100" spans="1:4" ht="42.75" customHeight="1" thickBot="1">
      <c r="A4100" s="103"/>
      <c r="B4100" s="104"/>
      <c r="C4100" s="96" t="s">
        <v>21</v>
      </c>
      <c r="D4100" s="97"/>
    </row>
    <row r="4101" spans="1:4" ht="42.75" customHeight="1" thickBot="1">
      <c r="A4101" s="105">
        <v>600</v>
      </c>
      <c r="B4101" s="106"/>
      <c r="C4101" s="96" t="s">
        <v>7</v>
      </c>
      <c r="D4101" s="97"/>
    </row>
    <row r="4102" spans="1:4" ht="42.75" customHeight="1" thickBot="1">
      <c r="A4102" s="107" t="s">
        <v>17</v>
      </c>
      <c r="B4102" s="108"/>
      <c r="C4102" s="108"/>
      <c r="D4102" s="109"/>
    </row>
    <row r="4103" spans="1:4" ht="42.75" customHeight="1" thickBot="1">
      <c r="A4103" s="110" t="s">
        <v>20</v>
      </c>
      <c r="B4103" s="111"/>
      <c r="C4103" s="111"/>
      <c r="D4103" s="112"/>
    </row>
    <row r="4104" spans="1:4" ht="42.75" customHeight="1" thickBot="1">
      <c r="A4104" s="113" t="s">
        <v>18</v>
      </c>
      <c r="B4104" s="114"/>
      <c r="C4104" s="114"/>
      <c r="D4104" s="115"/>
    </row>
    <row r="4105" spans="1:4" ht="42.75" customHeight="1" thickBot="1">
      <c r="A4105" s="126" t="s">
        <v>19</v>
      </c>
      <c r="B4105" s="127"/>
      <c r="C4105" s="127"/>
      <c r="D4105" s="128"/>
    </row>
    <row r="4106" spans="1:4" ht="42.75" customHeight="1" thickBot="1">
      <c r="A4106" s="123" t="s">
        <v>11</v>
      </c>
      <c r="B4106" s="124"/>
      <c r="C4106" s="125" t="s">
        <v>603</v>
      </c>
      <c r="D4106" s="124"/>
    </row>
    <row r="4107" spans="1:4" ht="42.75" customHeight="1" thickBot="1">
      <c r="A4107" s="1" t="s">
        <v>686</v>
      </c>
      <c r="B4107" s="26" t="s">
        <v>1</v>
      </c>
      <c r="C4107" s="90" t="s">
        <v>566</v>
      </c>
      <c r="D4107" s="91"/>
    </row>
    <row r="4108" spans="1:4" ht="42.75" customHeight="1" thickBot="1">
      <c r="A4108" s="26"/>
      <c r="B4108" s="26" t="s">
        <v>0</v>
      </c>
      <c r="C4108" s="5" t="s">
        <v>687</v>
      </c>
      <c r="D4108" s="4" t="s">
        <v>2</v>
      </c>
    </row>
    <row r="4109" spans="1:4" ht="42.75" customHeight="1" thickBot="1">
      <c r="A4109" s="92">
        <v>128</v>
      </c>
      <c r="B4109" s="93"/>
      <c r="C4109" s="94" t="s">
        <v>3</v>
      </c>
      <c r="D4109" s="95"/>
    </row>
    <row r="4110" spans="1:4" ht="42.75" customHeight="1" thickBot="1">
      <c r="A4110" s="92">
        <v>128</v>
      </c>
      <c r="B4110" s="93"/>
      <c r="C4110" s="96" t="s">
        <v>4</v>
      </c>
      <c r="D4110" s="97"/>
    </row>
    <row r="4111" spans="1:4" ht="42.75" customHeight="1" thickBot="1">
      <c r="A4111" s="98">
        <f>A4110-A4109</f>
        <v>0</v>
      </c>
      <c r="B4111" s="99"/>
      <c r="C4111" s="100" t="s">
        <v>5</v>
      </c>
      <c r="D4111" s="97"/>
    </row>
    <row r="4112" spans="1:4" ht="42.75" customHeight="1" thickBot="1">
      <c r="A4112" s="101">
        <v>62</v>
      </c>
      <c r="B4112" s="102"/>
      <c r="C4112" s="96" t="s">
        <v>6</v>
      </c>
      <c r="D4112" s="97"/>
    </row>
    <row r="4113" spans="1:4" ht="42.75" customHeight="1" thickBot="1">
      <c r="A4113" s="103"/>
      <c r="B4113" s="104"/>
      <c r="C4113" s="96" t="s">
        <v>21</v>
      </c>
      <c r="D4113" s="97"/>
    </row>
    <row r="4114" spans="1:4" ht="42.75" customHeight="1" thickBot="1">
      <c r="A4114" s="105">
        <f>A4112*A4111</f>
        <v>0</v>
      </c>
      <c r="B4114" s="106"/>
      <c r="C4114" s="96" t="s">
        <v>7</v>
      </c>
      <c r="D4114" s="97"/>
    </row>
    <row r="4115" spans="1:4" ht="42.75" customHeight="1" thickBot="1">
      <c r="A4115" s="107" t="s">
        <v>17</v>
      </c>
      <c r="B4115" s="108"/>
      <c r="C4115" s="108"/>
      <c r="D4115" s="109"/>
    </row>
    <row r="4116" spans="1:4" ht="42.75" customHeight="1" thickBot="1">
      <c r="A4116" s="116" t="s">
        <v>20</v>
      </c>
      <c r="B4116" s="117"/>
      <c r="C4116" s="117"/>
      <c r="D4116" s="118"/>
    </row>
    <row r="4117" spans="1:4" ht="42.75" customHeight="1" thickBot="1">
      <c r="A4117" s="113" t="s">
        <v>18</v>
      </c>
      <c r="B4117" s="114"/>
      <c r="C4117" s="114"/>
      <c r="D4117" s="115"/>
    </row>
    <row r="4118" spans="1:4" ht="42.75" customHeight="1" thickBot="1">
      <c r="A4118" s="119"/>
      <c r="B4118" s="119"/>
      <c r="C4118" s="119"/>
      <c r="D4118" s="119"/>
    </row>
    <row r="4119" spans="1:4" ht="42.75" customHeight="1" thickBot="1">
      <c r="A4119" s="126" t="s">
        <v>19</v>
      </c>
      <c r="B4119" s="127"/>
      <c r="C4119" s="127"/>
      <c r="D4119" s="128"/>
    </row>
    <row r="4120" spans="1:4" ht="42.75" customHeight="1" thickBot="1">
      <c r="A4120" s="123" t="s">
        <v>11</v>
      </c>
      <c r="B4120" s="124"/>
      <c r="C4120" s="125" t="s">
        <v>603</v>
      </c>
      <c r="D4120" s="124"/>
    </row>
    <row r="4121" spans="1:4" ht="42.75" customHeight="1" thickBot="1">
      <c r="A4121" s="1" t="s">
        <v>686</v>
      </c>
      <c r="B4121" s="26" t="s">
        <v>1</v>
      </c>
      <c r="C4121" s="90" t="s">
        <v>566</v>
      </c>
      <c r="D4121" s="91"/>
    </row>
    <row r="4122" spans="1:4" ht="42.75" customHeight="1" thickBot="1">
      <c r="A4122" s="26"/>
      <c r="B4122" s="26" t="s">
        <v>0</v>
      </c>
      <c r="C4122" s="5" t="s">
        <v>687</v>
      </c>
      <c r="D4122" s="4" t="s">
        <v>2</v>
      </c>
    </row>
    <row r="4123" spans="1:4" ht="42.75" customHeight="1" thickBot="1">
      <c r="A4123" s="92">
        <v>125</v>
      </c>
      <c r="B4123" s="93"/>
      <c r="C4123" s="94" t="s">
        <v>3</v>
      </c>
      <c r="D4123" s="95"/>
    </row>
    <row r="4124" spans="1:4" ht="42.75" customHeight="1" thickBot="1">
      <c r="A4124" s="92">
        <v>128</v>
      </c>
      <c r="B4124" s="93"/>
      <c r="C4124" s="96" t="s">
        <v>4</v>
      </c>
      <c r="D4124" s="97"/>
    </row>
    <row r="4125" spans="1:4" ht="42.75" customHeight="1" thickBot="1">
      <c r="A4125" s="98">
        <v>10</v>
      </c>
      <c r="B4125" s="99"/>
      <c r="C4125" s="100" t="s">
        <v>5</v>
      </c>
      <c r="D4125" s="97"/>
    </row>
    <row r="4126" spans="1:4" ht="42.75" customHeight="1" thickBot="1">
      <c r="A4126" s="101">
        <v>62</v>
      </c>
      <c r="B4126" s="102"/>
      <c r="C4126" s="96" t="s">
        <v>6</v>
      </c>
      <c r="D4126" s="97"/>
    </row>
    <row r="4127" spans="1:4" ht="42.75" customHeight="1" thickBot="1">
      <c r="A4127" s="103"/>
      <c r="B4127" s="104"/>
      <c r="C4127" s="96" t="s">
        <v>21</v>
      </c>
      <c r="D4127" s="97"/>
    </row>
    <row r="4128" spans="1:4" ht="42.75" customHeight="1" thickBot="1">
      <c r="A4128" s="105">
        <v>600</v>
      </c>
      <c r="B4128" s="106"/>
      <c r="C4128" s="96" t="s">
        <v>7</v>
      </c>
      <c r="D4128" s="97"/>
    </row>
    <row r="4129" spans="1:4" ht="42.75" customHeight="1" thickBot="1">
      <c r="A4129" s="107" t="s">
        <v>17</v>
      </c>
      <c r="B4129" s="108"/>
      <c r="C4129" s="108"/>
      <c r="D4129" s="109"/>
    </row>
    <row r="4130" spans="1:4" ht="42.75" customHeight="1" thickBot="1">
      <c r="A4130" s="110" t="s">
        <v>20</v>
      </c>
      <c r="B4130" s="111"/>
      <c r="C4130" s="111"/>
      <c r="D4130" s="112"/>
    </row>
    <row r="4131" spans="1:4" ht="42.75" customHeight="1" thickBot="1">
      <c r="A4131" s="113" t="s">
        <v>18</v>
      </c>
      <c r="B4131" s="114"/>
      <c r="C4131" s="114"/>
      <c r="D4131" s="115"/>
    </row>
    <row r="4132" spans="1:4" ht="42.75" customHeight="1" thickBot="1">
      <c r="A4132" s="126" t="s">
        <v>19</v>
      </c>
      <c r="B4132" s="127"/>
      <c r="C4132" s="127"/>
      <c r="D4132" s="128"/>
    </row>
    <row r="4133" spans="1:4" ht="42.75" customHeight="1" thickBot="1">
      <c r="A4133" s="123" t="s">
        <v>11</v>
      </c>
      <c r="B4133" s="124"/>
      <c r="C4133" s="125" t="s">
        <v>603</v>
      </c>
      <c r="D4133" s="124"/>
    </row>
    <row r="4134" spans="1:4" ht="42.75" customHeight="1" thickBot="1">
      <c r="A4134" s="1" t="s">
        <v>686</v>
      </c>
      <c r="B4134" s="26" t="s">
        <v>1</v>
      </c>
      <c r="C4134" s="90" t="s">
        <v>567</v>
      </c>
      <c r="D4134" s="91"/>
    </row>
    <row r="4135" spans="1:4" ht="42.75" customHeight="1" thickBot="1">
      <c r="A4135" s="26"/>
      <c r="B4135" s="26" t="s">
        <v>0</v>
      </c>
      <c r="C4135" s="5" t="s">
        <v>687</v>
      </c>
      <c r="D4135" s="4" t="s">
        <v>2</v>
      </c>
    </row>
    <row r="4136" spans="1:4" ht="42.75" customHeight="1" thickBot="1">
      <c r="A4136" s="92">
        <v>510</v>
      </c>
      <c r="B4136" s="93"/>
      <c r="C4136" s="94" t="s">
        <v>3</v>
      </c>
      <c r="D4136" s="95"/>
    </row>
    <row r="4137" spans="1:4" ht="42.75" customHeight="1" thickBot="1">
      <c r="A4137" s="92">
        <v>510</v>
      </c>
      <c r="B4137" s="93"/>
      <c r="C4137" s="96" t="s">
        <v>4</v>
      </c>
      <c r="D4137" s="97"/>
    </row>
    <row r="4138" spans="1:4" ht="42.75" customHeight="1" thickBot="1">
      <c r="A4138" s="98">
        <f>A4137-A4136</f>
        <v>0</v>
      </c>
      <c r="B4138" s="99"/>
      <c r="C4138" s="100" t="s">
        <v>5</v>
      </c>
      <c r="D4138" s="97"/>
    </row>
    <row r="4139" spans="1:4" ht="42.75" customHeight="1" thickBot="1">
      <c r="A4139" s="101">
        <v>62</v>
      </c>
      <c r="B4139" s="102"/>
      <c r="C4139" s="96" t="s">
        <v>6</v>
      </c>
      <c r="D4139" s="97"/>
    </row>
    <row r="4140" spans="1:4" ht="42.75" customHeight="1" thickBot="1">
      <c r="A4140" s="103"/>
      <c r="B4140" s="104"/>
      <c r="C4140" s="96" t="s">
        <v>21</v>
      </c>
      <c r="D4140" s="97"/>
    </row>
    <row r="4141" spans="1:4" ht="42.75" customHeight="1" thickBot="1">
      <c r="A4141" s="105">
        <f>A4139*A4138</f>
        <v>0</v>
      </c>
      <c r="B4141" s="106"/>
      <c r="C4141" s="96" t="s">
        <v>7</v>
      </c>
      <c r="D4141" s="97"/>
    </row>
    <row r="4142" spans="1:4" ht="42.75" customHeight="1" thickBot="1">
      <c r="A4142" s="107" t="s">
        <v>17</v>
      </c>
      <c r="B4142" s="108"/>
      <c r="C4142" s="108"/>
      <c r="D4142" s="109"/>
    </row>
    <row r="4143" spans="1:4" ht="42.75" customHeight="1" thickBot="1">
      <c r="A4143" s="116" t="s">
        <v>20</v>
      </c>
      <c r="B4143" s="117"/>
      <c r="C4143" s="117"/>
      <c r="D4143" s="118"/>
    </row>
    <row r="4144" spans="1:4" ht="42.75" customHeight="1" thickBot="1">
      <c r="A4144" s="113" t="s">
        <v>18</v>
      </c>
      <c r="B4144" s="114"/>
      <c r="C4144" s="114"/>
      <c r="D4144" s="115"/>
    </row>
    <row r="4145" spans="1:4" ht="42.75" customHeight="1" thickBot="1">
      <c r="A4145" s="119"/>
      <c r="B4145" s="119"/>
      <c r="C4145" s="119"/>
      <c r="D4145" s="119"/>
    </row>
    <row r="4146" spans="1:4" ht="42.75" customHeight="1" thickBot="1">
      <c r="A4146" s="126" t="s">
        <v>19</v>
      </c>
      <c r="B4146" s="127"/>
      <c r="C4146" s="127"/>
      <c r="D4146" s="128"/>
    </row>
    <row r="4147" spans="1:4" ht="42.75" customHeight="1" thickBot="1">
      <c r="A4147" s="123" t="s">
        <v>11</v>
      </c>
      <c r="B4147" s="124"/>
      <c r="C4147" s="125" t="s">
        <v>603</v>
      </c>
      <c r="D4147" s="124"/>
    </row>
    <row r="4148" spans="1:4" ht="42.75" customHeight="1" thickBot="1">
      <c r="A4148" s="1" t="s">
        <v>686</v>
      </c>
      <c r="B4148" s="26" t="s">
        <v>1</v>
      </c>
      <c r="C4148" s="90" t="s">
        <v>567</v>
      </c>
      <c r="D4148" s="91"/>
    </row>
    <row r="4149" spans="1:4" ht="42.75" customHeight="1" thickBot="1">
      <c r="A4149" s="26"/>
      <c r="B4149" s="26" t="s">
        <v>0</v>
      </c>
      <c r="C4149" s="5" t="s">
        <v>687</v>
      </c>
      <c r="D4149" s="4" t="s">
        <v>2</v>
      </c>
    </row>
    <row r="4150" spans="1:4" ht="42.75" customHeight="1" thickBot="1">
      <c r="A4150" s="92">
        <v>487</v>
      </c>
      <c r="B4150" s="93"/>
      <c r="C4150" s="94" t="s">
        <v>3</v>
      </c>
      <c r="D4150" s="95"/>
    </row>
    <row r="4151" spans="1:4" ht="42.75" customHeight="1" thickBot="1">
      <c r="A4151" s="92">
        <v>510</v>
      </c>
      <c r="B4151" s="93"/>
      <c r="C4151" s="96" t="s">
        <v>4</v>
      </c>
      <c r="D4151" s="97"/>
    </row>
    <row r="4152" spans="1:4" ht="42.75" customHeight="1" thickBot="1">
      <c r="A4152" s="98">
        <f>A4151-A4150</f>
        <v>23</v>
      </c>
      <c r="B4152" s="99"/>
      <c r="C4152" s="100" t="s">
        <v>5</v>
      </c>
      <c r="D4152" s="97"/>
    </row>
    <row r="4153" spans="1:4" ht="42.75" customHeight="1" thickBot="1">
      <c r="A4153" s="101">
        <v>62</v>
      </c>
      <c r="B4153" s="102"/>
      <c r="C4153" s="96" t="s">
        <v>6</v>
      </c>
      <c r="D4153" s="97"/>
    </row>
    <row r="4154" spans="1:4" ht="42.75" customHeight="1" thickBot="1">
      <c r="A4154" s="103"/>
      <c r="B4154" s="104"/>
      <c r="C4154" s="96" t="s">
        <v>21</v>
      </c>
      <c r="D4154" s="97"/>
    </row>
    <row r="4155" spans="1:4" ht="42.75" customHeight="1" thickBot="1">
      <c r="A4155" s="105">
        <v>1450</v>
      </c>
      <c r="B4155" s="106"/>
      <c r="C4155" s="96" t="s">
        <v>7</v>
      </c>
      <c r="D4155" s="97"/>
    </row>
    <row r="4156" spans="1:4" ht="42.75" customHeight="1" thickBot="1">
      <c r="A4156" s="107" t="s">
        <v>17</v>
      </c>
      <c r="B4156" s="108"/>
      <c r="C4156" s="108"/>
      <c r="D4156" s="109"/>
    </row>
    <row r="4157" spans="1:4" ht="42.75" customHeight="1" thickBot="1">
      <c r="A4157" s="110" t="s">
        <v>20</v>
      </c>
      <c r="B4157" s="111"/>
      <c r="C4157" s="111"/>
      <c r="D4157" s="112"/>
    </row>
    <row r="4158" spans="1:4" ht="42.75" customHeight="1" thickBot="1">
      <c r="A4158" s="113" t="s">
        <v>18</v>
      </c>
      <c r="B4158" s="114"/>
      <c r="C4158" s="114"/>
      <c r="D4158" s="115"/>
    </row>
    <row r="4159" spans="1:4" ht="42.75" customHeight="1" thickBot="1">
      <c r="A4159" s="126" t="s">
        <v>19</v>
      </c>
      <c r="B4159" s="127"/>
      <c r="C4159" s="127"/>
      <c r="D4159" s="128"/>
    </row>
    <row r="4160" spans="1:4" ht="42.75" customHeight="1" thickBot="1">
      <c r="A4160" s="123" t="s">
        <v>11</v>
      </c>
      <c r="B4160" s="124"/>
      <c r="C4160" s="125" t="s">
        <v>603</v>
      </c>
      <c r="D4160" s="124"/>
    </row>
    <row r="4161" spans="1:4" ht="42.75" customHeight="1" thickBot="1">
      <c r="A4161" s="1" t="s">
        <v>686</v>
      </c>
      <c r="B4161" s="26" t="s">
        <v>1</v>
      </c>
      <c r="C4161" s="90" t="s">
        <v>57</v>
      </c>
      <c r="D4161" s="91"/>
    </row>
    <row r="4162" spans="1:4" ht="42.75" customHeight="1" thickBot="1">
      <c r="A4162" s="26"/>
      <c r="B4162" s="26" t="s">
        <v>0</v>
      </c>
      <c r="C4162" s="5" t="s">
        <v>687</v>
      </c>
      <c r="D4162" s="4" t="s">
        <v>2</v>
      </c>
    </row>
    <row r="4163" spans="1:4" ht="42.75" customHeight="1" thickBot="1">
      <c r="A4163" s="92">
        <v>162</v>
      </c>
      <c r="B4163" s="93"/>
      <c r="C4163" s="94" t="s">
        <v>3</v>
      </c>
      <c r="D4163" s="95"/>
    </row>
    <row r="4164" spans="1:4" ht="42.75" customHeight="1" thickBot="1">
      <c r="A4164" s="92">
        <v>162</v>
      </c>
      <c r="B4164" s="93"/>
      <c r="C4164" s="96" t="s">
        <v>4</v>
      </c>
      <c r="D4164" s="97"/>
    </row>
    <row r="4165" spans="1:4" ht="42.75" customHeight="1" thickBot="1">
      <c r="A4165" s="98">
        <f>A4164-A4163</f>
        <v>0</v>
      </c>
      <c r="B4165" s="99"/>
      <c r="C4165" s="100" t="s">
        <v>5</v>
      </c>
      <c r="D4165" s="97"/>
    </row>
    <row r="4166" spans="1:4" ht="42.75" customHeight="1" thickBot="1">
      <c r="A4166" s="101">
        <v>62</v>
      </c>
      <c r="B4166" s="102"/>
      <c r="C4166" s="96" t="s">
        <v>6</v>
      </c>
      <c r="D4166" s="97"/>
    </row>
    <row r="4167" spans="1:4" ht="42.75" customHeight="1" thickBot="1">
      <c r="A4167" s="103"/>
      <c r="B4167" s="104"/>
      <c r="C4167" s="96" t="s">
        <v>21</v>
      </c>
      <c r="D4167" s="97"/>
    </row>
    <row r="4168" spans="1:4" ht="42.75" customHeight="1" thickBot="1">
      <c r="A4168" s="105">
        <f>A4166*A4165</f>
        <v>0</v>
      </c>
      <c r="B4168" s="106"/>
      <c r="C4168" s="96" t="s">
        <v>7</v>
      </c>
      <c r="D4168" s="97"/>
    </row>
    <row r="4169" spans="1:4" ht="42.75" customHeight="1" thickBot="1">
      <c r="A4169" s="107" t="s">
        <v>17</v>
      </c>
      <c r="B4169" s="108"/>
      <c r="C4169" s="108"/>
      <c r="D4169" s="109"/>
    </row>
    <row r="4170" spans="1:4" ht="42.75" customHeight="1" thickBot="1">
      <c r="A4170" s="116" t="s">
        <v>20</v>
      </c>
      <c r="B4170" s="117"/>
      <c r="C4170" s="117"/>
      <c r="D4170" s="118"/>
    </row>
    <row r="4171" spans="1:4" ht="42.75" customHeight="1" thickBot="1">
      <c r="A4171" s="113" t="s">
        <v>18</v>
      </c>
      <c r="B4171" s="114"/>
      <c r="C4171" s="114"/>
      <c r="D4171" s="115"/>
    </row>
    <row r="4172" spans="1:4" ht="42.75" customHeight="1" thickBot="1">
      <c r="A4172" s="119"/>
      <c r="B4172" s="119"/>
      <c r="C4172" s="119"/>
      <c r="D4172" s="119"/>
    </row>
    <row r="4173" spans="1:4" ht="42.75" customHeight="1" thickBot="1">
      <c r="A4173" s="126" t="s">
        <v>19</v>
      </c>
      <c r="B4173" s="127"/>
      <c r="C4173" s="127"/>
      <c r="D4173" s="128"/>
    </row>
    <row r="4174" spans="1:4" ht="42.75" customHeight="1" thickBot="1">
      <c r="A4174" s="123" t="s">
        <v>11</v>
      </c>
      <c r="B4174" s="124"/>
      <c r="C4174" s="125" t="s">
        <v>603</v>
      </c>
      <c r="D4174" s="124"/>
    </row>
    <row r="4175" spans="1:4" ht="42.75" customHeight="1" thickBot="1">
      <c r="A4175" s="1" t="s">
        <v>686</v>
      </c>
      <c r="B4175" s="26" t="s">
        <v>1</v>
      </c>
      <c r="C4175" s="90" t="s">
        <v>57</v>
      </c>
      <c r="D4175" s="91"/>
    </row>
    <row r="4176" spans="1:4" ht="42.75" customHeight="1" thickBot="1">
      <c r="A4176" s="26"/>
      <c r="B4176" s="26" t="s">
        <v>0</v>
      </c>
      <c r="C4176" s="5" t="s">
        <v>687</v>
      </c>
      <c r="D4176" s="4" t="s">
        <v>2</v>
      </c>
    </row>
    <row r="4177" spans="1:4" ht="42.75" customHeight="1" thickBot="1">
      <c r="A4177" s="92">
        <v>145</v>
      </c>
      <c r="B4177" s="93"/>
      <c r="C4177" s="94" t="s">
        <v>3</v>
      </c>
      <c r="D4177" s="95"/>
    </row>
    <row r="4178" spans="1:4" ht="42.75" customHeight="1" thickBot="1">
      <c r="A4178" s="92">
        <v>162</v>
      </c>
      <c r="B4178" s="93"/>
      <c r="C4178" s="96" t="s">
        <v>4</v>
      </c>
      <c r="D4178" s="97"/>
    </row>
    <row r="4179" spans="1:4" ht="42.75" customHeight="1" thickBot="1">
      <c r="A4179" s="98">
        <f>A4178-A4177</f>
        <v>17</v>
      </c>
      <c r="B4179" s="99"/>
      <c r="C4179" s="100" t="s">
        <v>5</v>
      </c>
      <c r="D4179" s="97"/>
    </row>
    <row r="4180" spans="1:4" ht="42.75" customHeight="1" thickBot="1">
      <c r="A4180" s="101">
        <v>62</v>
      </c>
      <c r="B4180" s="102"/>
      <c r="C4180" s="96" t="s">
        <v>6</v>
      </c>
      <c r="D4180" s="97"/>
    </row>
    <row r="4181" spans="1:4" ht="42.75" customHeight="1" thickBot="1">
      <c r="A4181" s="103"/>
      <c r="B4181" s="104"/>
      <c r="C4181" s="96" t="s">
        <v>21</v>
      </c>
      <c r="D4181" s="97"/>
    </row>
    <row r="4182" spans="1:4" ht="42.75" customHeight="1" thickBot="1">
      <c r="A4182" s="105">
        <f>A4180*A4179</f>
        <v>1054</v>
      </c>
      <c r="B4182" s="106"/>
      <c r="C4182" s="96" t="s">
        <v>7</v>
      </c>
      <c r="D4182" s="97"/>
    </row>
    <row r="4183" spans="1:4" ht="42.75" customHeight="1" thickBot="1">
      <c r="A4183" s="107" t="s">
        <v>17</v>
      </c>
      <c r="B4183" s="108"/>
      <c r="C4183" s="108"/>
      <c r="D4183" s="109"/>
    </row>
    <row r="4184" spans="1:4" ht="42.75" customHeight="1" thickBot="1">
      <c r="A4184" s="110" t="s">
        <v>20</v>
      </c>
      <c r="B4184" s="111"/>
      <c r="C4184" s="111"/>
      <c r="D4184" s="112"/>
    </row>
    <row r="4185" spans="1:4" ht="42.75" customHeight="1" thickBot="1">
      <c r="A4185" s="113" t="s">
        <v>18</v>
      </c>
      <c r="B4185" s="114"/>
      <c r="C4185" s="114"/>
      <c r="D4185" s="115"/>
    </row>
    <row r="4186" spans="1:4" ht="42.75" customHeight="1" thickBot="1">
      <c r="A4186" s="126" t="s">
        <v>19</v>
      </c>
      <c r="B4186" s="127"/>
      <c r="C4186" s="127"/>
      <c r="D4186" s="128"/>
    </row>
    <row r="4187" spans="1:4" ht="42.75" customHeight="1" thickBot="1">
      <c r="A4187" s="123" t="s">
        <v>11</v>
      </c>
      <c r="B4187" s="124"/>
      <c r="C4187" s="125" t="s">
        <v>603</v>
      </c>
      <c r="D4187" s="124"/>
    </row>
    <row r="4188" spans="1:4" ht="42.75" customHeight="1" thickBot="1">
      <c r="A4188" s="1" t="s">
        <v>686</v>
      </c>
      <c r="B4188" s="26" t="s">
        <v>1</v>
      </c>
      <c r="C4188" s="90" t="s">
        <v>610</v>
      </c>
      <c r="D4188" s="91"/>
    </row>
    <row r="4189" spans="1:4" ht="42.75" customHeight="1" thickBot="1">
      <c r="A4189" s="26"/>
      <c r="B4189" s="26" t="s">
        <v>0</v>
      </c>
      <c r="C4189" s="5" t="s">
        <v>687</v>
      </c>
      <c r="D4189" s="4" t="s">
        <v>2</v>
      </c>
    </row>
    <row r="4190" spans="1:4" ht="42.75" customHeight="1" thickBot="1">
      <c r="A4190" s="92">
        <v>47</v>
      </c>
      <c r="B4190" s="93"/>
      <c r="C4190" s="94" t="s">
        <v>3</v>
      </c>
      <c r="D4190" s="95"/>
    </row>
    <row r="4191" spans="1:4" ht="42.75" customHeight="1" thickBot="1">
      <c r="A4191" s="92">
        <v>47</v>
      </c>
      <c r="B4191" s="93"/>
      <c r="C4191" s="96" t="s">
        <v>4</v>
      </c>
      <c r="D4191" s="97"/>
    </row>
    <row r="4192" spans="1:4" ht="42.75" customHeight="1" thickBot="1">
      <c r="A4192" s="98">
        <f>A4191-A4190</f>
        <v>0</v>
      </c>
      <c r="B4192" s="99"/>
      <c r="C4192" s="100" t="s">
        <v>5</v>
      </c>
      <c r="D4192" s="97"/>
    </row>
    <row r="4193" spans="1:4" ht="42.75" customHeight="1" thickBot="1">
      <c r="A4193" s="101">
        <v>62</v>
      </c>
      <c r="B4193" s="102"/>
      <c r="C4193" s="96" t="s">
        <v>6</v>
      </c>
      <c r="D4193" s="97"/>
    </row>
    <row r="4194" spans="1:4" ht="42.75" customHeight="1" thickBot="1">
      <c r="A4194" s="103"/>
      <c r="B4194" s="104"/>
      <c r="C4194" s="96" t="s">
        <v>21</v>
      </c>
      <c r="D4194" s="97"/>
    </row>
    <row r="4195" spans="1:4" ht="42.75" customHeight="1" thickBot="1">
      <c r="A4195" s="105">
        <f>A4193*A4192</f>
        <v>0</v>
      </c>
      <c r="B4195" s="106"/>
      <c r="C4195" s="96" t="s">
        <v>7</v>
      </c>
      <c r="D4195" s="97"/>
    </row>
    <row r="4196" spans="1:4" ht="42.75" customHeight="1" thickBot="1">
      <c r="A4196" s="107" t="s">
        <v>17</v>
      </c>
      <c r="B4196" s="108"/>
      <c r="C4196" s="108"/>
      <c r="D4196" s="109"/>
    </row>
    <row r="4197" spans="1:4" ht="42.75" customHeight="1" thickBot="1">
      <c r="A4197" s="116" t="s">
        <v>20</v>
      </c>
      <c r="B4197" s="117"/>
      <c r="C4197" s="117"/>
      <c r="D4197" s="118"/>
    </row>
    <row r="4198" spans="1:4" ht="42.75" customHeight="1" thickBot="1">
      <c r="A4198" s="113" t="s">
        <v>18</v>
      </c>
      <c r="B4198" s="114"/>
      <c r="C4198" s="114"/>
      <c r="D4198" s="115"/>
    </row>
    <row r="4199" spans="1:4" ht="42.75" customHeight="1" thickBot="1">
      <c r="A4199" s="119"/>
      <c r="B4199" s="119"/>
      <c r="C4199" s="119"/>
      <c r="D4199" s="119"/>
    </row>
    <row r="4200" spans="1:4" ht="42.75" customHeight="1" thickBot="1">
      <c r="A4200" s="126" t="s">
        <v>19</v>
      </c>
      <c r="B4200" s="127"/>
      <c r="C4200" s="127"/>
      <c r="D4200" s="128"/>
    </row>
    <row r="4201" spans="1:4" ht="42.75" customHeight="1" thickBot="1">
      <c r="A4201" s="123" t="s">
        <v>11</v>
      </c>
      <c r="B4201" s="124"/>
      <c r="C4201" s="125" t="s">
        <v>603</v>
      </c>
      <c r="D4201" s="124"/>
    </row>
    <row r="4202" spans="1:4" ht="42.75" customHeight="1" thickBot="1">
      <c r="A4202" s="1" t="s">
        <v>686</v>
      </c>
      <c r="B4202" s="26" t="s">
        <v>1</v>
      </c>
      <c r="C4202" s="90" t="s">
        <v>610</v>
      </c>
      <c r="D4202" s="91"/>
    </row>
    <row r="4203" spans="1:4" ht="42.75" customHeight="1" thickBot="1">
      <c r="A4203" s="26"/>
      <c r="B4203" s="26" t="s">
        <v>0</v>
      </c>
      <c r="C4203" s="5" t="s">
        <v>687</v>
      </c>
      <c r="D4203" s="4" t="s">
        <v>2</v>
      </c>
    </row>
    <row r="4204" spans="1:4" ht="42.75" customHeight="1" thickBot="1">
      <c r="A4204" s="92">
        <v>30</v>
      </c>
      <c r="B4204" s="93"/>
      <c r="C4204" s="94" t="s">
        <v>3</v>
      </c>
      <c r="D4204" s="95"/>
    </row>
    <row r="4205" spans="1:4" ht="42.75" customHeight="1" thickBot="1">
      <c r="A4205" s="92">
        <v>47</v>
      </c>
      <c r="B4205" s="93"/>
      <c r="C4205" s="96" t="s">
        <v>4</v>
      </c>
      <c r="D4205" s="97"/>
    </row>
    <row r="4206" spans="1:4" ht="42.75" customHeight="1" thickBot="1">
      <c r="A4206" s="98">
        <f>A4205-A4204</f>
        <v>17</v>
      </c>
      <c r="B4206" s="99"/>
      <c r="C4206" s="100" t="s">
        <v>5</v>
      </c>
      <c r="D4206" s="97"/>
    </row>
    <row r="4207" spans="1:4" ht="42.75" customHeight="1" thickBot="1">
      <c r="A4207" s="101">
        <v>62</v>
      </c>
      <c r="B4207" s="102"/>
      <c r="C4207" s="96" t="s">
        <v>6</v>
      </c>
      <c r="D4207" s="97"/>
    </row>
    <row r="4208" spans="1:4" ht="42.75" customHeight="1" thickBot="1">
      <c r="A4208" s="103"/>
      <c r="B4208" s="104"/>
      <c r="C4208" s="96" t="s">
        <v>21</v>
      </c>
      <c r="D4208" s="97"/>
    </row>
    <row r="4209" spans="1:4" ht="42.75" customHeight="1" thickBot="1">
      <c r="A4209" s="105">
        <v>1050</v>
      </c>
      <c r="B4209" s="106"/>
      <c r="C4209" s="96" t="s">
        <v>7</v>
      </c>
      <c r="D4209" s="97"/>
    </row>
    <row r="4210" spans="1:4" ht="42.75" customHeight="1" thickBot="1">
      <c r="A4210" s="107" t="s">
        <v>17</v>
      </c>
      <c r="B4210" s="108"/>
      <c r="C4210" s="108"/>
      <c r="D4210" s="109"/>
    </row>
    <row r="4211" spans="1:4" ht="42.75" customHeight="1" thickBot="1">
      <c r="A4211" s="110" t="s">
        <v>20</v>
      </c>
      <c r="B4211" s="111"/>
      <c r="C4211" s="111"/>
      <c r="D4211" s="112"/>
    </row>
    <row r="4212" spans="1:4" ht="42.75" customHeight="1" thickBot="1">
      <c r="A4212" s="113" t="s">
        <v>18</v>
      </c>
      <c r="B4212" s="114"/>
      <c r="C4212" s="114"/>
      <c r="D4212" s="115"/>
    </row>
    <row r="4213" spans="1:4" ht="42.75" customHeight="1" thickBot="1">
      <c r="A4213" s="126" t="s">
        <v>19</v>
      </c>
      <c r="B4213" s="127"/>
      <c r="C4213" s="127"/>
      <c r="D4213" s="128"/>
    </row>
    <row r="4214" spans="1:4" ht="42.75" customHeight="1" thickBot="1">
      <c r="A4214" s="123" t="s">
        <v>11</v>
      </c>
      <c r="B4214" s="124"/>
      <c r="C4214" s="125" t="s">
        <v>603</v>
      </c>
      <c r="D4214" s="124"/>
    </row>
    <row r="4215" spans="1:4" ht="42.75" customHeight="1" thickBot="1">
      <c r="A4215" s="1" t="s">
        <v>686</v>
      </c>
      <c r="B4215" s="26" t="s">
        <v>1</v>
      </c>
      <c r="C4215" s="90" t="s">
        <v>646</v>
      </c>
      <c r="D4215" s="91"/>
    </row>
    <row r="4216" spans="1:4" ht="42.75" customHeight="1" thickBot="1">
      <c r="A4216" s="26"/>
      <c r="B4216" s="26" t="s">
        <v>0</v>
      </c>
      <c r="C4216" s="5" t="s">
        <v>687</v>
      </c>
      <c r="D4216" s="4" t="s">
        <v>2</v>
      </c>
    </row>
    <row r="4217" spans="1:4" ht="42.75" customHeight="1" thickBot="1">
      <c r="A4217" s="92">
        <v>51</v>
      </c>
      <c r="B4217" s="93"/>
      <c r="C4217" s="94" t="s">
        <v>3</v>
      </c>
      <c r="D4217" s="95"/>
    </row>
    <row r="4218" spans="1:4" ht="42.75" customHeight="1" thickBot="1">
      <c r="A4218" s="92">
        <v>51</v>
      </c>
      <c r="B4218" s="93"/>
      <c r="C4218" s="96" t="s">
        <v>4</v>
      </c>
      <c r="D4218" s="97"/>
    </row>
    <row r="4219" spans="1:4" ht="42.75" customHeight="1" thickBot="1">
      <c r="A4219" s="98">
        <f>A4218-A4217</f>
        <v>0</v>
      </c>
      <c r="B4219" s="99"/>
      <c r="C4219" s="100" t="s">
        <v>5</v>
      </c>
      <c r="D4219" s="97"/>
    </row>
    <row r="4220" spans="1:4" ht="42.75" customHeight="1" thickBot="1">
      <c r="A4220" s="101">
        <v>62</v>
      </c>
      <c r="B4220" s="102"/>
      <c r="C4220" s="96" t="s">
        <v>6</v>
      </c>
      <c r="D4220" s="97"/>
    </row>
    <row r="4221" spans="1:4" ht="42.75" customHeight="1" thickBot="1">
      <c r="A4221" s="103"/>
      <c r="B4221" s="104"/>
      <c r="C4221" s="96" t="s">
        <v>21</v>
      </c>
      <c r="D4221" s="97"/>
    </row>
    <row r="4222" spans="1:4" ht="42.75" customHeight="1" thickBot="1">
      <c r="A4222" s="105">
        <f>A4220*A4219</f>
        <v>0</v>
      </c>
      <c r="B4222" s="106"/>
      <c r="C4222" s="96" t="s">
        <v>7</v>
      </c>
      <c r="D4222" s="97"/>
    </row>
    <row r="4223" spans="1:4" ht="42.75" customHeight="1" thickBot="1">
      <c r="A4223" s="107" t="s">
        <v>17</v>
      </c>
      <c r="B4223" s="108"/>
      <c r="C4223" s="108"/>
      <c r="D4223" s="109"/>
    </row>
    <row r="4224" spans="1:4" ht="42.75" customHeight="1" thickBot="1">
      <c r="A4224" s="116" t="s">
        <v>20</v>
      </c>
      <c r="B4224" s="117"/>
      <c r="C4224" s="117"/>
      <c r="D4224" s="118"/>
    </row>
    <row r="4225" spans="1:4" ht="42.75" customHeight="1" thickBot="1">
      <c r="A4225" s="113" t="s">
        <v>18</v>
      </c>
      <c r="B4225" s="114"/>
      <c r="C4225" s="114"/>
      <c r="D4225" s="115"/>
    </row>
    <row r="4226" spans="1:4" ht="42.75" customHeight="1" thickBot="1">
      <c r="A4226" s="119"/>
      <c r="B4226" s="119"/>
      <c r="C4226" s="119"/>
      <c r="D4226" s="119"/>
    </row>
    <row r="4227" spans="1:4" ht="42.75" customHeight="1" thickBot="1">
      <c r="A4227" s="126" t="s">
        <v>19</v>
      </c>
      <c r="B4227" s="127"/>
      <c r="C4227" s="127"/>
      <c r="D4227" s="128"/>
    </row>
    <row r="4228" spans="1:4" ht="42.75" customHeight="1" thickBot="1">
      <c r="A4228" s="123" t="s">
        <v>11</v>
      </c>
      <c r="B4228" s="124"/>
      <c r="C4228" s="125" t="s">
        <v>603</v>
      </c>
      <c r="D4228" s="124"/>
    </row>
    <row r="4229" spans="1:4" ht="42.75" customHeight="1" thickBot="1">
      <c r="A4229" s="1" t="s">
        <v>686</v>
      </c>
      <c r="B4229" s="26" t="s">
        <v>1</v>
      </c>
      <c r="C4229" s="90" t="s">
        <v>646</v>
      </c>
      <c r="D4229" s="91"/>
    </row>
    <row r="4230" spans="1:4" ht="42.75" customHeight="1" thickBot="1">
      <c r="A4230" s="26"/>
      <c r="B4230" s="26" t="s">
        <v>0</v>
      </c>
      <c r="C4230" s="5" t="s">
        <v>687</v>
      </c>
      <c r="D4230" s="4" t="s">
        <v>2</v>
      </c>
    </row>
    <row r="4231" spans="1:4" ht="42.75" customHeight="1" thickBot="1">
      <c r="A4231" s="92">
        <v>31</v>
      </c>
      <c r="B4231" s="93"/>
      <c r="C4231" s="94" t="s">
        <v>3</v>
      </c>
      <c r="D4231" s="95"/>
    </row>
    <row r="4232" spans="1:4" ht="42.75" customHeight="1" thickBot="1">
      <c r="A4232" s="92">
        <v>51</v>
      </c>
      <c r="B4232" s="93"/>
      <c r="C4232" s="96" t="s">
        <v>4</v>
      </c>
      <c r="D4232" s="97"/>
    </row>
    <row r="4233" spans="1:4" ht="42.75" customHeight="1" thickBot="1">
      <c r="A4233" s="98">
        <f>A4232-A4231</f>
        <v>20</v>
      </c>
      <c r="B4233" s="99"/>
      <c r="C4233" s="100" t="s">
        <v>5</v>
      </c>
      <c r="D4233" s="97"/>
    </row>
    <row r="4234" spans="1:4" ht="42.75" customHeight="1" thickBot="1">
      <c r="A4234" s="101">
        <v>62</v>
      </c>
      <c r="B4234" s="102"/>
      <c r="C4234" s="96" t="s">
        <v>6</v>
      </c>
      <c r="D4234" s="97"/>
    </row>
    <row r="4235" spans="1:4" ht="42.75" customHeight="1" thickBot="1">
      <c r="A4235" s="103"/>
      <c r="B4235" s="104"/>
      <c r="C4235" s="96" t="s">
        <v>21</v>
      </c>
      <c r="D4235" s="97"/>
    </row>
    <row r="4236" spans="1:4" ht="42.75" customHeight="1" thickBot="1">
      <c r="A4236" s="105">
        <v>1250</v>
      </c>
      <c r="B4236" s="106"/>
      <c r="C4236" s="96" t="s">
        <v>7</v>
      </c>
      <c r="D4236" s="97"/>
    </row>
    <row r="4237" spans="1:4" ht="42.75" customHeight="1" thickBot="1">
      <c r="A4237" s="107" t="s">
        <v>17</v>
      </c>
      <c r="B4237" s="108"/>
      <c r="C4237" s="108"/>
      <c r="D4237" s="109"/>
    </row>
    <row r="4238" spans="1:4" ht="42.75" customHeight="1" thickBot="1">
      <c r="A4238" s="110" t="s">
        <v>20</v>
      </c>
      <c r="B4238" s="111"/>
      <c r="C4238" s="111"/>
      <c r="D4238" s="112"/>
    </row>
    <row r="4239" spans="1:4" ht="42.75" customHeight="1" thickBot="1">
      <c r="A4239" s="113" t="s">
        <v>18</v>
      </c>
      <c r="B4239" s="114"/>
      <c r="C4239" s="114"/>
      <c r="D4239" s="115"/>
    </row>
    <row r="4240" spans="1:4" ht="42.75" customHeight="1" thickBot="1">
      <c r="A4240" s="126" t="s">
        <v>19</v>
      </c>
      <c r="B4240" s="127"/>
      <c r="C4240" s="127"/>
      <c r="D4240" s="128"/>
    </row>
    <row r="4241" spans="1:4" ht="42.75" customHeight="1" thickBot="1">
      <c r="A4241" s="123" t="s">
        <v>11</v>
      </c>
      <c r="B4241" s="124"/>
      <c r="C4241" s="125" t="s">
        <v>603</v>
      </c>
      <c r="D4241" s="124"/>
    </row>
    <row r="4242" spans="1:4" ht="42.75" customHeight="1" thickBot="1">
      <c r="A4242" s="1" t="s">
        <v>686</v>
      </c>
      <c r="B4242" s="26" t="s">
        <v>1</v>
      </c>
      <c r="C4242" s="90" t="s">
        <v>647</v>
      </c>
      <c r="D4242" s="91"/>
    </row>
    <row r="4243" spans="1:4" ht="42.75" customHeight="1" thickBot="1">
      <c r="A4243" s="26"/>
      <c r="B4243" s="26" t="s">
        <v>0</v>
      </c>
      <c r="C4243" s="5" t="s">
        <v>687</v>
      </c>
      <c r="D4243" s="4" t="s">
        <v>2</v>
      </c>
    </row>
    <row r="4244" spans="1:4" ht="42.75" customHeight="1" thickBot="1">
      <c r="A4244" s="92">
        <v>567</v>
      </c>
      <c r="B4244" s="93"/>
      <c r="C4244" s="94" t="s">
        <v>3</v>
      </c>
      <c r="D4244" s="95"/>
    </row>
    <row r="4245" spans="1:4" ht="42.75" customHeight="1" thickBot="1">
      <c r="A4245" s="92">
        <v>567</v>
      </c>
      <c r="B4245" s="93"/>
      <c r="C4245" s="96" t="s">
        <v>4</v>
      </c>
      <c r="D4245" s="97"/>
    </row>
    <row r="4246" spans="1:4" ht="42.75" customHeight="1" thickBot="1">
      <c r="A4246" s="98">
        <f>A4245-A4244</f>
        <v>0</v>
      </c>
      <c r="B4246" s="99"/>
      <c r="C4246" s="100" t="s">
        <v>5</v>
      </c>
      <c r="D4246" s="97"/>
    </row>
    <row r="4247" spans="1:4" ht="42.75" customHeight="1" thickBot="1">
      <c r="A4247" s="101">
        <v>62</v>
      </c>
      <c r="B4247" s="102"/>
      <c r="C4247" s="96" t="s">
        <v>6</v>
      </c>
      <c r="D4247" s="97"/>
    </row>
    <row r="4248" spans="1:4" ht="42.75" customHeight="1" thickBot="1">
      <c r="A4248" s="103"/>
      <c r="B4248" s="104"/>
      <c r="C4248" s="96" t="s">
        <v>21</v>
      </c>
      <c r="D4248" s="97"/>
    </row>
    <row r="4249" spans="1:4" ht="42.75" customHeight="1" thickBot="1">
      <c r="A4249" s="105">
        <f>A4247*A4246</f>
        <v>0</v>
      </c>
      <c r="B4249" s="106"/>
      <c r="C4249" s="96" t="s">
        <v>7</v>
      </c>
      <c r="D4249" s="97"/>
    </row>
    <row r="4250" spans="1:4" ht="42.75" customHeight="1" thickBot="1">
      <c r="A4250" s="107" t="s">
        <v>17</v>
      </c>
      <c r="B4250" s="108"/>
      <c r="C4250" s="108"/>
      <c r="D4250" s="109"/>
    </row>
    <row r="4251" spans="1:4" ht="42.75" customHeight="1" thickBot="1">
      <c r="A4251" s="116" t="s">
        <v>20</v>
      </c>
      <c r="B4251" s="117"/>
      <c r="C4251" s="117"/>
      <c r="D4251" s="118"/>
    </row>
    <row r="4252" spans="1:4" ht="42.75" customHeight="1" thickBot="1">
      <c r="A4252" s="113" t="s">
        <v>18</v>
      </c>
      <c r="B4252" s="114"/>
      <c r="C4252" s="114"/>
      <c r="D4252" s="115"/>
    </row>
    <row r="4253" spans="1:4" ht="42.75" customHeight="1" thickBot="1">
      <c r="A4253" s="119"/>
      <c r="B4253" s="119"/>
      <c r="C4253" s="119"/>
      <c r="D4253" s="119"/>
    </row>
    <row r="4254" spans="1:4" ht="42.75" customHeight="1" thickBot="1">
      <c r="A4254" s="126" t="s">
        <v>19</v>
      </c>
      <c r="B4254" s="127"/>
      <c r="C4254" s="127"/>
      <c r="D4254" s="128"/>
    </row>
    <row r="4255" spans="1:4" ht="42.75" customHeight="1" thickBot="1">
      <c r="A4255" s="123" t="s">
        <v>11</v>
      </c>
      <c r="B4255" s="124"/>
      <c r="C4255" s="125" t="s">
        <v>603</v>
      </c>
      <c r="D4255" s="124"/>
    </row>
    <row r="4256" spans="1:4" ht="42.75" customHeight="1" thickBot="1">
      <c r="A4256" s="1" t="s">
        <v>686</v>
      </c>
      <c r="B4256" s="26" t="s">
        <v>1</v>
      </c>
      <c r="C4256" s="90" t="s">
        <v>647</v>
      </c>
      <c r="D4256" s="91"/>
    </row>
    <row r="4257" spans="1:4" ht="42.75" customHeight="1" thickBot="1">
      <c r="A4257" s="26"/>
      <c r="B4257" s="26" t="s">
        <v>0</v>
      </c>
      <c r="C4257" s="5" t="s">
        <v>687</v>
      </c>
      <c r="D4257" s="4" t="s">
        <v>2</v>
      </c>
    </row>
    <row r="4258" spans="1:4" ht="42.75" customHeight="1" thickBot="1">
      <c r="A4258" s="92">
        <v>550</v>
      </c>
      <c r="B4258" s="93"/>
      <c r="C4258" s="94" t="s">
        <v>3</v>
      </c>
      <c r="D4258" s="95"/>
    </row>
    <row r="4259" spans="1:4" ht="42.75" customHeight="1" thickBot="1">
      <c r="A4259" s="92">
        <v>567</v>
      </c>
      <c r="B4259" s="93"/>
      <c r="C4259" s="96" t="s">
        <v>4</v>
      </c>
      <c r="D4259" s="97"/>
    </row>
    <row r="4260" spans="1:4" ht="42.75" customHeight="1" thickBot="1">
      <c r="A4260" s="98">
        <f>A4259-A4258</f>
        <v>17</v>
      </c>
      <c r="B4260" s="99"/>
      <c r="C4260" s="100" t="s">
        <v>5</v>
      </c>
      <c r="D4260" s="97"/>
    </row>
    <row r="4261" spans="1:4" ht="42.75" customHeight="1" thickBot="1">
      <c r="A4261" s="101">
        <v>62</v>
      </c>
      <c r="B4261" s="102"/>
      <c r="C4261" s="96" t="s">
        <v>6</v>
      </c>
      <c r="D4261" s="97"/>
    </row>
    <row r="4262" spans="1:4" ht="42.75" customHeight="1" thickBot="1">
      <c r="A4262" s="103"/>
      <c r="B4262" s="104"/>
      <c r="C4262" s="96" t="s">
        <v>21</v>
      </c>
      <c r="D4262" s="97"/>
    </row>
    <row r="4263" spans="1:4" ht="42.75" customHeight="1" thickBot="1">
      <c r="A4263" s="105">
        <f>A4261*A4260</f>
        <v>1054</v>
      </c>
      <c r="B4263" s="106"/>
      <c r="C4263" s="96" t="s">
        <v>7</v>
      </c>
      <c r="D4263" s="97"/>
    </row>
    <row r="4264" spans="1:4" ht="42.75" customHeight="1" thickBot="1">
      <c r="A4264" s="107" t="s">
        <v>17</v>
      </c>
      <c r="B4264" s="108"/>
      <c r="C4264" s="108"/>
      <c r="D4264" s="109"/>
    </row>
    <row r="4265" spans="1:4" ht="42.75" customHeight="1" thickBot="1">
      <c r="A4265" s="110" t="s">
        <v>20</v>
      </c>
      <c r="B4265" s="111"/>
      <c r="C4265" s="111"/>
      <c r="D4265" s="112"/>
    </row>
    <row r="4266" spans="1:4" ht="42.75" customHeight="1" thickBot="1">
      <c r="A4266" s="113" t="s">
        <v>18</v>
      </c>
      <c r="B4266" s="114"/>
      <c r="C4266" s="114"/>
      <c r="D4266" s="115"/>
    </row>
    <row r="4267" spans="1:4" ht="42.75" customHeight="1" thickBot="1">
      <c r="A4267" s="126" t="s">
        <v>19</v>
      </c>
      <c r="B4267" s="127"/>
      <c r="C4267" s="127"/>
      <c r="D4267" s="128"/>
    </row>
    <row r="4268" spans="1:4" ht="42.75" customHeight="1" thickBot="1">
      <c r="A4268" s="123" t="s">
        <v>11</v>
      </c>
      <c r="B4268" s="124"/>
      <c r="C4268" s="125" t="s">
        <v>603</v>
      </c>
      <c r="D4268" s="124"/>
    </row>
    <row r="4269" spans="1:4" ht="42.75" customHeight="1" thickBot="1">
      <c r="A4269" s="1" t="s">
        <v>686</v>
      </c>
      <c r="B4269" s="26" t="s">
        <v>1</v>
      </c>
      <c r="C4269" s="90" t="s">
        <v>34</v>
      </c>
      <c r="D4269" s="91"/>
    </row>
    <row r="4270" spans="1:4" ht="42.75" customHeight="1" thickBot="1">
      <c r="A4270" s="26"/>
      <c r="B4270" s="26" t="s">
        <v>0</v>
      </c>
      <c r="C4270" s="5" t="s">
        <v>687</v>
      </c>
      <c r="D4270" s="4" t="s">
        <v>2</v>
      </c>
    </row>
    <row r="4271" spans="1:4" ht="42.75" customHeight="1" thickBot="1">
      <c r="A4271" s="92">
        <v>230</v>
      </c>
      <c r="B4271" s="93"/>
      <c r="C4271" s="94" t="s">
        <v>3</v>
      </c>
      <c r="D4271" s="95"/>
    </row>
    <row r="4272" spans="1:4" ht="42.75" customHeight="1" thickBot="1">
      <c r="A4272" s="92">
        <v>230</v>
      </c>
      <c r="B4272" s="93"/>
      <c r="C4272" s="96" t="s">
        <v>4</v>
      </c>
      <c r="D4272" s="97"/>
    </row>
    <row r="4273" spans="1:4" ht="42.75" customHeight="1" thickBot="1">
      <c r="A4273" s="98">
        <f>A4272-A4271</f>
        <v>0</v>
      </c>
      <c r="B4273" s="99"/>
      <c r="C4273" s="100" t="s">
        <v>5</v>
      </c>
      <c r="D4273" s="97"/>
    </row>
    <row r="4274" spans="1:4" ht="42.75" customHeight="1" thickBot="1">
      <c r="A4274" s="101">
        <v>62</v>
      </c>
      <c r="B4274" s="102"/>
      <c r="C4274" s="96" t="s">
        <v>6</v>
      </c>
      <c r="D4274" s="97"/>
    </row>
    <row r="4275" spans="1:4" ht="42.75" customHeight="1" thickBot="1">
      <c r="A4275" s="103"/>
      <c r="B4275" s="104"/>
      <c r="C4275" s="96" t="s">
        <v>21</v>
      </c>
      <c r="D4275" s="97"/>
    </row>
    <row r="4276" spans="1:4" ht="42.75" customHeight="1" thickBot="1">
      <c r="A4276" s="105">
        <f>A4274*A4273</f>
        <v>0</v>
      </c>
      <c r="B4276" s="106"/>
      <c r="C4276" s="96" t="s">
        <v>7</v>
      </c>
      <c r="D4276" s="97"/>
    </row>
    <row r="4277" spans="1:4" ht="42.75" customHeight="1" thickBot="1">
      <c r="A4277" s="107" t="s">
        <v>17</v>
      </c>
      <c r="B4277" s="108"/>
      <c r="C4277" s="108"/>
      <c r="D4277" s="109"/>
    </row>
    <row r="4278" spans="1:4" ht="42.75" customHeight="1" thickBot="1">
      <c r="A4278" s="116" t="s">
        <v>20</v>
      </c>
      <c r="B4278" s="117"/>
      <c r="C4278" s="117"/>
      <c r="D4278" s="118"/>
    </row>
    <row r="4279" spans="1:4" ht="42.75" customHeight="1" thickBot="1">
      <c r="A4279" s="113" t="s">
        <v>18</v>
      </c>
      <c r="B4279" s="114"/>
      <c r="C4279" s="114"/>
      <c r="D4279" s="115"/>
    </row>
    <row r="4280" spans="1:4" ht="42.75" customHeight="1" thickBot="1">
      <c r="A4280" s="119"/>
      <c r="B4280" s="119"/>
      <c r="C4280" s="119"/>
      <c r="D4280" s="119"/>
    </row>
    <row r="4281" spans="1:4" ht="42.75" customHeight="1" thickBot="1">
      <c r="A4281" s="126" t="s">
        <v>19</v>
      </c>
      <c r="B4281" s="127"/>
      <c r="C4281" s="127"/>
      <c r="D4281" s="128"/>
    </row>
    <row r="4282" spans="1:4" ht="42.75" customHeight="1" thickBot="1">
      <c r="A4282" s="123" t="s">
        <v>11</v>
      </c>
      <c r="B4282" s="124"/>
      <c r="C4282" s="125" t="s">
        <v>603</v>
      </c>
      <c r="D4282" s="124"/>
    </row>
    <row r="4283" spans="1:4" ht="42.75" customHeight="1" thickBot="1">
      <c r="A4283" s="1" t="s">
        <v>686</v>
      </c>
      <c r="B4283" s="26" t="s">
        <v>1</v>
      </c>
      <c r="C4283" s="90" t="s">
        <v>34</v>
      </c>
      <c r="D4283" s="91"/>
    </row>
    <row r="4284" spans="1:4" ht="42.75" customHeight="1" thickBot="1">
      <c r="A4284" s="26"/>
      <c r="B4284" s="26" t="s">
        <v>0</v>
      </c>
      <c r="C4284" s="5" t="s">
        <v>687</v>
      </c>
      <c r="D4284" s="4" t="s">
        <v>2</v>
      </c>
    </row>
    <row r="4285" spans="1:4" ht="42.75" customHeight="1" thickBot="1">
      <c r="A4285" s="92">
        <v>210</v>
      </c>
      <c r="B4285" s="93"/>
      <c r="C4285" s="94" t="s">
        <v>3</v>
      </c>
      <c r="D4285" s="95"/>
    </row>
    <row r="4286" spans="1:4" ht="42.75" customHeight="1" thickBot="1">
      <c r="A4286" s="92">
        <v>230</v>
      </c>
      <c r="B4286" s="93"/>
      <c r="C4286" s="96" t="s">
        <v>4</v>
      </c>
      <c r="D4286" s="97"/>
    </row>
    <row r="4287" spans="1:4" ht="42.75" customHeight="1" thickBot="1">
      <c r="A4287" s="98">
        <f>A4286-A4285</f>
        <v>20</v>
      </c>
      <c r="B4287" s="99"/>
      <c r="C4287" s="100" t="s">
        <v>5</v>
      </c>
      <c r="D4287" s="97"/>
    </row>
    <row r="4288" spans="1:4" ht="42.75" customHeight="1" thickBot="1">
      <c r="A4288" s="101">
        <v>62</v>
      </c>
      <c r="B4288" s="102"/>
      <c r="C4288" s="96" t="s">
        <v>6</v>
      </c>
      <c r="D4288" s="97"/>
    </row>
    <row r="4289" spans="1:4" ht="42.75" customHeight="1" thickBot="1">
      <c r="A4289" s="103"/>
      <c r="B4289" s="104"/>
      <c r="C4289" s="96" t="s">
        <v>21</v>
      </c>
      <c r="D4289" s="97"/>
    </row>
    <row r="4290" spans="1:4" ht="42.75" customHeight="1" thickBot="1">
      <c r="A4290" s="105">
        <v>1250</v>
      </c>
      <c r="B4290" s="106"/>
      <c r="C4290" s="96" t="s">
        <v>7</v>
      </c>
      <c r="D4290" s="97"/>
    </row>
    <row r="4291" spans="1:4" ht="42.75" customHeight="1" thickBot="1">
      <c r="A4291" s="107" t="s">
        <v>17</v>
      </c>
      <c r="B4291" s="108"/>
      <c r="C4291" s="108"/>
      <c r="D4291" s="109"/>
    </row>
    <row r="4292" spans="1:4" ht="42.75" customHeight="1" thickBot="1">
      <c r="A4292" s="110" t="s">
        <v>20</v>
      </c>
      <c r="B4292" s="111"/>
      <c r="C4292" s="111"/>
      <c r="D4292" s="112"/>
    </row>
    <row r="4293" spans="1:4" ht="42.75" customHeight="1" thickBot="1">
      <c r="A4293" s="113" t="s">
        <v>18</v>
      </c>
      <c r="B4293" s="114"/>
      <c r="C4293" s="114"/>
      <c r="D4293" s="115"/>
    </row>
    <row r="4294" spans="1:4" ht="42.75" customHeight="1" thickBot="1">
      <c r="A4294" s="126" t="s">
        <v>19</v>
      </c>
      <c r="B4294" s="127"/>
      <c r="C4294" s="127"/>
      <c r="D4294" s="128"/>
    </row>
    <row r="4295" spans="1:4" ht="42.75" customHeight="1" thickBot="1">
      <c r="A4295" s="123" t="s">
        <v>11</v>
      </c>
      <c r="B4295" s="124"/>
      <c r="C4295" s="125" t="s">
        <v>603</v>
      </c>
      <c r="D4295" s="124"/>
    </row>
    <row r="4296" spans="1:4" ht="42.75" customHeight="1" thickBot="1">
      <c r="A4296" s="1" t="s">
        <v>686</v>
      </c>
      <c r="B4296" s="26" t="s">
        <v>1</v>
      </c>
      <c r="C4296" s="90" t="s">
        <v>555</v>
      </c>
      <c r="D4296" s="91"/>
    </row>
    <row r="4297" spans="1:4" ht="42.75" customHeight="1" thickBot="1">
      <c r="A4297" s="26"/>
      <c r="B4297" s="26" t="s">
        <v>0</v>
      </c>
      <c r="C4297" s="5" t="s">
        <v>687</v>
      </c>
      <c r="D4297" s="4" t="s">
        <v>2</v>
      </c>
    </row>
    <row r="4298" spans="1:4" ht="42.75" customHeight="1" thickBot="1">
      <c r="A4298" s="92">
        <v>34</v>
      </c>
      <c r="B4298" s="93"/>
      <c r="C4298" s="94" t="s">
        <v>3</v>
      </c>
      <c r="D4298" s="95"/>
    </row>
    <row r="4299" spans="1:4" ht="42.75" customHeight="1" thickBot="1">
      <c r="A4299" s="92">
        <v>34</v>
      </c>
      <c r="B4299" s="93"/>
      <c r="C4299" s="96" t="s">
        <v>4</v>
      </c>
      <c r="D4299" s="97"/>
    </row>
    <row r="4300" spans="1:4" ht="42.75" customHeight="1" thickBot="1">
      <c r="A4300" s="98">
        <f>A4299-A4298</f>
        <v>0</v>
      </c>
      <c r="B4300" s="99"/>
      <c r="C4300" s="100" t="s">
        <v>5</v>
      </c>
      <c r="D4300" s="97"/>
    </row>
    <row r="4301" spans="1:4" ht="42.75" customHeight="1" thickBot="1">
      <c r="A4301" s="101">
        <v>62</v>
      </c>
      <c r="B4301" s="102"/>
      <c r="C4301" s="96" t="s">
        <v>6</v>
      </c>
      <c r="D4301" s="97"/>
    </row>
    <row r="4302" spans="1:4" ht="42.75" customHeight="1" thickBot="1">
      <c r="A4302" s="103"/>
      <c r="B4302" s="104"/>
      <c r="C4302" s="96" t="s">
        <v>21</v>
      </c>
      <c r="D4302" s="97"/>
    </row>
    <row r="4303" spans="1:4" ht="42.75" customHeight="1" thickBot="1">
      <c r="A4303" s="105">
        <f>A4301*A4300</f>
        <v>0</v>
      </c>
      <c r="B4303" s="106"/>
      <c r="C4303" s="96" t="s">
        <v>7</v>
      </c>
      <c r="D4303" s="97"/>
    </row>
    <row r="4304" spans="1:4" ht="42.75" customHeight="1" thickBot="1">
      <c r="A4304" s="107" t="s">
        <v>17</v>
      </c>
      <c r="B4304" s="108"/>
      <c r="C4304" s="108"/>
      <c r="D4304" s="109"/>
    </row>
    <row r="4305" spans="1:4" ht="42.75" customHeight="1" thickBot="1">
      <c r="A4305" s="116" t="s">
        <v>20</v>
      </c>
      <c r="B4305" s="117"/>
      <c r="C4305" s="117"/>
      <c r="D4305" s="118"/>
    </row>
    <row r="4306" spans="1:4" ht="42.75" customHeight="1" thickBot="1">
      <c r="A4306" s="113" t="s">
        <v>18</v>
      </c>
      <c r="B4306" s="114"/>
      <c r="C4306" s="114"/>
      <c r="D4306" s="115"/>
    </row>
    <row r="4307" spans="1:4" ht="42.75" customHeight="1" thickBot="1">
      <c r="A4307" s="119"/>
      <c r="B4307" s="119"/>
      <c r="C4307" s="119"/>
      <c r="D4307" s="119"/>
    </row>
    <row r="4308" spans="1:4" ht="42.75" customHeight="1" thickBot="1">
      <c r="A4308" s="126" t="s">
        <v>19</v>
      </c>
      <c r="B4308" s="127"/>
      <c r="C4308" s="127"/>
      <c r="D4308" s="128"/>
    </row>
    <row r="4309" spans="1:4" ht="42.75" customHeight="1" thickBot="1">
      <c r="A4309" s="123" t="s">
        <v>11</v>
      </c>
      <c r="B4309" s="124"/>
      <c r="C4309" s="125" t="s">
        <v>603</v>
      </c>
      <c r="D4309" s="124"/>
    </row>
    <row r="4310" spans="1:4" ht="42.75" customHeight="1" thickBot="1">
      <c r="A4310" s="1" t="s">
        <v>686</v>
      </c>
      <c r="B4310" s="26" t="s">
        <v>1</v>
      </c>
      <c r="C4310" s="90" t="s">
        <v>555</v>
      </c>
      <c r="D4310" s="91"/>
    </row>
    <row r="4311" spans="1:4" ht="42.75" customHeight="1" thickBot="1">
      <c r="A4311" s="26"/>
      <c r="B4311" s="26" t="s">
        <v>0</v>
      </c>
      <c r="C4311" s="5" t="s">
        <v>687</v>
      </c>
      <c r="D4311" s="4" t="s">
        <v>2</v>
      </c>
    </row>
    <row r="4312" spans="1:4" ht="42.75" customHeight="1" thickBot="1">
      <c r="A4312" s="92">
        <v>31</v>
      </c>
      <c r="B4312" s="93"/>
      <c r="C4312" s="94" t="s">
        <v>3</v>
      </c>
      <c r="D4312" s="95"/>
    </row>
    <row r="4313" spans="1:4" ht="42.75" customHeight="1" thickBot="1">
      <c r="A4313" s="92">
        <v>34</v>
      </c>
      <c r="B4313" s="93"/>
      <c r="C4313" s="96" t="s">
        <v>4</v>
      </c>
      <c r="D4313" s="97"/>
    </row>
    <row r="4314" spans="1:4" ht="42.75" customHeight="1" thickBot="1">
      <c r="A4314" s="98">
        <v>10</v>
      </c>
      <c r="B4314" s="99"/>
      <c r="C4314" s="100" t="s">
        <v>5</v>
      </c>
      <c r="D4314" s="97"/>
    </row>
    <row r="4315" spans="1:4" ht="42.75" customHeight="1" thickBot="1">
      <c r="A4315" s="101">
        <v>62</v>
      </c>
      <c r="B4315" s="102"/>
      <c r="C4315" s="96" t="s">
        <v>6</v>
      </c>
      <c r="D4315" s="97"/>
    </row>
    <row r="4316" spans="1:4" ht="42.75" customHeight="1" thickBot="1">
      <c r="A4316" s="103"/>
      <c r="B4316" s="104"/>
      <c r="C4316" s="96" t="s">
        <v>21</v>
      </c>
      <c r="D4316" s="97"/>
    </row>
    <row r="4317" spans="1:4" ht="42.75" customHeight="1" thickBot="1">
      <c r="A4317" s="105">
        <v>600</v>
      </c>
      <c r="B4317" s="106"/>
      <c r="C4317" s="96" t="s">
        <v>7</v>
      </c>
      <c r="D4317" s="97"/>
    </row>
    <row r="4318" spans="1:4" ht="42.75" customHeight="1" thickBot="1">
      <c r="A4318" s="107" t="s">
        <v>17</v>
      </c>
      <c r="B4318" s="108"/>
      <c r="C4318" s="108"/>
      <c r="D4318" s="109"/>
    </row>
    <row r="4319" spans="1:4" ht="42.75" customHeight="1" thickBot="1">
      <c r="A4319" s="110" t="s">
        <v>20</v>
      </c>
      <c r="B4319" s="111"/>
      <c r="C4319" s="111"/>
      <c r="D4319" s="112"/>
    </row>
    <row r="4320" spans="1:4" ht="42.75" customHeight="1" thickBot="1">
      <c r="A4320" s="113" t="s">
        <v>18</v>
      </c>
      <c r="B4320" s="114"/>
      <c r="C4320" s="114"/>
      <c r="D4320" s="115"/>
    </row>
    <row r="4321" spans="1:4" ht="42.75" customHeight="1" thickBot="1">
      <c r="A4321" s="126" t="s">
        <v>19</v>
      </c>
      <c r="B4321" s="127"/>
      <c r="C4321" s="127"/>
      <c r="D4321" s="128"/>
    </row>
    <row r="4322" spans="1:4" ht="42.75" customHeight="1" thickBot="1">
      <c r="A4322" s="123" t="s">
        <v>11</v>
      </c>
      <c r="B4322" s="124"/>
      <c r="C4322" s="125" t="s">
        <v>603</v>
      </c>
      <c r="D4322" s="124"/>
    </row>
    <row r="4323" spans="1:4" ht="42.75" customHeight="1" thickBot="1">
      <c r="A4323" s="1" t="s">
        <v>686</v>
      </c>
      <c r="B4323" s="26" t="s">
        <v>1</v>
      </c>
      <c r="C4323" s="90" t="s">
        <v>682</v>
      </c>
      <c r="D4323" s="91"/>
    </row>
    <row r="4324" spans="1:4" ht="42.75" customHeight="1" thickBot="1">
      <c r="A4324" s="26"/>
      <c r="B4324" s="26" t="s">
        <v>0</v>
      </c>
      <c r="C4324" s="5" t="s">
        <v>687</v>
      </c>
      <c r="D4324" s="4" t="s">
        <v>2</v>
      </c>
    </row>
    <row r="4325" spans="1:4" ht="42.75" customHeight="1" thickBot="1">
      <c r="A4325" s="92">
        <v>25</v>
      </c>
      <c r="B4325" s="93"/>
      <c r="C4325" s="94" t="s">
        <v>3</v>
      </c>
      <c r="D4325" s="95"/>
    </row>
    <row r="4326" spans="1:4" ht="42.75" customHeight="1" thickBot="1">
      <c r="A4326" s="92">
        <v>25</v>
      </c>
      <c r="B4326" s="93"/>
      <c r="C4326" s="96" t="s">
        <v>4</v>
      </c>
      <c r="D4326" s="97"/>
    </row>
    <row r="4327" spans="1:4" ht="42.75" customHeight="1" thickBot="1">
      <c r="A4327" s="98">
        <f>A4326-A4325</f>
        <v>0</v>
      </c>
      <c r="B4327" s="99"/>
      <c r="C4327" s="100" t="s">
        <v>5</v>
      </c>
      <c r="D4327" s="97"/>
    </row>
    <row r="4328" spans="1:4" ht="42.75" customHeight="1" thickBot="1">
      <c r="A4328" s="101">
        <v>62</v>
      </c>
      <c r="B4328" s="102"/>
      <c r="C4328" s="96" t="s">
        <v>6</v>
      </c>
      <c r="D4328" s="97"/>
    </row>
    <row r="4329" spans="1:4" ht="42.75" customHeight="1" thickBot="1">
      <c r="A4329" s="103"/>
      <c r="B4329" s="104"/>
      <c r="C4329" s="96" t="s">
        <v>21</v>
      </c>
      <c r="D4329" s="97"/>
    </row>
    <row r="4330" spans="1:4" ht="42.75" customHeight="1" thickBot="1">
      <c r="A4330" s="105">
        <f>A4328*A4327</f>
        <v>0</v>
      </c>
      <c r="B4330" s="106"/>
      <c r="C4330" s="96" t="s">
        <v>7</v>
      </c>
      <c r="D4330" s="97"/>
    </row>
    <row r="4331" spans="1:4" ht="42.75" customHeight="1" thickBot="1">
      <c r="A4331" s="107" t="s">
        <v>17</v>
      </c>
      <c r="B4331" s="108"/>
      <c r="C4331" s="108"/>
      <c r="D4331" s="109"/>
    </row>
    <row r="4332" spans="1:4" ht="42.75" customHeight="1" thickBot="1">
      <c r="A4332" s="116" t="s">
        <v>20</v>
      </c>
      <c r="B4332" s="117"/>
      <c r="C4332" s="117"/>
      <c r="D4332" s="118"/>
    </row>
    <row r="4333" spans="1:4" ht="42.75" customHeight="1" thickBot="1">
      <c r="A4333" s="113" t="s">
        <v>18</v>
      </c>
      <c r="B4333" s="114"/>
      <c r="C4333" s="114"/>
      <c r="D4333" s="115"/>
    </row>
    <row r="4334" spans="1:4" ht="42.75" customHeight="1" thickBot="1">
      <c r="A4334" s="119"/>
      <c r="B4334" s="119"/>
      <c r="C4334" s="119"/>
      <c r="D4334" s="119"/>
    </row>
    <row r="4335" spans="1:4" ht="42.75" customHeight="1" thickBot="1">
      <c r="A4335" s="126" t="s">
        <v>19</v>
      </c>
      <c r="B4335" s="127"/>
      <c r="C4335" s="127"/>
      <c r="D4335" s="128"/>
    </row>
    <row r="4336" spans="1:4" ht="42.75" customHeight="1" thickBot="1">
      <c r="A4336" s="123" t="s">
        <v>11</v>
      </c>
      <c r="B4336" s="124"/>
      <c r="C4336" s="125" t="s">
        <v>603</v>
      </c>
      <c r="D4336" s="124"/>
    </row>
    <row r="4337" spans="1:4" ht="42.75" customHeight="1" thickBot="1">
      <c r="A4337" s="1" t="s">
        <v>686</v>
      </c>
      <c r="B4337" s="26" t="s">
        <v>1</v>
      </c>
      <c r="C4337" s="90" t="s">
        <v>682</v>
      </c>
      <c r="D4337" s="91"/>
    </row>
    <row r="4338" spans="1:4" ht="42.75" customHeight="1" thickBot="1">
      <c r="A4338" s="26"/>
      <c r="B4338" s="26" t="s">
        <v>0</v>
      </c>
      <c r="C4338" s="5" t="s">
        <v>687</v>
      </c>
      <c r="D4338" s="4" t="s">
        <v>2</v>
      </c>
    </row>
    <row r="4339" spans="1:4" ht="42.75" customHeight="1" thickBot="1">
      <c r="A4339" s="92">
        <v>25</v>
      </c>
      <c r="B4339" s="93"/>
      <c r="C4339" s="94" t="s">
        <v>3</v>
      </c>
      <c r="D4339" s="95"/>
    </row>
    <row r="4340" spans="1:4" ht="42.75" customHeight="1" thickBot="1">
      <c r="A4340" s="92">
        <v>25</v>
      </c>
      <c r="B4340" s="93"/>
      <c r="C4340" s="96" t="s">
        <v>4</v>
      </c>
      <c r="D4340" s="97"/>
    </row>
    <row r="4341" spans="1:4" ht="42.75" customHeight="1" thickBot="1">
      <c r="A4341" s="98">
        <v>25</v>
      </c>
      <c r="B4341" s="99"/>
      <c r="C4341" s="100" t="s">
        <v>5</v>
      </c>
      <c r="D4341" s="97"/>
    </row>
    <row r="4342" spans="1:4" ht="42.75" customHeight="1" thickBot="1">
      <c r="A4342" s="101">
        <v>62</v>
      </c>
      <c r="B4342" s="102"/>
      <c r="C4342" s="96" t="s">
        <v>6</v>
      </c>
      <c r="D4342" s="97"/>
    </row>
    <row r="4343" spans="1:4" ht="42.75" customHeight="1" thickBot="1">
      <c r="A4343" s="103"/>
      <c r="B4343" s="104"/>
      <c r="C4343" s="96" t="s">
        <v>21</v>
      </c>
      <c r="D4343" s="97"/>
    </row>
    <row r="4344" spans="1:4" ht="42.75" customHeight="1" thickBot="1">
      <c r="A4344" s="105">
        <f>A4342*A4341</f>
        <v>1550</v>
      </c>
      <c r="B4344" s="106"/>
      <c r="C4344" s="96" t="s">
        <v>7</v>
      </c>
      <c r="D4344" s="97"/>
    </row>
    <row r="4345" spans="1:4" ht="42.75" customHeight="1" thickBot="1">
      <c r="A4345" s="107" t="s">
        <v>17</v>
      </c>
      <c r="B4345" s="108"/>
      <c r="C4345" s="108"/>
      <c r="D4345" s="109"/>
    </row>
    <row r="4346" spans="1:4" ht="42.75" customHeight="1" thickBot="1">
      <c r="A4346" s="110" t="s">
        <v>20</v>
      </c>
      <c r="B4346" s="111"/>
      <c r="C4346" s="111"/>
      <c r="D4346" s="112"/>
    </row>
    <row r="4347" spans="1:4" ht="42.75" customHeight="1" thickBot="1">
      <c r="A4347" s="113" t="s">
        <v>18</v>
      </c>
      <c r="B4347" s="114"/>
      <c r="C4347" s="114"/>
      <c r="D4347" s="115"/>
    </row>
    <row r="4348" spans="1:4" ht="42.75" customHeight="1" thickBot="1">
      <c r="A4348" s="126" t="s">
        <v>19</v>
      </c>
      <c r="B4348" s="127"/>
      <c r="C4348" s="127"/>
      <c r="D4348" s="128"/>
    </row>
    <row r="4349" spans="1:4" ht="42.75" customHeight="1" thickBot="1">
      <c r="A4349" s="123" t="s">
        <v>11</v>
      </c>
      <c r="B4349" s="124"/>
      <c r="C4349" s="125" t="s">
        <v>603</v>
      </c>
      <c r="D4349" s="124"/>
    </row>
    <row r="4350" spans="1:4" ht="42.75" customHeight="1" thickBot="1">
      <c r="A4350" s="1" t="s">
        <v>686</v>
      </c>
      <c r="B4350" s="26" t="s">
        <v>1</v>
      </c>
      <c r="C4350" s="90" t="s">
        <v>683</v>
      </c>
      <c r="D4350" s="91"/>
    </row>
    <row r="4351" spans="1:4" ht="42.75" customHeight="1" thickBot="1">
      <c r="A4351" s="26"/>
      <c r="B4351" s="26" t="s">
        <v>0</v>
      </c>
      <c r="C4351" s="5" t="s">
        <v>687</v>
      </c>
      <c r="D4351" s="4" t="s">
        <v>2</v>
      </c>
    </row>
    <row r="4352" spans="1:4" ht="42.75" customHeight="1" thickBot="1">
      <c r="A4352" s="92">
        <v>218</v>
      </c>
      <c r="B4352" s="93"/>
      <c r="C4352" s="94" t="s">
        <v>3</v>
      </c>
      <c r="D4352" s="95"/>
    </row>
    <row r="4353" spans="1:4" ht="42.75" customHeight="1" thickBot="1">
      <c r="A4353" s="92">
        <v>218</v>
      </c>
      <c r="B4353" s="93"/>
      <c r="C4353" s="96" t="s">
        <v>4</v>
      </c>
      <c r="D4353" s="97"/>
    </row>
    <row r="4354" spans="1:4" ht="42.75" customHeight="1" thickBot="1">
      <c r="A4354" s="98">
        <f>A4353-A4352</f>
        <v>0</v>
      </c>
      <c r="B4354" s="99"/>
      <c r="C4354" s="100" t="s">
        <v>5</v>
      </c>
      <c r="D4354" s="97"/>
    </row>
    <row r="4355" spans="1:4" ht="42.75" customHeight="1" thickBot="1">
      <c r="A4355" s="101">
        <v>62</v>
      </c>
      <c r="B4355" s="102"/>
      <c r="C4355" s="96" t="s">
        <v>6</v>
      </c>
      <c r="D4355" s="97"/>
    </row>
    <row r="4356" spans="1:4" ht="42.75" customHeight="1" thickBot="1">
      <c r="A4356" s="103"/>
      <c r="B4356" s="104"/>
      <c r="C4356" s="96" t="s">
        <v>21</v>
      </c>
      <c r="D4356" s="97"/>
    </row>
    <row r="4357" spans="1:4" ht="42.75" customHeight="1" thickBot="1">
      <c r="A4357" s="105">
        <f>A4355*A4354</f>
        <v>0</v>
      </c>
      <c r="B4357" s="106"/>
      <c r="C4357" s="96" t="s">
        <v>7</v>
      </c>
      <c r="D4357" s="97"/>
    </row>
    <row r="4358" spans="1:4" ht="42.75" customHeight="1" thickBot="1">
      <c r="A4358" s="107" t="s">
        <v>17</v>
      </c>
      <c r="B4358" s="108"/>
      <c r="C4358" s="108"/>
      <c r="D4358" s="109"/>
    </row>
    <row r="4359" spans="1:4" ht="42.75" customHeight="1" thickBot="1">
      <c r="A4359" s="116" t="s">
        <v>20</v>
      </c>
      <c r="B4359" s="117"/>
      <c r="C4359" s="117"/>
      <c r="D4359" s="118"/>
    </row>
    <row r="4360" spans="1:4" ht="42.75" customHeight="1" thickBot="1">
      <c r="A4360" s="113" t="s">
        <v>18</v>
      </c>
      <c r="B4360" s="114"/>
      <c r="C4360" s="114"/>
      <c r="D4360" s="115"/>
    </row>
    <row r="4361" spans="1:4" ht="42.75" customHeight="1" thickBot="1">
      <c r="A4361" s="119"/>
      <c r="B4361" s="119"/>
      <c r="C4361" s="119"/>
      <c r="D4361" s="119"/>
    </row>
    <row r="4362" spans="1:4" ht="42.75" customHeight="1" thickBot="1">
      <c r="A4362" s="126" t="s">
        <v>19</v>
      </c>
      <c r="B4362" s="127"/>
      <c r="C4362" s="127"/>
      <c r="D4362" s="128"/>
    </row>
    <row r="4363" spans="1:4" ht="42.75" customHeight="1" thickBot="1">
      <c r="A4363" s="123" t="s">
        <v>11</v>
      </c>
      <c r="B4363" s="124"/>
      <c r="C4363" s="125" t="s">
        <v>603</v>
      </c>
      <c r="D4363" s="124"/>
    </row>
    <row r="4364" spans="1:4" ht="42.75" customHeight="1" thickBot="1">
      <c r="A4364" s="1" t="s">
        <v>686</v>
      </c>
      <c r="B4364" s="26" t="s">
        <v>1</v>
      </c>
      <c r="C4364" s="90" t="s">
        <v>683</v>
      </c>
      <c r="D4364" s="91"/>
    </row>
    <row r="4365" spans="1:4" ht="42.75" customHeight="1" thickBot="1">
      <c r="A4365" s="26"/>
      <c r="B4365" s="26" t="s">
        <v>0</v>
      </c>
      <c r="C4365" s="5" t="s">
        <v>687</v>
      </c>
      <c r="D4365" s="4" t="s">
        <v>2</v>
      </c>
    </row>
    <row r="4366" spans="1:4" ht="42.75" customHeight="1" thickBot="1">
      <c r="A4366" s="92">
        <v>191</v>
      </c>
      <c r="B4366" s="93"/>
      <c r="C4366" s="94" t="s">
        <v>3</v>
      </c>
      <c r="D4366" s="95"/>
    </row>
    <row r="4367" spans="1:4" ht="42.75" customHeight="1" thickBot="1">
      <c r="A4367" s="92">
        <v>218</v>
      </c>
      <c r="B4367" s="93"/>
      <c r="C4367" s="96" t="s">
        <v>4</v>
      </c>
      <c r="D4367" s="97"/>
    </row>
    <row r="4368" spans="1:4" ht="42.75" customHeight="1" thickBot="1">
      <c r="A4368" s="98">
        <f>A4367-A4366</f>
        <v>27</v>
      </c>
      <c r="B4368" s="99"/>
      <c r="C4368" s="100" t="s">
        <v>5</v>
      </c>
      <c r="D4368" s="97"/>
    </row>
    <row r="4369" spans="1:4" ht="42.75" customHeight="1" thickBot="1">
      <c r="A4369" s="101">
        <v>62</v>
      </c>
      <c r="B4369" s="102"/>
      <c r="C4369" s="96" t="s">
        <v>6</v>
      </c>
      <c r="D4369" s="97"/>
    </row>
    <row r="4370" spans="1:4" ht="42.75" customHeight="1" thickBot="1">
      <c r="A4370" s="103"/>
      <c r="B4370" s="104"/>
      <c r="C4370" s="96" t="s">
        <v>21</v>
      </c>
      <c r="D4370" s="97"/>
    </row>
    <row r="4371" spans="1:4" ht="42.75" customHeight="1" thickBot="1">
      <c r="A4371" s="105">
        <v>1700</v>
      </c>
      <c r="B4371" s="106"/>
      <c r="C4371" s="96" t="s">
        <v>7</v>
      </c>
      <c r="D4371" s="97"/>
    </row>
    <row r="4372" spans="1:4" ht="42.75" customHeight="1" thickBot="1">
      <c r="A4372" s="107" t="s">
        <v>17</v>
      </c>
      <c r="B4372" s="108"/>
      <c r="C4372" s="108"/>
      <c r="D4372" s="109"/>
    </row>
    <row r="4373" spans="1:4" ht="42.75" customHeight="1" thickBot="1">
      <c r="A4373" s="110" t="s">
        <v>20</v>
      </c>
      <c r="B4373" s="111"/>
      <c r="C4373" s="111"/>
      <c r="D4373" s="112"/>
    </row>
    <row r="4374" spans="1:4" ht="42.75" customHeight="1" thickBot="1">
      <c r="A4374" s="113" t="s">
        <v>18</v>
      </c>
      <c r="B4374" s="114"/>
      <c r="C4374" s="114"/>
      <c r="D4374" s="115"/>
    </row>
  </sheetData>
  <mergeCells count="6318">
    <mergeCell ref="C4285:D4285"/>
    <mergeCell ref="A4286:B4286"/>
    <mergeCell ref="C4286:D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D4291"/>
    <mergeCell ref="A4292:D4292"/>
    <mergeCell ref="A4272:B4272"/>
    <mergeCell ref="C4272:D4272"/>
    <mergeCell ref="A4293:D4293"/>
    <mergeCell ref="A4273:B4273"/>
    <mergeCell ref="C4273:D4273"/>
    <mergeCell ref="A4274:B4274"/>
    <mergeCell ref="C4274:D4274"/>
    <mergeCell ref="A4275:B4275"/>
    <mergeCell ref="C4275:D4275"/>
    <mergeCell ref="A4276:B4276"/>
    <mergeCell ref="C4276:D4276"/>
    <mergeCell ref="A4277:D4277"/>
    <mergeCell ref="A4278:D4278"/>
    <mergeCell ref="A4279:D4279"/>
    <mergeCell ref="A4280:D4280"/>
    <mergeCell ref="A4281:D4281"/>
    <mergeCell ref="A4282:B4282"/>
    <mergeCell ref="C4282:D4282"/>
    <mergeCell ref="C4283:D4283"/>
    <mergeCell ref="A4285:B4285"/>
    <mergeCell ref="A4268:B4268"/>
    <mergeCell ref="C4268:D4268"/>
    <mergeCell ref="A4260:B4260"/>
    <mergeCell ref="C4260:D4260"/>
    <mergeCell ref="A4261:B4261"/>
    <mergeCell ref="C4261:D4261"/>
    <mergeCell ref="A4262:B4262"/>
    <mergeCell ref="C4262:D4262"/>
    <mergeCell ref="A4263:B4263"/>
    <mergeCell ref="C4263:D4263"/>
    <mergeCell ref="A4264:D4264"/>
    <mergeCell ref="A4265:D4265"/>
    <mergeCell ref="A4266:D4266"/>
    <mergeCell ref="A4267:D4267"/>
    <mergeCell ref="C4269:D4269"/>
    <mergeCell ref="A4271:B4271"/>
    <mergeCell ref="C4271:D4271"/>
    <mergeCell ref="C4248:D4248"/>
    <mergeCell ref="A4249:B4249"/>
    <mergeCell ref="C4249:D4249"/>
    <mergeCell ref="A4250:D4250"/>
    <mergeCell ref="A4251:D4251"/>
    <mergeCell ref="A4252:D4252"/>
    <mergeCell ref="A4253:D4253"/>
    <mergeCell ref="A4254:D4254"/>
    <mergeCell ref="A4255:B4255"/>
    <mergeCell ref="C4255:D4255"/>
    <mergeCell ref="C4256:D4256"/>
    <mergeCell ref="A4247:B4247"/>
    <mergeCell ref="C4247:D4247"/>
    <mergeCell ref="A4248:B4248"/>
    <mergeCell ref="A4258:B4258"/>
    <mergeCell ref="C4258:D4258"/>
    <mergeCell ref="A4259:B4259"/>
    <mergeCell ref="C4259:D4259"/>
    <mergeCell ref="A4228:B4228"/>
    <mergeCell ref="C4228:D4228"/>
    <mergeCell ref="C4229:D4229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44:B4244"/>
    <mergeCell ref="C4244:D4244"/>
    <mergeCell ref="A4245:B4245"/>
    <mergeCell ref="C4245:D4245"/>
    <mergeCell ref="A4246:B4246"/>
    <mergeCell ref="C4246:D4246"/>
    <mergeCell ref="A4235:B4235"/>
    <mergeCell ref="C4235:D4235"/>
    <mergeCell ref="A4236:B4236"/>
    <mergeCell ref="C4236:D4236"/>
    <mergeCell ref="A4237:D4237"/>
    <mergeCell ref="A4238:D4238"/>
    <mergeCell ref="A4239:D4239"/>
    <mergeCell ref="A4240:D4240"/>
    <mergeCell ref="A4241:B4241"/>
    <mergeCell ref="C4241:D4241"/>
    <mergeCell ref="C4242:D4242"/>
    <mergeCell ref="A4213:D4213"/>
    <mergeCell ref="A4214:B4214"/>
    <mergeCell ref="C4214:D4214"/>
    <mergeCell ref="C4215:D4215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A4223:D4223"/>
    <mergeCell ref="A4224:D4224"/>
    <mergeCell ref="A4225:D4225"/>
    <mergeCell ref="A4226:D4226"/>
    <mergeCell ref="A4227:D4227"/>
    <mergeCell ref="A22:B22"/>
    <mergeCell ref="C22:D22"/>
    <mergeCell ref="A23:B23"/>
    <mergeCell ref="C23:D23"/>
    <mergeCell ref="A24:B24"/>
    <mergeCell ref="C24:D24"/>
    <mergeCell ref="A35:B35"/>
    <mergeCell ref="C35:D35"/>
    <mergeCell ref="A36:B36"/>
    <mergeCell ref="C36:D36"/>
    <mergeCell ref="A37:B37"/>
    <mergeCell ref="C37:D37"/>
    <mergeCell ref="C30:D30"/>
    <mergeCell ref="A32:B32"/>
    <mergeCell ref="C32:D32"/>
    <mergeCell ref="A33:B33"/>
    <mergeCell ref="C33:D33"/>
    <mergeCell ref="A34:B34"/>
    <mergeCell ref="C34:D34"/>
    <mergeCell ref="A25:D25"/>
    <mergeCell ref="A26:D26"/>
    <mergeCell ref="A27:D27"/>
    <mergeCell ref="A28:D28"/>
    <mergeCell ref="A29:B29"/>
    <mergeCell ref="C29:D29"/>
    <mergeCell ref="A6:B6"/>
    <mergeCell ref="C6:D6"/>
    <mergeCell ref="A7:B7"/>
    <mergeCell ref="C7:D7"/>
    <mergeCell ref="A8:B8"/>
    <mergeCell ref="C8:D8"/>
    <mergeCell ref="A1:D1"/>
    <mergeCell ref="A2:B2"/>
    <mergeCell ref="C2:D2"/>
    <mergeCell ref="C3:D3"/>
    <mergeCell ref="A5:B5"/>
    <mergeCell ref="C5:D5"/>
    <mergeCell ref="A19:B19"/>
    <mergeCell ref="C19:D19"/>
    <mergeCell ref="A20:B20"/>
    <mergeCell ref="C20:D20"/>
    <mergeCell ref="A21:B21"/>
    <mergeCell ref="C21:D21"/>
    <mergeCell ref="A13:D13"/>
    <mergeCell ref="A14:D14"/>
    <mergeCell ref="A15:D15"/>
    <mergeCell ref="A16:B16"/>
    <mergeCell ref="C16:D16"/>
    <mergeCell ref="C17:D17"/>
    <mergeCell ref="A9:B9"/>
    <mergeCell ref="C9:D9"/>
    <mergeCell ref="A10:B10"/>
    <mergeCell ref="C10:D10"/>
    <mergeCell ref="A11:D11"/>
    <mergeCell ref="A12:D12"/>
    <mergeCell ref="A49:B49"/>
    <mergeCell ref="C49:D49"/>
    <mergeCell ref="A50:B50"/>
    <mergeCell ref="C50:D50"/>
    <mergeCell ref="A51:B51"/>
    <mergeCell ref="C51:D51"/>
    <mergeCell ref="C44:D44"/>
    <mergeCell ref="A46:B46"/>
    <mergeCell ref="C46:D46"/>
    <mergeCell ref="A47:B47"/>
    <mergeCell ref="C47:D47"/>
    <mergeCell ref="A48:B48"/>
    <mergeCell ref="C48:D48"/>
    <mergeCell ref="A38:D38"/>
    <mergeCell ref="A39:D39"/>
    <mergeCell ref="A40:D40"/>
    <mergeCell ref="A41:D41"/>
    <mergeCell ref="A42:D42"/>
    <mergeCell ref="A43:B43"/>
    <mergeCell ref="C43:D43"/>
    <mergeCell ref="A62:B62"/>
    <mergeCell ref="C62:D62"/>
    <mergeCell ref="A63:B63"/>
    <mergeCell ref="C63:D63"/>
    <mergeCell ref="A64:B64"/>
    <mergeCell ref="C64:D64"/>
    <mergeCell ref="C57:D57"/>
    <mergeCell ref="A59:B59"/>
    <mergeCell ref="C59:D59"/>
    <mergeCell ref="A60:B60"/>
    <mergeCell ref="C60:D60"/>
    <mergeCell ref="A61:B61"/>
    <mergeCell ref="C61:D61"/>
    <mergeCell ref="A52:D52"/>
    <mergeCell ref="A53:D53"/>
    <mergeCell ref="A54:D54"/>
    <mergeCell ref="A55:D55"/>
    <mergeCell ref="A56:B56"/>
    <mergeCell ref="C56:D56"/>
    <mergeCell ref="A76:B76"/>
    <mergeCell ref="C76:D76"/>
    <mergeCell ref="A77:B77"/>
    <mergeCell ref="C77:D77"/>
    <mergeCell ref="A78:B78"/>
    <mergeCell ref="C78:D78"/>
    <mergeCell ref="C71:D71"/>
    <mergeCell ref="A73:B73"/>
    <mergeCell ref="C73:D73"/>
    <mergeCell ref="A74:B74"/>
    <mergeCell ref="C74:D74"/>
    <mergeCell ref="A75:B75"/>
    <mergeCell ref="C75:D75"/>
    <mergeCell ref="A65:D65"/>
    <mergeCell ref="A66:D66"/>
    <mergeCell ref="A67:D67"/>
    <mergeCell ref="A68:D68"/>
    <mergeCell ref="A69:D69"/>
    <mergeCell ref="A70:B70"/>
    <mergeCell ref="C70:D70"/>
    <mergeCell ref="A89:B89"/>
    <mergeCell ref="C89:D89"/>
    <mergeCell ref="A90:B90"/>
    <mergeCell ref="C90:D90"/>
    <mergeCell ref="A91:B91"/>
    <mergeCell ref="C91:D91"/>
    <mergeCell ref="C84:D84"/>
    <mergeCell ref="A86:B86"/>
    <mergeCell ref="C86:D86"/>
    <mergeCell ref="A87:B87"/>
    <mergeCell ref="C87:D87"/>
    <mergeCell ref="A88:B88"/>
    <mergeCell ref="C88:D88"/>
    <mergeCell ref="A79:D79"/>
    <mergeCell ref="A80:D80"/>
    <mergeCell ref="A81:D81"/>
    <mergeCell ref="A82:D82"/>
    <mergeCell ref="A83:B83"/>
    <mergeCell ref="C83:D83"/>
    <mergeCell ref="A103:B103"/>
    <mergeCell ref="C103:D103"/>
    <mergeCell ref="A104:B104"/>
    <mergeCell ref="C104:D104"/>
    <mergeCell ref="A105:B105"/>
    <mergeCell ref="C105:D105"/>
    <mergeCell ref="C98:D98"/>
    <mergeCell ref="A100:B100"/>
    <mergeCell ref="C100:D100"/>
    <mergeCell ref="A101:B101"/>
    <mergeCell ref="C101:D101"/>
    <mergeCell ref="A102:B102"/>
    <mergeCell ref="C102:D102"/>
    <mergeCell ref="A92:D92"/>
    <mergeCell ref="A93:D93"/>
    <mergeCell ref="A94:D94"/>
    <mergeCell ref="A95:D95"/>
    <mergeCell ref="A96:D96"/>
    <mergeCell ref="A97:B97"/>
    <mergeCell ref="C97:D97"/>
    <mergeCell ref="A116:B116"/>
    <mergeCell ref="C116:D116"/>
    <mergeCell ref="A117:B117"/>
    <mergeCell ref="C117:D117"/>
    <mergeCell ref="A118:B118"/>
    <mergeCell ref="C118:D118"/>
    <mergeCell ref="C111:D111"/>
    <mergeCell ref="A113:B113"/>
    <mergeCell ref="C113:D113"/>
    <mergeCell ref="A114:B114"/>
    <mergeCell ref="C114:D114"/>
    <mergeCell ref="A115:B115"/>
    <mergeCell ref="C115:D115"/>
    <mergeCell ref="A106:D106"/>
    <mergeCell ref="A107:D107"/>
    <mergeCell ref="A108:D108"/>
    <mergeCell ref="A109:D109"/>
    <mergeCell ref="A110:B110"/>
    <mergeCell ref="C110:D110"/>
    <mergeCell ref="A130:B130"/>
    <mergeCell ref="C130:D130"/>
    <mergeCell ref="A131:B131"/>
    <mergeCell ref="C131:D131"/>
    <mergeCell ref="A132:B132"/>
    <mergeCell ref="C132:D132"/>
    <mergeCell ref="C125:D125"/>
    <mergeCell ref="A127:B127"/>
    <mergeCell ref="C127:D127"/>
    <mergeCell ref="A128:B128"/>
    <mergeCell ref="C128:D128"/>
    <mergeCell ref="A129:B129"/>
    <mergeCell ref="C129:D129"/>
    <mergeCell ref="A119:D119"/>
    <mergeCell ref="A120:D120"/>
    <mergeCell ref="A121:D121"/>
    <mergeCell ref="A122:D122"/>
    <mergeCell ref="A123:D123"/>
    <mergeCell ref="A124:B124"/>
    <mergeCell ref="C124:D124"/>
    <mergeCell ref="A143:B143"/>
    <mergeCell ref="C143:D143"/>
    <mergeCell ref="A144:B144"/>
    <mergeCell ref="C144:D144"/>
    <mergeCell ref="A145:B145"/>
    <mergeCell ref="C145:D145"/>
    <mergeCell ref="C138:D138"/>
    <mergeCell ref="A140:B140"/>
    <mergeCell ref="C140:D140"/>
    <mergeCell ref="A141:B141"/>
    <mergeCell ref="C141:D141"/>
    <mergeCell ref="A142:B142"/>
    <mergeCell ref="C142:D142"/>
    <mergeCell ref="A133:D133"/>
    <mergeCell ref="A134:D134"/>
    <mergeCell ref="A135:D135"/>
    <mergeCell ref="A136:D136"/>
    <mergeCell ref="A137:B137"/>
    <mergeCell ref="C137:D137"/>
    <mergeCell ref="A157:B157"/>
    <mergeCell ref="C157:D157"/>
    <mergeCell ref="A158:B158"/>
    <mergeCell ref="C158:D158"/>
    <mergeCell ref="A159:B159"/>
    <mergeCell ref="C159:D159"/>
    <mergeCell ref="C152:D152"/>
    <mergeCell ref="A154:B154"/>
    <mergeCell ref="C154:D154"/>
    <mergeCell ref="A155:B155"/>
    <mergeCell ref="C155:D155"/>
    <mergeCell ref="A156:B156"/>
    <mergeCell ref="C156:D156"/>
    <mergeCell ref="A146:D146"/>
    <mergeCell ref="A147:D147"/>
    <mergeCell ref="A148:D148"/>
    <mergeCell ref="A149:D149"/>
    <mergeCell ref="A150:D150"/>
    <mergeCell ref="A151:B151"/>
    <mergeCell ref="C151:D151"/>
    <mergeCell ref="A170:B170"/>
    <mergeCell ref="C170:D170"/>
    <mergeCell ref="A171:B171"/>
    <mergeCell ref="C171:D171"/>
    <mergeCell ref="A172:B172"/>
    <mergeCell ref="C172:D172"/>
    <mergeCell ref="C165:D165"/>
    <mergeCell ref="A167:B167"/>
    <mergeCell ref="C167:D167"/>
    <mergeCell ref="A168:B168"/>
    <mergeCell ref="C168:D168"/>
    <mergeCell ref="A169:B169"/>
    <mergeCell ref="C169:D169"/>
    <mergeCell ref="A160:D160"/>
    <mergeCell ref="A161:D161"/>
    <mergeCell ref="A162:D162"/>
    <mergeCell ref="A163:D163"/>
    <mergeCell ref="A164:B164"/>
    <mergeCell ref="C164:D164"/>
    <mergeCell ref="A184:B184"/>
    <mergeCell ref="C184:D184"/>
    <mergeCell ref="A185:B185"/>
    <mergeCell ref="C185:D185"/>
    <mergeCell ref="A186:B186"/>
    <mergeCell ref="C186:D186"/>
    <mergeCell ref="C179:D179"/>
    <mergeCell ref="A181:B181"/>
    <mergeCell ref="C181:D181"/>
    <mergeCell ref="A182:B182"/>
    <mergeCell ref="C182:D182"/>
    <mergeCell ref="A183:B183"/>
    <mergeCell ref="C183:D183"/>
    <mergeCell ref="A173:D173"/>
    <mergeCell ref="A174:D174"/>
    <mergeCell ref="A175:D175"/>
    <mergeCell ref="A176:D176"/>
    <mergeCell ref="A177:D177"/>
    <mergeCell ref="A178:B178"/>
    <mergeCell ref="C178:D178"/>
    <mergeCell ref="A197:B197"/>
    <mergeCell ref="C197:D197"/>
    <mergeCell ref="A198:B198"/>
    <mergeCell ref="C198:D198"/>
    <mergeCell ref="A199:B199"/>
    <mergeCell ref="C199:D199"/>
    <mergeCell ref="C192:D192"/>
    <mergeCell ref="A194:B194"/>
    <mergeCell ref="C194:D194"/>
    <mergeCell ref="A195:B195"/>
    <mergeCell ref="C195:D195"/>
    <mergeCell ref="A196:B196"/>
    <mergeCell ref="C196:D196"/>
    <mergeCell ref="A187:D187"/>
    <mergeCell ref="A188:D188"/>
    <mergeCell ref="A189:D189"/>
    <mergeCell ref="A190:D190"/>
    <mergeCell ref="A191:B191"/>
    <mergeCell ref="C191:D191"/>
    <mergeCell ref="A211:B211"/>
    <mergeCell ref="C211:D211"/>
    <mergeCell ref="A212:B212"/>
    <mergeCell ref="C212:D212"/>
    <mergeCell ref="A213:B213"/>
    <mergeCell ref="C213:D213"/>
    <mergeCell ref="C206:D206"/>
    <mergeCell ref="A208:B208"/>
    <mergeCell ref="C208:D208"/>
    <mergeCell ref="A209:B209"/>
    <mergeCell ref="C209:D209"/>
    <mergeCell ref="A210:B210"/>
    <mergeCell ref="C210:D210"/>
    <mergeCell ref="A200:D200"/>
    <mergeCell ref="A201:D201"/>
    <mergeCell ref="A202:D202"/>
    <mergeCell ref="A203:D203"/>
    <mergeCell ref="A204:D204"/>
    <mergeCell ref="A205:B205"/>
    <mergeCell ref="C205:D205"/>
    <mergeCell ref="A224:B224"/>
    <mergeCell ref="C224:D224"/>
    <mergeCell ref="A225:B225"/>
    <mergeCell ref="C225:D225"/>
    <mergeCell ref="A226:B226"/>
    <mergeCell ref="C226:D226"/>
    <mergeCell ref="C219:D219"/>
    <mergeCell ref="A221:B221"/>
    <mergeCell ref="C221:D221"/>
    <mergeCell ref="A222:B222"/>
    <mergeCell ref="C222:D222"/>
    <mergeCell ref="A223:B223"/>
    <mergeCell ref="C223:D223"/>
    <mergeCell ref="A214:D214"/>
    <mergeCell ref="A215:D215"/>
    <mergeCell ref="A216:D216"/>
    <mergeCell ref="A217:D217"/>
    <mergeCell ref="A218:B218"/>
    <mergeCell ref="C218:D218"/>
    <mergeCell ref="A238:B238"/>
    <mergeCell ref="C238:D238"/>
    <mergeCell ref="A239:B239"/>
    <mergeCell ref="C239:D239"/>
    <mergeCell ref="A240:B240"/>
    <mergeCell ref="C240:D240"/>
    <mergeCell ref="C233:D233"/>
    <mergeCell ref="A235:B235"/>
    <mergeCell ref="C235:D235"/>
    <mergeCell ref="A236:B236"/>
    <mergeCell ref="C236:D236"/>
    <mergeCell ref="A237:B237"/>
    <mergeCell ref="C237:D237"/>
    <mergeCell ref="A227:D227"/>
    <mergeCell ref="A228:D228"/>
    <mergeCell ref="A229:D229"/>
    <mergeCell ref="A230:D230"/>
    <mergeCell ref="A231:D231"/>
    <mergeCell ref="A232:B232"/>
    <mergeCell ref="C232:D232"/>
    <mergeCell ref="A251:B251"/>
    <mergeCell ref="C251:D251"/>
    <mergeCell ref="A252:B252"/>
    <mergeCell ref="C252:D252"/>
    <mergeCell ref="A253:B253"/>
    <mergeCell ref="C253:D253"/>
    <mergeCell ref="C246:D246"/>
    <mergeCell ref="A248:B248"/>
    <mergeCell ref="C248:D248"/>
    <mergeCell ref="A249:B249"/>
    <mergeCell ref="C249:D249"/>
    <mergeCell ref="A250:B250"/>
    <mergeCell ref="C250:D250"/>
    <mergeCell ref="A241:D241"/>
    <mergeCell ref="A242:D242"/>
    <mergeCell ref="A243:D243"/>
    <mergeCell ref="A244:D244"/>
    <mergeCell ref="A245:B245"/>
    <mergeCell ref="C245:D245"/>
    <mergeCell ref="A265:B265"/>
    <mergeCell ref="C265:D265"/>
    <mergeCell ref="A266:B266"/>
    <mergeCell ref="C266:D266"/>
    <mergeCell ref="A267:B267"/>
    <mergeCell ref="C267:D267"/>
    <mergeCell ref="C260:D260"/>
    <mergeCell ref="A262:B262"/>
    <mergeCell ref="C262:D262"/>
    <mergeCell ref="A263:B263"/>
    <mergeCell ref="C263:D263"/>
    <mergeCell ref="A264:B264"/>
    <mergeCell ref="C264:D264"/>
    <mergeCell ref="A254:D254"/>
    <mergeCell ref="A255:D255"/>
    <mergeCell ref="A256:D256"/>
    <mergeCell ref="A257:D257"/>
    <mergeCell ref="A258:D258"/>
    <mergeCell ref="A259:B259"/>
    <mergeCell ref="C259:D259"/>
    <mergeCell ref="A278:B278"/>
    <mergeCell ref="C278:D278"/>
    <mergeCell ref="A279:B279"/>
    <mergeCell ref="C279:D279"/>
    <mergeCell ref="A280:B280"/>
    <mergeCell ref="C280:D280"/>
    <mergeCell ref="C273:D273"/>
    <mergeCell ref="A275:B275"/>
    <mergeCell ref="C275:D275"/>
    <mergeCell ref="A276:B276"/>
    <mergeCell ref="C276:D276"/>
    <mergeCell ref="A277:B277"/>
    <mergeCell ref="C277:D277"/>
    <mergeCell ref="A268:D268"/>
    <mergeCell ref="A269:D269"/>
    <mergeCell ref="A270:D270"/>
    <mergeCell ref="A271:D271"/>
    <mergeCell ref="A272:B272"/>
    <mergeCell ref="C272:D272"/>
    <mergeCell ref="A292:B292"/>
    <mergeCell ref="C292:D292"/>
    <mergeCell ref="A293:B293"/>
    <mergeCell ref="C293:D293"/>
    <mergeCell ref="A294:B294"/>
    <mergeCell ref="C294:D294"/>
    <mergeCell ref="C287:D287"/>
    <mergeCell ref="A289:B289"/>
    <mergeCell ref="C289:D289"/>
    <mergeCell ref="A290:B290"/>
    <mergeCell ref="C290:D290"/>
    <mergeCell ref="A291:B291"/>
    <mergeCell ref="C291:D291"/>
    <mergeCell ref="A281:D281"/>
    <mergeCell ref="A282:D282"/>
    <mergeCell ref="A283:D283"/>
    <mergeCell ref="A284:D284"/>
    <mergeCell ref="A285:D285"/>
    <mergeCell ref="A286:B286"/>
    <mergeCell ref="C286:D286"/>
    <mergeCell ref="A305:B305"/>
    <mergeCell ref="C305:D305"/>
    <mergeCell ref="A306:B306"/>
    <mergeCell ref="C306:D306"/>
    <mergeCell ref="A307:B307"/>
    <mergeCell ref="C307:D307"/>
    <mergeCell ref="C300:D300"/>
    <mergeCell ref="A302:B302"/>
    <mergeCell ref="C302:D302"/>
    <mergeCell ref="A303:B303"/>
    <mergeCell ref="C303:D303"/>
    <mergeCell ref="A304:B304"/>
    <mergeCell ref="C304:D304"/>
    <mergeCell ref="A295:D295"/>
    <mergeCell ref="A296:D296"/>
    <mergeCell ref="A297:D297"/>
    <mergeCell ref="A298:D298"/>
    <mergeCell ref="A299:B299"/>
    <mergeCell ref="C299:D299"/>
    <mergeCell ref="A319:B319"/>
    <mergeCell ref="C319:D319"/>
    <mergeCell ref="A320:B320"/>
    <mergeCell ref="C320:D320"/>
    <mergeCell ref="A321:B321"/>
    <mergeCell ref="C321:D321"/>
    <mergeCell ref="C314:D314"/>
    <mergeCell ref="A316:B316"/>
    <mergeCell ref="C316:D316"/>
    <mergeCell ref="A317:B317"/>
    <mergeCell ref="C317:D317"/>
    <mergeCell ref="A318:B318"/>
    <mergeCell ref="C318:D318"/>
    <mergeCell ref="A308:D308"/>
    <mergeCell ref="A309:D309"/>
    <mergeCell ref="A310:D310"/>
    <mergeCell ref="A311:D311"/>
    <mergeCell ref="A312:D312"/>
    <mergeCell ref="A313:B313"/>
    <mergeCell ref="C313:D313"/>
    <mergeCell ref="A332:B332"/>
    <mergeCell ref="C332:D332"/>
    <mergeCell ref="A333:B333"/>
    <mergeCell ref="C333:D333"/>
    <mergeCell ref="A334:B334"/>
    <mergeCell ref="C334:D334"/>
    <mergeCell ref="C327:D327"/>
    <mergeCell ref="A329:B329"/>
    <mergeCell ref="C329:D329"/>
    <mergeCell ref="A330:B330"/>
    <mergeCell ref="C330:D330"/>
    <mergeCell ref="A331:B331"/>
    <mergeCell ref="C331:D331"/>
    <mergeCell ref="A322:D322"/>
    <mergeCell ref="A323:D323"/>
    <mergeCell ref="A324:D324"/>
    <mergeCell ref="A325:D325"/>
    <mergeCell ref="A326:B326"/>
    <mergeCell ref="C326:D326"/>
    <mergeCell ref="A346:B346"/>
    <mergeCell ref="C346:D346"/>
    <mergeCell ref="A347:B347"/>
    <mergeCell ref="C347:D347"/>
    <mergeCell ref="A348:B348"/>
    <mergeCell ref="C348:D348"/>
    <mergeCell ref="C341:D341"/>
    <mergeCell ref="A343:B343"/>
    <mergeCell ref="C343:D343"/>
    <mergeCell ref="A344:B344"/>
    <mergeCell ref="C344:D344"/>
    <mergeCell ref="A345:B345"/>
    <mergeCell ref="C345:D345"/>
    <mergeCell ref="A335:D335"/>
    <mergeCell ref="A336:D336"/>
    <mergeCell ref="A337:D337"/>
    <mergeCell ref="A338:D338"/>
    <mergeCell ref="A339:D339"/>
    <mergeCell ref="A340:B340"/>
    <mergeCell ref="C340:D340"/>
    <mergeCell ref="A359:B359"/>
    <mergeCell ref="C359:D359"/>
    <mergeCell ref="A360:B360"/>
    <mergeCell ref="C360:D360"/>
    <mergeCell ref="A361:B361"/>
    <mergeCell ref="C361:D361"/>
    <mergeCell ref="C354:D354"/>
    <mergeCell ref="A356:B356"/>
    <mergeCell ref="C356:D356"/>
    <mergeCell ref="A357:B357"/>
    <mergeCell ref="C357:D357"/>
    <mergeCell ref="A358:B358"/>
    <mergeCell ref="C358:D358"/>
    <mergeCell ref="A349:D349"/>
    <mergeCell ref="A350:D350"/>
    <mergeCell ref="A351:D351"/>
    <mergeCell ref="A352:D352"/>
    <mergeCell ref="A353:B353"/>
    <mergeCell ref="C353:D353"/>
    <mergeCell ref="A373:B373"/>
    <mergeCell ref="C373:D373"/>
    <mergeCell ref="A374:B374"/>
    <mergeCell ref="C374:D374"/>
    <mergeCell ref="A375:B375"/>
    <mergeCell ref="C375:D375"/>
    <mergeCell ref="C368:D368"/>
    <mergeCell ref="A370:B370"/>
    <mergeCell ref="C370:D370"/>
    <mergeCell ref="A371:B371"/>
    <mergeCell ref="C371:D371"/>
    <mergeCell ref="A372:B372"/>
    <mergeCell ref="C372:D372"/>
    <mergeCell ref="A362:D362"/>
    <mergeCell ref="A363:D363"/>
    <mergeCell ref="A364:D364"/>
    <mergeCell ref="A365:D365"/>
    <mergeCell ref="A366:D366"/>
    <mergeCell ref="A367:B367"/>
    <mergeCell ref="C367:D367"/>
    <mergeCell ref="A386:B386"/>
    <mergeCell ref="C386:D386"/>
    <mergeCell ref="A387:B387"/>
    <mergeCell ref="C387:D387"/>
    <mergeCell ref="A388:B388"/>
    <mergeCell ref="C388:D388"/>
    <mergeCell ref="C381:D381"/>
    <mergeCell ref="A383:B383"/>
    <mergeCell ref="C383:D383"/>
    <mergeCell ref="A384:B384"/>
    <mergeCell ref="C384:D384"/>
    <mergeCell ref="A385:B385"/>
    <mergeCell ref="C385:D385"/>
    <mergeCell ref="A376:D376"/>
    <mergeCell ref="A377:D377"/>
    <mergeCell ref="A378:D378"/>
    <mergeCell ref="A379:D379"/>
    <mergeCell ref="A380:B380"/>
    <mergeCell ref="C380:D380"/>
    <mergeCell ref="A400:B400"/>
    <mergeCell ref="C400:D400"/>
    <mergeCell ref="A401:B401"/>
    <mergeCell ref="C401:D401"/>
    <mergeCell ref="A402:B402"/>
    <mergeCell ref="C402:D402"/>
    <mergeCell ref="C395:D395"/>
    <mergeCell ref="A397:B397"/>
    <mergeCell ref="C397:D397"/>
    <mergeCell ref="A398:B398"/>
    <mergeCell ref="C398:D398"/>
    <mergeCell ref="A399:B399"/>
    <mergeCell ref="C399:D399"/>
    <mergeCell ref="A389:D389"/>
    <mergeCell ref="A390:D390"/>
    <mergeCell ref="A391:D391"/>
    <mergeCell ref="A392:D392"/>
    <mergeCell ref="A393:D393"/>
    <mergeCell ref="A394:B394"/>
    <mergeCell ref="C394:D394"/>
    <mergeCell ref="A413:B413"/>
    <mergeCell ref="C413:D413"/>
    <mergeCell ref="A414:B414"/>
    <mergeCell ref="C414:D414"/>
    <mergeCell ref="A415:B415"/>
    <mergeCell ref="C415:D415"/>
    <mergeCell ref="C408:D408"/>
    <mergeCell ref="A410:B410"/>
    <mergeCell ref="C410:D410"/>
    <mergeCell ref="A411:B411"/>
    <mergeCell ref="C411:D411"/>
    <mergeCell ref="A412:B412"/>
    <mergeCell ref="C412:D412"/>
    <mergeCell ref="A403:D403"/>
    <mergeCell ref="A404:D404"/>
    <mergeCell ref="A405:D405"/>
    <mergeCell ref="A406:D406"/>
    <mergeCell ref="A407:B407"/>
    <mergeCell ref="C407:D407"/>
    <mergeCell ref="A427:B427"/>
    <mergeCell ref="C427:D427"/>
    <mergeCell ref="A428:B428"/>
    <mergeCell ref="C428:D428"/>
    <mergeCell ref="A429:B429"/>
    <mergeCell ref="C429:D429"/>
    <mergeCell ref="C422:D422"/>
    <mergeCell ref="A424:B424"/>
    <mergeCell ref="C424:D424"/>
    <mergeCell ref="A425:B425"/>
    <mergeCell ref="C425:D425"/>
    <mergeCell ref="A426:B426"/>
    <mergeCell ref="C426:D426"/>
    <mergeCell ref="A416:D416"/>
    <mergeCell ref="A417:D417"/>
    <mergeCell ref="A418:D418"/>
    <mergeCell ref="A419:D419"/>
    <mergeCell ref="A420:D420"/>
    <mergeCell ref="A421:B421"/>
    <mergeCell ref="C421:D421"/>
    <mergeCell ref="A440:B440"/>
    <mergeCell ref="C440:D440"/>
    <mergeCell ref="A441:B441"/>
    <mergeCell ref="C441:D441"/>
    <mergeCell ref="A442:B442"/>
    <mergeCell ref="C442:D442"/>
    <mergeCell ref="C435:D435"/>
    <mergeCell ref="A437:B437"/>
    <mergeCell ref="C437:D437"/>
    <mergeCell ref="A438:B438"/>
    <mergeCell ref="C438:D438"/>
    <mergeCell ref="A439:B439"/>
    <mergeCell ref="C439:D439"/>
    <mergeCell ref="A430:D430"/>
    <mergeCell ref="A431:D431"/>
    <mergeCell ref="A432:D432"/>
    <mergeCell ref="A433:D433"/>
    <mergeCell ref="A434:B434"/>
    <mergeCell ref="C434:D434"/>
    <mergeCell ref="A454:B454"/>
    <mergeCell ref="C454:D454"/>
    <mergeCell ref="A455:B455"/>
    <mergeCell ref="C455:D455"/>
    <mergeCell ref="A456:B456"/>
    <mergeCell ref="C456:D456"/>
    <mergeCell ref="C449:D449"/>
    <mergeCell ref="A451:B451"/>
    <mergeCell ref="C451:D451"/>
    <mergeCell ref="A452:B452"/>
    <mergeCell ref="C452:D452"/>
    <mergeCell ref="A453:B453"/>
    <mergeCell ref="C453:D453"/>
    <mergeCell ref="A443:D443"/>
    <mergeCell ref="A444:D444"/>
    <mergeCell ref="A445:D445"/>
    <mergeCell ref="A446:D446"/>
    <mergeCell ref="A447:D447"/>
    <mergeCell ref="A448:B448"/>
    <mergeCell ref="C448:D448"/>
    <mergeCell ref="A467:B467"/>
    <mergeCell ref="C467:D467"/>
    <mergeCell ref="A468:B468"/>
    <mergeCell ref="C468:D468"/>
    <mergeCell ref="A469:B469"/>
    <mergeCell ref="C469:D469"/>
    <mergeCell ref="C462:D462"/>
    <mergeCell ref="A464:B464"/>
    <mergeCell ref="C464:D464"/>
    <mergeCell ref="A465:B465"/>
    <mergeCell ref="C465:D465"/>
    <mergeCell ref="A466:B466"/>
    <mergeCell ref="C466:D466"/>
    <mergeCell ref="A457:D457"/>
    <mergeCell ref="A458:D458"/>
    <mergeCell ref="A459:D459"/>
    <mergeCell ref="A460:D460"/>
    <mergeCell ref="A461:B461"/>
    <mergeCell ref="C461:D461"/>
    <mergeCell ref="A481:B481"/>
    <mergeCell ref="C481:D481"/>
    <mergeCell ref="A482:B482"/>
    <mergeCell ref="C482:D482"/>
    <mergeCell ref="A483:B483"/>
    <mergeCell ref="C483:D483"/>
    <mergeCell ref="C476:D476"/>
    <mergeCell ref="A478:B478"/>
    <mergeCell ref="C478:D478"/>
    <mergeCell ref="A479:B479"/>
    <mergeCell ref="C479:D479"/>
    <mergeCell ref="A480:B480"/>
    <mergeCell ref="C480:D480"/>
    <mergeCell ref="A470:D470"/>
    <mergeCell ref="A471:D471"/>
    <mergeCell ref="A472:D472"/>
    <mergeCell ref="A473:D473"/>
    <mergeCell ref="A474:D474"/>
    <mergeCell ref="A475:B475"/>
    <mergeCell ref="C475:D475"/>
    <mergeCell ref="A494:B494"/>
    <mergeCell ref="C494:D494"/>
    <mergeCell ref="A495:B495"/>
    <mergeCell ref="C495:D495"/>
    <mergeCell ref="A496:B496"/>
    <mergeCell ref="C496:D496"/>
    <mergeCell ref="C489:D489"/>
    <mergeCell ref="A491:B491"/>
    <mergeCell ref="C491:D491"/>
    <mergeCell ref="A492:B492"/>
    <mergeCell ref="C492:D492"/>
    <mergeCell ref="A493:B493"/>
    <mergeCell ref="C493:D493"/>
    <mergeCell ref="A484:D484"/>
    <mergeCell ref="A485:D485"/>
    <mergeCell ref="A486:D486"/>
    <mergeCell ref="A487:D487"/>
    <mergeCell ref="A488:B488"/>
    <mergeCell ref="C488:D488"/>
    <mergeCell ref="A508:B508"/>
    <mergeCell ref="C508:D508"/>
    <mergeCell ref="A509:B509"/>
    <mergeCell ref="C509:D509"/>
    <mergeCell ref="A510:B510"/>
    <mergeCell ref="C510:D510"/>
    <mergeCell ref="C503:D503"/>
    <mergeCell ref="A505:B505"/>
    <mergeCell ref="C505:D505"/>
    <mergeCell ref="A506:B506"/>
    <mergeCell ref="C506:D506"/>
    <mergeCell ref="A507:B507"/>
    <mergeCell ref="C507:D507"/>
    <mergeCell ref="A497:D497"/>
    <mergeCell ref="A498:D498"/>
    <mergeCell ref="A499:D499"/>
    <mergeCell ref="A500:D500"/>
    <mergeCell ref="A501:D501"/>
    <mergeCell ref="A502:B502"/>
    <mergeCell ref="C502:D502"/>
    <mergeCell ref="A521:B521"/>
    <mergeCell ref="C521:D521"/>
    <mergeCell ref="A522:B522"/>
    <mergeCell ref="C522:D522"/>
    <mergeCell ref="A523:B523"/>
    <mergeCell ref="C523:D523"/>
    <mergeCell ref="C516:D516"/>
    <mergeCell ref="A518:B518"/>
    <mergeCell ref="C518:D518"/>
    <mergeCell ref="A519:B519"/>
    <mergeCell ref="C519:D519"/>
    <mergeCell ref="A520:B520"/>
    <mergeCell ref="C520:D520"/>
    <mergeCell ref="A511:D511"/>
    <mergeCell ref="A512:D512"/>
    <mergeCell ref="A513:D513"/>
    <mergeCell ref="A514:D514"/>
    <mergeCell ref="A515:B515"/>
    <mergeCell ref="C515:D515"/>
    <mergeCell ref="A535:B535"/>
    <mergeCell ref="C535:D535"/>
    <mergeCell ref="A536:B536"/>
    <mergeCell ref="C536:D536"/>
    <mergeCell ref="A537:B537"/>
    <mergeCell ref="C537:D537"/>
    <mergeCell ref="C530:D530"/>
    <mergeCell ref="A532:B532"/>
    <mergeCell ref="C532:D532"/>
    <mergeCell ref="A533:B533"/>
    <mergeCell ref="C533:D533"/>
    <mergeCell ref="A534:B534"/>
    <mergeCell ref="C534:D534"/>
    <mergeCell ref="A524:D524"/>
    <mergeCell ref="A525:D525"/>
    <mergeCell ref="A526:D526"/>
    <mergeCell ref="A527:D527"/>
    <mergeCell ref="A528:D528"/>
    <mergeCell ref="A529:B529"/>
    <mergeCell ref="C529:D529"/>
    <mergeCell ref="A548:B548"/>
    <mergeCell ref="C548:D548"/>
    <mergeCell ref="A549:B549"/>
    <mergeCell ref="C549:D549"/>
    <mergeCell ref="A550:B550"/>
    <mergeCell ref="C550:D550"/>
    <mergeCell ref="C543:D543"/>
    <mergeCell ref="A545:B545"/>
    <mergeCell ref="C545:D545"/>
    <mergeCell ref="A546:B546"/>
    <mergeCell ref="C546:D546"/>
    <mergeCell ref="A547:B547"/>
    <mergeCell ref="C547:D547"/>
    <mergeCell ref="A538:D538"/>
    <mergeCell ref="A539:D539"/>
    <mergeCell ref="A540:D540"/>
    <mergeCell ref="A541:D541"/>
    <mergeCell ref="A542:B542"/>
    <mergeCell ref="C542:D542"/>
    <mergeCell ref="A562:B562"/>
    <mergeCell ref="C562:D562"/>
    <mergeCell ref="A563:B563"/>
    <mergeCell ref="C563:D563"/>
    <mergeCell ref="A564:B564"/>
    <mergeCell ref="C564:D564"/>
    <mergeCell ref="C557:D557"/>
    <mergeCell ref="A559:B559"/>
    <mergeCell ref="C559:D559"/>
    <mergeCell ref="A560:B560"/>
    <mergeCell ref="C560:D560"/>
    <mergeCell ref="A561:B561"/>
    <mergeCell ref="C561:D561"/>
    <mergeCell ref="A551:D551"/>
    <mergeCell ref="A552:D552"/>
    <mergeCell ref="A553:D553"/>
    <mergeCell ref="A554:D554"/>
    <mergeCell ref="A555:D555"/>
    <mergeCell ref="A556:B556"/>
    <mergeCell ref="C556:D556"/>
    <mergeCell ref="A575:B575"/>
    <mergeCell ref="C575:D575"/>
    <mergeCell ref="A576:B576"/>
    <mergeCell ref="C576:D576"/>
    <mergeCell ref="A577:B577"/>
    <mergeCell ref="C577:D577"/>
    <mergeCell ref="C570:D570"/>
    <mergeCell ref="A572:B572"/>
    <mergeCell ref="C572:D572"/>
    <mergeCell ref="A573:B573"/>
    <mergeCell ref="C573:D573"/>
    <mergeCell ref="A574:B574"/>
    <mergeCell ref="C574:D574"/>
    <mergeCell ref="A565:D565"/>
    <mergeCell ref="A566:D566"/>
    <mergeCell ref="A567:D567"/>
    <mergeCell ref="A568:D568"/>
    <mergeCell ref="A569:B569"/>
    <mergeCell ref="C569:D569"/>
    <mergeCell ref="A589:B589"/>
    <mergeCell ref="C589:D589"/>
    <mergeCell ref="A590:B590"/>
    <mergeCell ref="C590:D590"/>
    <mergeCell ref="A591:B591"/>
    <mergeCell ref="C591:D591"/>
    <mergeCell ref="C584:D584"/>
    <mergeCell ref="A586:B586"/>
    <mergeCell ref="C586:D586"/>
    <mergeCell ref="A587:B587"/>
    <mergeCell ref="C587:D587"/>
    <mergeCell ref="A588:B588"/>
    <mergeCell ref="C588:D588"/>
    <mergeCell ref="A578:D578"/>
    <mergeCell ref="A579:D579"/>
    <mergeCell ref="A580:D580"/>
    <mergeCell ref="A581:D581"/>
    <mergeCell ref="A582:D582"/>
    <mergeCell ref="A583:B583"/>
    <mergeCell ref="C583:D583"/>
    <mergeCell ref="A602:B602"/>
    <mergeCell ref="C602:D602"/>
    <mergeCell ref="A603:B603"/>
    <mergeCell ref="C603:D603"/>
    <mergeCell ref="A604:B604"/>
    <mergeCell ref="C604:D604"/>
    <mergeCell ref="C597:D597"/>
    <mergeCell ref="A599:B599"/>
    <mergeCell ref="C599:D599"/>
    <mergeCell ref="A600:B600"/>
    <mergeCell ref="C600:D600"/>
    <mergeCell ref="A601:B601"/>
    <mergeCell ref="C601:D601"/>
    <mergeCell ref="A592:D592"/>
    <mergeCell ref="A593:D593"/>
    <mergeCell ref="A594:D594"/>
    <mergeCell ref="A595:D595"/>
    <mergeCell ref="A596:B596"/>
    <mergeCell ref="C596:D596"/>
    <mergeCell ref="A616:B616"/>
    <mergeCell ref="C616:D616"/>
    <mergeCell ref="A617:B617"/>
    <mergeCell ref="C617:D617"/>
    <mergeCell ref="A618:B618"/>
    <mergeCell ref="C618:D618"/>
    <mergeCell ref="C611:D611"/>
    <mergeCell ref="A613:B613"/>
    <mergeCell ref="C613:D613"/>
    <mergeCell ref="A614:B614"/>
    <mergeCell ref="C614:D614"/>
    <mergeCell ref="A615:B615"/>
    <mergeCell ref="C615:D615"/>
    <mergeCell ref="A605:D605"/>
    <mergeCell ref="A606:D606"/>
    <mergeCell ref="A607:D607"/>
    <mergeCell ref="A608:D608"/>
    <mergeCell ref="A609:D609"/>
    <mergeCell ref="A610:B610"/>
    <mergeCell ref="C610:D610"/>
    <mergeCell ref="A629:B629"/>
    <mergeCell ref="C629:D629"/>
    <mergeCell ref="A630:B630"/>
    <mergeCell ref="C630:D630"/>
    <mergeCell ref="A631:B631"/>
    <mergeCell ref="C631:D631"/>
    <mergeCell ref="C624:D624"/>
    <mergeCell ref="A626:B626"/>
    <mergeCell ref="C626:D626"/>
    <mergeCell ref="A627:B627"/>
    <mergeCell ref="C627:D627"/>
    <mergeCell ref="A628:B628"/>
    <mergeCell ref="C628:D628"/>
    <mergeCell ref="A619:D619"/>
    <mergeCell ref="A620:D620"/>
    <mergeCell ref="A621:D621"/>
    <mergeCell ref="A622:D622"/>
    <mergeCell ref="A623:B623"/>
    <mergeCell ref="C623:D623"/>
    <mergeCell ref="A643:B643"/>
    <mergeCell ref="C643:D643"/>
    <mergeCell ref="A644:B644"/>
    <mergeCell ref="C644:D644"/>
    <mergeCell ref="A645:B645"/>
    <mergeCell ref="C645:D645"/>
    <mergeCell ref="C638:D638"/>
    <mergeCell ref="A640:B640"/>
    <mergeCell ref="C640:D640"/>
    <mergeCell ref="A641:B641"/>
    <mergeCell ref="C641:D641"/>
    <mergeCell ref="A642:B642"/>
    <mergeCell ref="C642:D642"/>
    <mergeCell ref="A632:D632"/>
    <mergeCell ref="A633:D633"/>
    <mergeCell ref="A634:D634"/>
    <mergeCell ref="A635:D635"/>
    <mergeCell ref="A636:D636"/>
    <mergeCell ref="A637:B637"/>
    <mergeCell ref="C637:D637"/>
    <mergeCell ref="A656:B656"/>
    <mergeCell ref="C656:D656"/>
    <mergeCell ref="A657:B657"/>
    <mergeCell ref="C657:D657"/>
    <mergeCell ref="A658:B658"/>
    <mergeCell ref="C658:D658"/>
    <mergeCell ref="C651:D651"/>
    <mergeCell ref="A653:B653"/>
    <mergeCell ref="C653:D653"/>
    <mergeCell ref="A654:B654"/>
    <mergeCell ref="C654:D654"/>
    <mergeCell ref="A655:B655"/>
    <mergeCell ref="C655:D655"/>
    <mergeCell ref="A646:D646"/>
    <mergeCell ref="A647:D647"/>
    <mergeCell ref="A648:D648"/>
    <mergeCell ref="A649:D649"/>
    <mergeCell ref="A650:B650"/>
    <mergeCell ref="C650:D650"/>
    <mergeCell ref="A670:B670"/>
    <mergeCell ref="C670:D670"/>
    <mergeCell ref="A671:B671"/>
    <mergeCell ref="C671:D671"/>
    <mergeCell ref="A672:B672"/>
    <mergeCell ref="C672:D672"/>
    <mergeCell ref="C665:D665"/>
    <mergeCell ref="A667:B667"/>
    <mergeCell ref="C667:D667"/>
    <mergeCell ref="A668:B668"/>
    <mergeCell ref="C668:D668"/>
    <mergeCell ref="A669:B669"/>
    <mergeCell ref="C669:D669"/>
    <mergeCell ref="A659:D659"/>
    <mergeCell ref="A660:D660"/>
    <mergeCell ref="A661:D661"/>
    <mergeCell ref="A662:D662"/>
    <mergeCell ref="A663:D663"/>
    <mergeCell ref="A664:B664"/>
    <mergeCell ref="C664:D664"/>
    <mergeCell ref="A683:B683"/>
    <mergeCell ref="C683:D683"/>
    <mergeCell ref="A684:B684"/>
    <mergeCell ref="C684:D684"/>
    <mergeCell ref="A685:B685"/>
    <mergeCell ref="C685:D685"/>
    <mergeCell ref="C678:D678"/>
    <mergeCell ref="A680:B680"/>
    <mergeCell ref="C680:D680"/>
    <mergeCell ref="A681:B681"/>
    <mergeCell ref="C681:D681"/>
    <mergeCell ref="A682:B682"/>
    <mergeCell ref="C682:D682"/>
    <mergeCell ref="A673:D673"/>
    <mergeCell ref="A674:D674"/>
    <mergeCell ref="A675:D675"/>
    <mergeCell ref="A676:D676"/>
    <mergeCell ref="A677:B677"/>
    <mergeCell ref="C677:D677"/>
    <mergeCell ref="A697:B697"/>
    <mergeCell ref="C697:D697"/>
    <mergeCell ref="A698:B698"/>
    <mergeCell ref="C698:D698"/>
    <mergeCell ref="A699:B699"/>
    <mergeCell ref="C699:D699"/>
    <mergeCell ref="C692:D692"/>
    <mergeCell ref="A694:B694"/>
    <mergeCell ref="C694:D694"/>
    <mergeCell ref="A695:B695"/>
    <mergeCell ref="C695:D695"/>
    <mergeCell ref="A696:B696"/>
    <mergeCell ref="C696:D696"/>
    <mergeCell ref="A686:D686"/>
    <mergeCell ref="A687:D687"/>
    <mergeCell ref="A688:D688"/>
    <mergeCell ref="A689:D689"/>
    <mergeCell ref="A690:D690"/>
    <mergeCell ref="A691:B691"/>
    <mergeCell ref="C691:D691"/>
    <mergeCell ref="A710:B710"/>
    <mergeCell ref="C710:D710"/>
    <mergeCell ref="A711:B711"/>
    <mergeCell ref="C711:D711"/>
    <mergeCell ref="A712:B712"/>
    <mergeCell ref="C712:D712"/>
    <mergeCell ref="C705:D705"/>
    <mergeCell ref="A707:B707"/>
    <mergeCell ref="C707:D707"/>
    <mergeCell ref="A708:B708"/>
    <mergeCell ref="C708:D708"/>
    <mergeCell ref="A709:B709"/>
    <mergeCell ref="C709:D709"/>
    <mergeCell ref="A700:D700"/>
    <mergeCell ref="A701:D701"/>
    <mergeCell ref="A702:D702"/>
    <mergeCell ref="A703:D703"/>
    <mergeCell ref="A704:B704"/>
    <mergeCell ref="C704:D704"/>
    <mergeCell ref="A724:B724"/>
    <mergeCell ref="C724:D724"/>
    <mergeCell ref="A725:B725"/>
    <mergeCell ref="C725:D725"/>
    <mergeCell ref="A726:B726"/>
    <mergeCell ref="C726:D726"/>
    <mergeCell ref="C719:D719"/>
    <mergeCell ref="A721:B721"/>
    <mergeCell ref="C721:D721"/>
    <mergeCell ref="A722:B722"/>
    <mergeCell ref="C722:D722"/>
    <mergeCell ref="A723:B723"/>
    <mergeCell ref="C723:D723"/>
    <mergeCell ref="A713:D713"/>
    <mergeCell ref="A714:D714"/>
    <mergeCell ref="A715:D715"/>
    <mergeCell ref="A716:D716"/>
    <mergeCell ref="A717:D717"/>
    <mergeCell ref="A718:B718"/>
    <mergeCell ref="C718:D718"/>
    <mergeCell ref="A737:B737"/>
    <mergeCell ref="C737:D737"/>
    <mergeCell ref="A738:B738"/>
    <mergeCell ref="C738:D738"/>
    <mergeCell ref="A739:B739"/>
    <mergeCell ref="C739:D739"/>
    <mergeCell ref="C732:D732"/>
    <mergeCell ref="A734:B734"/>
    <mergeCell ref="C734:D734"/>
    <mergeCell ref="A735:B735"/>
    <mergeCell ref="C735:D735"/>
    <mergeCell ref="A736:B736"/>
    <mergeCell ref="C736:D736"/>
    <mergeCell ref="A727:D727"/>
    <mergeCell ref="A728:D728"/>
    <mergeCell ref="A729:D729"/>
    <mergeCell ref="A730:D730"/>
    <mergeCell ref="A731:B731"/>
    <mergeCell ref="C731:D731"/>
    <mergeCell ref="A751:B751"/>
    <mergeCell ref="C751:D751"/>
    <mergeCell ref="A752:B752"/>
    <mergeCell ref="C752:D752"/>
    <mergeCell ref="A753:B753"/>
    <mergeCell ref="C753:D753"/>
    <mergeCell ref="C746:D746"/>
    <mergeCell ref="A748:B748"/>
    <mergeCell ref="C748:D748"/>
    <mergeCell ref="A749:B749"/>
    <mergeCell ref="C749:D749"/>
    <mergeCell ref="A750:B750"/>
    <mergeCell ref="C750:D750"/>
    <mergeCell ref="A740:D740"/>
    <mergeCell ref="A741:D741"/>
    <mergeCell ref="A742:D742"/>
    <mergeCell ref="A743:D743"/>
    <mergeCell ref="A744:D744"/>
    <mergeCell ref="A745:B745"/>
    <mergeCell ref="C745:D745"/>
    <mergeCell ref="A764:B764"/>
    <mergeCell ref="C764:D764"/>
    <mergeCell ref="A765:B765"/>
    <mergeCell ref="C765:D765"/>
    <mergeCell ref="A766:B766"/>
    <mergeCell ref="C766:D766"/>
    <mergeCell ref="C759:D759"/>
    <mergeCell ref="A761:B761"/>
    <mergeCell ref="C761:D761"/>
    <mergeCell ref="A762:B762"/>
    <mergeCell ref="C762:D762"/>
    <mergeCell ref="A763:B763"/>
    <mergeCell ref="C763:D763"/>
    <mergeCell ref="A754:D754"/>
    <mergeCell ref="A755:D755"/>
    <mergeCell ref="A756:D756"/>
    <mergeCell ref="A757:D757"/>
    <mergeCell ref="A758:B758"/>
    <mergeCell ref="C758:D758"/>
    <mergeCell ref="A778:B778"/>
    <mergeCell ref="C778:D778"/>
    <mergeCell ref="A779:B779"/>
    <mergeCell ref="C779:D779"/>
    <mergeCell ref="A780:B780"/>
    <mergeCell ref="C780:D780"/>
    <mergeCell ref="C773:D773"/>
    <mergeCell ref="A775:B775"/>
    <mergeCell ref="C775:D775"/>
    <mergeCell ref="A776:B776"/>
    <mergeCell ref="C776:D776"/>
    <mergeCell ref="A777:B777"/>
    <mergeCell ref="C777:D777"/>
    <mergeCell ref="A767:D767"/>
    <mergeCell ref="A768:D768"/>
    <mergeCell ref="A769:D769"/>
    <mergeCell ref="A770:D770"/>
    <mergeCell ref="A771:D771"/>
    <mergeCell ref="A772:B772"/>
    <mergeCell ref="C772:D772"/>
    <mergeCell ref="A791:B791"/>
    <mergeCell ref="C791:D791"/>
    <mergeCell ref="A792:B792"/>
    <mergeCell ref="C792:D792"/>
    <mergeCell ref="A793:B793"/>
    <mergeCell ref="C793:D793"/>
    <mergeCell ref="C786:D786"/>
    <mergeCell ref="A788:B788"/>
    <mergeCell ref="C788:D788"/>
    <mergeCell ref="A789:B789"/>
    <mergeCell ref="C789:D789"/>
    <mergeCell ref="A790:B790"/>
    <mergeCell ref="C790:D790"/>
    <mergeCell ref="A781:D781"/>
    <mergeCell ref="A782:D782"/>
    <mergeCell ref="A783:D783"/>
    <mergeCell ref="A784:D784"/>
    <mergeCell ref="A785:B785"/>
    <mergeCell ref="C785:D785"/>
    <mergeCell ref="A805:B805"/>
    <mergeCell ref="C805:D805"/>
    <mergeCell ref="A806:B806"/>
    <mergeCell ref="C806:D806"/>
    <mergeCell ref="A807:B807"/>
    <mergeCell ref="C807:D807"/>
    <mergeCell ref="C800:D800"/>
    <mergeCell ref="A802:B802"/>
    <mergeCell ref="C802:D802"/>
    <mergeCell ref="A803:B803"/>
    <mergeCell ref="C803:D803"/>
    <mergeCell ref="A804:B804"/>
    <mergeCell ref="C804:D804"/>
    <mergeCell ref="A794:D794"/>
    <mergeCell ref="A795:D795"/>
    <mergeCell ref="A796:D796"/>
    <mergeCell ref="A797:D797"/>
    <mergeCell ref="A798:D798"/>
    <mergeCell ref="A799:B799"/>
    <mergeCell ref="C799:D799"/>
    <mergeCell ref="A818:B818"/>
    <mergeCell ref="C818:D818"/>
    <mergeCell ref="A819:B819"/>
    <mergeCell ref="C819:D819"/>
    <mergeCell ref="A820:B820"/>
    <mergeCell ref="C820:D820"/>
    <mergeCell ref="C813:D813"/>
    <mergeCell ref="A815:B815"/>
    <mergeCell ref="C815:D815"/>
    <mergeCell ref="A816:B816"/>
    <mergeCell ref="C816:D816"/>
    <mergeCell ref="A817:B817"/>
    <mergeCell ref="C817:D817"/>
    <mergeCell ref="A808:D808"/>
    <mergeCell ref="A809:D809"/>
    <mergeCell ref="A810:D810"/>
    <mergeCell ref="A811:D811"/>
    <mergeCell ref="A812:B812"/>
    <mergeCell ref="C812:D812"/>
    <mergeCell ref="A832:B832"/>
    <mergeCell ref="C832:D832"/>
    <mergeCell ref="A833:B833"/>
    <mergeCell ref="C833:D833"/>
    <mergeCell ref="A834:B834"/>
    <mergeCell ref="C834:D834"/>
    <mergeCell ref="C827:D827"/>
    <mergeCell ref="A829:B829"/>
    <mergeCell ref="C829:D829"/>
    <mergeCell ref="A830:B830"/>
    <mergeCell ref="C830:D830"/>
    <mergeCell ref="A831:B831"/>
    <mergeCell ref="C831:D831"/>
    <mergeCell ref="A821:D821"/>
    <mergeCell ref="A822:D822"/>
    <mergeCell ref="A823:D823"/>
    <mergeCell ref="A824:D824"/>
    <mergeCell ref="A825:D825"/>
    <mergeCell ref="A826:B826"/>
    <mergeCell ref="C826:D826"/>
    <mergeCell ref="A845:B845"/>
    <mergeCell ref="C845:D845"/>
    <mergeCell ref="A846:B846"/>
    <mergeCell ref="C846:D846"/>
    <mergeCell ref="A847:B847"/>
    <mergeCell ref="C847:D847"/>
    <mergeCell ref="C840:D840"/>
    <mergeCell ref="A842:B842"/>
    <mergeCell ref="C842:D842"/>
    <mergeCell ref="A843:B843"/>
    <mergeCell ref="C843:D843"/>
    <mergeCell ref="A844:B844"/>
    <mergeCell ref="C844:D844"/>
    <mergeCell ref="A835:D835"/>
    <mergeCell ref="A836:D836"/>
    <mergeCell ref="A837:D837"/>
    <mergeCell ref="A838:D838"/>
    <mergeCell ref="A839:B839"/>
    <mergeCell ref="C839:D839"/>
    <mergeCell ref="A859:B859"/>
    <mergeCell ref="C859:D859"/>
    <mergeCell ref="A860:B860"/>
    <mergeCell ref="C860:D860"/>
    <mergeCell ref="A861:B861"/>
    <mergeCell ref="C861:D861"/>
    <mergeCell ref="C854:D854"/>
    <mergeCell ref="A856:B856"/>
    <mergeCell ref="C856:D856"/>
    <mergeCell ref="A857:B857"/>
    <mergeCell ref="C857:D857"/>
    <mergeCell ref="A858:B858"/>
    <mergeCell ref="C858:D858"/>
    <mergeCell ref="A848:D848"/>
    <mergeCell ref="A849:D849"/>
    <mergeCell ref="A850:D850"/>
    <mergeCell ref="A851:D851"/>
    <mergeCell ref="A852:D852"/>
    <mergeCell ref="A853:B853"/>
    <mergeCell ref="C853:D853"/>
    <mergeCell ref="A872:B872"/>
    <mergeCell ref="C872:D872"/>
    <mergeCell ref="A873:B873"/>
    <mergeCell ref="C873:D873"/>
    <mergeCell ref="A874:B874"/>
    <mergeCell ref="C874:D874"/>
    <mergeCell ref="C867:D867"/>
    <mergeCell ref="A869:B869"/>
    <mergeCell ref="C869:D869"/>
    <mergeCell ref="A870:B870"/>
    <mergeCell ref="C870:D870"/>
    <mergeCell ref="A871:B871"/>
    <mergeCell ref="C871:D871"/>
    <mergeCell ref="A862:D862"/>
    <mergeCell ref="A863:D863"/>
    <mergeCell ref="A864:D864"/>
    <mergeCell ref="A865:D865"/>
    <mergeCell ref="A866:B866"/>
    <mergeCell ref="C866:D866"/>
    <mergeCell ref="A886:B886"/>
    <mergeCell ref="C886:D886"/>
    <mergeCell ref="A887:B887"/>
    <mergeCell ref="C887:D887"/>
    <mergeCell ref="A888:B888"/>
    <mergeCell ref="C888:D888"/>
    <mergeCell ref="C881:D881"/>
    <mergeCell ref="A883:B883"/>
    <mergeCell ref="C883:D883"/>
    <mergeCell ref="A884:B884"/>
    <mergeCell ref="C884:D884"/>
    <mergeCell ref="A885:B885"/>
    <mergeCell ref="C885:D885"/>
    <mergeCell ref="A875:D875"/>
    <mergeCell ref="A876:D876"/>
    <mergeCell ref="A877:D877"/>
    <mergeCell ref="A878:D878"/>
    <mergeCell ref="A879:D879"/>
    <mergeCell ref="A880:B880"/>
    <mergeCell ref="C880:D880"/>
    <mergeCell ref="A899:B899"/>
    <mergeCell ref="C899:D899"/>
    <mergeCell ref="A900:B900"/>
    <mergeCell ref="C900:D900"/>
    <mergeCell ref="A901:B901"/>
    <mergeCell ref="C901:D901"/>
    <mergeCell ref="C894:D894"/>
    <mergeCell ref="A896:B896"/>
    <mergeCell ref="C896:D896"/>
    <mergeCell ref="A897:B897"/>
    <mergeCell ref="C897:D897"/>
    <mergeCell ref="A898:B898"/>
    <mergeCell ref="C898:D898"/>
    <mergeCell ref="A889:D889"/>
    <mergeCell ref="A890:D890"/>
    <mergeCell ref="A891:D891"/>
    <mergeCell ref="A892:D892"/>
    <mergeCell ref="A893:B893"/>
    <mergeCell ref="C893:D893"/>
    <mergeCell ref="A913:B913"/>
    <mergeCell ref="C913:D913"/>
    <mergeCell ref="A914:B914"/>
    <mergeCell ref="C914:D914"/>
    <mergeCell ref="A915:B915"/>
    <mergeCell ref="C915:D915"/>
    <mergeCell ref="C908:D908"/>
    <mergeCell ref="A910:B910"/>
    <mergeCell ref="C910:D910"/>
    <mergeCell ref="A911:B911"/>
    <mergeCell ref="C911:D911"/>
    <mergeCell ref="A912:B912"/>
    <mergeCell ref="C912:D912"/>
    <mergeCell ref="A902:D902"/>
    <mergeCell ref="A903:D903"/>
    <mergeCell ref="A904:D904"/>
    <mergeCell ref="A905:D905"/>
    <mergeCell ref="A906:D906"/>
    <mergeCell ref="A907:B907"/>
    <mergeCell ref="C907:D907"/>
    <mergeCell ref="A926:B926"/>
    <mergeCell ref="C926:D926"/>
    <mergeCell ref="A927:B927"/>
    <mergeCell ref="C927:D927"/>
    <mergeCell ref="A928:B928"/>
    <mergeCell ref="C928:D928"/>
    <mergeCell ref="C921:D921"/>
    <mergeCell ref="A923:B923"/>
    <mergeCell ref="C923:D923"/>
    <mergeCell ref="A924:B924"/>
    <mergeCell ref="C924:D924"/>
    <mergeCell ref="A925:B925"/>
    <mergeCell ref="C925:D925"/>
    <mergeCell ref="A916:D916"/>
    <mergeCell ref="A917:D917"/>
    <mergeCell ref="A918:D918"/>
    <mergeCell ref="A919:D919"/>
    <mergeCell ref="A920:B920"/>
    <mergeCell ref="C920:D920"/>
    <mergeCell ref="A940:B940"/>
    <mergeCell ref="C940:D940"/>
    <mergeCell ref="A941:B941"/>
    <mergeCell ref="C941:D941"/>
    <mergeCell ref="A942:B942"/>
    <mergeCell ref="C942:D942"/>
    <mergeCell ref="C935:D935"/>
    <mergeCell ref="A937:B937"/>
    <mergeCell ref="C937:D937"/>
    <mergeCell ref="A938:B938"/>
    <mergeCell ref="C938:D938"/>
    <mergeCell ref="A939:B939"/>
    <mergeCell ref="C939:D939"/>
    <mergeCell ref="A929:D929"/>
    <mergeCell ref="A930:D930"/>
    <mergeCell ref="A931:D931"/>
    <mergeCell ref="A932:D932"/>
    <mergeCell ref="A933:D933"/>
    <mergeCell ref="A934:B934"/>
    <mergeCell ref="C934:D934"/>
    <mergeCell ref="A953:B953"/>
    <mergeCell ref="C953:D953"/>
    <mergeCell ref="A954:B954"/>
    <mergeCell ref="C954:D954"/>
    <mergeCell ref="A955:B955"/>
    <mergeCell ref="C955:D955"/>
    <mergeCell ref="C948:D948"/>
    <mergeCell ref="A950:B950"/>
    <mergeCell ref="C950:D950"/>
    <mergeCell ref="A951:B951"/>
    <mergeCell ref="C951:D951"/>
    <mergeCell ref="A952:B952"/>
    <mergeCell ref="C952:D952"/>
    <mergeCell ref="A943:D943"/>
    <mergeCell ref="A944:D944"/>
    <mergeCell ref="A945:D945"/>
    <mergeCell ref="A946:D946"/>
    <mergeCell ref="A947:B947"/>
    <mergeCell ref="C947:D947"/>
    <mergeCell ref="A967:B967"/>
    <mergeCell ref="C967:D967"/>
    <mergeCell ref="A968:B968"/>
    <mergeCell ref="C968:D968"/>
    <mergeCell ref="A969:B969"/>
    <mergeCell ref="C969:D969"/>
    <mergeCell ref="C962:D962"/>
    <mergeCell ref="A964:B964"/>
    <mergeCell ref="C964:D964"/>
    <mergeCell ref="A965:B965"/>
    <mergeCell ref="C965:D965"/>
    <mergeCell ref="A966:B966"/>
    <mergeCell ref="C966:D966"/>
    <mergeCell ref="A956:D956"/>
    <mergeCell ref="A957:D957"/>
    <mergeCell ref="A958:D958"/>
    <mergeCell ref="A959:D959"/>
    <mergeCell ref="A960:D960"/>
    <mergeCell ref="A961:B961"/>
    <mergeCell ref="C961:D961"/>
    <mergeCell ref="A980:B980"/>
    <mergeCell ref="C980:D980"/>
    <mergeCell ref="A981:B981"/>
    <mergeCell ref="C981:D981"/>
    <mergeCell ref="A982:B982"/>
    <mergeCell ref="C982:D982"/>
    <mergeCell ref="C975:D975"/>
    <mergeCell ref="A977:B977"/>
    <mergeCell ref="C977:D977"/>
    <mergeCell ref="A978:B978"/>
    <mergeCell ref="C978:D978"/>
    <mergeCell ref="A979:B979"/>
    <mergeCell ref="C979:D979"/>
    <mergeCell ref="A970:D970"/>
    <mergeCell ref="A971:D971"/>
    <mergeCell ref="A972:D972"/>
    <mergeCell ref="A973:D973"/>
    <mergeCell ref="A974:B974"/>
    <mergeCell ref="C974:D974"/>
    <mergeCell ref="A994:B994"/>
    <mergeCell ref="C994:D994"/>
    <mergeCell ref="A995:B995"/>
    <mergeCell ref="C995:D995"/>
    <mergeCell ref="A996:B996"/>
    <mergeCell ref="C996:D996"/>
    <mergeCell ref="C989:D989"/>
    <mergeCell ref="A991:B991"/>
    <mergeCell ref="C991:D991"/>
    <mergeCell ref="A992:B992"/>
    <mergeCell ref="C992:D992"/>
    <mergeCell ref="A993:B993"/>
    <mergeCell ref="C993:D993"/>
    <mergeCell ref="A983:D983"/>
    <mergeCell ref="A984:D984"/>
    <mergeCell ref="A985:D985"/>
    <mergeCell ref="A986:D986"/>
    <mergeCell ref="A987:D987"/>
    <mergeCell ref="A988:B988"/>
    <mergeCell ref="C988:D988"/>
    <mergeCell ref="A1007:B1007"/>
    <mergeCell ref="C1007:D1007"/>
    <mergeCell ref="A1008:B1008"/>
    <mergeCell ref="C1008:D1008"/>
    <mergeCell ref="A1009:B1009"/>
    <mergeCell ref="C1009:D1009"/>
    <mergeCell ref="C1002:D1002"/>
    <mergeCell ref="A1004:B1004"/>
    <mergeCell ref="C1004:D1004"/>
    <mergeCell ref="A1005:B1005"/>
    <mergeCell ref="C1005:D1005"/>
    <mergeCell ref="A1006:B1006"/>
    <mergeCell ref="C1006:D1006"/>
    <mergeCell ref="A997:D997"/>
    <mergeCell ref="A998:D998"/>
    <mergeCell ref="A999:D999"/>
    <mergeCell ref="A1000:D1000"/>
    <mergeCell ref="A1001:B1001"/>
    <mergeCell ref="C1001:D1001"/>
    <mergeCell ref="A1021:B1021"/>
    <mergeCell ref="C1021:D1021"/>
    <mergeCell ref="A1022:B1022"/>
    <mergeCell ref="C1022:D1022"/>
    <mergeCell ref="A1023:B1023"/>
    <mergeCell ref="C1023:D1023"/>
    <mergeCell ref="C1016:D1016"/>
    <mergeCell ref="A1018:B1018"/>
    <mergeCell ref="C1018:D1018"/>
    <mergeCell ref="A1019:B1019"/>
    <mergeCell ref="C1019:D1019"/>
    <mergeCell ref="A1020:B1020"/>
    <mergeCell ref="C1020:D1020"/>
    <mergeCell ref="A1010:D1010"/>
    <mergeCell ref="A1011:D1011"/>
    <mergeCell ref="A1012:D1012"/>
    <mergeCell ref="A1013:D1013"/>
    <mergeCell ref="A1014:D1014"/>
    <mergeCell ref="A1015:B1015"/>
    <mergeCell ref="C1015:D1015"/>
    <mergeCell ref="A1034:B1034"/>
    <mergeCell ref="C1034:D1034"/>
    <mergeCell ref="A1035:B1035"/>
    <mergeCell ref="C1035:D1035"/>
    <mergeCell ref="A1036:B1036"/>
    <mergeCell ref="C1036:D1036"/>
    <mergeCell ref="C1029:D1029"/>
    <mergeCell ref="A1031:B1031"/>
    <mergeCell ref="C1031:D1031"/>
    <mergeCell ref="A1032:B1032"/>
    <mergeCell ref="C1032:D1032"/>
    <mergeCell ref="A1033:B1033"/>
    <mergeCell ref="C1033:D1033"/>
    <mergeCell ref="A1024:D1024"/>
    <mergeCell ref="A1025:D1025"/>
    <mergeCell ref="A1026:D1026"/>
    <mergeCell ref="A1027:D1027"/>
    <mergeCell ref="A1028:B1028"/>
    <mergeCell ref="C1028:D1028"/>
    <mergeCell ref="A1048:B1048"/>
    <mergeCell ref="C1048:D1048"/>
    <mergeCell ref="A1049:B1049"/>
    <mergeCell ref="C1049:D1049"/>
    <mergeCell ref="A1050:B1050"/>
    <mergeCell ref="C1050:D1050"/>
    <mergeCell ref="C1043:D1043"/>
    <mergeCell ref="A1045:B1045"/>
    <mergeCell ref="C1045:D1045"/>
    <mergeCell ref="A1046:B1046"/>
    <mergeCell ref="C1046:D1046"/>
    <mergeCell ref="A1047:B1047"/>
    <mergeCell ref="C1047:D1047"/>
    <mergeCell ref="A1037:D1037"/>
    <mergeCell ref="A1038:D1038"/>
    <mergeCell ref="A1039:D1039"/>
    <mergeCell ref="A1040:D1040"/>
    <mergeCell ref="A1041:D1041"/>
    <mergeCell ref="A1042:B1042"/>
    <mergeCell ref="C1042:D1042"/>
    <mergeCell ref="A1061:B1061"/>
    <mergeCell ref="C1061:D1061"/>
    <mergeCell ref="A1062:B1062"/>
    <mergeCell ref="C1062:D1062"/>
    <mergeCell ref="A1063:B1063"/>
    <mergeCell ref="C1063:D1063"/>
    <mergeCell ref="C1056:D1056"/>
    <mergeCell ref="A1058:B1058"/>
    <mergeCell ref="C1058:D1058"/>
    <mergeCell ref="A1059:B1059"/>
    <mergeCell ref="C1059:D1059"/>
    <mergeCell ref="A1060:B1060"/>
    <mergeCell ref="C1060:D1060"/>
    <mergeCell ref="A1051:D1051"/>
    <mergeCell ref="A1052:D1052"/>
    <mergeCell ref="A1053:D1053"/>
    <mergeCell ref="A1054:D1054"/>
    <mergeCell ref="A1055:B1055"/>
    <mergeCell ref="C1055:D1055"/>
    <mergeCell ref="A1075:B1075"/>
    <mergeCell ref="C1075:D1075"/>
    <mergeCell ref="A1076:B1076"/>
    <mergeCell ref="C1076:D1076"/>
    <mergeCell ref="A1077:B1077"/>
    <mergeCell ref="C1077:D1077"/>
    <mergeCell ref="C1070:D1070"/>
    <mergeCell ref="A1072:B1072"/>
    <mergeCell ref="C1072:D1072"/>
    <mergeCell ref="A1073:B1073"/>
    <mergeCell ref="C1073:D1073"/>
    <mergeCell ref="A1074:B1074"/>
    <mergeCell ref="C1074:D1074"/>
    <mergeCell ref="A1064:D1064"/>
    <mergeCell ref="A1065:D1065"/>
    <mergeCell ref="A1066:D1066"/>
    <mergeCell ref="A1067:D1067"/>
    <mergeCell ref="A1068:D1068"/>
    <mergeCell ref="A1069:B1069"/>
    <mergeCell ref="C1069:D1069"/>
    <mergeCell ref="A1088:B1088"/>
    <mergeCell ref="C1088:D1088"/>
    <mergeCell ref="A1089:B1089"/>
    <mergeCell ref="C1089:D1089"/>
    <mergeCell ref="A1090:B1090"/>
    <mergeCell ref="C1090:D1090"/>
    <mergeCell ref="C1083:D1083"/>
    <mergeCell ref="A1085:B1085"/>
    <mergeCell ref="C1085:D1085"/>
    <mergeCell ref="A1086:B1086"/>
    <mergeCell ref="C1086:D1086"/>
    <mergeCell ref="A1087:B1087"/>
    <mergeCell ref="C1087:D1087"/>
    <mergeCell ref="A1078:D1078"/>
    <mergeCell ref="A1079:D1079"/>
    <mergeCell ref="A1080:D1080"/>
    <mergeCell ref="A1081:D1081"/>
    <mergeCell ref="A1082:B1082"/>
    <mergeCell ref="C1082:D1082"/>
    <mergeCell ref="A1102:B1102"/>
    <mergeCell ref="C1102:D1102"/>
    <mergeCell ref="A1103:B1103"/>
    <mergeCell ref="C1103:D1103"/>
    <mergeCell ref="A1104:B1104"/>
    <mergeCell ref="C1104:D1104"/>
    <mergeCell ref="C1097:D1097"/>
    <mergeCell ref="A1099:B1099"/>
    <mergeCell ref="C1099:D1099"/>
    <mergeCell ref="A1100:B1100"/>
    <mergeCell ref="C1100:D1100"/>
    <mergeCell ref="A1101:B1101"/>
    <mergeCell ref="C1101:D1101"/>
    <mergeCell ref="A1091:D1091"/>
    <mergeCell ref="A1092:D1092"/>
    <mergeCell ref="A1093:D1093"/>
    <mergeCell ref="A1094:D1094"/>
    <mergeCell ref="A1095:D1095"/>
    <mergeCell ref="A1096:B1096"/>
    <mergeCell ref="C1096:D1096"/>
    <mergeCell ref="A1115:B1115"/>
    <mergeCell ref="C1115:D1115"/>
    <mergeCell ref="A1116:B1116"/>
    <mergeCell ref="C1116:D1116"/>
    <mergeCell ref="A1117:B1117"/>
    <mergeCell ref="C1117:D1117"/>
    <mergeCell ref="C1110:D1110"/>
    <mergeCell ref="A1112:B1112"/>
    <mergeCell ref="C1112:D1112"/>
    <mergeCell ref="A1113:B1113"/>
    <mergeCell ref="C1113:D1113"/>
    <mergeCell ref="A1114:B1114"/>
    <mergeCell ref="C1114:D1114"/>
    <mergeCell ref="A1105:D1105"/>
    <mergeCell ref="A1106:D1106"/>
    <mergeCell ref="A1107:D1107"/>
    <mergeCell ref="A1108:D1108"/>
    <mergeCell ref="A1109:B1109"/>
    <mergeCell ref="C1109:D1109"/>
    <mergeCell ref="A1129:B1129"/>
    <mergeCell ref="C1129:D1129"/>
    <mergeCell ref="A1130:B1130"/>
    <mergeCell ref="C1130:D1130"/>
    <mergeCell ref="A1131:B1131"/>
    <mergeCell ref="C1131:D1131"/>
    <mergeCell ref="C1124:D1124"/>
    <mergeCell ref="A1126:B1126"/>
    <mergeCell ref="C1126:D1126"/>
    <mergeCell ref="A1127:B1127"/>
    <mergeCell ref="C1127:D1127"/>
    <mergeCell ref="A1128:B1128"/>
    <mergeCell ref="C1128:D1128"/>
    <mergeCell ref="A1118:D1118"/>
    <mergeCell ref="A1119:D1119"/>
    <mergeCell ref="A1120:D1120"/>
    <mergeCell ref="A1121:D1121"/>
    <mergeCell ref="A1122:D1122"/>
    <mergeCell ref="A1123:B1123"/>
    <mergeCell ref="C1123:D1123"/>
    <mergeCell ref="A1142:B1142"/>
    <mergeCell ref="C1142:D1142"/>
    <mergeCell ref="A1143:B1143"/>
    <mergeCell ref="C1143:D1143"/>
    <mergeCell ref="A1144:B1144"/>
    <mergeCell ref="C1144:D1144"/>
    <mergeCell ref="C1137:D1137"/>
    <mergeCell ref="A1139:B1139"/>
    <mergeCell ref="C1139:D1139"/>
    <mergeCell ref="A1140:B1140"/>
    <mergeCell ref="C1140:D1140"/>
    <mergeCell ref="A1141:B1141"/>
    <mergeCell ref="C1141:D1141"/>
    <mergeCell ref="A1132:D1132"/>
    <mergeCell ref="A1133:D1133"/>
    <mergeCell ref="A1134:D1134"/>
    <mergeCell ref="A1135:D1135"/>
    <mergeCell ref="A1136:B1136"/>
    <mergeCell ref="C1136:D1136"/>
    <mergeCell ref="A1156:B1156"/>
    <mergeCell ref="C1156:D1156"/>
    <mergeCell ref="A1157:B1157"/>
    <mergeCell ref="C1157:D1157"/>
    <mergeCell ref="A1158:B1158"/>
    <mergeCell ref="C1158:D1158"/>
    <mergeCell ref="C1151:D1151"/>
    <mergeCell ref="A1153:B1153"/>
    <mergeCell ref="C1153:D1153"/>
    <mergeCell ref="A1154:B1154"/>
    <mergeCell ref="C1154:D1154"/>
    <mergeCell ref="A1155:B1155"/>
    <mergeCell ref="C1155:D1155"/>
    <mergeCell ref="A1145:D1145"/>
    <mergeCell ref="A1146:D1146"/>
    <mergeCell ref="A1147:D1147"/>
    <mergeCell ref="A1148:D1148"/>
    <mergeCell ref="A1149:D1149"/>
    <mergeCell ref="A1150:B1150"/>
    <mergeCell ref="C1150:D1150"/>
    <mergeCell ref="A1169:B1169"/>
    <mergeCell ref="C1169:D1169"/>
    <mergeCell ref="A1170:B1170"/>
    <mergeCell ref="C1170:D1170"/>
    <mergeCell ref="A1171:B1171"/>
    <mergeCell ref="C1171:D1171"/>
    <mergeCell ref="C1164:D1164"/>
    <mergeCell ref="A1166:B1166"/>
    <mergeCell ref="C1166:D1166"/>
    <mergeCell ref="A1167:B1167"/>
    <mergeCell ref="C1167:D1167"/>
    <mergeCell ref="A1168:B1168"/>
    <mergeCell ref="C1168:D1168"/>
    <mergeCell ref="A1159:D1159"/>
    <mergeCell ref="A1160:D1160"/>
    <mergeCell ref="A1161:D1161"/>
    <mergeCell ref="A1162:D1162"/>
    <mergeCell ref="A1163:B1163"/>
    <mergeCell ref="C1163:D1163"/>
    <mergeCell ref="A1183:B1183"/>
    <mergeCell ref="C1183:D1183"/>
    <mergeCell ref="A1184:B1184"/>
    <mergeCell ref="C1184:D1184"/>
    <mergeCell ref="A1185:B1185"/>
    <mergeCell ref="C1185:D1185"/>
    <mergeCell ref="C1178:D1178"/>
    <mergeCell ref="A1180:B1180"/>
    <mergeCell ref="C1180:D1180"/>
    <mergeCell ref="A1181:B1181"/>
    <mergeCell ref="C1181:D1181"/>
    <mergeCell ref="A1182:B1182"/>
    <mergeCell ref="C1182:D1182"/>
    <mergeCell ref="A1172:D1172"/>
    <mergeCell ref="A1173:D1173"/>
    <mergeCell ref="A1174:D1174"/>
    <mergeCell ref="A1175:D1175"/>
    <mergeCell ref="A1176:D1176"/>
    <mergeCell ref="A1177:B1177"/>
    <mergeCell ref="C1177:D1177"/>
    <mergeCell ref="A1196:B1196"/>
    <mergeCell ref="C1196:D1196"/>
    <mergeCell ref="A1197:B1197"/>
    <mergeCell ref="C1197:D1197"/>
    <mergeCell ref="A1198:B1198"/>
    <mergeCell ref="C1198:D1198"/>
    <mergeCell ref="C1191:D1191"/>
    <mergeCell ref="A1193:B1193"/>
    <mergeCell ref="C1193:D1193"/>
    <mergeCell ref="A1194:B1194"/>
    <mergeCell ref="C1194:D1194"/>
    <mergeCell ref="A1195:B1195"/>
    <mergeCell ref="C1195:D1195"/>
    <mergeCell ref="A1186:D1186"/>
    <mergeCell ref="A1187:D1187"/>
    <mergeCell ref="A1188:D1188"/>
    <mergeCell ref="A1189:D1189"/>
    <mergeCell ref="A1190:B1190"/>
    <mergeCell ref="C1190:D1190"/>
    <mergeCell ref="A1210:B1210"/>
    <mergeCell ref="C1210:D1210"/>
    <mergeCell ref="A1211:B1211"/>
    <mergeCell ref="C1211:D1211"/>
    <mergeCell ref="A1212:B1212"/>
    <mergeCell ref="C1212:D1212"/>
    <mergeCell ref="C1205:D1205"/>
    <mergeCell ref="A1207:B1207"/>
    <mergeCell ref="C1207:D1207"/>
    <mergeCell ref="A1208:B1208"/>
    <mergeCell ref="C1208:D1208"/>
    <mergeCell ref="A1209:B1209"/>
    <mergeCell ref="C1209:D1209"/>
    <mergeCell ref="A1199:D1199"/>
    <mergeCell ref="A1200:D1200"/>
    <mergeCell ref="A1201:D1201"/>
    <mergeCell ref="A1202:D1202"/>
    <mergeCell ref="A1203:D1203"/>
    <mergeCell ref="A1204:B1204"/>
    <mergeCell ref="C1204:D1204"/>
    <mergeCell ref="A1223:B1223"/>
    <mergeCell ref="C1223:D1223"/>
    <mergeCell ref="A1224:B1224"/>
    <mergeCell ref="C1224:D1224"/>
    <mergeCell ref="A1225:B1225"/>
    <mergeCell ref="C1225:D1225"/>
    <mergeCell ref="C1218:D1218"/>
    <mergeCell ref="A1220:B1220"/>
    <mergeCell ref="C1220:D1220"/>
    <mergeCell ref="A1221:B1221"/>
    <mergeCell ref="C1221:D1221"/>
    <mergeCell ref="A1222:B1222"/>
    <mergeCell ref="C1222:D1222"/>
    <mergeCell ref="A1213:D1213"/>
    <mergeCell ref="A1214:D1214"/>
    <mergeCell ref="A1215:D1215"/>
    <mergeCell ref="A1216:D1216"/>
    <mergeCell ref="A1217:B1217"/>
    <mergeCell ref="C1217:D1217"/>
    <mergeCell ref="A1237:B1237"/>
    <mergeCell ref="C1237:D1237"/>
    <mergeCell ref="A1238:B1238"/>
    <mergeCell ref="C1238:D1238"/>
    <mergeCell ref="A1239:B1239"/>
    <mergeCell ref="C1239:D1239"/>
    <mergeCell ref="C1232:D1232"/>
    <mergeCell ref="A1234:B1234"/>
    <mergeCell ref="C1234:D1234"/>
    <mergeCell ref="A1235:B1235"/>
    <mergeCell ref="C1235:D1235"/>
    <mergeCell ref="A1236:B1236"/>
    <mergeCell ref="C1236:D1236"/>
    <mergeCell ref="A1226:D1226"/>
    <mergeCell ref="A1227:D1227"/>
    <mergeCell ref="A1228:D1228"/>
    <mergeCell ref="A1229:D1229"/>
    <mergeCell ref="A1230:D1230"/>
    <mergeCell ref="A1231:B1231"/>
    <mergeCell ref="C1231:D1231"/>
    <mergeCell ref="A1250:B1250"/>
    <mergeCell ref="C1250:D1250"/>
    <mergeCell ref="A1251:B1251"/>
    <mergeCell ref="C1251:D1251"/>
    <mergeCell ref="A1252:B1252"/>
    <mergeCell ref="C1252:D1252"/>
    <mergeCell ref="C1245:D1245"/>
    <mergeCell ref="A1247:B1247"/>
    <mergeCell ref="C1247:D1247"/>
    <mergeCell ref="A1248:B1248"/>
    <mergeCell ref="C1248:D1248"/>
    <mergeCell ref="A1249:B1249"/>
    <mergeCell ref="C1249:D1249"/>
    <mergeCell ref="A1240:D1240"/>
    <mergeCell ref="A1241:D1241"/>
    <mergeCell ref="A1242:D1242"/>
    <mergeCell ref="A1243:D1243"/>
    <mergeCell ref="A1244:B1244"/>
    <mergeCell ref="C1244:D1244"/>
    <mergeCell ref="A1264:B1264"/>
    <mergeCell ref="C1264:D1264"/>
    <mergeCell ref="A1265:B1265"/>
    <mergeCell ref="C1265:D1265"/>
    <mergeCell ref="A1266:B1266"/>
    <mergeCell ref="C1266:D1266"/>
    <mergeCell ref="C1259:D1259"/>
    <mergeCell ref="A1261:B1261"/>
    <mergeCell ref="C1261:D1261"/>
    <mergeCell ref="A1262:B1262"/>
    <mergeCell ref="C1262:D1262"/>
    <mergeCell ref="A1263:B1263"/>
    <mergeCell ref="C1263:D1263"/>
    <mergeCell ref="A1253:D1253"/>
    <mergeCell ref="A1254:D1254"/>
    <mergeCell ref="A1255:D1255"/>
    <mergeCell ref="A1256:D1256"/>
    <mergeCell ref="A1257:D1257"/>
    <mergeCell ref="A1258:B1258"/>
    <mergeCell ref="C1258:D1258"/>
    <mergeCell ref="A1277:B1277"/>
    <mergeCell ref="C1277:D1277"/>
    <mergeCell ref="A1278:B1278"/>
    <mergeCell ref="C1278:D1278"/>
    <mergeCell ref="A1279:B1279"/>
    <mergeCell ref="C1279:D1279"/>
    <mergeCell ref="C1272:D1272"/>
    <mergeCell ref="A1274:B1274"/>
    <mergeCell ref="C1274:D1274"/>
    <mergeCell ref="A1275:B1275"/>
    <mergeCell ref="C1275:D1275"/>
    <mergeCell ref="A1276:B1276"/>
    <mergeCell ref="C1276:D1276"/>
    <mergeCell ref="A1267:D1267"/>
    <mergeCell ref="A1268:D1268"/>
    <mergeCell ref="A1269:D1269"/>
    <mergeCell ref="A1270:D1270"/>
    <mergeCell ref="A1271:B1271"/>
    <mergeCell ref="C1271:D1271"/>
    <mergeCell ref="A1291:B1291"/>
    <mergeCell ref="C1291:D1291"/>
    <mergeCell ref="A1292:B1292"/>
    <mergeCell ref="C1292:D1292"/>
    <mergeCell ref="A1293:B1293"/>
    <mergeCell ref="C1293:D1293"/>
    <mergeCell ref="C1286:D1286"/>
    <mergeCell ref="A1288:B1288"/>
    <mergeCell ref="C1288:D1288"/>
    <mergeCell ref="A1289:B1289"/>
    <mergeCell ref="C1289:D1289"/>
    <mergeCell ref="A1290:B1290"/>
    <mergeCell ref="C1290:D1290"/>
    <mergeCell ref="A1280:D1280"/>
    <mergeCell ref="A1281:D1281"/>
    <mergeCell ref="A1282:D1282"/>
    <mergeCell ref="A1283:D1283"/>
    <mergeCell ref="A1284:D1284"/>
    <mergeCell ref="A1285:B1285"/>
    <mergeCell ref="C1285:D1285"/>
    <mergeCell ref="A1304:B1304"/>
    <mergeCell ref="C1304:D1304"/>
    <mergeCell ref="A1305:B1305"/>
    <mergeCell ref="C1305:D1305"/>
    <mergeCell ref="A1306:B1306"/>
    <mergeCell ref="C1306:D1306"/>
    <mergeCell ref="C1299:D1299"/>
    <mergeCell ref="A1301:B1301"/>
    <mergeCell ref="C1301:D1301"/>
    <mergeCell ref="A1302:B1302"/>
    <mergeCell ref="C1302:D1302"/>
    <mergeCell ref="A1303:B1303"/>
    <mergeCell ref="C1303:D1303"/>
    <mergeCell ref="A1294:D1294"/>
    <mergeCell ref="A1295:D1295"/>
    <mergeCell ref="A1296:D1296"/>
    <mergeCell ref="A1297:D1297"/>
    <mergeCell ref="A1298:B1298"/>
    <mergeCell ref="C1298:D1298"/>
    <mergeCell ref="A1318:B1318"/>
    <mergeCell ref="C1318:D1318"/>
    <mergeCell ref="A1319:B1319"/>
    <mergeCell ref="C1319:D1319"/>
    <mergeCell ref="A1320:B1320"/>
    <mergeCell ref="C1320:D1320"/>
    <mergeCell ref="C1313:D1313"/>
    <mergeCell ref="A1315:B1315"/>
    <mergeCell ref="C1315:D1315"/>
    <mergeCell ref="A1316:B1316"/>
    <mergeCell ref="C1316:D1316"/>
    <mergeCell ref="A1317:B1317"/>
    <mergeCell ref="C1317:D1317"/>
    <mergeCell ref="A1307:D1307"/>
    <mergeCell ref="A1308:D1308"/>
    <mergeCell ref="A1309:D1309"/>
    <mergeCell ref="A1310:D1310"/>
    <mergeCell ref="A1311:D1311"/>
    <mergeCell ref="A1312:B1312"/>
    <mergeCell ref="C1312:D1312"/>
    <mergeCell ref="A1331:B1331"/>
    <mergeCell ref="C1331:D1331"/>
    <mergeCell ref="A1332:B1332"/>
    <mergeCell ref="C1332:D1332"/>
    <mergeCell ref="A1333:B1333"/>
    <mergeCell ref="C1333:D1333"/>
    <mergeCell ref="C1326:D1326"/>
    <mergeCell ref="A1328:B1328"/>
    <mergeCell ref="C1328:D1328"/>
    <mergeCell ref="A1329:B1329"/>
    <mergeCell ref="C1329:D1329"/>
    <mergeCell ref="A1330:B1330"/>
    <mergeCell ref="C1330:D1330"/>
    <mergeCell ref="A1321:D1321"/>
    <mergeCell ref="A1322:D1322"/>
    <mergeCell ref="A1323:D1323"/>
    <mergeCell ref="A1324:D1324"/>
    <mergeCell ref="A1325:B1325"/>
    <mergeCell ref="C1325:D1325"/>
    <mergeCell ref="A1345:B1345"/>
    <mergeCell ref="C1345:D1345"/>
    <mergeCell ref="A1346:B1346"/>
    <mergeCell ref="C1346:D1346"/>
    <mergeCell ref="A1347:B1347"/>
    <mergeCell ref="C1347:D1347"/>
    <mergeCell ref="C1340:D1340"/>
    <mergeCell ref="A1342:B1342"/>
    <mergeCell ref="C1342:D1342"/>
    <mergeCell ref="A1343:B1343"/>
    <mergeCell ref="C1343:D1343"/>
    <mergeCell ref="A1344:B1344"/>
    <mergeCell ref="C1344:D1344"/>
    <mergeCell ref="A1334:D1334"/>
    <mergeCell ref="A1335:D1335"/>
    <mergeCell ref="A1336:D1336"/>
    <mergeCell ref="A1337:D1337"/>
    <mergeCell ref="A1338:D1338"/>
    <mergeCell ref="A1339:B1339"/>
    <mergeCell ref="C1339:D1339"/>
    <mergeCell ref="A1358:B1358"/>
    <mergeCell ref="C1358:D1358"/>
    <mergeCell ref="A1359:B1359"/>
    <mergeCell ref="C1359:D1359"/>
    <mergeCell ref="A1360:B1360"/>
    <mergeCell ref="C1360:D1360"/>
    <mergeCell ref="C1353:D1353"/>
    <mergeCell ref="A1355:B1355"/>
    <mergeCell ref="C1355:D1355"/>
    <mergeCell ref="A1356:B1356"/>
    <mergeCell ref="C1356:D1356"/>
    <mergeCell ref="A1357:B1357"/>
    <mergeCell ref="C1357:D1357"/>
    <mergeCell ref="A1348:D1348"/>
    <mergeCell ref="A1349:D1349"/>
    <mergeCell ref="A1350:D1350"/>
    <mergeCell ref="A1351:D1351"/>
    <mergeCell ref="A1352:B1352"/>
    <mergeCell ref="C1352:D1352"/>
    <mergeCell ref="A1372:B1372"/>
    <mergeCell ref="C1372:D1372"/>
    <mergeCell ref="A1373:B1373"/>
    <mergeCell ref="C1373:D1373"/>
    <mergeCell ref="A1374:B1374"/>
    <mergeCell ref="C1374:D1374"/>
    <mergeCell ref="C1367:D1367"/>
    <mergeCell ref="A1369:B1369"/>
    <mergeCell ref="C1369:D1369"/>
    <mergeCell ref="A1370:B1370"/>
    <mergeCell ref="C1370:D1370"/>
    <mergeCell ref="A1371:B1371"/>
    <mergeCell ref="C1371:D1371"/>
    <mergeCell ref="A1361:D1361"/>
    <mergeCell ref="A1362:D1362"/>
    <mergeCell ref="A1363:D1363"/>
    <mergeCell ref="A1364:D1364"/>
    <mergeCell ref="A1365:D1365"/>
    <mergeCell ref="A1366:B1366"/>
    <mergeCell ref="C1366:D1366"/>
    <mergeCell ref="A1385:B1385"/>
    <mergeCell ref="C1385:D1385"/>
    <mergeCell ref="A1386:B1386"/>
    <mergeCell ref="C1386:D1386"/>
    <mergeCell ref="A1387:B1387"/>
    <mergeCell ref="C1387:D1387"/>
    <mergeCell ref="C1380:D1380"/>
    <mergeCell ref="A1382:B1382"/>
    <mergeCell ref="C1382:D1382"/>
    <mergeCell ref="A1383:B1383"/>
    <mergeCell ref="C1383:D1383"/>
    <mergeCell ref="A1384:B1384"/>
    <mergeCell ref="C1384:D1384"/>
    <mergeCell ref="A1375:D1375"/>
    <mergeCell ref="A1376:D1376"/>
    <mergeCell ref="A1377:D1377"/>
    <mergeCell ref="A1378:D1378"/>
    <mergeCell ref="A1379:B1379"/>
    <mergeCell ref="C1379:D1379"/>
    <mergeCell ref="A1399:B1399"/>
    <mergeCell ref="C1399:D1399"/>
    <mergeCell ref="A1400:B1400"/>
    <mergeCell ref="C1400:D1400"/>
    <mergeCell ref="A1401:B1401"/>
    <mergeCell ref="C1401:D1401"/>
    <mergeCell ref="C1394:D1394"/>
    <mergeCell ref="A1396:B1396"/>
    <mergeCell ref="C1396:D1396"/>
    <mergeCell ref="A1397:B1397"/>
    <mergeCell ref="C1397:D1397"/>
    <mergeCell ref="A1398:B1398"/>
    <mergeCell ref="C1398:D1398"/>
    <mergeCell ref="A1388:D1388"/>
    <mergeCell ref="A1389:D1389"/>
    <mergeCell ref="A1390:D1390"/>
    <mergeCell ref="A1391:D1391"/>
    <mergeCell ref="A1392:D1392"/>
    <mergeCell ref="A1393:B1393"/>
    <mergeCell ref="C1393:D1393"/>
    <mergeCell ref="A1412:B1412"/>
    <mergeCell ref="C1412:D1412"/>
    <mergeCell ref="A1413:B1413"/>
    <mergeCell ref="C1413:D1413"/>
    <mergeCell ref="A1414:B1414"/>
    <mergeCell ref="C1414:D1414"/>
    <mergeCell ref="C1407:D1407"/>
    <mergeCell ref="A1409:B1409"/>
    <mergeCell ref="C1409:D1409"/>
    <mergeCell ref="A1410:B1410"/>
    <mergeCell ref="C1410:D1410"/>
    <mergeCell ref="A1411:B1411"/>
    <mergeCell ref="C1411:D1411"/>
    <mergeCell ref="A1402:D1402"/>
    <mergeCell ref="A1403:D1403"/>
    <mergeCell ref="A1404:D1404"/>
    <mergeCell ref="A1405:D1405"/>
    <mergeCell ref="A1406:B1406"/>
    <mergeCell ref="C1406:D1406"/>
    <mergeCell ref="A1426:B1426"/>
    <mergeCell ref="C1426:D1426"/>
    <mergeCell ref="A1427:B1427"/>
    <mergeCell ref="C1427:D1427"/>
    <mergeCell ref="A1428:B1428"/>
    <mergeCell ref="C1428:D1428"/>
    <mergeCell ref="C1421:D1421"/>
    <mergeCell ref="A1423:B1423"/>
    <mergeCell ref="C1423:D1423"/>
    <mergeCell ref="A1424:B1424"/>
    <mergeCell ref="C1424:D1424"/>
    <mergeCell ref="A1425:B1425"/>
    <mergeCell ref="C1425:D1425"/>
    <mergeCell ref="A1415:D1415"/>
    <mergeCell ref="A1416:D1416"/>
    <mergeCell ref="A1417:D1417"/>
    <mergeCell ref="A1418:D1418"/>
    <mergeCell ref="A1419:D1419"/>
    <mergeCell ref="A1420:B1420"/>
    <mergeCell ref="C1420:D1420"/>
    <mergeCell ref="A1439:B1439"/>
    <mergeCell ref="C1439:D1439"/>
    <mergeCell ref="A1440:B1440"/>
    <mergeCell ref="C1440:D1440"/>
    <mergeCell ref="A1441:B1441"/>
    <mergeCell ref="C1441:D1441"/>
    <mergeCell ref="C1434:D1434"/>
    <mergeCell ref="A1436:B1436"/>
    <mergeCell ref="C1436:D1436"/>
    <mergeCell ref="A1437:B1437"/>
    <mergeCell ref="C1437:D1437"/>
    <mergeCell ref="A1438:B1438"/>
    <mergeCell ref="C1438:D1438"/>
    <mergeCell ref="A1429:D1429"/>
    <mergeCell ref="A1430:D1430"/>
    <mergeCell ref="A1431:D1431"/>
    <mergeCell ref="A1432:D1432"/>
    <mergeCell ref="A1433:B1433"/>
    <mergeCell ref="C1433:D1433"/>
    <mergeCell ref="A1453:B1453"/>
    <mergeCell ref="C1453:D1453"/>
    <mergeCell ref="A1454:B1454"/>
    <mergeCell ref="C1454:D1454"/>
    <mergeCell ref="A1455:B1455"/>
    <mergeCell ref="C1455:D1455"/>
    <mergeCell ref="C1448:D1448"/>
    <mergeCell ref="A1450:B1450"/>
    <mergeCell ref="C1450:D1450"/>
    <mergeCell ref="A1451:B1451"/>
    <mergeCell ref="C1451:D1451"/>
    <mergeCell ref="A1452:B1452"/>
    <mergeCell ref="C1452:D1452"/>
    <mergeCell ref="A1442:D1442"/>
    <mergeCell ref="A1443:D1443"/>
    <mergeCell ref="A1444:D1444"/>
    <mergeCell ref="A1445:D1445"/>
    <mergeCell ref="A1446:D1446"/>
    <mergeCell ref="A1447:B1447"/>
    <mergeCell ref="C1447:D1447"/>
    <mergeCell ref="A1466:B1466"/>
    <mergeCell ref="C1466:D1466"/>
    <mergeCell ref="A1467:B1467"/>
    <mergeCell ref="C1467:D1467"/>
    <mergeCell ref="A1468:B1468"/>
    <mergeCell ref="C1468:D1468"/>
    <mergeCell ref="C1461:D1461"/>
    <mergeCell ref="A1463:B1463"/>
    <mergeCell ref="C1463:D1463"/>
    <mergeCell ref="A1464:B1464"/>
    <mergeCell ref="C1464:D1464"/>
    <mergeCell ref="A1465:B1465"/>
    <mergeCell ref="C1465:D1465"/>
    <mergeCell ref="A1456:D1456"/>
    <mergeCell ref="A1457:D1457"/>
    <mergeCell ref="A1458:D1458"/>
    <mergeCell ref="A1459:D1459"/>
    <mergeCell ref="A1460:B1460"/>
    <mergeCell ref="C1460:D1460"/>
    <mergeCell ref="A1480:B1480"/>
    <mergeCell ref="C1480:D1480"/>
    <mergeCell ref="A1481:B1481"/>
    <mergeCell ref="C1481:D1481"/>
    <mergeCell ref="A1482:B1482"/>
    <mergeCell ref="C1482:D1482"/>
    <mergeCell ref="C1475:D1475"/>
    <mergeCell ref="A1477:B1477"/>
    <mergeCell ref="C1477:D1477"/>
    <mergeCell ref="A1478:B1478"/>
    <mergeCell ref="C1478:D1478"/>
    <mergeCell ref="A1479:B1479"/>
    <mergeCell ref="C1479:D1479"/>
    <mergeCell ref="A1469:D1469"/>
    <mergeCell ref="A1470:D1470"/>
    <mergeCell ref="A1471:D1471"/>
    <mergeCell ref="A1472:D1472"/>
    <mergeCell ref="A1473:D1473"/>
    <mergeCell ref="A1474:B1474"/>
    <mergeCell ref="C1474:D1474"/>
    <mergeCell ref="A1493:B1493"/>
    <mergeCell ref="C1493:D1493"/>
    <mergeCell ref="A1494:B1494"/>
    <mergeCell ref="C1494:D1494"/>
    <mergeCell ref="A1495:B1495"/>
    <mergeCell ref="C1495:D1495"/>
    <mergeCell ref="C1488:D1488"/>
    <mergeCell ref="A1490:B1490"/>
    <mergeCell ref="C1490:D1490"/>
    <mergeCell ref="A1491:B1491"/>
    <mergeCell ref="C1491:D1491"/>
    <mergeCell ref="A1492:B1492"/>
    <mergeCell ref="C1492:D1492"/>
    <mergeCell ref="A1483:D1483"/>
    <mergeCell ref="A1484:D1484"/>
    <mergeCell ref="A1485:D1485"/>
    <mergeCell ref="A1486:D1486"/>
    <mergeCell ref="A1487:B1487"/>
    <mergeCell ref="C1487:D1487"/>
    <mergeCell ref="A1507:B1507"/>
    <mergeCell ref="C1507:D1507"/>
    <mergeCell ref="A1508:B1508"/>
    <mergeCell ref="C1508:D1508"/>
    <mergeCell ref="A1509:B1509"/>
    <mergeCell ref="C1509:D1509"/>
    <mergeCell ref="C1502:D1502"/>
    <mergeCell ref="A1504:B1504"/>
    <mergeCell ref="C1504:D1504"/>
    <mergeCell ref="A1505:B1505"/>
    <mergeCell ref="C1505:D1505"/>
    <mergeCell ref="A1506:B1506"/>
    <mergeCell ref="C1506:D1506"/>
    <mergeCell ref="A1496:D1496"/>
    <mergeCell ref="A1497:D1497"/>
    <mergeCell ref="A1498:D1498"/>
    <mergeCell ref="A1499:D1499"/>
    <mergeCell ref="A1500:D1500"/>
    <mergeCell ref="A1501:B1501"/>
    <mergeCell ref="C1501:D1501"/>
    <mergeCell ref="A1520:B1520"/>
    <mergeCell ref="C1520:D1520"/>
    <mergeCell ref="A1521:B1521"/>
    <mergeCell ref="C1521:D1521"/>
    <mergeCell ref="A1522:B1522"/>
    <mergeCell ref="C1522:D1522"/>
    <mergeCell ref="C1515:D1515"/>
    <mergeCell ref="A1517:B1517"/>
    <mergeCell ref="C1517:D1517"/>
    <mergeCell ref="A1518:B1518"/>
    <mergeCell ref="C1518:D1518"/>
    <mergeCell ref="A1519:B1519"/>
    <mergeCell ref="C1519:D1519"/>
    <mergeCell ref="A1510:D1510"/>
    <mergeCell ref="A1511:D1511"/>
    <mergeCell ref="A1512:D1512"/>
    <mergeCell ref="A1513:D1513"/>
    <mergeCell ref="A1514:B1514"/>
    <mergeCell ref="C1514:D1514"/>
    <mergeCell ref="A1537:D1537"/>
    <mergeCell ref="A1538:D1538"/>
    <mergeCell ref="A1539:D1539"/>
    <mergeCell ref="A1534:B1534"/>
    <mergeCell ref="C1534:D1534"/>
    <mergeCell ref="A1535:B1535"/>
    <mergeCell ref="C1535:D1535"/>
    <mergeCell ref="A1536:B1536"/>
    <mergeCell ref="C1536:D1536"/>
    <mergeCell ref="C1529:D1529"/>
    <mergeCell ref="A1531:B1531"/>
    <mergeCell ref="C1531:D1531"/>
    <mergeCell ref="A1532:B1532"/>
    <mergeCell ref="C1532:D1532"/>
    <mergeCell ref="A1533:B1533"/>
    <mergeCell ref="C1533:D1533"/>
    <mergeCell ref="A1523:D1523"/>
    <mergeCell ref="A1524:D1524"/>
    <mergeCell ref="A1525:D1525"/>
    <mergeCell ref="A1526:D1526"/>
    <mergeCell ref="A1527:D1527"/>
    <mergeCell ref="A1528:B1528"/>
    <mergeCell ref="C1528:D1528"/>
    <mergeCell ref="A1540:D1540"/>
    <mergeCell ref="A1541:B1541"/>
    <mergeCell ref="C1541:D1541"/>
    <mergeCell ref="A1550:D1550"/>
    <mergeCell ref="A1551:D1551"/>
    <mergeCell ref="A1552:D1552"/>
    <mergeCell ref="A1553:D1553"/>
    <mergeCell ref="A1554:D1554"/>
    <mergeCell ref="A1555:B1555"/>
    <mergeCell ref="C1555:D1555"/>
    <mergeCell ref="A1547:B1547"/>
    <mergeCell ref="C1547:D1547"/>
    <mergeCell ref="A1548:B1548"/>
    <mergeCell ref="C1548:D1548"/>
    <mergeCell ref="A1549:B1549"/>
    <mergeCell ref="C1549:D1549"/>
    <mergeCell ref="C1542:D1542"/>
    <mergeCell ref="A1544:B1544"/>
    <mergeCell ref="C1544:D1544"/>
    <mergeCell ref="A1545:B1545"/>
    <mergeCell ref="C1545:D1545"/>
    <mergeCell ref="A1546:B1546"/>
    <mergeCell ref="C1546:D1546"/>
    <mergeCell ref="A1564:D1564"/>
    <mergeCell ref="A1565:D1565"/>
    <mergeCell ref="A1566:D1566"/>
    <mergeCell ref="A1567:D1567"/>
    <mergeCell ref="A1568:B1568"/>
    <mergeCell ref="C1568:D1568"/>
    <mergeCell ref="A1561:B1561"/>
    <mergeCell ref="C1561:D1561"/>
    <mergeCell ref="A1562:B1562"/>
    <mergeCell ref="C1562:D1562"/>
    <mergeCell ref="A1563:B1563"/>
    <mergeCell ref="C1563:D1563"/>
    <mergeCell ref="C1556:D1556"/>
    <mergeCell ref="A1558:B1558"/>
    <mergeCell ref="C1558:D1558"/>
    <mergeCell ref="A1559:B1559"/>
    <mergeCell ref="C1559:D1559"/>
    <mergeCell ref="A1560:B1560"/>
    <mergeCell ref="C1560:D1560"/>
    <mergeCell ref="A1577:D1577"/>
    <mergeCell ref="A1578:D1578"/>
    <mergeCell ref="A1579:D1579"/>
    <mergeCell ref="A1580:D1580"/>
    <mergeCell ref="A1581:D1581"/>
    <mergeCell ref="A1582:B1582"/>
    <mergeCell ref="C1582:D1582"/>
    <mergeCell ref="A1574:B1574"/>
    <mergeCell ref="C1574:D1574"/>
    <mergeCell ref="A1575:B1575"/>
    <mergeCell ref="C1575:D1575"/>
    <mergeCell ref="A1576:B1576"/>
    <mergeCell ref="C1576:D1576"/>
    <mergeCell ref="C1569:D1569"/>
    <mergeCell ref="A1571:B1571"/>
    <mergeCell ref="C1571:D1571"/>
    <mergeCell ref="A1572:B1572"/>
    <mergeCell ref="C1572:D1572"/>
    <mergeCell ref="A1573:B1573"/>
    <mergeCell ref="C1573:D1573"/>
    <mergeCell ref="A1591:D1591"/>
    <mergeCell ref="A1592:D1592"/>
    <mergeCell ref="A1593:D1593"/>
    <mergeCell ref="A1588:B1588"/>
    <mergeCell ref="C1588:D1588"/>
    <mergeCell ref="A1589:B1589"/>
    <mergeCell ref="C1589:D1589"/>
    <mergeCell ref="A1590:B1590"/>
    <mergeCell ref="C1590:D1590"/>
    <mergeCell ref="C1583:D1583"/>
    <mergeCell ref="A1585:B1585"/>
    <mergeCell ref="C1585:D1585"/>
    <mergeCell ref="A1586:B1586"/>
    <mergeCell ref="C1586:D1586"/>
    <mergeCell ref="A1587:B1587"/>
    <mergeCell ref="C1587:D1587"/>
    <mergeCell ref="A1608:D1608"/>
    <mergeCell ref="A1599:B1599"/>
    <mergeCell ref="C1599:D1599"/>
    <mergeCell ref="A1600:B1600"/>
    <mergeCell ref="C1600:D1600"/>
    <mergeCell ref="A1609:B1609"/>
    <mergeCell ref="C1609:D1609"/>
    <mergeCell ref="A1618:D1618"/>
    <mergeCell ref="A1594:D1594"/>
    <mergeCell ref="A1595:B1595"/>
    <mergeCell ref="C1595:D1595"/>
    <mergeCell ref="A1615:B1615"/>
    <mergeCell ref="C1615:D1615"/>
    <mergeCell ref="A1616:B1616"/>
    <mergeCell ref="C1616:D1616"/>
    <mergeCell ref="A1617:B1617"/>
    <mergeCell ref="C1617:D1617"/>
    <mergeCell ref="C1610:D1610"/>
    <mergeCell ref="A1612:B1612"/>
    <mergeCell ref="C1612:D1612"/>
    <mergeCell ref="A1613:B1613"/>
    <mergeCell ref="C1613:D1613"/>
    <mergeCell ref="A1614:B1614"/>
    <mergeCell ref="C1614:D1614"/>
    <mergeCell ref="A1604:D1604"/>
    <mergeCell ref="A1605:D1605"/>
    <mergeCell ref="A1606:D1606"/>
    <mergeCell ref="A1607:D1607"/>
    <mergeCell ref="A1601:B1601"/>
    <mergeCell ref="C1601:D1601"/>
    <mergeCell ref="A1602:B1602"/>
    <mergeCell ref="C1602:D1602"/>
    <mergeCell ref="A1603:B1603"/>
    <mergeCell ref="C1603:D1603"/>
    <mergeCell ref="C1596:D1596"/>
    <mergeCell ref="A1598:B1598"/>
    <mergeCell ref="C1598:D1598"/>
    <mergeCell ref="A1619:D1619"/>
    <mergeCell ref="A1620:D1620"/>
    <mergeCell ref="A1621:D1621"/>
    <mergeCell ref="A1622:B1622"/>
    <mergeCell ref="C1622:D1622"/>
    <mergeCell ref="A1631:D1631"/>
    <mergeCell ref="A1632:D1632"/>
    <mergeCell ref="A1633:D1633"/>
    <mergeCell ref="A1634:D1634"/>
    <mergeCell ref="A1635:D1635"/>
    <mergeCell ref="A1636:B1636"/>
    <mergeCell ref="C1636:D1636"/>
    <mergeCell ref="A1628:B1628"/>
    <mergeCell ref="C1628:D1628"/>
    <mergeCell ref="A1629:B1629"/>
    <mergeCell ref="C1629:D1629"/>
    <mergeCell ref="A1630:B1630"/>
    <mergeCell ref="C1630:D1630"/>
    <mergeCell ref="C1623:D1623"/>
    <mergeCell ref="A1625:B1625"/>
    <mergeCell ref="C1625:D1625"/>
    <mergeCell ref="A1626:B1626"/>
    <mergeCell ref="C1626:D1626"/>
    <mergeCell ref="A1627:B1627"/>
    <mergeCell ref="C1627:D1627"/>
    <mergeCell ref="A1645:D1645"/>
    <mergeCell ref="A1646:D1646"/>
    <mergeCell ref="A1647:D1647"/>
    <mergeCell ref="A1648:D1648"/>
    <mergeCell ref="A1649:B1649"/>
    <mergeCell ref="C1649:D1649"/>
    <mergeCell ref="A1642:B1642"/>
    <mergeCell ref="C1642:D1642"/>
    <mergeCell ref="A1643:B1643"/>
    <mergeCell ref="C1643:D1643"/>
    <mergeCell ref="A1644:B1644"/>
    <mergeCell ref="C1644:D1644"/>
    <mergeCell ref="C1637:D1637"/>
    <mergeCell ref="A1639:B1639"/>
    <mergeCell ref="C1639:D1639"/>
    <mergeCell ref="A1640:B1640"/>
    <mergeCell ref="C1640:D1640"/>
    <mergeCell ref="A1641:B1641"/>
    <mergeCell ref="C1641:D1641"/>
    <mergeCell ref="A1658:D1658"/>
    <mergeCell ref="A1659:D1659"/>
    <mergeCell ref="A1660:D1660"/>
    <mergeCell ref="A1661:D1661"/>
    <mergeCell ref="A1662:D1662"/>
    <mergeCell ref="A1663:B1663"/>
    <mergeCell ref="C1663:D1663"/>
    <mergeCell ref="A1655:B1655"/>
    <mergeCell ref="C1655:D1655"/>
    <mergeCell ref="A1656:B1656"/>
    <mergeCell ref="C1656:D1656"/>
    <mergeCell ref="A1657:B1657"/>
    <mergeCell ref="C1657:D1657"/>
    <mergeCell ref="C1650:D1650"/>
    <mergeCell ref="A1652:B1652"/>
    <mergeCell ref="C1652:D1652"/>
    <mergeCell ref="A1653:B1653"/>
    <mergeCell ref="C1653:D1653"/>
    <mergeCell ref="A1654:B1654"/>
    <mergeCell ref="C1654:D1654"/>
    <mergeCell ref="A1672:D1672"/>
    <mergeCell ref="A1673:D1673"/>
    <mergeCell ref="A1674:D1674"/>
    <mergeCell ref="A1675:D1675"/>
    <mergeCell ref="A1676:B1676"/>
    <mergeCell ref="C1676:D1676"/>
    <mergeCell ref="A1669:B1669"/>
    <mergeCell ref="C1669:D1669"/>
    <mergeCell ref="A1670:B1670"/>
    <mergeCell ref="C1670:D1670"/>
    <mergeCell ref="A1671:B1671"/>
    <mergeCell ref="C1671:D1671"/>
    <mergeCell ref="C1664:D1664"/>
    <mergeCell ref="A1666:B1666"/>
    <mergeCell ref="C1666:D1666"/>
    <mergeCell ref="A1667:B1667"/>
    <mergeCell ref="C1667:D1667"/>
    <mergeCell ref="A1668:B1668"/>
    <mergeCell ref="C1668:D1668"/>
    <mergeCell ref="A1685:D1685"/>
    <mergeCell ref="A1686:D1686"/>
    <mergeCell ref="A1687:D1687"/>
    <mergeCell ref="A1688:D1688"/>
    <mergeCell ref="A1689:D1689"/>
    <mergeCell ref="A1690:B1690"/>
    <mergeCell ref="C1690:D1690"/>
    <mergeCell ref="A1682:B1682"/>
    <mergeCell ref="C1682:D1682"/>
    <mergeCell ref="A1683:B1683"/>
    <mergeCell ref="C1683:D1683"/>
    <mergeCell ref="A1684:B1684"/>
    <mergeCell ref="C1684:D1684"/>
    <mergeCell ref="C1677:D1677"/>
    <mergeCell ref="A1679:B1679"/>
    <mergeCell ref="C1679:D1679"/>
    <mergeCell ref="A1680:B1680"/>
    <mergeCell ref="C1680:D1680"/>
    <mergeCell ref="A1681:B1681"/>
    <mergeCell ref="C1681:D1681"/>
    <mergeCell ref="A1699:D1699"/>
    <mergeCell ref="A1700:D1700"/>
    <mergeCell ref="A1701:D1701"/>
    <mergeCell ref="A1702:D1702"/>
    <mergeCell ref="A1703:B1703"/>
    <mergeCell ref="C1703:D1703"/>
    <mergeCell ref="A1696:B1696"/>
    <mergeCell ref="C1696:D1696"/>
    <mergeCell ref="A1697:B1697"/>
    <mergeCell ref="C1697:D1697"/>
    <mergeCell ref="A1698:B1698"/>
    <mergeCell ref="C1698:D1698"/>
    <mergeCell ref="C1691:D1691"/>
    <mergeCell ref="A1693:B1693"/>
    <mergeCell ref="C1693:D1693"/>
    <mergeCell ref="A1694:B1694"/>
    <mergeCell ref="C1694:D1694"/>
    <mergeCell ref="A1695:B1695"/>
    <mergeCell ref="C1695:D1695"/>
    <mergeCell ref="A1712:D1712"/>
    <mergeCell ref="A1713:D1713"/>
    <mergeCell ref="A1714:D1714"/>
    <mergeCell ref="A1715:D1715"/>
    <mergeCell ref="A1716:D1716"/>
    <mergeCell ref="A1717:B1717"/>
    <mergeCell ref="C1717:D1717"/>
    <mergeCell ref="A1709:B1709"/>
    <mergeCell ref="C1709:D1709"/>
    <mergeCell ref="A1710:B1710"/>
    <mergeCell ref="C1710:D1710"/>
    <mergeCell ref="A1711:B1711"/>
    <mergeCell ref="C1711:D1711"/>
    <mergeCell ref="C1704:D1704"/>
    <mergeCell ref="A1706:B1706"/>
    <mergeCell ref="C1706:D1706"/>
    <mergeCell ref="A1707:B1707"/>
    <mergeCell ref="C1707:D1707"/>
    <mergeCell ref="A1708:B1708"/>
    <mergeCell ref="C1708:D1708"/>
    <mergeCell ref="A1726:D1726"/>
    <mergeCell ref="A1727:D1727"/>
    <mergeCell ref="A1728:D1728"/>
    <mergeCell ref="A1729:D1729"/>
    <mergeCell ref="A1730:B1730"/>
    <mergeCell ref="C1730:D1730"/>
    <mergeCell ref="A1723:B1723"/>
    <mergeCell ref="C1723:D1723"/>
    <mergeCell ref="A1724:B1724"/>
    <mergeCell ref="C1724:D1724"/>
    <mergeCell ref="A1725:B1725"/>
    <mergeCell ref="C1725:D1725"/>
    <mergeCell ref="C1718:D1718"/>
    <mergeCell ref="A1720:B1720"/>
    <mergeCell ref="C1720:D1720"/>
    <mergeCell ref="A1721:B1721"/>
    <mergeCell ref="C1721:D1721"/>
    <mergeCell ref="A1722:B1722"/>
    <mergeCell ref="C1722:D1722"/>
    <mergeCell ref="A1739:D1739"/>
    <mergeCell ref="A1740:D1740"/>
    <mergeCell ref="A1741:D1741"/>
    <mergeCell ref="A1742:D1742"/>
    <mergeCell ref="A1743:D1743"/>
    <mergeCell ref="A1744:B1744"/>
    <mergeCell ref="C1744:D1744"/>
    <mergeCell ref="A1736:B1736"/>
    <mergeCell ref="C1736:D1736"/>
    <mergeCell ref="A1737:B1737"/>
    <mergeCell ref="C1737:D1737"/>
    <mergeCell ref="A1738:B1738"/>
    <mergeCell ref="C1738:D1738"/>
    <mergeCell ref="C1731:D1731"/>
    <mergeCell ref="A1733:B1733"/>
    <mergeCell ref="C1733:D1733"/>
    <mergeCell ref="A1734:B1734"/>
    <mergeCell ref="C1734:D1734"/>
    <mergeCell ref="A1735:B1735"/>
    <mergeCell ref="C1735:D1735"/>
    <mergeCell ref="A1753:D1753"/>
    <mergeCell ref="A1754:D1754"/>
    <mergeCell ref="A1755:D1755"/>
    <mergeCell ref="A1756:D1756"/>
    <mergeCell ref="A1757:B1757"/>
    <mergeCell ref="C1757:D1757"/>
    <mergeCell ref="A1750:B1750"/>
    <mergeCell ref="C1750:D1750"/>
    <mergeCell ref="A1751:B1751"/>
    <mergeCell ref="C1751:D1751"/>
    <mergeCell ref="A1752:B1752"/>
    <mergeCell ref="C1752:D1752"/>
    <mergeCell ref="C1745:D1745"/>
    <mergeCell ref="A1747:B1747"/>
    <mergeCell ref="C1747:D1747"/>
    <mergeCell ref="A1748:B1748"/>
    <mergeCell ref="C1748:D1748"/>
    <mergeCell ref="A1749:B1749"/>
    <mergeCell ref="C1749:D1749"/>
    <mergeCell ref="A1766:D1766"/>
    <mergeCell ref="A1767:D1767"/>
    <mergeCell ref="A1768:D1768"/>
    <mergeCell ref="A1769:D1769"/>
    <mergeCell ref="A1770:D1770"/>
    <mergeCell ref="A1771:B1771"/>
    <mergeCell ref="C1771:D1771"/>
    <mergeCell ref="A1763:B1763"/>
    <mergeCell ref="C1763:D1763"/>
    <mergeCell ref="A1764:B1764"/>
    <mergeCell ref="C1764:D1764"/>
    <mergeCell ref="A1765:B1765"/>
    <mergeCell ref="C1765:D1765"/>
    <mergeCell ref="C1758:D1758"/>
    <mergeCell ref="A1760:B1760"/>
    <mergeCell ref="C1760:D1760"/>
    <mergeCell ref="A1761:B1761"/>
    <mergeCell ref="C1761:D1761"/>
    <mergeCell ref="A1762:B1762"/>
    <mergeCell ref="C1762:D1762"/>
    <mergeCell ref="A1780:D1780"/>
    <mergeCell ref="A1781:D1781"/>
    <mergeCell ref="A1782:D1782"/>
    <mergeCell ref="A1783:D1783"/>
    <mergeCell ref="A1784:B1784"/>
    <mergeCell ref="C1784:D1784"/>
    <mergeCell ref="A1777:B1777"/>
    <mergeCell ref="C1777:D1777"/>
    <mergeCell ref="A1778:B1778"/>
    <mergeCell ref="C1778:D1778"/>
    <mergeCell ref="A1779:B1779"/>
    <mergeCell ref="C1779:D1779"/>
    <mergeCell ref="C1772:D1772"/>
    <mergeCell ref="A1774:B1774"/>
    <mergeCell ref="C1774:D1774"/>
    <mergeCell ref="A1775:B1775"/>
    <mergeCell ref="C1775:D1775"/>
    <mergeCell ref="A1776:B1776"/>
    <mergeCell ref="C1776:D1776"/>
    <mergeCell ref="A1793:D1793"/>
    <mergeCell ref="A1794:D1794"/>
    <mergeCell ref="A1795:D1795"/>
    <mergeCell ref="A1796:D1796"/>
    <mergeCell ref="A1797:D1797"/>
    <mergeCell ref="A1798:B1798"/>
    <mergeCell ref="C1798:D1798"/>
    <mergeCell ref="A1790:B1790"/>
    <mergeCell ref="C1790:D1790"/>
    <mergeCell ref="A1791:B1791"/>
    <mergeCell ref="C1791:D1791"/>
    <mergeCell ref="A1792:B1792"/>
    <mergeCell ref="C1792:D1792"/>
    <mergeCell ref="C1785:D1785"/>
    <mergeCell ref="A1787:B1787"/>
    <mergeCell ref="C1787:D1787"/>
    <mergeCell ref="A1788:B1788"/>
    <mergeCell ref="C1788:D1788"/>
    <mergeCell ref="A1789:B1789"/>
    <mergeCell ref="C1789:D1789"/>
    <mergeCell ref="A1807:D1807"/>
    <mergeCell ref="A1808:D1808"/>
    <mergeCell ref="A1809:D1809"/>
    <mergeCell ref="A1810:D1810"/>
    <mergeCell ref="A1811:B1811"/>
    <mergeCell ref="C1811:D1811"/>
    <mergeCell ref="A1804:B1804"/>
    <mergeCell ref="C1804:D1804"/>
    <mergeCell ref="A1805:B1805"/>
    <mergeCell ref="C1805:D1805"/>
    <mergeCell ref="A1806:B1806"/>
    <mergeCell ref="C1806:D1806"/>
    <mergeCell ref="C1799:D1799"/>
    <mergeCell ref="A1801:B1801"/>
    <mergeCell ref="C1801:D1801"/>
    <mergeCell ref="A1802:B1802"/>
    <mergeCell ref="C1802:D1802"/>
    <mergeCell ref="A1803:B1803"/>
    <mergeCell ref="C1803:D1803"/>
    <mergeCell ref="A1820:D1820"/>
    <mergeCell ref="A1821:D1821"/>
    <mergeCell ref="A1822:D1822"/>
    <mergeCell ref="A1823:D1823"/>
    <mergeCell ref="A1824:D1824"/>
    <mergeCell ref="A1825:B1825"/>
    <mergeCell ref="C1825:D1825"/>
    <mergeCell ref="A1817:B1817"/>
    <mergeCell ref="C1817:D1817"/>
    <mergeCell ref="A1818:B1818"/>
    <mergeCell ref="C1818:D1818"/>
    <mergeCell ref="A1819:B1819"/>
    <mergeCell ref="C1819:D1819"/>
    <mergeCell ref="C1812:D1812"/>
    <mergeCell ref="A1814:B1814"/>
    <mergeCell ref="C1814:D1814"/>
    <mergeCell ref="A1815:B1815"/>
    <mergeCell ref="C1815:D1815"/>
    <mergeCell ref="A1816:B1816"/>
    <mergeCell ref="C1816:D1816"/>
    <mergeCell ref="A1834:D1834"/>
    <mergeCell ref="A1835:D1835"/>
    <mergeCell ref="A1836:D1836"/>
    <mergeCell ref="A1837:D1837"/>
    <mergeCell ref="A1838:B1838"/>
    <mergeCell ref="C1838:D1838"/>
    <mergeCell ref="A1831:B1831"/>
    <mergeCell ref="C1831:D1831"/>
    <mergeCell ref="A1832:B1832"/>
    <mergeCell ref="C1832:D1832"/>
    <mergeCell ref="A1833:B1833"/>
    <mergeCell ref="C1833:D1833"/>
    <mergeCell ref="C1826:D1826"/>
    <mergeCell ref="A1828:B1828"/>
    <mergeCell ref="C1828:D1828"/>
    <mergeCell ref="A1829:B1829"/>
    <mergeCell ref="C1829:D1829"/>
    <mergeCell ref="A1830:B1830"/>
    <mergeCell ref="C1830:D1830"/>
    <mergeCell ref="A1847:D1847"/>
    <mergeCell ref="A1848:D1848"/>
    <mergeCell ref="A1849:D1849"/>
    <mergeCell ref="A1850:D1850"/>
    <mergeCell ref="A1851:D1851"/>
    <mergeCell ref="A1852:B1852"/>
    <mergeCell ref="C1852:D1852"/>
    <mergeCell ref="A1844:B1844"/>
    <mergeCell ref="C1844:D1844"/>
    <mergeCell ref="A1845:B1845"/>
    <mergeCell ref="C1845:D1845"/>
    <mergeCell ref="A1846:B1846"/>
    <mergeCell ref="C1846:D1846"/>
    <mergeCell ref="C1839:D1839"/>
    <mergeCell ref="A1841:B1841"/>
    <mergeCell ref="C1841:D1841"/>
    <mergeCell ref="A1842:B1842"/>
    <mergeCell ref="C1842:D1842"/>
    <mergeCell ref="A1843:B1843"/>
    <mergeCell ref="C1843:D1843"/>
    <mergeCell ref="A1861:D1861"/>
    <mergeCell ref="A1862:D1862"/>
    <mergeCell ref="A1863:D1863"/>
    <mergeCell ref="A1864:D1864"/>
    <mergeCell ref="A1865:B1865"/>
    <mergeCell ref="C1865:D1865"/>
    <mergeCell ref="A1858:B1858"/>
    <mergeCell ref="C1858:D1858"/>
    <mergeCell ref="A1859:B1859"/>
    <mergeCell ref="C1859:D1859"/>
    <mergeCell ref="A1860:B1860"/>
    <mergeCell ref="C1860:D1860"/>
    <mergeCell ref="C1853:D1853"/>
    <mergeCell ref="A1855:B1855"/>
    <mergeCell ref="C1855:D1855"/>
    <mergeCell ref="A1856:B1856"/>
    <mergeCell ref="C1856:D1856"/>
    <mergeCell ref="A1857:B1857"/>
    <mergeCell ref="C1857:D1857"/>
    <mergeCell ref="A1874:D1874"/>
    <mergeCell ref="A1875:D1875"/>
    <mergeCell ref="A1876:D1876"/>
    <mergeCell ref="A1877:D1877"/>
    <mergeCell ref="A1878:D1878"/>
    <mergeCell ref="A1879:B1879"/>
    <mergeCell ref="C1879:D1879"/>
    <mergeCell ref="A1871:B1871"/>
    <mergeCell ref="C1871:D1871"/>
    <mergeCell ref="A1872:B1872"/>
    <mergeCell ref="C1872:D1872"/>
    <mergeCell ref="A1873:B1873"/>
    <mergeCell ref="C1873:D1873"/>
    <mergeCell ref="C1866:D1866"/>
    <mergeCell ref="A1868:B1868"/>
    <mergeCell ref="C1868:D1868"/>
    <mergeCell ref="A1869:B1869"/>
    <mergeCell ref="C1869:D1869"/>
    <mergeCell ref="A1870:B1870"/>
    <mergeCell ref="C1870:D1870"/>
    <mergeCell ref="A1888:D1888"/>
    <mergeCell ref="A1889:D1889"/>
    <mergeCell ref="A1890:D1890"/>
    <mergeCell ref="A1891:D1891"/>
    <mergeCell ref="A1892:B1892"/>
    <mergeCell ref="C1892:D1892"/>
    <mergeCell ref="A1885:B1885"/>
    <mergeCell ref="C1885:D1885"/>
    <mergeCell ref="A1886:B1886"/>
    <mergeCell ref="C1886:D1886"/>
    <mergeCell ref="A1887:B1887"/>
    <mergeCell ref="C1887:D1887"/>
    <mergeCell ref="C1880:D1880"/>
    <mergeCell ref="A1882:B1882"/>
    <mergeCell ref="C1882:D1882"/>
    <mergeCell ref="A1883:B1883"/>
    <mergeCell ref="C1883:D1883"/>
    <mergeCell ref="A1884:B1884"/>
    <mergeCell ref="C1884:D1884"/>
    <mergeCell ref="A1901:D1901"/>
    <mergeCell ref="A1902:D1902"/>
    <mergeCell ref="A1903:D1903"/>
    <mergeCell ref="A1904:D1904"/>
    <mergeCell ref="A1905:D1905"/>
    <mergeCell ref="A1906:B1906"/>
    <mergeCell ref="C1906:D1906"/>
    <mergeCell ref="A1898:B1898"/>
    <mergeCell ref="C1898:D1898"/>
    <mergeCell ref="A1899:B1899"/>
    <mergeCell ref="C1899:D1899"/>
    <mergeCell ref="A1900:B1900"/>
    <mergeCell ref="C1900:D1900"/>
    <mergeCell ref="C1893:D1893"/>
    <mergeCell ref="A1895:B1895"/>
    <mergeCell ref="C1895:D1895"/>
    <mergeCell ref="A1896:B1896"/>
    <mergeCell ref="C1896:D1896"/>
    <mergeCell ref="A1897:B1897"/>
    <mergeCell ref="C1897:D1897"/>
    <mergeCell ref="A1915:D1915"/>
    <mergeCell ref="A1916:D1916"/>
    <mergeCell ref="A1917:D1917"/>
    <mergeCell ref="A1918:D1918"/>
    <mergeCell ref="A1919:B1919"/>
    <mergeCell ref="C1919:D1919"/>
    <mergeCell ref="A1912:B1912"/>
    <mergeCell ref="C1912:D1912"/>
    <mergeCell ref="A1913:B1913"/>
    <mergeCell ref="C1913:D1913"/>
    <mergeCell ref="A1914:B1914"/>
    <mergeCell ref="C1914:D1914"/>
    <mergeCell ref="C1907:D1907"/>
    <mergeCell ref="A1909:B1909"/>
    <mergeCell ref="C1909:D1909"/>
    <mergeCell ref="A1910:B1910"/>
    <mergeCell ref="C1910:D1910"/>
    <mergeCell ref="A1911:B1911"/>
    <mergeCell ref="C1911:D1911"/>
    <mergeCell ref="A1928:D1928"/>
    <mergeCell ref="A1929:D1929"/>
    <mergeCell ref="A1930:D1930"/>
    <mergeCell ref="A1931:D1931"/>
    <mergeCell ref="A1932:D1932"/>
    <mergeCell ref="A1933:B1933"/>
    <mergeCell ref="C1933:D1933"/>
    <mergeCell ref="A1925:B1925"/>
    <mergeCell ref="C1925:D1925"/>
    <mergeCell ref="A1926:B1926"/>
    <mergeCell ref="C1926:D1926"/>
    <mergeCell ref="A1927:B1927"/>
    <mergeCell ref="C1927:D1927"/>
    <mergeCell ref="C1920:D1920"/>
    <mergeCell ref="A1922:B1922"/>
    <mergeCell ref="C1922:D1922"/>
    <mergeCell ref="A1923:B1923"/>
    <mergeCell ref="C1923:D1923"/>
    <mergeCell ref="A1924:B1924"/>
    <mergeCell ref="C1924:D1924"/>
    <mergeCell ref="A1942:D1942"/>
    <mergeCell ref="A1943:D1943"/>
    <mergeCell ref="A1944:D1944"/>
    <mergeCell ref="A1945:D1945"/>
    <mergeCell ref="A1946:B1946"/>
    <mergeCell ref="C1946:D1946"/>
    <mergeCell ref="A1939:B1939"/>
    <mergeCell ref="C1939:D1939"/>
    <mergeCell ref="A1940:B1940"/>
    <mergeCell ref="C1940:D1940"/>
    <mergeCell ref="A1941:B1941"/>
    <mergeCell ref="C1941:D1941"/>
    <mergeCell ref="C1934:D1934"/>
    <mergeCell ref="A1936:B1936"/>
    <mergeCell ref="C1936:D1936"/>
    <mergeCell ref="A1937:B1937"/>
    <mergeCell ref="C1937:D1937"/>
    <mergeCell ref="A1938:B1938"/>
    <mergeCell ref="C1938:D1938"/>
    <mergeCell ref="A1955:D1955"/>
    <mergeCell ref="A1956:D1956"/>
    <mergeCell ref="A1957:D1957"/>
    <mergeCell ref="A1958:D1958"/>
    <mergeCell ref="A1959:D1959"/>
    <mergeCell ref="A1960:B1960"/>
    <mergeCell ref="C1960:D1960"/>
    <mergeCell ref="A1952:B1952"/>
    <mergeCell ref="C1952:D1952"/>
    <mergeCell ref="A1953:B1953"/>
    <mergeCell ref="C1953:D1953"/>
    <mergeCell ref="A1954:B1954"/>
    <mergeCell ref="C1954:D1954"/>
    <mergeCell ref="C1947:D1947"/>
    <mergeCell ref="A1949:B1949"/>
    <mergeCell ref="C1949:D1949"/>
    <mergeCell ref="A1950:B1950"/>
    <mergeCell ref="C1950:D1950"/>
    <mergeCell ref="A1951:B1951"/>
    <mergeCell ref="C1951:D1951"/>
    <mergeCell ref="A1969:D1969"/>
    <mergeCell ref="A1970:D1970"/>
    <mergeCell ref="A1971:D1971"/>
    <mergeCell ref="A1972:D1972"/>
    <mergeCell ref="A1973:B1973"/>
    <mergeCell ref="C1973:D1973"/>
    <mergeCell ref="A1966:B1966"/>
    <mergeCell ref="C1966:D1966"/>
    <mergeCell ref="A1967:B1967"/>
    <mergeCell ref="C1967:D1967"/>
    <mergeCell ref="A1968:B1968"/>
    <mergeCell ref="C1968:D1968"/>
    <mergeCell ref="C1961:D1961"/>
    <mergeCell ref="A1963:B1963"/>
    <mergeCell ref="C1963:D1963"/>
    <mergeCell ref="A1964:B1964"/>
    <mergeCell ref="C1964:D1964"/>
    <mergeCell ref="A1965:B1965"/>
    <mergeCell ref="C1965:D1965"/>
    <mergeCell ref="A1982:D1982"/>
    <mergeCell ref="A1983:D1983"/>
    <mergeCell ref="A1984:D1984"/>
    <mergeCell ref="A1985:D1985"/>
    <mergeCell ref="A1986:D1986"/>
    <mergeCell ref="A1987:B1987"/>
    <mergeCell ref="C1987:D1987"/>
    <mergeCell ref="A1979:B1979"/>
    <mergeCell ref="C1979:D1979"/>
    <mergeCell ref="A1980:B1980"/>
    <mergeCell ref="C1980:D1980"/>
    <mergeCell ref="A1981:B1981"/>
    <mergeCell ref="C1981:D1981"/>
    <mergeCell ref="C1974:D1974"/>
    <mergeCell ref="A1976:B1976"/>
    <mergeCell ref="C1976:D1976"/>
    <mergeCell ref="A1977:B1977"/>
    <mergeCell ref="C1977:D1977"/>
    <mergeCell ref="A1978:B1978"/>
    <mergeCell ref="C1978:D1978"/>
    <mergeCell ref="A1996:D1996"/>
    <mergeCell ref="A1997:D1997"/>
    <mergeCell ref="A1998:D1998"/>
    <mergeCell ref="A1999:D1999"/>
    <mergeCell ref="A2000:B2000"/>
    <mergeCell ref="C2000:D2000"/>
    <mergeCell ref="A1993:B1993"/>
    <mergeCell ref="C1993:D1993"/>
    <mergeCell ref="A1994:B1994"/>
    <mergeCell ref="C1994:D1994"/>
    <mergeCell ref="A1995:B1995"/>
    <mergeCell ref="C1995:D1995"/>
    <mergeCell ref="C1988:D1988"/>
    <mergeCell ref="A1990:B1990"/>
    <mergeCell ref="C1990:D1990"/>
    <mergeCell ref="A1991:B1991"/>
    <mergeCell ref="C1991:D1991"/>
    <mergeCell ref="A1992:B1992"/>
    <mergeCell ref="C1992:D1992"/>
    <mergeCell ref="A2009:D2009"/>
    <mergeCell ref="A2010:D2010"/>
    <mergeCell ref="A2011:D2011"/>
    <mergeCell ref="A2012:D2012"/>
    <mergeCell ref="A2013:D2013"/>
    <mergeCell ref="A2014:B2014"/>
    <mergeCell ref="C2014:D2014"/>
    <mergeCell ref="A2006:B2006"/>
    <mergeCell ref="C2006:D2006"/>
    <mergeCell ref="A2007:B2007"/>
    <mergeCell ref="C2007:D2007"/>
    <mergeCell ref="A2008:B2008"/>
    <mergeCell ref="C2008:D2008"/>
    <mergeCell ref="C2001:D2001"/>
    <mergeCell ref="A2003:B2003"/>
    <mergeCell ref="C2003:D2003"/>
    <mergeCell ref="A2004:B2004"/>
    <mergeCell ref="C2004:D2004"/>
    <mergeCell ref="A2005:B2005"/>
    <mergeCell ref="C2005:D2005"/>
    <mergeCell ref="A2023:D2023"/>
    <mergeCell ref="A2024:D2024"/>
    <mergeCell ref="A2025:D2025"/>
    <mergeCell ref="A2026:D2026"/>
    <mergeCell ref="A2027:B2027"/>
    <mergeCell ref="C2027:D2027"/>
    <mergeCell ref="A2020:B2020"/>
    <mergeCell ref="C2020:D2020"/>
    <mergeCell ref="A2021:B2021"/>
    <mergeCell ref="C2021:D2021"/>
    <mergeCell ref="A2022:B2022"/>
    <mergeCell ref="C2022:D2022"/>
    <mergeCell ref="C2015:D2015"/>
    <mergeCell ref="A2017:B2017"/>
    <mergeCell ref="C2017:D2017"/>
    <mergeCell ref="A2018:B2018"/>
    <mergeCell ref="C2018:D2018"/>
    <mergeCell ref="A2019:B2019"/>
    <mergeCell ref="C2019:D2019"/>
    <mergeCell ref="A2036:D2036"/>
    <mergeCell ref="A2037:D2037"/>
    <mergeCell ref="A2038:D2038"/>
    <mergeCell ref="A2039:D2039"/>
    <mergeCell ref="A2040:D2040"/>
    <mergeCell ref="A2041:B2041"/>
    <mergeCell ref="C2041:D2041"/>
    <mergeCell ref="A2033:B2033"/>
    <mergeCell ref="C2033:D2033"/>
    <mergeCell ref="A2034:B2034"/>
    <mergeCell ref="C2034:D2034"/>
    <mergeCell ref="A2035:B2035"/>
    <mergeCell ref="C2035:D2035"/>
    <mergeCell ref="C2028:D2028"/>
    <mergeCell ref="A2030:B2030"/>
    <mergeCell ref="C2030:D2030"/>
    <mergeCell ref="A2031:B2031"/>
    <mergeCell ref="C2031:D2031"/>
    <mergeCell ref="A2032:B2032"/>
    <mergeCell ref="C2032:D2032"/>
    <mergeCell ref="A2050:D2050"/>
    <mergeCell ref="A2051:D2051"/>
    <mergeCell ref="A2052:D2052"/>
    <mergeCell ref="A2053:D2053"/>
    <mergeCell ref="A2054:B2054"/>
    <mergeCell ref="C2054:D2054"/>
    <mergeCell ref="A2047:B2047"/>
    <mergeCell ref="C2047:D2047"/>
    <mergeCell ref="A2048:B2048"/>
    <mergeCell ref="C2048:D2048"/>
    <mergeCell ref="A2049:B2049"/>
    <mergeCell ref="C2049:D2049"/>
    <mergeCell ref="C2042:D2042"/>
    <mergeCell ref="A2044:B2044"/>
    <mergeCell ref="C2044:D2044"/>
    <mergeCell ref="A2045:B2045"/>
    <mergeCell ref="C2045:D2045"/>
    <mergeCell ref="A2046:B2046"/>
    <mergeCell ref="C2046:D2046"/>
    <mergeCell ref="A2063:D2063"/>
    <mergeCell ref="A2064:D2064"/>
    <mergeCell ref="A2065:D2065"/>
    <mergeCell ref="A2066:D2066"/>
    <mergeCell ref="A2067:D2067"/>
    <mergeCell ref="A2068:B2068"/>
    <mergeCell ref="C2068:D2068"/>
    <mergeCell ref="A2060:B2060"/>
    <mergeCell ref="C2060:D2060"/>
    <mergeCell ref="A2061:B2061"/>
    <mergeCell ref="C2061:D2061"/>
    <mergeCell ref="A2062:B2062"/>
    <mergeCell ref="C2062:D2062"/>
    <mergeCell ref="C2055:D2055"/>
    <mergeCell ref="A2057:B2057"/>
    <mergeCell ref="C2057:D2057"/>
    <mergeCell ref="A2058:B2058"/>
    <mergeCell ref="C2058:D2058"/>
    <mergeCell ref="A2059:B2059"/>
    <mergeCell ref="C2059:D2059"/>
    <mergeCell ref="A2077:D2077"/>
    <mergeCell ref="A2078:D2078"/>
    <mergeCell ref="A2079:D2079"/>
    <mergeCell ref="A2080:D2080"/>
    <mergeCell ref="A2081:B2081"/>
    <mergeCell ref="C2081:D2081"/>
    <mergeCell ref="A2074:B2074"/>
    <mergeCell ref="C2074:D2074"/>
    <mergeCell ref="A2075:B2075"/>
    <mergeCell ref="C2075:D2075"/>
    <mergeCell ref="A2076:B2076"/>
    <mergeCell ref="C2076:D2076"/>
    <mergeCell ref="C2069:D2069"/>
    <mergeCell ref="A2071:B2071"/>
    <mergeCell ref="C2071:D2071"/>
    <mergeCell ref="A2072:B2072"/>
    <mergeCell ref="C2072:D2072"/>
    <mergeCell ref="A2073:B2073"/>
    <mergeCell ref="C2073:D2073"/>
    <mergeCell ref="A2090:D2090"/>
    <mergeCell ref="A2091:D2091"/>
    <mergeCell ref="A2092:D2092"/>
    <mergeCell ref="A2093:D2093"/>
    <mergeCell ref="A2094:D2094"/>
    <mergeCell ref="A2095:B2095"/>
    <mergeCell ref="C2095:D2095"/>
    <mergeCell ref="A2087:B2087"/>
    <mergeCell ref="C2087:D2087"/>
    <mergeCell ref="A2088:B2088"/>
    <mergeCell ref="C2088:D2088"/>
    <mergeCell ref="A2089:B2089"/>
    <mergeCell ref="C2089:D2089"/>
    <mergeCell ref="C2082:D2082"/>
    <mergeCell ref="A2084:B2084"/>
    <mergeCell ref="C2084:D2084"/>
    <mergeCell ref="A2085:B2085"/>
    <mergeCell ref="C2085:D2085"/>
    <mergeCell ref="A2086:B2086"/>
    <mergeCell ref="C2086:D2086"/>
    <mergeCell ref="A2104:D2104"/>
    <mergeCell ref="A2105:D2105"/>
    <mergeCell ref="A2106:D2106"/>
    <mergeCell ref="A2107:D2107"/>
    <mergeCell ref="A2108:B2108"/>
    <mergeCell ref="C2108:D2108"/>
    <mergeCell ref="A2101:B2101"/>
    <mergeCell ref="C2101:D2101"/>
    <mergeCell ref="A2102:B2102"/>
    <mergeCell ref="C2102:D2102"/>
    <mergeCell ref="A2103:B2103"/>
    <mergeCell ref="C2103:D2103"/>
    <mergeCell ref="C2096:D2096"/>
    <mergeCell ref="A2098:B2098"/>
    <mergeCell ref="C2098:D2098"/>
    <mergeCell ref="A2099:B2099"/>
    <mergeCell ref="C2099:D2099"/>
    <mergeCell ref="A2100:B2100"/>
    <mergeCell ref="C2100:D2100"/>
    <mergeCell ref="A2117:D2117"/>
    <mergeCell ref="A2118:D2118"/>
    <mergeCell ref="A2119:D2119"/>
    <mergeCell ref="A2120:D2120"/>
    <mergeCell ref="A2121:D2121"/>
    <mergeCell ref="A2122:B2122"/>
    <mergeCell ref="C2122:D2122"/>
    <mergeCell ref="A2114:B2114"/>
    <mergeCell ref="C2114:D2114"/>
    <mergeCell ref="A2115:B2115"/>
    <mergeCell ref="C2115:D2115"/>
    <mergeCell ref="A2116:B2116"/>
    <mergeCell ref="C2116:D2116"/>
    <mergeCell ref="C2109:D2109"/>
    <mergeCell ref="A2111:B2111"/>
    <mergeCell ref="C2111:D2111"/>
    <mergeCell ref="A2112:B2112"/>
    <mergeCell ref="C2112:D2112"/>
    <mergeCell ref="A2113:B2113"/>
    <mergeCell ref="C2113:D2113"/>
    <mergeCell ref="A2131:D2131"/>
    <mergeCell ref="A2132:D2132"/>
    <mergeCell ref="A2133:D2133"/>
    <mergeCell ref="A2134:D2134"/>
    <mergeCell ref="A2135:B2135"/>
    <mergeCell ref="C2135:D2135"/>
    <mergeCell ref="A2128:B2128"/>
    <mergeCell ref="C2128:D2128"/>
    <mergeCell ref="A2129:B2129"/>
    <mergeCell ref="C2129:D2129"/>
    <mergeCell ref="A2130:B2130"/>
    <mergeCell ref="C2130:D2130"/>
    <mergeCell ref="C2123:D2123"/>
    <mergeCell ref="A2125:B2125"/>
    <mergeCell ref="C2125:D2125"/>
    <mergeCell ref="A2126:B2126"/>
    <mergeCell ref="C2126:D2126"/>
    <mergeCell ref="A2127:B2127"/>
    <mergeCell ref="C2127:D2127"/>
    <mergeCell ref="A2144:D2144"/>
    <mergeCell ref="A2145:D2145"/>
    <mergeCell ref="A2146:D2146"/>
    <mergeCell ref="A2147:D2147"/>
    <mergeCell ref="A2148:D2148"/>
    <mergeCell ref="A2149:B2149"/>
    <mergeCell ref="C2149:D2149"/>
    <mergeCell ref="A2141:B2141"/>
    <mergeCell ref="C2141:D2141"/>
    <mergeCell ref="A2142:B2142"/>
    <mergeCell ref="C2142:D2142"/>
    <mergeCell ref="A2143:B2143"/>
    <mergeCell ref="C2143:D2143"/>
    <mergeCell ref="C2136:D2136"/>
    <mergeCell ref="A2138:B2138"/>
    <mergeCell ref="C2138:D2138"/>
    <mergeCell ref="A2139:B2139"/>
    <mergeCell ref="C2139:D2139"/>
    <mergeCell ref="A2140:B2140"/>
    <mergeCell ref="C2140:D2140"/>
    <mergeCell ref="A2158:D2158"/>
    <mergeCell ref="A2159:D2159"/>
    <mergeCell ref="A2160:D2160"/>
    <mergeCell ref="A2161:D2161"/>
    <mergeCell ref="A2162:B2162"/>
    <mergeCell ref="C2162:D2162"/>
    <mergeCell ref="A2155:B2155"/>
    <mergeCell ref="C2155:D2155"/>
    <mergeCell ref="A2156:B2156"/>
    <mergeCell ref="C2156:D2156"/>
    <mergeCell ref="A2157:B2157"/>
    <mergeCell ref="C2157:D2157"/>
    <mergeCell ref="C2150:D2150"/>
    <mergeCell ref="A2152:B2152"/>
    <mergeCell ref="C2152:D2152"/>
    <mergeCell ref="A2153:B2153"/>
    <mergeCell ref="C2153:D2153"/>
    <mergeCell ref="A2154:B2154"/>
    <mergeCell ref="C2154:D2154"/>
    <mergeCell ref="A2171:D2171"/>
    <mergeCell ref="A2172:D2172"/>
    <mergeCell ref="A2173:D2173"/>
    <mergeCell ref="A2174:D2174"/>
    <mergeCell ref="A2175:D2175"/>
    <mergeCell ref="A2176:B2176"/>
    <mergeCell ref="C2176:D2176"/>
    <mergeCell ref="A2168:B2168"/>
    <mergeCell ref="C2168:D2168"/>
    <mergeCell ref="A2169:B2169"/>
    <mergeCell ref="C2169:D2169"/>
    <mergeCell ref="A2170:B2170"/>
    <mergeCell ref="C2170:D2170"/>
    <mergeCell ref="C2163:D2163"/>
    <mergeCell ref="A2165:B2165"/>
    <mergeCell ref="C2165:D2165"/>
    <mergeCell ref="A2166:B2166"/>
    <mergeCell ref="C2166:D2166"/>
    <mergeCell ref="A2167:B2167"/>
    <mergeCell ref="C2167:D2167"/>
    <mergeCell ref="A2185:D2185"/>
    <mergeCell ref="A2186:D2186"/>
    <mergeCell ref="A2187:D2187"/>
    <mergeCell ref="A2188:D2188"/>
    <mergeCell ref="A2189:B2189"/>
    <mergeCell ref="C2189:D2189"/>
    <mergeCell ref="A2182:B2182"/>
    <mergeCell ref="C2182:D2182"/>
    <mergeCell ref="A2183:B2183"/>
    <mergeCell ref="C2183:D2183"/>
    <mergeCell ref="A2184:B2184"/>
    <mergeCell ref="C2184:D2184"/>
    <mergeCell ref="C2177:D2177"/>
    <mergeCell ref="A2179:B2179"/>
    <mergeCell ref="C2179:D2179"/>
    <mergeCell ref="A2180:B2180"/>
    <mergeCell ref="C2180:D2180"/>
    <mergeCell ref="A2181:B2181"/>
    <mergeCell ref="C2181:D2181"/>
    <mergeCell ref="A2198:D2198"/>
    <mergeCell ref="A2199:D2199"/>
    <mergeCell ref="A2200:D2200"/>
    <mergeCell ref="A2201:D2201"/>
    <mergeCell ref="A2202:D2202"/>
    <mergeCell ref="A2203:B2203"/>
    <mergeCell ref="C2203:D2203"/>
    <mergeCell ref="A2195:B2195"/>
    <mergeCell ref="C2195:D2195"/>
    <mergeCell ref="A2196:B2196"/>
    <mergeCell ref="C2196:D2196"/>
    <mergeCell ref="A2197:B2197"/>
    <mergeCell ref="C2197:D2197"/>
    <mergeCell ref="C2190:D2190"/>
    <mergeCell ref="A2192:B2192"/>
    <mergeCell ref="C2192:D2192"/>
    <mergeCell ref="A2193:B2193"/>
    <mergeCell ref="C2193:D2193"/>
    <mergeCell ref="A2194:B2194"/>
    <mergeCell ref="C2194:D2194"/>
    <mergeCell ref="A2212:D2212"/>
    <mergeCell ref="A2213:D2213"/>
    <mergeCell ref="A2214:D2214"/>
    <mergeCell ref="A2215:D2215"/>
    <mergeCell ref="A2216:B2216"/>
    <mergeCell ref="C2216:D2216"/>
    <mergeCell ref="A2209:B2209"/>
    <mergeCell ref="C2209:D2209"/>
    <mergeCell ref="A2210:B2210"/>
    <mergeCell ref="C2210:D2210"/>
    <mergeCell ref="A2211:B2211"/>
    <mergeCell ref="C2211:D2211"/>
    <mergeCell ref="C2204:D2204"/>
    <mergeCell ref="A2206:B2206"/>
    <mergeCell ref="C2206:D2206"/>
    <mergeCell ref="A2207:B2207"/>
    <mergeCell ref="C2207:D2207"/>
    <mergeCell ref="A2208:B2208"/>
    <mergeCell ref="C2208:D2208"/>
    <mergeCell ref="A2225:D2225"/>
    <mergeCell ref="A2226:D2226"/>
    <mergeCell ref="A2227:D2227"/>
    <mergeCell ref="A2228:D2228"/>
    <mergeCell ref="A2229:D2229"/>
    <mergeCell ref="A2230:B2230"/>
    <mergeCell ref="C2230:D2230"/>
    <mergeCell ref="A2222:B2222"/>
    <mergeCell ref="C2222:D2222"/>
    <mergeCell ref="A2223:B2223"/>
    <mergeCell ref="C2223:D2223"/>
    <mergeCell ref="A2224:B2224"/>
    <mergeCell ref="C2224:D2224"/>
    <mergeCell ref="C2217:D2217"/>
    <mergeCell ref="A2219:B2219"/>
    <mergeCell ref="C2219:D2219"/>
    <mergeCell ref="A2220:B2220"/>
    <mergeCell ref="C2220:D2220"/>
    <mergeCell ref="A2221:B2221"/>
    <mergeCell ref="C2221:D2221"/>
    <mergeCell ref="A2239:D2239"/>
    <mergeCell ref="A2240:D2240"/>
    <mergeCell ref="A2241:D2241"/>
    <mergeCell ref="A2242:D2242"/>
    <mergeCell ref="A2243:B2243"/>
    <mergeCell ref="C2243:D2243"/>
    <mergeCell ref="A2236:B2236"/>
    <mergeCell ref="C2236:D2236"/>
    <mergeCell ref="A2237:B2237"/>
    <mergeCell ref="C2237:D2237"/>
    <mergeCell ref="A2238:B2238"/>
    <mergeCell ref="C2238:D2238"/>
    <mergeCell ref="C2231:D2231"/>
    <mergeCell ref="A2233:B2233"/>
    <mergeCell ref="C2233:D2233"/>
    <mergeCell ref="A2234:B2234"/>
    <mergeCell ref="C2234:D2234"/>
    <mergeCell ref="A2235:B2235"/>
    <mergeCell ref="C2235:D2235"/>
    <mergeCell ref="A2252:D2252"/>
    <mergeCell ref="A2253:D2253"/>
    <mergeCell ref="A2254:D2254"/>
    <mergeCell ref="A2255:D2255"/>
    <mergeCell ref="A2256:D2256"/>
    <mergeCell ref="A2257:B2257"/>
    <mergeCell ref="C2257:D2257"/>
    <mergeCell ref="A2249:B2249"/>
    <mergeCell ref="C2249:D2249"/>
    <mergeCell ref="A2250:B2250"/>
    <mergeCell ref="C2250:D2250"/>
    <mergeCell ref="A2251:B2251"/>
    <mergeCell ref="C2251:D2251"/>
    <mergeCell ref="C2244:D2244"/>
    <mergeCell ref="A2246:B2246"/>
    <mergeCell ref="C2246:D2246"/>
    <mergeCell ref="A2247:B2247"/>
    <mergeCell ref="C2247:D2247"/>
    <mergeCell ref="A2248:B2248"/>
    <mergeCell ref="C2248:D2248"/>
    <mergeCell ref="A2266:D2266"/>
    <mergeCell ref="A2267:D2267"/>
    <mergeCell ref="A2268:D2268"/>
    <mergeCell ref="A2269:D2269"/>
    <mergeCell ref="A2270:B2270"/>
    <mergeCell ref="C2270:D2270"/>
    <mergeCell ref="A2263:B2263"/>
    <mergeCell ref="C2263:D2263"/>
    <mergeCell ref="A2264:B2264"/>
    <mergeCell ref="C2264:D2264"/>
    <mergeCell ref="A2265:B2265"/>
    <mergeCell ref="C2265:D2265"/>
    <mergeCell ref="C2258:D2258"/>
    <mergeCell ref="A2260:B2260"/>
    <mergeCell ref="C2260:D2260"/>
    <mergeCell ref="A2261:B2261"/>
    <mergeCell ref="C2261:D2261"/>
    <mergeCell ref="A2262:B2262"/>
    <mergeCell ref="C2262:D2262"/>
    <mergeCell ref="A2279:D2279"/>
    <mergeCell ref="A2280:D2280"/>
    <mergeCell ref="A2281:D2281"/>
    <mergeCell ref="A2282:D2282"/>
    <mergeCell ref="A2283:D2283"/>
    <mergeCell ref="A2284:B2284"/>
    <mergeCell ref="C2284:D2284"/>
    <mergeCell ref="A2276:B2276"/>
    <mergeCell ref="C2276:D2276"/>
    <mergeCell ref="A2277:B2277"/>
    <mergeCell ref="C2277:D2277"/>
    <mergeCell ref="A2278:B2278"/>
    <mergeCell ref="C2278:D2278"/>
    <mergeCell ref="C2271:D2271"/>
    <mergeCell ref="A2273:B2273"/>
    <mergeCell ref="C2273:D2273"/>
    <mergeCell ref="A2274:B2274"/>
    <mergeCell ref="C2274:D2274"/>
    <mergeCell ref="A2275:B2275"/>
    <mergeCell ref="C2275:D2275"/>
    <mergeCell ref="A2293:D2293"/>
    <mergeCell ref="A2294:D2294"/>
    <mergeCell ref="A2295:D2295"/>
    <mergeCell ref="A2296:D2296"/>
    <mergeCell ref="A2297:B2297"/>
    <mergeCell ref="C2297:D2297"/>
    <mergeCell ref="A2290:B2290"/>
    <mergeCell ref="C2290:D2290"/>
    <mergeCell ref="A2291:B2291"/>
    <mergeCell ref="C2291:D2291"/>
    <mergeCell ref="A2292:B2292"/>
    <mergeCell ref="C2292:D2292"/>
    <mergeCell ref="C2285:D2285"/>
    <mergeCell ref="A2287:B2287"/>
    <mergeCell ref="C2287:D2287"/>
    <mergeCell ref="A2288:B2288"/>
    <mergeCell ref="C2288:D2288"/>
    <mergeCell ref="A2289:B2289"/>
    <mergeCell ref="C2289:D2289"/>
    <mergeCell ref="A2306:D2306"/>
    <mergeCell ref="A2307:D2307"/>
    <mergeCell ref="A2308:D2308"/>
    <mergeCell ref="A2309:D2309"/>
    <mergeCell ref="A2310:D2310"/>
    <mergeCell ref="A2311:B2311"/>
    <mergeCell ref="C2311:D2311"/>
    <mergeCell ref="A2303:B2303"/>
    <mergeCell ref="C2303:D2303"/>
    <mergeCell ref="A2304:B2304"/>
    <mergeCell ref="C2304:D2304"/>
    <mergeCell ref="A2305:B2305"/>
    <mergeCell ref="C2305:D2305"/>
    <mergeCell ref="C2298:D2298"/>
    <mergeCell ref="A2300:B2300"/>
    <mergeCell ref="C2300:D2300"/>
    <mergeCell ref="A2301:B2301"/>
    <mergeCell ref="C2301:D2301"/>
    <mergeCell ref="A2302:B2302"/>
    <mergeCell ref="C2302:D2302"/>
    <mergeCell ref="A2320:D2320"/>
    <mergeCell ref="A2321:D2321"/>
    <mergeCell ref="A2322:D2322"/>
    <mergeCell ref="A2323:D2323"/>
    <mergeCell ref="A2324:B2324"/>
    <mergeCell ref="C2324:D2324"/>
    <mergeCell ref="A2317:B2317"/>
    <mergeCell ref="C2317:D2317"/>
    <mergeCell ref="A2318:B2318"/>
    <mergeCell ref="C2318:D2318"/>
    <mergeCell ref="A2319:B2319"/>
    <mergeCell ref="C2319:D2319"/>
    <mergeCell ref="C2312:D2312"/>
    <mergeCell ref="A2314:B2314"/>
    <mergeCell ref="C2314:D2314"/>
    <mergeCell ref="A2315:B2315"/>
    <mergeCell ref="C2315:D2315"/>
    <mergeCell ref="A2316:B2316"/>
    <mergeCell ref="C2316:D2316"/>
    <mergeCell ref="A2333:D2333"/>
    <mergeCell ref="A2334:D2334"/>
    <mergeCell ref="A2335:D2335"/>
    <mergeCell ref="A2336:D2336"/>
    <mergeCell ref="A2337:D2337"/>
    <mergeCell ref="A2338:B2338"/>
    <mergeCell ref="C2338:D2338"/>
    <mergeCell ref="A2330:B2330"/>
    <mergeCell ref="C2330:D2330"/>
    <mergeCell ref="A2331:B2331"/>
    <mergeCell ref="C2331:D2331"/>
    <mergeCell ref="A2332:B2332"/>
    <mergeCell ref="C2332:D2332"/>
    <mergeCell ref="C2325:D2325"/>
    <mergeCell ref="A2327:B2327"/>
    <mergeCell ref="C2327:D2327"/>
    <mergeCell ref="A2328:B2328"/>
    <mergeCell ref="C2328:D2328"/>
    <mergeCell ref="A2329:B2329"/>
    <mergeCell ref="C2329:D2329"/>
    <mergeCell ref="A2347:D2347"/>
    <mergeCell ref="A2348:D2348"/>
    <mergeCell ref="A2349:D2349"/>
    <mergeCell ref="A2350:D2350"/>
    <mergeCell ref="A2351:B2351"/>
    <mergeCell ref="C2351:D2351"/>
    <mergeCell ref="A2344:B2344"/>
    <mergeCell ref="C2344:D2344"/>
    <mergeCell ref="A2345:B2345"/>
    <mergeCell ref="C2345:D2345"/>
    <mergeCell ref="A2346:B2346"/>
    <mergeCell ref="C2346:D2346"/>
    <mergeCell ref="C2339:D2339"/>
    <mergeCell ref="A2341:B2341"/>
    <mergeCell ref="C2341:D2341"/>
    <mergeCell ref="A2342:B2342"/>
    <mergeCell ref="C2342:D2342"/>
    <mergeCell ref="A2343:B2343"/>
    <mergeCell ref="C2343:D2343"/>
    <mergeCell ref="A2360:D2360"/>
    <mergeCell ref="A2361:D2361"/>
    <mergeCell ref="A2362:D2362"/>
    <mergeCell ref="A2363:D2363"/>
    <mergeCell ref="A2364:D2364"/>
    <mergeCell ref="A2365:B2365"/>
    <mergeCell ref="C2365:D2365"/>
    <mergeCell ref="A2357:B2357"/>
    <mergeCell ref="C2357:D2357"/>
    <mergeCell ref="A2358:B2358"/>
    <mergeCell ref="C2358:D2358"/>
    <mergeCell ref="A2359:B2359"/>
    <mergeCell ref="C2359:D2359"/>
    <mergeCell ref="C2352:D2352"/>
    <mergeCell ref="A2354:B2354"/>
    <mergeCell ref="C2354:D2354"/>
    <mergeCell ref="A2355:B2355"/>
    <mergeCell ref="C2355:D2355"/>
    <mergeCell ref="A2356:B2356"/>
    <mergeCell ref="C2356:D2356"/>
    <mergeCell ref="A2374:D2374"/>
    <mergeCell ref="A2375:D2375"/>
    <mergeCell ref="A2376:D2376"/>
    <mergeCell ref="A2377:D2377"/>
    <mergeCell ref="A2378:B2378"/>
    <mergeCell ref="C2378:D2378"/>
    <mergeCell ref="A2371:B2371"/>
    <mergeCell ref="C2371:D2371"/>
    <mergeCell ref="A2372:B2372"/>
    <mergeCell ref="C2372:D2372"/>
    <mergeCell ref="A2373:B2373"/>
    <mergeCell ref="C2373:D2373"/>
    <mergeCell ref="C2366:D2366"/>
    <mergeCell ref="A2368:B2368"/>
    <mergeCell ref="C2368:D2368"/>
    <mergeCell ref="A2369:B2369"/>
    <mergeCell ref="C2369:D2369"/>
    <mergeCell ref="A2370:B2370"/>
    <mergeCell ref="C2370:D2370"/>
    <mergeCell ref="A2387:D2387"/>
    <mergeCell ref="A2388:D2388"/>
    <mergeCell ref="A2389:D2389"/>
    <mergeCell ref="A2390:D2390"/>
    <mergeCell ref="A2391:D2391"/>
    <mergeCell ref="A2392:B2392"/>
    <mergeCell ref="C2392:D2392"/>
    <mergeCell ref="A2384:B2384"/>
    <mergeCell ref="C2384:D2384"/>
    <mergeCell ref="A2385:B2385"/>
    <mergeCell ref="C2385:D2385"/>
    <mergeCell ref="A2386:B2386"/>
    <mergeCell ref="C2386:D2386"/>
    <mergeCell ref="C2379:D2379"/>
    <mergeCell ref="A2381:B2381"/>
    <mergeCell ref="C2381:D2381"/>
    <mergeCell ref="A2382:B2382"/>
    <mergeCell ref="C2382:D2382"/>
    <mergeCell ref="A2383:B2383"/>
    <mergeCell ref="C2383:D2383"/>
    <mergeCell ref="A2401:D2401"/>
    <mergeCell ref="A2402:D2402"/>
    <mergeCell ref="A2403:D2403"/>
    <mergeCell ref="A2404:D2404"/>
    <mergeCell ref="A2405:B2405"/>
    <mergeCell ref="C2405:D2405"/>
    <mergeCell ref="A2398:B2398"/>
    <mergeCell ref="C2398:D2398"/>
    <mergeCell ref="A2399:B2399"/>
    <mergeCell ref="C2399:D2399"/>
    <mergeCell ref="A2400:B2400"/>
    <mergeCell ref="C2400:D2400"/>
    <mergeCell ref="C2393:D2393"/>
    <mergeCell ref="A2395:B2395"/>
    <mergeCell ref="C2395:D2395"/>
    <mergeCell ref="A2396:B2396"/>
    <mergeCell ref="C2396:D2396"/>
    <mergeCell ref="A2397:B2397"/>
    <mergeCell ref="C2397:D2397"/>
    <mergeCell ref="A2414:D2414"/>
    <mergeCell ref="A2415:D2415"/>
    <mergeCell ref="A2416:D2416"/>
    <mergeCell ref="A2417:D2417"/>
    <mergeCell ref="A2418:D2418"/>
    <mergeCell ref="A2419:B2419"/>
    <mergeCell ref="C2419:D2419"/>
    <mergeCell ref="A2411:B2411"/>
    <mergeCell ref="C2411:D2411"/>
    <mergeCell ref="A2412:B2412"/>
    <mergeCell ref="C2412:D2412"/>
    <mergeCell ref="A2413:B2413"/>
    <mergeCell ref="C2413:D2413"/>
    <mergeCell ref="C2406:D2406"/>
    <mergeCell ref="A2408:B2408"/>
    <mergeCell ref="C2408:D2408"/>
    <mergeCell ref="A2409:B2409"/>
    <mergeCell ref="C2409:D2409"/>
    <mergeCell ref="A2410:B2410"/>
    <mergeCell ref="C2410:D2410"/>
    <mergeCell ref="A2428:D2428"/>
    <mergeCell ref="A2429:D2429"/>
    <mergeCell ref="A2430:D2430"/>
    <mergeCell ref="A2431:D2431"/>
    <mergeCell ref="A2432:B2432"/>
    <mergeCell ref="C2432:D2432"/>
    <mergeCell ref="A2425:B2425"/>
    <mergeCell ref="C2425:D2425"/>
    <mergeCell ref="A2426:B2426"/>
    <mergeCell ref="C2426:D2426"/>
    <mergeCell ref="A2427:B2427"/>
    <mergeCell ref="C2427:D2427"/>
    <mergeCell ref="C2420:D2420"/>
    <mergeCell ref="A2422:B2422"/>
    <mergeCell ref="C2422:D2422"/>
    <mergeCell ref="A2423:B2423"/>
    <mergeCell ref="C2423:D2423"/>
    <mergeCell ref="A2424:B2424"/>
    <mergeCell ref="C2424:D2424"/>
    <mergeCell ref="A2441:D2441"/>
    <mergeCell ref="A2442:D2442"/>
    <mergeCell ref="A2443:D2443"/>
    <mergeCell ref="A2444:D2444"/>
    <mergeCell ref="A2445:D2445"/>
    <mergeCell ref="A2446:B2446"/>
    <mergeCell ref="C2446:D2446"/>
    <mergeCell ref="A2438:B2438"/>
    <mergeCell ref="C2438:D2438"/>
    <mergeCell ref="A2439:B2439"/>
    <mergeCell ref="C2439:D2439"/>
    <mergeCell ref="A2440:B2440"/>
    <mergeCell ref="C2440:D2440"/>
    <mergeCell ref="C2433:D2433"/>
    <mergeCell ref="A2435:B2435"/>
    <mergeCell ref="C2435:D2435"/>
    <mergeCell ref="A2436:B2436"/>
    <mergeCell ref="C2436:D2436"/>
    <mergeCell ref="A2437:B2437"/>
    <mergeCell ref="C2437:D2437"/>
    <mergeCell ref="A2458:D2458"/>
    <mergeCell ref="A2459:B2459"/>
    <mergeCell ref="C2459:D2459"/>
    <mergeCell ref="A2455:D2455"/>
    <mergeCell ref="A2456:D2456"/>
    <mergeCell ref="A2457:D2457"/>
    <mergeCell ref="A2452:B2452"/>
    <mergeCell ref="C2452:D2452"/>
    <mergeCell ref="A2453:B2453"/>
    <mergeCell ref="C2453:D2453"/>
    <mergeCell ref="A2454:B2454"/>
    <mergeCell ref="C2454:D2454"/>
    <mergeCell ref="C2447:D2447"/>
    <mergeCell ref="A2449:B2449"/>
    <mergeCell ref="C2449:D2449"/>
    <mergeCell ref="A2450:B2450"/>
    <mergeCell ref="C2450:D2450"/>
    <mergeCell ref="A2451:B2451"/>
    <mergeCell ref="C2451:D2451"/>
    <mergeCell ref="A2468:D2468"/>
    <mergeCell ref="A2469:D2469"/>
    <mergeCell ref="A2470:D2470"/>
    <mergeCell ref="A2471:D2471"/>
    <mergeCell ref="A2472:D2472"/>
    <mergeCell ref="A2473:B2473"/>
    <mergeCell ref="C2473:D2473"/>
    <mergeCell ref="A2465:B2465"/>
    <mergeCell ref="C2465:D2465"/>
    <mergeCell ref="A2466:B2466"/>
    <mergeCell ref="C2466:D2466"/>
    <mergeCell ref="A2467:B2467"/>
    <mergeCell ref="C2467:D2467"/>
    <mergeCell ref="C2460:D2460"/>
    <mergeCell ref="A2462:B2462"/>
    <mergeCell ref="C2462:D2462"/>
    <mergeCell ref="A2463:B2463"/>
    <mergeCell ref="C2463:D2463"/>
    <mergeCell ref="A2464:B2464"/>
    <mergeCell ref="C2464:D2464"/>
    <mergeCell ref="A2482:D2482"/>
    <mergeCell ref="A2483:D2483"/>
    <mergeCell ref="A2484:D2484"/>
    <mergeCell ref="A2485:D2485"/>
    <mergeCell ref="A2486:B2486"/>
    <mergeCell ref="C2486:D2486"/>
    <mergeCell ref="A2479:B2479"/>
    <mergeCell ref="C2479:D2479"/>
    <mergeCell ref="A2480:B2480"/>
    <mergeCell ref="C2480:D2480"/>
    <mergeCell ref="A2481:B2481"/>
    <mergeCell ref="C2481:D2481"/>
    <mergeCell ref="C2474:D2474"/>
    <mergeCell ref="A2476:B2476"/>
    <mergeCell ref="C2476:D2476"/>
    <mergeCell ref="A2477:B2477"/>
    <mergeCell ref="C2477:D2477"/>
    <mergeCell ref="A2478:B2478"/>
    <mergeCell ref="C2478:D2478"/>
    <mergeCell ref="A2495:D2495"/>
    <mergeCell ref="A2496:D2496"/>
    <mergeCell ref="A2497:D2497"/>
    <mergeCell ref="A2498:D2498"/>
    <mergeCell ref="A2499:D2499"/>
    <mergeCell ref="A2500:B2500"/>
    <mergeCell ref="C2500:D2500"/>
    <mergeCell ref="A2492:B2492"/>
    <mergeCell ref="C2492:D2492"/>
    <mergeCell ref="A2493:B2493"/>
    <mergeCell ref="C2493:D2493"/>
    <mergeCell ref="A2494:B2494"/>
    <mergeCell ref="C2494:D2494"/>
    <mergeCell ref="C2487:D2487"/>
    <mergeCell ref="A2489:B2489"/>
    <mergeCell ref="C2489:D2489"/>
    <mergeCell ref="A2490:B2490"/>
    <mergeCell ref="C2490:D2490"/>
    <mergeCell ref="A2491:B2491"/>
    <mergeCell ref="C2491:D2491"/>
    <mergeCell ref="A2509:D2509"/>
    <mergeCell ref="A2510:D2510"/>
    <mergeCell ref="A2511:D2511"/>
    <mergeCell ref="A2512:D2512"/>
    <mergeCell ref="A2513:B2513"/>
    <mergeCell ref="C2513:D2513"/>
    <mergeCell ref="A2506:B2506"/>
    <mergeCell ref="C2506:D2506"/>
    <mergeCell ref="A2507:B2507"/>
    <mergeCell ref="C2507:D2507"/>
    <mergeCell ref="A2508:B2508"/>
    <mergeCell ref="C2508:D2508"/>
    <mergeCell ref="C2501:D2501"/>
    <mergeCell ref="A2503:B2503"/>
    <mergeCell ref="C2503:D2503"/>
    <mergeCell ref="A2504:B2504"/>
    <mergeCell ref="C2504:D2504"/>
    <mergeCell ref="A2505:B2505"/>
    <mergeCell ref="C2505:D2505"/>
    <mergeCell ref="A2522:D2522"/>
    <mergeCell ref="A2523:D2523"/>
    <mergeCell ref="A2524:D2524"/>
    <mergeCell ref="A2525:D2525"/>
    <mergeCell ref="A2526:D2526"/>
    <mergeCell ref="A2527:B2527"/>
    <mergeCell ref="C2527:D2527"/>
    <mergeCell ref="A2519:B2519"/>
    <mergeCell ref="C2519:D2519"/>
    <mergeCell ref="A2520:B2520"/>
    <mergeCell ref="C2520:D2520"/>
    <mergeCell ref="A2521:B2521"/>
    <mergeCell ref="C2521:D2521"/>
    <mergeCell ref="C2514:D2514"/>
    <mergeCell ref="A2516:B2516"/>
    <mergeCell ref="C2516:D2516"/>
    <mergeCell ref="A2517:B2517"/>
    <mergeCell ref="C2517:D2517"/>
    <mergeCell ref="A2518:B2518"/>
    <mergeCell ref="C2518:D2518"/>
    <mergeCell ref="A2536:D2536"/>
    <mergeCell ref="A2537:D2537"/>
    <mergeCell ref="A2538:D2538"/>
    <mergeCell ref="A2539:D2539"/>
    <mergeCell ref="A2540:B2540"/>
    <mergeCell ref="C2540:D2540"/>
    <mergeCell ref="A2533:B2533"/>
    <mergeCell ref="C2533:D2533"/>
    <mergeCell ref="A2534:B2534"/>
    <mergeCell ref="C2534:D2534"/>
    <mergeCell ref="A2535:B2535"/>
    <mergeCell ref="C2535:D2535"/>
    <mergeCell ref="C2528:D2528"/>
    <mergeCell ref="A2530:B2530"/>
    <mergeCell ref="C2530:D2530"/>
    <mergeCell ref="A2531:B2531"/>
    <mergeCell ref="C2531:D2531"/>
    <mergeCell ref="A2532:B2532"/>
    <mergeCell ref="C2532:D2532"/>
    <mergeCell ref="A2549:D2549"/>
    <mergeCell ref="A2550:D2550"/>
    <mergeCell ref="A2551:D2551"/>
    <mergeCell ref="A2552:D2552"/>
    <mergeCell ref="A2553:D2553"/>
    <mergeCell ref="A2554:B2554"/>
    <mergeCell ref="C2554:D2554"/>
    <mergeCell ref="A2546:B2546"/>
    <mergeCell ref="C2546:D2546"/>
    <mergeCell ref="A2547:B2547"/>
    <mergeCell ref="C2547:D2547"/>
    <mergeCell ref="A2548:B2548"/>
    <mergeCell ref="C2548:D2548"/>
    <mergeCell ref="C2541:D2541"/>
    <mergeCell ref="A2543:B2543"/>
    <mergeCell ref="C2543:D2543"/>
    <mergeCell ref="A2544:B2544"/>
    <mergeCell ref="C2544:D2544"/>
    <mergeCell ref="A2545:B2545"/>
    <mergeCell ref="C2545:D2545"/>
    <mergeCell ref="A2563:D2563"/>
    <mergeCell ref="A2564:D2564"/>
    <mergeCell ref="A2565:D2565"/>
    <mergeCell ref="A2566:D2566"/>
    <mergeCell ref="A2567:B2567"/>
    <mergeCell ref="C2567:D2567"/>
    <mergeCell ref="A2560:B2560"/>
    <mergeCell ref="C2560:D2560"/>
    <mergeCell ref="A2561:B2561"/>
    <mergeCell ref="C2561:D2561"/>
    <mergeCell ref="A2562:B2562"/>
    <mergeCell ref="C2562:D2562"/>
    <mergeCell ref="C2555:D2555"/>
    <mergeCell ref="A2557:B2557"/>
    <mergeCell ref="C2557:D2557"/>
    <mergeCell ref="A2558:B2558"/>
    <mergeCell ref="C2558:D2558"/>
    <mergeCell ref="A2559:B2559"/>
    <mergeCell ref="C2559:D2559"/>
    <mergeCell ref="A2576:D2576"/>
    <mergeCell ref="A2577:D2577"/>
    <mergeCell ref="A2578:D2578"/>
    <mergeCell ref="A2579:D2579"/>
    <mergeCell ref="A2580:D2580"/>
    <mergeCell ref="A2581:B2581"/>
    <mergeCell ref="C2581:D2581"/>
    <mergeCell ref="A2573:B2573"/>
    <mergeCell ref="C2573:D2573"/>
    <mergeCell ref="A2574:B2574"/>
    <mergeCell ref="C2574:D2574"/>
    <mergeCell ref="A2575:B2575"/>
    <mergeCell ref="C2575:D2575"/>
    <mergeCell ref="C2568:D2568"/>
    <mergeCell ref="A2570:B2570"/>
    <mergeCell ref="C2570:D2570"/>
    <mergeCell ref="A2571:B2571"/>
    <mergeCell ref="C2571:D2571"/>
    <mergeCell ref="A2572:B2572"/>
    <mergeCell ref="C2572:D2572"/>
    <mergeCell ref="A2590:D2590"/>
    <mergeCell ref="A2591:D2591"/>
    <mergeCell ref="A2592:D2592"/>
    <mergeCell ref="A2593:D2593"/>
    <mergeCell ref="A2594:B2594"/>
    <mergeCell ref="C2594:D2594"/>
    <mergeCell ref="A2587:B2587"/>
    <mergeCell ref="C2587:D2587"/>
    <mergeCell ref="A2588:B2588"/>
    <mergeCell ref="C2588:D2588"/>
    <mergeCell ref="A2589:B2589"/>
    <mergeCell ref="C2589:D2589"/>
    <mergeCell ref="C2582:D2582"/>
    <mergeCell ref="A2584:B2584"/>
    <mergeCell ref="C2584:D2584"/>
    <mergeCell ref="A2585:B2585"/>
    <mergeCell ref="C2585:D2585"/>
    <mergeCell ref="A2586:B2586"/>
    <mergeCell ref="C2586:D2586"/>
    <mergeCell ref="A2603:D2603"/>
    <mergeCell ref="A2604:D2604"/>
    <mergeCell ref="A2605:D2605"/>
    <mergeCell ref="A2606:D2606"/>
    <mergeCell ref="A2607:D2607"/>
    <mergeCell ref="A2608:B2608"/>
    <mergeCell ref="C2608:D2608"/>
    <mergeCell ref="A2600:B2600"/>
    <mergeCell ref="C2600:D2600"/>
    <mergeCell ref="A2601:B2601"/>
    <mergeCell ref="C2601:D2601"/>
    <mergeCell ref="A2602:B2602"/>
    <mergeCell ref="C2602:D2602"/>
    <mergeCell ref="C2595:D2595"/>
    <mergeCell ref="A2597:B2597"/>
    <mergeCell ref="C2597:D2597"/>
    <mergeCell ref="A2598:B2598"/>
    <mergeCell ref="C2598:D2598"/>
    <mergeCell ref="A2599:B2599"/>
    <mergeCell ref="C2599:D2599"/>
    <mergeCell ref="A2617:D2617"/>
    <mergeCell ref="A2618:D2618"/>
    <mergeCell ref="A2619:D2619"/>
    <mergeCell ref="A2620:D2620"/>
    <mergeCell ref="A2621:B2621"/>
    <mergeCell ref="C2621:D2621"/>
    <mergeCell ref="A2614:B2614"/>
    <mergeCell ref="C2614:D2614"/>
    <mergeCell ref="A2615:B2615"/>
    <mergeCell ref="C2615:D2615"/>
    <mergeCell ref="A2616:B2616"/>
    <mergeCell ref="C2616:D2616"/>
    <mergeCell ref="C2609:D2609"/>
    <mergeCell ref="A2611:B2611"/>
    <mergeCell ref="C2611:D2611"/>
    <mergeCell ref="A2612:B2612"/>
    <mergeCell ref="C2612:D2612"/>
    <mergeCell ref="A2613:B2613"/>
    <mergeCell ref="C2613:D2613"/>
    <mergeCell ref="A2630:D2630"/>
    <mergeCell ref="A2631:D2631"/>
    <mergeCell ref="A2632:D2632"/>
    <mergeCell ref="A2633:D2633"/>
    <mergeCell ref="A2634:D2634"/>
    <mergeCell ref="A2635:B2635"/>
    <mergeCell ref="C2635:D2635"/>
    <mergeCell ref="A2627:B2627"/>
    <mergeCell ref="C2627:D2627"/>
    <mergeCell ref="A2628:B2628"/>
    <mergeCell ref="C2628:D2628"/>
    <mergeCell ref="A2629:B2629"/>
    <mergeCell ref="C2629:D2629"/>
    <mergeCell ref="C2622:D2622"/>
    <mergeCell ref="A2624:B2624"/>
    <mergeCell ref="C2624:D2624"/>
    <mergeCell ref="A2625:B2625"/>
    <mergeCell ref="C2625:D2625"/>
    <mergeCell ref="A2626:B2626"/>
    <mergeCell ref="C2626:D2626"/>
    <mergeCell ref="A2644:D2644"/>
    <mergeCell ref="A2645:D2645"/>
    <mergeCell ref="A2646:D2646"/>
    <mergeCell ref="A2647:D2647"/>
    <mergeCell ref="A2648:B2648"/>
    <mergeCell ref="C2648:D2648"/>
    <mergeCell ref="A2641:B2641"/>
    <mergeCell ref="C2641:D2641"/>
    <mergeCell ref="A2642:B2642"/>
    <mergeCell ref="C2642:D2642"/>
    <mergeCell ref="A2643:B2643"/>
    <mergeCell ref="C2643:D2643"/>
    <mergeCell ref="C2636:D2636"/>
    <mergeCell ref="A2638:B2638"/>
    <mergeCell ref="C2638:D2638"/>
    <mergeCell ref="A2639:B2639"/>
    <mergeCell ref="C2639:D2639"/>
    <mergeCell ref="A2640:B2640"/>
    <mergeCell ref="C2640:D2640"/>
    <mergeCell ref="A2657:D2657"/>
    <mergeCell ref="A2658:D2658"/>
    <mergeCell ref="A2659:D2659"/>
    <mergeCell ref="A2660:D2660"/>
    <mergeCell ref="A2661:D2661"/>
    <mergeCell ref="A2662:B2662"/>
    <mergeCell ref="C2662:D2662"/>
    <mergeCell ref="A2654:B2654"/>
    <mergeCell ref="C2654:D2654"/>
    <mergeCell ref="A2655:B2655"/>
    <mergeCell ref="C2655:D2655"/>
    <mergeCell ref="A2656:B2656"/>
    <mergeCell ref="C2656:D2656"/>
    <mergeCell ref="C2649:D2649"/>
    <mergeCell ref="A2651:B2651"/>
    <mergeCell ref="C2651:D2651"/>
    <mergeCell ref="A2652:B2652"/>
    <mergeCell ref="C2652:D2652"/>
    <mergeCell ref="A2653:B2653"/>
    <mergeCell ref="C2653:D2653"/>
    <mergeCell ref="A2671:D2671"/>
    <mergeCell ref="A2672:D2672"/>
    <mergeCell ref="A2673:D2673"/>
    <mergeCell ref="A2674:D2674"/>
    <mergeCell ref="A2675:B2675"/>
    <mergeCell ref="C2675:D2675"/>
    <mergeCell ref="A2668:B2668"/>
    <mergeCell ref="C2668:D2668"/>
    <mergeCell ref="A2669:B2669"/>
    <mergeCell ref="C2669:D2669"/>
    <mergeCell ref="A2670:B2670"/>
    <mergeCell ref="C2670:D2670"/>
    <mergeCell ref="C2663:D2663"/>
    <mergeCell ref="A2665:B2665"/>
    <mergeCell ref="C2665:D2665"/>
    <mergeCell ref="A2666:B2666"/>
    <mergeCell ref="C2666:D2666"/>
    <mergeCell ref="A2667:B2667"/>
    <mergeCell ref="C2667:D2667"/>
    <mergeCell ref="A2684:D2684"/>
    <mergeCell ref="A2685:D2685"/>
    <mergeCell ref="A2686:D2686"/>
    <mergeCell ref="A2687:D2687"/>
    <mergeCell ref="A2688:D2688"/>
    <mergeCell ref="A2689:B2689"/>
    <mergeCell ref="C2689:D2689"/>
    <mergeCell ref="A2681:B2681"/>
    <mergeCell ref="C2681:D2681"/>
    <mergeCell ref="A2682:B2682"/>
    <mergeCell ref="C2682:D2682"/>
    <mergeCell ref="A2683:B2683"/>
    <mergeCell ref="C2683:D2683"/>
    <mergeCell ref="C2676:D2676"/>
    <mergeCell ref="A2678:B2678"/>
    <mergeCell ref="C2678:D2678"/>
    <mergeCell ref="A2679:B2679"/>
    <mergeCell ref="C2679:D2679"/>
    <mergeCell ref="A2680:B2680"/>
    <mergeCell ref="C2680:D2680"/>
    <mergeCell ref="A2698:D2698"/>
    <mergeCell ref="A2699:D2699"/>
    <mergeCell ref="A2700:D2700"/>
    <mergeCell ref="A2701:D2701"/>
    <mergeCell ref="A2702:B2702"/>
    <mergeCell ref="C2702:D2702"/>
    <mergeCell ref="A2695:B2695"/>
    <mergeCell ref="C2695:D2695"/>
    <mergeCell ref="A2696:B2696"/>
    <mergeCell ref="C2696:D2696"/>
    <mergeCell ref="A2697:B2697"/>
    <mergeCell ref="C2697:D2697"/>
    <mergeCell ref="C2690:D2690"/>
    <mergeCell ref="A2692:B2692"/>
    <mergeCell ref="C2692:D2692"/>
    <mergeCell ref="A2693:B2693"/>
    <mergeCell ref="C2693:D2693"/>
    <mergeCell ref="A2694:B2694"/>
    <mergeCell ref="C2694:D2694"/>
    <mergeCell ref="A2711:D2711"/>
    <mergeCell ref="A2712:D2712"/>
    <mergeCell ref="A2713:D2713"/>
    <mergeCell ref="A2714:D2714"/>
    <mergeCell ref="A2715:D2715"/>
    <mergeCell ref="A2716:B2716"/>
    <mergeCell ref="C2716:D2716"/>
    <mergeCell ref="A2708:B2708"/>
    <mergeCell ref="C2708:D2708"/>
    <mergeCell ref="A2709:B2709"/>
    <mergeCell ref="C2709:D2709"/>
    <mergeCell ref="A2710:B2710"/>
    <mergeCell ref="C2710:D2710"/>
    <mergeCell ref="C2703:D2703"/>
    <mergeCell ref="A2705:B2705"/>
    <mergeCell ref="C2705:D2705"/>
    <mergeCell ref="A2706:B2706"/>
    <mergeCell ref="C2706:D2706"/>
    <mergeCell ref="A2707:B2707"/>
    <mergeCell ref="C2707:D2707"/>
    <mergeCell ref="A2725:D2725"/>
    <mergeCell ref="A2726:D2726"/>
    <mergeCell ref="A2727:D2727"/>
    <mergeCell ref="A2728:D2728"/>
    <mergeCell ref="A2729:B2729"/>
    <mergeCell ref="C2729:D2729"/>
    <mergeCell ref="A2722:B2722"/>
    <mergeCell ref="C2722:D2722"/>
    <mergeCell ref="A2723:B2723"/>
    <mergeCell ref="C2723:D2723"/>
    <mergeCell ref="A2724:B2724"/>
    <mergeCell ref="C2724:D2724"/>
    <mergeCell ref="C2717:D2717"/>
    <mergeCell ref="A2719:B2719"/>
    <mergeCell ref="C2719:D2719"/>
    <mergeCell ref="A2720:B2720"/>
    <mergeCell ref="C2720:D2720"/>
    <mergeCell ref="A2721:B2721"/>
    <mergeCell ref="C2721:D2721"/>
    <mergeCell ref="A2738:D2738"/>
    <mergeCell ref="A2739:D2739"/>
    <mergeCell ref="A2740:D2740"/>
    <mergeCell ref="A2741:D2741"/>
    <mergeCell ref="A2742:D2742"/>
    <mergeCell ref="A2743:B2743"/>
    <mergeCell ref="C2743:D2743"/>
    <mergeCell ref="A2735:B2735"/>
    <mergeCell ref="C2735:D2735"/>
    <mergeCell ref="A2736:B2736"/>
    <mergeCell ref="C2736:D2736"/>
    <mergeCell ref="A2737:B2737"/>
    <mergeCell ref="C2737:D2737"/>
    <mergeCell ref="C2730:D2730"/>
    <mergeCell ref="A2732:B2732"/>
    <mergeCell ref="C2732:D2732"/>
    <mergeCell ref="A2733:B2733"/>
    <mergeCell ref="C2733:D2733"/>
    <mergeCell ref="A2734:B2734"/>
    <mergeCell ref="C2734:D2734"/>
    <mergeCell ref="A2752:D2752"/>
    <mergeCell ref="A2753:D2753"/>
    <mergeCell ref="A2754:D2754"/>
    <mergeCell ref="A2755:D2755"/>
    <mergeCell ref="A2756:B2756"/>
    <mergeCell ref="C2756:D2756"/>
    <mergeCell ref="A2749:B2749"/>
    <mergeCell ref="C2749:D2749"/>
    <mergeCell ref="A2750:B2750"/>
    <mergeCell ref="C2750:D2750"/>
    <mergeCell ref="A2751:B2751"/>
    <mergeCell ref="C2751:D2751"/>
    <mergeCell ref="C2744:D2744"/>
    <mergeCell ref="A2746:B2746"/>
    <mergeCell ref="C2746:D2746"/>
    <mergeCell ref="A2747:B2747"/>
    <mergeCell ref="C2747:D2747"/>
    <mergeCell ref="A2748:B2748"/>
    <mergeCell ref="C2748:D2748"/>
    <mergeCell ref="A2765:D2765"/>
    <mergeCell ref="A2766:D2766"/>
    <mergeCell ref="A2767:D2767"/>
    <mergeCell ref="A2768:D2768"/>
    <mergeCell ref="A2769:D2769"/>
    <mergeCell ref="A2770:B2770"/>
    <mergeCell ref="C2770:D2770"/>
    <mergeCell ref="A2762:B2762"/>
    <mergeCell ref="C2762:D2762"/>
    <mergeCell ref="A2763:B2763"/>
    <mergeCell ref="C2763:D2763"/>
    <mergeCell ref="A2764:B2764"/>
    <mergeCell ref="C2764:D2764"/>
    <mergeCell ref="C2757:D2757"/>
    <mergeCell ref="A2759:B2759"/>
    <mergeCell ref="C2759:D2759"/>
    <mergeCell ref="A2760:B2760"/>
    <mergeCell ref="C2760:D2760"/>
    <mergeCell ref="A2761:B2761"/>
    <mergeCell ref="C2761:D2761"/>
    <mergeCell ref="A2779:D2779"/>
    <mergeCell ref="A2780:D2780"/>
    <mergeCell ref="A2781:D2781"/>
    <mergeCell ref="A2782:D2782"/>
    <mergeCell ref="A2783:B2783"/>
    <mergeCell ref="C2783:D2783"/>
    <mergeCell ref="A2776:B2776"/>
    <mergeCell ref="C2776:D2776"/>
    <mergeCell ref="A2777:B2777"/>
    <mergeCell ref="C2777:D2777"/>
    <mergeCell ref="A2778:B2778"/>
    <mergeCell ref="C2778:D2778"/>
    <mergeCell ref="C2771:D2771"/>
    <mergeCell ref="A2773:B2773"/>
    <mergeCell ref="C2773:D2773"/>
    <mergeCell ref="A2774:B2774"/>
    <mergeCell ref="C2774:D2774"/>
    <mergeCell ref="A2775:B2775"/>
    <mergeCell ref="C2775:D2775"/>
    <mergeCell ref="A2792:D2792"/>
    <mergeCell ref="A2793:D2793"/>
    <mergeCell ref="A2794:D2794"/>
    <mergeCell ref="A2795:D2795"/>
    <mergeCell ref="A2796:D2796"/>
    <mergeCell ref="A2797:B2797"/>
    <mergeCell ref="C2797:D2797"/>
    <mergeCell ref="A2789:B2789"/>
    <mergeCell ref="C2789:D2789"/>
    <mergeCell ref="A2790:B2790"/>
    <mergeCell ref="C2790:D2790"/>
    <mergeCell ref="A2791:B2791"/>
    <mergeCell ref="C2791:D2791"/>
    <mergeCell ref="C2784:D2784"/>
    <mergeCell ref="A2786:B2786"/>
    <mergeCell ref="C2786:D2786"/>
    <mergeCell ref="A2787:B2787"/>
    <mergeCell ref="C2787:D2787"/>
    <mergeCell ref="A2788:B2788"/>
    <mergeCell ref="C2788:D2788"/>
    <mergeCell ref="A2806:D2806"/>
    <mergeCell ref="A2807:D2807"/>
    <mergeCell ref="A2808:D2808"/>
    <mergeCell ref="A2809:D2809"/>
    <mergeCell ref="A2810:B2810"/>
    <mergeCell ref="C2810:D2810"/>
    <mergeCell ref="A2803:B2803"/>
    <mergeCell ref="C2803:D2803"/>
    <mergeCell ref="A2804:B2804"/>
    <mergeCell ref="C2804:D2804"/>
    <mergeCell ref="A2805:B2805"/>
    <mergeCell ref="C2805:D2805"/>
    <mergeCell ref="C2798:D2798"/>
    <mergeCell ref="A2800:B2800"/>
    <mergeCell ref="C2800:D2800"/>
    <mergeCell ref="A2801:B2801"/>
    <mergeCell ref="C2801:D2801"/>
    <mergeCell ref="A2802:B2802"/>
    <mergeCell ref="C2802:D2802"/>
    <mergeCell ref="A2819:D2819"/>
    <mergeCell ref="A2820:D2820"/>
    <mergeCell ref="A2821:D2821"/>
    <mergeCell ref="A2822:D2822"/>
    <mergeCell ref="A2823:D2823"/>
    <mergeCell ref="A2824:B2824"/>
    <mergeCell ref="C2824:D2824"/>
    <mergeCell ref="A2816:B2816"/>
    <mergeCell ref="C2816:D2816"/>
    <mergeCell ref="A2817:B2817"/>
    <mergeCell ref="C2817:D2817"/>
    <mergeCell ref="A2818:B2818"/>
    <mergeCell ref="C2818:D2818"/>
    <mergeCell ref="C2811:D2811"/>
    <mergeCell ref="A2813:B2813"/>
    <mergeCell ref="C2813:D2813"/>
    <mergeCell ref="A2814:B2814"/>
    <mergeCell ref="C2814:D2814"/>
    <mergeCell ref="A2815:B2815"/>
    <mergeCell ref="C2815:D2815"/>
    <mergeCell ref="A2833:D2833"/>
    <mergeCell ref="A2834:D2834"/>
    <mergeCell ref="A2835:D2835"/>
    <mergeCell ref="A2836:D2836"/>
    <mergeCell ref="A2837:B2837"/>
    <mergeCell ref="C2837:D2837"/>
    <mergeCell ref="A2830:B2830"/>
    <mergeCell ref="C2830:D2830"/>
    <mergeCell ref="A2831:B2831"/>
    <mergeCell ref="C2831:D2831"/>
    <mergeCell ref="A2832:B2832"/>
    <mergeCell ref="C2832:D2832"/>
    <mergeCell ref="C2825:D2825"/>
    <mergeCell ref="A2827:B2827"/>
    <mergeCell ref="C2827:D2827"/>
    <mergeCell ref="A2828:B2828"/>
    <mergeCell ref="C2828:D2828"/>
    <mergeCell ref="A2829:B2829"/>
    <mergeCell ref="C2829:D2829"/>
    <mergeCell ref="A2846:D2846"/>
    <mergeCell ref="A2847:D2847"/>
    <mergeCell ref="A2848:D2848"/>
    <mergeCell ref="A2849:D2849"/>
    <mergeCell ref="A2850:D2850"/>
    <mergeCell ref="A2851:B2851"/>
    <mergeCell ref="C2851:D2851"/>
    <mergeCell ref="A2843:B2843"/>
    <mergeCell ref="C2843:D2843"/>
    <mergeCell ref="A2844:B2844"/>
    <mergeCell ref="C2844:D2844"/>
    <mergeCell ref="A2845:B2845"/>
    <mergeCell ref="C2845:D2845"/>
    <mergeCell ref="C2838:D2838"/>
    <mergeCell ref="A2840:B2840"/>
    <mergeCell ref="C2840:D2840"/>
    <mergeCell ref="A2841:B2841"/>
    <mergeCell ref="C2841:D2841"/>
    <mergeCell ref="A2842:B2842"/>
    <mergeCell ref="C2842:D2842"/>
    <mergeCell ref="A2860:D2860"/>
    <mergeCell ref="A2861:D2861"/>
    <mergeCell ref="A2862:D2862"/>
    <mergeCell ref="A2863:D2863"/>
    <mergeCell ref="A2864:B2864"/>
    <mergeCell ref="C2864:D2864"/>
    <mergeCell ref="A2857:B2857"/>
    <mergeCell ref="C2857:D2857"/>
    <mergeCell ref="A2858:B2858"/>
    <mergeCell ref="C2858:D2858"/>
    <mergeCell ref="A2859:B2859"/>
    <mergeCell ref="C2859:D2859"/>
    <mergeCell ref="C2852:D2852"/>
    <mergeCell ref="A2854:B2854"/>
    <mergeCell ref="C2854:D2854"/>
    <mergeCell ref="A2855:B2855"/>
    <mergeCell ref="C2855:D2855"/>
    <mergeCell ref="A2856:B2856"/>
    <mergeCell ref="C2856:D2856"/>
    <mergeCell ref="A2873:D2873"/>
    <mergeCell ref="A2874:D2874"/>
    <mergeCell ref="A2875:D2875"/>
    <mergeCell ref="A2876:D2876"/>
    <mergeCell ref="A2877:D2877"/>
    <mergeCell ref="A2878:B2878"/>
    <mergeCell ref="C2878:D2878"/>
    <mergeCell ref="A2870:B2870"/>
    <mergeCell ref="C2870:D2870"/>
    <mergeCell ref="A2871:B2871"/>
    <mergeCell ref="C2871:D2871"/>
    <mergeCell ref="A2872:B2872"/>
    <mergeCell ref="C2872:D2872"/>
    <mergeCell ref="C2865:D2865"/>
    <mergeCell ref="A2867:B2867"/>
    <mergeCell ref="C2867:D2867"/>
    <mergeCell ref="A2868:B2868"/>
    <mergeCell ref="C2868:D2868"/>
    <mergeCell ref="A2869:B2869"/>
    <mergeCell ref="C2869:D2869"/>
    <mergeCell ref="A2887:D2887"/>
    <mergeCell ref="A2888:D2888"/>
    <mergeCell ref="A2889:D2889"/>
    <mergeCell ref="A2890:D2890"/>
    <mergeCell ref="A2891:B2891"/>
    <mergeCell ref="C2891:D2891"/>
    <mergeCell ref="A2884:B2884"/>
    <mergeCell ref="C2884:D2884"/>
    <mergeCell ref="A2885:B2885"/>
    <mergeCell ref="C2885:D2885"/>
    <mergeCell ref="A2886:B2886"/>
    <mergeCell ref="C2886:D2886"/>
    <mergeCell ref="C2879:D2879"/>
    <mergeCell ref="A2881:B2881"/>
    <mergeCell ref="C2881:D2881"/>
    <mergeCell ref="A2882:B2882"/>
    <mergeCell ref="C2882:D2882"/>
    <mergeCell ref="A2883:B2883"/>
    <mergeCell ref="C2883:D2883"/>
    <mergeCell ref="A2900:D2900"/>
    <mergeCell ref="A2901:D2901"/>
    <mergeCell ref="A2902:D2902"/>
    <mergeCell ref="A2903:D2903"/>
    <mergeCell ref="A2904:D2904"/>
    <mergeCell ref="A2905:B2905"/>
    <mergeCell ref="C2905:D2905"/>
    <mergeCell ref="A2897:B2897"/>
    <mergeCell ref="C2897:D2897"/>
    <mergeCell ref="A2898:B2898"/>
    <mergeCell ref="C2898:D2898"/>
    <mergeCell ref="A2899:B2899"/>
    <mergeCell ref="C2899:D2899"/>
    <mergeCell ref="C2892:D2892"/>
    <mergeCell ref="A2894:B2894"/>
    <mergeCell ref="C2894:D2894"/>
    <mergeCell ref="A2895:B2895"/>
    <mergeCell ref="C2895:D2895"/>
    <mergeCell ref="A2896:B2896"/>
    <mergeCell ref="C2896:D2896"/>
    <mergeCell ref="A2914:D2914"/>
    <mergeCell ref="A2915:D2915"/>
    <mergeCell ref="A2916:D2916"/>
    <mergeCell ref="A2917:D2917"/>
    <mergeCell ref="A2918:B2918"/>
    <mergeCell ref="C2918:D2918"/>
    <mergeCell ref="A2911:B2911"/>
    <mergeCell ref="C2911:D2911"/>
    <mergeCell ref="A2912:B2912"/>
    <mergeCell ref="C2912:D2912"/>
    <mergeCell ref="A2913:B2913"/>
    <mergeCell ref="C2913:D2913"/>
    <mergeCell ref="C2906:D2906"/>
    <mergeCell ref="A2908:B2908"/>
    <mergeCell ref="C2908:D2908"/>
    <mergeCell ref="A2909:B2909"/>
    <mergeCell ref="C2909:D2909"/>
    <mergeCell ref="A2910:B2910"/>
    <mergeCell ref="C2910:D2910"/>
    <mergeCell ref="A2927:D2927"/>
    <mergeCell ref="A2928:D2928"/>
    <mergeCell ref="A2929:D2929"/>
    <mergeCell ref="A2930:D2930"/>
    <mergeCell ref="A2931:D2931"/>
    <mergeCell ref="A2932:B2932"/>
    <mergeCell ref="C2932:D2932"/>
    <mergeCell ref="A2924:B2924"/>
    <mergeCell ref="C2924:D2924"/>
    <mergeCell ref="A2925:B2925"/>
    <mergeCell ref="C2925:D2925"/>
    <mergeCell ref="A2926:B2926"/>
    <mergeCell ref="C2926:D2926"/>
    <mergeCell ref="C2919:D2919"/>
    <mergeCell ref="A2921:B2921"/>
    <mergeCell ref="C2921:D2921"/>
    <mergeCell ref="A2922:B2922"/>
    <mergeCell ref="C2922:D2922"/>
    <mergeCell ref="A2923:B2923"/>
    <mergeCell ref="C2923:D2923"/>
    <mergeCell ref="A2941:D2941"/>
    <mergeCell ref="A2942:D2942"/>
    <mergeCell ref="A2943:D2943"/>
    <mergeCell ref="A2944:D2944"/>
    <mergeCell ref="A2945:B2945"/>
    <mergeCell ref="C2945:D2945"/>
    <mergeCell ref="A2938:B2938"/>
    <mergeCell ref="C2938:D2938"/>
    <mergeCell ref="A2939:B2939"/>
    <mergeCell ref="C2939:D2939"/>
    <mergeCell ref="A2940:B2940"/>
    <mergeCell ref="C2940:D2940"/>
    <mergeCell ref="C2933:D2933"/>
    <mergeCell ref="A2935:B2935"/>
    <mergeCell ref="C2935:D2935"/>
    <mergeCell ref="A2936:B2936"/>
    <mergeCell ref="C2936:D2936"/>
    <mergeCell ref="A2937:B2937"/>
    <mergeCell ref="C2937:D2937"/>
    <mergeCell ref="A2954:D2954"/>
    <mergeCell ref="A2955:D2955"/>
    <mergeCell ref="A2956:D2956"/>
    <mergeCell ref="A2957:D2957"/>
    <mergeCell ref="A2958:D2958"/>
    <mergeCell ref="A2959:B2959"/>
    <mergeCell ref="C2959:D2959"/>
    <mergeCell ref="A2951:B2951"/>
    <mergeCell ref="C2951:D2951"/>
    <mergeCell ref="A2952:B2952"/>
    <mergeCell ref="C2952:D2952"/>
    <mergeCell ref="A2953:B2953"/>
    <mergeCell ref="C2953:D2953"/>
    <mergeCell ref="C2946:D2946"/>
    <mergeCell ref="A2948:B2948"/>
    <mergeCell ref="C2948:D2948"/>
    <mergeCell ref="A2949:B2949"/>
    <mergeCell ref="C2949:D2949"/>
    <mergeCell ref="A2950:B2950"/>
    <mergeCell ref="C2950:D2950"/>
    <mergeCell ref="A2968:D2968"/>
    <mergeCell ref="A2969:D2969"/>
    <mergeCell ref="A2970:D2970"/>
    <mergeCell ref="A2971:D2971"/>
    <mergeCell ref="A2972:B2972"/>
    <mergeCell ref="C2972:D2972"/>
    <mergeCell ref="A2965:B2965"/>
    <mergeCell ref="C2965:D2965"/>
    <mergeCell ref="A2966:B2966"/>
    <mergeCell ref="C2966:D2966"/>
    <mergeCell ref="A2967:B2967"/>
    <mergeCell ref="C2967:D2967"/>
    <mergeCell ref="C2960:D2960"/>
    <mergeCell ref="A2962:B2962"/>
    <mergeCell ref="C2962:D2962"/>
    <mergeCell ref="A2963:B2963"/>
    <mergeCell ref="C2963:D2963"/>
    <mergeCell ref="A2964:B2964"/>
    <mergeCell ref="C2964:D2964"/>
    <mergeCell ref="A2981:D2981"/>
    <mergeCell ref="A2982:D2982"/>
    <mergeCell ref="A2983:D2983"/>
    <mergeCell ref="A2984:D2984"/>
    <mergeCell ref="A2985:D2985"/>
    <mergeCell ref="A2986:B2986"/>
    <mergeCell ref="C2986:D2986"/>
    <mergeCell ref="A2978:B2978"/>
    <mergeCell ref="C2978:D2978"/>
    <mergeCell ref="A2979:B2979"/>
    <mergeCell ref="C2979:D2979"/>
    <mergeCell ref="A2980:B2980"/>
    <mergeCell ref="C2980:D2980"/>
    <mergeCell ref="C2973:D2973"/>
    <mergeCell ref="A2975:B2975"/>
    <mergeCell ref="C2975:D2975"/>
    <mergeCell ref="A2976:B2976"/>
    <mergeCell ref="C2976:D2976"/>
    <mergeCell ref="A2977:B2977"/>
    <mergeCell ref="C2977:D2977"/>
    <mergeCell ref="A2995:D2995"/>
    <mergeCell ref="A2996:D2996"/>
    <mergeCell ref="A2997:D2997"/>
    <mergeCell ref="A2998:D2998"/>
    <mergeCell ref="A2999:B2999"/>
    <mergeCell ref="C2999:D2999"/>
    <mergeCell ref="A2992:B2992"/>
    <mergeCell ref="C2992:D2992"/>
    <mergeCell ref="A2993:B2993"/>
    <mergeCell ref="C2993:D2993"/>
    <mergeCell ref="A2994:B2994"/>
    <mergeCell ref="C2994:D2994"/>
    <mergeCell ref="C2987:D2987"/>
    <mergeCell ref="A2989:B2989"/>
    <mergeCell ref="C2989:D2989"/>
    <mergeCell ref="A2990:B2990"/>
    <mergeCell ref="C2990:D2990"/>
    <mergeCell ref="A2991:B2991"/>
    <mergeCell ref="C2991:D2991"/>
    <mergeCell ref="A3008:D3008"/>
    <mergeCell ref="A3009:D3009"/>
    <mergeCell ref="A3010:D3010"/>
    <mergeCell ref="A3011:D3011"/>
    <mergeCell ref="A3012:D3012"/>
    <mergeCell ref="A3013:B3013"/>
    <mergeCell ref="C3013:D3013"/>
    <mergeCell ref="A3005:B3005"/>
    <mergeCell ref="C3005:D3005"/>
    <mergeCell ref="A3006:B3006"/>
    <mergeCell ref="C3006:D3006"/>
    <mergeCell ref="A3007:B3007"/>
    <mergeCell ref="C3007:D3007"/>
    <mergeCell ref="C3000:D3000"/>
    <mergeCell ref="A3002:B3002"/>
    <mergeCell ref="C3002:D3002"/>
    <mergeCell ref="A3003:B3003"/>
    <mergeCell ref="C3003:D3003"/>
    <mergeCell ref="A3004:B3004"/>
    <mergeCell ref="C3004:D3004"/>
    <mergeCell ref="A3025:D3025"/>
    <mergeCell ref="A3026:B3026"/>
    <mergeCell ref="C3026:D3026"/>
    <mergeCell ref="A3022:D3022"/>
    <mergeCell ref="A3023:D3023"/>
    <mergeCell ref="A3024:D3024"/>
    <mergeCell ref="A3019:B3019"/>
    <mergeCell ref="C3019:D3019"/>
    <mergeCell ref="A3020:B3020"/>
    <mergeCell ref="C3020:D3020"/>
    <mergeCell ref="A3021:B3021"/>
    <mergeCell ref="C3021:D3021"/>
    <mergeCell ref="C3014:D3014"/>
    <mergeCell ref="A3016:B3016"/>
    <mergeCell ref="C3016:D3016"/>
    <mergeCell ref="A3017:B3017"/>
    <mergeCell ref="C3017:D3017"/>
    <mergeCell ref="A3018:B3018"/>
    <mergeCell ref="C3018:D3018"/>
    <mergeCell ref="C3041:D3041"/>
    <mergeCell ref="A3043:B3043"/>
    <mergeCell ref="C3043:D3043"/>
    <mergeCell ref="A3035:D3035"/>
    <mergeCell ref="A3036:D3036"/>
    <mergeCell ref="A3037:D3037"/>
    <mergeCell ref="A3038:D3038"/>
    <mergeCell ref="A3039:D3039"/>
    <mergeCell ref="A3040:B3040"/>
    <mergeCell ref="C3040:D3040"/>
    <mergeCell ref="A3032:B3032"/>
    <mergeCell ref="C3032:D3032"/>
    <mergeCell ref="A3033:B3033"/>
    <mergeCell ref="C3033:D3033"/>
    <mergeCell ref="A3034:B3034"/>
    <mergeCell ref="C3034:D3034"/>
    <mergeCell ref="C3027:D3027"/>
    <mergeCell ref="A3029:B3029"/>
    <mergeCell ref="C3029:D3029"/>
    <mergeCell ref="A3030:B3030"/>
    <mergeCell ref="C3030:D3030"/>
    <mergeCell ref="A3031:B3031"/>
    <mergeCell ref="C3031:D3031"/>
    <mergeCell ref="A3050:D3050"/>
    <mergeCell ref="A3051:D3051"/>
    <mergeCell ref="C3068:D3068"/>
    <mergeCell ref="A3070:B3070"/>
    <mergeCell ref="C3070:D3070"/>
    <mergeCell ref="A3071:B3071"/>
    <mergeCell ref="C3071:D3071"/>
    <mergeCell ref="A3072:B3072"/>
    <mergeCell ref="C3072:D3072"/>
    <mergeCell ref="A3066:D3066"/>
    <mergeCell ref="A3067:B3067"/>
    <mergeCell ref="C3067:D3067"/>
    <mergeCell ref="C3054:D3054"/>
    <mergeCell ref="A3056:B3056"/>
    <mergeCell ref="C3056:D3056"/>
    <mergeCell ref="A3057:B3057"/>
    <mergeCell ref="C3057:D3057"/>
    <mergeCell ref="A3058:B3058"/>
    <mergeCell ref="C3058:D3058"/>
    <mergeCell ref="A3052:D3052"/>
    <mergeCell ref="A3053:B3053"/>
    <mergeCell ref="C3053:D3053"/>
    <mergeCell ref="A3062:D3062"/>
    <mergeCell ref="A3063:D3063"/>
    <mergeCell ref="A3064:D3064"/>
    <mergeCell ref="A3087:B3087"/>
    <mergeCell ref="C3087:D3087"/>
    <mergeCell ref="A3088:B3088"/>
    <mergeCell ref="C3088:D3088"/>
    <mergeCell ref="A3065:D3065"/>
    <mergeCell ref="A3059:B3059"/>
    <mergeCell ref="C3059:D3059"/>
    <mergeCell ref="A3060:B3060"/>
    <mergeCell ref="C3060:D3060"/>
    <mergeCell ref="A3061:B3061"/>
    <mergeCell ref="C3061:D3061"/>
    <mergeCell ref="C3081:D3081"/>
    <mergeCell ref="A3083:B3083"/>
    <mergeCell ref="C3083:D3083"/>
    <mergeCell ref="A3084:B3084"/>
    <mergeCell ref="C3084:D3084"/>
    <mergeCell ref="A3085:B3085"/>
    <mergeCell ref="C3085:D3085"/>
    <mergeCell ref="A3076:D3076"/>
    <mergeCell ref="A3077:D3077"/>
    <mergeCell ref="A3078:D3078"/>
    <mergeCell ref="A3079:D3079"/>
    <mergeCell ref="A3080:B3080"/>
    <mergeCell ref="C3080:D3080"/>
    <mergeCell ref="A3073:B3073"/>
    <mergeCell ref="C3073:D3073"/>
    <mergeCell ref="A3074:B3074"/>
    <mergeCell ref="C3074:D3074"/>
    <mergeCell ref="A3075:B3075"/>
    <mergeCell ref="C3075:D3075"/>
    <mergeCell ref="A3182:B3182"/>
    <mergeCell ref="C3182:D3182"/>
    <mergeCell ref="A3183:B3183"/>
    <mergeCell ref="C3183:D3183"/>
    <mergeCell ref="C3176:D3176"/>
    <mergeCell ref="A3178:B3178"/>
    <mergeCell ref="C3178:D3178"/>
    <mergeCell ref="A3179:B3179"/>
    <mergeCell ref="A3105:D3105"/>
    <mergeCell ref="A3106:D3106"/>
    <mergeCell ref="A3107:B3107"/>
    <mergeCell ref="C3107:D3107"/>
    <mergeCell ref="A3100:B3100"/>
    <mergeCell ref="C3100:D3100"/>
    <mergeCell ref="A3101:B3101"/>
    <mergeCell ref="C3101:D3101"/>
    <mergeCell ref="A3102:B3102"/>
    <mergeCell ref="C3102:D3102"/>
    <mergeCell ref="A3142:B3142"/>
    <mergeCell ref="C3142:D3142"/>
    <mergeCell ref="A3133:D3133"/>
    <mergeCell ref="A3134:B3134"/>
    <mergeCell ref="C3134:D3134"/>
    <mergeCell ref="C3135:D3135"/>
    <mergeCell ref="A3137:B3137"/>
    <mergeCell ref="A3154:B3154"/>
    <mergeCell ref="C3154:D3154"/>
    <mergeCell ref="A3155:B3155"/>
    <mergeCell ref="C3155:D3155"/>
    <mergeCell ref="A3156:B3156"/>
    <mergeCell ref="C3156:D3156"/>
    <mergeCell ref="C3149:D3149"/>
    <mergeCell ref="A3194:B3194"/>
    <mergeCell ref="C3194:D3194"/>
    <mergeCell ref="A3195:B3195"/>
    <mergeCell ref="C3195:D3195"/>
    <mergeCell ref="A3196:B3196"/>
    <mergeCell ref="C3196:D3196"/>
    <mergeCell ref="C3189:D3189"/>
    <mergeCell ref="A3191:B3191"/>
    <mergeCell ref="C3191:D3191"/>
    <mergeCell ref="A3192:B3192"/>
    <mergeCell ref="C3192:D3192"/>
    <mergeCell ref="A3193:B3193"/>
    <mergeCell ref="C3193:D3193"/>
    <mergeCell ref="A3187:D3187"/>
    <mergeCell ref="A3188:B3188"/>
    <mergeCell ref="C3188:D3188"/>
    <mergeCell ref="A3165:B3165"/>
    <mergeCell ref="C3165:D3165"/>
    <mergeCell ref="A3166:B3166"/>
    <mergeCell ref="C3166:D3166"/>
    <mergeCell ref="A3184:D3184"/>
    <mergeCell ref="A3185:D3185"/>
    <mergeCell ref="A3186:D3186"/>
    <mergeCell ref="A3180:B3180"/>
    <mergeCell ref="C3180:D3180"/>
    <mergeCell ref="A3170:D3170"/>
    <mergeCell ref="A3171:D3171"/>
    <mergeCell ref="A3172:D3172"/>
    <mergeCell ref="A3173:D3173"/>
    <mergeCell ref="A3174:D3174"/>
    <mergeCell ref="A3181:B3181"/>
    <mergeCell ref="C3181:D3181"/>
    <mergeCell ref="A3208:B3208"/>
    <mergeCell ref="C3208:D3208"/>
    <mergeCell ref="A3209:B3209"/>
    <mergeCell ref="C3209:D3209"/>
    <mergeCell ref="A3210:B3210"/>
    <mergeCell ref="C3210:D3210"/>
    <mergeCell ref="C3203:D3203"/>
    <mergeCell ref="A3205:B3205"/>
    <mergeCell ref="C3205:D3205"/>
    <mergeCell ref="A3206:B3206"/>
    <mergeCell ref="C3206:D3206"/>
    <mergeCell ref="A3207:B3207"/>
    <mergeCell ref="C3207:D3207"/>
    <mergeCell ref="A3197:D3197"/>
    <mergeCell ref="A3198:D3198"/>
    <mergeCell ref="A3199:D3199"/>
    <mergeCell ref="A3200:D3200"/>
    <mergeCell ref="A3201:D3201"/>
    <mergeCell ref="A3202:B3202"/>
    <mergeCell ref="C3202:D3202"/>
    <mergeCell ref="A3221:B3221"/>
    <mergeCell ref="C3221:D3221"/>
    <mergeCell ref="A3222:B3222"/>
    <mergeCell ref="C3222:D3222"/>
    <mergeCell ref="A3223:B3223"/>
    <mergeCell ref="C3223:D3223"/>
    <mergeCell ref="C3216:D3216"/>
    <mergeCell ref="A3218:B3218"/>
    <mergeCell ref="C3218:D3218"/>
    <mergeCell ref="A3219:B3219"/>
    <mergeCell ref="C3219:D3219"/>
    <mergeCell ref="A3220:B3220"/>
    <mergeCell ref="C3220:D3220"/>
    <mergeCell ref="A3211:D3211"/>
    <mergeCell ref="A3212:D3212"/>
    <mergeCell ref="A3213:D3213"/>
    <mergeCell ref="A3214:D3214"/>
    <mergeCell ref="A3215:B3215"/>
    <mergeCell ref="C3215:D3215"/>
    <mergeCell ref="A3235:B3235"/>
    <mergeCell ref="C3235:D3235"/>
    <mergeCell ref="A3236:B3236"/>
    <mergeCell ref="C3236:D3236"/>
    <mergeCell ref="A3237:B3237"/>
    <mergeCell ref="C3237:D3237"/>
    <mergeCell ref="C3230:D3230"/>
    <mergeCell ref="A3232:B3232"/>
    <mergeCell ref="C3232:D3232"/>
    <mergeCell ref="A3233:B3233"/>
    <mergeCell ref="C3233:D3233"/>
    <mergeCell ref="A3234:B3234"/>
    <mergeCell ref="C3234:D3234"/>
    <mergeCell ref="A3224:D3224"/>
    <mergeCell ref="A3225:D3225"/>
    <mergeCell ref="A3226:D3226"/>
    <mergeCell ref="A3227:D3227"/>
    <mergeCell ref="A3228:D3228"/>
    <mergeCell ref="A3229:B3229"/>
    <mergeCell ref="C3229:D3229"/>
    <mergeCell ref="A3248:B3248"/>
    <mergeCell ref="C3248:D3248"/>
    <mergeCell ref="A3249:B3249"/>
    <mergeCell ref="C3249:D3249"/>
    <mergeCell ref="A3250:B3250"/>
    <mergeCell ref="C3250:D3250"/>
    <mergeCell ref="C3243:D3243"/>
    <mergeCell ref="A3245:B3245"/>
    <mergeCell ref="C3245:D3245"/>
    <mergeCell ref="A3246:B3246"/>
    <mergeCell ref="C3246:D3246"/>
    <mergeCell ref="A3247:B3247"/>
    <mergeCell ref="C3247:D3247"/>
    <mergeCell ref="A3238:D3238"/>
    <mergeCell ref="A3239:D3239"/>
    <mergeCell ref="A3240:D3240"/>
    <mergeCell ref="A3241:D3241"/>
    <mergeCell ref="A3242:B3242"/>
    <mergeCell ref="C3242:D3242"/>
    <mergeCell ref="A3262:B3262"/>
    <mergeCell ref="C3262:D3262"/>
    <mergeCell ref="A3263:B3263"/>
    <mergeCell ref="C3263:D3263"/>
    <mergeCell ref="A3264:B3264"/>
    <mergeCell ref="C3264:D3264"/>
    <mergeCell ref="C3257:D3257"/>
    <mergeCell ref="A3259:B3259"/>
    <mergeCell ref="C3259:D3259"/>
    <mergeCell ref="A3260:B3260"/>
    <mergeCell ref="C3260:D3260"/>
    <mergeCell ref="A3261:B3261"/>
    <mergeCell ref="C3261:D3261"/>
    <mergeCell ref="A3251:D3251"/>
    <mergeCell ref="A3252:D3252"/>
    <mergeCell ref="A3253:D3253"/>
    <mergeCell ref="A3254:D3254"/>
    <mergeCell ref="A3255:D3255"/>
    <mergeCell ref="A3256:B3256"/>
    <mergeCell ref="C3256:D3256"/>
    <mergeCell ref="A3275:B3275"/>
    <mergeCell ref="C3275:D3275"/>
    <mergeCell ref="A3276:B3276"/>
    <mergeCell ref="C3276:D3276"/>
    <mergeCell ref="A3277:B3277"/>
    <mergeCell ref="C3277:D3277"/>
    <mergeCell ref="C3270:D3270"/>
    <mergeCell ref="A3272:B3272"/>
    <mergeCell ref="C3272:D3272"/>
    <mergeCell ref="A3273:B3273"/>
    <mergeCell ref="C3273:D3273"/>
    <mergeCell ref="A3274:B3274"/>
    <mergeCell ref="C3274:D3274"/>
    <mergeCell ref="A3265:D3265"/>
    <mergeCell ref="A3266:D3266"/>
    <mergeCell ref="A3267:D3267"/>
    <mergeCell ref="A3268:D3268"/>
    <mergeCell ref="A3269:B3269"/>
    <mergeCell ref="C3269:D3269"/>
    <mergeCell ref="A3289:B3289"/>
    <mergeCell ref="C3289:D3289"/>
    <mergeCell ref="A3290:B3290"/>
    <mergeCell ref="C3290:D3290"/>
    <mergeCell ref="A3291:B3291"/>
    <mergeCell ref="C3291:D3291"/>
    <mergeCell ref="C3284:D3284"/>
    <mergeCell ref="A3286:B3286"/>
    <mergeCell ref="C3286:D3286"/>
    <mergeCell ref="A3287:B3287"/>
    <mergeCell ref="C3287:D3287"/>
    <mergeCell ref="A3288:B3288"/>
    <mergeCell ref="C3288:D3288"/>
    <mergeCell ref="A3278:D3278"/>
    <mergeCell ref="A3279:D3279"/>
    <mergeCell ref="A3280:D3280"/>
    <mergeCell ref="A3281:D3281"/>
    <mergeCell ref="A3282:D3282"/>
    <mergeCell ref="A3283:B3283"/>
    <mergeCell ref="C3283:D3283"/>
    <mergeCell ref="A3302:B3302"/>
    <mergeCell ref="C3302:D3302"/>
    <mergeCell ref="A3303:B3303"/>
    <mergeCell ref="C3303:D3303"/>
    <mergeCell ref="A3304:B3304"/>
    <mergeCell ref="C3304:D3304"/>
    <mergeCell ref="C3297:D3297"/>
    <mergeCell ref="A3299:B3299"/>
    <mergeCell ref="C3299:D3299"/>
    <mergeCell ref="A3300:B3300"/>
    <mergeCell ref="C3300:D3300"/>
    <mergeCell ref="A3301:B3301"/>
    <mergeCell ref="C3301:D3301"/>
    <mergeCell ref="A3292:D3292"/>
    <mergeCell ref="A3293:D3293"/>
    <mergeCell ref="A3294:D3294"/>
    <mergeCell ref="A3295:D3295"/>
    <mergeCell ref="A3296:B3296"/>
    <mergeCell ref="C3296:D3296"/>
    <mergeCell ref="A3316:B3316"/>
    <mergeCell ref="C3316:D3316"/>
    <mergeCell ref="A3317:B3317"/>
    <mergeCell ref="C3317:D3317"/>
    <mergeCell ref="A3318:B3318"/>
    <mergeCell ref="C3318:D3318"/>
    <mergeCell ref="C3311:D3311"/>
    <mergeCell ref="A3313:B3313"/>
    <mergeCell ref="C3313:D3313"/>
    <mergeCell ref="A3314:B3314"/>
    <mergeCell ref="C3314:D3314"/>
    <mergeCell ref="A3315:B3315"/>
    <mergeCell ref="C3315:D3315"/>
    <mergeCell ref="A3305:D3305"/>
    <mergeCell ref="A3306:D3306"/>
    <mergeCell ref="A3307:D3307"/>
    <mergeCell ref="A3308:D3308"/>
    <mergeCell ref="A3309:D3309"/>
    <mergeCell ref="A3310:B3310"/>
    <mergeCell ref="C3310:D3310"/>
    <mergeCell ref="A3329:B3329"/>
    <mergeCell ref="C3329:D3329"/>
    <mergeCell ref="A3330:B3330"/>
    <mergeCell ref="C3330:D3330"/>
    <mergeCell ref="A3331:B3331"/>
    <mergeCell ref="C3331:D3331"/>
    <mergeCell ref="C3324:D3324"/>
    <mergeCell ref="A3326:B3326"/>
    <mergeCell ref="C3326:D3326"/>
    <mergeCell ref="A3327:B3327"/>
    <mergeCell ref="C3327:D3327"/>
    <mergeCell ref="A3328:B3328"/>
    <mergeCell ref="C3328:D3328"/>
    <mergeCell ref="A3319:D3319"/>
    <mergeCell ref="A3320:D3320"/>
    <mergeCell ref="A3321:D3321"/>
    <mergeCell ref="A3322:D3322"/>
    <mergeCell ref="A3323:B3323"/>
    <mergeCell ref="C3323:D3323"/>
    <mergeCell ref="A3343:B3343"/>
    <mergeCell ref="C3343:D3343"/>
    <mergeCell ref="A3344:B3344"/>
    <mergeCell ref="C3344:D3344"/>
    <mergeCell ref="A3345:B3345"/>
    <mergeCell ref="C3345:D3345"/>
    <mergeCell ref="C3338:D3338"/>
    <mergeCell ref="A3340:B3340"/>
    <mergeCell ref="C3340:D3340"/>
    <mergeCell ref="A3341:B3341"/>
    <mergeCell ref="C3341:D3341"/>
    <mergeCell ref="A3342:B3342"/>
    <mergeCell ref="C3342:D3342"/>
    <mergeCell ref="A3332:D3332"/>
    <mergeCell ref="A3333:D3333"/>
    <mergeCell ref="A3334:D3334"/>
    <mergeCell ref="A3335:D3335"/>
    <mergeCell ref="A3336:D3336"/>
    <mergeCell ref="A3337:B3337"/>
    <mergeCell ref="C3337:D3337"/>
    <mergeCell ref="A3356:B3356"/>
    <mergeCell ref="C3356:D3356"/>
    <mergeCell ref="A3357:B3357"/>
    <mergeCell ref="C3357:D3357"/>
    <mergeCell ref="A3358:B3358"/>
    <mergeCell ref="C3358:D3358"/>
    <mergeCell ref="C3351:D3351"/>
    <mergeCell ref="A3353:B3353"/>
    <mergeCell ref="C3353:D3353"/>
    <mergeCell ref="A3354:B3354"/>
    <mergeCell ref="C3354:D3354"/>
    <mergeCell ref="A3355:B3355"/>
    <mergeCell ref="C3355:D3355"/>
    <mergeCell ref="A3346:D3346"/>
    <mergeCell ref="A3347:D3347"/>
    <mergeCell ref="A3348:D3348"/>
    <mergeCell ref="A3349:D3349"/>
    <mergeCell ref="A3350:B3350"/>
    <mergeCell ref="C3350:D3350"/>
    <mergeCell ref="A3370:B3370"/>
    <mergeCell ref="C3370:D3370"/>
    <mergeCell ref="A3371:B3371"/>
    <mergeCell ref="C3371:D3371"/>
    <mergeCell ref="A3372:B3372"/>
    <mergeCell ref="C3372:D3372"/>
    <mergeCell ref="C3365:D3365"/>
    <mergeCell ref="A3367:B3367"/>
    <mergeCell ref="C3367:D3367"/>
    <mergeCell ref="A3368:B3368"/>
    <mergeCell ref="C3368:D3368"/>
    <mergeCell ref="A3369:B3369"/>
    <mergeCell ref="C3369:D3369"/>
    <mergeCell ref="A3359:D3359"/>
    <mergeCell ref="A3360:D3360"/>
    <mergeCell ref="A3361:D3361"/>
    <mergeCell ref="A3362:D3362"/>
    <mergeCell ref="A3363:D3363"/>
    <mergeCell ref="A3364:B3364"/>
    <mergeCell ref="C3364:D3364"/>
    <mergeCell ref="A3383:B3383"/>
    <mergeCell ref="C3383:D3383"/>
    <mergeCell ref="A3384:B3384"/>
    <mergeCell ref="C3384:D3384"/>
    <mergeCell ref="A3385:B3385"/>
    <mergeCell ref="C3385:D3385"/>
    <mergeCell ref="C3378:D3378"/>
    <mergeCell ref="A3380:B3380"/>
    <mergeCell ref="C3380:D3380"/>
    <mergeCell ref="A3381:B3381"/>
    <mergeCell ref="C3381:D3381"/>
    <mergeCell ref="A3382:B3382"/>
    <mergeCell ref="C3382:D3382"/>
    <mergeCell ref="A3373:D3373"/>
    <mergeCell ref="A3374:D3374"/>
    <mergeCell ref="A3375:D3375"/>
    <mergeCell ref="A3376:D3376"/>
    <mergeCell ref="A3377:B3377"/>
    <mergeCell ref="C3377:D3377"/>
    <mergeCell ref="A3397:B3397"/>
    <mergeCell ref="C3397:D3397"/>
    <mergeCell ref="A3398:B3398"/>
    <mergeCell ref="C3398:D3398"/>
    <mergeCell ref="A3399:B3399"/>
    <mergeCell ref="C3399:D3399"/>
    <mergeCell ref="C3392:D3392"/>
    <mergeCell ref="A3394:B3394"/>
    <mergeCell ref="C3394:D3394"/>
    <mergeCell ref="A3395:B3395"/>
    <mergeCell ref="C3395:D3395"/>
    <mergeCell ref="A3396:B3396"/>
    <mergeCell ref="C3396:D3396"/>
    <mergeCell ref="A3386:D3386"/>
    <mergeCell ref="A3387:D3387"/>
    <mergeCell ref="A3388:D3388"/>
    <mergeCell ref="A3389:D3389"/>
    <mergeCell ref="A3390:D3390"/>
    <mergeCell ref="A3391:B3391"/>
    <mergeCell ref="C3391:D3391"/>
    <mergeCell ref="A3410:B3410"/>
    <mergeCell ref="C3410:D3410"/>
    <mergeCell ref="A3411:B3411"/>
    <mergeCell ref="C3411:D3411"/>
    <mergeCell ref="A3412:B3412"/>
    <mergeCell ref="C3412:D3412"/>
    <mergeCell ref="C3405:D3405"/>
    <mergeCell ref="A3407:B3407"/>
    <mergeCell ref="C3407:D3407"/>
    <mergeCell ref="A3408:B3408"/>
    <mergeCell ref="C3408:D3408"/>
    <mergeCell ref="A3409:B3409"/>
    <mergeCell ref="C3409:D3409"/>
    <mergeCell ref="A3400:D3400"/>
    <mergeCell ref="A3401:D3401"/>
    <mergeCell ref="A3402:D3402"/>
    <mergeCell ref="A3403:D3403"/>
    <mergeCell ref="A3404:B3404"/>
    <mergeCell ref="C3404:D3404"/>
    <mergeCell ref="A3424:B3424"/>
    <mergeCell ref="C3424:D3424"/>
    <mergeCell ref="A3425:B3425"/>
    <mergeCell ref="C3425:D3425"/>
    <mergeCell ref="A3426:B3426"/>
    <mergeCell ref="C3426:D3426"/>
    <mergeCell ref="C3419:D3419"/>
    <mergeCell ref="A3421:B3421"/>
    <mergeCell ref="C3421:D3421"/>
    <mergeCell ref="A3422:B3422"/>
    <mergeCell ref="C3422:D3422"/>
    <mergeCell ref="A3423:B3423"/>
    <mergeCell ref="C3423:D3423"/>
    <mergeCell ref="A3413:D3413"/>
    <mergeCell ref="A3414:D3414"/>
    <mergeCell ref="A3415:D3415"/>
    <mergeCell ref="A3416:D3416"/>
    <mergeCell ref="A3417:D3417"/>
    <mergeCell ref="A3418:B3418"/>
    <mergeCell ref="C3418:D3418"/>
    <mergeCell ref="A3437:B3437"/>
    <mergeCell ref="C3437:D3437"/>
    <mergeCell ref="A3438:B3438"/>
    <mergeCell ref="C3438:D3438"/>
    <mergeCell ref="A3439:B3439"/>
    <mergeCell ref="C3439:D3439"/>
    <mergeCell ref="C3432:D3432"/>
    <mergeCell ref="A3434:B3434"/>
    <mergeCell ref="C3434:D3434"/>
    <mergeCell ref="A3435:B3435"/>
    <mergeCell ref="C3435:D3435"/>
    <mergeCell ref="A3436:B3436"/>
    <mergeCell ref="C3436:D3436"/>
    <mergeCell ref="A3427:D3427"/>
    <mergeCell ref="A3428:D3428"/>
    <mergeCell ref="A3429:D3429"/>
    <mergeCell ref="A3430:D3430"/>
    <mergeCell ref="A3431:B3431"/>
    <mergeCell ref="C3431:D3431"/>
    <mergeCell ref="A3451:B3451"/>
    <mergeCell ref="C3451:D3451"/>
    <mergeCell ref="A3452:B3452"/>
    <mergeCell ref="C3452:D3452"/>
    <mergeCell ref="A3453:B3453"/>
    <mergeCell ref="C3453:D3453"/>
    <mergeCell ref="C3446:D3446"/>
    <mergeCell ref="A3448:B3448"/>
    <mergeCell ref="C3448:D3448"/>
    <mergeCell ref="A3449:B3449"/>
    <mergeCell ref="C3449:D3449"/>
    <mergeCell ref="A3450:B3450"/>
    <mergeCell ref="C3450:D3450"/>
    <mergeCell ref="A3440:D3440"/>
    <mergeCell ref="A3441:D3441"/>
    <mergeCell ref="A3442:D3442"/>
    <mergeCell ref="A3443:D3443"/>
    <mergeCell ref="A3444:D3444"/>
    <mergeCell ref="A3445:B3445"/>
    <mergeCell ref="C3445:D3445"/>
    <mergeCell ref="A3464:B3464"/>
    <mergeCell ref="C3464:D3464"/>
    <mergeCell ref="A3465:B3465"/>
    <mergeCell ref="C3465:D3465"/>
    <mergeCell ref="A3466:B3466"/>
    <mergeCell ref="C3466:D3466"/>
    <mergeCell ref="C3459:D3459"/>
    <mergeCell ref="A3461:B3461"/>
    <mergeCell ref="C3461:D3461"/>
    <mergeCell ref="A3462:B3462"/>
    <mergeCell ref="C3462:D3462"/>
    <mergeCell ref="A3463:B3463"/>
    <mergeCell ref="C3463:D3463"/>
    <mergeCell ref="A3454:D3454"/>
    <mergeCell ref="A3455:D3455"/>
    <mergeCell ref="A3456:D3456"/>
    <mergeCell ref="A3457:D3457"/>
    <mergeCell ref="A3458:B3458"/>
    <mergeCell ref="C3458:D3458"/>
    <mergeCell ref="A3478:B3478"/>
    <mergeCell ref="C3478:D3478"/>
    <mergeCell ref="A3479:B3479"/>
    <mergeCell ref="C3479:D3479"/>
    <mergeCell ref="A3480:B3480"/>
    <mergeCell ref="C3480:D3480"/>
    <mergeCell ref="C3473:D3473"/>
    <mergeCell ref="A3475:B3475"/>
    <mergeCell ref="C3475:D3475"/>
    <mergeCell ref="A3476:B3476"/>
    <mergeCell ref="C3476:D3476"/>
    <mergeCell ref="A3477:B3477"/>
    <mergeCell ref="C3477:D3477"/>
    <mergeCell ref="A3467:D3467"/>
    <mergeCell ref="A3468:D3468"/>
    <mergeCell ref="A3469:D3469"/>
    <mergeCell ref="A3470:D3470"/>
    <mergeCell ref="A3471:D3471"/>
    <mergeCell ref="A3472:B3472"/>
    <mergeCell ref="C3472:D3472"/>
    <mergeCell ref="A3491:B3491"/>
    <mergeCell ref="C3491:D3491"/>
    <mergeCell ref="A3492:B3492"/>
    <mergeCell ref="C3492:D3492"/>
    <mergeCell ref="A3493:B3493"/>
    <mergeCell ref="C3493:D3493"/>
    <mergeCell ref="C3486:D3486"/>
    <mergeCell ref="A3488:B3488"/>
    <mergeCell ref="C3488:D3488"/>
    <mergeCell ref="A3489:B3489"/>
    <mergeCell ref="C3489:D3489"/>
    <mergeCell ref="A3490:B3490"/>
    <mergeCell ref="C3490:D3490"/>
    <mergeCell ref="A3484:D3484"/>
    <mergeCell ref="A3485:B3485"/>
    <mergeCell ref="C3485:D3485"/>
    <mergeCell ref="A3481:D3481"/>
    <mergeCell ref="A3482:D3482"/>
    <mergeCell ref="A3483:D3483"/>
    <mergeCell ref="A3505:B3505"/>
    <mergeCell ref="C3505:D3505"/>
    <mergeCell ref="A3506:B3506"/>
    <mergeCell ref="C3506:D3506"/>
    <mergeCell ref="A3507:B3507"/>
    <mergeCell ref="C3507:D3507"/>
    <mergeCell ref="C3500:D3500"/>
    <mergeCell ref="A3502:B3502"/>
    <mergeCell ref="C3502:D3502"/>
    <mergeCell ref="A3503:B3503"/>
    <mergeCell ref="C3503:D3503"/>
    <mergeCell ref="A3504:B3504"/>
    <mergeCell ref="C3504:D3504"/>
    <mergeCell ref="A3494:D3494"/>
    <mergeCell ref="A3495:D3495"/>
    <mergeCell ref="A3496:D3496"/>
    <mergeCell ref="A3497:D3497"/>
    <mergeCell ref="A3498:D3498"/>
    <mergeCell ref="A3499:B3499"/>
    <mergeCell ref="C3499:D3499"/>
    <mergeCell ref="A3518:B3518"/>
    <mergeCell ref="C3518:D3518"/>
    <mergeCell ref="A3519:B3519"/>
    <mergeCell ref="C3519:D3519"/>
    <mergeCell ref="A3520:B3520"/>
    <mergeCell ref="C3520:D3520"/>
    <mergeCell ref="C3513:D3513"/>
    <mergeCell ref="A3515:B3515"/>
    <mergeCell ref="C3515:D3515"/>
    <mergeCell ref="A3516:B3516"/>
    <mergeCell ref="C3516:D3516"/>
    <mergeCell ref="A3517:B3517"/>
    <mergeCell ref="C3517:D3517"/>
    <mergeCell ref="A3508:D3508"/>
    <mergeCell ref="A3509:D3509"/>
    <mergeCell ref="A3510:D3510"/>
    <mergeCell ref="A3511:D3511"/>
    <mergeCell ref="A3512:B3512"/>
    <mergeCell ref="C3512:D3512"/>
    <mergeCell ref="A3532:B3532"/>
    <mergeCell ref="C3532:D3532"/>
    <mergeCell ref="A3533:B3533"/>
    <mergeCell ref="C3533:D3533"/>
    <mergeCell ref="A3534:B3534"/>
    <mergeCell ref="C3534:D3534"/>
    <mergeCell ref="C3527:D3527"/>
    <mergeCell ref="A3529:B3529"/>
    <mergeCell ref="C3529:D3529"/>
    <mergeCell ref="A3530:B3530"/>
    <mergeCell ref="C3530:D3530"/>
    <mergeCell ref="A3531:B3531"/>
    <mergeCell ref="C3531:D3531"/>
    <mergeCell ref="A3521:D3521"/>
    <mergeCell ref="A3522:D3522"/>
    <mergeCell ref="A3523:D3523"/>
    <mergeCell ref="A3524:D3524"/>
    <mergeCell ref="A3525:D3525"/>
    <mergeCell ref="A3526:B3526"/>
    <mergeCell ref="C3526:D3526"/>
    <mergeCell ref="A3545:B3545"/>
    <mergeCell ref="C3545:D3545"/>
    <mergeCell ref="A3546:B3546"/>
    <mergeCell ref="C3546:D3546"/>
    <mergeCell ref="A3547:B3547"/>
    <mergeCell ref="C3547:D3547"/>
    <mergeCell ref="C3540:D3540"/>
    <mergeCell ref="A3542:B3542"/>
    <mergeCell ref="C3542:D3542"/>
    <mergeCell ref="A3543:B3543"/>
    <mergeCell ref="C3543:D3543"/>
    <mergeCell ref="A3544:B3544"/>
    <mergeCell ref="C3544:D3544"/>
    <mergeCell ref="A3535:D3535"/>
    <mergeCell ref="A3536:D3536"/>
    <mergeCell ref="A3537:D3537"/>
    <mergeCell ref="A3538:D3538"/>
    <mergeCell ref="A3539:B3539"/>
    <mergeCell ref="C3539:D3539"/>
    <mergeCell ref="A3559:B3559"/>
    <mergeCell ref="C3559:D3559"/>
    <mergeCell ref="A3560:B3560"/>
    <mergeCell ref="C3560:D3560"/>
    <mergeCell ref="A3561:B3561"/>
    <mergeCell ref="C3561:D3561"/>
    <mergeCell ref="C3554:D3554"/>
    <mergeCell ref="A3556:B3556"/>
    <mergeCell ref="C3556:D3556"/>
    <mergeCell ref="A3557:B3557"/>
    <mergeCell ref="C3557:D3557"/>
    <mergeCell ref="A3558:B3558"/>
    <mergeCell ref="C3558:D3558"/>
    <mergeCell ref="A3548:D3548"/>
    <mergeCell ref="A3549:D3549"/>
    <mergeCell ref="A3550:D3550"/>
    <mergeCell ref="A3551:D3551"/>
    <mergeCell ref="A3552:D3552"/>
    <mergeCell ref="A3553:B3553"/>
    <mergeCell ref="C3553:D3553"/>
    <mergeCell ref="A3572:B3572"/>
    <mergeCell ref="C3572:D3572"/>
    <mergeCell ref="A3573:B3573"/>
    <mergeCell ref="C3573:D3573"/>
    <mergeCell ref="A3574:B3574"/>
    <mergeCell ref="C3574:D3574"/>
    <mergeCell ref="C3567:D3567"/>
    <mergeCell ref="A3569:B3569"/>
    <mergeCell ref="C3569:D3569"/>
    <mergeCell ref="A3570:B3570"/>
    <mergeCell ref="C3570:D3570"/>
    <mergeCell ref="A3571:B3571"/>
    <mergeCell ref="C3571:D3571"/>
    <mergeCell ref="A3562:D3562"/>
    <mergeCell ref="A3563:D3563"/>
    <mergeCell ref="A3564:D3564"/>
    <mergeCell ref="A3565:D3565"/>
    <mergeCell ref="A3566:B3566"/>
    <mergeCell ref="C3566:D3566"/>
    <mergeCell ref="A3586:B3586"/>
    <mergeCell ref="C3586:D3586"/>
    <mergeCell ref="A3587:B3587"/>
    <mergeCell ref="C3587:D3587"/>
    <mergeCell ref="A3588:B3588"/>
    <mergeCell ref="C3588:D3588"/>
    <mergeCell ref="C3581:D3581"/>
    <mergeCell ref="A3583:B3583"/>
    <mergeCell ref="C3583:D3583"/>
    <mergeCell ref="A3584:B3584"/>
    <mergeCell ref="C3584:D3584"/>
    <mergeCell ref="A3585:B3585"/>
    <mergeCell ref="C3585:D3585"/>
    <mergeCell ref="A3575:D3575"/>
    <mergeCell ref="A3576:D3576"/>
    <mergeCell ref="A3577:D3577"/>
    <mergeCell ref="A3578:D3578"/>
    <mergeCell ref="A3579:D3579"/>
    <mergeCell ref="A3580:B3580"/>
    <mergeCell ref="C3580:D3580"/>
    <mergeCell ref="A3599:B3599"/>
    <mergeCell ref="C3599:D3599"/>
    <mergeCell ref="A3600:B3600"/>
    <mergeCell ref="C3600:D3600"/>
    <mergeCell ref="A3601:B3601"/>
    <mergeCell ref="C3601:D3601"/>
    <mergeCell ref="C3594:D3594"/>
    <mergeCell ref="A3596:B3596"/>
    <mergeCell ref="C3596:D3596"/>
    <mergeCell ref="A3597:B3597"/>
    <mergeCell ref="C3597:D3597"/>
    <mergeCell ref="A3598:B3598"/>
    <mergeCell ref="C3598:D3598"/>
    <mergeCell ref="A3589:D3589"/>
    <mergeCell ref="A3590:D3590"/>
    <mergeCell ref="A3591:D3591"/>
    <mergeCell ref="A3592:D3592"/>
    <mergeCell ref="A3593:B3593"/>
    <mergeCell ref="C3593:D3593"/>
    <mergeCell ref="A3613:B3613"/>
    <mergeCell ref="C3613:D3613"/>
    <mergeCell ref="A3614:B3614"/>
    <mergeCell ref="C3614:D3614"/>
    <mergeCell ref="A3615:B3615"/>
    <mergeCell ref="C3615:D3615"/>
    <mergeCell ref="C3608:D3608"/>
    <mergeCell ref="A3610:B3610"/>
    <mergeCell ref="C3610:D3610"/>
    <mergeCell ref="A3611:B3611"/>
    <mergeCell ref="C3611:D3611"/>
    <mergeCell ref="A3612:B3612"/>
    <mergeCell ref="C3612:D3612"/>
    <mergeCell ref="A3602:D3602"/>
    <mergeCell ref="A3603:D3603"/>
    <mergeCell ref="A3604:D3604"/>
    <mergeCell ref="A3605:D3605"/>
    <mergeCell ref="A3606:D3606"/>
    <mergeCell ref="A3607:B3607"/>
    <mergeCell ref="C3607:D3607"/>
    <mergeCell ref="A3626:B3626"/>
    <mergeCell ref="C3626:D3626"/>
    <mergeCell ref="A3627:B3627"/>
    <mergeCell ref="C3627:D3627"/>
    <mergeCell ref="A3628:B3628"/>
    <mergeCell ref="C3628:D3628"/>
    <mergeCell ref="C3621:D3621"/>
    <mergeCell ref="A3623:B3623"/>
    <mergeCell ref="C3623:D3623"/>
    <mergeCell ref="A3624:B3624"/>
    <mergeCell ref="C3624:D3624"/>
    <mergeCell ref="A3625:B3625"/>
    <mergeCell ref="C3625:D3625"/>
    <mergeCell ref="A3616:D3616"/>
    <mergeCell ref="A3617:D3617"/>
    <mergeCell ref="A3618:D3618"/>
    <mergeCell ref="A3619:D3619"/>
    <mergeCell ref="A3620:B3620"/>
    <mergeCell ref="C3620:D3620"/>
    <mergeCell ref="A3640:B3640"/>
    <mergeCell ref="C3640:D3640"/>
    <mergeCell ref="A3641:B3641"/>
    <mergeCell ref="C3641:D3641"/>
    <mergeCell ref="A3642:B3642"/>
    <mergeCell ref="C3642:D3642"/>
    <mergeCell ref="C3635:D3635"/>
    <mergeCell ref="A3637:B3637"/>
    <mergeCell ref="C3637:D3637"/>
    <mergeCell ref="A3638:B3638"/>
    <mergeCell ref="C3638:D3638"/>
    <mergeCell ref="A3639:B3639"/>
    <mergeCell ref="C3639:D3639"/>
    <mergeCell ref="A3629:D3629"/>
    <mergeCell ref="A3630:D3630"/>
    <mergeCell ref="A3631:D3631"/>
    <mergeCell ref="A3632:D3632"/>
    <mergeCell ref="A3633:D3633"/>
    <mergeCell ref="A3634:B3634"/>
    <mergeCell ref="C3634:D3634"/>
    <mergeCell ref="A3653:B3653"/>
    <mergeCell ref="C3653:D3653"/>
    <mergeCell ref="A3654:B3654"/>
    <mergeCell ref="C3654:D3654"/>
    <mergeCell ref="A3655:B3655"/>
    <mergeCell ref="C3655:D3655"/>
    <mergeCell ref="C3648:D3648"/>
    <mergeCell ref="A3650:B3650"/>
    <mergeCell ref="C3650:D3650"/>
    <mergeCell ref="A3651:B3651"/>
    <mergeCell ref="C3651:D3651"/>
    <mergeCell ref="A3652:B3652"/>
    <mergeCell ref="C3652:D3652"/>
    <mergeCell ref="A3643:D3643"/>
    <mergeCell ref="A3644:D3644"/>
    <mergeCell ref="A3645:D3645"/>
    <mergeCell ref="A3646:D3646"/>
    <mergeCell ref="A3647:B3647"/>
    <mergeCell ref="C3647:D3647"/>
    <mergeCell ref="A3667:B3667"/>
    <mergeCell ref="C3667:D3667"/>
    <mergeCell ref="A3668:B3668"/>
    <mergeCell ref="C3668:D3668"/>
    <mergeCell ref="A3669:B3669"/>
    <mergeCell ref="C3669:D3669"/>
    <mergeCell ref="C3662:D3662"/>
    <mergeCell ref="A3664:B3664"/>
    <mergeCell ref="C3664:D3664"/>
    <mergeCell ref="A3665:B3665"/>
    <mergeCell ref="C3665:D3665"/>
    <mergeCell ref="A3666:B3666"/>
    <mergeCell ref="C3666:D3666"/>
    <mergeCell ref="A3656:D3656"/>
    <mergeCell ref="A3657:D3657"/>
    <mergeCell ref="A3658:D3658"/>
    <mergeCell ref="A3659:D3659"/>
    <mergeCell ref="A3660:D3660"/>
    <mergeCell ref="A3661:B3661"/>
    <mergeCell ref="C3661:D3661"/>
    <mergeCell ref="A3680:B3680"/>
    <mergeCell ref="C3680:D3680"/>
    <mergeCell ref="A3681:B3681"/>
    <mergeCell ref="C3681:D3681"/>
    <mergeCell ref="A3682:B3682"/>
    <mergeCell ref="C3682:D3682"/>
    <mergeCell ref="C3675:D3675"/>
    <mergeCell ref="A3677:B3677"/>
    <mergeCell ref="C3677:D3677"/>
    <mergeCell ref="A3678:B3678"/>
    <mergeCell ref="C3678:D3678"/>
    <mergeCell ref="A3679:B3679"/>
    <mergeCell ref="C3679:D3679"/>
    <mergeCell ref="A3670:D3670"/>
    <mergeCell ref="A3671:D3671"/>
    <mergeCell ref="A3672:D3672"/>
    <mergeCell ref="A3673:D3673"/>
    <mergeCell ref="A3674:B3674"/>
    <mergeCell ref="C3674:D3674"/>
    <mergeCell ref="A3694:B3694"/>
    <mergeCell ref="C3694:D3694"/>
    <mergeCell ref="A3695:B3695"/>
    <mergeCell ref="C3695:D3695"/>
    <mergeCell ref="A3696:B3696"/>
    <mergeCell ref="C3696:D3696"/>
    <mergeCell ref="C3689:D3689"/>
    <mergeCell ref="A3691:B3691"/>
    <mergeCell ref="C3691:D3691"/>
    <mergeCell ref="A3692:B3692"/>
    <mergeCell ref="C3692:D3692"/>
    <mergeCell ref="A3693:B3693"/>
    <mergeCell ref="C3693:D3693"/>
    <mergeCell ref="A3683:D3683"/>
    <mergeCell ref="A3684:D3684"/>
    <mergeCell ref="A3685:D3685"/>
    <mergeCell ref="A3686:D3686"/>
    <mergeCell ref="A3687:D3687"/>
    <mergeCell ref="A3688:B3688"/>
    <mergeCell ref="C3688:D3688"/>
    <mergeCell ref="A3707:B3707"/>
    <mergeCell ref="C3707:D3707"/>
    <mergeCell ref="A3708:B3708"/>
    <mergeCell ref="C3708:D3708"/>
    <mergeCell ref="A3709:B3709"/>
    <mergeCell ref="C3709:D3709"/>
    <mergeCell ref="C3702:D3702"/>
    <mergeCell ref="A3704:B3704"/>
    <mergeCell ref="C3704:D3704"/>
    <mergeCell ref="A3705:B3705"/>
    <mergeCell ref="C3705:D3705"/>
    <mergeCell ref="A3706:B3706"/>
    <mergeCell ref="C3706:D3706"/>
    <mergeCell ref="A3697:D3697"/>
    <mergeCell ref="A3698:D3698"/>
    <mergeCell ref="A3699:D3699"/>
    <mergeCell ref="A3700:D3700"/>
    <mergeCell ref="A3701:B3701"/>
    <mergeCell ref="C3701:D3701"/>
    <mergeCell ref="A3721:B3721"/>
    <mergeCell ref="C3721:D3721"/>
    <mergeCell ref="A3722:B3722"/>
    <mergeCell ref="C3722:D3722"/>
    <mergeCell ref="A3723:B3723"/>
    <mergeCell ref="C3723:D3723"/>
    <mergeCell ref="C3716:D3716"/>
    <mergeCell ref="A3718:B3718"/>
    <mergeCell ref="C3718:D3718"/>
    <mergeCell ref="A3719:B3719"/>
    <mergeCell ref="C3719:D3719"/>
    <mergeCell ref="A3720:B3720"/>
    <mergeCell ref="C3720:D3720"/>
    <mergeCell ref="A3710:D3710"/>
    <mergeCell ref="A3711:D3711"/>
    <mergeCell ref="A3712:D3712"/>
    <mergeCell ref="A3713:D3713"/>
    <mergeCell ref="A3714:D3714"/>
    <mergeCell ref="A3715:B3715"/>
    <mergeCell ref="C3715:D3715"/>
    <mergeCell ref="A3734:B3734"/>
    <mergeCell ref="C3734:D3734"/>
    <mergeCell ref="A3735:B3735"/>
    <mergeCell ref="C3735:D3735"/>
    <mergeCell ref="A3736:B3736"/>
    <mergeCell ref="C3736:D3736"/>
    <mergeCell ref="C3729:D3729"/>
    <mergeCell ref="A3731:B3731"/>
    <mergeCell ref="C3731:D3731"/>
    <mergeCell ref="A3732:B3732"/>
    <mergeCell ref="C3732:D3732"/>
    <mergeCell ref="A3733:B3733"/>
    <mergeCell ref="C3733:D3733"/>
    <mergeCell ref="A3724:D3724"/>
    <mergeCell ref="A3725:D3725"/>
    <mergeCell ref="A3726:D3726"/>
    <mergeCell ref="A3727:D3727"/>
    <mergeCell ref="A3728:B3728"/>
    <mergeCell ref="C3728:D3728"/>
    <mergeCell ref="A3748:B3748"/>
    <mergeCell ref="C3748:D3748"/>
    <mergeCell ref="A3749:B3749"/>
    <mergeCell ref="C3749:D3749"/>
    <mergeCell ref="A3750:B3750"/>
    <mergeCell ref="C3750:D3750"/>
    <mergeCell ref="C3743:D3743"/>
    <mergeCell ref="A3745:B3745"/>
    <mergeCell ref="C3745:D3745"/>
    <mergeCell ref="A3746:B3746"/>
    <mergeCell ref="C3746:D3746"/>
    <mergeCell ref="A3747:B3747"/>
    <mergeCell ref="C3747:D3747"/>
    <mergeCell ref="A3737:D3737"/>
    <mergeCell ref="A3738:D3738"/>
    <mergeCell ref="A3739:D3739"/>
    <mergeCell ref="A3740:D3740"/>
    <mergeCell ref="A3741:D3741"/>
    <mergeCell ref="A3742:B3742"/>
    <mergeCell ref="C3742:D3742"/>
    <mergeCell ref="A3761:B3761"/>
    <mergeCell ref="C3761:D3761"/>
    <mergeCell ref="A3762:B3762"/>
    <mergeCell ref="C3762:D3762"/>
    <mergeCell ref="A3763:B3763"/>
    <mergeCell ref="C3763:D3763"/>
    <mergeCell ref="C3756:D3756"/>
    <mergeCell ref="A3758:B3758"/>
    <mergeCell ref="C3758:D3758"/>
    <mergeCell ref="A3759:B3759"/>
    <mergeCell ref="C3759:D3759"/>
    <mergeCell ref="A3760:B3760"/>
    <mergeCell ref="C3760:D3760"/>
    <mergeCell ref="A3751:D3751"/>
    <mergeCell ref="A3752:D3752"/>
    <mergeCell ref="A3753:D3753"/>
    <mergeCell ref="A3754:D3754"/>
    <mergeCell ref="A3755:B3755"/>
    <mergeCell ref="C3755:D3755"/>
    <mergeCell ref="A3775:B3775"/>
    <mergeCell ref="C3775:D3775"/>
    <mergeCell ref="A3776:B3776"/>
    <mergeCell ref="C3776:D3776"/>
    <mergeCell ref="A3777:B3777"/>
    <mergeCell ref="C3777:D3777"/>
    <mergeCell ref="C3770:D3770"/>
    <mergeCell ref="A3772:B3772"/>
    <mergeCell ref="C3772:D3772"/>
    <mergeCell ref="A3773:B3773"/>
    <mergeCell ref="C3773:D3773"/>
    <mergeCell ref="A3774:B3774"/>
    <mergeCell ref="C3774:D3774"/>
    <mergeCell ref="A3764:D3764"/>
    <mergeCell ref="A3765:D3765"/>
    <mergeCell ref="A3766:D3766"/>
    <mergeCell ref="A3767:D3767"/>
    <mergeCell ref="A3768:D3768"/>
    <mergeCell ref="A3769:B3769"/>
    <mergeCell ref="C3769:D3769"/>
    <mergeCell ref="A3788:B3788"/>
    <mergeCell ref="C3788:D3788"/>
    <mergeCell ref="A3789:B3789"/>
    <mergeCell ref="C3789:D3789"/>
    <mergeCell ref="A3790:B3790"/>
    <mergeCell ref="C3790:D3790"/>
    <mergeCell ref="C3783:D3783"/>
    <mergeCell ref="A3785:B3785"/>
    <mergeCell ref="C3785:D3785"/>
    <mergeCell ref="A3786:B3786"/>
    <mergeCell ref="C3786:D3786"/>
    <mergeCell ref="A3787:B3787"/>
    <mergeCell ref="C3787:D3787"/>
    <mergeCell ref="A3778:D3778"/>
    <mergeCell ref="A3779:D3779"/>
    <mergeCell ref="A3780:D3780"/>
    <mergeCell ref="A3781:D3781"/>
    <mergeCell ref="A3782:B3782"/>
    <mergeCell ref="C3782:D3782"/>
    <mergeCell ref="A3802:B3802"/>
    <mergeCell ref="C3802:D3802"/>
    <mergeCell ref="A3803:B3803"/>
    <mergeCell ref="C3803:D3803"/>
    <mergeCell ref="A3804:B3804"/>
    <mergeCell ref="C3804:D3804"/>
    <mergeCell ref="C3797:D3797"/>
    <mergeCell ref="A3799:B3799"/>
    <mergeCell ref="C3799:D3799"/>
    <mergeCell ref="A3800:B3800"/>
    <mergeCell ref="C3800:D3800"/>
    <mergeCell ref="A3801:B3801"/>
    <mergeCell ref="C3801:D3801"/>
    <mergeCell ref="A3791:D3791"/>
    <mergeCell ref="A3792:D3792"/>
    <mergeCell ref="A3793:D3793"/>
    <mergeCell ref="A3794:D3794"/>
    <mergeCell ref="A3795:D3795"/>
    <mergeCell ref="A3796:B3796"/>
    <mergeCell ref="C3796:D3796"/>
    <mergeCell ref="A3815:B3815"/>
    <mergeCell ref="C3815:D3815"/>
    <mergeCell ref="A3816:B3816"/>
    <mergeCell ref="C3816:D3816"/>
    <mergeCell ref="A3817:B3817"/>
    <mergeCell ref="C3817:D3817"/>
    <mergeCell ref="C3810:D3810"/>
    <mergeCell ref="A3812:B3812"/>
    <mergeCell ref="C3812:D3812"/>
    <mergeCell ref="A3813:B3813"/>
    <mergeCell ref="C3813:D3813"/>
    <mergeCell ref="A3814:B3814"/>
    <mergeCell ref="C3814:D3814"/>
    <mergeCell ref="A3805:D3805"/>
    <mergeCell ref="A3806:D3806"/>
    <mergeCell ref="A3807:D3807"/>
    <mergeCell ref="A3808:D3808"/>
    <mergeCell ref="A3809:B3809"/>
    <mergeCell ref="C3809:D3809"/>
    <mergeCell ref="A3829:B3829"/>
    <mergeCell ref="C3829:D3829"/>
    <mergeCell ref="A3830:B3830"/>
    <mergeCell ref="C3830:D3830"/>
    <mergeCell ref="A3831:B3831"/>
    <mergeCell ref="C3831:D3831"/>
    <mergeCell ref="C3824:D3824"/>
    <mergeCell ref="A3826:B3826"/>
    <mergeCell ref="C3826:D3826"/>
    <mergeCell ref="A3827:B3827"/>
    <mergeCell ref="C3827:D3827"/>
    <mergeCell ref="A3828:B3828"/>
    <mergeCell ref="C3828:D3828"/>
    <mergeCell ref="A3818:D3818"/>
    <mergeCell ref="A3819:D3819"/>
    <mergeCell ref="A3820:D3820"/>
    <mergeCell ref="A3821:D3821"/>
    <mergeCell ref="A3822:D3822"/>
    <mergeCell ref="A3823:B3823"/>
    <mergeCell ref="C3823:D3823"/>
    <mergeCell ref="A3842:B3842"/>
    <mergeCell ref="C3842:D3842"/>
    <mergeCell ref="A3843:B3843"/>
    <mergeCell ref="C3843:D3843"/>
    <mergeCell ref="A3844:B3844"/>
    <mergeCell ref="C3844:D3844"/>
    <mergeCell ref="C3837:D3837"/>
    <mergeCell ref="A3839:B3839"/>
    <mergeCell ref="C3839:D3839"/>
    <mergeCell ref="A3840:B3840"/>
    <mergeCell ref="C3840:D3840"/>
    <mergeCell ref="A3841:B3841"/>
    <mergeCell ref="C3841:D3841"/>
    <mergeCell ref="A3832:D3832"/>
    <mergeCell ref="A3833:D3833"/>
    <mergeCell ref="A3834:D3834"/>
    <mergeCell ref="A3835:D3835"/>
    <mergeCell ref="A3836:B3836"/>
    <mergeCell ref="C3836:D3836"/>
    <mergeCell ref="A3856:B3856"/>
    <mergeCell ref="C3856:D3856"/>
    <mergeCell ref="A3857:B3857"/>
    <mergeCell ref="C3857:D3857"/>
    <mergeCell ref="A3858:B3858"/>
    <mergeCell ref="C3858:D3858"/>
    <mergeCell ref="C3851:D3851"/>
    <mergeCell ref="A3853:B3853"/>
    <mergeCell ref="C3853:D3853"/>
    <mergeCell ref="A3854:B3854"/>
    <mergeCell ref="C3854:D3854"/>
    <mergeCell ref="A3855:B3855"/>
    <mergeCell ref="C3855:D3855"/>
    <mergeCell ref="A3845:D3845"/>
    <mergeCell ref="A3846:D3846"/>
    <mergeCell ref="A3847:D3847"/>
    <mergeCell ref="A3848:D3848"/>
    <mergeCell ref="A3849:D3849"/>
    <mergeCell ref="A3850:B3850"/>
    <mergeCell ref="C3850:D3850"/>
    <mergeCell ref="A3869:B3869"/>
    <mergeCell ref="C3869:D3869"/>
    <mergeCell ref="A3870:B3870"/>
    <mergeCell ref="C3870:D3870"/>
    <mergeCell ref="A3871:B3871"/>
    <mergeCell ref="C3871:D3871"/>
    <mergeCell ref="C3864:D3864"/>
    <mergeCell ref="A3866:B3866"/>
    <mergeCell ref="C3866:D3866"/>
    <mergeCell ref="A3867:B3867"/>
    <mergeCell ref="C3867:D3867"/>
    <mergeCell ref="A3868:B3868"/>
    <mergeCell ref="C3868:D3868"/>
    <mergeCell ref="A3859:D3859"/>
    <mergeCell ref="A3860:D3860"/>
    <mergeCell ref="A3861:D3861"/>
    <mergeCell ref="A3862:D3862"/>
    <mergeCell ref="A3863:B3863"/>
    <mergeCell ref="C3863:D3863"/>
    <mergeCell ref="A3872:D3872"/>
    <mergeCell ref="A3873:D3873"/>
    <mergeCell ref="A3874:D3874"/>
    <mergeCell ref="A3875:D3875"/>
    <mergeCell ref="A3876:D3876"/>
    <mergeCell ref="A3877:B3877"/>
    <mergeCell ref="C3877:D3877"/>
    <mergeCell ref="C3894:D3894"/>
    <mergeCell ref="A3895:B3895"/>
    <mergeCell ref="C3895:D3895"/>
    <mergeCell ref="A3896:B3896"/>
    <mergeCell ref="C3896:D3896"/>
    <mergeCell ref="A3897:B3897"/>
    <mergeCell ref="C3897:D3897"/>
    <mergeCell ref="A3889:D3889"/>
    <mergeCell ref="A3890:B3890"/>
    <mergeCell ref="C3890:D3890"/>
    <mergeCell ref="A3901:D3901"/>
    <mergeCell ref="A3902:D3902"/>
    <mergeCell ref="A3898:B3898"/>
    <mergeCell ref="C3898:D3898"/>
    <mergeCell ref="A3899:D3899"/>
    <mergeCell ref="A3900:D3900"/>
    <mergeCell ref="A3880:B3880"/>
    <mergeCell ref="C3880:D3880"/>
    <mergeCell ref="A3881:B3881"/>
    <mergeCell ref="C3881:D3881"/>
    <mergeCell ref="A3882:B3882"/>
    <mergeCell ref="C3882:D3882"/>
    <mergeCell ref="A3886:D3886"/>
    <mergeCell ref="A3887:D3887"/>
    <mergeCell ref="A3888:D3888"/>
    <mergeCell ref="A3911:B3911"/>
    <mergeCell ref="C3911:D3911"/>
    <mergeCell ref="A3908:B3908"/>
    <mergeCell ref="C3908:D3908"/>
    <mergeCell ref="A3909:B3909"/>
    <mergeCell ref="C3907:D3907"/>
    <mergeCell ref="A3923:B3923"/>
    <mergeCell ref="C3923:D3923"/>
    <mergeCell ref="A3924:B3924"/>
    <mergeCell ref="C3924:D3924"/>
    <mergeCell ref="A3925:B3925"/>
    <mergeCell ref="C3925:D3925"/>
    <mergeCell ref="C3918:D3918"/>
    <mergeCell ref="A3920:B3920"/>
    <mergeCell ref="C3920:D3920"/>
    <mergeCell ref="A3921:B3921"/>
    <mergeCell ref="C3921:D3921"/>
    <mergeCell ref="A3922:B3922"/>
    <mergeCell ref="C3922:D3922"/>
    <mergeCell ref="A3916:D3916"/>
    <mergeCell ref="A3917:B3917"/>
    <mergeCell ref="C3917:D3917"/>
    <mergeCell ref="C3891:D3891"/>
    <mergeCell ref="A3893:B3893"/>
    <mergeCell ref="C3893:D3893"/>
    <mergeCell ref="A3894:B3894"/>
    <mergeCell ref="A3912:B3912"/>
    <mergeCell ref="C3912:D3912"/>
    <mergeCell ref="A3913:D3913"/>
    <mergeCell ref="A3914:D3914"/>
    <mergeCell ref="C3909:D3909"/>
    <mergeCell ref="A3910:B3910"/>
    <mergeCell ref="C3910:D3910"/>
    <mergeCell ref="A3903:D3903"/>
    <mergeCell ref="A3904:B3904"/>
    <mergeCell ref="C3904:D3904"/>
    <mergeCell ref="C3905:D3905"/>
    <mergeCell ref="A3907:B3907"/>
    <mergeCell ref="A3937:B3937"/>
    <mergeCell ref="C3937:D3937"/>
    <mergeCell ref="A3938:B3938"/>
    <mergeCell ref="C3938:D3938"/>
    <mergeCell ref="A3939:B3939"/>
    <mergeCell ref="C3939:D3939"/>
    <mergeCell ref="C3932:D3932"/>
    <mergeCell ref="A3934:B3934"/>
    <mergeCell ref="C3934:D3934"/>
    <mergeCell ref="A3935:B3935"/>
    <mergeCell ref="C3935:D3935"/>
    <mergeCell ref="A3936:B3936"/>
    <mergeCell ref="C3936:D3936"/>
    <mergeCell ref="A3926:D3926"/>
    <mergeCell ref="A3927:D3927"/>
    <mergeCell ref="A3928:D3928"/>
    <mergeCell ref="A3929:D3929"/>
    <mergeCell ref="A3930:D3930"/>
    <mergeCell ref="A3931:B3931"/>
    <mergeCell ref="C3931:D3931"/>
    <mergeCell ref="A3950:B3950"/>
    <mergeCell ref="C3950:D3950"/>
    <mergeCell ref="A3951:B3951"/>
    <mergeCell ref="C3951:D3951"/>
    <mergeCell ref="A3952:B3952"/>
    <mergeCell ref="C3952:D3952"/>
    <mergeCell ref="C3945:D3945"/>
    <mergeCell ref="A3947:B3947"/>
    <mergeCell ref="C3947:D3947"/>
    <mergeCell ref="A3948:B3948"/>
    <mergeCell ref="C3948:D3948"/>
    <mergeCell ref="A3949:B3949"/>
    <mergeCell ref="C3949:D3949"/>
    <mergeCell ref="A3940:D3940"/>
    <mergeCell ref="A3941:D3941"/>
    <mergeCell ref="A3942:D3942"/>
    <mergeCell ref="A3943:D3943"/>
    <mergeCell ref="A3944:B3944"/>
    <mergeCell ref="C3944:D3944"/>
    <mergeCell ref="A3964:B3964"/>
    <mergeCell ref="C3964:D3964"/>
    <mergeCell ref="A3965:B3965"/>
    <mergeCell ref="C3965:D3965"/>
    <mergeCell ref="A3966:B3966"/>
    <mergeCell ref="C3966:D3966"/>
    <mergeCell ref="C3959:D3959"/>
    <mergeCell ref="A3961:B3961"/>
    <mergeCell ref="C3961:D3961"/>
    <mergeCell ref="A3962:B3962"/>
    <mergeCell ref="C3962:D3962"/>
    <mergeCell ref="A3963:B3963"/>
    <mergeCell ref="C3963:D3963"/>
    <mergeCell ref="A3953:D3953"/>
    <mergeCell ref="A3954:D3954"/>
    <mergeCell ref="A3955:D3955"/>
    <mergeCell ref="A3956:D3956"/>
    <mergeCell ref="A3957:D3957"/>
    <mergeCell ref="A3958:B3958"/>
    <mergeCell ref="C3958:D3958"/>
    <mergeCell ref="A3977:B3977"/>
    <mergeCell ref="C3977:D3977"/>
    <mergeCell ref="A3978:B3978"/>
    <mergeCell ref="C3978:D3978"/>
    <mergeCell ref="A3979:B3979"/>
    <mergeCell ref="C3979:D3979"/>
    <mergeCell ref="C3972:D3972"/>
    <mergeCell ref="A3974:B3974"/>
    <mergeCell ref="C3974:D3974"/>
    <mergeCell ref="A3975:B3975"/>
    <mergeCell ref="C3975:D3975"/>
    <mergeCell ref="A3976:B3976"/>
    <mergeCell ref="C3976:D3976"/>
    <mergeCell ref="A3967:D3967"/>
    <mergeCell ref="A3968:D3968"/>
    <mergeCell ref="A3969:D3969"/>
    <mergeCell ref="A3970:D3970"/>
    <mergeCell ref="A3971:B3971"/>
    <mergeCell ref="C3971:D3971"/>
    <mergeCell ref="A3991:B3991"/>
    <mergeCell ref="C3991:D3991"/>
    <mergeCell ref="A3992:B3992"/>
    <mergeCell ref="C3992:D3992"/>
    <mergeCell ref="A3993:B3993"/>
    <mergeCell ref="C3993:D3993"/>
    <mergeCell ref="C3986:D3986"/>
    <mergeCell ref="A3988:B3988"/>
    <mergeCell ref="C3988:D3988"/>
    <mergeCell ref="A3989:B3989"/>
    <mergeCell ref="C3989:D3989"/>
    <mergeCell ref="A3990:B3990"/>
    <mergeCell ref="C3990:D3990"/>
    <mergeCell ref="A3980:D3980"/>
    <mergeCell ref="A3981:D3981"/>
    <mergeCell ref="A3982:D3982"/>
    <mergeCell ref="A3983:D3983"/>
    <mergeCell ref="A3984:D3984"/>
    <mergeCell ref="A3985:B3985"/>
    <mergeCell ref="C3985:D3985"/>
    <mergeCell ref="A4004:B4004"/>
    <mergeCell ref="C4004:D4004"/>
    <mergeCell ref="A4005:B4005"/>
    <mergeCell ref="C4005:D4005"/>
    <mergeCell ref="A4006:B4006"/>
    <mergeCell ref="C4006:D4006"/>
    <mergeCell ref="C3999:D3999"/>
    <mergeCell ref="A4001:B4001"/>
    <mergeCell ref="C4001:D4001"/>
    <mergeCell ref="A4002:B4002"/>
    <mergeCell ref="C4002:D4002"/>
    <mergeCell ref="A4003:B4003"/>
    <mergeCell ref="C4003:D4003"/>
    <mergeCell ref="A3997:D3997"/>
    <mergeCell ref="A3998:B3998"/>
    <mergeCell ref="C3998:D3998"/>
    <mergeCell ref="A3994:D3994"/>
    <mergeCell ref="A3995:D3995"/>
    <mergeCell ref="A3996:D3996"/>
    <mergeCell ref="A4018:B4018"/>
    <mergeCell ref="C4018:D4018"/>
    <mergeCell ref="A4019:B4019"/>
    <mergeCell ref="C4019:D4019"/>
    <mergeCell ref="A4020:B4020"/>
    <mergeCell ref="C4020:D4020"/>
    <mergeCell ref="C4013:D4013"/>
    <mergeCell ref="A4015:B4015"/>
    <mergeCell ref="C4015:D4015"/>
    <mergeCell ref="A4016:B4016"/>
    <mergeCell ref="C4016:D4016"/>
    <mergeCell ref="A4017:B4017"/>
    <mergeCell ref="C4017:D4017"/>
    <mergeCell ref="A4007:D4007"/>
    <mergeCell ref="A4008:D4008"/>
    <mergeCell ref="A4009:D4009"/>
    <mergeCell ref="A4010:D4010"/>
    <mergeCell ref="A4011:D4011"/>
    <mergeCell ref="A4012:B4012"/>
    <mergeCell ref="C4012:D4012"/>
    <mergeCell ref="A4031:B4031"/>
    <mergeCell ref="C4031:D4031"/>
    <mergeCell ref="A4032:B4032"/>
    <mergeCell ref="C4032:D4032"/>
    <mergeCell ref="A4033:B4033"/>
    <mergeCell ref="C4033:D4033"/>
    <mergeCell ref="C4026:D4026"/>
    <mergeCell ref="A4028:B4028"/>
    <mergeCell ref="C4028:D4028"/>
    <mergeCell ref="A4029:B4029"/>
    <mergeCell ref="C4029:D4029"/>
    <mergeCell ref="A4030:B4030"/>
    <mergeCell ref="C4030:D4030"/>
    <mergeCell ref="A4021:D4021"/>
    <mergeCell ref="A4022:D4022"/>
    <mergeCell ref="A4023:D4023"/>
    <mergeCell ref="A4024:D4024"/>
    <mergeCell ref="A4025:B4025"/>
    <mergeCell ref="C4025:D4025"/>
    <mergeCell ref="A4045:B4045"/>
    <mergeCell ref="C4045:D4045"/>
    <mergeCell ref="A4046:B4046"/>
    <mergeCell ref="C4046:D4046"/>
    <mergeCell ref="A4047:B4047"/>
    <mergeCell ref="C4047:D4047"/>
    <mergeCell ref="C4040:D4040"/>
    <mergeCell ref="A4042:B4042"/>
    <mergeCell ref="C4042:D4042"/>
    <mergeCell ref="A4043:B4043"/>
    <mergeCell ref="C4043:D4043"/>
    <mergeCell ref="A4044:B4044"/>
    <mergeCell ref="C4044:D4044"/>
    <mergeCell ref="A4034:D4034"/>
    <mergeCell ref="A4035:D4035"/>
    <mergeCell ref="A4036:D4036"/>
    <mergeCell ref="A4037:D4037"/>
    <mergeCell ref="A4038:D4038"/>
    <mergeCell ref="A4039:B4039"/>
    <mergeCell ref="C4039:D4039"/>
    <mergeCell ref="A4058:B4058"/>
    <mergeCell ref="C4058:D4058"/>
    <mergeCell ref="A4059:B4059"/>
    <mergeCell ref="C4059:D4059"/>
    <mergeCell ref="A4060:B4060"/>
    <mergeCell ref="C4060:D4060"/>
    <mergeCell ref="C4053:D4053"/>
    <mergeCell ref="A4055:B4055"/>
    <mergeCell ref="C4055:D4055"/>
    <mergeCell ref="A4056:B4056"/>
    <mergeCell ref="C4056:D4056"/>
    <mergeCell ref="A4057:B4057"/>
    <mergeCell ref="C4057:D4057"/>
    <mergeCell ref="A4048:D4048"/>
    <mergeCell ref="A4049:D4049"/>
    <mergeCell ref="A4050:D4050"/>
    <mergeCell ref="A4051:D4051"/>
    <mergeCell ref="A4052:B4052"/>
    <mergeCell ref="C4052:D4052"/>
    <mergeCell ref="A4072:B4072"/>
    <mergeCell ref="C4072:D4072"/>
    <mergeCell ref="A4073:B4073"/>
    <mergeCell ref="C4073:D4073"/>
    <mergeCell ref="A4074:B4074"/>
    <mergeCell ref="C4074:D4074"/>
    <mergeCell ref="C4067:D4067"/>
    <mergeCell ref="A4069:B4069"/>
    <mergeCell ref="C4069:D4069"/>
    <mergeCell ref="A4070:B4070"/>
    <mergeCell ref="C4070:D4070"/>
    <mergeCell ref="A4071:B4071"/>
    <mergeCell ref="C4071:D4071"/>
    <mergeCell ref="A4061:D4061"/>
    <mergeCell ref="A4062:D4062"/>
    <mergeCell ref="A4063:D4063"/>
    <mergeCell ref="A4064:D4064"/>
    <mergeCell ref="A4065:D4065"/>
    <mergeCell ref="A4066:B4066"/>
    <mergeCell ref="C4066:D4066"/>
    <mergeCell ref="A4085:B4085"/>
    <mergeCell ref="C4085:D4085"/>
    <mergeCell ref="A4086:B4086"/>
    <mergeCell ref="C4086:D4086"/>
    <mergeCell ref="A4087:B4087"/>
    <mergeCell ref="C4087:D4087"/>
    <mergeCell ref="C4080:D4080"/>
    <mergeCell ref="A4082:B4082"/>
    <mergeCell ref="C4082:D4082"/>
    <mergeCell ref="A4083:B4083"/>
    <mergeCell ref="C4083:D4083"/>
    <mergeCell ref="A4084:B4084"/>
    <mergeCell ref="C4084:D4084"/>
    <mergeCell ref="A4075:D4075"/>
    <mergeCell ref="A4076:D4076"/>
    <mergeCell ref="A4077:D4077"/>
    <mergeCell ref="A4078:D4078"/>
    <mergeCell ref="A4079:B4079"/>
    <mergeCell ref="C4079:D4079"/>
    <mergeCell ref="A4099:B4099"/>
    <mergeCell ref="C4099:D4099"/>
    <mergeCell ref="A4100:B4100"/>
    <mergeCell ref="C4100:D4100"/>
    <mergeCell ref="A4101:B4101"/>
    <mergeCell ref="C4101:D4101"/>
    <mergeCell ref="C4094:D4094"/>
    <mergeCell ref="A4096:B4096"/>
    <mergeCell ref="C4096:D4096"/>
    <mergeCell ref="A4097:B4097"/>
    <mergeCell ref="C4097:D4097"/>
    <mergeCell ref="A4098:B4098"/>
    <mergeCell ref="C4098:D4098"/>
    <mergeCell ref="A4088:D4088"/>
    <mergeCell ref="A4089:D4089"/>
    <mergeCell ref="A4090:D4090"/>
    <mergeCell ref="A4091:D4091"/>
    <mergeCell ref="A4092:D4092"/>
    <mergeCell ref="A4093:B4093"/>
    <mergeCell ref="C4093:D4093"/>
    <mergeCell ref="A4112:B4112"/>
    <mergeCell ref="C4112:D4112"/>
    <mergeCell ref="A4113:B4113"/>
    <mergeCell ref="C4113:D4113"/>
    <mergeCell ref="A4114:B4114"/>
    <mergeCell ref="C4114:D4114"/>
    <mergeCell ref="C4107:D4107"/>
    <mergeCell ref="A4109:B4109"/>
    <mergeCell ref="C4109:D4109"/>
    <mergeCell ref="A4110:B4110"/>
    <mergeCell ref="C4110:D4110"/>
    <mergeCell ref="A4111:B4111"/>
    <mergeCell ref="C4111:D4111"/>
    <mergeCell ref="A4102:D4102"/>
    <mergeCell ref="A4103:D4103"/>
    <mergeCell ref="A4104:D4104"/>
    <mergeCell ref="A4105:D4105"/>
    <mergeCell ref="A4106:B4106"/>
    <mergeCell ref="C4106:D4106"/>
    <mergeCell ref="A4126:B4126"/>
    <mergeCell ref="C4126:D4126"/>
    <mergeCell ref="A4127:B4127"/>
    <mergeCell ref="C4127:D4127"/>
    <mergeCell ref="A4128:B4128"/>
    <mergeCell ref="C4128:D4128"/>
    <mergeCell ref="C4121:D4121"/>
    <mergeCell ref="A4123:B4123"/>
    <mergeCell ref="C4123:D4123"/>
    <mergeCell ref="A4124:B4124"/>
    <mergeCell ref="C4124:D4124"/>
    <mergeCell ref="A4125:B4125"/>
    <mergeCell ref="C4125:D4125"/>
    <mergeCell ref="A4115:D4115"/>
    <mergeCell ref="A4116:D4116"/>
    <mergeCell ref="A4117:D4117"/>
    <mergeCell ref="A4118:D4118"/>
    <mergeCell ref="A4119:D4119"/>
    <mergeCell ref="A4120:B4120"/>
    <mergeCell ref="C4120:D4120"/>
    <mergeCell ref="A4139:B4139"/>
    <mergeCell ref="C4139:D4139"/>
    <mergeCell ref="A4140:B4140"/>
    <mergeCell ref="C4140:D4140"/>
    <mergeCell ref="A4141:B4141"/>
    <mergeCell ref="C4141:D4141"/>
    <mergeCell ref="C4134:D4134"/>
    <mergeCell ref="A4136:B4136"/>
    <mergeCell ref="C4136:D4136"/>
    <mergeCell ref="A4137:B4137"/>
    <mergeCell ref="C4137:D4137"/>
    <mergeCell ref="A4138:B4138"/>
    <mergeCell ref="C4138:D4138"/>
    <mergeCell ref="A4129:D4129"/>
    <mergeCell ref="A4130:D4130"/>
    <mergeCell ref="A4131:D4131"/>
    <mergeCell ref="A4132:D4132"/>
    <mergeCell ref="A4133:B4133"/>
    <mergeCell ref="C4133:D4133"/>
    <mergeCell ref="A4153:B4153"/>
    <mergeCell ref="C4153:D4153"/>
    <mergeCell ref="A4154:B4154"/>
    <mergeCell ref="C4154:D4154"/>
    <mergeCell ref="A4155:B4155"/>
    <mergeCell ref="C4155:D4155"/>
    <mergeCell ref="C4148:D4148"/>
    <mergeCell ref="A4150:B4150"/>
    <mergeCell ref="C4150:D4150"/>
    <mergeCell ref="A4151:B4151"/>
    <mergeCell ref="C4151:D4151"/>
    <mergeCell ref="A4152:B4152"/>
    <mergeCell ref="C4152:D4152"/>
    <mergeCell ref="A4142:D4142"/>
    <mergeCell ref="A4143:D4143"/>
    <mergeCell ref="A4144:D4144"/>
    <mergeCell ref="A4145:D4145"/>
    <mergeCell ref="A4146:D4146"/>
    <mergeCell ref="A4147:B4147"/>
    <mergeCell ref="C4147:D4147"/>
    <mergeCell ref="A4167:B4167"/>
    <mergeCell ref="C4167:D4167"/>
    <mergeCell ref="A4168:B4168"/>
    <mergeCell ref="C4168:D4168"/>
    <mergeCell ref="C4161:D4161"/>
    <mergeCell ref="A4163:B4163"/>
    <mergeCell ref="C4163:D4163"/>
    <mergeCell ref="A4164:B4164"/>
    <mergeCell ref="C4164:D4164"/>
    <mergeCell ref="A4165:B4165"/>
    <mergeCell ref="C4165:D4165"/>
    <mergeCell ref="A4156:D4156"/>
    <mergeCell ref="A4157:D4157"/>
    <mergeCell ref="A4158:D4158"/>
    <mergeCell ref="A4159:D4159"/>
    <mergeCell ref="A4160:B4160"/>
    <mergeCell ref="C4160:D4160"/>
    <mergeCell ref="A3151:B3151"/>
    <mergeCell ref="C3151:D3151"/>
    <mergeCell ref="A3152:B3152"/>
    <mergeCell ref="C3152:D3152"/>
    <mergeCell ref="A3153:B3153"/>
    <mergeCell ref="C3153:D3153"/>
    <mergeCell ref="A3168:B3168"/>
    <mergeCell ref="C3168:D3168"/>
    <mergeCell ref="A3169:B3169"/>
    <mergeCell ref="C3169:D3169"/>
    <mergeCell ref="C3121:D3121"/>
    <mergeCell ref="A3140:B3140"/>
    <mergeCell ref="C3140:D3140"/>
    <mergeCell ref="A3141:B3141"/>
    <mergeCell ref="C3141:D3141"/>
    <mergeCell ref="A3129:B3129"/>
    <mergeCell ref="C3129:D3129"/>
    <mergeCell ref="C3137:D3137"/>
    <mergeCell ref="A3144:D3144"/>
    <mergeCell ref="A3145:D3145"/>
    <mergeCell ref="A3146:D3146"/>
    <mergeCell ref="A3147:D3147"/>
    <mergeCell ref="A3148:B3148"/>
    <mergeCell ref="C3148:D3148"/>
    <mergeCell ref="A3157:D3157"/>
    <mergeCell ref="A3158:D3158"/>
    <mergeCell ref="A3159:D3159"/>
    <mergeCell ref="A3138:B3138"/>
    <mergeCell ref="A3167:B3167"/>
    <mergeCell ref="C3167:D3167"/>
    <mergeCell ref="C3138:D3138"/>
    <mergeCell ref="A3139:B3139"/>
    <mergeCell ref="A3044:B3044"/>
    <mergeCell ref="C3044:D3044"/>
    <mergeCell ref="A3045:B3045"/>
    <mergeCell ref="C3045:D3045"/>
    <mergeCell ref="A3046:B3046"/>
    <mergeCell ref="C3046:D3046"/>
    <mergeCell ref="A3130:D3130"/>
    <mergeCell ref="A3131:D3131"/>
    <mergeCell ref="A3132:D3132"/>
    <mergeCell ref="A3116:D3116"/>
    <mergeCell ref="A3117:D3117"/>
    <mergeCell ref="A3118:D3118"/>
    <mergeCell ref="A3119:D3119"/>
    <mergeCell ref="A3120:D3120"/>
    <mergeCell ref="A3121:B3121"/>
    <mergeCell ref="A3113:B3113"/>
    <mergeCell ref="C3113:D3113"/>
    <mergeCell ref="A3114:B3114"/>
    <mergeCell ref="C3114:D3114"/>
    <mergeCell ref="A3115:B3115"/>
    <mergeCell ref="C3115:D3115"/>
    <mergeCell ref="C3108:D3108"/>
    <mergeCell ref="A3110:B3110"/>
    <mergeCell ref="C3110:D3110"/>
    <mergeCell ref="A3111:B3111"/>
    <mergeCell ref="C3111:D3111"/>
    <mergeCell ref="C3124:D3124"/>
    <mergeCell ref="A3125:B3125"/>
    <mergeCell ref="C3125:D3125"/>
    <mergeCell ref="A3126:B3126"/>
    <mergeCell ref="C3126:D3126"/>
    <mergeCell ref="C3095:D3095"/>
    <mergeCell ref="C3139:D3139"/>
    <mergeCell ref="A3143:D3143"/>
    <mergeCell ref="A3112:B3112"/>
    <mergeCell ref="C3112:D3112"/>
    <mergeCell ref="A3127:B3127"/>
    <mergeCell ref="C3127:D3127"/>
    <mergeCell ref="A3128:B3128"/>
    <mergeCell ref="C3128:D3128"/>
    <mergeCell ref="C3122:D3122"/>
    <mergeCell ref="A3124:B3124"/>
    <mergeCell ref="A3047:B3047"/>
    <mergeCell ref="C3047:D3047"/>
    <mergeCell ref="A3048:B3048"/>
    <mergeCell ref="C3048:D3048"/>
    <mergeCell ref="A3049:D3049"/>
    <mergeCell ref="A3097:B3097"/>
    <mergeCell ref="C3097:D3097"/>
    <mergeCell ref="A3098:B3098"/>
    <mergeCell ref="C3098:D3098"/>
    <mergeCell ref="A3099:B3099"/>
    <mergeCell ref="C3099:D3099"/>
    <mergeCell ref="A3103:D3103"/>
    <mergeCell ref="A3104:D3104"/>
    <mergeCell ref="A3089:D3089"/>
    <mergeCell ref="A3090:D3090"/>
    <mergeCell ref="A3091:D3091"/>
    <mergeCell ref="A3092:D3092"/>
    <mergeCell ref="A3093:D3093"/>
    <mergeCell ref="A3094:B3094"/>
    <mergeCell ref="C3094:D3094"/>
    <mergeCell ref="A3086:B3086"/>
    <mergeCell ref="C3086:D3086"/>
    <mergeCell ref="A4181:B4181"/>
    <mergeCell ref="C4181:D4181"/>
    <mergeCell ref="A4182:B4182"/>
    <mergeCell ref="C4182:D4182"/>
    <mergeCell ref="C4202:D4202"/>
    <mergeCell ref="A4204:B4204"/>
    <mergeCell ref="C4204:D4204"/>
    <mergeCell ref="A4205:B4205"/>
    <mergeCell ref="C4205:D4205"/>
    <mergeCell ref="A4206:B4206"/>
    <mergeCell ref="C4206:D4206"/>
    <mergeCell ref="A4209:B4209"/>
    <mergeCell ref="C4209:D4209"/>
    <mergeCell ref="A3160:D3160"/>
    <mergeCell ref="A3161:B3161"/>
    <mergeCell ref="C3161:D3161"/>
    <mergeCell ref="C3162:D3162"/>
    <mergeCell ref="A3164:B3164"/>
    <mergeCell ref="C3164:D3164"/>
    <mergeCell ref="A4178:B4178"/>
    <mergeCell ref="C4178:D4178"/>
    <mergeCell ref="A4179:B4179"/>
    <mergeCell ref="C4179:D4179"/>
    <mergeCell ref="A4169:D4169"/>
    <mergeCell ref="A4170:D4170"/>
    <mergeCell ref="A4171:D4171"/>
    <mergeCell ref="A4172:D4172"/>
    <mergeCell ref="A4173:D4173"/>
    <mergeCell ref="A4174:B4174"/>
    <mergeCell ref="C4174:D4174"/>
    <mergeCell ref="A4166:B4166"/>
    <mergeCell ref="C4166:D4166"/>
    <mergeCell ref="A4186:D4186"/>
    <mergeCell ref="A4187:B4187"/>
    <mergeCell ref="C4187:D4187"/>
    <mergeCell ref="C4188:D4188"/>
    <mergeCell ref="A4190:B4190"/>
    <mergeCell ref="C4190:D4190"/>
    <mergeCell ref="A4191:B4191"/>
    <mergeCell ref="C4191:D4191"/>
    <mergeCell ref="A4192:B4192"/>
    <mergeCell ref="C4192:D4192"/>
    <mergeCell ref="A4193:B4193"/>
    <mergeCell ref="C4193:D4193"/>
    <mergeCell ref="A4210:D4210"/>
    <mergeCell ref="A4207:B4207"/>
    <mergeCell ref="C4207:D4207"/>
    <mergeCell ref="A4208:B4208"/>
    <mergeCell ref="C4208:D4208"/>
    <mergeCell ref="A4183:D4183"/>
    <mergeCell ref="A4184:D4184"/>
    <mergeCell ref="A4185:D4185"/>
    <mergeCell ref="A4180:B4180"/>
    <mergeCell ref="C4180:D4180"/>
    <mergeCell ref="A3883:B3883"/>
    <mergeCell ref="C3883:D3883"/>
    <mergeCell ref="A3884:B3884"/>
    <mergeCell ref="C3884:D3884"/>
    <mergeCell ref="A3885:B3885"/>
    <mergeCell ref="C3885:D3885"/>
    <mergeCell ref="C3878:D3878"/>
    <mergeCell ref="A4211:D4211"/>
    <mergeCell ref="A4212:D4212"/>
    <mergeCell ref="A3175:B3175"/>
    <mergeCell ref="C3175:D3175"/>
    <mergeCell ref="A4200:D4200"/>
    <mergeCell ref="A4201:B4201"/>
    <mergeCell ref="C4201:D4201"/>
    <mergeCell ref="A4194:B4194"/>
    <mergeCell ref="C4194:D4194"/>
    <mergeCell ref="A4195:B4195"/>
    <mergeCell ref="C4195:D4195"/>
    <mergeCell ref="A4196:D4196"/>
    <mergeCell ref="A4197:D4197"/>
    <mergeCell ref="A4198:D4198"/>
    <mergeCell ref="A4199:D4199"/>
    <mergeCell ref="C4175:D4175"/>
    <mergeCell ref="A4177:B4177"/>
    <mergeCell ref="C4177:D4177"/>
    <mergeCell ref="C3179:D3179"/>
    <mergeCell ref="A3915:D3915"/>
    <mergeCell ref="A4294:D4294"/>
    <mergeCell ref="A4295:B4295"/>
    <mergeCell ref="C4295:D4295"/>
    <mergeCell ref="C4296:D4296"/>
    <mergeCell ref="A4298:B4298"/>
    <mergeCell ref="C4298:D4298"/>
    <mergeCell ref="A4299:B4299"/>
    <mergeCell ref="C4299:D4299"/>
    <mergeCell ref="A4300:B4300"/>
    <mergeCell ref="C4300:D4300"/>
    <mergeCell ref="A4301:B4301"/>
    <mergeCell ref="C4301:D4301"/>
    <mergeCell ref="A4302:B4302"/>
    <mergeCell ref="C4302:D4302"/>
    <mergeCell ref="A4303:B4303"/>
    <mergeCell ref="C4303:D4303"/>
    <mergeCell ref="A4304:D4304"/>
    <mergeCell ref="A4317:B4317"/>
    <mergeCell ref="C4317:D4317"/>
    <mergeCell ref="A4318:D4318"/>
    <mergeCell ref="A4319:D4319"/>
    <mergeCell ref="A4320:D4320"/>
    <mergeCell ref="A4305:D4305"/>
    <mergeCell ref="A4306:D4306"/>
    <mergeCell ref="A4307:D4307"/>
    <mergeCell ref="A4308:D4308"/>
    <mergeCell ref="A4309:B4309"/>
    <mergeCell ref="C4309:D4309"/>
    <mergeCell ref="C4310:D4310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21:D4321"/>
    <mergeCell ref="A4322:B4322"/>
    <mergeCell ref="C4322:D4322"/>
    <mergeCell ref="C4323:D4323"/>
    <mergeCell ref="A4325:B4325"/>
    <mergeCell ref="C4325:D4325"/>
    <mergeCell ref="A4326:B4326"/>
    <mergeCell ref="C4326:D4326"/>
    <mergeCell ref="A4327:B4327"/>
    <mergeCell ref="C4327:D4327"/>
    <mergeCell ref="A4328:B4328"/>
    <mergeCell ref="C4328:D4328"/>
    <mergeCell ref="A4329:B4329"/>
    <mergeCell ref="C4329:D4329"/>
    <mergeCell ref="A4330:B4330"/>
    <mergeCell ref="C4330:D4330"/>
    <mergeCell ref="A4331:D4331"/>
    <mergeCell ref="A4332:D4332"/>
    <mergeCell ref="A4333:D4333"/>
    <mergeCell ref="A4334:D4334"/>
    <mergeCell ref="A4335:D4335"/>
    <mergeCell ref="A4336:B4336"/>
    <mergeCell ref="C4336:D4336"/>
    <mergeCell ref="C4337:D4337"/>
    <mergeCell ref="A4339:B4339"/>
    <mergeCell ref="C4339:D4339"/>
    <mergeCell ref="A4340:B4340"/>
    <mergeCell ref="C4340:D4340"/>
    <mergeCell ref="A4341:B4341"/>
    <mergeCell ref="C4341:D4341"/>
    <mergeCell ref="A4342:B4342"/>
    <mergeCell ref="C4342:D4342"/>
    <mergeCell ref="A4343:B4343"/>
    <mergeCell ref="C4343:D4343"/>
    <mergeCell ref="A4344:B4344"/>
    <mergeCell ref="C4344:D4344"/>
    <mergeCell ref="A4345:D4345"/>
    <mergeCell ref="A4346:D4346"/>
    <mergeCell ref="A4347:D4347"/>
    <mergeCell ref="A4348:D4348"/>
    <mergeCell ref="A4349:B4349"/>
    <mergeCell ref="C4349:D4349"/>
    <mergeCell ref="C4350:D4350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69:B4369"/>
    <mergeCell ref="C4369:D4369"/>
    <mergeCell ref="A4370:B4370"/>
    <mergeCell ref="C4370:D4370"/>
    <mergeCell ref="A4371:B4371"/>
    <mergeCell ref="C4371:D4371"/>
    <mergeCell ref="A4372:D4372"/>
    <mergeCell ref="A4373:D4373"/>
    <mergeCell ref="A4374:D4374"/>
    <mergeCell ref="A4356:B4356"/>
    <mergeCell ref="C4356:D4356"/>
    <mergeCell ref="A4357:B4357"/>
    <mergeCell ref="C4357:D4357"/>
    <mergeCell ref="A4358:D4358"/>
    <mergeCell ref="A4359:D4359"/>
    <mergeCell ref="A4360:D4360"/>
    <mergeCell ref="A4361:D4361"/>
    <mergeCell ref="A4362:D4362"/>
    <mergeCell ref="A4363:B4363"/>
    <mergeCell ref="C4363:D4363"/>
    <mergeCell ref="C4364:D4364"/>
    <mergeCell ref="A4366:B4366"/>
    <mergeCell ref="C4366:D4366"/>
    <mergeCell ref="A4367:B4367"/>
    <mergeCell ref="C4367:D4367"/>
    <mergeCell ref="A4368:B4368"/>
    <mergeCell ref="C4368:D4368"/>
  </mergeCells>
  <printOptions horizontalCentered="1" verticalCentered="1"/>
  <pageMargins left="2.2400000000000002" right="2.1800000000000002" top="0.11811023622047245" bottom="0.15748031496062992" header="0.11811023622047245" footer="0.15748031496062992"/>
  <pageSetup scale="68" orientation="portrait" r:id="rId1"/>
  <headerFooter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025"/>
  <sheetViews>
    <sheetView showRuler="0" view="pageLayout" topLeftCell="A2012" zoomScale="55" zoomScaleNormal="70" zoomScalePageLayoutView="55" workbookViewId="0">
      <selection activeCell="A2013" sqref="A2013:D2023"/>
    </sheetView>
  </sheetViews>
  <sheetFormatPr defaultColWidth="10.7109375" defaultRowHeight="42.75" customHeight="1"/>
  <cols>
    <col min="1" max="1" width="14.7109375" style="23" customWidth="1"/>
    <col min="2" max="2" width="16.28515625" style="24" customWidth="1"/>
    <col min="3" max="3" width="21" style="24" customWidth="1"/>
    <col min="4" max="4" width="19.28515625" style="25" customWidth="1"/>
    <col min="5" max="5" width="24.85546875" style="7" customWidth="1"/>
    <col min="6" max="6" width="25.28515625" style="7" customWidth="1"/>
    <col min="7" max="7" width="12" style="7" customWidth="1"/>
    <col min="8" max="8" width="13.28515625" style="7" customWidth="1"/>
    <col min="9" max="9" width="31.28515625" style="7" customWidth="1"/>
    <col min="10" max="10" width="13.5703125" style="8" customWidth="1"/>
    <col min="11" max="11" width="14" style="8" customWidth="1"/>
    <col min="12" max="12" width="22.7109375" style="8" customWidth="1"/>
    <col min="13" max="16384" width="10.7109375" style="8"/>
  </cols>
  <sheetData>
    <row r="1" spans="1:16" ht="42.75" customHeight="1" thickBot="1">
      <c r="A1" s="120" t="s">
        <v>19</v>
      </c>
      <c r="B1" s="121"/>
      <c r="C1" s="121"/>
      <c r="D1" s="122"/>
      <c r="E1" s="6"/>
      <c r="K1" s="9"/>
      <c r="L1" s="10"/>
      <c r="M1" s="10"/>
      <c r="N1" s="10"/>
      <c r="O1" s="10"/>
      <c r="P1" s="11"/>
    </row>
    <row r="2" spans="1:16" ht="42.75" customHeight="1" thickBot="1">
      <c r="A2" s="123" t="s">
        <v>11</v>
      </c>
      <c r="B2" s="124"/>
      <c r="C2" s="125" t="s">
        <v>603</v>
      </c>
      <c r="D2" s="124"/>
      <c r="E2" s="12"/>
      <c r="K2" s="9"/>
      <c r="L2" s="10"/>
      <c r="M2" s="10"/>
      <c r="N2" s="10"/>
      <c r="O2" s="10"/>
      <c r="P2" s="11"/>
    </row>
    <row r="3" spans="1:16" ht="42.75" customHeight="1" thickBot="1">
      <c r="A3" s="1" t="s">
        <v>686</v>
      </c>
      <c r="B3" s="26" t="s">
        <v>1</v>
      </c>
      <c r="C3" s="90" t="s">
        <v>132</v>
      </c>
      <c r="D3" s="91"/>
      <c r="E3" s="13"/>
      <c r="F3" s="14"/>
      <c r="G3" s="14"/>
      <c r="H3" s="14"/>
      <c r="K3" s="9"/>
      <c r="L3" s="10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10"/>
      <c r="N3" s="10"/>
      <c r="O3" s="10"/>
      <c r="P3" s="11"/>
    </row>
    <row r="4" spans="1:16" ht="42.75" customHeight="1" thickBot="1">
      <c r="A4" s="26"/>
      <c r="B4" s="26" t="s">
        <v>0</v>
      </c>
      <c r="C4" s="5" t="s">
        <v>687</v>
      </c>
      <c r="D4" s="4" t="s">
        <v>2</v>
      </c>
      <c r="E4" s="15">
        <f>SUM(A10+A37+A64+A91+A118+A145+A172+A199+A226+A253+A280+A307+A334+A361+A388+A415+A442+A469+A982+A739+A496+A523+A550+A577+A604+A631+A658+A685+A712+A766+A793+A820+A847+A874+A901+A928+A955+A1009+A1036+A1063+A1090+A1117+A1144+A1171+A1198+A1225+A1252+A1279+A1306+A1333+A1360+A1387+A1414+A1441+A1468+A1495+A1522+A1549+A1576+A1603+A1630+A1657+A1684+A1711+A1738+A1765+A1792+A1819+A1846+A1873+A1900+A1927+A1954+A1981+A2008)</f>
        <v>150784</v>
      </c>
      <c r="K4" s="9"/>
      <c r="L4" s="10"/>
      <c r="M4" s="10"/>
      <c r="N4" s="10"/>
      <c r="O4" s="10"/>
      <c r="P4" s="11"/>
    </row>
    <row r="5" spans="1:16" ht="42.75" customHeight="1" thickBot="1">
      <c r="A5" s="92">
        <v>6185</v>
      </c>
      <c r="B5" s="93"/>
      <c r="C5" s="94" t="s">
        <v>3</v>
      </c>
      <c r="D5" s="95"/>
      <c r="E5" s="16"/>
      <c r="K5" s="17"/>
      <c r="L5" s="18"/>
      <c r="M5" s="18"/>
      <c r="N5" s="18"/>
      <c r="O5" s="18"/>
      <c r="P5" s="19"/>
    </row>
    <row r="6" spans="1:16" ht="42.75" customHeight="1" thickBot="1">
      <c r="A6" s="92">
        <v>6210</v>
      </c>
      <c r="B6" s="93"/>
      <c r="C6" s="96" t="s">
        <v>4</v>
      </c>
      <c r="D6" s="97"/>
      <c r="E6" s="16"/>
    </row>
    <row r="7" spans="1:16" ht="42.75" customHeight="1" thickBot="1">
      <c r="A7" s="98">
        <f>A6-A5</f>
        <v>25</v>
      </c>
      <c r="B7" s="99"/>
      <c r="C7" s="100" t="s">
        <v>5</v>
      </c>
      <c r="D7" s="97"/>
      <c r="E7" s="20"/>
    </row>
    <row r="8" spans="1:16" ht="42.75" customHeight="1" thickBot="1">
      <c r="A8" s="101">
        <v>62</v>
      </c>
      <c r="B8" s="102"/>
      <c r="C8" s="96" t="s">
        <v>6</v>
      </c>
      <c r="D8" s="97"/>
      <c r="E8" s="20"/>
    </row>
    <row r="9" spans="1:16" ht="42.75" customHeight="1" thickBot="1">
      <c r="A9" s="103"/>
      <c r="B9" s="104"/>
      <c r="C9" s="96" t="s">
        <v>21</v>
      </c>
      <c r="D9" s="97"/>
      <c r="E9" s="20">
        <f>SUM(A7+A34+A61+A88+A115+A142+A169+A196+A223+A250+A277+A304+A331+A358+A385+A412+A439+A466+A493+A520+A547+A574+A601+A628+A655+A682+A709+A736+A763+A790+A817+A844+A871+A898+A925+A952+A979+A1006+A1033+A1060+A1087+A1114+A1141+A1168+A1195+A1222+A1249+A1276+A1303+A1330+A1357+A1384+A1411+A1438+A1465+A1492+A1519+A1546+A1573+A1600+A1627+A1654+A1681+A1708+A1735+A1762+A1789+A1816+A1843+A1870+A1897+A1924)</f>
        <v>2328</v>
      </c>
    </row>
    <row r="10" spans="1:16" ht="42.75" customHeight="1" thickBot="1">
      <c r="A10" s="105">
        <f>A8*A7</f>
        <v>1550</v>
      </c>
      <c r="B10" s="106"/>
      <c r="C10" s="96" t="s">
        <v>7</v>
      </c>
      <c r="D10" s="97"/>
      <c r="E10" s="20"/>
    </row>
    <row r="11" spans="1:16" ht="42.75" customHeight="1" thickBot="1">
      <c r="A11" s="107" t="s">
        <v>17</v>
      </c>
      <c r="B11" s="108"/>
      <c r="C11" s="108"/>
      <c r="D11" s="109"/>
      <c r="E11" s="20"/>
    </row>
    <row r="12" spans="1:16" ht="42.75" customHeight="1" thickBot="1">
      <c r="A12" s="116" t="s">
        <v>20</v>
      </c>
      <c r="B12" s="117"/>
      <c r="C12" s="117"/>
      <c r="D12" s="118"/>
      <c r="E12" s="20"/>
    </row>
    <row r="13" spans="1:16" ht="42.75" customHeight="1" thickBot="1">
      <c r="A13" s="113" t="s">
        <v>18</v>
      </c>
      <c r="B13" s="114"/>
      <c r="C13" s="114"/>
      <c r="D13" s="115"/>
      <c r="E13" s="20"/>
    </row>
    <row r="14" spans="1:16" ht="42.75" customHeight="1" thickBot="1">
      <c r="A14" s="119"/>
      <c r="B14" s="119"/>
      <c r="C14" s="119"/>
      <c r="D14" s="119"/>
      <c r="E14" s="20"/>
    </row>
    <row r="15" spans="1:16" ht="42.75" customHeight="1" thickBot="1">
      <c r="A15" s="120" t="s">
        <v>19</v>
      </c>
      <c r="B15" s="121"/>
      <c r="C15" s="121"/>
      <c r="D15" s="122"/>
      <c r="E15" s="20"/>
    </row>
    <row r="16" spans="1:16" s="7" customFormat="1" ht="42.75" customHeight="1" thickBot="1">
      <c r="A16" s="123" t="s">
        <v>11</v>
      </c>
      <c r="B16" s="124"/>
      <c r="C16" s="125" t="s">
        <v>603</v>
      </c>
      <c r="D16" s="124"/>
      <c r="E16" s="6"/>
      <c r="J16" s="8"/>
      <c r="K16" s="8"/>
      <c r="L16" s="8"/>
      <c r="M16" s="8"/>
      <c r="N16" s="8"/>
      <c r="O16" s="8"/>
      <c r="P16" s="8"/>
    </row>
    <row r="17" spans="1:16" s="7" customFormat="1" ht="42.75" customHeight="1" thickBot="1">
      <c r="A17" s="1" t="s">
        <v>686</v>
      </c>
      <c r="B17" s="26" t="s">
        <v>1</v>
      </c>
      <c r="C17" s="90" t="s">
        <v>132</v>
      </c>
      <c r="D17" s="91"/>
      <c r="E17" s="6"/>
      <c r="J17" s="8"/>
      <c r="K17" s="8"/>
      <c r="L17" s="8"/>
      <c r="M17" s="8"/>
      <c r="N17" s="8"/>
      <c r="O17" s="8"/>
      <c r="P17" s="8"/>
    </row>
    <row r="18" spans="1:16" s="7" customFormat="1" ht="42.75" customHeight="1" thickBot="1">
      <c r="A18" s="26"/>
      <c r="B18" s="26" t="s">
        <v>0</v>
      </c>
      <c r="C18" s="5" t="s">
        <v>687</v>
      </c>
      <c r="D18" s="4" t="s">
        <v>2</v>
      </c>
      <c r="E18" s="21"/>
      <c r="J18" s="8"/>
      <c r="K18" s="8"/>
      <c r="L18" s="8"/>
      <c r="M18" s="8"/>
      <c r="N18" s="8"/>
      <c r="O18" s="8"/>
      <c r="P18" s="8"/>
    </row>
    <row r="19" spans="1:16" s="7" customFormat="1" ht="42.75" customHeight="1" thickBot="1">
      <c r="A19" s="92">
        <v>6185</v>
      </c>
      <c r="B19" s="93"/>
      <c r="C19" s="94" t="s">
        <v>3</v>
      </c>
      <c r="D19" s="95"/>
      <c r="E19" s="21"/>
      <c r="J19" s="8"/>
      <c r="K19" s="8"/>
      <c r="L19" s="8"/>
      <c r="M19" s="8"/>
      <c r="N19" s="8"/>
      <c r="O19" s="8"/>
      <c r="P19" s="8"/>
    </row>
    <row r="20" spans="1:16" s="7" customFormat="1" ht="42.75" customHeight="1" thickBot="1">
      <c r="A20" s="92">
        <v>6210</v>
      </c>
      <c r="B20" s="93"/>
      <c r="C20" s="96" t="s">
        <v>4</v>
      </c>
      <c r="D20" s="97"/>
      <c r="E20" s="22"/>
      <c r="J20" s="8"/>
      <c r="K20" s="8"/>
      <c r="L20" s="8"/>
      <c r="M20" s="8"/>
      <c r="N20" s="8"/>
      <c r="O20" s="8"/>
      <c r="P20" s="8"/>
    </row>
    <row r="21" spans="1:16" s="7" customFormat="1" ht="42.75" customHeight="1" thickBot="1">
      <c r="A21" s="98">
        <f>A20-A19</f>
        <v>25</v>
      </c>
      <c r="B21" s="99"/>
      <c r="C21" s="100" t="s">
        <v>5</v>
      </c>
      <c r="D21" s="97"/>
      <c r="E21" s="20"/>
      <c r="J21" s="8"/>
      <c r="K21" s="8"/>
      <c r="L21" s="8"/>
      <c r="M21" s="8"/>
      <c r="N21" s="8"/>
      <c r="O21" s="8"/>
      <c r="P21" s="8"/>
    </row>
    <row r="22" spans="1:16" s="7" customFormat="1" ht="42.75" customHeight="1" thickBot="1">
      <c r="A22" s="101">
        <v>62</v>
      </c>
      <c r="B22" s="102"/>
      <c r="C22" s="96" t="s">
        <v>6</v>
      </c>
      <c r="D22" s="97"/>
      <c r="E22" s="20"/>
      <c r="J22" s="8"/>
      <c r="K22" s="8"/>
      <c r="L22" s="8"/>
      <c r="M22" s="8"/>
      <c r="N22" s="8"/>
      <c r="O22" s="8"/>
      <c r="P22" s="8"/>
    </row>
    <row r="23" spans="1:16" s="7" customFormat="1" ht="42.75" customHeight="1" thickBot="1">
      <c r="A23" s="103"/>
      <c r="B23" s="104"/>
      <c r="C23" s="96" t="s">
        <v>21</v>
      </c>
      <c r="D23" s="97"/>
      <c r="E23" s="20"/>
      <c r="J23" s="8"/>
      <c r="K23" s="8"/>
      <c r="L23" s="8"/>
      <c r="M23" s="8"/>
      <c r="N23" s="8"/>
      <c r="O23" s="8"/>
      <c r="P23" s="8"/>
    </row>
    <row r="24" spans="1:16" s="7" customFormat="1" ht="42.75" customHeight="1" thickBot="1">
      <c r="A24" s="105">
        <f>A22*A21</f>
        <v>1550</v>
      </c>
      <c r="B24" s="106"/>
      <c r="C24" s="96" t="s">
        <v>7</v>
      </c>
      <c r="D24" s="97"/>
      <c r="E24" s="20"/>
      <c r="J24" s="8"/>
      <c r="K24" s="8"/>
      <c r="L24" s="8"/>
      <c r="M24" s="8"/>
      <c r="N24" s="8"/>
      <c r="O24" s="8"/>
      <c r="P24" s="8"/>
    </row>
    <row r="25" spans="1:16" s="7" customFormat="1" ht="42.75" customHeight="1" thickBot="1">
      <c r="A25" s="107" t="s">
        <v>17</v>
      </c>
      <c r="B25" s="108"/>
      <c r="C25" s="108"/>
      <c r="D25" s="109"/>
      <c r="E25" s="20"/>
      <c r="J25" s="8"/>
      <c r="K25" s="8"/>
      <c r="L25" s="8"/>
      <c r="M25" s="8"/>
      <c r="N25" s="8"/>
      <c r="O25" s="8"/>
      <c r="P25" s="8"/>
    </row>
    <row r="26" spans="1:16" s="7" customFormat="1" ht="42.75" customHeight="1" thickBot="1">
      <c r="A26" s="110" t="s">
        <v>20</v>
      </c>
      <c r="B26" s="111"/>
      <c r="C26" s="111"/>
      <c r="D26" s="112"/>
      <c r="E26" s="20"/>
      <c r="J26" s="8"/>
      <c r="K26" s="8"/>
      <c r="L26" s="8"/>
      <c r="M26" s="8"/>
      <c r="N26" s="8"/>
      <c r="O26" s="8"/>
      <c r="P26" s="8"/>
    </row>
    <row r="27" spans="1:16" s="7" customFormat="1" ht="42.75" customHeight="1" thickBot="1">
      <c r="A27" s="113" t="s">
        <v>18</v>
      </c>
      <c r="B27" s="114"/>
      <c r="C27" s="114"/>
      <c r="D27" s="115"/>
      <c r="E27" s="20" t="s">
        <v>10</v>
      </c>
      <c r="J27" s="8"/>
      <c r="K27" s="8"/>
      <c r="L27" s="8"/>
      <c r="M27" s="8"/>
      <c r="N27" s="8"/>
      <c r="O27" s="8"/>
      <c r="P27" s="8"/>
    </row>
    <row r="28" spans="1:16" s="7" customFormat="1" ht="42.75" customHeight="1" thickBot="1">
      <c r="A28" s="126" t="s">
        <v>19</v>
      </c>
      <c r="B28" s="127"/>
      <c r="C28" s="127"/>
      <c r="D28" s="128"/>
      <c r="E28" s="20"/>
      <c r="J28" s="8"/>
      <c r="K28" s="8"/>
      <c r="L28" s="8"/>
      <c r="M28" s="8"/>
      <c r="N28" s="8"/>
      <c r="O28" s="8"/>
      <c r="P28" s="8"/>
    </row>
    <row r="29" spans="1:16" s="7" customFormat="1" ht="42.75" customHeight="1" thickBot="1">
      <c r="A29" s="123" t="s">
        <v>11</v>
      </c>
      <c r="B29" s="124"/>
      <c r="C29" s="125" t="s">
        <v>603</v>
      </c>
      <c r="D29" s="124"/>
      <c r="E29" s="20"/>
      <c r="J29" s="8"/>
      <c r="K29" s="8"/>
      <c r="L29" s="8"/>
      <c r="M29" s="8"/>
      <c r="N29" s="8"/>
      <c r="O29" s="8"/>
      <c r="P29" s="8"/>
    </row>
    <row r="30" spans="1:16" s="7" customFormat="1" ht="42.75" customHeight="1" thickBot="1">
      <c r="A30" s="1" t="s">
        <v>686</v>
      </c>
      <c r="B30" s="26" t="s">
        <v>1</v>
      </c>
      <c r="C30" s="90" t="s">
        <v>70</v>
      </c>
      <c r="D30" s="91"/>
      <c r="E30" s="6"/>
      <c r="J30" s="8"/>
      <c r="K30" s="8"/>
      <c r="L30" s="8"/>
      <c r="M30" s="8"/>
      <c r="N30" s="8"/>
      <c r="O30" s="8"/>
      <c r="P30" s="8"/>
    </row>
    <row r="31" spans="1:16" s="7" customFormat="1" ht="42.75" customHeight="1" thickBot="1">
      <c r="A31" s="26"/>
      <c r="B31" s="26" t="s">
        <v>0</v>
      </c>
      <c r="C31" s="5" t="s">
        <v>687</v>
      </c>
      <c r="D31" s="4" t="s">
        <v>2</v>
      </c>
      <c r="E31" s="6"/>
      <c r="J31" s="8"/>
      <c r="K31" s="8"/>
      <c r="L31" s="8"/>
      <c r="M31" s="8"/>
      <c r="N31" s="8"/>
      <c r="O31" s="8"/>
      <c r="P31" s="8"/>
    </row>
    <row r="32" spans="1:16" s="7" customFormat="1" ht="42.75" customHeight="1" thickBot="1">
      <c r="A32" s="92">
        <v>3904</v>
      </c>
      <c r="B32" s="93"/>
      <c r="C32" s="94" t="s">
        <v>3</v>
      </c>
      <c r="D32" s="95"/>
      <c r="E32" s="21"/>
      <c r="J32" s="8"/>
      <c r="K32" s="8"/>
      <c r="L32" s="8"/>
      <c r="M32" s="8"/>
      <c r="N32" s="8"/>
      <c r="O32" s="8"/>
      <c r="P32" s="8"/>
    </row>
    <row r="33" spans="1:16" s="7" customFormat="1" ht="42.75" customHeight="1" thickBot="1">
      <c r="A33" s="92">
        <v>3930</v>
      </c>
      <c r="B33" s="93"/>
      <c r="C33" s="96" t="s">
        <v>4</v>
      </c>
      <c r="D33" s="97"/>
      <c r="E33" s="21"/>
      <c r="J33" s="8"/>
      <c r="K33" s="8"/>
      <c r="L33" s="8"/>
      <c r="M33" s="8"/>
      <c r="N33" s="8"/>
      <c r="O33" s="8"/>
      <c r="P33" s="8"/>
    </row>
    <row r="34" spans="1:16" s="7" customFormat="1" ht="42.75" customHeight="1" thickBot="1">
      <c r="A34" s="98">
        <f>A33-A32</f>
        <v>26</v>
      </c>
      <c r="B34" s="99"/>
      <c r="C34" s="100" t="s">
        <v>5</v>
      </c>
      <c r="D34" s="97"/>
      <c r="E34" s="22"/>
      <c r="J34" s="8"/>
      <c r="K34" s="8"/>
      <c r="L34" s="8"/>
      <c r="M34" s="8"/>
      <c r="N34" s="8"/>
      <c r="O34" s="8"/>
      <c r="P34" s="8"/>
    </row>
    <row r="35" spans="1:16" s="7" customFormat="1" ht="42.75" customHeight="1" thickBot="1">
      <c r="A35" s="101">
        <v>62</v>
      </c>
      <c r="B35" s="102"/>
      <c r="C35" s="96" t="s">
        <v>6</v>
      </c>
      <c r="D35" s="97"/>
      <c r="E35" s="20"/>
      <c r="J35" s="8"/>
      <c r="K35" s="8"/>
      <c r="L35" s="8"/>
      <c r="M35" s="8"/>
      <c r="N35" s="8"/>
      <c r="O35" s="8"/>
      <c r="P35" s="8"/>
    </row>
    <row r="36" spans="1:16" s="7" customFormat="1" ht="42.75" customHeight="1" thickBot="1">
      <c r="A36" s="103"/>
      <c r="B36" s="104"/>
      <c r="C36" s="96" t="s">
        <v>21</v>
      </c>
      <c r="D36" s="97"/>
      <c r="E36" s="20"/>
      <c r="J36" s="8"/>
      <c r="K36" s="8"/>
      <c r="L36" s="8"/>
      <c r="M36" s="8"/>
      <c r="N36" s="8"/>
      <c r="O36" s="8"/>
      <c r="P36" s="8"/>
    </row>
    <row r="37" spans="1:16" s="7" customFormat="1" ht="42.75" customHeight="1" thickBot="1">
      <c r="A37" s="105">
        <v>1600</v>
      </c>
      <c r="B37" s="106"/>
      <c r="C37" s="96" t="s">
        <v>7</v>
      </c>
      <c r="D37" s="97"/>
      <c r="E37" s="20"/>
      <c r="J37" s="8"/>
      <c r="K37" s="8"/>
      <c r="L37" s="8"/>
      <c r="M37" s="8"/>
      <c r="N37" s="8"/>
      <c r="O37" s="8"/>
      <c r="P37" s="8"/>
    </row>
    <row r="38" spans="1:16" s="7" customFormat="1" ht="42.75" customHeight="1" thickBot="1">
      <c r="A38" s="107" t="s">
        <v>17</v>
      </c>
      <c r="B38" s="108"/>
      <c r="C38" s="108"/>
      <c r="D38" s="109"/>
      <c r="E38" s="20"/>
      <c r="J38" s="8"/>
      <c r="K38" s="8"/>
      <c r="L38" s="8"/>
      <c r="M38" s="8"/>
      <c r="N38" s="8"/>
      <c r="O38" s="8"/>
      <c r="P38" s="8"/>
    </row>
    <row r="39" spans="1:16" s="7" customFormat="1" ht="42.75" customHeight="1" thickBot="1">
      <c r="A39" s="116" t="s">
        <v>20</v>
      </c>
      <c r="B39" s="117"/>
      <c r="C39" s="117"/>
      <c r="D39" s="118"/>
      <c r="E39" s="20"/>
      <c r="J39" s="8"/>
      <c r="K39" s="8"/>
      <c r="L39" s="8"/>
      <c r="M39" s="8"/>
      <c r="N39" s="8"/>
      <c r="O39" s="8"/>
      <c r="P39" s="8"/>
    </row>
    <row r="40" spans="1:16" s="7" customFormat="1" ht="42.75" customHeight="1" thickBot="1">
      <c r="A40" s="113" t="s">
        <v>18</v>
      </c>
      <c r="B40" s="114"/>
      <c r="C40" s="114"/>
      <c r="D40" s="115"/>
      <c r="E40" s="20"/>
      <c r="J40" s="8"/>
      <c r="K40" s="8"/>
      <c r="L40" s="8"/>
      <c r="M40" s="8"/>
      <c r="N40" s="8"/>
      <c r="O40" s="8"/>
      <c r="P40" s="8"/>
    </row>
    <row r="41" spans="1:16" s="7" customFormat="1" ht="42.75" customHeight="1" thickBot="1">
      <c r="A41" s="119"/>
      <c r="B41" s="119"/>
      <c r="C41" s="119"/>
      <c r="D41" s="119"/>
      <c r="E41" s="20"/>
      <c r="J41" s="8"/>
      <c r="K41" s="8"/>
      <c r="L41" s="8"/>
      <c r="M41" s="8"/>
      <c r="N41" s="8"/>
      <c r="O41" s="8"/>
      <c r="P41" s="8"/>
    </row>
    <row r="42" spans="1:16" s="7" customFormat="1" ht="42.75" customHeight="1" thickBot="1">
      <c r="A42" s="126" t="s">
        <v>19</v>
      </c>
      <c r="B42" s="127"/>
      <c r="C42" s="127"/>
      <c r="D42" s="128"/>
      <c r="E42" s="20"/>
      <c r="J42" s="8"/>
      <c r="K42" s="8"/>
      <c r="L42" s="8"/>
      <c r="M42" s="8"/>
      <c r="N42" s="8"/>
      <c r="O42" s="8"/>
      <c r="P42" s="8"/>
    </row>
    <row r="43" spans="1:16" s="7" customFormat="1" ht="42.75" customHeight="1" thickBot="1">
      <c r="A43" s="123" t="s">
        <v>11</v>
      </c>
      <c r="B43" s="124"/>
      <c r="C43" s="125" t="s">
        <v>603</v>
      </c>
      <c r="D43" s="124"/>
      <c r="E43" s="20"/>
      <c r="J43" s="8"/>
      <c r="K43" s="8"/>
      <c r="L43" s="8"/>
      <c r="M43" s="8"/>
      <c r="N43" s="8"/>
      <c r="O43" s="8"/>
      <c r="P43" s="8"/>
    </row>
    <row r="44" spans="1:16" s="7" customFormat="1" ht="42.75" customHeight="1" thickBot="1">
      <c r="A44" s="1" t="s">
        <v>686</v>
      </c>
      <c r="B44" s="26" t="s">
        <v>1</v>
      </c>
      <c r="C44" s="90" t="s">
        <v>70</v>
      </c>
      <c r="D44" s="91"/>
      <c r="E44" s="20"/>
      <c r="J44" s="8"/>
      <c r="K44" s="8"/>
      <c r="L44" s="8"/>
      <c r="M44" s="8"/>
      <c r="N44" s="8"/>
      <c r="O44" s="8"/>
      <c r="P44" s="8"/>
    </row>
    <row r="45" spans="1:16" s="7" customFormat="1" ht="42.75" customHeight="1" thickBot="1">
      <c r="A45" s="26"/>
      <c r="B45" s="26" t="s">
        <v>0</v>
      </c>
      <c r="C45" s="5" t="s">
        <v>687</v>
      </c>
      <c r="D45" s="4" t="s">
        <v>2</v>
      </c>
      <c r="E45" s="20"/>
      <c r="J45" s="8"/>
      <c r="K45" s="8"/>
      <c r="L45" s="8"/>
      <c r="M45" s="8"/>
      <c r="N45" s="8"/>
      <c r="O45" s="8"/>
      <c r="P45" s="8"/>
    </row>
    <row r="46" spans="1:16" s="7" customFormat="1" ht="42.75" customHeight="1" thickBot="1">
      <c r="A46" s="92">
        <v>3904</v>
      </c>
      <c r="B46" s="93"/>
      <c r="C46" s="94" t="s">
        <v>3</v>
      </c>
      <c r="D46" s="95"/>
      <c r="E46" s="6"/>
      <c r="J46" s="8"/>
      <c r="K46" s="8"/>
      <c r="L46" s="8"/>
      <c r="M46" s="8"/>
      <c r="N46" s="8"/>
      <c r="O46" s="8"/>
      <c r="P46" s="8"/>
    </row>
    <row r="47" spans="1:16" s="7" customFormat="1" ht="42.75" customHeight="1" thickBot="1">
      <c r="A47" s="92">
        <v>3930</v>
      </c>
      <c r="B47" s="93"/>
      <c r="C47" s="96" t="s">
        <v>4</v>
      </c>
      <c r="D47" s="97"/>
      <c r="E47" s="6"/>
      <c r="J47" s="8"/>
      <c r="K47" s="8"/>
      <c r="L47" s="8"/>
      <c r="M47" s="8"/>
      <c r="N47" s="8"/>
      <c r="O47" s="8"/>
      <c r="P47" s="8"/>
    </row>
    <row r="48" spans="1:16" s="7" customFormat="1" ht="42.75" customHeight="1" thickBot="1">
      <c r="A48" s="98">
        <f>A47-A46</f>
        <v>26</v>
      </c>
      <c r="B48" s="99"/>
      <c r="C48" s="100" t="s">
        <v>5</v>
      </c>
      <c r="D48" s="97"/>
      <c r="E48" s="21"/>
      <c r="J48" s="8"/>
      <c r="K48" s="8"/>
      <c r="L48" s="8"/>
      <c r="M48" s="8"/>
      <c r="N48" s="8"/>
      <c r="O48" s="8"/>
      <c r="P48" s="8"/>
    </row>
    <row r="49" spans="1:16" s="7" customFormat="1" ht="42.75" customHeight="1" thickBot="1">
      <c r="A49" s="101">
        <v>62</v>
      </c>
      <c r="B49" s="102"/>
      <c r="C49" s="96" t="s">
        <v>6</v>
      </c>
      <c r="D49" s="97"/>
      <c r="E49" s="21"/>
      <c r="J49" s="8"/>
      <c r="K49" s="8"/>
      <c r="L49" s="8"/>
      <c r="M49" s="8"/>
      <c r="N49" s="8"/>
      <c r="O49" s="8"/>
      <c r="P49" s="8"/>
    </row>
    <row r="50" spans="1:16" s="7" customFormat="1" ht="42.75" customHeight="1" thickBot="1">
      <c r="A50" s="103"/>
      <c r="B50" s="104"/>
      <c r="C50" s="96" t="s">
        <v>21</v>
      </c>
      <c r="D50" s="97"/>
      <c r="E50" s="22"/>
      <c r="J50" s="8"/>
      <c r="K50" s="8"/>
      <c r="L50" s="8"/>
      <c r="M50" s="8"/>
      <c r="N50" s="8"/>
      <c r="O50" s="8"/>
      <c r="P50" s="8"/>
    </row>
    <row r="51" spans="1:16" s="7" customFormat="1" ht="42.75" customHeight="1" thickBot="1">
      <c r="A51" s="105">
        <v>1600</v>
      </c>
      <c r="B51" s="106"/>
      <c r="C51" s="96" t="s">
        <v>7</v>
      </c>
      <c r="D51" s="97"/>
      <c r="E51" s="20"/>
      <c r="J51" s="8"/>
      <c r="K51" s="8"/>
      <c r="L51" s="8"/>
      <c r="M51" s="8"/>
      <c r="N51" s="8"/>
      <c r="O51" s="8"/>
      <c r="P51" s="8"/>
    </row>
    <row r="52" spans="1:16" s="7" customFormat="1" ht="42.75" customHeight="1" thickBot="1">
      <c r="A52" s="107" t="s">
        <v>17</v>
      </c>
      <c r="B52" s="108"/>
      <c r="C52" s="108"/>
      <c r="D52" s="109"/>
      <c r="E52" s="20"/>
      <c r="J52" s="8"/>
      <c r="K52" s="8"/>
      <c r="L52" s="8"/>
      <c r="M52" s="8"/>
      <c r="N52" s="8"/>
      <c r="O52" s="8"/>
      <c r="P52" s="8"/>
    </row>
    <row r="53" spans="1:16" s="7" customFormat="1" ht="42.75" customHeight="1" thickBot="1">
      <c r="A53" s="110" t="s">
        <v>20</v>
      </c>
      <c r="B53" s="111"/>
      <c r="C53" s="111"/>
      <c r="D53" s="112"/>
      <c r="E53" s="20"/>
      <c r="J53" s="8"/>
      <c r="K53" s="8"/>
      <c r="L53" s="8"/>
      <c r="M53" s="8"/>
      <c r="N53" s="8"/>
      <c r="O53" s="8"/>
      <c r="P53" s="8"/>
    </row>
    <row r="54" spans="1:16" s="7" customFormat="1" ht="42.75" customHeight="1" thickBot="1">
      <c r="A54" s="113" t="s">
        <v>18</v>
      </c>
      <c r="B54" s="114"/>
      <c r="C54" s="114"/>
      <c r="D54" s="115"/>
      <c r="E54" s="20"/>
      <c r="J54" s="8"/>
      <c r="K54" s="8"/>
      <c r="L54" s="8"/>
      <c r="M54" s="8"/>
      <c r="N54" s="8"/>
      <c r="O54" s="8"/>
      <c r="P54" s="8"/>
    </row>
    <row r="55" spans="1:16" s="7" customFormat="1" ht="42.75" customHeight="1" thickBot="1">
      <c r="A55" s="126" t="s">
        <v>19</v>
      </c>
      <c r="B55" s="127"/>
      <c r="C55" s="127"/>
      <c r="D55" s="128"/>
      <c r="E55" s="20"/>
      <c r="J55" s="8"/>
      <c r="K55" s="8"/>
      <c r="L55" s="8"/>
      <c r="M55" s="8"/>
      <c r="N55" s="8"/>
      <c r="O55" s="8"/>
      <c r="P55" s="8"/>
    </row>
    <row r="56" spans="1:16" s="7" customFormat="1" ht="42.75" customHeight="1" thickBot="1">
      <c r="A56" s="123" t="s">
        <v>11</v>
      </c>
      <c r="B56" s="124"/>
      <c r="C56" s="125" t="s">
        <v>603</v>
      </c>
      <c r="D56" s="124"/>
      <c r="E56" s="20"/>
      <c r="J56" s="8"/>
      <c r="K56" s="8"/>
      <c r="L56" s="8"/>
      <c r="M56" s="8"/>
      <c r="N56" s="8"/>
      <c r="O56" s="8"/>
      <c r="P56" s="8"/>
    </row>
    <row r="57" spans="1:16" s="7" customFormat="1" ht="42.75" customHeight="1" thickBot="1">
      <c r="A57" s="1" t="s">
        <v>686</v>
      </c>
      <c r="B57" s="26" t="s">
        <v>1</v>
      </c>
      <c r="C57" s="90" t="s">
        <v>522</v>
      </c>
      <c r="D57" s="91"/>
      <c r="E57" s="20"/>
      <c r="J57" s="8"/>
      <c r="K57" s="8"/>
      <c r="L57" s="8"/>
      <c r="M57" s="8"/>
      <c r="N57" s="8"/>
      <c r="O57" s="8"/>
      <c r="P57" s="8"/>
    </row>
    <row r="58" spans="1:16" s="7" customFormat="1" ht="42.75" customHeight="1" thickBot="1">
      <c r="A58" s="26"/>
      <c r="B58" s="26" t="s">
        <v>0</v>
      </c>
      <c r="C58" s="5" t="s">
        <v>687</v>
      </c>
      <c r="D58" s="4" t="s">
        <v>2</v>
      </c>
      <c r="E58" s="20"/>
      <c r="J58" s="8"/>
      <c r="K58" s="8"/>
      <c r="L58" s="8"/>
      <c r="M58" s="8"/>
      <c r="N58" s="8"/>
      <c r="O58" s="8"/>
      <c r="P58" s="8"/>
    </row>
    <row r="59" spans="1:16" s="7" customFormat="1" ht="42.75" customHeight="1" thickBot="1">
      <c r="A59" s="92">
        <v>5460</v>
      </c>
      <c r="B59" s="93"/>
      <c r="C59" s="94" t="s">
        <v>3</v>
      </c>
      <c r="D59" s="95"/>
      <c r="E59" s="20"/>
      <c r="J59" s="8"/>
      <c r="K59" s="8"/>
      <c r="L59" s="8"/>
      <c r="M59" s="8"/>
      <c r="N59" s="8"/>
      <c r="O59" s="8"/>
      <c r="P59" s="8"/>
    </row>
    <row r="60" spans="1:16" s="7" customFormat="1" ht="42.75" customHeight="1" thickBot="1">
      <c r="A60" s="92">
        <v>5515</v>
      </c>
      <c r="B60" s="93"/>
      <c r="C60" s="96" t="s">
        <v>4</v>
      </c>
      <c r="D60" s="97"/>
      <c r="E60" s="20"/>
      <c r="J60" s="8"/>
      <c r="K60" s="8"/>
      <c r="L60" s="8"/>
      <c r="M60" s="8"/>
      <c r="N60" s="8"/>
      <c r="O60" s="8"/>
      <c r="P60" s="8"/>
    </row>
    <row r="61" spans="1:16" s="7" customFormat="1" ht="42.75" customHeight="1" thickBot="1">
      <c r="A61" s="98">
        <f>A60-A59</f>
        <v>55</v>
      </c>
      <c r="B61" s="99"/>
      <c r="C61" s="100" t="s">
        <v>5</v>
      </c>
      <c r="D61" s="97"/>
      <c r="E61" s="6"/>
      <c r="J61" s="8"/>
      <c r="K61" s="8"/>
      <c r="L61" s="8"/>
      <c r="M61" s="8"/>
      <c r="N61" s="8"/>
      <c r="O61" s="8"/>
      <c r="P61" s="8"/>
    </row>
    <row r="62" spans="1:16" s="7" customFormat="1" ht="42.75" customHeight="1" thickBot="1">
      <c r="A62" s="101">
        <v>62</v>
      </c>
      <c r="B62" s="102"/>
      <c r="C62" s="96" t="s">
        <v>6</v>
      </c>
      <c r="D62" s="97"/>
      <c r="E62" s="6"/>
      <c r="J62" s="8"/>
      <c r="K62" s="8"/>
      <c r="L62" s="8"/>
      <c r="M62" s="8"/>
      <c r="N62" s="8"/>
      <c r="O62" s="8"/>
      <c r="P62" s="8"/>
    </row>
    <row r="63" spans="1:16" s="7" customFormat="1" ht="42.75" customHeight="1" thickBot="1">
      <c r="A63" s="103"/>
      <c r="B63" s="104"/>
      <c r="C63" s="96" t="s">
        <v>21</v>
      </c>
      <c r="D63" s="97"/>
      <c r="E63" s="21"/>
      <c r="J63" s="8"/>
      <c r="K63" s="8"/>
      <c r="L63" s="8"/>
      <c r="M63" s="8"/>
      <c r="N63" s="8"/>
      <c r="O63" s="8"/>
      <c r="P63" s="8"/>
    </row>
    <row r="64" spans="1:16" s="7" customFormat="1" ht="42.75" customHeight="1" thickBot="1">
      <c r="A64" s="105">
        <v>3400</v>
      </c>
      <c r="B64" s="106"/>
      <c r="C64" s="96" t="s">
        <v>7</v>
      </c>
      <c r="D64" s="97"/>
      <c r="E64" s="21"/>
      <c r="J64" s="8"/>
      <c r="K64" s="8"/>
      <c r="L64" s="8"/>
      <c r="M64" s="8"/>
      <c r="N64" s="8"/>
      <c r="O64" s="8"/>
      <c r="P64" s="8"/>
    </row>
    <row r="65" spans="1:16" s="7" customFormat="1" ht="42.75" customHeight="1" thickBot="1">
      <c r="A65" s="107" t="s">
        <v>17</v>
      </c>
      <c r="B65" s="108"/>
      <c r="C65" s="108"/>
      <c r="D65" s="109"/>
      <c r="E65" s="22"/>
      <c r="J65" s="8"/>
      <c r="K65" s="8"/>
      <c r="L65" s="8"/>
      <c r="M65" s="8"/>
      <c r="N65" s="8"/>
      <c r="O65" s="8"/>
      <c r="P65" s="8"/>
    </row>
    <row r="66" spans="1:16" s="7" customFormat="1" ht="42.75" customHeight="1" thickBot="1">
      <c r="A66" s="116" t="s">
        <v>20</v>
      </c>
      <c r="B66" s="117"/>
      <c r="C66" s="117"/>
      <c r="D66" s="118"/>
      <c r="E66" s="20"/>
      <c r="J66" s="8"/>
      <c r="K66" s="8"/>
      <c r="L66" s="8"/>
      <c r="M66" s="8"/>
      <c r="N66" s="8"/>
      <c r="O66" s="8"/>
      <c r="P66" s="8"/>
    </row>
    <row r="67" spans="1:16" s="7" customFormat="1" ht="42.75" customHeight="1" thickBot="1">
      <c r="A67" s="113" t="s">
        <v>18</v>
      </c>
      <c r="B67" s="114"/>
      <c r="C67" s="114"/>
      <c r="D67" s="115"/>
      <c r="E67" s="20"/>
      <c r="J67" s="8"/>
      <c r="K67" s="8"/>
      <c r="L67" s="8"/>
      <c r="M67" s="8"/>
      <c r="N67" s="8"/>
      <c r="O67" s="8"/>
      <c r="P67" s="8"/>
    </row>
    <row r="68" spans="1:16" s="7" customFormat="1" ht="42.75" customHeight="1" thickBot="1">
      <c r="A68" s="119"/>
      <c r="B68" s="119"/>
      <c r="C68" s="119"/>
      <c r="D68" s="119"/>
      <c r="E68" s="20"/>
      <c r="J68" s="8"/>
      <c r="K68" s="8"/>
      <c r="L68" s="8"/>
      <c r="M68" s="8"/>
      <c r="N68" s="8"/>
      <c r="O68" s="8"/>
      <c r="P68" s="8"/>
    </row>
    <row r="69" spans="1:16" s="7" customFormat="1" ht="42.75" customHeight="1" thickBot="1">
      <c r="A69" s="126" t="s">
        <v>19</v>
      </c>
      <c r="B69" s="127"/>
      <c r="C69" s="127"/>
      <c r="D69" s="128"/>
      <c r="E69" s="20"/>
      <c r="J69" s="8"/>
      <c r="K69" s="8"/>
      <c r="L69" s="8"/>
      <c r="M69" s="8"/>
      <c r="N69" s="8"/>
      <c r="O69" s="8"/>
      <c r="P69" s="8"/>
    </row>
    <row r="70" spans="1:16" s="7" customFormat="1" ht="42.75" customHeight="1" thickBot="1">
      <c r="A70" s="123" t="s">
        <v>11</v>
      </c>
      <c r="B70" s="124"/>
      <c r="C70" s="125" t="s">
        <v>603</v>
      </c>
      <c r="D70" s="124"/>
      <c r="E70" s="20"/>
      <c r="J70" s="8"/>
      <c r="K70" s="8"/>
      <c r="L70" s="8"/>
      <c r="M70" s="8"/>
      <c r="N70" s="8"/>
      <c r="O70" s="8"/>
      <c r="P70" s="8"/>
    </row>
    <row r="71" spans="1:16" s="7" customFormat="1" ht="42.75" customHeight="1" thickBot="1">
      <c r="A71" s="1" t="s">
        <v>686</v>
      </c>
      <c r="B71" s="26" t="s">
        <v>1</v>
      </c>
      <c r="C71" s="90" t="s">
        <v>522</v>
      </c>
      <c r="D71" s="91"/>
      <c r="E71" s="20"/>
      <c r="J71" s="8"/>
      <c r="K71" s="8"/>
      <c r="L71" s="8"/>
      <c r="M71" s="8"/>
      <c r="N71" s="8"/>
      <c r="O71" s="8"/>
      <c r="P71" s="8"/>
    </row>
    <row r="72" spans="1:16" s="7" customFormat="1" ht="42.75" customHeight="1" thickBot="1">
      <c r="A72" s="26"/>
      <c r="B72" s="26" t="s">
        <v>0</v>
      </c>
      <c r="C72" s="5" t="s">
        <v>687</v>
      </c>
      <c r="D72" s="4" t="s">
        <v>2</v>
      </c>
      <c r="E72" s="20"/>
      <c r="J72" s="8"/>
      <c r="K72" s="8"/>
      <c r="L72" s="8"/>
      <c r="M72" s="8"/>
      <c r="N72" s="8"/>
      <c r="O72" s="8"/>
      <c r="P72" s="8"/>
    </row>
    <row r="73" spans="1:16" s="7" customFormat="1" ht="42.75" customHeight="1" thickBot="1">
      <c r="A73" s="92">
        <v>5460</v>
      </c>
      <c r="B73" s="93"/>
      <c r="C73" s="94" t="s">
        <v>3</v>
      </c>
      <c r="D73" s="95"/>
      <c r="E73" s="20"/>
      <c r="J73" s="8"/>
      <c r="K73" s="8"/>
      <c r="L73" s="8"/>
      <c r="M73" s="8"/>
      <c r="N73" s="8"/>
      <c r="O73" s="8"/>
      <c r="P73" s="8"/>
    </row>
    <row r="74" spans="1:16" s="7" customFormat="1" ht="42.75" customHeight="1" thickBot="1">
      <c r="A74" s="92">
        <v>5515</v>
      </c>
      <c r="B74" s="93"/>
      <c r="C74" s="96" t="s">
        <v>4</v>
      </c>
      <c r="D74" s="97"/>
      <c r="E74" s="20"/>
      <c r="J74" s="8"/>
      <c r="K74" s="8"/>
      <c r="L74" s="8"/>
      <c r="M74" s="8"/>
      <c r="N74" s="8"/>
      <c r="O74" s="8"/>
      <c r="P74" s="8"/>
    </row>
    <row r="75" spans="1:16" s="7" customFormat="1" ht="42.75" customHeight="1" thickBot="1">
      <c r="A75" s="98">
        <f>A74-A73</f>
        <v>55</v>
      </c>
      <c r="B75" s="99"/>
      <c r="C75" s="100" t="s">
        <v>5</v>
      </c>
      <c r="D75" s="97"/>
      <c r="E75" s="20"/>
      <c r="J75" s="8"/>
      <c r="K75" s="8"/>
      <c r="L75" s="8"/>
      <c r="M75" s="8"/>
      <c r="N75" s="8"/>
      <c r="O75" s="8"/>
      <c r="P75" s="8"/>
    </row>
    <row r="76" spans="1:16" s="7" customFormat="1" ht="42.75" customHeight="1" thickBot="1">
      <c r="A76" s="101">
        <v>62</v>
      </c>
      <c r="B76" s="102"/>
      <c r="C76" s="96" t="s">
        <v>6</v>
      </c>
      <c r="D76" s="97"/>
      <c r="E76" s="20"/>
      <c r="J76" s="8"/>
      <c r="K76" s="8"/>
      <c r="L76" s="8"/>
      <c r="M76" s="8"/>
      <c r="N76" s="8"/>
      <c r="O76" s="8"/>
      <c r="P76" s="8"/>
    </row>
    <row r="77" spans="1:16" s="7" customFormat="1" ht="42.75" customHeight="1" thickBot="1">
      <c r="A77" s="103"/>
      <c r="B77" s="104"/>
      <c r="C77" s="96" t="s">
        <v>21</v>
      </c>
      <c r="D77" s="97"/>
      <c r="E77" s="6"/>
      <c r="J77" s="8"/>
      <c r="K77" s="8"/>
      <c r="L77" s="8"/>
      <c r="M77" s="8"/>
      <c r="N77" s="8"/>
      <c r="O77" s="8"/>
      <c r="P77" s="8"/>
    </row>
    <row r="78" spans="1:16" s="7" customFormat="1" ht="42.75" customHeight="1" thickBot="1">
      <c r="A78" s="105">
        <v>3400</v>
      </c>
      <c r="B78" s="106"/>
      <c r="C78" s="96" t="s">
        <v>7</v>
      </c>
      <c r="D78" s="97"/>
      <c r="E78" s="6"/>
      <c r="J78" s="8"/>
      <c r="K78" s="8"/>
      <c r="L78" s="8"/>
      <c r="M78" s="8"/>
      <c r="N78" s="8"/>
      <c r="O78" s="8"/>
      <c r="P78" s="8"/>
    </row>
    <row r="79" spans="1:16" s="7" customFormat="1" ht="42.75" customHeight="1" thickBot="1">
      <c r="A79" s="107" t="s">
        <v>17</v>
      </c>
      <c r="B79" s="108"/>
      <c r="C79" s="108"/>
      <c r="D79" s="109"/>
      <c r="E79" s="21"/>
      <c r="J79" s="8"/>
      <c r="K79" s="8"/>
      <c r="L79" s="8"/>
      <c r="M79" s="8"/>
      <c r="N79" s="8"/>
      <c r="O79" s="8"/>
      <c r="P79" s="8"/>
    </row>
    <row r="80" spans="1:16" s="7" customFormat="1" ht="42.75" customHeight="1" thickBot="1">
      <c r="A80" s="110" t="s">
        <v>20</v>
      </c>
      <c r="B80" s="111"/>
      <c r="C80" s="111"/>
      <c r="D80" s="112"/>
      <c r="E80" s="21"/>
      <c r="J80" s="8"/>
      <c r="K80" s="8"/>
      <c r="L80" s="8"/>
      <c r="M80" s="8"/>
      <c r="N80" s="8"/>
      <c r="O80" s="8"/>
      <c r="P80" s="8"/>
    </row>
    <row r="81" spans="1:16" s="7" customFormat="1" ht="42.75" customHeight="1" thickBot="1">
      <c r="A81" s="113" t="s">
        <v>18</v>
      </c>
      <c r="B81" s="114"/>
      <c r="C81" s="114"/>
      <c r="D81" s="115"/>
      <c r="E81" s="22"/>
      <c r="J81" s="8"/>
      <c r="K81" s="8"/>
      <c r="L81" s="8"/>
      <c r="M81" s="8"/>
      <c r="N81" s="8"/>
      <c r="O81" s="8"/>
      <c r="P81" s="8"/>
    </row>
    <row r="82" spans="1:16" ht="42.75" customHeight="1" thickBot="1">
      <c r="A82" s="126" t="s">
        <v>19</v>
      </c>
      <c r="B82" s="127"/>
      <c r="C82" s="127"/>
      <c r="D82" s="128"/>
    </row>
    <row r="83" spans="1:16" ht="42.75" customHeight="1" thickBot="1">
      <c r="A83" s="123" t="s">
        <v>11</v>
      </c>
      <c r="B83" s="124"/>
      <c r="C83" s="125" t="s">
        <v>603</v>
      </c>
      <c r="D83" s="124"/>
    </row>
    <row r="84" spans="1:16" ht="42.75" customHeight="1" thickBot="1">
      <c r="A84" s="1" t="s">
        <v>686</v>
      </c>
      <c r="B84" s="26" t="s">
        <v>1</v>
      </c>
      <c r="C84" s="90" t="s">
        <v>61</v>
      </c>
      <c r="D84" s="91"/>
    </row>
    <row r="85" spans="1:16" ht="42.75" customHeight="1" thickBot="1">
      <c r="A85" s="26"/>
      <c r="B85" s="26" t="s">
        <v>0</v>
      </c>
      <c r="C85" s="5" t="s">
        <v>687</v>
      </c>
      <c r="D85" s="4" t="s">
        <v>2</v>
      </c>
    </row>
    <row r="86" spans="1:16" ht="42.75" customHeight="1" thickBot="1">
      <c r="A86" s="92">
        <v>640</v>
      </c>
      <c r="B86" s="93"/>
      <c r="C86" s="94" t="s">
        <v>3</v>
      </c>
      <c r="D86" s="95"/>
    </row>
    <row r="87" spans="1:16" ht="42.75" customHeight="1" thickBot="1">
      <c r="A87" s="92">
        <v>765</v>
      </c>
      <c r="B87" s="93"/>
      <c r="C87" s="96" t="s">
        <v>4</v>
      </c>
      <c r="D87" s="97"/>
    </row>
    <row r="88" spans="1:16" ht="42.75" customHeight="1" thickBot="1">
      <c r="A88" s="98">
        <f>A87-A86</f>
        <v>125</v>
      </c>
      <c r="B88" s="99"/>
      <c r="C88" s="100" t="s">
        <v>5</v>
      </c>
      <c r="D88" s="97"/>
    </row>
    <row r="89" spans="1:16" ht="42.75" customHeight="1" thickBot="1">
      <c r="A89" s="101">
        <v>62</v>
      </c>
      <c r="B89" s="102"/>
      <c r="C89" s="96" t="s">
        <v>6</v>
      </c>
      <c r="D89" s="97"/>
    </row>
    <row r="90" spans="1:16" ht="42.75" customHeight="1" thickBot="1">
      <c r="A90" s="103"/>
      <c r="B90" s="104"/>
      <c r="C90" s="96" t="s">
        <v>21</v>
      </c>
      <c r="D90" s="97"/>
    </row>
    <row r="91" spans="1:16" ht="42.75" customHeight="1" thickBot="1">
      <c r="A91" s="105">
        <f>A89*A88</f>
        <v>7750</v>
      </c>
      <c r="B91" s="106"/>
      <c r="C91" s="96" t="s">
        <v>7</v>
      </c>
      <c r="D91" s="97"/>
    </row>
    <row r="92" spans="1:16" ht="42.75" customHeight="1" thickBot="1">
      <c r="A92" s="107" t="s">
        <v>17</v>
      </c>
      <c r="B92" s="108"/>
      <c r="C92" s="108"/>
      <c r="D92" s="109"/>
    </row>
    <row r="93" spans="1:16" ht="42.75" customHeight="1" thickBot="1">
      <c r="A93" s="116" t="s">
        <v>20</v>
      </c>
      <c r="B93" s="117"/>
      <c r="C93" s="117"/>
      <c r="D93" s="118"/>
    </row>
    <row r="94" spans="1:16" ht="42.75" customHeight="1" thickBot="1">
      <c r="A94" s="113" t="s">
        <v>18</v>
      </c>
      <c r="B94" s="114"/>
      <c r="C94" s="114"/>
      <c r="D94" s="115"/>
    </row>
    <row r="95" spans="1:16" ht="42.75" customHeight="1" thickBot="1">
      <c r="A95" s="119"/>
      <c r="B95" s="119"/>
      <c r="C95" s="119"/>
      <c r="D95" s="119"/>
    </row>
    <row r="96" spans="1:16" ht="42.75" customHeight="1" thickBot="1">
      <c r="A96" s="126" t="s">
        <v>19</v>
      </c>
      <c r="B96" s="127"/>
      <c r="C96" s="127"/>
      <c r="D96" s="128"/>
    </row>
    <row r="97" spans="1:4" ht="42.75" customHeight="1" thickBot="1">
      <c r="A97" s="123" t="s">
        <v>11</v>
      </c>
      <c r="B97" s="124"/>
      <c r="C97" s="125" t="s">
        <v>603</v>
      </c>
      <c r="D97" s="124"/>
    </row>
    <row r="98" spans="1:4" ht="42.75" customHeight="1" thickBot="1">
      <c r="A98" s="1" t="s">
        <v>686</v>
      </c>
      <c r="B98" s="26" t="s">
        <v>1</v>
      </c>
      <c r="C98" s="90" t="s">
        <v>61</v>
      </c>
      <c r="D98" s="91"/>
    </row>
    <row r="99" spans="1:4" ht="42.75" customHeight="1" thickBot="1">
      <c r="A99" s="26"/>
      <c r="B99" s="26" t="s">
        <v>0</v>
      </c>
      <c r="C99" s="5" t="s">
        <v>687</v>
      </c>
      <c r="D99" s="4" t="s">
        <v>2</v>
      </c>
    </row>
    <row r="100" spans="1:4" ht="42.75" customHeight="1" thickBot="1">
      <c r="A100" s="92">
        <v>640</v>
      </c>
      <c r="B100" s="93"/>
      <c r="C100" s="94" t="s">
        <v>3</v>
      </c>
      <c r="D100" s="95"/>
    </row>
    <row r="101" spans="1:4" ht="42.75" customHeight="1" thickBot="1">
      <c r="A101" s="92">
        <v>765</v>
      </c>
      <c r="B101" s="93"/>
      <c r="C101" s="96" t="s">
        <v>4</v>
      </c>
      <c r="D101" s="97"/>
    </row>
    <row r="102" spans="1:4" ht="42.75" customHeight="1" thickBot="1">
      <c r="A102" s="98">
        <f>A101-A100</f>
        <v>125</v>
      </c>
      <c r="B102" s="99"/>
      <c r="C102" s="100" t="s">
        <v>5</v>
      </c>
      <c r="D102" s="97"/>
    </row>
    <row r="103" spans="1:4" ht="42.75" customHeight="1" thickBot="1">
      <c r="A103" s="101">
        <v>62</v>
      </c>
      <c r="B103" s="102"/>
      <c r="C103" s="96" t="s">
        <v>6</v>
      </c>
      <c r="D103" s="97"/>
    </row>
    <row r="104" spans="1:4" ht="42.75" customHeight="1" thickBot="1">
      <c r="A104" s="103"/>
      <c r="B104" s="104"/>
      <c r="C104" s="96" t="s">
        <v>21</v>
      </c>
      <c r="D104" s="97"/>
    </row>
    <row r="105" spans="1:4" ht="42.75" customHeight="1" thickBot="1">
      <c r="A105" s="105">
        <f>A103*A102</f>
        <v>7750</v>
      </c>
      <c r="B105" s="106"/>
      <c r="C105" s="96" t="s">
        <v>7</v>
      </c>
      <c r="D105" s="97"/>
    </row>
    <row r="106" spans="1:4" ht="42.75" customHeight="1" thickBot="1">
      <c r="A106" s="107" t="s">
        <v>17</v>
      </c>
      <c r="B106" s="108"/>
      <c r="C106" s="108"/>
      <c r="D106" s="109"/>
    </row>
    <row r="107" spans="1:4" ht="42.75" customHeight="1" thickBot="1">
      <c r="A107" s="110" t="s">
        <v>20</v>
      </c>
      <c r="B107" s="111"/>
      <c r="C107" s="111"/>
      <c r="D107" s="112"/>
    </row>
    <row r="108" spans="1:4" ht="42.75" customHeight="1" thickBot="1">
      <c r="A108" s="113" t="s">
        <v>18</v>
      </c>
      <c r="B108" s="114"/>
      <c r="C108" s="114"/>
      <c r="D108" s="115"/>
    </row>
    <row r="109" spans="1:4" ht="42.75" customHeight="1" thickBot="1">
      <c r="A109" s="126" t="s">
        <v>19</v>
      </c>
      <c r="B109" s="127"/>
      <c r="C109" s="127"/>
      <c r="D109" s="128"/>
    </row>
    <row r="110" spans="1:4" ht="42.75" customHeight="1" thickBot="1">
      <c r="A110" s="123" t="s">
        <v>11</v>
      </c>
      <c r="B110" s="124"/>
      <c r="C110" s="125" t="s">
        <v>603</v>
      </c>
      <c r="D110" s="124"/>
    </row>
    <row r="111" spans="1:4" ht="42.75" customHeight="1" thickBot="1">
      <c r="A111" s="1" t="s">
        <v>686</v>
      </c>
      <c r="B111" s="26" t="s">
        <v>1</v>
      </c>
      <c r="C111" s="90" t="s">
        <v>628</v>
      </c>
      <c r="D111" s="91"/>
    </row>
    <row r="112" spans="1:4" ht="42.75" customHeight="1" thickBot="1">
      <c r="A112" s="26"/>
      <c r="B112" s="26" t="s">
        <v>0</v>
      </c>
      <c r="C112" s="5" t="s">
        <v>687</v>
      </c>
      <c r="D112" s="4" t="s">
        <v>2</v>
      </c>
    </row>
    <row r="113" spans="1:4" ht="42.75" customHeight="1" thickBot="1">
      <c r="A113" s="92">
        <v>3635</v>
      </c>
      <c r="B113" s="93"/>
      <c r="C113" s="94" t="s">
        <v>3</v>
      </c>
      <c r="D113" s="95"/>
    </row>
    <row r="114" spans="1:4" ht="42.75" customHeight="1" thickBot="1">
      <c r="A114" s="92">
        <v>3685</v>
      </c>
      <c r="B114" s="93"/>
      <c r="C114" s="96" t="s">
        <v>4</v>
      </c>
      <c r="D114" s="97"/>
    </row>
    <row r="115" spans="1:4" ht="42.75" customHeight="1" thickBot="1">
      <c r="A115" s="98">
        <f>A114-A113</f>
        <v>50</v>
      </c>
      <c r="B115" s="99"/>
      <c r="C115" s="100" t="s">
        <v>5</v>
      </c>
      <c r="D115" s="97"/>
    </row>
    <row r="116" spans="1:4" ht="42.75" customHeight="1" thickBot="1">
      <c r="A116" s="101">
        <v>62</v>
      </c>
      <c r="B116" s="102"/>
      <c r="C116" s="96" t="s">
        <v>6</v>
      </c>
      <c r="D116" s="97"/>
    </row>
    <row r="117" spans="1:4" ht="42.75" customHeight="1" thickBot="1">
      <c r="A117" s="103"/>
      <c r="B117" s="104"/>
      <c r="C117" s="96" t="s">
        <v>21</v>
      </c>
      <c r="D117" s="97"/>
    </row>
    <row r="118" spans="1:4" ht="42.75" customHeight="1" thickBot="1">
      <c r="A118" s="105">
        <f>A116*A115</f>
        <v>3100</v>
      </c>
      <c r="B118" s="106"/>
      <c r="C118" s="96" t="s">
        <v>7</v>
      </c>
      <c r="D118" s="97"/>
    </row>
    <row r="119" spans="1:4" ht="42.75" customHeight="1" thickBot="1">
      <c r="A119" s="107" t="s">
        <v>17</v>
      </c>
      <c r="B119" s="108"/>
      <c r="C119" s="108"/>
      <c r="D119" s="109"/>
    </row>
    <row r="120" spans="1:4" ht="42.75" customHeight="1" thickBot="1">
      <c r="A120" s="116" t="s">
        <v>20</v>
      </c>
      <c r="B120" s="117"/>
      <c r="C120" s="117"/>
      <c r="D120" s="118"/>
    </row>
    <row r="121" spans="1:4" ht="42.75" customHeight="1" thickBot="1">
      <c r="A121" s="113" t="s">
        <v>18</v>
      </c>
      <c r="B121" s="114"/>
      <c r="C121" s="114"/>
      <c r="D121" s="115"/>
    </row>
    <row r="122" spans="1:4" ht="42.75" customHeight="1" thickBot="1">
      <c r="A122" s="119"/>
      <c r="B122" s="119"/>
      <c r="C122" s="119"/>
      <c r="D122" s="119"/>
    </row>
    <row r="123" spans="1:4" ht="42.75" customHeight="1" thickBot="1">
      <c r="A123" s="126" t="s">
        <v>19</v>
      </c>
      <c r="B123" s="127"/>
      <c r="C123" s="127"/>
      <c r="D123" s="128"/>
    </row>
    <row r="124" spans="1:4" ht="42.75" customHeight="1" thickBot="1">
      <c r="A124" s="123" t="s">
        <v>11</v>
      </c>
      <c r="B124" s="124"/>
      <c r="C124" s="125" t="s">
        <v>603</v>
      </c>
      <c r="D124" s="124"/>
    </row>
    <row r="125" spans="1:4" ht="42.75" customHeight="1" thickBot="1">
      <c r="A125" s="1" t="s">
        <v>686</v>
      </c>
      <c r="B125" s="26" t="s">
        <v>1</v>
      </c>
      <c r="C125" s="90" t="s">
        <v>628</v>
      </c>
      <c r="D125" s="91"/>
    </row>
    <row r="126" spans="1:4" ht="42.75" customHeight="1" thickBot="1">
      <c r="A126" s="26"/>
      <c r="B126" s="26" t="s">
        <v>0</v>
      </c>
      <c r="C126" s="5" t="s">
        <v>687</v>
      </c>
      <c r="D126" s="4" t="s">
        <v>2</v>
      </c>
    </row>
    <row r="127" spans="1:4" ht="42.75" customHeight="1" thickBot="1">
      <c r="A127" s="92">
        <v>3635</v>
      </c>
      <c r="B127" s="93"/>
      <c r="C127" s="94" t="s">
        <v>3</v>
      </c>
      <c r="D127" s="95"/>
    </row>
    <row r="128" spans="1:4" ht="42.75" customHeight="1" thickBot="1">
      <c r="A128" s="92">
        <v>3685</v>
      </c>
      <c r="B128" s="93"/>
      <c r="C128" s="96" t="s">
        <v>4</v>
      </c>
      <c r="D128" s="97"/>
    </row>
    <row r="129" spans="1:4" ht="42.75" customHeight="1" thickBot="1">
      <c r="A129" s="98">
        <f>A128-A127</f>
        <v>50</v>
      </c>
      <c r="B129" s="99"/>
      <c r="C129" s="100" t="s">
        <v>5</v>
      </c>
      <c r="D129" s="97"/>
    </row>
    <row r="130" spans="1:4" ht="42.75" customHeight="1" thickBot="1">
      <c r="A130" s="101">
        <v>62</v>
      </c>
      <c r="B130" s="102"/>
      <c r="C130" s="96" t="s">
        <v>6</v>
      </c>
      <c r="D130" s="97"/>
    </row>
    <row r="131" spans="1:4" ht="42.75" customHeight="1" thickBot="1">
      <c r="A131" s="103"/>
      <c r="B131" s="104"/>
      <c r="C131" s="96" t="s">
        <v>21</v>
      </c>
      <c r="D131" s="97"/>
    </row>
    <row r="132" spans="1:4" ht="42.75" customHeight="1" thickBot="1">
      <c r="A132" s="105">
        <f>A130*A129</f>
        <v>3100</v>
      </c>
      <c r="B132" s="106"/>
      <c r="C132" s="96" t="s">
        <v>7</v>
      </c>
      <c r="D132" s="97"/>
    </row>
    <row r="133" spans="1:4" ht="42.75" customHeight="1" thickBot="1">
      <c r="A133" s="107" t="s">
        <v>17</v>
      </c>
      <c r="B133" s="108"/>
      <c r="C133" s="108"/>
      <c r="D133" s="109"/>
    </row>
    <row r="134" spans="1:4" ht="42.75" customHeight="1" thickBot="1">
      <c r="A134" s="110" t="s">
        <v>20</v>
      </c>
      <c r="B134" s="111"/>
      <c r="C134" s="111"/>
      <c r="D134" s="112"/>
    </row>
    <row r="135" spans="1:4" ht="42.75" customHeight="1" thickBot="1">
      <c r="A135" s="113" t="s">
        <v>18</v>
      </c>
      <c r="B135" s="114"/>
      <c r="C135" s="114"/>
      <c r="D135" s="115"/>
    </row>
    <row r="136" spans="1:4" ht="42.75" customHeight="1" thickBot="1">
      <c r="A136" s="126" t="s">
        <v>19</v>
      </c>
      <c r="B136" s="127"/>
      <c r="C136" s="127"/>
      <c r="D136" s="128"/>
    </row>
    <row r="137" spans="1:4" ht="42.75" customHeight="1" thickBot="1">
      <c r="A137" s="123" t="s">
        <v>11</v>
      </c>
      <c r="B137" s="124"/>
      <c r="C137" s="125" t="s">
        <v>603</v>
      </c>
      <c r="D137" s="124"/>
    </row>
    <row r="138" spans="1:4" ht="42.75" customHeight="1" thickBot="1">
      <c r="A138" s="1" t="s">
        <v>686</v>
      </c>
      <c r="B138" s="26" t="s">
        <v>1</v>
      </c>
      <c r="C138" s="90" t="s">
        <v>191</v>
      </c>
      <c r="D138" s="91"/>
    </row>
    <row r="139" spans="1:4" ht="42.75" customHeight="1" thickBot="1">
      <c r="A139" s="26"/>
      <c r="B139" s="26" t="s">
        <v>0</v>
      </c>
      <c r="C139" s="5" t="s">
        <v>687</v>
      </c>
      <c r="D139" s="4" t="s">
        <v>2</v>
      </c>
    </row>
    <row r="140" spans="1:4" ht="42.75" customHeight="1" thickBot="1">
      <c r="A140" s="92">
        <v>1191</v>
      </c>
      <c r="B140" s="93"/>
      <c r="C140" s="94" t="s">
        <v>3</v>
      </c>
      <c r="D140" s="95"/>
    </row>
    <row r="141" spans="1:4" ht="42.75" customHeight="1" thickBot="1">
      <c r="A141" s="92">
        <v>1194</v>
      </c>
      <c r="B141" s="93"/>
      <c r="C141" s="96" t="s">
        <v>4</v>
      </c>
      <c r="D141" s="97"/>
    </row>
    <row r="142" spans="1:4" ht="42.75" customHeight="1" thickBot="1">
      <c r="A142" s="98">
        <v>10</v>
      </c>
      <c r="B142" s="99"/>
      <c r="C142" s="100" t="s">
        <v>5</v>
      </c>
      <c r="D142" s="97"/>
    </row>
    <row r="143" spans="1:4" ht="42.75" customHeight="1" thickBot="1">
      <c r="A143" s="101">
        <v>62</v>
      </c>
      <c r="B143" s="102"/>
      <c r="C143" s="96" t="s">
        <v>6</v>
      </c>
      <c r="D143" s="97"/>
    </row>
    <row r="144" spans="1:4" ht="42.75" customHeight="1" thickBot="1">
      <c r="A144" s="103"/>
      <c r="B144" s="104"/>
      <c r="C144" s="96" t="s">
        <v>21</v>
      </c>
      <c r="D144" s="97"/>
    </row>
    <row r="145" spans="1:4" ht="42.75" customHeight="1" thickBot="1">
      <c r="A145" s="105">
        <v>600</v>
      </c>
      <c r="B145" s="106"/>
      <c r="C145" s="96" t="s">
        <v>7</v>
      </c>
      <c r="D145" s="97"/>
    </row>
    <row r="146" spans="1:4" ht="42.75" customHeight="1" thickBot="1">
      <c r="A146" s="107" t="s">
        <v>17</v>
      </c>
      <c r="B146" s="108"/>
      <c r="C146" s="108"/>
      <c r="D146" s="109"/>
    </row>
    <row r="147" spans="1:4" ht="42.75" customHeight="1" thickBot="1">
      <c r="A147" s="116" t="s">
        <v>20</v>
      </c>
      <c r="B147" s="117"/>
      <c r="C147" s="117"/>
      <c r="D147" s="118"/>
    </row>
    <row r="148" spans="1:4" ht="42.75" customHeight="1" thickBot="1">
      <c r="A148" s="113" t="s">
        <v>18</v>
      </c>
      <c r="B148" s="114"/>
      <c r="C148" s="114"/>
      <c r="D148" s="115"/>
    </row>
    <row r="149" spans="1:4" ht="42.75" customHeight="1" thickBot="1">
      <c r="A149" s="119"/>
      <c r="B149" s="119"/>
      <c r="C149" s="119"/>
      <c r="D149" s="119"/>
    </row>
    <row r="150" spans="1:4" ht="42.75" customHeight="1" thickBot="1">
      <c r="A150" s="126" t="s">
        <v>19</v>
      </c>
      <c r="B150" s="127"/>
      <c r="C150" s="127"/>
      <c r="D150" s="128"/>
    </row>
    <row r="151" spans="1:4" ht="42.75" customHeight="1" thickBot="1">
      <c r="A151" s="123" t="s">
        <v>11</v>
      </c>
      <c r="B151" s="124"/>
      <c r="C151" s="125" t="s">
        <v>603</v>
      </c>
      <c r="D151" s="124"/>
    </row>
    <row r="152" spans="1:4" ht="42.75" customHeight="1" thickBot="1">
      <c r="A152" s="1" t="s">
        <v>686</v>
      </c>
      <c r="B152" s="26" t="s">
        <v>1</v>
      </c>
      <c r="C152" s="90" t="s">
        <v>191</v>
      </c>
      <c r="D152" s="91"/>
    </row>
    <row r="153" spans="1:4" ht="42.75" customHeight="1" thickBot="1">
      <c r="A153" s="26"/>
      <c r="B153" s="26" t="s">
        <v>0</v>
      </c>
      <c r="C153" s="5" t="s">
        <v>687</v>
      </c>
      <c r="D153" s="4" t="s">
        <v>2</v>
      </c>
    </row>
    <row r="154" spans="1:4" ht="42.75" customHeight="1" thickBot="1">
      <c r="A154" s="92">
        <v>1191</v>
      </c>
      <c r="B154" s="93"/>
      <c r="C154" s="94" t="s">
        <v>3</v>
      </c>
      <c r="D154" s="95"/>
    </row>
    <row r="155" spans="1:4" ht="42.75" customHeight="1" thickBot="1">
      <c r="A155" s="92">
        <v>1194</v>
      </c>
      <c r="B155" s="93"/>
      <c r="C155" s="96" t="s">
        <v>4</v>
      </c>
      <c r="D155" s="97"/>
    </row>
    <row r="156" spans="1:4" ht="42.75" customHeight="1" thickBot="1">
      <c r="A156" s="98">
        <v>10</v>
      </c>
      <c r="B156" s="99"/>
      <c r="C156" s="100" t="s">
        <v>5</v>
      </c>
      <c r="D156" s="97"/>
    </row>
    <row r="157" spans="1:4" ht="42.75" customHeight="1" thickBot="1">
      <c r="A157" s="101">
        <v>62</v>
      </c>
      <c r="B157" s="102"/>
      <c r="C157" s="96" t="s">
        <v>6</v>
      </c>
      <c r="D157" s="97"/>
    </row>
    <row r="158" spans="1:4" ht="42.75" customHeight="1" thickBot="1">
      <c r="A158" s="103"/>
      <c r="B158" s="104"/>
      <c r="C158" s="96" t="s">
        <v>21</v>
      </c>
      <c r="D158" s="97"/>
    </row>
    <row r="159" spans="1:4" ht="42.75" customHeight="1" thickBot="1">
      <c r="A159" s="105">
        <v>600</v>
      </c>
      <c r="B159" s="106"/>
      <c r="C159" s="96" t="s">
        <v>7</v>
      </c>
      <c r="D159" s="97"/>
    </row>
    <row r="160" spans="1:4" ht="42.75" customHeight="1" thickBot="1">
      <c r="A160" s="107" t="s">
        <v>17</v>
      </c>
      <c r="B160" s="108"/>
      <c r="C160" s="108"/>
      <c r="D160" s="109"/>
    </row>
    <row r="161" spans="1:4" ht="42.75" customHeight="1" thickBot="1">
      <c r="A161" s="110" t="s">
        <v>20</v>
      </c>
      <c r="B161" s="111"/>
      <c r="C161" s="111"/>
      <c r="D161" s="112"/>
    </row>
    <row r="162" spans="1:4" ht="42.75" customHeight="1" thickBot="1">
      <c r="A162" s="113" t="s">
        <v>18</v>
      </c>
      <c r="B162" s="114"/>
      <c r="C162" s="114"/>
      <c r="D162" s="115"/>
    </row>
    <row r="163" spans="1:4" ht="42.75" customHeight="1" thickBot="1">
      <c r="A163" s="126" t="s">
        <v>19</v>
      </c>
      <c r="B163" s="127"/>
      <c r="C163" s="127"/>
      <c r="D163" s="128"/>
    </row>
    <row r="164" spans="1:4" ht="42.75" customHeight="1" thickBot="1">
      <c r="A164" s="123" t="s">
        <v>11</v>
      </c>
      <c r="B164" s="124"/>
      <c r="C164" s="125" t="s">
        <v>603</v>
      </c>
      <c r="D164" s="124"/>
    </row>
    <row r="165" spans="1:4" ht="42.75" customHeight="1" thickBot="1">
      <c r="A165" s="1" t="s">
        <v>686</v>
      </c>
      <c r="B165" s="26" t="s">
        <v>1</v>
      </c>
      <c r="C165" s="90" t="s">
        <v>548</v>
      </c>
      <c r="D165" s="91"/>
    </row>
    <row r="166" spans="1:4" ht="42.75" customHeight="1" thickBot="1">
      <c r="A166" s="26"/>
      <c r="B166" s="26" t="s">
        <v>0</v>
      </c>
      <c r="C166" s="5" t="s">
        <v>687</v>
      </c>
      <c r="D166" s="4" t="s">
        <v>2</v>
      </c>
    </row>
    <row r="167" spans="1:4" ht="42.75" customHeight="1" thickBot="1">
      <c r="A167" s="92">
        <v>1110</v>
      </c>
      <c r="B167" s="93"/>
      <c r="C167" s="94" t="s">
        <v>3</v>
      </c>
      <c r="D167" s="95"/>
    </row>
    <row r="168" spans="1:4" ht="42.75" customHeight="1" thickBot="1">
      <c r="A168" s="92">
        <v>1116</v>
      </c>
      <c r="B168" s="93"/>
      <c r="C168" s="96" t="s">
        <v>4</v>
      </c>
      <c r="D168" s="97"/>
    </row>
    <row r="169" spans="1:4" ht="42.75" customHeight="1" thickBot="1">
      <c r="A169" s="98">
        <v>10</v>
      </c>
      <c r="B169" s="99"/>
      <c r="C169" s="100" t="s">
        <v>5</v>
      </c>
      <c r="D169" s="97"/>
    </row>
    <row r="170" spans="1:4" ht="42.75" customHeight="1" thickBot="1">
      <c r="A170" s="101">
        <v>62</v>
      </c>
      <c r="B170" s="102"/>
      <c r="C170" s="96" t="s">
        <v>6</v>
      </c>
      <c r="D170" s="97"/>
    </row>
    <row r="171" spans="1:4" ht="42.75" customHeight="1" thickBot="1">
      <c r="A171" s="103"/>
      <c r="B171" s="104"/>
      <c r="C171" s="96" t="s">
        <v>21</v>
      </c>
      <c r="D171" s="97"/>
    </row>
    <row r="172" spans="1:4" ht="42.75" customHeight="1" thickBot="1">
      <c r="A172" s="105">
        <v>600</v>
      </c>
      <c r="B172" s="106"/>
      <c r="C172" s="96" t="s">
        <v>7</v>
      </c>
      <c r="D172" s="97"/>
    </row>
    <row r="173" spans="1:4" ht="42.75" customHeight="1" thickBot="1">
      <c r="A173" s="107" t="s">
        <v>17</v>
      </c>
      <c r="B173" s="108"/>
      <c r="C173" s="108"/>
      <c r="D173" s="109"/>
    </row>
    <row r="174" spans="1:4" ht="42.75" customHeight="1" thickBot="1">
      <c r="A174" s="116" t="s">
        <v>20</v>
      </c>
      <c r="B174" s="117"/>
      <c r="C174" s="117"/>
      <c r="D174" s="118"/>
    </row>
    <row r="175" spans="1:4" ht="42.75" customHeight="1" thickBot="1">
      <c r="A175" s="113" t="s">
        <v>18</v>
      </c>
      <c r="B175" s="114"/>
      <c r="C175" s="114"/>
      <c r="D175" s="115"/>
    </row>
    <row r="176" spans="1:4" ht="42.75" customHeight="1" thickBot="1">
      <c r="A176" s="119"/>
      <c r="B176" s="119"/>
      <c r="C176" s="119"/>
      <c r="D176" s="119"/>
    </row>
    <row r="177" spans="1:4" ht="42.75" customHeight="1" thickBot="1">
      <c r="A177" s="126" t="s">
        <v>19</v>
      </c>
      <c r="B177" s="127"/>
      <c r="C177" s="127"/>
      <c r="D177" s="128"/>
    </row>
    <row r="178" spans="1:4" ht="42.75" customHeight="1" thickBot="1">
      <c r="A178" s="123" t="s">
        <v>11</v>
      </c>
      <c r="B178" s="124"/>
      <c r="C178" s="125" t="s">
        <v>603</v>
      </c>
      <c r="D178" s="124"/>
    </row>
    <row r="179" spans="1:4" ht="42.75" customHeight="1" thickBot="1">
      <c r="A179" s="1" t="s">
        <v>686</v>
      </c>
      <c r="B179" s="26" t="s">
        <v>1</v>
      </c>
      <c r="C179" s="90" t="s">
        <v>548</v>
      </c>
      <c r="D179" s="91"/>
    </row>
    <row r="180" spans="1:4" ht="42.75" customHeight="1" thickBot="1">
      <c r="A180" s="26"/>
      <c r="B180" s="26" t="s">
        <v>0</v>
      </c>
      <c r="C180" s="5" t="s">
        <v>687</v>
      </c>
      <c r="D180" s="4" t="s">
        <v>2</v>
      </c>
    </row>
    <row r="181" spans="1:4" ht="42.75" customHeight="1" thickBot="1">
      <c r="A181" s="92">
        <v>1110</v>
      </c>
      <c r="B181" s="93"/>
      <c r="C181" s="94" t="s">
        <v>3</v>
      </c>
      <c r="D181" s="95"/>
    </row>
    <row r="182" spans="1:4" ht="42.75" customHeight="1" thickBot="1">
      <c r="A182" s="92">
        <v>1116</v>
      </c>
      <c r="B182" s="93"/>
      <c r="C182" s="96" t="s">
        <v>4</v>
      </c>
      <c r="D182" s="97"/>
    </row>
    <row r="183" spans="1:4" ht="42.75" customHeight="1" thickBot="1">
      <c r="A183" s="98">
        <v>10</v>
      </c>
      <c r="B183" s="99"/>
      <c r="C183" s="100" t="s">
        <v>5</v>
      </c>
      <c r="D183" s="97"/>
    </row>
    <row r="184" spans="1:4" ht="42.75" customHeight="1" thickBot="1">
      <c r="A184" s="101">
        <v>62</v>
      </c>
      <c r="B184" s="102"/>
      <c r="C184" s="96" t="s">
        <v>6</v>
      </c>
      <c r="D184" s="97"/>
    </row>
    <row r="185" spans="1:4" ht="42.75" customHeight="1" thickBot="1">
      <c r="A185" s="103"/>
      <c r="B185" s="104"/>
      <c r="C185" s="96" t="s">
        <v>21</v>
      </c>
      <c r="D185" s="97"/>
    </row>
    <row r="186" spans="1:4" ht="42.75" customHeight="1" thickBot="1">
      <c r="A186" s="105">
        <v>600</v>
      </c>
      <c r="B186" s="106"/>
      <c r="C186" s="96" t="s">
        <v>7</v>
      </c>
      <c r="D186" s="97"/>
    </row>
    <row r="187" spans="1:4" ht="42.75" customHeight="1" thickBot="1">
      <c r="A187" s="107" t="s">
        <v>17</v>
      </c>
      <c r="B187" s="108"/>
      <c r="C187" s="108"/>
      <c r="D187" s="109"/>
    </row>
    <row r="188" spans="1:4" ht="42.75" customHeight="1" thickBot="1">
      <c r="A188" s="110" t="s">
        <v>20</v>
      </c>
      <c r="B188" s="111"/>
      <c r="C188" s="111"/>
      <c r="D188" s="112"/>
    </row>
    <row r="189" spans="1:4" ht="42.75" customHeight="1" thickBot="1">
      <c r="A189" s="113" t="s">
        <v>18</v>
      </c>
      <c r="B189" s="114"/>
      <c r="C189" s="114"/>
      <c r="D189" s="115"/>
    </row>
    <row r="190" spans="1:4" ht="42.75" customHeight="1" thickBot="1">
      <c r="A190" s="126" t="s">
        <v>19</v>
      </c>
      <c r="B190" s="127"/>
      <c r="C190" s="127"/>
      <c r="D190" s="128"/>
    </row>
    <row r="191" spans="1:4" ht="42.75" customHeight="1" thickBot="1">
      <c r="A191" s="123" t="s">
        <v>11</v>
      </c>
      <c r="B191" s="124"/>
      <c r="C191" s="125" t="s">
        <v>603</v>
      </c>
      <c r="D191" s="124"/>
    </row>
    <row r="192" spans="1:4" ht="42.75" customHeight="1" thickBot="1">
      <c r="A192" s="1" t="s">
        <v>686</v>
      </c>
      <c r="B192" s="26" t="s">
        <v>1</v>
      </c>
      <c r="C192" s="90" t="s">
        <v>525</v>
      </c>
      <c r="D192" s="91"/>
    </row>
    <row r="193" spans="1:4" ht="42.75" customHeight="1" thickBot="1">
      <c r="A193" s="26"/>
      <c r="B193" s="26" t="s">
        <v>0</v>
      </c>
      <c r="C193" s="5" t="s">
        <v>687</v>
      </c>
      <c r="D193" s="4" t="s">
        <v>2</v>
      </c>
    </row>
    <row r="194" spans="1:4" ht="42.75" customHeight="1" thickBot="1">
      <c r="A194" s="92">
        <v>2395</v>
      </c>
      <c r="B194" s="93"/>
      <c r="C194" s="94" t="s">
        <v>3</v>
      </c>
      <c r="D194" s="95"/>
    </row>
    <row r="195" spans="1:4" ht="42.75" customHeight="1" thickBot="1">
      <c r="A195" s="92">
        <v>2415</v>
      </c>
      <c r="B195" s="93"/>
      <c r="C195" s="96" t="s">
        <v>4</v>
      </c>
      <c r="D195" s="97"/>
    </row>
    <row r="196" spans="1:4" ht="42.75" customHeight="1" thickBot="1">
      <c r="A196" s="98">
        <f>A195-A194</f>
        <v>20</v>
      </c>
      <c r="B196" s="99"/>
      <c r="C196" s="100" t="s">
        <v>5</v>
      </c>
      <c r="D196" s="97"/>
    </row>
    <row r="197" spans="1:4" ht="42.75" customHeight="1" thickBot="1">
      <c r="A197" s="101">
        <v>62</v>
      </c>
      <c r="B197" s="102"/>
      <c r="C197" s="96" t="s">
        <v>6</v>
      </c>
      <c r="D197" s="97"/>
    </row>
    <row r="198" spans="1:4" ht="42.75" customHeight="1" thickBot="1">
      <c r="A198" s="103"/>
      <c r="B198" s="104"/>
      <c r="C198" s="96" t="s">
        <v>21</v>
      </c>
      <c r="D198" s="97"/>
    </row>
    <row r="199" spans="1:4" ht="42.75" customHeight="1" thickBot="1">
      <c r="A199" s="105">
        <v>1250</v>
      </c>
      <c r="B199" s="106"/>
      <c r="C199" s="96" t="s">
        <v>7</v>
      </c>
      <c r="D199" s="97"/>
    </row>
    <row r="200" spans="1:4" ht="42.75" customHeight="1" thickBot="1">
      <c r="A200" s="107" t="s">
        <v>17</v>
      </c>
      <c r="B200" s="108"/>
      <c r="C200" s="108"/>
      <c r="D200" s="109"/>
    </row>
    <row r="201" spans="1:4" ht="42.75" customHeight="1" thickBot="1">
      <c r="A201" s="116" t="s">
        <v>20</v>
      </c>
      <c r="B201" s="117"/>
      <c r="C201" s="117"/>
      <c r="D201" s="118"/>
    </row>
    <row r="202" spans="1:4" ht="42.75" customHeight="1" thickBot="1">
      <c r="A202" s="113" t="s">
        <v>18</v>
      </c>
      <c r="B202" s="114"/>
      <c r="C202" s="114"/>
      <c r="D202" s="115"/>
    </row>
    <row r="203" spans="1:4" ht="42.75" customHeight="1" thickBot="1">
      <c r="A203" s="119"/>
      <c r="B203" s="119"/>
      <c r="C203" s="119"/>
      <c r="D203" s="119"/>
    </row>
    <row r="204" spans="1:4" ht="42.75" customHeight="1" thickBot="1">
      <c r="A204" s="126" t="s">
        <v>19</v>
      </c>
      <c r="B204" s="127"/>
      <c r="C204" s="127"/>
      <c r="D204" s="128"/>
    </row>
    <row r="205" spans="1:4" ht="42.75" customHeight="1" thickBot="1">
      <c r="A205" s="123" t="s">
        <v>11</v>
      </c>
      <c r="B205" s="124"/>
      <c r="C205" s="125" t="s">
        <v>603</v>
      </c>
      <c r="D205" s="124"/>
    </row>
    <row r="206" spans="1:4" ht="42.75" customHeight="1" thickBot="1">
      <c r="A206" s="1" t="s">
        <v>686</v>
      </c>
      <c r="B206" s="26" t="s">
        <v>1</v>
      </c>
      <c r="C206" s="90" t="s">
        <v>525</v>
      </c>
      <c r="D206" s="91"/>
    </row>
    <row r="207" spans="1:4" ht="42.75" customHeight="1" thickBot="1">
      <c r="A207" s="26"/>
      <c r="B207" s="26" t="s">
        <v>0</v>
      </c>
      <c r="C207" s="5" t="s">
        <v>687</v>
      </c>
      <c r="D207" s="4" t="s">
        <v>2</v>
      </c>
    </row>
    <row r="208" spans="1:4" ht="42.75" customHeight="1" thickBot="1">
      <c r="A208" s="92">
        <v>2395</v>
      </c>
      <c r="B208" s="93"/>
      <c r="C208" s="94" t="s">
        <v>3</v>
      </c>
      <c r="D208" s="95"/>
    </row>
    <row r="209" spans="1:4" ht="42.75" customHeight="1" thickBot="1">
      <c r="A209" s="92">
        <v>2415</v>
      </c>
      <c r="B209" s="93"/>
      <c r="C209" s="96" t="s">
        <v>4</v>
      </c>
      <c r="D209" s="97"/>
    </row>
    <row r="210" spans="1:4" ht="42.75" customHeight="1" thickBot="1">
      <c r="A210" s="98">
        <f>A209-A208</f>
        <v>20</v>
      </c>
      <c r="B210" s="99"/>
      <c r="C210" s="100" t="s">
        <v>5</v>
      </c>
      <c r="D210" s="97"/>
    </row>
    <row r="211" spans="1:4" ht="42.75" customHeight="1" thickBot="1">
      <c r="A211" s="101">
        <v>62</v>
      </c>
      <c r="B211" s="102"/>
      <c r="C211" s="96" t="s">
        <v>6</v>
      </c>
      <c r="D211" s="97"/>
    </row>
    <row r="212" spans="1:4" ht="42.75" customHeight="1" thickBot="1">
      <c r="A212" s="103"/>
      <c r="B212" s="104"/>
      <c r="C212" s="96" t="s">
        <v>21</v>
      </c>
      <c r="D212" s="97"/>
    </row>
    <row r="213" spans="1:4" ht="42.75" customHeight="1" thickBot="1">
      <c r="A213" s="105">
        <v>1250</v>
      </c>
      <c r="B213" s="106"/>
      <c r="C213" s="96" t="s">
        <v>7</v>
      </c>
      <c r="D213" s="97"/>
    </row>
    <row r="214" spans="1:4" ht="42.75" customHeight="1" thickBot="1">
      <c r="A214" s="107" t="s">
        <v>17</v>
      </c>
      <c r="B214" s="108"/>
      <c r="C214" s="108"/>
      <c r="D214" s="109"/>
    </row>
    <row r="215" spans="1:4" ht="42.75" customHeight="1" thickBot="1">
      <c r="A215" s="110" t="s">
        <v>20</v>
      </c>
      <c r="B215" s="111"/>
      <c r="C215" s="111"/>
      <c r="D215" s="112"/>
    </row>
    <row r="216" spans="1:4" ht="42.75" customHeight="1" thickBot="1">
      <c r="A216" s="113" t="s">
        <v>18</v>
      </c>
      <c r="B216" s="114"/>
      <c r="C216" s="114"/>
      <c r="D216" s="115"/>
    </row>
    <row r="217" spans="1:4" ht="42.75" customHeight="1" thickBot="1">
      <c r="A217" s="126" t="s">
        <v>19</v>
      </c>
      <c r="B217" s="127"/>
      <c r="C217" s="127"/>
      <c r="D217" s="128"/>
    </row>
    <row r="218" spans="1:4" ht="42.75" customHeight="1" thickBot="1">
      <c r="A218" s="123" t="s">
        <v>11</v>
      </c>
      <c r="B218" s="124"/>
      <c r="C218" s="125" t="s">
        <v>603</v>
      </c>
      <c r="D218" s="124"/>
    </row>
    <row r="219" spans="1:4" ht="42.75" customHeight="1" thickBot="1">
      <c r="A219" s="1" t="s">
        <v>686</v>
      </c>
      <c r="B219" s="26" t="s">
        <v>1</v>
      </c>
      <c r="C219" s="90" t="s">
        <v>38</v>
      </c>
      <c r="D219" s="91"/>
    </row>
    <row r="220" spans="1:4" ht="42.75" customHeight="1" thickBot="1">
      <c r="A220" s="26"/>
      <c r="B220" s="26" t="s">
        <v>0</v>
      </c>
      <c r="C220" s="5" t="s">
        <v>687</v>
      </c>
      <c r="D220" s="4" t="s">
        <v>2</v>
      </c>
    </row>
    <row r="221" spans="1:4" ht="42.75" customHeight="1" thickBot="1">
      <c r="A221" s="92">
        <v>7460</v>
      </c>
      <c r="B221" s="93"/>
      <c r="C221" s="94" t="s">
        <v>3</v>
      </c>
      <c r="D221" s="95"/>
    </row>
    <row r="222" spans="1:4" ht="42.75" customHeight="1" thickBot="1">
      <c r="A222" s="92">
        <v>7555</v>
      </c>
      <c r="B222" s="93"/>
      <c r="C222" s="96" t="s">
        <v>4</v>
      </c>
      <c r="D222" s="97"/>
    </row>
    <row r="223" spans="1:4" ht="42.75" customHeight="1" thickBot="1">
      <c r="A223" s="98">
        <f>A222-A221</f>
        <v>95</v>
      </c>
      <c r="B223" s="99"/>
      <c r="C223" s="100" t="s">
        <v>5</v>
      </c>
      <c r="D223" s="97"/>
    </row>
    <row r="224" spans="1:4" ht="42.75" customHeight="1" thickBot="1">
      <c r="A224" s="101">
        <v>62</v>
      </c>
      <c r="B224" s="102"/>
      <c r="C224" s="96" t="s">
        <v>6</v>
      </c>
      <c r="D224" s="97"/>
    </row>
    <row r="225" spans="1:4" ht="42.75" customHeight="1" thickBot="1">
      <c r="A225" s="103"/>
      <c r="B225" s="104"/>
      <c r="C225" s="96" t="s">
        <v>21</v>
      </c>
      <c r="D225" s="97"/>
    </row>
    <row r="226" spans="1:4" ht="42.75" customHeight="1" thickBot="1">
      <c r="A226" s="105">
        <v>5900</v>
      </c>
      <c r="B226" s="106"/>
      <c r="C226" s="96" t="s">
        <v>7</v>
      </c>
      <c r="D226" s="97"/>
    </row>
    <row r="227" spans="1:4" ht="42.75" customHeight="1" thickBot="1">
      <c r="A227" s="107" t="s">
        <v>17</v>
      </c>
      <c r="B227" s="108"/>
      <c r="C227" s="108"/>
      <c r="D227" s="109"/>
    </row>
    <row r="228" spans="1:4" ht="42.75" customHeight="1" thickBot="1">
      <c r="A228" s="116" t="s">
        <v>20</v>
      </c>
      <c r="B228" s="117"/>
      <c r="C228" s="117"/>
      <c r="D228" s="118"/>
    </row>
    <row r="229" spans="1:4" ht="42.75" customHeight="1" thickBot="1">
      <c r="A229" s="113" t="s">
        <v>18</v>
      </c>
      <c r="B229" s="114"/>
      <c r="C229" s="114"/>
      <c r="D229" s="115"/>
    </row>
    <row r="230" spans="1:4" ht="42.75" customHeight="1" thickBot="1">
      <c r="A230" s="119"/>
      <c r="B230" s="119"/>
      <c r="C230" s="119"/>
      <c r="D230" s="119"/>
    </row>
    <row r="231" spans="1:4" ht="42.75" customHeight="1" thickBot="1">
      <c r="A231" s="126" t="s">
        <v>19</v>
      </c>
      <c r="B231" s="127"/>
      <c r="C231" s="127"/>
      <c r="D231" s="128"/>
    </row>
    <row r="232" spans="1:4" ht="42.75" customHeight="1" thickBot="1">
      <c r="A232" s="123" t="s">
        <v>11</v>
      </c>
      <c r="B232" s="124"/>
      <c r="C232" s="125" t="s">
        <v>603</v>
      </c>
      <c r="D232" s="124"/>
    </row>
    <row r="233" spans="1:4" ht="42.75" customHeight="1" thickBot="1">
      <c r="A233" s="1" t="s">
        <v>686</v>
      </c>
      <c r="B233" s="26" t="s">
        <v>1</v>
      </c>
      <c r="C233" s="90" t="s">
        <v>38</v>
      </c>
      <c r="D233" s="91"/>
    </row>
    <row r="234" spans="1:4" ht="42.75" customHeight="1" thickBot="1">
      <c r="A234" s="26"/>
      <c r="B234" s="26" t="s">
        <v>0</v>
      </c>
      <c r="C234" s="5" t="s">
        <v>687</v>
      </c>
      <c r="D234" s="4" t="s">
        <v>2</v>
      </c>
    </row>
    <row r="235" spans="1:4" ht="42.75" customHeight="1" thickBot="1">
      <c r="A235" s="92">
        <v>7460</v>
      </c>
      <c r="B235" s="93"/>
      <c r="C235" s="94" t="s">
        <v>3</v>
      </c>
      <c r="D235" s="95"/>
    </row>
    <row r="236" spans="1:4" ht="42.75" customHeight="1" thickBot="1">
      <c r="A236" s="92">
        <v>7555</v>
      </c>
      <c r="B236" s="93"/>
      <c r="C236" s="96" t="s">
        <v>4</v>
      </c>
      <c r="D236" s="97"/>
    </row>
    <row r="237" spans="1:4" ht="42.75" customHeight="1" thickBot="1">
      <c r="A237" s="98">
        <f>A236-A235</f>
        <v>95</v>
      </c>
      <c r="B237" s="99"/>
      <c r="C237" s="100" t="s">
        <v>5</v>
      </c>
      <c r="D237" s="97"/>
    </row>
    <row r="238" spans="1:4" ht="42.75" customHeight="1" thickBot="1">
      <c r="A238" s="101">
        <v>62</v>
      </c>
      <c r="B238" s="102"/>
      <c r="C238" s="96" t="s">
        <v>6</v>
      </c>
      <c r="D238" s="97"/>
    </row>
    <row r="239" spans="1:4" ht="42.75" customHeight="1" thickBot="1">
      <c r="A239" s="103"/>
      <c r="B239" s="104"/>
      <c r="C239" s="96" t="s">
        <v>21</v>
      </c>
      <c r="D239" s="97"/>
    </row>
    <row r="240" spans="1:4" ht="42.75" customHeight="1" thickBot="1">
      <c r="A240" s="105">
        <v>5900</v>
      </c>
      <c r="B240" s="106"/>
      <c r="C240" s="96" t="s">
        <v>7</v>
      </c>
      <c r="D240" s="97"/>
    </row>
    <row r="241" spans="1:4" ht="42.75" customHeight="1" thickBot="1">
      <c r="A241" s="107" t="s">
        <v>17</v>
      </c>
      <c r="B241" s="108"/>
      <c r="C241" s="108"/>
      <c r="D241" s="109"/>
    </row>
    <row r="242" spans="1:4" ht="42.75" customHeight="1" thickBot="1">
      <c r="A242" s="110" t="s">
        <v>20</v>
      </c>
      <c r="B242" s="111"/>
      <c r="C242" s="111"/>
      <c r="D242" s="112"/>
    </row>
    <row r="243" spans="1:4" ht="42.75" customHeight="1" thickBot="1">
      <c r="A243" s="113" t="s">
        <v>18</v>
      </c>
      <c r="B243" s="114"/>
      <c r="C243" s="114"/>
      <c r="D243" s="115"/>
    </row>
    <row r="244" spans="1:4" ht="42.75" customHeight="1" thickBot="1">
      <c r="A244" s="126" t="s">
        <v>19</v>
      </c>
      <c r="B244" s="127"/>
      <c r="C244" s="127"/>
      <c r="D244" s="128"/>
    </row>
    <row r="245" spans="1:4" ht="42.75" customHeight="1" thickBot="1">
      <c r="A245" s="123" t="s">
        <v>11</v>
      </c>
      <c r="B245" s="124"/>
      <c r="C245" s="125" t="s">
        <v>603</v>
      </c>
      <c r="D245" s="124"/>
    </row>
    <row r="246" spans="1:4" ht="42.75" customHeight="1" thickBot="1">
      <c r="A246" s="1" t="s">
        <v>686</v>
      </c>
      <c r="B246" s="26" t="s">
        <v>1</v>
      </c>
      <c r="C246" s="90" t="s">
        <v>549</v>
      </c>
      <c r="D246" s="91"/>
    </row>
    <row r="247" spans="1:4" ht="42.75" customHeight="1" thickBot="1">
      <c r="A247" s="26"/>
      <c r="B247" s="26" t="s">
        <v>0</v>
      </c>
      <c r="C247" s="5" t="s">
        <v>687</v>
      </c>
      <c r="D247" s="4" t="s">
        <v>2</v>
      </c>
    </row>
    <row r="248" spans="1:4" ht="42.75" customHeight="1" thickBot="1">
      <c r="A248" s="92">
        <v>3330</v>
      </c>
      <c r="B248" s="93"/>
      <c r="C248" s="94" t="s">
        <v>3</v>
      </c>
      <c r="D248" s="95"/>
    </row>
    <row r="249" spans="1:4" ht="42.75" customHeight="1" thickBot="1">
      <c r="A249" s="92">
        <v>3365</v>
      </c>
      <c r="B249" s="93"/>
      <c r="C249" s="96" t="s">
        <v>4</v>
      </c>
      <c r="D249" s="97"/>
    </row>
    <row r="250" spans="1:4" ht="42.75" customHeight="1" thickBot="1">
      <c r="A250" s="98">
        <f>A249-A248</f>
        <v>35</v>
      </c>
      <c r="B250" s="99"/>
      <c r="C250" s="100" t="s">
        <v>5</v>
      </c>
      <c r="D250" s="97"/>
    </row>
    <row r="251" spans="1:4" ht="42.75" customHeight="1" thickBot="1">
      <c r="A251" s="101">
        <v>62</v>
      </c>
      <c r="B251" s="102"/>
      <c r="C251" s="96" t="s">
        <v>6</v>
      </c>
      <c r="D251" s="97"/>
    </row>
    <row r="252" spans="1:4" ht="42.75" customHeight="1" thickBot="1">
      <c r="A252" s="103"/>
      <c r="B252" s="104"/>
      <c r="C252" s="96" t="s">
        <v>21</v>
      </c>
      <c r="D252" s="97"/>
    </row>
    <row r="253" spans="1:4" ht="42.75" customHeight="1" thickBot="1">
      <c r="A253" s="105">
        <v>2200</v>
      </c>
      <c r="B253" s="106"/>
      <c r="C253" s="96" t="s">
        <v>7</v>
      </c>
      <c r="D253" s="97"/>
    </row>
    <row r="254" spans="1:4" ht="42.75" customHeight="1" thickBot="1">
      <c r="A254" s="107" t="s">
        <v>17</v>
      </c>
      <c r="B254" s="108"/>
      <c r="C254" s="108"/>
      <c r="D254" s="109"/>
    </row>
    <row r="255" spans="1:4" ht="42.75" customHeight="1" thickBot="1">
      <c r="A255" s="116" t="s">
        <v>20</v>
      </c>
      <c r="B255" s="117"/>
      <c r="C255" s="117"/>
      <c r="D255" s="118"/>
    </row>
    <row r="256" spans="1:4" ht="42.75" customHeight="1" thickBot="1">
      <c r="A256" s="113" t="s">
        <v>18</v>
      </c>
      <c r="B256" s="114"/>
      <c r="C256" s="114"/>
      <c r="D256" s="115"/>
    </row>
    <row r="257" spans="1:4" ht="42.75" customHeight="1" thickBot="1">
      <c r="A257" s="119"/>
      <c r="B257" s="119"/>
      <c r="C257" s="119"/>
      <c r="D257" s="119"/>
    </row>
    <row r="258" spans="1:4" ht="42.75" customHeight="1" thickBot="1">
      <c r="A258" s="126" t="s">
        <v>19</v>
      </c>
      <c r="B258" s="127"/>
      <c r="C258" s="127"/>
      <c r="D258" s="128"/>
    </row>
    <row r="259" spans="1:4" ht="42.75" customHeight="1" thickBot="1">
      <c r="A259" s="123" t="s">
        <v>11</v>
      </c>
      <c r="B259" s="124"/>
      <c r="C259" s="125" t="s">
        <v>603</v>
      </c>
      <c r="D259" s="124"/>
    </row>
    <row r="260" spans="1:4" ht="42.75" customHeight="1" thickBot="1">
      <c r="A260" s="1" t="s">
        <v>686</v>
      </c>
      <c r="B260" s="26" t="s">
        <v>1</v>
      </c>
      <c r="C260" s="90" t="s">
        <v>549</v>
      </c>
      <c r="D260" s="91"/>
    </row>
    <row r="261" spans="1:4" ht="42.75" customHeight="1" thickBot="1">
      <c r="A261" s="26"/>
      <c r="B261" s="26" t="s">
        <v>0</v>
      </c>
      <c r="C261" s="5" t="s">
        <v>687</v>
      </c>
      <c r="D261" s="4" t="s">
        <v>2</v>
      </c>
    </row>
    <row r="262" spans="1:4" ht="42.75" customHeight="1" thickBot="1">
      <c r="A262" s="92">
        <v>3330</v>
      </c>
      <c r="B262" s="93"/>
      <c r="C262" s="94" t="s">
        <v>3</v>
      </c>
      <c r="D262" s="95"/>
    </row>
    <row r="263" spans="1:4" ht="42.75" customHeight="1" thickBot="1">
      <c r="A263" s="92">
        <v>3365</v>
      </c>
      <c r="B263" s="93"/>
      <c r="C263" s="96" t="s">
        <v>4</v>
      </c>
      <c r="D263" s="97"/>
    </row>
    <row r="264" spans="1:4" ht="42.75" customHeight="1" thickBot="1">
      <c r="A264" s="98">
        <f>A263-A262</f>
        <v>35</v>
      </c>
      <c r="B264" s="99"/>
      <c r="C264" s="100" t="s">
        <v>5</v>
      </c>
      <c r="D264" s="97"/>
    </row>
    <row r="265" spans="1:4" ht="42.75" customHeight="1" thickBot="1">
      <c r="A265" s="101">
        <v>62</v>
      </c>
      <c r="B265" s="102"/>
      <c r="C265" s="96" t="s">
        <v>6</v>
      </c>
      <c r="D265" s="97"/>
    </row>
    <row r="266" spans="1:4" ht="42.75" customHeight="1" thickBot="1">
      <c r="A266" s="103"/>
      <c r="B266" s="104"/>
      <c r="C266" s="96" t="s">
        <v>21</v>
      </c>
      <c r="D266" s="97"/>
    </row>
    <row r="267" spans="1:4" ht="42.75" customHeight="1" thickBot="1">
      <c r="A267" s="105">
        <v>2200</v>
      </c>
      <c r="B267" s="106"/>
      <c r="C267" s="96" t="s">
        <v>7</v>
      </c>
      <c r="D267" s="97"/>
    </row>
    <row r="268" spans="1:4" ht="42.75" customHeight="1" thickBot="1">
      <c r="A268" s="107" t="s">
        <v>17</v>
      </c>
      <c r="B268" s="108"/>
      <c r="C268" s="108"/>
      <c r="D268" s="109"/>
    </row>
    <row r="269" spans="1:4" ht="42.75" customHeight="1" thickBot="1">
      <c r="A269" s="110" t="s">
        <v>20</v>
      </c>
      <c r="B269" s="111"/>
      <c r="C269" s="111"/>
      <c r="D269" s="112"/>
    </row>
    <row r="270" spans="1:4" ht="42.75" customHeight="1" thickBot="1">
      <c r="A270" s="113" t="s">
        <v>18</v>
      </c>
      <c r="B270" s="114"/>
      <c r="C270" s="114"/>
      <c r="D270" s="115"/>
    </row>
    <row r="271" spans="1:4" ht="42.75" customHeight="1" thickBot="1">
      <c r="A271" s="126" t="s">
        <v>19</v>
      </c>
      <c r="B271" s="127"/>
      <c r="C271" s="127"/>
      <c r="D271" s="128"/>
    </row>
    <row r="272" spans="1:4" ht="42.75" customHeight="1" thickBot="1">
      <c r="A272" s="123" t="s">
        <v>11</v>
      </c>
      <c r="B272" s="124"/>
      <c r="C272" s="125" t="s">
        <v>603</v>
      </c>
      <c r="D272" s="124"/>
    </row>
    <row r="273" spans="1:4" ht="42.75" customHeight="1" thickBot="1">
      <c r="A273" s="1" t="s">
        <v>686</v>
      </c>
      <c r="B273" s="26" t="s">
        <v>1</v>
      </c>
      <c r="C273" s="90" t="s">
        <v>325</v>
      </c>
      <c r="D273" s="91"/>
    </row>
    <row r="274" spans="1:4" ht="42.75" customHeight="1" thickBot="1">
      <c r="A274" s="26"/>
      <c r="B274" s="26" t="s">
        <v>0</v>
      </c>
      <c r="C274" s="5" t="s">
        <v>687</v>
      </c>
      <c r="D274" s="4" t="s">
        <v>2</v>
      </c>
    </row>
    <row r="275" spans="1:4" ht="42.75" customHeight="1" thickBot="1">
      <c r="A275" s="92">
        <v>3975</v>
      </c>
      <c r="B275" s="93"/>
      <c r="C275" s="94" t="s">
        <v>3</v>
      </c>
      <c r="D275" s="95"/>
    </row>
    <row r="276" spans="1:4" ht="42.75" customHeight="1" thickBot="1">
      <c r="A276" s="92">
        <v>4010</v>
      </c>
      <c r="B276" s="93"/>
      <c r="C276" s="96" t="s">
        <v>4</v>
      </c>
      <c r="D276" s="97"/>
    </row>
    <row r="277" spans="1:4" ht="42.75" customHeight="1" thickBot="1">
      <c r="A277" s="98">
        <f>A276-A275</f>
        <v>35</v>
      </c>
      <c r="B277" s="99"/>
      <c r="C277" s="100" t="s">
        <v>5</v>
      </c>
      <c r="D277" s="97"/>
    </row>
    <row r="278" spans="1:4" ht="42.75" customHeight="1" thickBot="1">
      <c r="A278" s="101">
        <v>62</v>
      </c>
      <c r="B278" s="102"/>
      <c r="C278" s="96" t="s">
        <v>6</v>
      </c>
      <c r="D278" s="97"/>
    </row>
    <row r="279" spans="1:4" ht="42.75" customHeight="1" thickBot="1">
      <c r="A279" s="103"/>
      <c r="B279" s="104"/>
      <c r="C279" s="96" t="s">
        <v>21</v>
      </c>
      <c r="D279" s="97"/>
    </row>
    <row r="280" spans="1:4" ht="42.75" customHeight="1" thickBot="1">
      <c r="A280" s="105">
        <v>2200</v>
      </c>
      <c r="B280" s="106"/>
      <c r="C280" s="96" t="s">
        <v>7</v>
      </c>
      <c r="D280" s="97"/>
    </row>
    <row r="281" spans="1:4" ht="42.75" customHeight="1" thickBot="1">
      <c r="A281" s="107" t="s">
        <v>17</v>
      </c>
      <c r="B281" s="108"/>
      <c r="C281" s="108"/>
      <c r="D281" s="109"/>
    </row>
    <row r="282" spans="1:4" ht="42.75" customHeight="1" thickBot="1">
      <c r="A282" s="116" t="s">
        <v>20</v>
      </c>
      <c r="B282" s="117"/>
      <c r="C282" s="117"/>
      <c r="D282" s="118"/>
    </row>
    <row r="283" spans="1:4" ht="42.75" customHeight="1" thickBot="1">
      <c r="A283" s="113" t="s">
        <v>18</v>
      </c>
      <c r="B283" s="114"/>
      <c r="C283" s="114"/>
      <c r="D283" s="115"/>
    </row>
    <row r="284" spans="1:4" ht="42.75" customHeight="1" thickBot="1">
      <c r="A284" s="119"/>
      <c r="B284" s="119"/>
      <c r="C284" s="119"/>
      <c r="D284" s="119"/>
    </row>
    <row r="285" spans="1:4" ht="42.75" customHeight="1" thickBot="1">
      <c r="A285" s="126" t="s">
        <v>19</v>
      </c>
      <c r="B285" s="127"/>
      <c r="C285" s="127"/>
      <c r="D285" s="128"/>
    </row>
    <row r="286" spans="1:4" ht="42.75" customHeight="1" thickBot="1">
      <c r="A286" s="123" t="s">
        <v>11</v>
      </c>
      <c r="B286" s="124"/>
      <c r="C286" s="125" t="s">
        <v>603</v>
      </c>
      <c r="D286" s="124"/>
    </row>
    <row r="287" spans="1:4" ht="42.75" customHeight="1" thickBot="1">
      <c r="A287" s="1" t="s">
        <v>686</v>
      </c>
      <c r="B287" s="26" t="s">
        <v>1</v>
      </c>
      <c r="C287" s="90" t="s">
        <v>325</v>
      </c>
      <c r="D287" s="91"/>
    </row>
    <row r="288" spans="1:4" ht="42.75" customHeight="1" thickBot="1">
      <c r="A288" s="26"/>
      <c r="B288" s="26" t="s">
        <v>0</v>
      </c>
      <c r="C288" s="5" t="s">
        <v>687</v>
      </c>
      <c r="D288" s="4" t="s">
        <v>2</v>
      </c>
    </row>
    <row r="289" spans="1:4" ht="42.75" customHeight="1" thickBot="1">
      <c r="A289" s="92">
        <v>3975</v>
      </c>
      <c r="B289" s="93"/>
      <c r="C289" s="94" t="s">
        <v>3</v>
      </c>
      <c r="D289" s="95"/>
    </row>
    <row r="290" spans="1:4" ht="42.75" customHeight="1" thickBot="1">
      <c r="A290" s="92">
        <v>4010</v>
      </c>
      <c r="B290" s="93"/>
      <c r="C290" s="96" t="s">
        <v>4</v>
      </c>
      <c r="D290" s="97"/>
    </row>
    <row r="291" spans="1:4" ht="42.75" customHeight="1" thickBot="1">
      <c r="A291" s="98">
        <f>A290-A289</f>
        <v>35</v>
      </c>
      <c r="B291" s="99"/>
      <c r="C291" s="100" t="s">
        <v>5</v>
      </c>
      <c r="D291" s="97"/>
    </row>
    <row r="292" spans="1:4" ht="42.75" customHeight="1" thickBot="1">
      <c r="A292" s="101">
        <v>62</v>
      </c>
      <c r="B292" s="102"/>
      <c r="C292" s="96" t="s">
        <v>6</v>
      </c>
      <c r="D292" s="97"/>
    </row>
    <row r="293" spans="1:4" ht="42.75" customHeight="1" thickBot="1">
      <c r="A293" s="103"/>
      <c r="B293" s="104"/>
      <c r="C293" s="96" t="s">
        <v>21</v>
      </c>
      <c r="D293" s="97"/>
    </row>
    <row r="294" spans="1:4" ht="42.75" customHeight="1" thickBot="1">
      <c r="A294" s="105">
        <v>2200</v>
      </c>
      <c r="B294" s="106"/>
      <c r="C294" s="96" t="s">
        <v>7</v>
      </c>
      <c r="D294" s="97"/>
    </row>
    <row r="295" spans="1:4" ht="42.75" customHeight="1" thickBot="1">
      <c r="A295" s="107" t="s">
        <v>17</v>
      </c>
      <c r="B295" s="108"/>
      <c r="C295" s="108"/>
      <c r="D295" s="109"/>
    </row>
    <row r="296" spans="1:4" ht="42.75" customHeight="1" thickBot="1">
      <c r="A296" s="110" t="s">
        <v>20</v>
      </c>
      <c r="B296" s="111"/>
      <c r="C296" s="111"/>
      <c r="D296" s="112"/>
    </row>
    <row r="297" spans="1:4" ht="42.75" customHeight="1" thickBot="1">
      <c r="A297" s="113" t="s">
        <v>18</v>
      </c>
      <c r="B297" s="114"/>
      <c r="C297" s="114"/>
      <c r="D297" s="115"/>
    </row>
    <row r="298" spans="1:4" ht="42.75" customHeight="1" thickBot="1">
      <c r="A298" s="126" t="s">
        <v>19</v>
      </c>
      <c r="B298" s="127"/>
      <c r="C298" s="127"/>
      <c r="D298" s="128"/>
    </row>
    <row r="299" spans="1:4" ht="42.75" customHeight="1" thickBot="1">
      <c r="A299" s="123" t="s">
        <v>11</v>
      </c>
      <c r="B299" s="124"/>
      <c r="C299" s="125" t="s">
        <v>603</v>
      </c>
      <c r="D299" s="124"/>
    </row>
    <row r="300" spans="1:4" ht="42.75" customHeight="1" thickBot="1">
      <c r="A300" s="1" t="s">
        <v>686</v>
      </c>
      <c r="B300" s="26" t="s">
        <v>1</v>
      </c>
      <c r="C300" s="90" t="s">
        <v>526</v>
      </c>
      <c r="D300" s="91"/>
    </row>
    <row r="301" spans="1:4" ht="42.75" customHeight="1" thickBot="1">
      <c r="A301" s="26"/>
      <c r="B301" s="26" t="s">
        <v>0</v>
      </c>
      <c r="C301" s="5" t="s">
        <v>687</v>
      </c>
      <c r="D301" s="4" t="s">
        <v>2</v>
      </c>
    </row>
    <row r="302" spans="1:4" ht="42.75" customHeight="1" thickBot="1">
      <c r="A302" s="92">
        <v>4755</v>
      </c>
      <c r="B302" s="93"/>
      <c r="C302" s="94" t="s">
        <v>3</v>
      </c>
      <c r="D302" s="95"/>
    </row>
    <row r="303" spans="1:4" ht="42.75" customHeight="1" thickBot="1">
      <c r="A303" s="92">
        <v>4845</v>
      </c>
      <c r="B303" s="93"/>
      <c r="C303" s="96" t="s">
        <v>4</v>
      </c>
      <c r="D303" s="97"/>
    </row>
    <row r="304" spans="1:4" ht="42.75" customHeight="1" thickBot="1">
      <c r="A304" s="98">
        <f>A303-A302</f>
        <v>90</v>
      </c>
      <c r="B304" s="99"/>
      <c r="C304" s="100" t="s">
        <v>5</v>
      </c>
      <c r="D304" s="97"/>
    </row>
    <row r="305" spans="1:4" ht="42.75" customHeight="1" thickBot="1">
      <c r="A305" s="101">
        <v>62</v>
      </c>
      <c r="B305" s="102"/>
      <c r="C305" s="96" t="s">
        <v>6</v>
      </c>
      <c r="D305" s="97"/>
    </row>
    <row r="306" spans="1:4" ht="42.75" customHeight="1" thickBot="1">
      <c r="A306" s="103"/>
      <c r="B306" s="104"/>
      <c r="C306" s="96" t="s">
        <v>21</v>
      </c>
      <c r="D306" s="97"/>
    </row>
    <row r="307" spans="1:4" ht="42.75" customHeight="1" thickBot="1">
      <c r="A307" s="105">
        <v>5600</v>
      </c>
      <c r="B307" s="106"/>
      <c r="C307" s="96" t="s">
        <v>7</v>
      </c>
      <c r="D307" s="97"/>
    </row>
    <row r="308" spans="1:4" ht="42.75" customHeight="1" thickBot="1">
      <c r="A308" s="107" t="s">
        <v>17</v>
      </c>
      <c r="B308" s="108"/>
      <c r="C308" s="108"/>
      <c r="D308" s="109"/>
    </row>
    <row r="309" spans="1:4" ht="42.75" customHeight="1" thickBot="1">
      <c r="A309" s="116" t="s">
        <v>20</v>
      </c>
      <c r="B309" s="117"/>
      <c r="C309" s="117"/>
      <c r="D309" s="118"/>
    </row>
    <row r="310" spans="1:4" ht="42.75" customHeight="1" thickBot="1">
      <c r="A310" s="113" t="s">
        <v>18</v>
      </c>
      <c r="B310" s="114"/>
      <c r="C310" s="114"/>
      <c r="D310" s="115"/>
    </row>
    <row r="311" spans="1:4" ht="42.75" customHeight="1" thickBot="1">
      <c r="A311" s="119"/>
      <c r="B311" s="119"/>
      <c r="C311" s="119"/>
      <c r="D311" s="119"/>
    </row>
    <row r="312" spans="1:4" ht="42.75" customHeight="1" thickBot="1">
      <c r="A312" s="126" t="s">
        <v>19</v>
      </c>
      <c r="B312" s="127"/>
      <c r="C312" s="127"/>
      <c r="D312" s="128"/>
    </row>
    <row r="313" spans="1:4" ht="42.75" customHeight="1" thickBot="1">
      <c r="A313" s="123" t="s">
        <v>11</v>
      </c>
      <c r="B313" s="124"/>
      <c r="C313" s="125" t="s">
        <v>603</v>
      </c>
      <c r="D313" s="124"/>
    </row>
    <row r="314" spans="1:4" ht="42.75" customHeight="1" thickBot="1">
      <c r="A314" s="1" t="s">
        <v>686</v>
      </c>
      <c r="B314" s="26" t="s">
        <v>1</v>
      </c>
      <c r="C314" s="90" t="s">
        <v>526</v>
      </c>
      <c r="D314" s="91"/>
    </row>
    <row r="315" spans="1:4" ht="42.75" customHeight="1" thickBot="1">
      <c r="A315" s="26"/>
      <c r="B315" s="26" t="s">
        <v>0</v>
      </c>
      <c r="C315" s="5" t="s">
        <v>687</v>
      </c>
      <c r="D315" s="4" t="s">
        <v>2</v>
      </c>
    </row>
    <row r="316" spans="1:4" ht="42.75" customHeight="1" thickBot="1">
      <c r="A316" s="92">
        <v>4755</v>
      </c>
      <c r="B316" s="93"/>
      <c r="C316" s="94" t="s">
        <v>3</v>
      </c>
      <c r="D316" s="95"/>
    </row>
    <row r="317" spans="1:4" ht="42.75" customHeight="1" thickBot="1">
      <c r="A317" s="92">
        <v>4845</v>
      </c>
      <c r="B317" s="93"/>
      <c r="C317" s="96" t="s">
        <v>4</v>
      </c>
      <c r="D317" s="97"/>
    </row>
    <row r="318" spans="1:4" ht="42.75" customHeight="1" thickBot="1">
      <c r="A318" s="98">
        <f>A317-A316</f>
        <v>90</v>
      </c>
      <c r="B318" s="99"/>
      <c r="C318" s="100" t="s">
        <v>5</v>
      </c>
      <c r="D318" s="97"/>
    </row>
    <row r="319" spans="1:4" ht="42.75" customHeight="1" thickBot="1">
      <c r="A319" s="101">
        <v>62</v>
      </c>
      <c r="B319" s="102"/>
      <c r="C319" s="96" t="s">
        <v>6</v>
      </c>
      <c r="D319" s="97"/>
    </row>
    <row r="320" spans="1:4" ht="42.75" customHeight="1" thickBot="1">
      <c r="A320" s="103"/>
      <c r="B320" s="104"/>
      <c r="C320" s="96" t="s">
        <v>21</v>
      </c>
      <c r="D320" s="97"/>
    </row>
    <row r="321" spans="1:4" ht="42.75" customHeight="1" thickBot="1">
      <c r="A321" s="105">
        <v>5600</v>
      </c>
      <c r="B321" s="106"/>
      <c r="C321" s="96" t="s">
        <v>7</v>
      </c>
      <c r="D321" s="97"/>
    </row>
    <row r="322" spans="1:4" ht="42.75" customHeight="1" thickBot="1">
      <c r="A322" s="107" t="s">
        <v>17</v>
      </c>
      <c r="B322" s="108"/>
      <c r="C322" s="108"/>
      <c r="D322" s="109"/>
    </row>
    <row r="323" spans="1:4" ht="42.75" customHeight="1" thickBot="1">
      <c r="A323" s="110" t="s">
        <v>20</v>
      </c>
      <c r="B323" s="111"/>
      <c r="C323" s="111"/>
      <c r="D323" s="112"/>
    </row>
    <row r="324" spans="1:4" ht="42.75" customHeight="1" thickBot="1">
      <c r="A324" s="113" t="s">
        <v>18</v>
      </c>
      <c r="B324" s="114"/>
      <c r="C324" s="114"/>
      <c r="D324" s="115"/>
    </row>
    <row r="325" spans="1:4" ht="42.75" customHeight="1" thickBot="1">
      <c r="A325" s="126" t="s">
        <v>19</v>
      </c>
      <c r="B325" s="127"/>
      <c r="C325" s="127"/>
      <c r="D325" s="128"/>
    </row>
    <row r="326" spans="1:4" ht="42.75" customHeight="1" thickBot="1">
      <c r="A326" s="123" t="s">
        <v>11</v>
      </c>
      <c r="B326" s="124"/>
      <c r="C326" s="125" t="s">
        <v>603</v>
      </c>
      <c r="D326" s="124"/>
    </row>
    <row r="327" spans="1:4" ht="42.75" customHeight="1" thickBot="1">
      <c r="A327" s="1" t="s">
        <v>686</v>
      </c>
      <c r="B327" s="26" t="s">
        <v>1</v>
      </c>
      <c r="C327" s="90" t="s">
        <v>123</v>
      </c>
      <c r="D327" s="91"/>
    </row>
    <row r="328" spans="1:4" ht="42.75" customHeight="1" thickBot="1">
      <c r="A328" s="26"/>
      <c r="B328" s="26" t="s">
        <v>0</v>
      </c>
      <c r="C328" s="5" t="s">
        <v>687</v>
      </c>
      <c r="D328" s="4" t="s">
        <v>2</v>
      </c>
    </row>
    <row r="329" spans="1:4" ht="42.75" customHeight="1" thickBot="1">
      <c r="A329" s="92">
        <v>3021</v>
      </c>
      <c r="B329" s="93"/>
      <c r="C329" s="94" t="s">
        <v>3</v>
      </c>
      <c r="D329" s="95"/>
    </row>
    <row r="330" spans="1:4" ht="42.75" customHeight="1" thickBot="1">
      <c r="A330" s="92">
        <v>3065</v>
      </c>
      <c r="B330" s="93"/>
      <c r="C330" s="96" t="s">
        <v>4</v>
      </c>
      <c r="D330" s="97"/>
    </row>
    <row r="331" spans="1:4" ht="42.75" customHeight="1" thickBot="1">
      <c r="A331" s="98">
        <f>A330-A329</f>
        <v>44</v>
      </c>
      <c r="B331" s="99"/>
      <c r="C331" s="100" t="s">
        <v>5</v>
      </c>
      <c r="D331" s="97"/>
    </row>
    <row r="332" spans="1:4" ht="42.75" customHeight="1" thickBot="1">
      <c r="A332" s="101">
        <v>62</v>
      </c>
      <c r="B332" s="102"/>
      <c r="C332" s="96" t="s">
        <v>6</v>
      </c>
      <c r="D332" s="97"/>
    </row>
    <row r="333" spans="1:4" ht="42.75" customHeight="1" thickBot="1">
      <c r="A333" s="103"/>
      <c r="B333" s="104"/>
      <c r="C333" s="96" t="s">
        <v>21</v>
      </c>
      <c r="D333" s="97"/>
    </row>
    <row r="334" spans="1:4" ht="42.75" customHeight="1" thickBot="1">
      <c r="A334" s="105">
        <v>2700</v>
      </c>
      <c r="B334" s="106"/>
      <c r="C334" s="96" t="s">
        <v>7</v>
      </c>
      <c r="D334" s="97"/>
    </row>
    <row r="335" spans="1:4" ht="42.75" customHeight="1" thickBot="1">
      <c r="A335" s="107" t="s">
        <v>17</v>
      </c>
      <c r="B335" s="108"/>
      <c r="C335" s="108"/>
      <c r="D335" s="109"/>
    </row>
    <row r="336" spans="1:4" ht="42.75" customHeight="1" thickBot="1">
      <c r="A336" s="116" t="s">
        <v>20</v>
      </c>
      <c r="B336" s="117"/>
      <c r="C336" s="117"/>
      <c r="D336" s="118"/>
    </row>
    <row r="337" spans="1:4" ht="42.75" customHeight="1" thickBot="1">
      <c r="A337" s="113" t="s">
        <v>18</v>
      </c>
      <c r="B337" s="114"/>
      <c r="C337" s="114"/>
      <c r="D337" s="115"/>
    </row>
    <row r="338" spans="1:4" ht="42.75" customHeight="1" thickBot="1">
      <c r="A338" s="119"/>
      <c r="B338" s="119"/>
      <c r="C338" s="119"/>
      <c r="D338" s="119"/>
    </row>
    <row r="339" spans="1:4" ht="42.75" customHeight="1" thickBot="1">
      <c r="A339" s="126" t="s">
        <v>19</v>
      </c>
      <c r="B339" s="127"/>
      <c r="C339" s="127"/>
      <c r="D339" s="128"/>
    </row>
    <row r="340" spans="1:4" ht="42.75" customHeight="1" thickBot="1">
      <c r="A340" s="123" t="s">
        <v>11</v>
      </c>
      <c r="B340" s="124"/>
      <c r="C340" s="125" t="s">
        <v>603</v>
      </c>
      <c r="D340" s="124"/>
    </row>
    <row r="341" spans="1:4" ht="42.75" customHeight="1" thickBot="1">
      <c r="A341" s="1" t="s">
        <v>686</v>
      </c>
      <c r="B341" s="26" t="s">
        <v>1</v>
      </c>
      <c r="C341" s="90" t="s">
        <v>123</v>
      </c>
      <c r="D341" s="91"/>
    </row>
    <row r="342" spans="1:4" ht="42.75" customHeight="1" thickBot="1">
      <c r="A342" s="26"/>
      <c r="B342" s="26" t="s">
        <v>0</v>
      </c>
      <c r="C342" s="5" t="s">
        <v>687</v>
      </c>
      <c r="D342" s="4" t="s">
        <v>2</v>
      </c>
    </row>
    <row r="343" spans="1:4" ht="42.75" customHeight="1" thickBot="1">
      <c r="A343" s="92">
        <v>3021</v>
      </c>
      <c r="B343" s="93"/>
      <c r="C343" s="94" t="s">
        <v>3</v>
      </c>
      <c r="D343" s="95"/>
    </row>
    <row r="344" spans="1:4" ht="42.75" customHeight="1" thickBot="1">
      <c r="A344" s="92">
        <v>3065</v>
      </c>
      <c r="B344" s="93"/>
      <c r="C344" s="96" t="s">
        <v>4</v>
      </c>
      <c r="D344" s="97"/>
    </row>
    <row r="345" spans="1:4" ht="42.75" customHeight="1" thickBot="1">
      <c r="A345" s="98">
        <f>A344-A343</f>
        <v>44</v>
      </c>
      <c r="B345" s="99"/>
      <c r="C345" s="100" t="s">
        <v>5</v>
      </c>
      <c r="D345" s="97"/>
    </row>
    <row r="346" spans="1:4" ht="42.75" customHeight="1" thickBot="1">
      <c r="A346" s="101">
        <v>62</v>
      </c>
      <c r="B346" s="102"/>
      <c r="C346" s="96" t="s">
        <v>6</v>
      </c>
      <c r="D346" s="97"/>
    </row>
    <row r="347" spans="1:4" ht="42.75" customHeight="1" thickBot="1">
      <c r="A347" s="103"/>
      <c r="B347" s="104"/>
      <c r="C347" s="96" t="s">
        <v>21</v>
      </c>
      <c r="D347" s="97"/>
    </row>
    <row r="348" spans="1:4" ht="42.75" customHeight="1" thickBot="1">
      <c r="A348" s="105">
        <v>2700</v>
      </c>
      <c r="B348" s="106"/>
      <c r="C348" s="96" t="s">
        <v>7</v>
      </c>
      <c r="D348" s="97"/>
    </row>
    <row r="349" spans="1:4" ht="42.75" customHeight="1" thickBot="1">
      <c r="A349" s="107" t="s">
        <v>17</v>
      </c>
      <c r="B349" s="108"/>
      <c r="C349" s="108"/>
      <c r="D349" s="109"/>
    </row>
    <row r="350" spans="1:4" ht="42.75" customHeight="1" thickBot="1">
      <c r="A350" s="110" t="s">
        <v>20</v>
      </c>
      <c r="B350" s="111"/>
      <c r="C350" s="111"/>
      <c r="D350" s="112"/>
    </row>
    <row r="351" spans="1:4" ht="42.75" customHeight="1" thickBot="1">
      <c r="A351" s="113" t="s">
        <v>18</v>
      </c>
      <c r="B351" s="114"/>
      <c r="C351" s="114"/>
      <c r="D351" s="115"/>
    </row>
    <row r="352" spans="1:4" ht="42.75" customHeight="1" thickBot="1">
      <c r="A352" s="126" t="s">
        <v>19</v>
      </c>
      <c r="B352" s="127"/>
      <c r="C352" s="127"/>
      <c r="D352" s="128"/>
    </row>
    <row r="353" spans="1:4" ht="42.75" customHeight="1" thickBot="1">
      <c r="A353" s="123" t="s">
        <v>11</v>
      </c>
      <c r="B353" s="124"/>
      <c r="C353" s="125" t="s">
        <v>603</v>
      </c>
      <c r="D353" s="124"/>
    </row>
    <row r="354" spans="1:4" ht="42.75" customHeight="1" thickBot="1">
      <c r="A354" s="1" t="s">
        <v>686</v>
      </c>
      <c r="B354" s="26" t="s">
        <v>1</v>
      </c>
      <c r="C354" s="90" t="s">
        <v>326</v>
      </c>
      <c r="D354" s="91"/>
    </row>
    <row r="355" spans="1:4" ht="42.75" customHeight="1" thickBot="1">
      <c r="A355" s="26"/>
      <c r="B355" s="26" t="s">
        <v>0</v>
      </c>
      <c r="C355" s="5" t="s">
        <v>687</v>
      </c>
      <c r="D355" s="4" t="s">
        <v>2</v>
      </c>
    </row>
    <row r="356" spans="1:4" ht="42.75" customHeight="1" thickBot="1">
      <c r="A356" s="92">
        <v>2734</v>
      </c>
      <c r="B356" s="93"/>
      <c r="C356" s="94" t="s">
        <v>3</v>
      </c>
      <c r="D356" s="95"/>
    </row>
    <row r="357" spans="1:4" ht="42.75" customHeight="1" thickBot="1">
      <c r="A357" s="92">
        <v>2755</v>
      </c>
      <c r="B357" s="93"/>
      <c r="C357" s="96" t="s">
        <v>4</v>
      </c>
      <c r="D357" s="97"/>
    </row>
    <row r="358" spans="1:4" ht="42.75" customHeight="1" thickBot="1">
      <c r="A358" s="98">
        <f>A357-A356</f>
        <v>21</v>
      </c>
      <c r="B358" s="99"/>
      <c r="C358" s="100" t="s">
        <v>5</v>
      </c>
      <c r="D358" s="97"/>
    </row>
    <row r="359" spans="1:4" ht="42.75" customHeight="1" thickBot="1">
      <c r="A359" s="101">
        <v>62</v>
      </c>
      <c r="B359" s="102"/>
      <c r="C359" s="96" t="s">
        <v>6</v>
      </c>
      <c r="D359" s="97"/>
    </row>
    <row r="360" spans="1:4" ht="42.75" customHeight="1" thickBot="1">
      <c r="A360" s="103"/>
      <c r="B360" s="104"/>
      <c r="C360" s="96" t="s">
        <v>21</v>
      </c>
      <c r="D360" s="97"/>
    </row>
    <row r="361" spans="1:4" ht="42.75" customHeight="1" thickBot="1">
      <c r="A361" s="105">
        <f>A359*A358</f>
        <v>1302</v>
      </c>
      <c r="B361" s="106"/>
      <c r="C361" s="96" t="s">
        <v>7</v>
      </c>
      <c r="D361" s="97"/>
    </row>
    <row r="362" spans="1:4" ht="42.75" customHeight="1" thickBot="1">
      <c r="A362" s="107" t="s">
        <v>17</v>
      </c>
      <c r="B362" s="108"/>
      <c r="C362" s="108"/>
      <c r="D362" s="109"/>
    </row>
    <row r="363" spans="1:4" ht="42.75" customHeight="1" thickBot="1">
      <c r="A363" s="116" t="s">
        <v>20</v>
      </c>
      <c r="B363" s="117"/>
      <c r="C363" s="117"/>
      <c r="D363" s="118"/>
    </row>
    <row r="364" spans="1:4" ht="42.75" customHeight="1" thickBot="1">
      <c r="A364" s="113" t="s">
        <v>18</v>
      </c>
      <c r="B364" s="114"/>
      <c r="C364" s="114"/>
      <c r="D364" s="115"/>
    </row>
    <row r="365" spans="1:4" ht="42.75" customHeight="1" thickBot="1">
      <c r="A365" s="119"/>
      <c r="B365" s="119"/>
      <c r="C365" s="119"/>
      <c r="D365" s="119"/>
    </row>
    <row r="366" spans="1:4" ht="42.75" customHeight="1" thickBot="1">
      <c r="A366" s="126" t="s">
        <v>19</v>
      </c>
      <c r="B366" s="127"/>
      <c r="C366" s="127"/>
      <c r="D366" s="128"/>
    </row>
    <row r="367" spans="1:4" ht="42.75" customHeight="1" thickBot="1">
      <c r="A367" s="123" t="s">
        <v>11</v>
      </c>
      <c r="B367" s="124"/>
      <c r="C367" s="125" t="s">
        <v>603</v>
      </c>
      <c r="D367" s="124"/>
    </row>
    <row r="368" spans="1:4" ht="42.75" customHeight="1" thickBot="1">
      <c r="A368" s="1" t="s">
        <v>686</v>
      </c>
      <c r="B368" s="26" t="s">
        <v>1</v>
      </c>
      <c r="C368" s="90" t="s">
        <v>326</v>
      </c>
      <c r="D368" s="91"/>
    </row>
    <row r="369" spans="1:4" ht="42.75" customHeight="1" thickBot="1">
      <c r="A369" s="26"/>
      <c r="B369" s="26" t="s">
        <v>0</v>
      </c>
      <c r="C369" s="5" t="s">
        <v>687</v>
      </c>
      <c r="D369" s="4" t="s">
        <v>2</v>
      </c>
    </row>
    <row r="370" spans="1:4" ht="42.75" customHeight="1" thickBot="1">
      <c r="A370" s="92">
        <v>2734</v>
      </c>
      <c r="B370" s="93"/>
      <c r="C370" s="94" t="s">
        <v>3</v>
      </c>
      <c r="D370" s="95"/>
    </row>
    <row r="371" spans="1:4" ht="42.75" customHeight="1" thickBot="1">
      <c r="A371" s="92">
        <v>2755</v>
      </c>
      <c r="B371" s="93"/>
      <c r="C371" s="96" t="s">
        <v>4</v>
      </c>
      <c r="D371" s="97"/>
    </row>
    <row r="372" spans="1:4" ht="42.75" customHeight="1" thickBot="1">
      <c r="A372" s="98">
        <f>A371-A370</f>
        <v>21</v>
      </c>
      <c r="B372" s="99"/>
      <c r="C372" s="100" t="s">
        <v>5</v>
      </c>
      <c r="D372" s="97"/>
    </row>
    <row r="373" spans="1:4" ht="42.75" customHeight="1" thickBot="1">
      <c r="A373" s="101">
        <v>62</v>
      </c>
      <c r="B373" s="102"/>
      <c r="C373" s="96" t="s">
        <v>6</v>
      </c>
      <c r="D373" s="97"/>
    </row>
    <row r="374" spans="1:4" ht="42.75" customHeight="1" thickBot="1">
      <c r="A374" s="103"/>
      <c r="B374" s="104"/>
      <c r="C374" s="96" t="s">
        <v>21</v>
      </c>
      <c r="D374" s="97"/>
    </row>
    <row r="375" spans="1:4" ht="42.75" customHeight="1" thickBot="1">
      <c r="A375" s="105">
        <f>A373*A372</f>
        <v>1302</v>
      </c>
      <c r="B375" s="106"/>
      <c r="C375" s="96" t="s">
        <v>7</v>
      </c>
      <c r="D375" s="97"/>
    </row>
    <row r="376" spans="1:4" ht="42.75" customHeight="1" thickBot="1">
      <c r="A376" s="107" t="s">
        <v>17</v>
      </c>
      <c r="B376" s="108"/>
      <c r="C376" s="108"/>
      <c r="D376" s="109"/>
    </row>
    <row r="377" spans="1:4" ht="42.75" customHeight="1" thickBot="1">
      <c r="A377" s="110" t="s">
        <v>20</v>
      </c>
      <c r="B377" s="111"/>
      <c r="C377" s="111"/>
      <c r="D377" s="112"/>
    </row>
    <row r="378" spans="1:4" ht="42.75" customHeight="1" thickBot="1">
      <c r="A378" s="113" t="s">
        <v>18</v>
      </c>
      <c r="B378" s="114"/>
      <c r="C378" s="114"/>
      <c r="D378" s="115"/>
    </row>
    <row r="379" spans="1:4" ht="42.75" customHeight="1" thickBot="1">
      <c r="A379" s="126" t="s">
        <v>19</v>
      </c>
      <c r="B379" s="127"/>
      <c r="C379" s="127"/>
      <c r="D379" s="128"/>
    </row>
    <row r="380" spans="1:4" ht="42.75" customHeight="1" thickBot="1">
      <c r="A380" s="123" t="s">
        <v>11</v>
      </c>
      <c r="B380" s="124"/>
      <c r="C380" s="125" t="s">
        <v>603</v>
      </c>
      <c r="D380" s="124"/>
    </row>
    <row r="381" spans="1:4" ht="42.75" customHeight="1" thickBot="1">
      <c r="A381" s="1" t="s">
        <v>686</v>
      </c>
      <c r="B381" s="26" t="s">
        <v>1</v>
      </c>
      <c r="C381" s="90" t="s">
        <v>327</v>
      </c>
      <c r="D381" s="91"/>
    </row>
    <row r="382" spans="1:4" ht="42.75" customHeight="1" thickBot="1">
      <c r="A382" s="26"/>
      <c r="B382" s="26" t="s">
        <v>0</v>
      </c>
      <c r="C382" s="5" t="s">
        <v>687</v>
      </c>
      <c r="D382" s="4" t="s">
        <v>2</v>
      </c>
    </row>
    <row r="383" spans="1:4" ht="42.75" customHeight="1" thickBot="1">
      <c r="A383" s="92">
        <v>2844</v>
      </c>
      <c r="B383" s="93"/>
      <c r="C383" s="94" t="s">
        <v>3</v>
      </c>
      <c r="D383" s="95"/>
    </row>
    <row r="384" spans="1:4" ht="42.75" customHeight="1" thickBot="1">
      <c r="A384" s="92">
        <v>2860</v>
      </c>
      <c r="B384" s="93"/>
      <c r="C384" s="96" t="s">
        <v>4</v>
      </c>
      <c r="D384" s="97"/>
    </row>
    <row r="385" spans="1:4" ht="42.75" customHeight="1" thickBot="1">
      <c r="A385" s="98">
        <f>A384-A383</f>
        <v>16</v>
      </c>
      <c r="B385" s="99"/>
      <c r="C385" s="100" t="s">
        <v>5</v>
      </c>
      <c r="D385" s="97"/>
    </row>
    <row r="386" spans="1:4" ht="42.75" customHeight="1" thickBot="1">
      <c r="A386" s="101">
        <v>62</v>
      </c>
      <c r="B386" s="102"/>
      <c r="C386" s="96" t="s">
        <v>6</v>
      </c>
      <c r="D386" s="97"/>
    </row>
    <row r="387" spans="1:4" ht="42.75" customHeight="1" thickBot="1">
      <c r="A387" s="103"/>
      <c r="B387" s="104"/>
      <c r="C387" s="96" t="s">
        <v>21</v>
      </c>
      <c r="D387" s="97"/>
    </row>
    <row r="388" spans="1:4" ht="42.75" customHeight="1" thickBot="1">
      <c r="A388" s="105">
        <v>1000</v>
      </c>
      <c r="B388" s="106"/>
      <c r="C388" s="96" t="s">
        <v>7</v>
      </c>
      <c r="D388" s="97"/>
    </row>
    <row r="389" spans="1:4" ht="42.75" customHeight="1" thickBot="1">
      <c r="A389" s="107" t="s">
        <v>17</v>
      </c>
      <c r="B389" s="108"/>
      <c r="C389" s="108"/>
      <c r="D389" s="109"/>
    </row>
    <row r="390" spans="1:4" ht="42.75" customHeight="1" thickBot="1">
      <c r="A390" s="116" t="s">
        <v>20</v>
      </c>
      <c r="B390" s="117"/>
      <c r="C390" s="117"/>
      <c r="D390" s="118"/>
    </row>
    <row r="391" spans="1:4" ht="42.75" customHeight="1" thickBot="1">
      <c r="A391" s="113" t="s">
        <v>18</v>
      </c>
      <c r="B391" s="114"/>
      <c r="C391" s="114"/>
      <c r="D391" s="115"/>
    </row>
    <row r="392" spans="1:4" ht="42.75" customHeight="1" thickBot="1">
      <c r="A392" s="119"/>
      <c r="B392" s="119"/>
      <c r="C392" s="119"/>
      <c r="D392" s="119"/>
    </row>
    <row r="393" spans="1:4" ht="42.75" customHeight="1" thickBot="1">
      <c r="A393" s="126" t="s">
        <v>19</v>
      </c>
      <c r="B393" s="127"/>
      <c r="C393" s="127"/>
      <c r="D393" s="128"/>
    </row>
    <row r="394" spans="1:4" ht="42.75" customHeight="1" thickBot="1">
      <c r="A394" s="123" t="s">
        <v>11</v>
      </c>
      <c r="B394" s="124"/>
      <c r="C394" s="125" t="s">
        <v>603</v>
      </c>
      <c r="D394" s="124"/>
    </row>
    <row r="395" spans="1:4" ht="42.75" customHeight="1" thickBot="1">
      <c r="A395" s="1" t="s">
        <v>686</v>
      </c>
      <c r="B395" s="26" t="s">
        <v>1</v>
      </c>
      <c r="C395" s="90" t="s">
        <v>327</v>
      </c>
      <c r="D395" s="91"/>
    </row>
    <row r="396" spans="1:4" ht="42.75" customHeight="1" thickBot="1">
      <c r="A396" s="26"/>
      <c r="B396" s="26" t="s">
        <v>0</v>
      </c>
      <c r="C396" s="5" t="s">
        <v>687</v>
      </c>
      <c r="D396" s="4" t="s">
        <v>2</v>
      </c>
    </row>
    <row r="397" spans="1:4" ht="42.75" customHeight="1" thickBot="1">
      <c r="A397" s="92">
        <v>2844</v>
      </c>
      <c r="B397" s="93"/>
      <c r="C397" s="94" t="s">
        <v>3</v>
      </c>
      <c r="D397" s="95"/>
    </row>
    <row r="398" spans="1:4" ht="42.75" customHeight="1" thickBot="1">
      <c r="A398" s="92">
        <v>2860</v>
      </c>
      <c r="B398" s="93"/>
      <c r="C398" s="96" t="s">
        <v>4</v>
      </c>
      <c r="D398" s="97"/>
    </row>
    <row r="399" spans="1:4" ht="42.75" customHeight="1" thickBot="1">
      <c r="A399" s="98">
        <f>A398-A397</f>
        <v>16</v>
      </c>
      <c r="B399" s="99"/>
      <c r="C399" s="100" t="s">
        <v>5</v>
      </c>
      <c r="D399" s="97"/>
    </row>
    <row r="400" spans="1:4" ht="42.75" customHeight="1" thickBot="1">
      <c r="A400" s="101">
        <v>62</v>
      </c>
      <c r="B400" s="102"/>
      <c r="C400" s="96" t="s">
        <v>6</v>
      </c>
      <c r="D400" s="97"/>
    </row>
    <row r="401" spans="1:4" ht="42.75" customHeight="1" thickBot="1">
      <c r="A401" s="103"/>
      <c r="B401" s="104"/>
      <c r="C401" s="96" t="s">
        <v>21</v>
      </c>
      <c r="D401" s="97"/>
    </row>
    <row r="402" spans="1:4" ht="42.75" customHeight="1" thickBot="1">
      <c r="A402" s="105">
        <v>1000</v>
      </c>
      <c r="B402" s="106"/>
      <c r="C402" s="96" t="s">
        <v>7</v>
      </c>
      <c r="D402" s="97"/>
    </row>
    <row r="403" spans="1:4" ht="42.75" customHeight="1" thickBot="1">
      <c r="A403" s="107" t="s">
        <v>17</v>
      </c>
      <c r="B403" s="108"/>
      <c r="C403" s="108"/>
      <c r="D403" s="109"/>
    </row>
    <row r="404" spans="1:4" ht="42.75" customHeight="1" thickBot="1">
      <c r="A404" s="110" t="s">
        <v>20</v>
      </c>
      <c r="B404" s="111"/>
      <c r="C404" s="111"/>
      <c r="D404" s="112"/>
    </row>
    <row r="405" spans="1:4" ht="42.75" customHeight="1" thickBot="1">
      <c r="A405" s="113" t="s">
        <v>18</v>
      </c>
      <c r="B405" s="114"/>
      <c r="C405" s="114"/>
      <c r="D405" s="115"/>
    </row>
    <row r="406" spans="1:4" ht="42.75" customHeight="1" thickBot="1">
      <c r="A406" s="126" t="s">
        <v>19</v>
      </c>
      <c r="B406" s="127"/>
      <c r="C406" s="127"/>
      <c r="D406" s="128"/>
    </row>
    <row r="407" spans="1:4" ht="42.75" customHeight="1" thickBot="1">
      <c r="A407" s="123" t="s">
        <v>11</v>
      </c>
      <c r="B407" s="124"/>
      <c r="C407" s="125" t="s">
        <v>603</v>
      </c>
      <c r="D407" s="124"/>
    </row>
    <row r="408" spans="1:4" ht="42.75" customHeight="1" thickBot="1">
      <c r="A408" s="1" t="s">
        <v>686</v>
      </c>
      <c r="B408" s="26" t="s">
        <v>1</v>
      </c>
      <c r="C408" s="90" t="s">
        <v>328</v>
      </c>
      <c r="D408" s="91"/>
    </row>
    <row r="409" spans="1:4" ht="42.75" customHeight="1" thickBot="1">
      <c r="A409" s="26"/>
      <c r="B409" s="26" t="s">
        <v>0</v>
      </c>
      <c r="C409" s="5" t="s">
        <v>687</v>
      </c>
      <c r="D409" s="4" t="s">
        <v>2</v>
      </c>
    </row>
    <row r="410" spans="1:4" ht="42.75" customHeight="1" thickBot="1">
      <c r="A410" s="92">
        <v>3900</v>
      </c>
      <c r="B410" s="93"/>
      <c r="C410" s="94" t="s">
        <v>3</v>
      </c>
      <c r="D410" s="95"/>
    </row>
    <row r="411" spans="1:4" ht="42.75" customHeight="1" thickBot="1">
      <c r="A411" s="92">
        <v>3945</v>
      </c>
      <c r="B411" s="93"/>
      <c r="C411" s="96" t="s">
        <v>4</v>
      </c>
      <c r="D411" s="97"/>
    </row>
    <row r="412" spans="1:4" ht="42.75" customHeight="1" thickBot="1">
      <c r="A412" s="98">
        <f>A411-A410</f>
        <v>45</v>
      </c>
      <c r="B412" s="99"/>
      <c r="C412" s="100" t="s">
        <v>5</v>
      </c>
      <c r="D412" s="97"/>
    </row>
    <row r="413" spans="1:4" ht="42.75" customHeight="1" thickBot="1">
      <c r="A413" s="101">
        <v>62</v>
      </c>
      <c r="B413" s="102"/>
      <c r="C413" s="96" t="s">
        <v>6</v>
      </c>
      <c r="D413" s="97"/>
    </row>
    <row r="414" spans="1:4" ht="42.75" customHeight="1" thickBot="1">
      <c r="A414" s="103"/>
      <c r="B414" s="104"/>
      <c r="C414" s="96" t="s">
        <v>21</v>
      </c>
      <c r="D414" s="97"/>
    </row>
    <row r="415" spans="1:4" ht="42.75" customHeight="1" thickBot="1">
      <c r="A415" s="105">
        <v>2800</v>
      </c>
      <c r="B415" s="106"/>
      <c r="C415" s="96" t="s">
        <v>7</v>
      </c>
      <c r="D415" s="97"/>
    </row>
    <row r="416" spans="1:4" ht="42.75" customHeight="1" thickBot="1">
      <c r="A416" s="107" t="s">
        <v>17</v>
      </c>
      <c r="B416" s="108"/>
      <c r="C416" s="108"/>
      <c r="D416" s="109"/>
    </row>
    <row r="417" spans="1:4" ht="42.75" customHeight="1" thickBot="1">
      <c r="A417" s="116" t="s">
        <v>20</v>
      </c>
      <c r="B417" s="117"/>
      <c r="C417" s="117"/>
      <c r="D417" s="118"/>
    </row>
    <row r="418" spans="1:4" ht="42.75" customHeight="1" thickBot="1">
      <c r="A418" s="113" t="s">
        <v>18</v>
      </c>
      <c r="B418" s="114"/>
      <c r="C418" s="114"/>
      <c r="D418" s="115"/>
    </row>
    <row r="419" spans="1:4" ht="42.75" customHeight="1" thickBot="1">
      <c r="A419" s="119"/>
      <c r="B419" s="119"/>
      <c r="C419" s="119"/>
      <c r="D419" s="119"/>
    </row>
    <row r="420" spans="1:4" ht="42.75" customHeight="1" thickBot="1">
      <c r="A420" s="126" t="s">
        <v>19</v>
      </c>
      <c r="B420" s="127"/>
      <c r="C420" s="127"/>
      <c r="D420" s="128"/>
    </row>
    <row r="421" spans="1:4" ht="42.75" customHeight="1" thickBot="1">
      <c r="A421" s="123" t="s">
        <v>11</v>
      </c>
      <c r="B421" s="124"/>
      <c r="C421" s="125" t="s">
        <v>603</v>
      </c>
      <c r="D421" s="124"/>
    </row>
    <row r="422" spans="1:4" ht="42.75" customHeight="1" thickBot="1">
      <c r="A422" s="1" t="s">
        <v>686</v>
      </c>
      <c r="B422" s="26" t="s">
        <v>1</v>
      </c>
      <c r="C422" s="90" t="s">
        <v>328</v>
      </c>
      <c r="D422" s="91"/>
    </row>
    <row r="423" spans="1:4" ht="42.75" customHeight="1" thickBot="1">
      <c r="A423" s="26"/>
      <c r="B423" s="26" t="s">
        <v>0</v>
      </c>
      <c r="C423" s="5" t="s">
        <v>687</v>
      </c>
      <c r="D423" s="4" t="s">
        <v>2</v>
      </c>
    </row>
    <row r="424" spans="1:4" ht="42.75" customHeight="1" thickBot="1">
      <c r="A424" s="92">
        <v>3900</v>
      </c>
      <c r="B424" s="93"/>
      <c r="C424" s="94" t="s">
        <v>3</v>
      </c>
      <c r="D424" s="95"/>
    </row>
    <row r="425" spans="1:4" ht="42.75" customHeight="1" thickBot="1">
      <c r="A425" s="92">
        <v>3945</v>
      </c>
      <c r="B425" s="93"/>
      <c r="C425" s="96" t="s">
        <v>4</v>
      </c>
      <c r="D425" s="97"/>
    </row>
    <row r="426" spans="1:4" ht="42.75" customHeight="1" thickBot="1">
      <c r="A426" s="98">
        <f>A425-A424</f>
        <v>45</v>
      </c>
      <c r="B426" s="99"/>
      <c r="C426" s="100" t="s">
        <v>5</v>
      </c>
      <c r="D426" s="97"/>
    </row>
    <row r="427" spans="1:4" ht="42.75" customHeight="1" thickBot="1">
      <c r="A427" s="101">
        <v>62</v>
      </c>
      <c r="B427" s="102"/>
      <c r="C427" s="96" t="s">
        <v>6</v>
      </c>
      <c r="D427" s="97"/>
    </row>
    <row r="428" spans="1:4" ht="42.75" customHeight="1" thickBot="1">
      <c r="A428" s="103"/>
      <c r="B428" s="104"/>
      <c r="C428" s="96" t="s">
        <v>21</v>
      </c>
      <c r="D428" s="97"/>
    </row>
    <row r="429" spans="1:4" ht="42.75" customHeight="1" thickBot="1">
      <c r="A429" s="105">
        <v>2800</v>
      </c>
      <c r="B429" s="106"/>
      <c r="C429" s="96" t="s">
        <v>7</v>
      </c>
      <c r="D429" s="97"/>
    </row>
    <row r="430" spans="1:4" ht="42.75" customHeight="1" thickBot="1">
      <c r="A430" s="107" t="s">
        <v>17</v>
      </c>
      <c r="B430" s="108"/>
      <c r="C430" s="108"/>
      <c r="D430" s="109"/>
    </row>
    <row r="431" spans="1:4" ht="42.75" customHeight="1" thickBot="1">
      <c r="A431" s="110" t="s">
        <v>20</v>
      </c>
      <c r="B431" s="111"/>
      <c r="C431" s="111"/>
      <c r="D431" s="112"/>
    </row>
    <row r="432" spans="1:4" ht="42.75" customHeight="1" thickBot="1">
      <c r="A432" s="113" t="s">
        <v>18</v>
      </c>
      <c r="B432" s="114"/>
      <c r="C432" s="114"/>
      <c r="D432" s="115"/>
    </row>
    <row r="433" spans="1:4" ht="42.75" customHeight="1" thickBot="1">
      <c r="A433" s="126" t="s">
        <v>19</v>
      </c>
      <c r="B433" s="127"/>
      <c r="C433" s="127"/>
      <c r="D433" s="128"/>
    </row>
    <row r="434" spans="1:4" ht="42.75" customHeight="1" thickBot="1">
      <c r="A434" s="123" t="s">
        <v>11</v>
      </c>
      <c r="B434" s="124"/>
      <c r="C434" s="125" t="s">
        <v>603</v>
      </c>
      <c r="D434" s="124"/>
    </row>
    <row r="435" spans="1:4" ht="42.75" customHeight="1" thickBot="1">
      <c r="A435" s="1" t="s">
        <v>686</v>
      </c>
      <c r="B435" s="26" t="s">
        <v>1</v>
      </c>
      <c r="C435" s="90" t="s">
        <v>329</v>
      </c>
      <c r="D435" s="91"/>
    </row>
    <row r="436" spans="1:4" ht="42.75" customHeight="1" thickBot="1">
      <c r="A436" s="26"/>
      <c r="B436" s="26" t="s">
        <v>0</v>
      </c>
      <c r="C436" s="5" t="s">
        <v>687</v>
      </c>
      <c r="D436" s="4" t="s">
        <v>2</v>
      </c>
    </row>
    <row r="437" spans="1:4" ht="42.75" customHeight="1" thickBot="1">
      <c r="A437" s="92">
        <v>4620</v>
      </c>
      <c r="B437" s="93"/>
      <c r="C437" s="94" t="s">
        <v>3</v>
      </c>
      <c r="D437" s="95"/>
    </row>
    <row r="438" spans="1:4" ht="42.75" customHeight="1" thickBot="1">
      <c r="A438" s="92">
        <v>4655</v>
      </c>
      <c r="B438" s="93"/>
      <c r="C438" s="96" t="s">
        <v>4</v>
      </c>
      <c r="D438" s="97"/>
    </row>
    <row r="439" spans="1:4" ht="42.75" customHeight="1" thickBot="1">
      <c r="A439" s="98">
        <f>A438-A437</f>
        <v>35</v>
      </c>
      <c r="B439" s="99"/>
      <c r="C439" s="100" t="s">
        <v>5</v>
      </c>
      <c r="D439" s="97"/>
    </row>
    <row r="440" spans="1:4" ht="42.75" customHeight="1" thickBot="1">
      <c r="A440" s="101">
        <v>62</v>
      </c>
      <c r="B440" s="102"/>
      <c r="C440" s="96" t="s">
        <v>6</v>
      </c>
      <c r="D440" s="97"/>
    </row>
    <row r="441" spans="1:4" ht="42.75" customHeight="1" thickBot="1">
      <c r="A441" s="103"/>
      <c r="B441" s="104"/>
      <c r="C441" s="96" t="s">
        <v>21</v>
      </c>
      <c r="D441" s="97"/>
    </row>
    <row r="442" spans="1:4" ht="42.75" customHeight="1" thickBot="1">
      <c r="A442" s="105">
        <v>2200</v>
      </c>
      <c r="B442" s="106"/>
      <c r="C442" s="96" t="s">
        <v>7</v>
      </c>
      <c r="D442" s="97"/>
    </row>
    <row r="443" spans="1:4" ht="42.75" customHeight="1" thickBot="1">
      <c r="A443" s="107" t="s">
        <v>17</v>
      </c>
      <c r="B443" s="108"/>
      <c r="C443" s="108"/>
      <c r="D443" s="109"/>
    </row>
    <row r="444" spans="1:4" ht="42.75" customHeight="1" thickBot="1">
      <c r="A444" s="116" t="s">
        <v>20</v>
      </c>
      <c r="B444" s="117"/>
      <c r="C444" s="117"/>
      <c r="D444" s="118"/>
    </row>
    <row r="445" spans="1:4" ht="42.75" customHeight="1" thickBot="1">
      <c r="A445" s="113" t="s">
        <v>18</v>
      </c>
      <c r="B445" s="114"/>
      <c r="C445" s="114"/>
      <c r="D445" s="115"/>
    </row>
    <row r="446" spans="1:4" ht="42.75" customHeight="1" thickBot="1">
      <c r="A446" s="119"/>
      <c r="B446" s="119"/>
      <c r="C446" s="119"/>
      <c r="D446" s="119"/>
    </row>
    <row r="447" spans="1:4" ht="42.75" customHeight="1" thickBot="1">
      <c r="A447" s="126" t="s">
        <v>19</v>
      </c>
      <c r="B447" s="127"/>
      <c r="C447" s="127"/>
      <c r="D447" s="128"/>
    </row>
    <row r="448" spans="1:4" ht="42.75" customHeight="1" thickBot="1">
      <c r="A448" s="123" t="s">
        <v>11</v>
      </c>
      <c r="B448" s="124"/>
      <c r="C448" s="125" t="s">
        <v>603</v>
      </c>
      <c r="D448" s="124"/>
    </row>
    <row r="449" spans="1:4" ht="42.75" customHeight="1" thickBot="1">
      <c r="A449" s="1" t="s">
        <v>686</v>
      </c>
      <c r="B449" s="26" t="s">
        <v>1</v>
      </c>
      <c r="C449" s="90" t="s">
        <v>329</v>
      </c>
      <c r="D449" s="91"/>
    </row>
    <row r="450" spans="1:4" ht="42.75" customHeight="1" thickBot="1">
      <c r="A450" s="26"/>
      <c r="B450" s="26" t="s">
        <v>0</v>
      </c>
      <c r="C450" s="5" t="s">
        <v>687</v>
      </c>
      <c r="D450" s="4" t="s">
        <v>2</v>
      </c>
    </row>
    <row r="451" spans="1:4" ht="42.75" customHeight="1" thickBot="1">
      <c r="A451" s="92">
        <v>4620</v>
      </c>
      <c r="B451" s="93"/>
      <c r="C451" s="94" t="s">
        <v>3</v>
      </c>
      <c r="D451" s="95"/>
    </row>
    <row r="452" spans="1:4" ht="42.75" customHeight="1" thickBot="1">
      <c r="A452" s="92">
        <v>4655</v>
      </c>
      <c r="B452" s="93"/>
      <c r="C452" s="96" t="s">
        <v>4</v>
      </c>
      <c r="D452" s="97"/>
    </row>
    <row r="453" spans="1:4" ht="42.75" customHeight="1" thickBot="1">
      <c r="A453" s="98">
        <f>A452-A451</f>
        <v>35</v>
      </c>
      <c r="B453" s="99"/>
      <c r="C453" s="100" t="s">
        <v>5</v>
      </c>
      <c r="D453" s="97"/>
    </row>
    <row r="454" spans="1:4" ht="42.75" customHeight="1" thickBot="1">
      <c r="A454" s="101">
        <v>62</v>
      </c>
      <c r="B454" s="102"/>
      <c r="C454" s="96" t="s">
        <v>6</v>
      </c>
      <c r="D454" s="97"/>
    </row>
    <row r="455" spans="1:4" ht="42.75" customHeight="1" thickBot="1">
      <c r="A455" s="103"/>
      <c r="B455" s="104"/>
      <c r="C455" s="96" t="s">
        <v>21</v>
      </c>
      <c r="D455" s="97"/>
    </row>
    <row r="456" spans="1:4" ht="42.75" customHeight="1" thickBot="1">
      <c r="A456" s="105">
        <v>2200</v>
      </c>
      <c r="B456" s="106"/>
      <c r="C456" s="96" t="s">
        <v>7</v>
      </c>
      <c r="D456" s="97"/>
    </row>
    <row r="457" spans="1:4" ht="42.75" customHeight="1" thickBot="1">
      <c r="A457" s="107" t="s">
        <v>17</v>
      </c>
      <c r="B457" s="108"/>
      <c r="C457" s="108"/>
      <c r="D457" s="109"/>
    </row>
    <row r="458" spans="1:4" ht="42.75" customHeight="1" thickBot="1">
      <c r="A458" s="110" t="s">
        <v>20</v>
      </c>
      <c r="B458" s="111"/>
      <c r="C458" s="111"/>
      <c r="D458" s="112"/>
    </row>
    <row r="459" spans="1:4" ht="42.75" customHeight="1" thickBot="1">
      <c r="A459" s="113" t="s">
        <v>18</v>
      </c>
      <c r="B459" s="114"/>
      <c r="C459" s="114"/>
      <c r="D459" s="115"/>
    </row>
    <row r="460" spans="1:4" ht="42.75" customHeight="1" thickBot="1">
      <c r="A460" s="126" t="s">
        <v>19</v>
      </c>
      <c r="B460" s="127"/>
      <c r="C460" s="127"/>
      <c r="D460" s="128"/>
    </row>
    <row r="461" spans="1:4" ht="42.75" customHeight="1" thickBot="1">
      <c r="A461" s="123" t="s">
        <v>11</v>
      </c>
      <c r="B461" s="124"/>
      <c r="C461" s="125" t="s">
        <v>603</v>
      </c>
      <c r="D461" s="124"/>
    </row>
    <row r="462" spans="1:4" ht="42.75" customHeight="1" thickBot="1">
      <c r="A462" s="1" t="s">
        <v>686</v>
      </c>
      <c r="B462" s="26" t="s">
        <v>1</v>
      </c>
      <c r="C462" s="90" t="s">
        <v>330</v>
      </c>
      <c r="D462" s="91"/>
    </row>
    <row r="463" spans="1:4" ht="42.75" customHeight="1" thickBot="1">
      <c r="A463" s="26"/>
      <c r="B463" s="26" t="s">
        <v>0</v>
      </c>
      <c r="C463" s="5" t="s">
        <v>687</v>
      </c>
      <c r="D463" s="4" t="s">
        <v>2</v>
      </c>
    </row>
    <row r="464" spans="1:4" ht="42.75" customHeight="1" thickBot="1">
      <c r="A464" s="92">
        <v>1736</v>
      </c>
      <c r="B464" s="93"/>
      <c r="C464" s="94" t="s">
        <v>3</v>
      </c>
      <c r="D464" s="95"/>
    </row>
    <row r="465" spans="1:4" ht="42.75" customHeight="1" thickBot="1">
      <c r="A465" s="92">
        <v>1753</v>
      </c>
      <c r="B465" s="93"/>
      <c r="C465" s="96" t="s">
        <v>4</v>
      </c>
      <c r="D465" s="97"/>
    </row>
    <row r="466" spans="1:4" ht="42.75" customHeight="1" thickBot="1">
      <c r="A466" s="98">
        <f>A465-A464</f>
        <v>17</v>
      </c>
      <c r="B466" s="99"/>
      <c r="C466" s="100" t="s">
        <v>5</v>
      </c>
      <c r="D466" s="97"/>
    </row>
    <row r="467" spans="1:4" ht="42.75" customHeight="1" thickBot="1">
      <c r="A467" s="101">
        <v>62</v>
      </c>
      <c r="B467" s="102"/>
      <c r="C467" s="96" t="s">
        <v>6</v>
      </c>
      <c r="D467" s="97"/>
    </row>
    <row r="468" spans="1:4" ht="42.75" customHeight="1" thickBot="1">
      <c r="A468" s="103"/>
      <c r="B468" s="104"/>
      <c r="C468" s="96" t="s">
        <v>21</v>
      </c>
      <c r="D468" s="97"/>
    </row>
    <row r="469" spans="1:4" ht="42.75" customHeight="1" thickBot="1">
      <c r="A469" s="105">
        <f>A467*A466</f>
        <v>1054</v>
      </c>
      <c r="B469" s="106"/>
      <c r="C469" s="96" t="s">
        <v>7</v>
      </c>
      <c r="D469" s="97"/>
    </row>
    <row r="470" spans="1:4" ht="42.75" customHeight="1" thickBot="1">
      <c r="A470" s="107" t="s">
        <v>17</v>
      </c>
      <c r="B470" s="108"/>
      <c r="C470" s="108"/>
      <c r="D470" s="109"/>
    </row>
    <row r="471" spans="1:4" ht="42.75" customHeight="1" thickBot="1">
      <c r="A471" s="116" t="s">
        <v>20</v>
      </c>
      <c r="B471" s="117"/>
      <c r="C471" s="117"/>
      <c r="D471" s="118"/>
    </row>
    <row r="472" spans="1:4" ht="42.75" customHeight="1" thickBot="1">
      <c r="A472" s="113" t="s">
        <v>18</v>
      </c>
      <c r="B472" s="114"/>
      <c r="C472" s="114"/>
      <c r="D472" s="115"/>
    </row>
    <row r="473" spans="1:4" ht="42.75" customHeight="1" thickBot="1">
      <c r="A473" s="119"/>
      <c r="B473" s="119"/>
      <c r="C473" s="119"/>
      <c r="D473" s="119"/>
    </row>
    <row r="474" spans="1:4" ht="42.75" customHeight="1" thickBot="1">
      <c r="A474" s="126" t="s">
        <v>19</v>
      </c>
      <c r="B474" s="127"/>
      <c r="C474" s="127"/>
      <c r="D474" s="128"/>
    </row>
    <row r="475" spans="1:4" ht="42.75" customHeight="1" thickBot="1">
      <c r="A475" s="123" t="s">
        <v>11</v>
      </c>
      <c r="B475" s="124"/>
      <c r="C475" s="125" t="s">
        <v>603</v>
      </c>
      <c r="D475" s="124"/>
    </row>
    <row r="476" spans="1:4" ht="42.75" customHeight="1" thickBot="1">
      <c r="A476" s="1" t="s">
        <v>686</v>
      </c>
      <c r="B476" s="26" t="s">
        <v>1</v>
      </c>
      <c r="C476" s="90" t="s">
        <v>330</v>
      </c>
      <c r="D476" s="91"/>
    </row>
    <row r="477" spans="1:4" ht="42.75" customHeight="1" thickBot="1">
      <c r="A477" s="26"/>
      <c r="B477" s="26" t="s">
        <v>0</v>
      </c>
      <c r="C477" s="5" t="s">
        <v>687</v>
      </c>
      <c r="D477" s="4" t="s">
        <v>2</v>
      </c>
    </row>
    <row r="478" spans="1:4" ht="42.75" customHeight="1" thickBot="1">
      <c r="A478" s="92">
        <v>1736</v>
      </c>
      <c r="B478" s="93"/>
      <c r="C478" s="94" t="s">
        <v>3</v>
      </c>
      <c r="D478" s="95"/>
    </row>
    <row r="479" spans="1:4" ht="42.75" customHeight="1" thickBot="1">
      <c r="A479" s="92">
        <v>1753</v>
      </c>
      <c r="B479" s="93"/>
      <c r="C479" s="96" t="s">
        <v>4</v>
      </c>
      <c r="D479" s="97"/>
    </row>
    <row r="480" spans="1:4" ht="42.75" customHeight="1" thickBot="1">
      <c r="A480" s="98">
        <f>A479-A478</f>
        <v>17</v>
      </c>
      <c r="B480" s="99"/>
      <c r="C480" s="100" t="s">
        <v>5</v>
      </c>
      <c r="D480" s="97"/>
    </row>
    <row r="481" spans="1:4" ht="42.75" customHeight="1" thickBot="1">
      <c r="A481" s="101">
        <v>62</v>
      </c>
      <c r="B481" s="102"/>
      <c r="C481" s="96" t="s">
        <v>6</v>
      </c>
      <c r="D481" s="97"/>
    </row>
    <row r="482" spans="1:4" ht="42.75" customHeight="1" thickBot="1">
      <c r="A482" s="103"/>
      <c r="B482" s="104"/>
      <c r="C482" s="96" t="s">
        <v>21</v>
      </c>
      <c r="D482" s="97"/>
    </row>
    <row r="483" spans="1:4" ht="42.75" customHeight="1" thickBot="1">
      <c r="A483" s="105">
        <f>A481*A480</f>
        <v>1054</v>
      </c>
      <c r="B483" s="106"/>
      <c r="C483" s="96" t="s">
        <v>7</v>
      </c>
      <c r="D483" s="97"/>
    </row>
    <row r="484" spans="1:4" ht="42.75" customHeight="1" thickBot="1">
      <c r="A484" s="107" t="s">
        <v>17</v>
      </c>
      <c r="B484" s="108"/>
      <c r="C484" s="108"/>
      <c r="D484" s="109"/>
    </row>
    <row r="485" spans="1:4" ht="42.75" customHeight="1" thickBot="1">
      <c r="A485" s="110" t="s">
        <v>20</v>
      </c>
      <c r="B485" s="111"/>
      <c r="C485" s="111"/>
      <c r="D485" s="112"/>
    </row>
    <row r="486" spans="1:4" ht="42.75" customHeight="1" thickBot="1">
      <c r="A486" s="113" t="s">
        <v>18</v>
      </c>
      <c r="B486" s="114"/>
      <c r="C486" s="114"/>
      <c r="D486" s="115"/>
    </row>
    <row r="487" spans="1:4" ht="42.75" customHeight="1" thickBot="1">
      <c r="A487" s="126" t="s">
        <v>19</v>
      </c>
      <c r="B487" s="127"/>
      <c r="C487" s="127"/>
      <c r="D487" s="128"/>
    </row>
    <row r="488" spans="1:4" ht="42.75" customHeight="1" thickBot="1">
      <c r="A488" s="123" t="s">
        <v>11</v>
      </c>
      <c r="B488" s="124"/>
      <c r="C488" s="125" t="s">
        <v>603</v>
      </c>
      <c r="D488" s="124"/>
    </row>
    <row r="489" spans="1:4" ht="42.75" customHeight="1" thickBot="1">
      <c r="A489" s="1" t="s">
        <v>686</v>
      </c>
      <c r="B489" s="26" t="s">
        <v>1</v>
      </c>
      <c r="C489" s="90" t="s">
        <v>550</v>
      </c>
      <c r="D489" s="91"/>
    </row>
    <row r="490" spans="1:4" ht="42.75" customHeight="1" thickBot="1">
      <c r="A490" s="26"/>
      <c r="B490" s="26" t="s">
        <v>0</v>
      </c>
      <c r="C490" s="5" t="s">
        <v>687</v>
      </c>
      <c r="D490" s="4" t="s">
        <v>2</v>
      </c>
    </row>
    <row r="491" spans="1:4" ht="42.75" customHeight="1" thickBot="1">
      <c r="A491" s="92">
        <v>2554</v>
      </c>
      <c r="B491" s="93"/>
      <c r="C491" s="94" t="s">
        <v>3</v>
      </c>
      <c r="D491" s="95"/>
    </row>
    <row r="492" spans="1:4" ht="42.75" customHeight="1" thickBot="1">
      <c r="A492" s="92">
        <v>2575</v>
      </c>
      <c r="B492" s="93"/>
      <c r="C492" s="96" t="s">
        <v>4</v>
      </c>
      <c r="D492" s="97"/>
    </row>
    <row r="493" spans="1:4" ht="42.75" customHeight="1" thickBot="1">
      <c r="A493" s="98">
        <f>A492-A491</f>
        <v>21</v>
      </c>
      <c r="B493" s="99"/>
      <c r="C493" s="100" t="s">
        <v>5</v>
      </c>
      <c r="D493" s="97"/>
    </row>
    <row r="494" spans="1:4" ht="42.75" customHeight="1" thickBot="1">
      <c r="A494" s="101">
        <v>62</v>
      </c>
      <c r="B494" s="102"/>
      <c r="C494" s="96" t="s">
        <v>6</v>
      </c>
      <c r="D494" s="97"/>
    </row>
    <row r="495" spans="1:4" ht="42.75" customHeight="1" thickBot="1">
      <c r="A495" s="103"/>
      <c r="B495" s="104"/>
      <c r="C495" s="96" t="s">
        <v>21</v>
      </c>
      <c r="D495" s="97"/>
    </row>
    <row r="496" spans="1:4" ht="42.75" customHeight="1" thickBot="1">
      <c r="A496" s="105">
        <f>A494*A493</f>
        <v>1302</v>
      </c>
      <c r="B496" s="106"/>
      <c r="C496" s="96" t="s">
        <v>7</v>
      </c>
      <c r="D496" s="97"/>
    </row>
    <row r="497" spans="1:4" ht="42.75" customHeight="1" thickBot="1">
      <c r="A497" s="107" t="s">
        <v>17</v>
      </c>
      <c r="B497" s="108"/>
      <c r="C497" s="108"/>
      <c r="D497" s="109"/>
    </row>
    <row r="498" spans="1:4" ht="42.75" customHeight="1" thickBot="1">
      <c r="A498" s="116" t="s">
        <v>20</v>
      </c>
      <c r="B498" s="117"/>
      <c r="C498" s="117"/>
      <c r="D498" s="118"/>
    </row>
    <row r="499" spans="1:4" ht="42.75" customHeight="1" thickBot="1">
      <c r="A499" s="113" t="s">
        <v>18</v>
      </c>
      <c r="B499" s="114"/>
      <c r="C499" s="114"/>
      <c r="D499" s="115"/>
    </row>
    <row r="500" spans="1:4" ht="42.75" customHeight="1" thickBot="1">
      <c r="A500" s="119"/>
      <c r="B500" s="119"/>
      <c r="C500" s="119"/>
      <c r="D500" s="119"/>
    </row>
    <row r="501" spans="1:4" ht="42.75" customHeight="1" thickBot="1">
      <c r="A501" s="126" t="s">
        <v>19</v>
      </c>
      <c r="B501" s="127"/>
      <c r="C501" s="127"/>
      <c r="D501" s="128"/>
    </row>
    <row r="502" spans="1:4" ht="42.75" customHeight="1" thickBot="1">
      <c r="A502" s="123" t="s">
        <v>11</v>
      </c>
      <c r="B502" s="124"/>
      <c r="C502" s="125" t="s">
        <v>603</v>
      </c>
      <c r="D502" s="124"/>
    </row>
    <row r="503" spans="1:4" ht="42.75" customHeight="1" thickBot="1">
      <c r="A503" s="1" t="s">
        <v>686</v>
      </c>
      <c r="B503" s="26" t="s">
        <v>1</v>
      </c>
      <c r="C503" s="90" t="s">
        <v>550</v>
      </c>
      <c r="D503" s="91"/>
    </row>
    <row r="504" spans="1:4" ht="42.75" customHeight="1" thickBot="1">
      <c r="A504" s="26"/>
      <c r="B504" s="26" t="s">
        <v>0</v>
      </c>
      <c r="C504" s="5" t="s">
        <v>687</v>
      </c>
      <c r="D504" s="4" t="s">
        <v>2</v>
      </c>
    </row>
    <row r="505" spans="1:4" ht="42.75" customHeight="1" thickBot="1">
      <c r="A505" s="92">
        <v>2554</v>
      </c>
      <c r="B505" s="93"/>
      <c r="C505" s="94" t="s">
        <v>3</v>
      </c>
      <c r="D505" s="95"/>
    </row>
    <row r="506" spans="1:4" ht="42.75" customHeight="1" thickBot="1">
      <c r="A506" s="92">
        <v>2575</v>
      </c>
      <c r="B506" s="93"/>
      <c r="C506" s="96" t="s">
        <v>4</v>
      </c>
      <c r="D506" s="97"/>
    </row>
    <row r="507" spans="1:4" ht="42.75" customHeight="1" thickBot="1">
      <c r="A507" s="98">
        <f>A506-A505</f>
        <v>21</v>
      </c>
      <c r="B507" s="99"/>
      <c r="C507" s="100" t="s">
        <v>5</v>
      </c>
      <c r="D507" s="97"/>
    </row>
    <row r="508" spans="1:4" ht="42.75" customHeight="1" thickBot="1">
      <c r="A508" s="101">
        <v>62</v>
      </c>
      <c r="B508" s="102"/>
      <c r="C508" s="96" t="s">
        <v>6</v>
      </c>
      <c r="D508" s="97"/>
    </row>
    <row r="509" spans="1:4" ht="42.75" customHeight="1" thickBot="1">
      <c r="A509" s="103"/>
      <c r="B509" s="104"/>
      <c r="C509" s="96" t="s">
        <v>21</v>
      </c>
      <c r="D509" s="97"/>
    </row>
    <row r="510" spans="1:4" ht="42.75" customHeight="1" thickBot="1">
      <c r="A510" s="105">
        <f>A508*A507</f>
        <v>1302</v>
      </c>
      <c r="B510" s="106"/>
      <c r="C510" s="96" t="s">
        <v>7</v>
      </c>
      <c r="D510" s="97"/>
    </row>
    <row r="511" spans="1:4" ht="42.75" customHeight="1" thickBot="1">
      <c r="A511" s="107" t="s">
        <v>17</v>
      </c>
      <c r="B511" s="108"/>
      <c r="C511" s="108"/>
      <c r="D511" s="109"/>
    </row>
    <row r="512" spans="1:4" ht="42.75" customHeight="1" thickBot="1">
      <c r="A512" s="110" t="s">
        <v>20</v>
      </c>
      <c r="B512" s="111"/>
      <c r="C512" s="111"/>
      <c r="D512" s="112"/>
    </row>
    <row r="513" spans="1:4" ht="42.75" customHeight="1" thickBot="1">
      <c r="A513" s="113" t="s">
        <v>18</v>
      </c>
      <c r="B513" s="114"/>
      <c r="C513" s="114"/>
      <c r="D513" s="115"/>
    </row>
    <row r="514" spans="1:4" ht="42.75" customHeight="1" thickBot="1">
      <c r="A514" s="126" t="s">
        <v>19</v>
      </c>
      <c r="B514" s="127"/>
      <c r="C514" s="127"/>
      <c r="D514" s="128"/>
    </row>
    <row r="515" spans="1:4" ht="42.75" customHeight="1" thickBot="1">
      <c r="A515" s="123" t="s">
        <v>11</v>
      </c>
      <c r="B515" s="124"/>
      <c r="C515" s="125" t="s">
        <v>603</v>
      </c>
      <c r="D515" s="124"/>
    </row>
    <row r="516" spans="1:4" ht="42.75" customHeight="1" thickBot="1">
      <c r="A516" s="1" t="s">
        <v>686</v>
      </c>
      <c r="B516" s="26" t="s">
        <v>1</v>
      </c>
      <c r="C516" s="90" t="s">
        <v>490</v>
      </c>
      <c r="D516" s="91"/>
    </row>
    <row r="517" spans="1:4" ht="42.75" customHeight="1" thickBot="1">
      <c r="A517" s="26"/>
      <c r="B517" s="26" t="s">
        <v>0</v>
      </c>
      <c r="C517" s="5" t="s">
        <v>687</v>
      </c>
      <c r="D517" s="4" t="s">
        <v>2</v>
      </c>
    </row>
    <row r="518" spans="1:4" ht="42.75" customHeight="1" thickBot="1">
      <c r="A518" s="92">
        <v>4165</v>
      </c>
      <c r="B518" s="93"/>
      <c r="C518" s="94" t="s">
        <v>3</v>
      </c>
      <c r="D518" s="95"/>
    </row>
    <row r="519" spans="1:4" ht="42.75" customHeight="1" thickBot="1">
      <c r="A519" s="92">
        <v>4210</v>
      </c>
      <c r="B519" s="93"/>
      <c r="C519" s="96" t="s">
        <v>4</v>
      </c>
      <c r="D519" s="97"/>
    </row>
    <row r="520" spans="1:4" ht="42.75" customHeight="1" thickBot="1">
      <c r="A520" s="98">
        <f>A519-A518</f>
        <v>45</v>
      </c>
      <c r="B520" s="99"/>
      <c r="C520" s="100" t="s">
        <v>5</v>
      </c>
      <c r="D520" s="97"/>
    </row>
    <row r="521" spans="1:4" ht="42.75" customHeight="1" thickBot="1">
      <c r="A521" s="101">
        <v>62</v>
      </c>
      <c r="B521" s="102"/>
      <c r="C521" s="96" t="s">
        <v>6</v>
      </c>
      <c r="D521" s="97"/>
    </row>
    <row r="522" spans="1:4" ht="42.75" customHeight="1" thickBot="1">
      <c r="A522" s="103"/>
      <c r="B522" s="104"/>
      <c r="C522" s="96" t="s">
        <v>21</v>
      </c>
      <c r="D522" s="97"/>
    </row>
    <row r="523" spans="1:4" ht="42.75" customHeight="1" thickBot="1">
      <c r="A523" s="105">
        <v>2800</v>
      </c>
      <c r="B523" s="106"/>
      <c r="C523" s="96" t="s">
        <v>7</v>
      </c>
      <c r="D523" s="97"/>
    </row>
    <row r="524" spans="1:4" ht="42.75" customHeight="1" thickBot="1">
      <c r="A524" s="107" t="s">
        <v>17</v>
      </c>
      <c r="B524" s="108"/>
      <c r="C524" s="108"/>
      <c r="D524" s="109"/>
    </row>
    <row r="525" spans="1:4" ht="42.75" customHeight="1" thickBot="1">
      <c r="A525" s="116" t="s">
        <v>20</v>
      </c>
      <c r="B525" s="117"/>
      <c r="C525" s="117"/>
      <c r="D525" s="118"/>
    </row>
    <row r="526" spans="1:4" ht="42.75" customHeight="1" thickBot="1">
      <c r="A526" s="113" t="s">
        <v>18</v>
      </c>
      <c r="B526" s="114"/>
      <c r="C526" s="114"/>
      <c r="D526" s="115"/>
    </row>
    <row r="527" spans="1:4" ht="42.75" customHeight="1" thickBot="1">
      <c r="A527" s="119"/>
      <c r="B527" s="119"/>
      <c r="C527" s="119"/>
      <c r="D527" s="119"/>
    </row>
    <row r="528" spans="1:4" ht="42.75" customHeight="1" thickBot="1">
      <c r="A528" s="126" t="s">
        <v>19</v>
      </c>
      <c r="B528" s="127"/>
      <c r="C528" s="127"/>
      <c r="D528" s="128"/>
    </row>
    <row r="529" spans="1:4" ht="42.75" customHeight="1" thickBot="1">
      <c r="A529" s="123" t="s">
        <v>11</v>
      </c>
      <c r="B529" s="124"/>
      <c r="C529" s="125" t="s">
        <v>603</v>
      </c>
      <c r="D529" s="124"/>
    </row>
    <row r="530" spans="1:4" ht="42.75" customHeight="1" thickBot="1">
      <c r="A530" s="1" t="s">
        <v>686</v>
      </c>
      <c r="B530" s="26" t="s">
        <v>1</v>
      </c>
      <c r="C530" s="90" t="s">
        <v>490</v>
      </c>
      <c r="D530" s="91"/>
    </row>
    <row r="531" spans="1:4" ht="42.75" customHeight="1" thickBot="1">
      <c r="A531" s="26"/>
      <c r="B531" s="26" t="s">
        <v>0</v>
      </c>
      <c r="C531" s="5" t="s">
        <v>687</v>
      </c>
      <c r="D531" s="4" t="s">
        <v>2</v>
      </c>
    </row>
    <row r="532" spans="1:4" ht="42.75" customHeight="1" thickBot="1">
      <c r="A532" s="92">
        <v>4165</v>
      </c>
      <c r="B532" s="93"/>
      <c r="C532" s="94" t="s">
        <v>3</v>
      </c>
      <c r="D532" s="95"/>
    </row>
    <row r="533" spans="1:4" ht="42.75" customHeight="1" thickBot="1">
      <c r="A533" s="92">
        <v>4210</v>
      </c>
      <c r="B533" s="93"/>
      <c r="C533" s="96" t="s">
        <v>4</v>
      </c>
      <c r="D533" s="97"/>
    </row>
    <row r="534" spans="1:4" ht="42.75" customHeight="1" thickBot="1">
      <c r="A534" s="98">
        <f>A533-A532</f>
        <v>45</v>
      </c>
      <c r="B534" s="99"/>
      <c r="C534" s="100" t="s">
        <v>5</v>
      </c>
      <c r="D534" s="97"/>
    </row>
    <row r="535" spans="1:4" ht="42.75" customHeight="1" thickBot="1">
      <c r="A535" s="101">
        <v>62</v>
      </c>
      <c r="B535" s="102"/>
      <c r="C535" s="96" t="s">
        <v>6</v>
      </c>
      <c r="D535" s="97"/>
    </row>
    <row r="536" spans="1:4" ht="42.75" customHeight="1" thickBot="1">
      <c r="A536" s="103"/>
      <c r="B536" s="104"/>
      <c r="C536" s="96" t="s">
        <v>21</v>
      </c>
      <c r="D536" s="97"/>
    </row>
    <row r="537" spans="1:4" ht="42.75" customHeight="1" thickBot="1">
      <c r="A537" s="105">
        <v>2800</v>
      </c>
      <c r="B537" s="106"/>
      <c r="C537" s="96" t="s">
        <v>7</v>
      </c>
      <c r="D537" s="97"/>
    </row>
    <row r="538" spans="1:4" ht="42.75" customHeight="1" thickBot="1">
      <c r="A538" s="107" t="s">
        <v>17</v>
      </c>
      <c r="B538" s="108"/>
      <c r="C538" s="108"/>
      <c r="D538" s="109"/>
    </row>
    <row r="539" spans="1:4" ht="42.75" customHeight="1" thickBot="1">
      <c r="A539" s="110" t="s">
        <v>20</v>
      </c>
      <c r="B539" s="111"/>
      <c r="C539" s="111"/>
      <c r="D539" s="112"/>
    </row>
    <row r="540" spans="1:4" ht="42.75" customHeight="1" thickBot="1">
      <c r="A540" s="113" t="s">
        <v>18</v>
      </c>
      <c r="B540" s="114"/>
      <c r="C540" s="114"/>
      <c r="D540" s="115"/>
    </row>
    <row r="541" spans="1:4" ht="42.75" customHeight="1" thickBot="1">
      <c r="A541" s="126" t="s">
        <v>19</v>
      </c>
      <c r="B541" s="127"/>
      <c r="C541" s="127"/>
      <c r="D541" s="128"/>
    </row>
    <row r="542" spans="1:4" ht="42.75" customHeight="1" thickBot="1">
      <c r="A542" s="123" t="s">
        <v>11</v>
      </c>
      <c r="B542" s="124"/>
      <c r="C542" s="125" t="s">
        <v>603</v>
      </c>
      <c r="D542" s="124"/>
    </row>
    <row r="543" spans="1:4" ht="42.75" customHeight="1" thickBot="1">
      <c r="A543" s="1" t="s">
        <v>686</v>
      </c>
      <c r="B543" s="26" t="s">
        <v>1</v>
      </c>
      <c r="C543" s="90" t="s">
        <v>331</v>
      </c>
      <c r="D543" s="91"/>
    </row>
    <row r="544" spans="1:4" ht="42.75" customHeight="1" thickBot="1">
      <c r="A544" s="26"/>
      <c r="B544" s="26" t="s">
        <v>0</v>
      </c>
      <c r="C544" s="5" t="s">
        <v>687</v>
      </c>
      <c r="D544" s="4" t="s">
        <v>2</v>
      </c>
    </row>
    <row r="545" spans="1:4" ht="42.75" customHeight="1" thickBot="1">
      <c r="A545" s="92">
        <v>4527</v>
      </c>
      <c r="B545" s="93"/>
      <c r="C545" s="94" t="s">
        <v>3</v>
      </c>
      <c r="D545" s="95"/>
    </row>
    <row r="546" spans="1:4" ht="42.75" customHeight="1" thickBot="1">
      <c r="A546" s="92">
        <v>4585</v>
      </c>
      <c r="B546" s="93"/>
      <c r="C546" s="96" t="s">
        <v>4</v>
      </c>
      <c r="D546" s="97"/>
    </row>
    <row r="547" spans="1:4" ht="42.75" customHeight="1" thickBot="1">
      <c r="A547" s="98">
        <f>A546-A545</f>
        <v>58</v>
      </c>
      <c r="B547" s="99"/>
      <c r="C547" s="100" t="s">
        <v>5</v>
      </c>
      <c r="D547" s="97"/>
    </row>
    <row r="548" spans="1:4" ht="42.75" customHeight="1" thickBot="1">
      <c r="A548" s="101">
        <v>62</v>
      </c>
      <c r="B548" s="102"/>
      <c r="C548" s="96" t="s">
        <v>6</v>
      </c>
      <c r="D548" s="97"/>
    </row>
    <row r="549" spans="1:4" ht="42.75" customHeight="1" thickBot="1">
      <c r="A549" s="103"/>
      <c r="B549" s="104"/>
      <c r="C549" s="96" t="s">
        <v>21</v>
      </c>
      <c r="D549" s="97"/>
    </row>
    <row r="550" spans="1:4" ht="42.75" customHeight="1" thickBot="1">
      <c r="A550" s="105">
        <v>3600</v>
      </c>
      <c r="B550" s="106"/>
      <c r="C550" s="96" t="s">
        <v>7</v>
      </c>
      <c r="D550" s="97"/>
    </row>
    <row r="551" spans="1:4" ht="42.75" customHeight="1" thickBot="1">
      <c r="A551" s="107" t="s">
        <v>17</v>
      </c>
      <c r="B551" s="108"/>
      <c r="C551" s="108"/>
      <c r="D551" s="109"/>
    </row>
    <row r="552" spans="1:4" ht="42.75" customHeight="1" thickBot="1">
      <c r="A552" s="116" t="s">
        <v>20</v>
      </c>
      <c r="B552" s="117"/>
      <c r="C552" s="117"/>
      <c r="D552" s="118"/>
    </row>
    <row r="553" spans="1:4" ht="42.75" customHeight="1" thickBot="1">
      <c r="A553" s="113" t="s">
        <v>18</v>
      </c>
      <c r="B553" s="114"/>
      <c r="C553" s="114"/>
      <c r="D553" s="115"/>
    </row>
    <row r="554" spans="1:4" ht="42.75" customHeight="1" thickBot="1">
      <c r="A554" s="119"/>
      <c r="B554" s="119"/>
      <c r="C554" s="119"/>
      <c r="D554" s="119"/>
    </row>
    <row r="555" spans="1:4" ht="42.75" customHeight="1" thickBot="1">
      <c r="A555" s="126" t="s">
        <v>19</v>
      </c>
      <c r="B555" s="127"/>
      <c r="C555" s="127"/>
      <c r="D555" s="128"/>
    </row>
    <row r="556" spans="1:4" ht="42.75" customHeight="1" thickBot="1">
      <c r="A556" s="123" t="s">
        <v>11</v>
      </c>
      <c r="B556" s="124"/>
      <c r="C556" s="125" t="s">
        <v>603</v>
      </c>
      <c r="D556" s="124"/>
    </row>
    <row r="557" spans="1:4" ht="42.75" customHeight="1" thickBot="1">
      <c r="A557" s="1" t="s">
        <v>686</v>
      </c>
      <c r="B557" s="26" t="s">
        <v>1</v>
      </c>
      <c r="C557" s="90" t="s">
        <v>331</v>
      </c>
      <c r="D557" s="91"/>
    </row>
    <row r="558" spans="1:4" ht="42.75" customHeight="1" thickBot="1">
      <c r="A558" s="26"/>
      <c r="B558" s="26" t="s">
        <v>0</v>
      </c>
      <c r="C558" s="5" t="s">
        <v>687</v>
      </c>
      <c r="D558" s="4" t="s">
        <v>2</v>
      </c>
    </row>
    <row r="559" spans="1:4" ht="42.75" customHeight="1" thickBot="1">
      <c r="A559" s="92">
        <v>4527</v>
      </c>
      <c r="B559" s="93"/>
      <c r="C559" s="94" t="s">
        <v>3</v>
      </c>
      <c r="D559" s="95"/>
    </row>
    <row r="560" spans="1:4" ht="42.75" customHeight="1" thickBot="1">
      <c r="A560" s="92">
        <v>4585</v>
      </c>
      <c r="B560" s="93"/>
      <c r="C560" s="96" t="s">
        <v>4</v>
      </c>
      <c r="D560" s="97"/>
    </row>
    <row r="561" spans="1:4" ht="42.75" customHeight="1" thickBot="1">
      <c r="A561" s="98">
        <f>A560-A559</f>
        <v>58</v>
      </c>
      <c r="B561" s="99"/>
      <c r="C561" s="100" t="s">
        <v>5</v>
      </c>
      <c r="D561" s="97"/>
    </row>
    <row r="562" spans="1:4" ht="42.75" customHeight="1" thickBot="1">
      <c r="A562" s="101">
        <v>62</v>
      </c>
      <c r="B562" s="102"/>
      <c r="C562" s="96" t="s">
        <v>6</v>
      </c>
      <c r="D562" s="97"/>
    </row>
    <row r="563" spans="1:4" ht="42.75" customHeight="1" thickBot="1">
      <c r="A563" s="103"/>
      <c r="B563" s="104"/>
      <c r="C563" s="96" t="s">
        <v>21</v>
      </c>
      <c r="D563" s="97"/>
    </row>
    <row r="564" spans="1:4" ht="42.75" customHeight="1" thickBot="1">
      <c r="A564" s="105">
        <v>3600</v>
      </c>
      <c r="B564" s="106"/>
      <c r="C564" s="96" t="s">
        <v>7</v>
      </c>
      <c r="D564" s="97"/>
    </row>
    <row r="565" spans="1:4" ht="42.75" customHeight="1" thickBot="1">
      <c r="A565" s="107" t="s">
        <v>17</v>
      </c>
      <c r="B565" s="108"/>
      <c r="C565" s="108"/>
      <c r="D565" s="109"/>
    </row>
    <row r="566" spans="1:4" ht="42.75" customHeight="1" thickBot="1">
      <c r="A566" s="110" t="s">
        <v>20</v>
      </c>
      <c r="B566" s="111"/>
      <c r="C566" s="111"/>
      <c r="D566" s="112"/>
    </row>
    <row r="567" spans="1:4" ht="42.75" customHeight="1" thickBot="1">
      <c r="A567" s="113" t="s">
        <v>18</v>
      </c>
      <c r="B567" s="114"/>
      <c r="C567" s="114"/>
      <c r="D567" s="115"/>
    </row>
    <row r="568" spans="1:4" ht="42.75" customHeight="1" thickBot="1">
      <c r="A568" s="126" t="s">
        <v>19</v>
      </c>
      <c r="B568" s="127"/>
      <c r="C568" s="127"/>
      <c r="D568" s="128"/>
    </row>
    <row r="569" spans="1:4" ht="42.75" customHeight="1" thickBot="1">
      <c r="A569" s="123" t="s">
        <v>11</v>
      </c>
      <c r="B569" s="124"/>
      <c r="C569" s="125" t="s">
        <v>603</v>
      </c>
      <c r="D569" s="124"/>
    </row>
    <row r="570" spans="1:4" ht="42.75" customHeight="1" thickBot="1">
      <c r="A570" s="1" t="s">
        <v>686</v>
      </c>
      <c r="B570" s="26" t="s">
        <v>1</v>
      </c>
      <c r="C570" s="90" t="s">
        <v>313</v>
      </c>
      <c r="D570" s="91"/>
    </row>
    <row r="571" spans="1:4" ht="42.75" customHeight="1" thickBot="1">
      <c r="A571" s="26"/>
      <c r="B571" s="26" t="s">
        <v>0</v>
      </c>
      <c r="C571" s="5" t="s">
        <v>687</v>
      </c>
      <c r="D571" s="4" t="s">
        <v>2</v>
      </c>
    </row>
    <row r="572" spans="1:4" ht="42.75" customHeight="1" thickBot="1">
      <c r="A572" s="92">
        <v>5330</v>
      </c>
      <c r="B572" s="93"/>
      <c r="C572" s="94" t="s">
        <v>3</v>
      </c>
      <c r="D572" s="95"/>
    </row>
    <row r="573" spans="1:4" ht="42.75" customHeight="1" thickBot="1">
      <c r="A573" s="92">
        <v>5380</v>
      </c>
      <c r="B573" s="93"/>
      <c r="C573" s="96" t="s">
        <v>4</v>
      </c>
      <c r="D573" s="97"/>
    </row>
    <row r="574" spans="1:4" ht="42.75" customHeight="1" thickBot="1">
      <c r="A574" s="98">
        <f>A573-A572</f>
        <v>50</v>
      </c>
      <c r="B574" s="99"/>
      <c r="C574" s="100" t="s">
        <v>5</v>
      </c>
      <c r="D574" s="97"/>
    </row>
    <row r="575" spans="1:4" ht="42.75" customHeight="1" thickBot="1">
      <c r="A575" s="101">
        <v>62</v>
      </c>
      <c r="B575" s="102"/>
      <c r="C575" s="96" t="s">
        <v>6</v>
      </c>
      <c r="D575" s="97"/>
    </row>
    <row r="576" spans="1:4" ht="42.75" customHeight="1" thickBot="1">
      <c r="A576" s="103"/>
      <c r="B576" s="104"/>
      <c r="C576" s="96" t="s">
        <v>21</v>
      </c>
      <c r="D576" s="97"/>
    </row>
    <row r="577" spans="1:4" ht="42.75" customHeight="1" thickBot="1">
      <c r="A577" s="105">
        <f>A575*A574</f>
        <v>3100</v>
      </c>
      <c r="B577" s="106"/>
      <c r="C577" s="96" t="s">
        <v>7</v>
      </c>
      <c r="D577" s="97"/>
    </row>
    <row r="578" spans="1:4" ht="42.75" customHeight="1" thickBot="1">
      <c r="A578" s="107" t="s">
        <v>17</v>
      </c>
      <c r="B578" s="108"/>
      <c r="C578" s="108"/>
      <c r="D578" s="109"/>
    </row>
    <row r="579" spans="1:4" ht="42.75" customHeight="1" thickBot="1">
      <c r="A579" s="116" t="s">
        <v>20</v>
      </c>
      <c r="B579" s="117"/>
      <c r="C579" s="117"/>
      <c r="D579" s="118"/>
    </row>
    <row r="580" spans="1:4" ht="42.75" customHeight="1" thickBot="1">
      <c r="A580" s="113" t="s">
        <v>18</v>
      </c>
      <c r="B580" s="114"/>
      <c r="C580" s="114"/>
      <c r="D580" s="115"/>
    </row>
    <row r="581" spans="1:4" ht="42.75" customHeight="1" thickBot="1">
      <c r="A581" s="119"/>
      <c r="B581" s="119"/>
      <c r="C581" s="119"/>
      <c r="D581" s="119"/>
    </row>
    <row r="582" spans="1:4" ht="42.75" customHeight="1" thickBot="1">
      <c r="A582" s="126" t="s">
        <v>19</v>
      </c>
      <c r="B582" s="127"/>
      <c r="C582" s="127"/>
      <c r="D582" s="128"/>
    </row>
    <row r="583" spans="1:4" ht="42.75" customHeight="1" thickBot="1">
      <c r="A583" s="123" t="s">
        <v>11</v>
      </c>
      <c r="B583" s="124"/>
      <c r="C583" s="125" t="s">
        <v>603</v>
      </c>
      <c r="D583" s="124"/>
    </row>
    <row r="584" spans="1:4" ht="42.75" customHeight="1" thickBot="1">
      <c r="A584" s="1" t="s">
        <v>686</v>
      </c>
      <c r="B584" s="26" t="s">
        <v>1</v>
      </c>
      <c r="C584" s="90" t="s">
        <v>313</v>
      </c>
      <c r="D584" s="91"/>
    </row>
    <row r="585" spans="1:4" ht="42.75" customHeight="1" thickBot="1">
      <c r="A585" s="26"/>
      <c r="B585" s="26" t="s">
        <v>0</v>
      </c>
      <c r="C585" s="5" t="s">
        <v>687</v>
      </c>
      <c r="D585" s="4" t="s">
        <v>2</v>
      </c>
    </row>
    <row r="586" spans="1:4" ht="42.75" customHeight="1" thickBot="1">
      <c r="A586" s="92">
        <v>5330</v>
      </c>
      <c r="B586" s="93"/>
      <c r="C586" s="94" t="s">
        <v>3</v>
      </c>
      <c r="D586" s="95"/>
    </row>
    <row r="587" spans="1:4" ht="42.75" customHeight="1" thickBot="1">
      <c r="A587" s="92">
        <v>5380</v>
      </c>
      <c r="B587" s="93"/>
      <c r="C587" s="96" t="s">
        <v>4</v>
      </c>
      <c r="D587" s="97"/>
    </row>
    <row r="588" spans="1:4" ht="42.75" customHeight="1" thickBot="1">
      <c r="A588" s="98">
        <f>A587-A586</f>
        <v>50</v>
      </c>
      <c r="B588" s="99"/>
      <c r="C588" s="100" t="s">
        <v>5</v>
      </c>
      <c r="D588" s="97"/>
    </row>
    <row r="589" spans="1:4" ht="42.75" customHeight="1" thickBot="1">
      <c r="A589" s="101">
        <v>62</v>
      </c>
      <c r="B589" s="102"/>
      <c r="C589" s="96" t="s">
        <v>6</v>
      </c>
      <c r="D589" s="97"/>
    </row>
    <row r="590" spans="1:4" ht="42.75" customHeight="1" thickBot="1">
      <c r="A590" s="103"/>
      <c r="B590" s="104"/>
      <c r="C590" s="96" t="s">
        <v>21</v>
      </c>
      <c r="D590" s="97"/>
    </row>
    <row r="591" spans="1:4" ht="42.75" customHeight="1" thickBot="1">
      <c r="A591" s="105">
        <f>A589*A588</f>
        <v>3100</v>
      </c>
      <c r="B591" s="106"/>
      <c r="C591" s="96" t="s">
        <v>7</v>
      </c>
      <c r="D591" s="97"/>
    </row>
    <row r="592" spans="1:4" ht="42.75" customHeight="1" thickBot="1">
      <c r="A592" s="107" t="s">
        <v>17</v>
      </c>
      <c r="B592" s="108"/>
      <c r="C592" s="108"/>
      <c r="D592" s="109"/>
    </row>
    <row r="593" spans="1:4" ht="42.75" customHeight="1" thickBot="1">
      <c r="A593" s="110" t="s">
        <v>20</v>
      </c>
      <c r="B593" s="111"/>
      <c r="C593" s="111"/>
      <c r="D593" s="112"/>
    </row>
    <row r="594" spans="1:4" ht="42.75" customHeight="1" thickBot="1">
      <c r="A594" s="113" t="s">
        <v>18</v>
      </c>
      <c r="B594" s="114"/>
      <c r="C594" s="114"/>
      <c r="D594" s="115"/>
    </row>
    <row r="595" spans="1:4" ht="42.75" customHeight="1" thickBot="1">
      <c r="A595" s="126" t="s">
        <v>19</v>
      </c>
      <c r="B595" s="127"/>
      <c r="C595" s="127"/>
      <c r="D595" s="128"/>
    </row>
    <row r="596" spans="1:4" ht="42.75" customHeight="1" thickBot="1">
      <c r="A596" s="123" t="s">
        <v>11</v>
      </c>
      <c r="B596" s="124"/>
      <c r="C596" s="125" t="s">
        <v>603</v>
      </c>
      <c r="D596" s="124"/>
    </row>
    <row r="597" spans="1:4" ht="42.75" customHeight="1" thickBot="1">
      <c r="A597" s="1" t="s">
        <v>686</v>
      </c>
      <c r="B597" s="26" t="s">
        <v>1</v>
      </c>
      <c r="C597" s="90" t="s">
        <v>238</v>
      </c>
      <c r="D597" s="91"/>
    </row>
    <row r="598" spans="1:4" ht="42.75" customHeight="1" thickBot="1">
      <c r="A598" s="26"/>
      <c r="B598" s="26" t="s">
        <v>0</v>
      </c>
      <c r="C598" s="5" t="s">
        <v>687</v>
      </c>
      <c r="D598" s="4" t="s">
        <v>2</v>
      </c>
    </row>
    <row r="599" spans="1:4" ht="42.75" customHeight="1" thickBot="1">
      <c r="A599" s="92">
        <v>3715</v>
      </c>
      <c r="B599" s="93"/>
      <c r="C599" s="94" t="s">
        <v>3</v>
      </c>
      <c r="D599" s="95"/>
    </row>
    <row r="600" spans="1:4" ht="42.75" customHeight="1" thickBot="1">
      <c r="A600" s="92">
        <v>3750</v>
      </c>
      <c r="B600" s="93"/>
      <c r="C600" s="96" t="s">
        <v>4</v>
      </c>
      <c r="D600" s="97"/>
    </row>
    <row r="601" spans="1:4" ht="42.75" customHeight="1" thickBot="1">
      <c r="A601" s="98">
        <f>A600-A599</f>
        <v>35</v>
      </c>
      <c r="B601" s="99"/>
      <c r="C601" s="100" t="s">
        <v>5</v>
      </c>
      <c r="D601" s="97"/>
    </row>
    <row r="602" spans="1:4" ht="42.75" customHeight="1" thickBot="1">
      <c r="A602" s="101">
        <v>62</v>
      </c>
      <c r="B602" s="102"/>
      <c r="C602" s="96" t="s">
        <v>6</v>
      </c>
      <c r="D602" s="97"/>
    </row>
    <row r="603" spans="1:4" ht="42.75" customHeight="1" thickBot="1">
      <c r="A603" s="103"/>
      <c r="B603" s="104"/>
      <c r="C603" s="96" t="s">
        <v>21</v>
      </c>
      <c r="D603" s="97"/>
    </row>
    <row r="604" spans="1:4" ht="42.75" customHeight="1" thickBot="1">
      <c r="A604" s="105">
        <v>2200</v>
      </c>
      <c r="B604" s="106"/>
      <c r="C604" s="96" t="s">
        <v>7</v>
      </c>
      <c r="D604" s="97"/>
    </row>
    <row r="605" spans="1:4" ht="42.75" customHeight="1" thickBot="1">
      <c r="A605" s="107" t="s">
        <v>17</v>
      </c>
      <c r="B605" s="108"/>
      <c r="C605" s="108"/>
      <c r="D605" s="109"/>
    </row>
    <row r="606" spans="1:4" ht="42.75" customHeight="1" thickBot="1">
      <c r="A606" s="116" t="s">
        <v>20</v>
      </c>
      <c r="B606" s="117"/>
      <c r="C606" s="117"/>
      <c r="D606" s="118"/>
    </row>
    <row r="607" spans="1:4" ht="42.75" customHeight="1" thickBot="1">
      <c r="A607" s="113" t="s">
        <v>18</v>
      </c>
      <c r="B607" s="114"/>
      <c r="C607" s="114"/>
      <c r="D607" s="115"/>
    </row>
    <row r="608" spans="1:4" ht="42.75" customHeight="1" thickBot="1">
      <c r="A608" s="119"/>
      <c r="B608" s="119"/>
      <c r="C608" s="119"/>
      <c r="D608" s="119"/>
    </row>
    <row r="609" spans="1:4" ht="42.75" customHeight="1" thickBot="1">
      <c r="A609" s="126" t="s">
        <v>19</v>
      </c>
      <c r="B609" s="127"/>
      <c r="C609" s="127"/>
      <c r="D609" s="128"/>
    </row>
    <row r="610" spans="1:4" ht="42.75" customHeight="1" thickBot="1">
      <c r="A610" s="123" t="s">
        <v>11</v>
      </c>
      <c r="B610" s="124"/>
      <c r="C610" s="125" t="s">
        <v>603</v>
      </c>
      <c r="D610" s="124"/>
    </row>
    <row r="611" spans="1:4" ht="42.75" customHeight="1" thickBot="1">
      <c r="A611" s="1" t="s">
        <v>686</v>
      </c>
      <c r="B611" s="26" t="s">
        <v>1</v>
      </c>
      <c r="C611" s="90" t="s">
        <v>238</v>
      </c>
      <c r="D611" s="91"/>
    </row>
    <row r="612" spans="1:4" ht="42.75" customHeight="1" thickBot="1">
      <c r="A612" s="26"/>
      <c r="B612" s="26" t="s">
        <v>0</v>
      </c>
      <c r="C612" s="5" t="s">
        <v>687</v>
      </c>
      <c r="D612" s="4" t="s">
        <v>2</v>
      </c>
    </row>
    <row r="613" spans="1:4" ht="42.75" customHeight="1" thickBot="1">
      <c r="A613" s="92">
        <v>3715</v>
      </c>
      <c r="B613" s="93"/>
      <c r="C613" s="94" t="s">
        <v>3</v>
      </c>
      <c r="D613" s="95"/>
    </row>
    <row r="614" spans="1:4" ht="42.75" customHeight="1" thickBot="1">
      <c r="A614" s="92">
        <v>3750</v>
      </c>
      <c r="B614" s="93"/>
      <c r="C614" s="96" t="s">
        <v>4</v>
      </c>
      <c r="D614" s="97"/>
    </row>
    <row r="615" spans="1:4" ht="42.75" customHeight="1" thickBot="1">
      <c r="A615" s="98">
        <f>A614-A613</f>
        <v>35</v>
      </c>
      <c r="B615" s="99"/>
      <c r="C615" s="100" t="s">
        <v>5</v>
      </c>
      <c r="D615" s="97"/>
    </row>
    <row r="616" spans="1:4" ht="42.75" customHeight="1" thickBot="1">
      <c r="A616" s="101">
        <v>62</v>
      </c>
      <c r="B616" s="102"/>
      <c r="C616" s="96" t="s">
        <v>6</v>
      </c>
      <c r="D616" s="97"/>
    </row>
    <row r="617" spans="1:4" ht="42.75" customHeight="1" thickBot="1">
      <c r="A617" s="103"/>
      <c r="B617" s="104"/>
      <c r="C617" s="96" t="s">
        <v>21</v>
      </c>
      <c r="D617" s="97"/>
    </row>
    <row r="618" spans="1:4" ht="42.75" customHeight="1" thickBot="1">
      <c r="A618" s="105">
        <v>2200</v>
      </c>
      <c r="B618" s="106"/>
      <c r="C618" s="96" t="s">
        <v>7</v>
      </c>
      <c r="D618" s="97"/>
    </row>
    <row r="619" spans="1:4" ht="42.75" customHeight="1" thickBot="1">
      <c r="A619" s="107" t="s">
        <v>17</v>
      </c>
      <c r="B619" s="108"/>
      <c r="C619" s="108"/>
      <c r="D619" s="109"/>
    </row>
    <row r="620" spans="1:4" ht="42.75" customHeight="1" thickBot="1">
      <c r="A620" s="110" t="s">
        <v>20</v>
      </c>
      <c r="B620" s="111"/>
      <c r="C620" s="111"/>
      <c r="D620" s="112"/>
    </row>
    <row r="621" spans="1:4" ht="42.75" customHeight="1" thickBot="1">
      <c r="A621" s="113" t="s">
        <v>18</v>
      </c>
      <c r="B621" s="114"/>
      <c r="C621" s="114"/>
      <c r="D621" s="115"/>
    </row>
    <row r="622" spans="1:4" ht="42.75" customHeight="1" thickBot="1">
      <c r="A622" s="126" t="s">
        <v>19</v>
      </c>
      <c r="B622" s="127"/>
      <c r="C622" s="127"/>
      <c r="D622" s="128"/>
    </row>
    <row r="623" spans="1:4" ht="42.75" customHeight="1" thickBot="1">
      <c r="A623" s="123" t="s">
        <v>11</v>
      </c>
      <c r="B623" s="124"/>
      <c r="C623" s="125" t="s">
        <v>603</v>
      </c>
      <c r="D623" s="124"/>
    </row>
    <row r="624" spans="1:4" ht="42.75" customHeight="1" thickBot="1">
      <c r="A624" s="1" t="s">
        <v>686</v>
      </c>
      <c r="B624" s="26" t="s">
        <v>1</v>
      </c>
      <c r="C624" s="90" t="s">
        <v>332</v>
      </c>
      <c r="D624" s="91"/>
    </row>
    <row r="625" spans="1:4" ht="42.75" customHeight="1" thickBot="1">
      <c r="A625" s="26"/>
      <c r="B625" s="26" t="s">
        <v>0</v>
      </c>
      <c r="C625" s="5" t="s">
        <v>687</v>
      </c>
      <c r="D625" s="4" t="s">
        <v>2</v>
      </c>
    </row>
    <row r="626" spans="1:4" ht="42.75" customHeight="1" thickBot="1">
      <c r="A626" s="92">
        <v>2670</v>
      </c>
      <c r="B626" s="93"/>
      <c r="C626" s="94" t="s">
        <v>3</v>
      </c>
      <c r="D626" s="95"/>
    </row>
    <row r="627" spans="1:4" ht="42.75" customHeight="1" thickBot="1">
      <c r="A627" s="92">
        <v>2695</v>
      </c>
      <c r="B627" s="93"/>
      <c r="C627" s="96" t="s">
        <v>4</v>
      </c>
      <c r="D627" s="97"/>
    </row>
    <row r="628" spans="1:4" ht="42.75" customHeight="1" thickBot="1">
      <c r="A628" s="98">
        <f>A627-A626</f>
        <v>25</v>
      </c>
      <c r="B628" s="99"/>
      <c r="C628" s="100" t="s">
        <v>5</v>
      </c>
      <c r="D628" s="97"/>
    </row>
    <row r="629" spans="1:4" ht="42.75" customHeight="1" thickBot="1">
      <c r="A629" s="101">
        <v>62</v>
      </c>
      <c r="B629" s="102"/>
      <c r="C629" s="96" t="s">
        <v>6</v>
      </c>
      <c r="D629" s="97"/>
    </row>
    <row r="630" spans="1:4" ht="42.75" customHeight="1" thickBot="1">
      <c r="A630" s="103"/>
      <c r="B630" s="104"/>
      <c r="C630" s="96" t="s">
        <v>21</v>
      </c>
      <c r="D630" s="97"/>
    </row>
    <row r="631" spans="1:4" ht="42.75" customHeight="1" thickBot="1">
      <c r="A631" s="105">
        <f>A629*A628</f>
        <v>1550</v>
      </c>
      <c r="B631" s="106"/>
      <c r="C631" s="96" t="s">
        <v>7</v>
      </c>
      <c r="D631" s="97"/>
    </row>
    <row r="632" spans="1:4" ht="42.75" customHeight="1" thickBot="1">
      <c r="A632" s="107" t="s">
        <v>17</v>
      </c>
      <c r="B632" s="108"/>
      <c r="C632" s="108"/>
      <c r="D632" s="109"/>
    </row>
    <row r="633" spans="1:4" ht="42.75" customHeight="1" thickBot="1">
      <c r="A633" s="116" t="s">
        <v>20</v>
      </c>
      <c r="B633" s="117"/>
      <c r="C633" s="117"/>
      <c r="D633" s="118"/>
    </row>
    <row r="634" spans="1:4" ht="42.75" customHeight="1" thickBot="1">
      <c r="A634" s="113" t="s">
        <v>18</v>
      </c>
      <c r="B634" s="114"/>
      <c r="C634" s="114"/>
      <c r="D634" s="115"/>
    </row>
    <row r="635" spans="1:4" ht="42.75" customHeight="1" thickBot="1">
      <c r="A635" s="119"/>
      <c r="B635" s="119"/>
      <c r="C635" s="119"/>
      <c r="D635" s="119"/>
    </row>
    <row r="636" spans="1:4" ht="42.75" customHeight="1" thickBot="1">
      <c r="A636" s="126" t="s">
        <v>19</v>
      </c>
      <c r="B636" s="127"/>
      <c r="C636" s="127"/>
      <c r="D636" s="128"/>
    </row>
    <row r="637" spans="1:4" ht="42.75" customHeight="1" thickBot="1">
      <c r="A637" s="123" t="s">
        <v>11</v>
      </c>
      <c r="B637" s="124"/>
      <c r="C637" s="125" t="s">
        <v>603</v>
      </c>
      <c r="D637" s="124"/>
    </row>
    <row r="638" spans="1:4" ht="42.75" customHeight="1" thickBot="1">
      <c r="A638" s="1" t="s">
        <v>686</v>
      </c>
      <c r="B638" s="26" t="s">
        <v>1</v>
      </c>
      <c r="C638" s="90" t="s">
        <v>332</v>
      </c>
      <c r="D638" s="91"/>
    </row>
    <row r="639" spans="1:4" ht="42.75" customHeight="1" thickBot="1">
      <c r="A639" s="26"/>
      <c r="B639" s="26" t="s">
        <v>0</v>
      </c>
      <c r="C639" s="5" t="s">
        <v>687</v>
      </c>
      <c r="D639" s="4" t="s">
        <v>2</v>
      </c>
    </row>
    <row r="640" spans="1:4" ht="42.75" customHeight="1" thickBot="1">
      <c r="A640" s="92">
        <v>2670</v>
      </c>
      <c r="B640" s="93"/>
      <c r="C640" s="94" t="s">
        <v>3</v>
      </c>
      <c r="D640" s="95"/>
    </row>
    <row r="641" spans="1:4" ht="42.75" customHeight="1" thickBot="1">
      <c r="A641" s="92">
        <v>2695</v>
      </c>
      <c r="B641" s="93"/>
      <c r="C641" s="96" t="s">
        <v>4</v>
      </c>
      <c r="D641" s="97"/>
    </row>
    <row r="642" spans="1:4" ht="42.75" customHeight="1" thickBot="1">
      <c r="A642" s="98">
        <f>A641-A640</f>
        <v>25</v>
      </c>
      <c r="B642" s="99"/>
      <c r="C642" s="100" t="s">
        <v>5</v>
      </c>
      <c r="D642" s="97"/>
    </row>
    <row r="643" spans="1:4" ht="42.75" customHeight="1" thickBot="1">
      <c r="A643" s="101">
        <v>62</v>
      </c>
      <c r="B643" s="102"/>
      <c r="C643" s="96" t="s">
        <v>6</v>
      </c>
      <c r="D643" s="97"/>
    </row>
    <row r="644" spans="1:4" ht="42.75" customHeight="1" thickBot="1">
      <c r="A644" s="103"/>
      <c r="B644" s="104"/>
      <c r="C644" s="96" t="s">
        <v>21</v>
      </c>
      <c r="D644" s="97"/>
    </row>
    <row r="645" spans="1:4" ht="42.75" customHeight="1" thickBot="1">
      <c r="A645" s="105">
        <f>A643*A642</f>
        <v>1550</v>
      </c>
      <c r="B645" s="106"/>
      <c r="C645" s="96" t="s">
        <v>7</v>
      </c>
      <c r="D645" s="97"/>
    </row>
    <row r="646" spans="1:4" ht="42.75" customHeight="1" thickBot="1">
      <c r="A646" s="107" t="s">
        <v>17</v>
      </c>
      <c r="B646" s="108"/>
      <c r="C646" s="108"/>
      <c r="D646" s="109"/>
    </row>
    <row r="647" spans="1:4" ht="42.75" customHeight="1" thickBot="1">
      <c r="A647" s="110" t="s">
        <v>20</v>
      </c>
      <c r="B647" s="111"/>
      <c r="C647" s="111"/>
      <c r="D647" s="112"/>
    </row>
    <row r="648" spans="1:4" ht="42.75" customHeight="1" thickBot="1">
      <c r="A648" s="113" t="s">
        <v>18</v>
      </c>
      <c r="B648" s="114"/>
      <c r="C648" s="114"/>
      <c r="D648" s="115"/>
    </row>
    <row r="649" spans="1:4" ht="42.75" customHeight="1" thickBot="1">
      <c r="A649" s="126" t="s">
        <v>19</v>
      </c>
      <c r="B649" s="127"/>
      <c r="C649" s="127"/>
      <c r="D649" s="128"/>
    </row>
    <row r="650" spans="1:4" ht="42.75" customHeight="1" thickBot="1">
      <c r="A650" s="123" t="s">
        <v>11</v>
      </c>
      <c r="B650" s="124"/>
      <c r="C650" s="125" t="s">
        <v>603</v>
      </c>
      <c r="D650" s="124"/>
    </row>
    <row r="651" spans="1:4" ht="42.75" customHeight="1" thickBot="1">
      <c r="A651" s="1" t="s">
        <v>686</v>
      </c>
      <c r="B651" s="26" t="s">
        <v>1</v>
      </c>
      <c r="C651" s="90" t="s">
        <v>333</v>
      </c>
      <c r="D651" s="91"/>
    </row>
    <row r="652" spans="1:4" ht="42.75" customHeight="1" thickBot="1">
      <c r="A652" s="26"/>
      <c r="B652" s="26" t="s">
        <v>0</v>
      </c>
      <c r="C652" s="5" t="s">
        <v>687</v>
      </c>
      <c r="D652" s="4" t="s">
        <v>2</v>
      </c>
    </row>
    <row r="653" spans="1:4" ht="42.75" customHeight="1" thickBot="1">
      <c r="A653" s="92">
        <v>1580</v>
      </c>
      <c r="B653" s="93"/>
      <c r="C653" s="94" t="s">
        <v>3</v>
      </c>
      <c r="D653" s="95"/>
    </row>
    <row r="654" spans="1:4" ht="42.75" customHeight="1" thickBot="1">
      <c r="A654" s="92">
        <v>1635</v>
      </c>
      <c r="B654" s="93"/>
      <c r="C654" s="96" t="s">
        <v>4</v>
      </c>
      <c r="D654" s="97"/>
    </row>
    <row r="655" spans="1:4" ht="42.75" customHeight="1" thickBot="1">
      <c r="A655" s="98">
        <f>A654-A653</f>
        <v>55</v>
      </c>
      <c r="B655" s="99"/>
      <c r="C655" s="100" t="s">
        <v>5</v>
      </c>
      <c r="D655" s="97"/>
    </row>
    <row r="656" spans="1:4" ht="42.75" customHeight="1" thickBot="1">
      <c r="A656" s="101">
        <v>62</v>
      </c>
      <c r="B656" s="102"/>
      <c r="C656" s="96" t="s">
        <v>6</v>
      </c>
      <c r="D656" s="97"/>
    </row>
    <row r="657" spans="1:4" ht="42.75" customHeight="1" thickBot="1">
      <c r="A657" s="103"/>
      <c r="B657" s="104"/>
      <c r="C657" s="96" t="s">
        <v>21</v>
      </c>
      <c r="D657" s="97"/>
    </row>
    <row r="658" spans="1:4" ht="42.75" customHeight="1" thickBot="1">
      <c r="A658" s="105">
        <f>A656*A655</f>
        <v>3410</v>
      </c>
      <c r="B658" s="106"/>
      <c r="C658" s="96" t="s">
        <v>7</v>
      </c>
      <c r="D658" s="97"/>
    </row>
    <row r="659" spans="1:4" ht="42.75" customHeight="1" thickBot="1">
      <c r="A659" s="107" t="s">
        <v>17</v>
      </c>
      <c r="B659" s="108"/>
      <c r="C659" s="108"/>
      <c r="D659" s="109"/>
    </row>
    <row r="660" spans="1:4" ht="42.75" customHeight="1" thickBot="1">
      <c r="A660" s="116" t="s">
        <v>20</v>
      </c>
      <c r="B660" s="117"/>
      <c r="C660" s="117"/>
      <c r="D660" s="118"/>
    </row>
    <row r="661" spans="1:4" ht="42.75" customHeight="1" thickBot="1">
      <c r="A661" s="113" t="s">
        <v>18</v>
      </c>
      <c r="B661" s="114"/>
      <c r="C661" s="114"/>
      <c r="D661" s="115"/>
    </row>
    <row r="662" spans="1:4" ht="42.75" customHeight="1" thickBot="1">
      <c r="A662" s="119"/>
      <c r="B662" s="119"/>
      <c r="C662" s="119"/>
      <c r="D662" s="119"/>
    </row>
    <row r="663" spans="1:4" ht="42.75" customHeight="1" thickBot="1">
      <c r="A663" s="126" t="s">
        <v>19</v>
      </c>
      <c r="B663" s="127"/>
      <c r="C663" s="127"/>
      <c r="D663" s="128"/>
    </row>
    <row r="664" spans="1:4" ht="42.75" customHeight="1" thickBot="1">
      <c r="A664" s="123" t="s">
        <v>11</v>
      </c>
      <c r="B664" s="124"/>
      <c r="C664" s="125" t="s">
        <v>603</v>
      </c>
      <c r="D664" s="124"/>
    </row>
    <row r="665" spans="1:4" ht="42.75" customHeight="1" thickBot="1">
      <c r="A665" s="1" t="s">
        <v>686</v>
      </c>
      <c r="B665" s="26" t="s">
        <v>1</v>
      </c>
      <c r="C665" s="90" t="s">
        <v>333</v>
      </c>
      <c r="D665" s="91"/>
    </row>
    <row r="666" spans="1:4" ht="42.75" customHeight="1" thickBot="1">
      <c r="A666" s="26"/>
      <c r="B666" s="26" t="s">
        <v>0</v>
      </c>
      <c r="C666" s="5" t="s">
        <v>687</v>
      </c>
      <c r="D666" s="4" t="s">
        <v>2</v>
      </c>
    </row>
    <row r="667" spans="1:4" ht="42.75" customHeight="1" thickBot="1">
      <c r="A667" s="92">
        <v>1580</v>
      </c>
      <c r="B667" s="93"/>
      <c r="C667" s="94" t="s">
        <v>3</v>
      </c>
      <c r="D667" s="95"/>
    </row>
    <row r="668" spans="1:4" ht="42.75" customHeight="1" thickBot="1">
      <c r="A668" s="92">
        <v>1635</v>
      </c>
      <c r="B668" s="93"/>
      <c r="C668" s="96" t="s">
        <v>4</v>
      </c>
      <c r="D668" s="97"/>
    </row>
    <row r="669" spans="1:4" ht="42.75" customHeight="1" thickBot="1">
      <c r="A669" s="98">
        <f>A668-A667</f>
        <v>55</v>
      </c>
      <c r="B669" s="99"/>
      <c r="C669" s="100" t="s">
        <v>5</v>
      </c>
      <c r="D669" s="97"/>
    </row>
    <row r="670" spans="1:4" ht="42.75" customHeight="1" thickBot="1">
      <c r="A670" s="101">
        <v>62</v>
      </c>
      <c r="B670" s="102"/>
      <c r="C670" s="96" t="s">
        <v>6</v>
      </c>
      <c r="D670" s="97"/>
    </row>
    <row r="671" spans="1:4" ht="42.75" customHeight="1" thickBot="1">
      <c r="A671" s="103"/>
      <c r="B671" s="104"/>
      <c r="C671" s="96" t="s">
        <v>21</v>
      </c>
      <c r="D671" s="97"/>
    </row>
    <row r="672" spans="1:4" ht="42.75" customHeight="1" thickBot="1">
      <c r="A672" s="105">
        <f>A670*A669</f>
        <v>3410</v>
      </c>
      <c r="B672" s="106"/>
      <c r="C672" s="96" t="s">
        <v>7</v>
      </c>
      <c r="D672" s="97"/>
    </row>
    <row r="673" spans="1:4" ht="42.75" customHeight="1" thickBot="1">
      <c r="A673" s="107" t="s">
        <v>17</v>
      </c>
      <c r="B673" s="108"/>
      <c r="C673" s="108"/>
      <c r="D673" s="109"/>
    </row>
    <row r="674" spans="1:4" ht="42.75" customHeight="1" thickBot="1">
      <c r="A674" s="110" t="s">
        <v>20</v>
      </c>
      <c r="B674" s="111"/>
      <c r="C674" s="111"/>
      <c r="D674" s="112"/>
    </row>
    <row r="675" spans="1:4" ht="42.75" customHeight="1" thickBot="1">
      <c r="A675" s="113" t="s">
        <v>18</v>
      </c>
      <c r="B675" s="114"/>
      <c r="C675" s="114"/>
      <c r="D675" s="115"/>
    </row>
    <row r="676" spans="1:4" ht="42.75" customHeight="1" thickBot="1">
      <c r="A676" s="126" t="s">
        <v>19</v>
      </c>
      <c r="B676" s="127"/>
      <c r="C676" s="127"/>
      <c r="D676" s="128"/>
    </row>
    <row r="677" spans="1:4" ht="42.75" customHeight="1" thickBot="1">
      <c r="A677" s="123" t="s">
        <v>11</v>
      </c>
      <c r="B677" s="124"/>
      <c r="C677" s="125" t="s">
        <v>603</v>
      </c>
      <c r="D677" s="124"/>
    </row>
    <row r="678" spans="1:4" ht="42.75" customHeight="1" thickBot="1">
      <c r="A678" s="1" t="s">
        <v>686</v>
      </c>
      <c r="B678" s="26" t="s">
        <v>1</v>
      </c>
      <c r="C678" s="90" t="s">
        <v>321</v>
      </c>
      <c r="D678" s="91"/>
    </row>
    <row r="679" spans="1:4" ht="42.75" customHeight="1" thickBot="1">
      <c r="A679" s="26"/>
      <c r="B679" s="26" t="s">
        <v>0</v>
      </c>
      <c r="C679" s="5" t="s">
        <v>687</v>
      </c>
      <c r="D679" s="4" t="s">
        <v>2</v>
      </c>
    </row>
    <row r="680" spans="1:4" ht="42.75" customHeight="1" thickBot="1">
      <c r="A680" s="92">
        <v>1638</v>
      </c>
      <c r="B680" s="93"/>
      <c r="C680" s="94" t="s">
        <v>3</v>
      </c>
      <c r="D680" s="95"/>
    </row>
    <row r="681" spans="1:4" ht="42.75" customHeight="1" thickBot="1">
      <c r="A681" s="92">
        <v>1652</v>
      </c>
      <c r="B681" s="93"/>
      <c r="C681" s="96" t="s">
        <v>4</v>
      </c>
      <c r="D681" s="97"/>
    </row>
    <row r="682" spans="1:4" ht="42.75" customHeight="1" thickBot="1">
      <c r="A682" s="98">
        <f>A681-A680</f>
        <v>14</v>
      </c>
      <c r="B682" s="99"/>
      <c r="C682" s="100" t="s">
        <v>5</v>
      </c>
      <c r="D682" s="97"/>
    </row>
    <row r="683" spans="1:4" ht="42.75" customHeight="1" thickBot="1">
      <c r="A683" s="101">
        <v>62</v>
      </c>
      <c r="B683" s="102"/>
      <c r="C683" s="96" t="s">
        <v>6</v>
      </c>
      <c r="D683" s="97"/>
    </row>
    <row r="684" spans="1:4" ht="42.75" customHeight="1" thickBot="1">
      <c r="A684" s="103"/>
      <c r="B684" s="104"/>
      <c r="C684" s="96" t="s">
        <v>21</v>
      </c>
      <c r="D684" s="97"/>
    </row>
    <row r="685" spans="1:4" ht="42.75" customHeight="1" thickBot="1">
      <c r="A685" s="105">
        <v>850</v>
      </c>
      <c r="B685" s="106"/>
      <c r="C685" s="96" t="s">
        <v>7</v>
      </c>
      <c r="D685" s="97"/>
    </row>
    <row r="686" spans="1:4" ht="42.75" customHeight="1" thickBot="1">
      <c r="A686" s="107" t="s">
        <v>17</v>
      </c>
      <c r="B686" s="108"/>
      <c r="C686" s="108"/>
      <c r="D686" s="109"/>
    </row>
    <row r="687" spans="1:4" ht="42.75" customHeight="1" thickBot="1">
      <c r="A687" s="116" t="s">
        <v>20</v>
      </c>
      <c r="B687" s="117"/>
      <c r="C687" s="117"/>
      <c r="D687" s="118"/>
    </row>
    <row r="688" spans="1:4" ht="42.75" customHeight="1" thickBot="1">
      <c r="A688" s="113" t="s">
        <v>18</v>
      </c>
      <c r="B688" s="114"/>
      <c r="C688" s="114"/>
      <c r="D688" s="115"/>
    </row>
    <row r="689" spans="1:4" ht="42.75" customHeight="1" thickBot="1">
      <c r="A689" s="119"/>
      <c r="B689" s="119"/>
      <c r="C689" s="119"/>
      <c r="D689" s="119"/>
    </row>
    <row r="690" spans="1:4" ht="42.75" customHeight="1" thickBot="1">
      <c r="A690" s="126" t="s">
        <v>19</v>
      </c>
      <c r="B690" s="127"/>
      <c r="C690" s="127"/>
      <c r="D690" s="128"/>
    </row>
    <row r="691" spans="1:4" ht="42.75" customHeight="1" thickBot="1">
      <c r="A691" s="123" t="s">
        <v>11</v>
      </c>
      <c r="B691" s="124"/>
      <c r="C691" s="125" t="s">
        <v>603</v>
      </c>
      <c r="D691" s="124"/>
    </row>
    <row r="692" spans="1:4" ht="42.75" customHeight="1" thickBot="1">
      <c r="A692" s="1" t="s">
        <v>686</v>
      </c>
      <c r="B692" s="26" t="s">
        <v>1</v>
      </c>
      <c r="C692" s="90" t="s">
        <v>321</v>
      </c>
      <c r="D692" s="91"/>
    </row>
    <row r="693" spans="1:4" ht="42.75" customHeight="1" thickBot="1">
      <c r="A693" s="26"/>
      <c r="B693" s="26" t="s">
        <v>0</v>
      </c>
      <c r="C693" s="5" t="s">
        <v>687</v>
      </c>
      <c r="D693" s="4" t="s">
        <v>2</v>
      </c>
    </row>
    <row r="694" spans="1:4" ht="42.75" customHeight="1" thickBot="1">
      <c r="A694" s="92">
        <v>1638</v>
      </c>
      <c r="B694" s="93"/>
      <c r="C694" s="94" t="s">
        <v>3</v>
      </c>
      <c r="D694" s="95"/>
    </row>
    <row r="695" spans="1:4" ht="42.75" customHeight="1" thickBot="1">
      <c r="A695" s="92">
        <v>1652</v>
      </c>
      <c r="B695" s="93"/>
      <c r="C695" s="96" t="s">
        <v>4</v>
      </c>
      <c r="D695" s="97"/>
    </row>
    <row r="696" spans="1:4" ht="42.75" customHeight="1" thickBot="1">
      <c r="A696" s="98">
        <f>A695-A694</f>
        <v>14</v>
      </c>
      <c r="B696" s="99"/>
      <c r="C696" s="100" t="s">
        <v>5</v>
      </c>
      <c r="D696" s="97"/>
    </row>
    <row r="697" spans="1:4" ht="42.75" customHeight="1" thickBot="1">
      <c r="A697" s="101">
        <v>62</v>
      </c>
      <c r="B697" s="102"/>
      <c r="C697" s="96" t="s">
        <v>6</v>
      </c>
      <c r="D697" s="97"/>
    </row>
    <row r="698" spans="1:4" ht="42.75" customHeight="1" thickBot="1">
      <c r="A698" s="103"/>
      <c r="B698" s="104"/>
      <c r="C698" s="96" t="s">
        <v>21</v>
      </c>
      <c r="D698" s="97"/>
    </row>
    <row r="699" spans="1:4" ht="42.75" customHeight="1" thickBot="1">
      <c r="A699" s="105">
        <v>850</v>
      </c>
      <c r="B699" s="106"/>
      <c r="C699" s="96" t="s">
        <v>7</v>
      </c>
      <c r="D699" s="97"/>
    </row>
    <row r="700" spans="1:4" ht="42.75" customHeight="1" thickBot="1">
      <c r="A700" s="107" t="s">
        <v>17</v>
      </c>
      <c r="B700" s="108"/>
      <c r="C700" s="108"/>
      <c r="D700" s="109"/>
    </row>
    <row r="701" spans="1:4" ht="42.75" customHeight="1" thickBot="1">
      <c r="A701" s="110" t="s">
        <v>20</v>
      </c>
      <c r="B701" s="111"/>
      <c r="C701" s="111"/>
      <c r="D701" s="112"/>
    </row>
    <row r="702" spans="1:4" ht="42.75" customHeight="1" thickBot="1">
      <c r="A702" s="113" t="s">
        <v>18</v>
      </c>
      <c r="B702" s="114"/>
      <c r="C702" s="114"/>
      <c r="D702" s="115"/>
    </row>
    <row r="703" spans="1:4" ht="42.75" customHeight="1" thickBot="1">
      <c r="A703" s="126" t="s">
        <v>19</v>
      </c>
      <c r="B703" s="127"/>
      <c r="C703" s="127"/>
      <c r="D703" s="128"/>
    </row>
    <row r="704" spans="1:4" ht="42.75" customHeight="1" thickBot="1">
      <c r="A704" s="123" t="s">
        <v>11</v>
      </c>
      <c r="B704" s="124"/>
      <c r="C704" s="125" t="s">
        <v>603</v>
      </c>
      <c r="D704" s="124"/>
    </row>
    <row r="705" spans="1:4" ht="42.75" customHeight="1" thickBot="1">
      <c r="A705" s="1" t="s">
        <v>686</v>
      </c>
      <c r="B705" s="26" t="s">
        <v>1</v>
      </c>
      <c r="C705" s="90" t="s">
        <v>53</v>
      </c>
      <c r="D705" s="91"/>
    </row>
    <row r="706" spans="1:4" ht="42.75" customHeight="1" thickBot="1">
      <c r="A706" s="26"/>
      <c r="B706" s="26" t="s">
        <v>0</v>
      </c>
      <c r="C706" s="5" t="s">
        <v>687</v>
      </c>
      <c r="D706" s="4" t="s">
        <v>2</v>
      </c>
    </row>
    <row r="707" spans="1:4" ht="42.75" customHeight="1" thickBot="1">
      <c r="A707" s="92">
        <v>2405</v>
      </c>
      <c r="B707" s="93"/>
      <c r="C707" s="94" t="s">
        <v>3</v>
      </c>
      <c r="D707" s="95"/>
    </row>
    <row r="708" spans="1:4" ht="42.75" customHeight="1" thickBot="1">
      <c r="A708" s="92">
        <v>2423</v>
      </c>
      <c r="B708" s="93"/>
      <c r="C708" s="96" t="s">
        <v>4</v>
      </c>
      <c r="D708" s="97"/>
    </row>
    <row r="709" spans="1:4" ht="42.75" customHeight="1" thickBot="1">
      <c r="A709" s="98">
        <f>A708-A707</f>
        <v>18</v>
      </c>
      <c r="B709" s="99"/>
      <c r="C709" s="100" t="s">
        <v>5</v>
      </c>
      <c r="D709" s="97"/>
    </row>
    <row r="710" spans="1:4" ht="42.75" customHeight="1" thickBot="1">
      <c r="A710" s="101">
        <v>62</v>
      </c>
      <c r="B710" s="102"/>
      <c r="C710" s="96" t="s">
        <v>6</v>
      </c>
      <c r="D710" s="97"/>
    </row>
    <row r="711" spans="1:4" ht="42.75" customHeight="1" thickBot="1">
      <c r="A711" s="103"/>
      <c r="B711" s="104"/>
      <c r="C711" s="96" t="s">
        <v>21</v>
      </c>
      <c r="D711" s="97"/>
    </row>
    <row r="712" spans="1:4" ht="42.75" customHeight="1" thickBot="1">
      <c r="A712" s="105">
        <v>1100</v>
      </c>
      <c r="B712" s="106"/>
      <c r="C712" s="96" t="s">
        <v>7</v>
      </c>
      <c r="D712" s="97"/>
    </row>
    <row r="713" spans="1:4" ht="42.75" customHeight="1" thickBot="1">
      <c r="A713" s="107" t="s">
        <v>17</v>
      </c>
      <c r="B713" s="108"/>
      <c r="C713" s="108"/>
      <c r="D713" s="109"/>
    </row>
    <row r="714" spans="1:4" ht="42.75" customHeight="1" thickBot="1">
      <c r="A714" s="116" t="s">
        <v>20</v>
      </c>
      <c r="B714" s="117"/>
      <c r="C714" s="117"/>
      <c r="D714" s="118"/>
    </row>
    <row r="715" spans="1:4" ht="42.75" customHeight="1" thickBot="1">
      <c r="A715" s="113" t="s">
        <v>18</v>
      </c>
      <c r="B715" s="114"/>
      <c r="C715" s="114"/>
      <c r="D715" s="115"/>
    </row>
    <row r="716" spans="1:4" ht="42.75" customHeight="1" thickBot="1">
      <c r="A716" s="119"/>
      <c r="B716" s="119"/>
      <c r="C716" s="119"/>
      <c r="D716" s="119"/>
    </row>
    <row r="717" spans="1:4" ht="42.75" customHeight="1" thickBot="1">
      <c r="A717" s="126" t="s">
        <v>19</v>
      </c>
      <c r="B717" s="127"/>
      <c r="C717" s="127"/>
      <c r="D717" s="128"/>
    </row>
    <row r="718" spans="1:4" ht="42.75" customHeight="1" thickBot="1">
      <c r="A718" s="123" t="s">
        <v>11</v>
      </c>
      <c r="B718" s="124"/>
      <c r="C718" s="125" t="s">
        <v>603</v>
      </c>
      <c r="D718" s="124"/>
    </row>
    <row r="719" spans="1:4" ht="42.75" customHeight="1" thickBot="1">
      <c r="A719" s="1" t="s">
        <v>686</v>
      </c>
      <c r="B719" s="26" t="s">
        <v>1</v>
      </c>
      <c r="C719" s="90" t="s">
        <v>53</v>
      </c>
      <c r="D719" s="91"/>
    </row>
    <row r="720" spans="1:4" ht="42.75" customHeight="1" thickBot="1">
      <c r="A720" s="26"/>
      <c r="B720" s="26" t="s">
        <v>0</v>
      </c>
      <c r="C720" s="5" t="s">
        <v>687</v>
      </c>
      <c r="D720" s="4" t="s">
        <v>2</v>
      </c>
    </row>
    <row r="721" spans="1:16" ht="42.75" customHeight="1" thickBot="1">
      <c r="A721" s="92">
        <v>2405</v>
      </c>
      <c r="B721" s="93"/>
      <c r="C721" s="94" t="s">
        <v>3</v>
      </c>
      <c r="D721" s="95"/>
    </row>
    <row r="722" spans="1:16" ht="42.75" customHeight="1" thickBot="1">
      <c r="A722" s="92">
        <v>2423</v>
      </c>
      <c r="B722" s="93"/>
      <c r="C722" s="96" t="s">
        <v>4</v>
      </c>
      <c r="D722" s="97"/>
    </row>
    <row r="723" spans="1:16" ht="42.75" customHeight="1" thickBot="1">
      <c r="A723" s="98">
        <f>A722-A721</f>
        <v>18</v>
      </c>
      <c r="B723" s="99"/>
      <c r="C723" s="100" t="s">
        <v>5</v>
      </c>
      <c r="D723" s="97"/>
    </row>
    <row r="724" spans="1:16" ht="42.75" customHeight="1" thickBot="1">
      <c r="A724" s="101">
        <v>62</v>
      </c>
      <c r="B724" s="102"/>
      <c r="C724" s="96" t="s">
        <v>6</v>
      </c>
      <c r="D724" s="97"/>
    </row>
    <row r="725" spans="1:16" ht="42.75" customHeight="1" thickBot="1">
      <c r="A725" s="103"/>
      <c r="B725" s="104"/>
      <c r="C725" s="96" t="s">
        <v>21</v>
      </c>
      <c r="D725" s="97"/>
    </row>
    <row r="726" spans="1:16" ht="42.75" customHeight="1" thickBot="1">
      <c r="A726" s="105">
        <v>1100</v>
      </c>
      <c r="B726" s="106"/>
      <c r="C726" s="96" t="s">
        <v>7</v>
      </c>
      <c r="D726" s="97"/>
    </row>
    <row r="727" spans="1:16" ht="42.75" customHeight="1" thickBot="1">
      <c r="A727" s="107" t="s">
        <v>17</v>
      </c>
      <c r="B727" s="108"/>
      <c r="C727" s="108"/>
      <c r="D727" s="109"/>
    </row>
    <row r="728" spans="1:16" ht="42.75" customHeight="1" thickBot="1">
      <c r="A728" s="110" t="s">
        <v>20</v>
      </c>
      <c r="B728" s="111"/>
      <c r="C728" s="111"/>
      <c r="D728" s="112"/>
    </row>
    <row r="729" spans="1:16" s="7" customFormat="1" ht="42.75" customHeight="1" thickBot="1">
      <c r="A729" s="113" t="s">
        <v>18</v>
      </c>
      <c r="B729" s="114"/>
      <c r="C729" s="114"/>
      <c r="D729" s="115"/>
      <c r="J729" s="8"/>
      <c r="K729" s="8"/>
      <c r="L729" s="8"/>
      <c r="M729" s="8"/>
      <c r="N729" s="8"/>
      <c r="O729" s="8"/>
      <c r="P729" s="8"/>
    </row>
    <row r="730" spans="1:16" s="7" customFormat="1" ht="42.75" customHeight="1" thickBot="1">
      <c r="A730" s="126" t="s">
        <v>19</v>
      </c>
      <c r="B730" s="127"/>
      <c r="C730" s="127"/>
      <c r="D730" s="128"/>
      <c r="J730" s="8"/>
      <c r="K730" s="8"/>
      <c r="L730" s="8"/>
      <c r="M730" s="8"/>
      <c r="N730" s="8"/>
      <c r="O730" s="8"/>
      <c r="P730" s="8"/>
    </row>
    <row r="731" spans="1:16" s="7" customFormat="1" ht="42.75" customHeight="1" thickBot="1">
      <c r="A731" s="123" t="s">
        <v>11</v>
      </c>
      <c r="B731" s="124"/>
      <c r="C731" s="125" t="s">
        <v>603</v>
      </c>
      <c r="D731" s="124"/>
      <c r="J731" s="8"/>
      <c r="K731" s="8"/>
      <c r="L731" s="8"/>
      <c r="M731" s="8"/>
      <c r="N731" s="8"/>
      <c r="O731" s="8"/>
      <c r="P731" s="8"/>
    </row>
    <row r="732" spans="1:16" s="7" customFormat="1" ht="42.75" customHeight="1" thickBot="1">
      <c r="A732" s="1" t="s">
        <v>686</v>
      </c>
      <c r="B732" s="26" t="s">
        <v>1</v>
      </c>
      <c r="C732" s="90" t="s">
        <v>334</v>
      </c>
      <c r="D732" s="91"/>
      <c r="J732" s="8"/>
      <c r="K732" s="8"/>
      <c r="L732" s="8"/>
      <c r="M732" s="8"/>
      <c r="N732" s="8"/>
      <c r="O732" s="8"/>
      <c r="P732" s="8"/>
    </row>
    <row r="733" spans="1:16" s="7" customFormat="1" ht="42.75" customHeight="1" thickBot="1">
      <c r="A733" s="26"/>
      <c r="B733" s="26" t="s">
        <v>0</v>
      </c>
      <c r="C733" s="5" t="s">
        <v>687</v>
      </c>
      <c r="D733" s="4" t="s">
        <v>2</v>
      </c>
      <c r="J733" s="8"/>
      <c r="K733" s="8"/>
      <c r="L733" s="8"/>
      <c r="M733" s="8"/>
      <c r="N733" s="8"/>
      <c r="O733" s="8"/>
      <c r="P733" s="8"/>
    </row>
    <row r="734" spans="1:16" s="7" customFormat="1" ht="42.75" customHeight="1" thickBot="1">
      <c r="A734" s="92">
        <v>2900</v>
      </c>
      <c r="B734" s="93"/>
      <c r="C734" s="94" t="s">
        <v>3</v>
      </c>
      <c r="D734" s="95"/>
      <c r="J734" s="8"/>
      <c r="K734" s="8"/>
      <c r="L734" s="8"/>
      <c r="M734" s="8"/>
      <c r="N734" s="8"/>
      <c r="O734" s="8"/>
      <c r="P734" s="8"/>
    </row>
    <row r="735" spans="1:16" s="7" customFormat="1" ht="42.75" customHeight="1" thickBot="1">
      <c r="A735" s="92">
        <v>2920</v>
      </c>
      <c r="B735" s="93"/>
      <c r="C735" s="96" t="s">
        <v>4</v>
      </c>
      <c r="D735" s="97"/>
      <c r="J735" s="8"/>
      <c r="K735" s="8"/>
      <c r="L735" s="8"/>
      <c r="M735" s="8"/>
      <c r="N735" s="8"/>
      <c r="O735" s="8"/>
      <c r="P735" s="8"/>
    </row>
    <row r="736" spans="1:16" s="7" customFormat="1" ht="42.75" customHeight="1" thickBot="1">
      <c r="A736" s="98">
        <f>A735-A734</f>
        <v>20</v>
      </c>
      <c r="B736" s="99"/>
      <c r="C736" s="100" t="s">
        <v>5</v>
      </c>
      <c r="D736" s="97"/>
      <c r="J736" s="8"/>
      <c r="K736" s="8"/>
      <c r="L736" s="8"/>
      <c r="M736" s="8"/>
      <c r="N736" s="8"/>
      <c r="O736" s="8"/>
      <c r="P736" s="8"/>
    </row>
    <row r="737" spans="1:16" s="7" customFormat="1" ht="42.75" customHeight="1" thickBot="1">
      <c r="A737" s="101">
        <v>62</v>
      </c>
      <c r="B737" s="102"/>
      <c r="C737" s="96" t="s">
        <v>6</v>
      </c>
      <c r="D737" s="97"/>
      <c r="J737" s="8"/>
      <c r="K737" s="8"/>
      <c r="L737" s="8"/>
      <c r="M737" s="8"/>
      <c r="N737" s="8"/>
      <c r="O737" s="8"/>
      <c r="P737" s="8"/>
    </row>
    <row r="738" spans="1:16" s="7" customFormat="1" ht="42.75" customHeight="1" thickBot="1">
      <c r="A738" s="103"/>
      <c r="B738" s="104"/>
      <c r="C738" s="96" t="s">
        <v>21</v>
      </c>
      <c r="D738" s="97"/>
      <c r="J738" s="8"/>
      <c r="K738" s="8"/>
      <c r="L738" s="8"/>
      <c r="M738" s="8"/>
      <c r="N738" s="8"/>
      <c r="O738" s="8"/>
      <c r="P738" s="8"/>
    </row>
    <row r="739" spans="1:16" s="7" customFormat="1" ht="42.75" customHeight="1" thickBot="1">
      <c r="A739" s="105">
        <v>1250</v>
      </c>
      <c r="B739" s="106"/>
      <c r="C739" s="96" t="s">
        <v>7</v>
      </c>
      <c r="D739" s="97"/>
      <c r="J739" s="8"/>
      <c r="K739" s="8"/>
      <c r="L739" s="8"/>
      <c r="M739" s="8"/>
      <c r="N739" s="8"/>
      <c r="O739" s="8"/>
      <c r="P739" s="8"/>
    </row>
    <row r="740" spans="1:16" s="7" customFormat="1" ht="42.75" customHeight="1" thickBot="1">
      <c r="A740" s="107" t="s">
        <v>17</v>
      </c>
      <c r="B740" s="108"/>
      <c r="C740" s="108"/>
      <c r="D740" s="109"/>
      <c r="J740" s="8"/>
      <c r="K740" s="8"/>
      <c r="L740" s="8"/>
      <c r="M740" s="8"/>
      <c r="N740" s="8"/>
      <c r="O740" s="8"/>
      <c r="P740" s="8"/>
    </row>
    <row r="741" spans="1:16" s="7" customFormat="1" ht="42.75" customHeight="1" thickBot="1">
      <c r="A741" s="116" t="s">
        <v>20</v>
      </c>
      <c r="B741" s="117"/>
      <c r="C741" s="117"/>
      <c r="D741" s="118"/>
      <c r="J741" s="8"/>
      <c r="K741" s="8"/>
      <c r="L741" s="8"/>
      <c r="M741" s="8"/>
      <c r="N741" s="8"/>
      <c r="O741" s="8"/>
      <c r="P741" s="8"/>
    </row>
    <row r="742" spans="1:16" s="7" customFormat="1" ht="42.75" customHeight="1" thickBot="1">
      <c r="A742" s="113" t="s">
        <v>18</v>
      </c>
      <c r="B742" s="114"/>
      <c r="C742" s="114"/>
      <c r="D742" s="115"/>
      <c r="J742" s="8"/>
      <c r="K742" s="8"/>
      <c r="L742" s="8"/>
      <c r="M742" s="8"/>
      <c r="N742" s="8"/>
      <c r="O742" s="8"/>
      <c r="P742" s="8"/>
    </row>
    <row r="743" spans="1:16" s="7" customFormat="1" ht="42.75" customHeight="1" thickBot="1">
      <c r="A743" s="119"/>
      <c r="B743" s="119"/>
      <c r="C743" s="119"/>
      <c r="D743" s="119"/>
      <c r="J743" s="8"/>
      <c r="K743" s="8"/>
      <c r="L743" s="8"/>
      <c r="M743" s="8"/>
      <c r="N743" s="8"/>
      <c r="O743" s="8"/>
      <c r="P743" s="8"/>
    </row>
    <row r="744" spans="1:16" s="7" customFormat="1" ht="42.75" customHeight="1" thickBot="1">
      <c r="A744" s="126" t="s">
        <v>19</v>
      </c>
      <c r="B744" s="127"/>
      <c r="C744" s="127"/>
      <c r="D744" s="128"/>
      <c r="J744" s="8"/>
      <c r="K744" s="8"/>
      <c r="L744" s="8"/>
      <c r="M744" s="8"/>
      <c r="N744" s="8"/>
      <c r="O744" s="8"/>
      <c r="P744" s="8"/>
    </row>
    <row r="745" spans="1:16" s="7" customFormat="1" ht="42.75" customHeight="1" thickBot="1">
      <c r="A745" s="123" t="s">
        <v>11</v>
      </c>
      <c r="B745" s="124"/>
      <c r="C745" s="125" t="s">
        <v>603</v>
      </c>
      <c r="D745" s="124"/>
      <c r="J745" s="8"/>
      <c r="K745" s="8"/>
      <c r="L745" s="8"/>
      <c r="M745" s="8"/>
      <c r="N745" s="8"/>
      <c r="O745" s="8"/>
      <c r="P745" s="8"/>
    </row>
    <row r="746" spans="1:16" s="7" customFormat="1" ht="42.75" customHeight="1" thickBot="1">
      <c r="A746" s="1" t="s">
        <v>686</v>
      </c>
      <c r="B746" s="26" t="s">
        <v>1</v>
      </c>
      <c r="C746" s="90" t="s">
        <v>334</v>
      </c>
      <c r="D746" s="91"/>
      <c r="J746" s="8"/>
      <c r="K746" s="8"/>
      <c r="L746" s="8"/>
      <c r="M746" s="8"/>
      <c r="N746" s="8"/>
      <c r="O746" s="8"/>
      <c r="P746" s="8"/>
    </row>
    <row r="747" spans="1:16" s="7" customFormat="1" ht="42.75" customHeight="1" thickBot="1">
      <c r="A747" s="26"/>
      <c r="B747" s="26" t="s">
        <v>0</v>
      </c>
      <c r="C747" s="5" t="s">
        <v>687</v>
      </c>
      <c r="D747" s="4" t="s">
        <v>2</v>
      </c>
      <c r="J747" s="8"/>
      <c r="K747" s="8"/>
      <c r="L747" s="8"/>
      <c r="M747" s="8"/>
      <c r="N747" s="8"/>
      <c r="O747" s="8"/>
      <c r="P747" s="8"/>
    </row>
    <row r="748" spans="1:16" s="7" customFormat="1" ht="42.75" customHeight="1" thickBot="1">
      <c r="A748" s="92">
        <v>2900</v>
      </c>
      <c r="B748" s="93"/>
      <c r="C748" s="94" t="s">
        <v>3</v>
      </c>
      <c r="D748" s="95"/>
      <c r="J748" s="8"/>
      <c r="K748" s="8"/>
      <c r="L748" s="8"/>
      <c r="M748" s="8"/>
      <c r="N748" s="8"/>
      <c r="O748" s="8"/>
      <c r="P748" s="8"/>
    </row>
    <row r="749" spans="1:16" s="7" customFormat="1" ht="42.75" customHeight="1" thickBot="1">
      <c r="A749" s="92">
        <v>2920</v>
      </c>
      <c r="B749" s="93"/>
      <c r="C749" s="96" t="s">
        <v>4</v>
      </c>
      <c r="D749" s="97"/>
      <c r="J749" s="8"/>
      <c r="K749" s="8"/>
      <c r="L749" s="8"/>
      <c r="M749" s="8"/>
      <c r="N749" s="8"/>
      <c r="O749" s="8"/>
      <c r="P749" s="8"/>
    </row>
    <row r="750" spans="1:16" s="7" customFormat="1" ht="42.75" customHeight="1" thickBot="1">
      <c r="A750" s="98">
        <f>A749-A748</f>
        <v>20</v>
      </c>
      <c r="B750" s="99"/>
      <c r="C750" s="100" t="s">
        <v>5</v>
      </c>
      <c r="D750" s="97"/>
      <c r="J750" s="8"/>
      <c r="K750" s="8"/>
      <c r="L750" s="8"/>
      <c r="M750" s="8"/>
      <c r="N750" s="8"/>
      <c r="O750" s="8"/>
      <c r="P750" s="8"/>
    </row>
    <row r="751" spans="1:16" s="7" customFormat="1" ht="42.75" customHeight="1" thickBot="1">
      <c r="A751" s="101">
        <v>62</v>
      </c>
      <c r="B751" s="102"/>
      <c r="C751" s="96" t="s">
        <v>6</v>
      </c>
      <c r="D751" s="97"/>
      <c r="J751" s="8"/>
      <c r="K751" s="8"/>
      <c r="L751" s="8"/>
      <c r="M751" s="8"/>
      <c r="N751" s="8"/>
      <c r="O751" s="8"/>
      <c r="P751" s="8"/>
    </row>
    <row r="752" spans="1:16" s="7" customFormat="1" ht="42.75" customHeight="1" thickBot="1">
      <c r="A752" s="103"/>
      <c r="B752" s="104"/>
      <c r="C752" s="96" t="s">
        <v>21</v>
      </c>
      <c r="D752" s="97"/>
      <c r="J752" s="8"/>
      <c r="K752" s="8"/>
      <c r="L752" s="8"/>
      <c r="M752" s="8"/>
      <c r="N752" s="8"/>
      <c r="O752" s="8"/>
      <c r="P752" s="8"/>
    </row>
    <row r="753" spans="1:16" s="7" customFormat="1" ht="42.75" customHeight="1" thickBot="1">
      <c r="A753" s="105">
        <v>1250</v>
      </c>
      <c r="B753" s="106"/>
      <c r="C753" s="96" t="s">
        <v>7</v>
      </c>
      <c r="D753" s="97"/>
      <c r="J753" s="8"/>
      <c r="K753" s="8"/>
      <c r="L753" s="8"/>
      <c r="M753" s="8"/>
      <c r="N753" s="8"/>
      <c r="O753" s="8"/>
      <c r="P753" s="8"/>
    </row>
    <row r="754" spans="1:16" s="7" customFormat="1" ht="42.75" customHeight="1" thickBot="1">
      <c r="A754" s="107" t="s">
        <v>17</v>
      </c>
      <c r="B754" s="108"/>
      <c r="C754" s="108"/>
      <c r="D754" s="109"/>
      <c r="J754" s="8"/>
      <c r="K754" s="8"/>
      <c r="L754" s="8"/>
      <c r="M754" s="8"/>
      <c r="N754" s="8"/>
      <c r="O754" s="8"/>
      <c r="P754" s="8"/>
    </row>
    <row r="755" spans="1:16" s="7" customFormat="1" ht="42.75" customHeight="1" thickBot="1">
      <c r="A755" s="110" t="s">
        <v>20</v>
      </c>
      <c r="B755" s="111"/>
      <c r="C755" s="111"/>
      <c r="D755" s="112"/>
      <c r="J755" s="8"/>
      <c r="K755" s="8"/>
      <c r="L755" s="8"/>
      <c r="M755" s="8"/>
      <c r="N755" s="8"/>
      <c r="O755" s="8"/>
      <c r="P755" s="8"/>
    </row>
    <row r="756" spans="1:16" s="7" customFormat="1" ht="42.75" customHeight="1" thickBot="1">
      <c r="A756" s="113" t="s">
        <v>18</v>
      </c>
      <c r="B756" s="114"/>
      <c r="C756" s="114"/>
      <c r="D756" s="115"/>
      <c r="J756" s="8"/>
      <c r="K756" s="8"/>
      <c r="L756" s="8"/>
      <c r="M756" s="8"/>
      <c r="N756" s="8"/>
      <c r="O756" s="8"/>
      <c r="P756" s="8"/>
    </row>
    <row r="757" spans="1:16" s="7" customFormat="1" ht="42.75" customHeight="1" thickBot="1">
      <c r="A757" s="126" t="s">
        <v>19</v>
      </c>
      <c r="B757" s="127"/>
      <c r="C757" s="127"/>
      <c r="D757" s="128"/>
      <c r="J757" s="8"/>
      <c r="K757" s="8"/>
      <c r="L757" s="8"/>
      <c r="M757" s="8"/>
      <c r="N757" s="8"/>
      <c r="O757" s="8"/>
      <c r="P757" s="8"/>
    </row>
    <row r="758" spans="1:16" s="7" customFormat="1" ht="42.75" customHeight="1" thickBot="1">
      <c r="A758" s="123" t="s">
        <v>11</v>
      </c>
      <c r="B758" s="124"/>
      <c r="C758" s="125" t="s">
        <v>603</v>
      </c>
      <c r="D758" s="124"/>
      <c r="J758" s="8"/>
      <c r="K758" s="8"/>
      <c r="L758" s="8"/>
      <c r="M758" s="8"/>
      <c r="N758" s="8"/>
      <c r="O758" s="8"/>
      <c r="P758" s="8"/>
    </row>
    <row r="759" spans="1:16" s="7" customFormat="1" ht="42.75" customHeight="1" thickBot="1">
      <c r="A759" s="1" t="s">
        <v>686</v>
      </c>
      <c r="B759" s="26" t="s">
        <v>1</v>
      </c>
      <c r="C759" s="90" t="s">
        <v>335</v>
      </c>
      <c r="D759" s="91"/>
      <c r="J759" s="8"/>
      <c r="K759" s="8"/>
      <c r="L759" s="8"/>
      <c r="M759" s="8"/>
      <c r="N759" s="8"/>
      <c r="O759" s="8"/>
      <c r="P759" s="8"/>
    </row>
    <row r="760" spans="1:16" s="7" customFormat="1" ht="42.75" customHeight="1" thickBot="1">
      <c r="A760" s="26"/>
      <c r="B760" s="26" t="s">
        <v>0</v>
      </c>
      <c r="C760" s="5" t="s">
        <v>687</v>
      </c>
      <c r="D760" s="4" t="s">
        <v>2</v>
      </c>
      <c r="J760" s="8"/>
      <c r="K760" s="8"/>
      <c r="L760" s="8"/>
      <c r="M760" s="8"/>
      <c r="N760" s="8"/>
      <c r="O760" s="8"/>
      <c r="P760" s="8"/>
    </row>
    <row r="761" spans="1:16" s="7" customFormat="1" ht="42.75" customHeight="1" thickBot="1">
      <c r="A761" s="92">
        <v>703</v>
      </c>
      <c r="B761" s="93"/>
      <c r="C761" s="94" t="s">
        <v>3</v>
      </c>
      <c r="D761" s="95"/>
      <c r="J761" s="8"/>
      <c r="K761" s="8"/>
      <c r="L761" s="8"/>
      <c r="M761" s="8"/>
      <c r="N761" s="8"/>
      <c r="O761" s="8"/>
      <c r="P761" s="8"/>
    </row>
    <row r="762" spans="1:16" s="7" customFormat="1" ht="42.75" customHeight="1" thickBot="1">
      <c r="A762" s="92">
        <v>708</v>
      </c>
      <c r="B762" s="93"/>
      <c r="C762" s="96" t="s">
        <v>4</v>
      </c>
      <c r="D762" s="97"/>
      <c r="J762" s="8"/>
      <c r="K762" s="8"/>
      <c r="L762" s="8"/>
      <c r="M762" s="8"/>
      <c r="N762" s="8"/>
      <c r="O762" s="8"/>
      <c r="P762" s="8"/>
    </row>
    <row r="763" spans="1:16" s="7" customFormat="1" ht="42.75" customHeight="1" thickBot="1">
      <c r="A763" s="98">
        <f>A762-A761</f>
        <v>5</v>
      </c>
      <c r="B763" s="99"/>
      <c r="C763" s="100" t="s">
        <v>5</v>
      </c>
      <c r="D763" s="97"/>
      <c r="J763" s="8"/>
      <c r="K763" s="8"/>
      <c r="L763" s="8"/>
      <c r="M763" s="8"/>
      <c r="N763" s="8"/>
      <c r="O763" s="8"/>
      <c r="P763" s="8"/>
    </row>
    <row r="764" spans="1:16" s="7" customFormat="1" ht="42.75" customHeight="1" thickBot="1">
      <c r="A764" s="101">
        <v>65</v>
      </c>
      <c r="B764" s="102"/>
      <c r="C764" s="96" t="s">
        <v>6</v>
      </c>
      <c r="D764" s="97"/>
      <c r="J764" s="8"/>
      <c r="K764" s="8"/>
      <c r="L764" s="8"/>
      <c r="M764" s="8"/>
      <c r="N764" s="8"/>
      <c r="O764" s="8"/>
      <c r="P764" s="8"/>
    </row>
    <row r="765" spans="1:16" s="7" customFormat="1" ht="42.75" customHeight="1" thickBot="1">
      <c r="A765" s="103"/>
      <c r="B765" s="104"/>
      <c r="C765" s="96" t="s">
        <v>21</v>
      </c>
      <c r="D765" s="97"/>
      <c r="J765" s="8"/>
      <c r="K765" s="8"/>
      <c r="L765" s="8"/>
      <c r="M765" s="8"/>
      <c r="N765" s="8"/>
      <c r="O765" s="8"/>
      <c r="P765" s="8"/>
    </row>
    <row r="766" spans="1:16" s="7" customFormat="1" ht="42.75" customHeight="1" thickBot="1">
      <c r="A766" s="105">
        <v>300</v>
      </c>
      <c r="B766" s="106"/>
      <c r="C766" s="96" t="s">
        <v>7</v>
      </c>
      <c r="D766" s="97"/>
      <c r="J766" s="8"/>
      <c r="K766" s="8"/>
      <c r="L766" s="8"/>
      <c r="M766" s="8"/>
      <c r="N766" s="8"/>
      <c r="O766" s="8"/>
      <c r="P766" s="8"/>
    </row>
    <row r="767" spans="1:16" s="7" customFormat="1" ht="42.75" customHeight="1" thickBot="1">
      <c r="A767" s="107" t="s">
        <v>17</v>
      </c>
      <c r="B767" s="108"/>
      <c r="C767" s="108"/>
      <c r="D767" s="109"/>
      <c r="J767" s="8"/>
      <c r="K767" s="8"/>
      <c r="L767" s="8"/>
      <c r="M767" s="8"/>
      <c r="N767" s="8"/>
      <c r="O767" s="8"/>
      <c r="P767" s="8"/>
    </row>
    <row r="768" spans="1:16" s="7" customFormat="1" ht="42.75" customHeight="1" thickBot="1">
      <c r="A768" s="116" t="s">
        <v>20</v>
      </c>
      <c r="B768" s="117"/>
      <c r="C768" s="117"/>
      <c r="D768" s="118"/>
      <c r="J768" s="8"/>
      <c r="K768" s="8"/>
      <c r="L768" s="8"/>
      <c r="M768" s="8"/>
      <c r="N768" s="8"/>
      <c r="O768" s="8"/>
      <c r="P768" s="8"/>
    </row>
    <row r="769" spans="1:16" s="7" customFormat="1" ht="42.75" customHeight="1" thickBot="1">
      <c r="A769" s="113" t="s">
        <v>18</v>
      </c>
      <c r="B769" s="114"/>
      <c r="C769" s="114"/>
      <c r="D769" s="115"/>
      <c r="J769" s="8"/>
      <c r="K769" s="8"/>
      <c r="L769" s="8"/>
      <c r="M769" s="8"/>
      <c r="N769" s="8"/>
      <c r="O769" s="8"/>
      <c r="P769" s="8"/>
    </row>
    <row r="770" spans="1:16" s="7" customFormat="1" ht="42.75" customHeight="1" thickBot="1">
      <c r="A770" s="119"/>
      <c r="B770" s="119"/>
      <c r="C770" s="119"/>
      <c r="D770" s="119"/>
      <c r="J770" s="8"/>
      <c r="K770" s="8"/>
      <c r="L770" s="8"/>
      <c r="M770" s="8"/>
      <c r="N770" s="8"/>
      <c r="O770" s="8"/>
      <c r="P770" s="8"/>
    </row>
    <row r="771" spans="1:16" s="7" customFormat="1" ht="42.75" customHeight="1" thickBot="1">
      <c r="A771" s="126" t="s">
        <v>19</v>
      </c>
      <c r="B771" s="127"/>
      <c r="C771" s="127"/>
      <c r="D771" s="128"/>
      <c r="J771" s="8"/>
      <c r="K771" s="8"/>
      <c r="L771" s="8"/>
      <c r="M771" s="8"/>
      <c r="N771" s="8"/>
      <c r="O771" s="8"/>
      <c r="P771" s="8"/>
    </row>
    <row r="772" spans="1:16" s="7" customFormat="1" ht="42.75" customHeight="1" thickBot="1">
      <c r="A772" s="123" t="s">
        <v>11</v>
      </c>
      <c r="B772" s="124"/>
      <c r="C772" s="125" t="s">
        <v>603</v>
      </c>
      <c r="D772" s="124"/>
      <c r="J772" s="8"/>
      <c r="K772" s="8"/>
      <c r="L772" s="8"/>
      <c r="M772" s="8"/>
      <c r="N772" s="8"/>
      <c r="O772" s="8"/>
      <c r="P772" s="8"/>
    </row>
    <row r="773" spans="1:16" s="7" customFormat="1" ht="42.75" customHeight="1" thickBot="1">
      <c r="A773" s="1" t="s">
        <v>686</v>
      </c>
      <c r="B773" s="26" t="s">
        <v>1</v>
      </c>
      <c r="C773" s="90" t="s">
        <v>335</v>
      </c>
      <c r="D773" s="91"/>
      <c r="J773" s="8"/>
      <c r="K773" s="8"/>
      <c r="L773" s="8"/>
      <c r="M773" s="8"/>
      <c r="N773" s="8"/>
      <c r="O773" s="8"/>
      <c r="P773" s="8"/>
    </row>
    <row r="774" spans="1:16" s="7" customFormat="1" ht="42.75" customHeight="1" thickBot="1">
      <c r="A774" s="26"/>
      <c r="B774" s="26" t="s">
        <v>0</v>
      </c>
      <c r="C774" s="5" t="s">
        <v>687</v>
      </c>
      <c r="D774" s="4" t="s">
        <v>2</v>
      </c>
      <c r="J774" s="8"/>
      <c r="K774" s="8"/>
      <c r="L774" s="8"/>
      <c r="M774" s="8"/>
      <c r="N774" s="8"/>
      <c r="O774" s="8"/>
      <c r="P774" s="8"/>
    </row>
    <row r="775" spans="1:16" s="7" customFormat="1" ht="42.75" customHeight="1" thickBot="1">
      <c r="A775" s="92">
        <v>703</v>
      </c>
      <c r="B775" s="93"/>
      <c r="C775" s="94" t="s">
        <v>3</v>
      </c>
      <c r="D775" s="95"/>
      <c r="J775" s="8"/>
      <c r="K775" s="8"/>
      <c r="L775" s="8"/>
      <c r="M775" s="8"/>
      <c r="N775" s="8"/>
      <c r="O775" s="8"/>
      <c r="P775" s="8"/>
    </row>
    <row r="776" spans="1:16" s="7" customFormat="1" ht="42.75" customHeight="1" thickBot="1">
      <c r="A776" s="92">
        <v>708</v>
      </c>
      <c r="B776" s="93"/>
      <c r="C776" s="96" t="s">
        <v>4</v>
      </c>
      <c r="D776" s="97"/>
      <c r="J776" s="8"/>
      <c r="K776" s="8"/>
      <c r="L776" s="8"/>
      <c r="M776" s="8"/>
      <c r="N776" s="8"/>
      <c r="O776" s="8"/>
      <c r="P776" s="8"/>
    </row>
    <row r="777" spans="1:16" s="7" customFormat="1" ht="42.75" customHeight="1" thickBot="1">
      <c r="A777" s="98">
        <f>A776-A775</f>
        <v>5</v>
      </c>
      <c r="B777" s="99"/>
      <c r="C777" s="100" t="s">
        <v>5</v>
      </c>
      <c r="D777" s="97"/>
      <c r="J777" s="8"/>
      <c r="K777" s="8"/>
      <c r="L777" s="8"/>
      <c r="M777" s="8"/>
      <c r="N777" s="8"/>
      <c r="O777" s="8"/>
      <c r="P777" s="8"/>
    </row>
    <row r="778" spans="1:16" s="7" customFormat="1" ht="42.75" customHeight="1" thickBot="1">
      <c r="A778" s="101">
        <v>65</v>
      </c>
      <c r="B778" s="102"/>
      <c r="C778" s="96" t="s">
        <v>6</v>
      </c>
      <c r="D778" s="97"/>
      <c r="J778" s="8"/>
      <c r="K778" s="8"/>
      <c r="L778" s="8"/>
      <c r="M778" s="8"/>
      <c r="N778" s="8"/>
      <c r="O778" s="8"/>
      <c r="P778" s="8"/>
    </row>
    <row r="779" spans="1:16" s="7" customFormat="1" ht="42.75" customHeight="1" thickBot="1">
      <c r="A779" s="103"/>
      <c r="B779" s="104"/>
      <c r="C779" s="96" t="s">
        <v>21</v>
      </c>
      <c r="D779" s="97"/>
      <c r="J779" s="8"/>
      <c r="K779" s="8"/>
      <c r="L779" s="8"/>
      <c r="M779" s="8"/>
      <c r="N779" s="8"/>
      <c r="O779" s="8"/>
      <c r="P779" s="8"/>
    </row>
    <row r="780" spans="1:16" s="7" customFormat="1" ht="42.75" customHeight="1" thickBot="1">
      <c r="A780" s="105">
        <v>300</v>
      </c>
      <c r="B780" s="106"/>
      <c r="C780" s="96" t="s">
        <v>7</v>
      </c>
      <c r="D780" s="97"/>
      <c r="J780" s="8"/>
      <c r="K780" s="8"/>
      <c r="L780" s="8"/>
      <c r="M780" s="8"/>
      <c r="N780" s="8"/>
      <c r="O780" s="8"/>
      <c r="P780" s="8"/>
    </row>
    <row r="781" spans="1:16" s="7" customFormat="1" ht="42.75" customHeight="1" thickBot="1">
      <c r="A781" s="107" t="s">
        <v>17</v>
      </c>
      <c r="B781" s="108"/>
      <c r="C781" s="108"/>
      <c r="D781" s="109"/>
      <c r="J781" s="8"/>
      <c r="K781" s="8"/>
      <c r="L781" s="8"/>
      <c r="M781" s="8"/>
      <c r="N781" s="8"/>
      <c r="O781" s="8"/>
      <c r="P781" s="8"/>
    </row>
    <row r="782" spans="1:16" s="7" customFormat="1" ht="42.75" customHeight="1" thickBot="1">
      <c r="A782" s="110" t="s">
        <v>20</v>
      </c>
      <c r="B782" s="111"/>
      <c r="C782" s="111"/>
      <c r="D782" s="112"/>
      <c r="J782" s="8"/>
      <c r="K782" s="8"/>
      <c r="L782" s="8"/>
      <c r="M782" s="8"/>
      <c r="N782" s="8"/>
      <c r="O782" s="8"/>
      <c r="P782" s="8"/>
    </row>
    <row r="783" spans="1:16" s="7" customFormat="1" ht="42.75" customHeight="1" thickBot="1">
      <c r="A783" s="113" t="s">
        <v>18</v>
      </c>
      <c r="B783" s="114"/>
      <c r="C783" s="114"/>
      <c r="D783" s="115"/>
      <c r="J783" s="8"/>
      <c r="K783" s="8"/>
      <c r="L783" s="8"/>
      <c r="M783" s="8"/>
      <c r="N783" s="8"/>
      <c r="O783" s="8"/>
      <c r="P783" s="8"/>
    </row>
    <row r="784" spans="1:16" s="7" customFormat="1" ht="42.75" customHeight="1" thickBot="1">
      <c r="A784" s="126" t="s">
        <v>19</v>
      </c>
      <c r="B784" s="127"/>
      <c r="C784" s="127"/>
      <c r="D784" s="128"/>
      <c r="J784" s="8"/>
      <c r="K784" s="8"/>
      <c r="L784" s="8"/>
      <c r="M784" s="8"/>
      <c r="N784" s="8"/>
      <c r="O784" s="8"/>
      <c r="P784" s="8"/>
    </row>
    <row r="785" spans="1:16" s="7" customFormat="1" ht="42.75" customHeight="1" thickBot="1">
      <c r="A785" s="123" t="s">
        <v>11</v>
      </c>
      <c r="B785" s="124"/>
      <c r="C785" s="125" t="s">
        <v>603</v>
      </c>
      <c r="D785" s="124"/>
      <c r="J785" s="8"/>
      <c r="K785" s="8"/>
      <c r="L785" s="8"/>
      <c r="M785" s="8"/>
      <c r="N785" s="8"/>
      <c r="O785" s="8"/>
      <c r="P785" s="8"/>
    </row>
    <row r="786" spans="1:16" s="7" customFormat="1" ht="42.75" customHeight="1" thickBot="1">
      <c r="A786" s="1" t="s">
        <v>686</v>
      </c>
      <c r="B786" s="26" t="s">
        <v>1</v>
      </c>
      <c r="C786" s="90" t="s">
        <v>203</v>
      </c>
      <c r="D786" s="91"/>
      <c r="J786" s="8"/>
      <c r="K786" s="8"/>
      <c r="L786" s="8"/>
      <c r="M786" s="8"/>
      <c r="N786" s="8"/>
      <c r="O786" s="8"/>
      <c r="P786" s="8"/>
    </row>
    <row r="787" spans="1:16" s="7" customFormat="1" ht="42.75" customHeight="1" thickBot="1">
      <c r="A787" s="26"/>
      <c r="B787" s="26" t="s">
        <v>0</v>
      </c>
      <c r="C787" s="5" t="s">
        <v>687</v>
      </c>
      <c r="D787" s="4" t="s">
        <v>2</v>
      </c>
      <c r="J787" s="8"/>
      <c r="K787" s="8"/>
      <c r="L787" s="8"/>
      <c r="M787" s="8"/>
      <c r="N787" s="8"/>
      <c r="O787" s="8"/>
      <c r="P787" s="8"/>
    </row>
    <row r="788" spans="1:16" s="7" customFormat="1" ht="42.75" customHeight="1" thickBot="1">
      <c r="A788" s="92">
        <v>3743</v>
      </c>
      <c r="B788" s="93"/>
      <c r="C788" s="94" t="s">
        <v>3</v>
      </c>
      <c r="D788" s="95"/>
      <c r="J788" s="8"/>
      <c r="K788" s="8"/>
      <c r="L788" s="8"/>
      <c r="M788" s="8"/>
      <c r="N788" s="8"/>
      <c r="O788" s="8"/>
      <c r="P788" s="8"/>
    </row>
    <row r="789" spans="1:16" s="7" customFormat="1" ht="42.75" customHeight="1" thickBot="1">
      <c r="A789" s="92">
        <v>3780</v>
      </c>
      <c r="B789" s="93"/>
      <c r="C789" s="96" t="s">
        <v>4</v>
      </c>
      <c r="D789" s="97"/>
      <c r="J789" s="8"/>
      <c r="K789" s="8"/>
      <c r="L789" s="8"/>
      <c r="M789" s="8"/>
      <c r="N789" s="8"/>
      <c r="O789" s="8"/>
      <c r="P789" s="8"/>
    </row>
    <row r="790" spans="1:16" s="7" customFormat="1" ht="42.75" customHeight="1" thickBot="1">
      <c r="A790" s="98">
        <f>A789-A788</f>
        <v>37</v>
      </c>
      <c r="B790" s="99"/>
      <c r="C790" s="100" t="s">
        <v>5</v>
      </c>
      <c r="D790" s="97"/>
      <c r="J790" s="8"/>
      <c r="K790" s="8"/>
      <c r="L790" s="8"/>
      <c r="M790" s="8"/>
      <c r="N790" s="8"/>
      <c r="O790" s="8"/>
      <c r="P790" s="8"/>
    </row>
    <row r="791" spans="1:16" s="7" customFormat="1" ht="42.75" customHeight="1" thickBot="1">
      <c r="A791" s="101">
        <v>62</v>
      </c>
      <c r="B791" s="102"/>
      <c r="C791" s="96" t="s">
        <v>6</v>
      </c>
      <c r="D791" s="97"/>
      <c r="J791" s="8"/>
      <c r="K791" s="8"/>
      <c r="L791" s="8"/>
      <c r="M791" s="8"/>
      <c r="N791" s="8"/>
      <c r="O791" s="8"/>
      <c r="P791" s="8"/>
    </row>
    <row r="792" spans="1:16" s="7" customFormat="1" ht="42.75" customHeight="1" thickBot="1">
      <c r="A792" s="103"/>
      <c r="B792" s="104"/>
      <c r="C792" s="96" t="s">
        <v>21</v>
      </c>
      <c r="D792" s="97"/>
      <c r="J792" s="8"/>
      <c r="K792" s="8"/>
      <c r="L792" s="8"/>
      <c r="M792" s="8"/>
      <c r="N792" s="8"/>
      <c r="O792" s="8"/>
      <c r="P792" s="8"/>
    </row>
    <row r="793" spans="1:16" s="7" customFormat="1" ht="42.75" customHeight="1" thickBot="1">
      <c r="A793" s="105">
        <v>2300</v>
      </c>
      <c r="B793" s="106"/>
      <c r="C793" s="96" t="s">
        <v>7</v>
      </c>
      <c r="D793" s="97"/>
      <c r="J793" s="8"/>
      <c r="K793" s="8"/>
      <c r="L793" s="8"/>
      <c r="M793" s="8"/>
      <c r="N793" s="8"/>
      <c r="O793" s="8"/>
      <c r="P793" s="8"/>
    </row>
    <row r="794" spans="1:16" s="7" customFormat="1" ht="42.75" customHeight="1" thickBot="1">
      <c r="A794" s="107" t="s">
        <v>17</v>
      </c>
      <c r="B794" s="108"/>
      <c r="C794" s="108"/>
      <c r="D794" s="109"/>
      <c r="J794" s="8"/>
      <c r="K794" s="8"/>
      <c r="L794" s="8"/>
      <c r="M794" s="8"/>
      <c r="N794" s="8"/>
      <c r="O794" s="8"/>
      <c r="P794" s="8"/>
    </row>
    <row r="795" spans="1:16" s="7" customFormat="1" ht="42.75" customHeight="1" thickBot="1">
      <c r="A795" s="116" t="s">
        <v>20</v>
      </c>
      <c r="B795" s="117"/>
      <c r="C795" s="117"/>
      <c r="D795" s="118"/>
      <c r="J795" s="8"/>
      <c r="K795" s="8"/>
      <c r="L795" s="8"/>
      <c r="M795" s="8"/>
      <c r="N795" s="8"/>
      <c r="O795" s="8"/>
      <c r="P795" s="8"/>
    </row>
    <row r="796" spans="1:16" s="7" customFormat="1" ht="42.75" customHeight="1" thickBot="1">
      <c r="A796" s="113" t="s">
        <v>18</v>
      </c>
      <c r="B796" s="114"/>
      <c r="C796" s="114"/>
      <c r="D796" s="115"/>
      <c r="J796" s="8"/>
      <c r="K796" s="8"/>
      <c r="L796" s="8"/>
      <c r="M796" s="8"/>
      <c r="N796" s="8"/>
      <c r="O796" s="8"/>
      <c r="P796" s="8"/>
    </row>
    <row r="797" spans="1:16" s="7" customFormat="1" ht="42.75" customHeight="1" thickBot="1">
      <c r="A797" s="119"/>
      <c r="B797" s="119"/>
      <c r="C797" s="119"/>
      <c r="D797" s="119"/>
      <c r="J797" s="8"/>
      <c r="K797" s="8"/>
      <c r="L797" s="8"/>
      <c r="M797" s="8"/>
      <c r="N797" s="8"/>
      <c r="O797" s="8"/>
      <c r="P797" s="8"/>
    </row>
    <row r="798" spans="1:16" s="7" customFormat="1" ht="42.75" customHeight="1" thickBot="1">
      <c r="A798" s="126" t="s">
        <v>19</v>
      </c>
      <c r="B798" s="127"/>
      <c r="C798" s="127"/>
      <c r="D798" s="128"/>
      <c r="J798" s="8"/>
      <c r="K798" s="8"/>
      <c r="L798" s="8"/>
      <c r="M798" s="8"/>
      <c r="N798" s="8"/>
      <c r="O798" s="8"/>
      <c r="P798" s="8"/>
    </row>
    <row r="799" spans="1:16" s="7" customFormat="1" ht="42.75" customHeight="1" thickBot="1">
      <c r="A799" s="123" t="s">
        <v>11</v>
      </c>
      <c r="B799" s="124"/>
      <c r="C799" s="125" t="s">
        <v>603</v>
      </c>
      <c r="D799" s="124"/>
      <c r="J799" s="8"/>
      <c r="K799" s="8"/>
      <c r="L799" s="8"/>
      <c r="M799" s="8"/>
      <c r="N799" s="8"/>
      <c r="O799" s="8"/>
      <c r="P799" s="8"/>
    </row>
    <row r="800" spans="1:16" s="7" customFormat="1" ht="42.75" customHeight="1" thickBot="1">
      <c r="A800" s="1" t="s">
        <v>686</v>
      </c>
      <c r="B800" s="26" t="s">
        <v>1</v>
      </c>
      <c r="C800" s="90" t="s">
        <v>203</v>
      </c>
      <c r="D800" s="91"/>
      <c r="J800" s="8"/>
      <c r="K800" s="8"/>
      <c r="L800" s="8"/>
      <c r="M800" s="8"/>
      <c r="N800" s="8"/>
      <c r="O800" s="8"/>
      <c r="P800" s="8"/>
    </row>
    <row r="801" spans="1:16" s="7" customFormat="1" ht="42.75" customHeight="1" thickBot="1">
      <c r="A801" s="26"/>
      <c r="B801" s="26" t="s">
        <v>0</v>
      </c>
      <c r="C801" s="5" t="s">
        <v>687</v>
      </c>
      <c r="D801" s="4" t="s">
        <v>2</v>
      </c>
      <c r="J801" s="8"/>
      <c r="K801" s="8"/>
      <c r="L801" s="8"/>
      <c r="M801" s="8"/>
      <c r="N801" s="8"/>
      <c r="O801" s="8"/>
      <c r="P801" s="8"/>
    </row>
    <row r="802" spans="1:16" s="7" customFormat="1" ht="42.75" customHeight="1" thickBot="1">
      <c r="A802" s="92">
        <v>3743</v>
      </c>
      <c r="B802" s="93"/>
      <c r="C802" s="94" t="s">
        <v>3</v>
      </c>
      <c r="D802" s="95"/>
      <c r="J802" s="8"/>
      <c r="K802" s="8"/>
      <c r="L802" s="8"/>
      <c r="M802" s="8"/>
      <c r="N802" s="8"/>
      <c r="O802" s="8"/>
      <c r="P802" s="8"/>
    </row>
    <row r="803" spans="1:16" s="7" customFormat="1" ht="42.75" customHeight="1" thickBot="1">
      <c r="A803" s="92">
        <v>3780</v>
      </c>
      <c r="B803" s="93"/>
      <c r="C803" s="96" t="s">
        <v>4</v>
      </c>
      <c r="D803" s="97"/>
      <c r="J803" s="8"/>
      <c r="K803" s="8"/>
      <c r="L803" s="8"/>
      <c r="M803" s="8"/>
      <c r="N803" s="8"/>
      <c r="O803" s="8"/>
      <c r="P803" s="8"/>
    </row>
    <row r="804" spans="1:16" s="7" customFormat="1" ht="42.75" customHeight="1" thickBot="1">
      <c r="A804" s="98">
        <f>A803-A802</f>
        <v>37</v>
      </c>
      <c r="B804" s="99"/>
      <c r="C804" s="100" t="s">
        <v>5</v>
      </c>
      <c r="D804" s="97"/>
      <c r="J804" s="8"/>
      <c r="K804" s="8"/>
      <c r="L804" s="8"/>
      <c r="M804" s="8"/>
      <c r="N804" s="8"/>
      <c r="O804" s="8"/>
      <c r="P804" s="8"/>
    </row>
    <row r="805" spans="1:16" s="7" customFormat="1" ht="42.75" customHeight="1" thickBot="1">
      <c r="A805" s="101">
        <v>62</v>
      </c>
      <c r="B805" s="102"/>
      <c r="C805" s="96" t="s">
        <v>6</v>
      </c>
      <c r="D805" s="97"/>
      <c r="J805" s="8"/>
      <c r="K805" s="8"/>
      <c r="L805" s="8"/>
      <c r="M805" s="8"/>
      <c r="N805" s="8"/>
      <c r="O805" s="8"/>
      <c r="P805" s="8"/>
    </row>
    <row r="806" spans="1:16" s="7" customFormat="1" ht="42.75" customHeight="1" thickBot="1">
      <c r="A806" s="103"/>
      <c r="B806" s="104"/>
      <c r="C806" s="96" t="s">
        <v>21</v>
      </c>
      <c r="D806" s="97"/>
      <c r="J806" s="8"/>
      <c r="K806" s="8"/>
      <c r="L806" s="8"/>
      <c r="M806" s="8"/>
      <c r="N806" s="8"/>
      <c r="O806" s="8"/>
      <c r="P806" s="8"/>
    </row>
    <row r="807" spans="1:16" s="7" customFormat="1" ht="42.75" customHeight="1" thickBot="1">
      <c r="A807" s="105">
        <v>2300</v>
      </c>
      <c r="B807" s="106"/>
      <c r="C807" s="96" t="s">
        <v>7</v>
      </c>
      <c r="D807" s="97"/>
      <c r="J807" s="8"/>
      <c r="K807" s="8"/>
      <c r="L807" s="8"/>
      <c r="M807" s="8"/>
      <c r="N807" s="8"/>
      <c r="O807" s="8"/>
      <c r="P807" s="8"/>
    </row>
    <row r="808" spans="1:16" s="7" customFormat="1" ht="42.75" customHeight="1" thickBot="1">
      <c r="A808" s="107" t="s">
        <v>17</v>
      </c>
      <c r="B808" s="108"/>
      <c r="C808" s="108"/>
      <c r="D808" s="109"/>
      <c r="J808" s="8"/>
      <c r="K808" s="8"/>
      <c r="L808" s="8"/>
      <c r="M808" s="8"/>
      <c r="N808" s="8"/>
      <c r="O808" s="8"/>
      <c r="P808" s="8"/>
    </row>
    <row r="809" spans="1:16" s="7" customFormat="1" ht="42.75" customHeight="1" thickBot="1">
      <c r="A809" s="110" t="s">
        <v>20</v>
      </c>
      <c r="B809" s="111"/>
      <c r="C809" s="111"/>
      <c r="D809" s="112"/>
      <c r="J809" s="8"/>
      <c r="K809" s="8"/>
      <c r="L809" s="8"/>
      <c r="M809" s="8"/>
      <c r="N809" s="8"/>
      <c r="O809" s="8"/>
      <c r="P809" s="8"/>
    </row>
    <row r="810" spans="1:16" s="7" customFormat="1" ht="42.75" customHeight="1" thickBot="1">
      <c r="A810" s="113" t="s">
        <v>18</v>
      </c>
      <c r="B810" s="114"/>
      <c r="C810" s="114"/>
      <c r="D810" s="115"/>
      <c r="J810" s="8"/>
      <c r="K810" s="8"/>
      <c r="L810" s="8"/>
      <c r="M810" s="8"/>
      <c r="N810" s="8"/>
      <c r="O810" s="8"/>
      <c r="P810" s="8"/>
    </row>
    <row r="811" spans="1:16" s="7" customFormat="1" ht="42.75" customHeight="1" thickBot="1">
      <c r="A811" s="126" t="s">
        <v>19</v>
      </c>
      <c r="B811" s="127"/>
      <c r="C811" s="127"/>
      <c r="D811" s="128"/>
      <c r="J811" s="8"/>
      <c r="K811" s="8"/>
      <c r="L811" s="8"/>
      <c r="M811" s="8"/>
      <c r="N811" s="8"/>
      <c r="O811" s="8"/>
      <c r="P811" s="8"/>
    </row>
    <row r="812" spans="1:16" s="7" customFormat="1" ht="42.75" customHeight="1" thickBot="1">
      <c r="A812" s="123" t="s">
        <v>11</v>
      </c>
      <c r="B812" s="124"/>
      <c r="C812" s="125" t="s">
        <v>603</v>
      </c>
      <c r="D812" s="124"/>
      <c r="J812" s="8"/>
      <c r="K812" s="8"/>
      <c r="L812" s="8"/>
      <c r="M812" s="8"/>
      <c r="N812" s="8"/>
      <c r="O812" s="8"/>
      <c r="P812" s="8"/>
    </row>
    <row r="813" spans="1:16" s="7" customFormat="1" ht="42.75" customHeight="1" thickBot="1">
      <c r="A813" s="1" t="s">
        <v>686</v>
      </c>
      <c r="B813" s="26" t="s">
        <v>1</v>
      </c>
      <c r="C813" s="90" t="s">
        <v>470</v>
      </c>
      <c r="D813" s="91"/>
      <c r="J813" s="8"/>
      <c r="K813" s="8"/>
      <c r="L813" s="8"/>
      <c r="M813" s="8"/>
      <c r="N813" s="8"/>
      <c r="O813" s="8"/>
      <c r="P813" s="8"/>
    </row>
    <row r="814" spans="1:16" s="7" customFormat="1" ht="42.75" customHeight="1" thickBot="1">
      <c r="A814" s="26"/>
      <c r="B814" s="26" t="s">
        <v>0</v>
      </c>
      <c r="C814" s="5" t="s">
        <v>687</v>
      </c>
      <c r="D814" s="4" t="s">
        <v>2</v>
      </c>
      <c r="J814" s="8"/>
      <c r="K814" s="8"/>
      <c r="L814" s="8"/>
      <c r="M814" s="8"/>
      <c r="N814" s="8"/>
      <c r="O814" s="8"/>
      <c r="P814" s="8"/>
    </row>
    <row r="815" spans="1:16" s="7" customFormat="1" ht="42.75" customHeight="1" thickBot="1">
      <c r="A815" s="92">
        <v>2857</v>
      </c>
      <c r="B815" s="93"/>
      <c r="C815" s="94" t="s">
        <v>3</v>
      </c>
      <c r="D815" s="95"/>
      <c r="J815" s="8"/>
      <c r="K815" s="8"/>
      <c r="L815" s="8"/>
      <c r="M815" s="8"/>
      <c r="N815" s="8"/>
      <c r="O815" s="8"/>
      <c r="P815" s="8"/>
    </row>
    <row r="816" spans="1:16" s="7" customFormat="1" ht="42.75" customHeight="1" thickBot="1">
      <c r="A816" s="92">
        <v>2880</v>
      </c>
      <c r="B816" s="93"/>
      <c r="C816" s="96" t="s">
        <v>4</v>
      </c>
      <c r="D816" s="97"/>
      <c r="J816" s="8"/>
      <c r="K816" s="8"/>
      <c r="L816" s="8"/>
      <c r="M816" s="8"/>
      <c r="N816" s="8"/>
      <c r="O816" s="8"/>
      <c r="P816" s="8"/>
    </row>
    <row r="817" spans="1:16" s="7" customFormat="1" ht="42.75" customHeight="1" thickBot="1">
      <c r="A817" s="98">
        <f>A816-A815</f>
        <v>23</v>
      </c>
      <c r="B817" s="99"/>
      <c r="C817" s="100" t="s">
        <v>5</v>
      </c>
      <c r="D817" s="97"/>
      <c r="J817" s="8"/>
      <c r="K817" s="8"/>
      <c r="L817" s="8"/>
      <c r="M817" s="8"/>
      <c r="N817" s="8"/>
      <c r="O817" s="8"/>
      <c r="P817" s="8"/>
    </row>
    <row r="818" spans="1:16" s="7" customFormat="1" ht="42.75" customHeight="1" thickBot="1">
      <c r="A818" s="101">
        <v>62</v>
      </c>
      <c r="B818" s="102"/>
      <c r="C818" s="96" t="s">
        <v>6</v>
      </c>
      <c r="D818" s="97"/>
      <c r="J818" s="8"/>
      <c r="K818" s="8"/>
      <c r="L818" s="8"/>
      <c r="M818" s="8"/>
      <c r="N818" s="8"/>
      <c r="O818" s="8"/>
      <c r="P818" s="8"/>
    </row>
    <row r="819" spans="1:16" s="7" customFormat="1" ht="42.75" customHeight="1" thickBot="1">
      <c r="A819" s="103"/>
      <c r="B819" s="104"/>
      <c r="C819" s="96" t="s">
        <v>21</v>
      </c>
      <c r="D819" s="97"/>
      <c r="J819" s="8"/>
      <c r="K819" s="8"/>
      <c r="L819" s="8"/>
      <c r="M819" s="8"/>
      <c r="N819" s="8"/>
      <c r="O819" s="8"/>
      <c r="P819" s="8"/>
    </row>
    <row r="820" spans="1:16" s="7" customFormat="1" ht="42.75" customHeight="1" thickBot="1">
      <c r="A820" s="105">
        <v>1400</v>
      </c>
      <c r="B820" s="106"/>
      <c r="C820" s="96" t="s">
        <v>7</v>
      </c>
      <c r="D820" s="97"/>
      <c r="J820" s="8"/>
      <c r="K820" s="8"/>
      <c r="L820" s="8"/>
      <c r="M820" s="8"/>
      <c r="N820" s="8"/>
      <c r="O820" s="8"/>
      <c r="P820" s="8"/>
    </row>
    <row r="821" spans="1:16" s="7" customFormat="1" ht="42.75" customHeight="1" thickBot="1">
      <c r="A821" s="107" t="s">
        <v>17</v>
      </c>
      <c r="B821" s="108"/>
      <c r="C821" s="108"/>
      <c r="D821" s="109"/>
      <c r="J821" s="8"/>
      <c r="K821" s="8"/>
      <c r="L821" s="8"/>
      <c r="M821" s="8"/>
      <c r="N821" s="8"/>
      <c r="O821" s="8"/>
      <c r="P821" s="8"/>
    </row>
    <row r="822" spans="1:16" s="7" customFormat="1" ht="42.75" customHeight="1" thickBot="1">
      <c r="A822" s="116" t="s">
        <v>20</v>
      </c>
      <c r="B822" s="117"/>
      <c r="C822" s="117"/>
      <c r="D822" s="118"/>
      <c r="J822" s="8"/>
      <c r="K822" s="8"/>
      <c r="L822" s="8"/>
      <c r="M822" s="8"/>
      <c r="N822" s="8"/>
      <c r="O822" s="8"/>
      <c r="P822" s="8"/>
    </row>
    <row r="823" spans="1:16" s="7" customFormat="1" ht="42.75" customHeight="1" thickBot="1">
      <c r="A823" s="113" t="s">
        <v>18</v>
      </c>
      <c r="B823" s="114"/>
      <c r="C823" s="114"/>
      <c r="D823" s="115"/>
      <c r="J823" s="8"/>
      <c r="K823" s="8"/>
      <c r="L823" s="8"/>
      <c r="M823" s="8"/>
      <c r="N823" s="8"/>
      <c r="O823" s="8"/>
      <c r="P823" s="8"/>
    </row>
    <row r="824" spans="1:16" s="7" customFormat="1" ht="42.75" customHeight="1" thickBot="1">
      <c r="A824" s="119"/>
      <c r="B824" s="119"/>
      <c r="C824" s="119"/>
      <c r="D824" s="119"/>
      <c r="J824" s="8"/>
      <c r="K824" s="8"/>
      <c r="L824" s="8"/>
      <c r="M824" s="8"/>
      <c r="N824" s="8"/>
      <c r="O824" s="8"/>
      <c r="P824" s="8"/>
    </row>
    <row r="825" spans="1:16" s="7" customFormat="1" ht="42.75" customHeight="1" thickBot="1">
      <c r="A825" s="126" t="s">
        <v>19</v>
      </c>
      <c r="B825" s="127"/>
      <c r="C825" s="127"/>
      <c r="D825" s="128"/>
      <c r="J825" s="8"/>
      <c r="K825" s="8"/>
      <c r="L825" s="8"/>
      <c r="M825" s="8"/>
      <c r="N825" s="8"/>
      <c r="O825" s="8"/>
      <c r="P825" s="8"/>
    </row>
    <row r="826" spans="1:16" s="7" customFormat="1" ht="42.75" customHeight="1" thickBot="1">
      <c r="A826" s="123" t="s">
        <v>11</v>
      </c>
      <c r="B826" s="124"/>
      <c r="C826" s="125" t="s">
        <v>603</v>
      </c>
      <c r="D826" s="124"/>
      <c r="J826" s="8"/>
      <c r="K826" s="8"/>
      <c r="L826" s="8"/>
      <c r="M826" s="8"/>
      <c r="N826" s="8"/>
      <c r="O826" s="8"/>
      <c r="P826" s="8"/>
    </row>
    <row r="827" spans="1:16" s="7" customFormat="1" ht="42.75" customHeight="1" thickBot="1">
      <c r="A827" s="1" t="s">
        <v>686</v>
      </c>
      <c r="B827" s="26" t="s">
        <v>1</v>
      </c>
      <c r="C827" s="90" t="s">
        <v>470</v>
      </c>
      <c r="D827" s="91"/>
      <c r="J827" s="8"/>
      <c r="K827" s="8"/>
      <c r="L827" s="8"/>
      <c r="M827" s="8"/>
      <c r="N827" s="8"/>
      <c r="O827" s="8"/>
      <c r="P827" s="8"/>
    </row>
    <row r="828" spans="1:16" s="7" customFormat="1" ht="42.75" customHeight="1" thickBot="1">
      <c r="A828" s="26"/>
      <c r="B828" s="26" t="s">
        <v>0</v>
      </c>
      <c r="C828" s="5" t="s">
        <v>687</v>
      </c>
      <c r="D828" s="4" t="s">
        <v>2</v>
      </c>
      <c r="J828" s="8"/>
      <c r="K828" s="8"/>
      <c r="L828" s="8"/>
      <c r="M828" s="8"/>
      <c r="N828" s="8"/>
      <c r="O828" s="8"/>
      <c r="P828" s="8"/>
    </row>
    <row r="829" spans="1:16" s="7" customFormat="1" ht="42.75" customHeight="1" thickBot="1">
      <c r="A829" s="92">
        <v>2857</v>
      </c>
      <c r="B829" s="93"/>
      <c r="C829" s="94" t="s">
        <v>3</v>
      </c>
      <c r="D829" s="95"/>
      <c r="J829" s="8"/>
      <c r="K829" s="8"/>
      <c r="L829" s="8"/>
      <c r="M829" s="8"/>
      <c r="N829" s="8"/>
      <c r="O829" s="8"/>
      <c r="P829" s="8"/>
    </row>
    <row r="830" spans="1:16" s="7" customFormat="1" ht="42.75" customHeight="1" thickBot="1">
      <c r="A830" s="92">
        <v>2880</v>
      </c>
      <c r="B830" s="93"/>
      <c r="C830" s="96" t="s">
        <v>4</v>
      </c>
      <c r="D830" s="97"/>
      <c r="J830" s="8"/>
      <c r="K830" s="8"/>
      <c r="L830" s="8"/>
      <c r="M830" s="8"/>
      <c r="N830" s="8"/>
      <c r="O830" s="8"/>
      <c r="P830" s="8"/>
    </row>
    <row r="831" spans="1:16" s="7" customFormat="1" ht="42.75" customHeight="1" thickBot="1">
      <c r="A831" s="98">
        <f>A830-A829</f>
        <v>23</v>
      </c>
      <c r="B831" s="99"/>
      <c r="C831" s="100" t="s">
        <v>5</v>
      </c>
      <c r="D831" s="97"/>
      <c r="J831" s="8"/>
      <c r="K831" s="8"/>
      <c r="L831" s="8"/>
      <c r="M831" s="8"/>
      <c r="N831" s="8"/>
      <c r="O831" s="8"/>
      <c r="P831" s="8"/>
    </row>
    <row r="832" spans="1:16" s="7" customFormat="1" ht="42.75" customHeight="1" thickBot="1">
      <c r="A832" s="101">
        <v>62</v>
      </c>
      <c r="B832" s="102"/>
      <c r="C832" s="96" t="s">
        <v>6</v>
      </c>
      <c r="D832" s="97"/>
      <c r="J832" s="8"/>
      <c r="K832" s="8"/>
      <c r="L832" s="8"/>
      <c r="M832" s="8"/>
      <c r="N832" s="8"/>
      <c r="O832" s="8"/>
      <c r="P832" s="8"/>
    </row>
    <row r="833" spans="1:16" s="7" customFormat="1" ht="42.75" customHeight="1" thickBot="1">
      <c r="A833" s="103"/>
      <c r="B833" s="104"/>
      <c r="C833" s="96" t="s">
        <v>21</v>
      </c>
      <c r="D833" s="97"/>
      <c r="J833" s="8"/>
      <c r="K833" s="8"/>
      <c r="L833" s="8"/>
      <c r="M833" s="8"/>
      <c r="N833" s="8"/>
      <c r="O833" s="8"/>
      <c r="P833" s="8"/>
    </row>
    <row r="834" spans="1:16" s="7" customFormat="1" ht="42.75" customHeight="1" thickBot="1">
      <c r="A834" s="105">
        <v>1400</v>
      </c>
      <c r="B834" s="106"/>
      <c r="C834" s="96" t="s">
        <v>7</v>
      </c>
      <c r="D834" s="97"/>
      <c r="J834" s="8"/>
      <c r="K834" s="8"/>
      <c r="L834" s="8"/>
      <c r="M834" s="8"/>
      <c r="N834" s="8"/>
      <c r="O834" s="8"/>
      <c r="P834" s="8"/>
    </row>
    <row r="835" spans="1:16" s="7" customFormat="1" ht="42.75" customHeight="1" thickBot="1">
      <c r="A835" s="107" t="s">
        <v>17</v>
      </c>
      <c r="B835" s="108"/>
      <c r="C835" s="108"/>
      <c r="D835" s="109"/>
      <c r="J835" s="8"/>
      <c r="K835" s="8"/>
      <c r="L835" s="8"/>
      <c r="M835" s="8"/>
      <c r="N835" s="8"/>
      <c r="O835" s="8"/>
      <c r="P835" s="8"/>
    </row>
    <row r="836" spans="1:16" s="7" customFormat="1" ht="42.75" customHeight="1" thickBot="1">
      <c r="A836" s="110" t="s">
        <v>20</v>
      </c>
      <c r="B836" s="111"/>
      <c r="C836" s="111"/>
      <c r="D836" s="112"/>
      <c r="J836" s="8"/>
      <c r="K836" s="8"/>
      <c r="L836" s="8"/>
      <c r="M836" s="8"/>
      <c r="N836" s="8"/>
      <c r="O836" s="8"/>
      <c r="P836" s="8"/>
    </row>
    <row r="837" spans="1:16" s="7" customFormat="1" ht="42.75" customHeight="1" thickBot="1">
      <c r="A837" s="113" t="s">
        <v>18</v>
      </c>
      <c r="B837" s="114"/>
      <c r="C837" s="114"/>
      <c r="D837" s="115"/>
      <c r="J837" s="8"/>
      <c r="K837" s="8"/>
      <c r="L837" s="8"/>
      <c r="M837" s="8"/>
      <c r="N837" s="8"/>
      <c r="O837" s="8"/>
      <c r="P837" s="8"/>
    </row>
    <row r="838" spans="1:16" s="7" customFormat="1" ht="42.75" customHeight="1" thickBot="1">
      <c r="A838" s="126" t="s">
        <v>19</v>
      </c>
      <c r="B838" s="127"/>
      <c r="C838" s="127"/>
      <c r="D838" s="128"/>
      <c r="J838" s="8"/>
      <c r="K838" s="8"/>
      <c r="L838" s="8"/>
      <c r="M838" s="8"/>
      <c r="N838" s="8"/>
      <c r="O838" s="8"/>
      <c r="P838" s="8"/>
    </row>
    <row r="839" spans="1:16" s="7" customFormat="1" ht="42.75" customHeight="1" thickBot="1">
      <c r="A839" s="123" t="s">
        <v>11</v>
      </c>
      <c r="B839" s="124"/>
      <c r="C839" s="125" t="s">
        <v>603</v>
      </c>
      <c r="D839" s="124"/>
      <c r="J839" s="8"/>
      <c r="K839" s="8"/>
      <c r="L839" s="8"/>
      <c r="M839" s="8"/>
      <c r="N839" s="8"/>
      <c r="O839" s="8"/>
      <c r="P839" s="8"/>
    </row>
    <row r="840" spans="1:16" s="7" customFormat="1" ht="42.75" customHeight="1" thickBot="1">
      <c r="A840" s="1" t="s">
        <v>686</v>
      </c>
      <c r="B840" s="26" t="s">
        <v>1</v>
      </c>
      <c r="C840" s="90" t="s">
        <v>469</v>
      </c>
      <c r="D840" s="91"/>
      <c r="J840" s="8"/>
      <c r="K840" s="8"/>
      <c r="L840" s="8"/>
      <c r="M840" s="8"/>
      <c r="N840" s="8"/>
      <c r="O840" s="8"/>
      <c r="P840" s="8"/>
    </row>
    <row r="841" spans="1:16" s="7" customFormat="1" ht="42.75" customHeight="1" thickBot="1">
      <c r="A841" s="26"/>
      <c r="B841" s="26" t="s">
        <v>0</v>
      </c>
      <c r="C841" s="5" t="s">
        <v>687</v>
      </c>
      <c r="D841" s="4" t="s">
        <v>2</v>
      </c>
      <c r="J841" s="8"/>
      <c r="K841" s="8"/>
      <c r="L841" s="8"/>
      <c r="M841" s="8"/>
      <c r="N841" s="8"/>
      <c r="O841" s="8"/>
      <c r="P841" s="8"/>
    </row>
    <row r="842" spans="1:16" s="7" customFormat="1" ht="42.75" customHeight="1" thickBot="1">
      <c r="A842" s="92">
        <v>1386</v>
      </c>
      <c r="B842" s="93"/>
      <c r="C842" s="94" t="s">
        <v>3</v>
      </c>
      <c r="D842" s="95"/>
      <c r="J842" s="8"/>
      <c r="K842" s="8"/>
      <c r="L842" s="8"/>
      <c r="M842" s="8"/>
      <c r="N842" s="8"/>
      <c r="O842" s="8"/>
      <c r="P842" s="8"/>
    </row>
    <row r="843" spans="1:16" s="7" customFormat="1" ht="42.75" customHeight="1" thickBot="1">
      <c r="A843" s="92">
        <v>1398</v>
      </c>
      <c r="B843" s="93"/>
      <c r="C843" s="96" t="s">
        <v>4</v>
      </c>
      <c r="D843" s="97"/>
      <c r="J843" s="8"/>
      <c r="K843" s="8"/>
      <c r="L843" s="8"/>
      <c r="M843" s="8"/>
      <c r="N843" s="8"/>
      <c r="O843" s="8"/>
      <c r="P843" s="8"/>
    </row>
    <row r="844" spans="1:16" s="7" customFormat="1" ht="42.75" customHeight="1" thickBot="1">
      <c r="A844" s="98">
        <f>A843-A842</f>
        <v>12</v>
      </c>
      <c r="B844" s="99"/>
      <c r="C844" s="100" t="s">
        <v>5</v>
      </c>
      <c r="D844" s="97"/>
      <c r="J844" s="8"/>
      <c r="K844" s="8"/>
      <c r="L844" s="8"/>
      <c r="M844" s="8"/>
      <c r="N844" s="8"/>
      <c r="O844" s="8"/>
      <c r="P844" s="8"/>
    </row>
    <row r="845" spans="1:16" s="7" customFormat="1" ht="42.75" customHeight="1" thickBot="1">
      <c r="A845" s="101">
        <v>62</v>
      </c>
      <c r="B845" s="102"/>
      <c r="C845" s="96" t="s">
        <v>6</v>
      </c>
      <c r="D845" s="97"/>
      <c r="J845" s="8"/>
      <c r="K845" s="8"/>
      <c r="L845" s="8"/>
      <c r="M845" s="8"/>
      <c r="N845" s="8"/>
      <c r="O845" s="8"/>
      <c r="P845" s="8"/>
    </row>
    <row r="846" spans="1:16" s="7" customFormat="1" ht="42.75" customHeight="1" thickBot="1">
      <c r="A846" s="103"/>
      <c r="B846" s="104"/>
      <c r="C846" s="96" t="s">
        <v>21</v>
      </c>
      <c r="D846" s="97"/>
      <c r="J846" s="8"/>
      <c r="K846" s="8"/>
      <c r="L846" s="8"/>
      <c r="M846" s="8"/>
      <c r="N846" s="8"/>
      <c r="O846" s="8"/>
      <c r="P846" s="8"/>
    </row>
    <row r="847" spans="1:16" s="7" customFormat="1" ht="42.75" customHeight="1" thickBot="1">
      <c r="A847" s="105">
        <v>750</v>
      </c>
      <c r="B847" s="106"/>
      <c r="C847" s="96" t="s">
        <v>7</v>
      </c>
      <c r="D847" s="97"/>
      <c r="J847" s="8"/>
      <c r="K847" s="8"/>
      <c r="L847" s="8"/>
      <c r="M847" s="8"/>
      <c r="N847" s="8"/>
      <c r="O847" s="8"/>
      <c r="P847" s="8"/>
    </row>
    <row r="848" spans="1:16" s="7" customFormat="1" ht="42.75" customHeight="1" thickBot="1">
      <c r="A848" s="107" t="s">
        <v>17</v>
      </c>
      <c r="B848" s="108"/>
      <c r="C848" s="108"/>
      <c r="D848" s="109"/>
      <c r="J848" s="8"/>
      <c r="K848" s="8"/>
      <c r="L848" s="8"/>
      <c r="M848" s="8"/>
      <c r="N848" s="8"/>
      <c r="O848" s="8"/>
      <c r="P848" s="8"/>
    </row>
    <row r="849" spans="1:16" s="7" customFormat="1" ht="42.75" customHeight="1" thickBot="1">
      <c r="A849" s="116" t="s">
        <v>20</v>
      </c>
      <c r="B849" s="117"/>
      <c r="C849" s="117"/>
      <c r="D849" s="118"/>
      <c r="J849" s="8"/>
      <c r="K849" s="8"/>
      <c r="L849" s="8"/>
      <c r="M849" s="8"/>
      <c r="N849" s="8"/>
      <c r="O849" s="8"/>
      <c r="P849" s="8"/>
    </row>
    <row r="850" spans="1:16" s="7" customFormat="1" ht="42.75" customHeight="1" thickBot="1">
      <c r="A850" s="113" t="s">
        <v>18</v>
      </c>
      <c r="B850" s="114"/>
      <c r="C850" s="114"/>
      <c r="D850" s="115"/>
      <c r="J850" s="8"/>
      <c r="K850" s="8"/>
      <c r="L850" s="8"/>
      <c r="M850" s="8"/>
      <c r="N850" s="8"/>
      <c r="O850" s="8"/>
      <c r="P850" s="8"/>
    </row>
    <row r="851" spans="1:16" s="7" customFormat="1" ht="42.75" customHeight="1" thickBot="1">
      <c r="A851" s="119"/>
      <c r="B851" s="119"/>
      <c r="C851" s="119"/>
      <c r="D851" s="119"/>
      <c r="J851" s="8"/>
      <c r="K851" s="8"/>
      <c r="L851" s="8"/>
      <c r="M851" s="8"/>
      <c r="N851" s="8"/>
      <c r="O851" s="8"/>
      <c r="P851" s="8"/>
    </row>
    <row r="852" spans="1:16" s="7" customFormat="1" ht="42.75" customHeight="1" thickBot="1">
      <c r="A852" s="126" t="s">
        <v>19</v>
      </c>
      <c r="B852" s="127"/>
      <c r="C852" s="127"/>
      <c r="D852" s="128"/>
      <c r="J852" s="8"/>
      <c r="K852" s="8"/>
      <c r="L852" s="8"/>
      <c r="M852" s="8"/>
      <c r="N852" s="8"/>
      <c r="O852" s="8"/>
      <c r="P852" s="8"/>
    </row>
    <row r="853" spans="1:16" s="7" customFormat="1" ht="42.75" customHeight="1" thickBot="1">
      <c r="A853" s="123" t="s">
        <v>11</v>
      </c>
      <c r="B853" s="124"/>
      <c r="C853" s="125" t="s">
        <v>603</v>
      </c>
      <c r="D853" s="124"/>
      <c r="J853" s="8"/>
      <c r="K853" s="8"/>
      <c r="L853" s="8"/>
      <c r="M853" s="8"/>
      <c r="N853" s="8"/>
      <c r="O853" s="8"/>
      <c r="P853" s="8"/>
    </row>
    <row r="854" spans="1:16" s="7" customFormat="1" ht="42.75" customHeight="1" thickBot="1">
      <c r="A854" s="1" t="s">
        <v>686</v>
      </c>
      <c r="B854" s="26" t="s">
        <v>1</v>
      </c>
      <c r="C854" s="90" t="s">
        <v>469</v>
      </c>
      <c r="D854" s="91"/>
      <c r="J854" s="8"/>
      <c r="K854" s="8"/>
      <c r="L854" s="8"/>
      <c r="M854" s="8"/>
      <c r="N854" s="8"/>
      <c r="O854" s="8"/>
      <c r="P854" s="8"/>
    </row>
    <row r="855" spans="1:16" s="7" customFormat="1" ht="42.75" customHeight="1" thickBot="1">
      <c r="A855" s="26"/>
      <c r="B855" s="26" t="s">
        <v>0</v>
      </c>
      <c r="C855" s="5" t="s">
        <v>687</v>
      </c>
      <c r="D855" s="4" t="s">
        <v>2</v>
      </c>
      <c r="J855" s="8"/>
      <c r="K855" s="8"/>
      <c r="L855" s="8"/>
      <c r="M855" s="8"/>
      <c r="N855" s="8"/>
      <c r="O855" s="8"/>
      <c r="P855" s="8"/>
    </row>
    <row r="856" spans="1:16" s="7" customFormat="1" ht="42.75" customHeight="1" thickBot="1">
      <c r="A856" s="92">
        <v>1386</v>
      </c>
      <c r="B856" s="93"/>
      <c r="C856" s="94" t="s">
        <v>3</v>
      </c>
      <c r="D856" s="95"/>
      <c r="J856" s="8"/>
      <c r="K856" s="8"/>
      <c r="L856" s="8"/>
      <c r="M856" s="8"/>
      <c r="N856" s="8"/>
      <c r="O856" s="8"/>
      <c r="P856" s="8"/>
    </row>
    <row r="857" spans="1:16" s="7" customFormat="1" ht="42.75" customHeight="1" thickBot="1">
      <c r="A857" s="92">
        <v>1398</v>
      </c>
      <c r="B857" s="93"/>
      <c r="C857" s="96" t="s">
        <v>4</v>
      </c>
      <c r="D857" s="97"/>
      <c r="J857" s="8"/>
      <c r="K857" s="8"/>
      <c r="L857" s="8"/>
      <c r="M857" s="8"/>
      <c r="N857" s="8"/>
      <c r="O857" s="8"/>
      <c r="P857" s="8"/>
    </row>
    <row r="858" spans="1:16" s="7" customFormat="1" ht="42.75" customHeight="1" thickBot="1">
      <c r="A858" s="98">
        <f>A857-A856</f>
        <v>12</v>
      </c>
      <c r="B858" s="99"/>
      <c r="C858" s="100" t="s">
        <v>5</v>
      </c>
      <c r="D858" s="97"/>
      <c r="J858" s="8"/>
      <c r="K858" s="8"/>
      <c r="L858" s="8"/>
      <c r="M858" s="8"/>
      <c r="N858" s="8"/>
      <c r="O858" s="8"/>
      <c r="P858" s="8"/>
    </row>
    <row r="859" spans="1:16" s="7" customFormat="1" ht="42.75" customHeight="1" thickBot="1">
      <c r="A859" s="101">
        <v>62</v>
      </c>
      <c r="B859" s="102"/>
      <c r="C859" s="96" t="s">
        <v>6</v>
      </c>
      <c r="D859" s="97"/>
      <c r="J859" s="8"/>
      <c r="K859" s="8"/>
      <c r="L859" s="8"/>
      <c r="M859" s="8"/>
      <c r="N859" s="8"/>
      <c r="O859" s="8"/>
      <c r="P859" s="8"/>
    </row>
    <row r="860" spans="1:16" s="7" customFormat="1" ht="42.75" customHeight="1" thickBot="1">
      <c r="A860" s="103"/>
      <c r="B860" s="104"/>
      <c r="C860" s="96" t="s">
        <v>21</v>
      </c>
      <c r="D860" s="97"/>
      <c r="J860" s="8"/>
      <c r="K860" s="8"/>
      <c r="L860" s="8"/>
      <c r="M860" s="8"/>
      <c r="N860" s="8"/>
      <c r="O860" s="8"/>
      <c r="P860" s="8"/>
    </row>
    <row r="861" spans="1:16" s="7" customFormat="1" ht="42.75" customHeight="1" thickBot="1">
      <c r="A861" s="105">
        <v>750</v>
      </c>
      <c r="B861" s="106"/>
      <c r="C861" s="96" t="s">
        <v>7</v>
      </c>
      <c r="D861" s="97"/>
      <c r="J861" s="8"/>
      <c r="K861" s="8"/>
      <c r="L861" s="8"/>
      <c r="M861" s="8"/>
      <c r="N861" s="8"/>
      <c r="O861" s="8"/>
      <c r="P861" s="8"/>
    </row>
    <row r="862" spans="1:16" s="7" customFormat="1" ht="42.75" customHeight="1" thickBot="1">
      <c r="A862" s="107" t="s">
        <v>17</v>
      </c>
      <c r="B862" s="108"/>
      <c r="C862" s="108"/>
      <c r="D862" s="109"/>
      <c r="J862" s="8"/>
      <c r="K862" s="8"/>
      <c r="L862" s="8"/>
      <c r="M862" s="8"/>
      <c r="N862" s="8"/>
      <c r="O862" s="8"/>
      <c r="P862" s="8"/>
    </row>
    <row r="863" spans="1:16" s="7" customFormat="1" ht="42.75" customHeight="1" thickBot="1">
      <c r="A863" s="110" t="s">
        <v>20</v>
      </c>
      <c r="B863" s="111"/>
      <c r="C863" s="111"/>
      <c r="D863" s="112"/>
      <c r="J863" s="8"/>
      <c r="K863" s="8"/>
      <c r="L863" s="8"/>
      <c r="M863" s="8"/>
      <c r="N863" s="8"/>
      <c r="O863" s="8"/>
      <c r="P863" s="8"/>
    </row>
    <row r="864" spans="1:16" s="7" customFormat="1" ht="42.75" customHeight="1" thickBot="1">
      <c r="A864" s="113" t="s">
        <v>18</v>
      </c>
      <c r="B864" s="114"/>
      <c r="C864" s="114"/>
      <c r="D864" s="115"/>
      <c r="J864" s="8"/>
      <c r="K864" s="8"/>
      <c r="L864" s="8"/>
      <c r="M864" s="8"/>
      <c r="N864" s="8"/>
      <c r="O864" s="8"/>
      <c r="P864" s="8"/>
    </row>
    <row r="865" spans="1:16" s="7" customFormat="1" ht="42.75" customHeight="1" thickBot="1">
      <c r="A865" s="126" t="s">
        <v>19</v>
      </c>
      <c r="B865" s="127"/>
      <c r="C865" s="127"/>
      <c r="D865" s="128"/>
      <c r="J865" s="8"/>
      <c r="K865" s="8"/>
      <c r="L865" s="8"/>
      <c r="M865" s="8"/>
      <c r="N865" s="8"/>
      <c r="O865" s="8"/>
      <c r="P865" s="8"/>
    </row>
    <row r="866" spans="1:16" s="7" customFormat="1" ht="42.75" customHeight="1" thickBot="1">
      <c r="A866" s="123" t="s">
        <v>11</v>
      </c>
      <c r="B866" s="124"/>
      <c r="C866" s="125" t="s">
        <v>603</v>
      </c>
      <c r="D866" s="124"/>
      <c r="J866" s="8"/>
      <c r="K866" s="8"/>
      <c r="L866" s="8"/>
      <c r="M866" s="8"/>
      <c r="N866" s="8"/>
      <c r="O866" s="8"/>
      <c r="P866" s="8"/>
    </row>
    <row r="867" spans="1:16" s="7" customFormat="1" ht="42.75" customHeight="1" thickBot="1">
      <c r="A867" s="1" t="s">
        <v>686</v>
      </c>
      <c r="B867" s="26" t="s">
        <v>1</v>
      </c>
      <c r="C867" s="90" t="s">
        <v>336</v>
      </c>
      <c r="D867" s="91"/>
      <c r="J867" s="8"/>
      <c r="K867" s="8"/>
      <c r="L867" s="8"/>
      <c r="M867" s="8"/>
      <c r="N867" s="8"/>
      <c r="O867" s="8"/>
      <c r="P867" s="8"/>
    </row>
    <row r="868" spans="1:16" s="7" customFormat="1" ht="42.75" customHeight="1" thickBot="1">
      <c r="A868" s="26"/>
      <c r="B868" s="26" t="s">
        <v>0</v>
      </c>
      <c r="C868" s="5" t="s">
        <v>687</v>
      </c>
      <c r="D868" s="4" t="s">
        <v>2</v>
      </c>
      <c r="J868" s="8"/>
      <c r="K868" s="8"/>
      <c r="L868" s="8"/>
      <c r="M868" s="8"/>
      <c r="N868" s="8"/>
      <c r="O868" s="8"/>
      <c r="P868" s="8"/>
    </row>
    <row r="869" spans="1:16" s="7" customFormat="1" ht="42.75" customHeight="1" thickBot="1">
      <c r="A869" s="92">
        <v>1978</v>
      </c>
      <c r="B869" s="93"/>
      <c r="C869" s="94" t="s">
        <v>3</v>
      </c>
      <c r="D869" s="95"/>
      <c r="J869" s="8"/>
      <c r="K869" s="8"/>
      <c r="L869" s="8"/>
      <c r="M869" s="8"/>
      <c r="N869" s="8"/>
      <c r="O869" s="8"/>
      <c r="P869" s="8"/>
    </row>
    <row r="870" spans="1:16" s="7" customFormat="1" ht="42.75" customHeight="1" thickBot="1">
      <c r="A870" s="92">
        <v>2003</v>
      </c>
      <c r="B870" s="93"/>
      <c r="C870" s="96" t="s">
        <v>4</v>
      </c>
      <c r="D870" s="97"/>
      <c r="J870" s="8"/>
      <c r="K870" s="8"/>
      <c r="L870" s="8"/>
      <c r="M870" s="8"/>
      <c r="N870" s="8"/>
      <c r="O870" s="8"/>
      <c r="P870" s="8"/>
    </row>
    <row r="871" spans="1:16" s="7" customFormat="1" ht="42.75" customHeight="1" thickBot="1">
      <c r="A871" s="98">
        <f>A870-A869</f>
        <v>25</v>
      </c>
      <c r="B871" s="99"/>
      <c r="C871" s="100" t="s">
        <v>5</v>
      </c>
      <c r="D871" s="97"/>
      <c r="J871" s="8"/>
      <c r="K871" s="8"/>
      <c r="L871" s="8"/>
      <c r="M871" s="8"/>
      <c r="N871" s="8"/>
      <c r="O871" s="8"/>
      <c r="P871" s="8"/>
    </row>
    <row r="872" spans="1:16" s="7" customFormat="1" ht="42.75" customHeight="1" thickBot="1">
      <c r="A872" s="101">
        <v>62</v>
      </c>
      <c r="B872" s="102"/>
      <c r="C872" s="96" t="s">
        <v>6</v>
      </c>
      <c r="D872" s="97"/>
      <c r="J872" s="8"/>
      <c r="K872" s="8"/>
      <c r="L872" s="8"/>
      <c r="M872" s="8"/>
      <c r="N872" s="8"/>
      <c r="O872" s="8"/>
      <c r="P872" s="8"/>
    </row>
    <row r="873" spans="1:16" s="7" customFormat="1" ht="42.75" customHeight="1" thickBot="1">
      <c r="A873" s="103"/>
      <c r="B873" s="104"/>
      <c r="C873" s="96" t="s">
        <v>21</v>
      </c>
      <c r="D873" s="97"/>
      <c r="J873" s="8"/>
      <c r="K873" s="8"/>
      <c r="L873" s="8"/>
      <c r="M873" s="8"/>
      <c r="N873" s="8"/>
      <c r="O873" s="8"/>
      <c r="P873" s="8"/>
    </row>
    <row r="874" spans="1:16" s="7" customFormat="1" ht="42.75" customHeight="1" thickBot="1">
      <c r="A874" s="105">
        <f>A872*A871</f>
        <v>1550</v>
      </c>
      <c r="B874" s="106"/>
      <c r="C874" s="96" t="s">
        <v>7</v>
      </c>
      <c r="D874" s="97"/>
      <c r="J874" s="8"/>
      <c r="K874" s="8"/>
      <c r="L874" s="8"/>
      <c r="M874" s="8"/>
      <c r="N874" s="8"/>
      <c r="O874" s="8"/>
      <c r="P874" s="8"/>
    </row>
    <row r="875" spans="1:16" s="7" customFormat="1" ht="42.75" customHeight="1" thickBot="1">
      <c r="A875" s="107" t="s">
        <v>17</v>
      </c>
      <c r="B875" s="108"/>
      <c r="C875" s="108"/>
      <c r="D875" s="109"/>
      <c r="J875" s="8"/>
      <c r="K875" s="8"/>
      <c r="L875" s="8"/>
      <c r="M875" s="8"/>
      <c r="N875" s="8"/>
      <c r="O875" s="8"/>
      <c r="P875" s="8"/>
    </row>
    <row r="876" spans="1:16" s="7" customFormat="1" ht="42.75" customHeight="1" thickBot="1">
      <c r="A876" s="116" t="s">
        <v>20</v>
      </c>
      <c r="B876" s="117"/>
      <c r="C876" s="117"/>
      <c r="D876" s="118"/>
      <c r="J876" s="8"/>
      <c r="K876" s="8"/>
      <c r="L876" s="8"/>
      <c r="M876" s="8"/>
      <c r="N876" s="8"/>
      <c r="O876" s="8"/>
      <c r="P876" s="8"/>
    </row>
    <row r="877" spans="1:16" s="7" customFormat="1" ht="42.75" customHeight="1" thickBot="1">
      <c r="A877" s="113" t="s">
        <v>18</v>
      </c>
      <c r="B877" s="114"/>
      <c r="C877" s="114"/>
      <c r="D877" s="115"/>
      <c r="J877" s="8"/>
      <c r="K877" s="8"/>
      <c r="L877" s="8"/>
      <c r="M877" s="8"/>
      <c r="N877" s="8"/>
      <c r="O877" s="8"/>
      <c r="P877" s="8"/>
    </row>
    <row r="878" spans="1:16" s="7" customFormat="1" ht="42.75" customHeight="1" thickBot="1">
      <c r="A878" s="119"/>
      <c r="B878" s="119"/>
      <c r="C878" s="119"/>
      <c r="D878" s="119"/>
      <c r="J878" s="8"/>
      <c r="K878" s="8"/>
      <c r="L878" s="8"/>
      <c r="M878" s="8"/>
      <c r="N878" s="8"/>
      <c r="O878" s="8"/>
      <c r="P878" s="8"/>
    </row>
    <row r="879" spans="1:16" s="7" customFormat="1" ht="42.75" customHeight="1" thickBot="1">
      <c r="A879" s="126" t="s">
        <v>19</v>
      </c>
      <c r="B879" s="127"/>
      <c r="C879" s="127"/>
      <c r="D879" s="128"/>
      <c r="J879" s="8"/>
      <c r="K879" s="8"/>
      <c r="L879" s="8"/>
      <c r="M879" s="8"/>
      <c r="N879" s="8"/>
      <c r="O879" s="8"/>
      <c r="P879" s="8"/>
    </row>
    <row r="880" spans="1:16" s="7" customFormat="1" ht="42.75" customHeight="1" thickBot="1">
      <c r="A880" s="123" t="s">
        <v>11</v>
      </c>
      <c r="B880" s="124"/>
      <c r="C880" s="125" t="s">
        <v>603</v>
      </c>
      <c r="D880" s="124"/>
      <c r="J880" s="8"/>
      <c r="K880" s="8"/>
      <c r="L880" s="8"/>
      <c r="M880" s="8"/>
      <c r="N880" s="8"/>
      <c r="O880" s="8"/>
      <c r="P880" s="8"/>
    </row>
    <row r="881" spans="1:16" s="7" customFormat="1" ht="42.75" customHeight="1" thickBot="1">
      <c r="A881" s="1" t="s">
        <v>686</v>
      </c>
      <c r="B881" s="26" t="s">
        <v>1</v>
      </c>
      <c r="C881" s="90" t="s">
        <v>336</v>
      </c>
      <c r="D881" s="91"/>
      <c r="J881" s="8"/>
      <c r="K881" s="8"/>
      <c r="L881" s="8"/>
      <c r="M881" s="8"/>
      <c r="N881" s="8"/>
      <c r="O881" s="8"/>
      <c r="P881" s="8"/>
    </row>
    <row r="882" spans="1:16" s="7" customFormat="1" ht="42.75" customHeight="1" thickBot="1">
      <c r="A882" s="26"/>
      <c r="B882" s="26" t="s">
        <v>0</v>
      </c>
      <c r="C882" s="5" t="s">
        <v>687</v>
      </c>
      <c r="D882" s="4" t="s">
        <v>2</v>
      </c>
      <c r="J882" s="8"/>
      <c r="K882" s="8"/>
      <c r="L882" s="8"/>
      <c r="M882" s="8"/>
      <c r="N882" s="8"/>
      <c r="O882" s="8"/>
      <c r="P882" s="8"/>
    </row>
    <row r="883" spans="1:16" s="7" customFormat="1" ht="42.75" customHeight="1" thickBot="1">
      <c r="A883" s="92">
        <v>1978</v>
      </c>
      <c r="B883" s="93"/>
      <c r="C883" s="94" t="s">
        <v>3</v>
      </c>
      <c r="D883" s="95"/>
      <c r="J883" s="8"/>
      <c r="K883" s="8"/>
      <c r="L883" s="8"/>
      <c r="M883" s="8"/>
      <c r="N883" s="8"/>
      <c r="O883" s="8"/>
      <c r="P883" s="8"/>
    </row>
    <row r="884" spans="1:16" s="7" customFormat="1" ht="42.75" customHeight="1" thickBot="1">
      <c r="A884" s="92">
        <v>2003</v>
      </c>
      <c r="B884" s="93"/>
      <c r="C884" s="96" t="s">
        <v>4</v>
      </c>
      <c r="D884" s="97"/>
      <c r="J884" s="8"/>
      <c r="K884" s="8"/>
      <c r="L884" s="8"/>
      <c r="M884" s="8"/>
      <c r="N884" s="8"/>
      <c r="O884" s="8"/>
      <c r="P884" s="8"/>
    </row>
    <row r="885" spans="1:16" s="7" customFormat="1" ht="42.75" customHeight="1" thickBot="1">
      <c r="A885" s="98">
        <f>A884-A883</f>
        <v>25</v>
      </c>
      <c r="B885" s="99"/>
      <c r="C885" s="100" t="s">
        <v>5</v>
      </c>
      <c r="D885" s="97"/>
      <c r="J885" s="8"/>
      <c r="K885" s="8"/>
      <c r="L885" s="8"/>
      <c r="M885" s="8"/>
      <c r="N885" s="8"/>
      <c r="O885" s="8"/>
      <c r="P885" s="8"/>
    </row>
    <row r="886" spans="1:16" s="7" customFormat="1" ht="42.75" customHeight="1" thickBot="1">
      <c r="A886" s="101">
        <v>62</v>
      </c>
      <c r="B886" s="102"/>
      <c r="C886" s="96" t="s">
        <v>6</v>
      </c>
      <c r="D886" s="97"/>
      <c r="J886" s="8"/>
      <c r="K886" s="8"/>
      <c r="L886" s="8"/>
      <c r="M886" s="8"/>
      <c r="N886" s="8"/>
      <c r="O886" s="8"/>
      <c r="P886" s="8"/>
    </row>
    <row r="887" spans="1:16" s="7" customFormat="1" ht="42.75" customHeight="1" thickBot="1">
      <c r="A887" s="103"/>
      <c r="B887" s="104"/>
      <c r="C887" s="96" t="s">
        <v>21</v>
      </c>
      <c r="D887" s="97"/>
      <c r="J887" s="8"/>
      <c r="K887" s="8"/>
      <c r="L887" s="8"/>
      <c r="M887" s="8"/>
      <c r="N887" s="8"/>
      <c r="O887" s="8"/>
      <c r="P887" s="8"/>
    </row>
    <row r="888" spans="1:16" s="7" customFormat="1" ht="42.75" customHeight="1" thickBot="1">
      <c r="A888" s="105">
        <f>A886*A885</f>
        <v>1550</v>
      </c>
      <c r="B888" s="106"/>
      <c r="C888" s="96" t="s">
        <v>7</v>
      </c>
      <c r="D888" s="97"/>
      <c r="J888" s="8"/>
      <c r="K888" s="8"/>
      <c r="L888" s="8"/>
      <c r="M888" s="8"/>
      <c r="N888" s="8"/>
      <c r="O888" s="8"/>
      <c r="P888" s="8"/>
    </row>
    <row r="889" spans="1:16" s="7" customFormat="1" ht="42.75" customHeight="1" thickBot="1">
      <c r="A889" s="107" t="s">
        <v>17</v>
      </c>
      <c r="B889" s="108"/>
      <c r="C889" s="108"/>
      <c r="D889" s="109"/>
      <c r="J889" s="8"/>
      <c r="K889" s="8"/>
      <c r="L889" s="8"/>
      <c r="M889" s="8"/>
      <c r="N889" s="8"/>
      <c r="O889" s="8"/>
      <c r="P889" s="8"/>
    </row>
    <row r="890" spans="1:16" s="7" customFormat="1" ht="42.75" customHeight="1" thickBot="1">
      <c r="A890" s="110" t="s">
        <v>20</v>
      </c>
      <c r="B890" s="111"/>
      <c r="C890" s="111"/>
      <c r="D890" s="112"/>
      <c r="J890" s="8"/>
      <c r="K890" s="8"/>
      <c r="L890" s="8"/>
      <c r="M890" s="8"/>
      <c r="N890" s="8"/>
      <c r="O890" s="8"/>
      <c r="P890" s="8"/>
    </row>
    <row r="891" spans="1:16" s="7" customFormat="1" ht="42.75" customHeight="1" thickBot="1">
      <c r="A891" s="113" t="s">
        <v>18</v>
      </c>
      <c r="B891" s="114"/>
      <c r="C891" s="114"/>
      <c r="D891" s="115"/>
      <c r="J891" s="8"/>
      <c r="K891" s="8"/>
      <c r="L891" s="8"/>
      <c r="M891" s="8"/>
      <c r="N891" s="8"/>
      <c r="O891" s="8"/>
      <c r="P891" s="8"/>
    </row>
    <row r="892" spans="1:16" s="7" customFormat="1" ht="42.75" customHeight="1" thickBot="1">
      <c r="A892" s="126" t="s">
        <v>19</v>
      </c>
      <c r="B892" s="127"/>
      <c r="C892" s="127"/>
      <c r="D892" s="128"/>
      <c r="J892" s="8"/>
      <c r="K892" s="8"/>
      <c r="L892" s="8"/>
      <c r="M892" s="8"/>
      <c r="N892" s="8"/>
      <c r="O892" s="8"/>
      <c r="P892" s="8"/>
    </row>
    <row r="893" spans="1:16" s="7" customFormat="1" ht="42.75" customHeight="1" thickBot="1">
      <c r="A893" s="123" t="s">
        <v>11</v>
      </c>
      <c r="B893" s="124"/>
      <c r="C893" s="125" t="s">
        <v>603</v>
      </c>
      <c r="D893" s="124"/>
      <c r="J893" s="8"/>
      <c r="K893" s="8"/>
      <c r="L893" s="8"/>
      <c r="M893" s="8"/>
      <c r="N893" s="8"/>
      <c r="O893" s="8"/>
      <c r="P893" s="8"/>
    </row>
    <row r="894" spans="1:16" s="7" customFormat="1" ht="42.75" customHeight="1" thickBot="1">
      <c r="A894" s="1" t="s">
        <v>686</v>
      </c>
      <c r="B894" s="26" t="s">
        <v>1</v>
      </c>
      <c r="C894" s="90" t="s">
        <v>226</v>
      </c>
      <c r="D894" s="91"/>
      <c r="J894" s="8"/>
      <c r="K894" s="8"/>
      <c r="L894" s="8"/>
      <c r="M894" s="8"/>
      <c r="N894" s="8"/>
      <c r="O894" s="8"/>
      <c r="P894" s="8"/>
    </row>
    <row r="895" spans="1:16" s="7" customFormat="1" ht="42.75" customHeight="1" thickBot="1">
      <c r="A895" s="26"/>
      <c r="B895" s="26" t="s">
        <v>0</v>
      </c>
      <c r="C895" s="5" t="s">
        <v>687</v>
      </c>
      <c r="D895" s="4" t="s">
        <v>2</v>
      </c>
      <c r="J895" s="8"/>
      <c r="K895" s="8"/>
      <c r="L895" s="8"/>
      <c r="M895" s="8"/>
      <c r="N895" s="8"/>
      <c r="O895" s="8"/>
      <c r="P895" s="8"/>
    </row>
    <row r="896" spans="1:16" s="7" customFormat="1" ht="42.75" customHeight="1" thickBot="1">
      <c r="A896" s="92">
        <v>1905</v>
      </c>
      <c r="B896" s="93"/>
      <c r="C896" s="94" t="s">
        <v>3</v>
      </c>
      <c r="D896" s="95"/>
      <c r="J896" s="8"/>
      <c r="K896" s="8"/>
      <c r="L896" s="8"/>
      <c r="M896" s="8"/>
      <c r="N896" s="8"/>
      <c r="O896" s="8"/>
      <c r="P896" s="8"/>
    </row>
    <row r="897" spans="1:16" s="7" customFormat="1" ht="42.75" customHeight="1" thickBot="1">
      <c r="A897" s="92">
        <v>1911</v>
      </c>
      <c r="B897" s="93"/>
      <c r="C897" s="96" t="s">
        <v>4</v>
      </c>
      <c r="D897" s="97"/>
      <c r="J897" s="8"/>
      <c r="K897" s="8"/>
      <c r="L897" s="8"/>
      <c r="M897" s="8"/>
      <c r="N897" s="8"/>
      <c r="O897" s="8"/>
      <c r="P897" s="8"/>
    </row>
    <row r="898" spans="1:16" s="7" customFormat="1" ht="42.75" customHeight="1" thickBot="1">
      <c r="A898" s="98">
        <v>10</v>
      </c>
      <c r="B898" s="99"/>
      <c r="C898" s="100" t="s">
        <v>5</v>
      </c>
      <c r="D898" s="97"/>
      <c r="J898" s="8"/>
      <c r="K898" s="8"/>
      <c r="L898" s="8"/>
      <c r="M898" s="8"/>
      <c r="N898" s="8"/>
      <c r="O898" s="8"/>
      <c r="P898" s="8"/>
    </row>
    <row r="899" spans="1:16" s="7" customFormat="1" ht="42.75" customHeight="1" thickBot="1">
      <c r="A899" s="101">
        <v>62</v>
      </c>
      <c r="B899" s="102"/>
      <c r="C899" s="96" t="s">
        <v>6</v>
      </c>
      <c r="D899" s="97"/>
      <c r="J899" s="8"/>
      <c r="K899" s="8"/>
      <c r="L899" s="8"/>
      <c r="M899" s="8"/>
      <c r="N899" s="8"/>
      <c r="O899" s="8"/>
      <c r="P899" s="8"/>
    </row>
    <row r="900" spans="1:16" s="7" customFormat="1" ht="42.75" customHeight="1" thickBot="1">
      <c r="A900" s="103"/>
      <c r="B900" s="104"/>
      <c r="C900" s="96" t="s">
        <v>21</v>
      </c>
      <c r="D900" s="97"/>
      <c r="J900" s="8"/>
      <c r="K900" s="8"/>
      <c r="L900" s="8"/>
      <c r="M900" s="8"/>
      <c r="N900" s="8"/>
      <c r="O900" s="8"/>
      <c r="P900" s="8"/>
    </row>
    <row r="901" spans="1:16" s="7" customFormat="1" ht="42.75" customHeight="1" thickBot="1">
      <c r="A901" s="105">
        <v>600</v>
      </c>
      <c r="B901" s="106"/>
      <c r="C901" s="96" t="s">
        <v>7</v>
      </c>
      <c r="D901" s="97"/>
      <c r="J901" s="8"/>
      <c r="K901" s="8"/>
      <c r="L901" s="8"/>
      <c r="M901" s="8"/>
      <c r="N901" s="8"/>
      <c r="O901" s="8"/>
      <c r="P901" s="8"/>
    </row>
    <row r="902" spans="1:16" s="7" customFormat="1" ht="42.75" customHeight="1" thickBot="1">
      <c r="A902" s="107" t="s">
        <v>17</v>
      </c>
      <c r="B902" s="108"/>
      <c r="C902" s="108"/>
      <c r="D902" s="109"/>
      <c r="J902" s="8"/>
      <c r="K902" s="8"/>
      <c r="L902" s="8"/>
      <c r="M902" s="8"/>
      <c r="N902" s="8"/>
      <c r="O902" s="8"/>
      <c r="P902" s="8"/>
    </row>
    <row r="903" spans="1:16" s="7" customFormat="1" ht="42.75" customHeight="1" thickBot="1">
      <c r="A903" s="116" t="s">
        <v>20</v>
      </c>
      <c r="B903" s="117"/>
      <c r="C903" s="117"/>
      <c r="D903" s="118"/>
      <c r="J903" s="8"/>
      <c r="K903" s="8"/>
      <c r="L903" s="8"/>
      <c r="M903" s="8"/>
      <c r="N903" s="8"/>
      <c r="O903" s="8"/>
      <c r="P903" s="8"/>
    </row>
    <row r="904" spans="1:16" s="7" customFormat="1" ht="42.75" customHeight="1" thickBot="1">
      <c r="A904" s="113" t="s">
        <v>18</v>
      </c>
      <c r="B904" s="114"/>
      <c r="C904" s="114"/>
      <c r="D904" s="115"/>
      <c r="J904" s="8"/>
      <c r="K904" s="8"/>
      <c r="L904" s="8"/>
      <c r="M904" s="8"/>
      <c r="N904" s="8"/>
      <c r="O904" s="8"/>
      <c r="P904" s="8"/>
    </row>
    <row r="905" spans="1:16" s="7" customFormat="1" ht="42.75" customHeight="1" thickBot="1">
      <c r="A905" s="119"/>
      <c r="B905" s="119"/>
      <c r="C905" s="119"/>
      <c r="D905" s="119"/>
      <c r="J905" s="8"/>
      <c r="K905" s="8"/>
      <c r="L905" s="8"/>
      <c r="M905" s="8"/>
      <c r="N905" s="8"/>
      <c r="O905" s="8"/>
      <c r="P905" s="8"/>
    </row>
    <row r="906" spans="1:16" s="7" customFormat="1" ht="42.75" customHeight="1" thickBot="1">
      <c r="A906" s="126" t="s">
        <v>19</v>
      </c>
      <c r="B906" s="127"/>
      <c r="C906" s="127"/>
      <c r="D906" s="128"/>
      <c r="J906" s="8"/>
      <c r="K906" s="8"/>
      <c r="L906" s="8"/>
      <c r="M906" s="8"/>
      <c r="N906" s="8"/>
      <c r="O906" s="8"/>
      <c r="P906" s="8"/>
    </row>
    <row r="907" spans="1:16" s="7" customFormat="1" ht="42.75" customHeight="1" thickBot="1">
      <c r="A907" s="123" t="s">
        <v>11</v>
      </c>
      <c r="B907" s="124"/>
      <c r="C907" s="125" t="s">
        <v>603</v>
      </c>
      <c r="D907" s="124"/>
      <c r="J907" s="8"/>
      <c r="K907" s="8"/>
      <c r="L907" s="8"/>
      <c r="M907" s="8"/>
      <c r="N907" s="8"/>
      <c r="O907" s="8"/>
      <c r="P907" s="8"/>
    </row>
    <row r="908" spans="1:16" s="7" customFormat="1" ht="42.75" customHeight="1" thickBot="1">
      <c r="A908" s="1" t="s">
        <v>686</v>
      </c>
      <c r="B908" s="26" t="s">
        <v>1</v>
      </c>
      <c r="C908" s="90" t="s">
        <v>226</v>
      </c>
      <c r="D908" s="91"/>
      <c r="J908" s="8"/>
      <c r="K908" s="8"/>
      <c r="L908" s="8"/>
      <c r="M908" s="8"/>
      <c r="N908" s="8"/>
      <c r="O908" s="8"/>
      <c r="P908" s="8"/>
    </row>
    <row r="909" spans="1:16" s="7" customFormat="1" ht="42.75" customHeight="1" thickBot="1">
      <c r="A909" s="26"/>
      <c r="B909" s="26" t="s">
        <v>0</v>
      </c>
      <c r="C909" s="5" t="s">
        <v>687</v>
      </c>
      <c r="D909" s="4" t="s">
        <v>2</v>
      </c>
      <c r="J909" s="8"/>
      <c r="K909" s="8"/>
      <c r="L909" s="8"/>
      <c r="M909" s="8"/>
      <c r="N909" s="8"/>
      <c r="O909" s="8"/>
      <c r="P909" s="8"/>
    </row>
    <row r="910" spans="1:16" s="7" customFormat="1" ht="42.75" customHeight="1" thickBot="1">
      <c r="A910" s="92">
        <v>1905</v>
      </c>
      <c r="B910" s="93"/>
      <c r="C910" s="94" t="s">
        <v>3</v>
      </c>
      <c r="D910" s="95"/>
      <c r="J910" s="8"/>
      <c r="K910" s="8"/>
      <c r="L910" s="8"/>
      <c r="M910" s="8"/>
      <c r="N910" s="8"/>
      <c r="O910" s="8"/>
      <c r="P910" s="8"/>
    </row>
    <row r="911" spans="1:16" s="7" customFormat="1" ht="42.75" customHeight="1" thickBot="1">
      <c r="A911" s="92">
        <v>1911</v>
      </c>
      <c r="B911" s="93"/>
      <c r="C911" s="96" t="s">
        <v>4</v>
      </c>
      <c r="D911" s="97"/>
      <c r="J911" s="8"/>
      <c r="K911" s="8"/>
      <c r="L911" s="8"/>
      <c r="M911" s="8"/>
      <c r="N911" s="8"/>
      <c r="O911" s="8"/>
      <c r="P911" s="8"/>
    </row>
    <row r="912" spans="1:16" s="7" customFormat="1" ht="42.75" customHeight="1" thickBot="1">
      <c r="A912" s="98">
        <v>10</v>
      </c>
      <c r="B912" s="99"/>
      <c r="C912" s="100" t="s">
        <v>5</v>
      </c>
      <c r="D912" s="97"/>
      <c r="J912" s="8"/>
      <c r="K912" s="8"/>
      <c r="L912" s="8"/>
      <c r="M912" s="8"/>
      <c r="N912" s="8"/>
      <c r="O912" s="8"/>
      <c r="P912" s="8"/>
    </row>
    <row r="913" spans="1:16" s="7" customFormat="1" ht="42.75" customHeight="1" thickBot="1">
      <c r="A913" s="101">
        <v>62</v>
      </c>
      <c r="B913" s="102"/>
      <c r="C913" s="96" t="s">
        <v>6</v>
      </c>
      <c r="D913" s="97"/>
      <c r="J913" s="8"/>
      <c r="K913" s="8"/>
      <c r="L913" s="8"/>
      <c r="M913" s="8"/>
      <c r="N913" s="8"/>
      <c r="O913" s="8"/>
      <c r="P913" s="8"/>
    </row>
    <row r="914" spans="1:16" s="7" customFormat="1" ht="42.75" customHeight="1" thickBot="1">
      <c r="A914" s="103"/>
      <c r="B914" s="104"/>
      <c r="C914" s="96" t="s">
        <v>21</v>
      </c>
      <c r="D914" s="97"/>
      <c r="J914" s="8"/>
      <c r="K914" s="8"/>
      <c r="L914" s="8"/>
      <c r="M914" s="8"/>
      <c r="N914" s="8"/>
      <c r="O914" s="8"/>
      <c r="P914" s="8"/>
    </row>
    <row r="915" spans="1:16" s="7" customFormat="1" ht="42.75" customHeight="1" thickBot="1">
      <c r="A915" s="105">
        <v>600</v>
      </c>
      <c r="B915" s="106"/>
      <c r="C915" s="96" t="s">
        <v>7</v>
      </c>
      <c r="D915" s="97"/>
      <c r="J915" s="8"/>
      <c r="K915" s="8"/>
      <c r="L915" s="8"/>
      <c r="M915" s="8"/>
      <c r="N915" s="8"/>
      <c r="O915" s="8"/>
      <c r="P915" s="8"/>
    </row>
    <row r="916" spans="1:16" s="7" customFormat="1" ht="42.75" customHeight="1" thickBot="1">
      <c r="A916" s="107" t="s">
        <v>17</v>
      </c>
      <c r="B916" s="108"/>
      <c r="C916" s="108"/>
      <c r="D916" s="109"/>
      <c r="J916" s="8"/>
      <c r="K916" s="8"/>
      <c r="L916" s="8"/>
      <c r="M916" s="8"/>
      <c r="N916" s="8"/>
      <c r="O916" s="8"/>
      <c r="P916" s="8"/>
    </row>
    <row r="917" spans="1:16" s="7" customFormat="1" ht="42.75" customHeight="1" thickBot="1">
      <c r="A917" s="110" t="s">
        <v>20</v>
      </c>
      <c r="B917" s="111"/>
      <c r="C917" s="111"/>
      <c r="D917" s="112"/>
      <c r="J917" s="8"/>
      <c r="K917" s="8"/>
      <c r="L917" s="8"/>
      <c r="M917" s="8"/>
      <c r="N917" s="8"/>
      <c r="O917" s="8"/>
      <c r="P917" s="8"/>
    </row>
    <row r="918" spans="1:16" s="7" customFormat="1" ht="42.75" customHeight="1" thickBot="1">
      <c r="A918" s="113" t="s">
        <v>18</v>
      </c>
      <c r="B918" s="114"/>
      <c r="C918" s="114"/>
      <c r="D918" s="115"/>
      <c r="J918" s="8"/>
      <c r="K918" s="8"/>
      <c r="L918" s="8"/>
      <c r="M918" s="8"/>
      <c r="N918" s="8"/>
      <c r="O918" s="8"/>
      <c r="P918" s="8"/>
    </row>
    <row r="919" spans="1:16" s="7" customFormat="1" ht="42.75" customHeight="1" thickBot="1">
      <c r="A919" s="126" t="s">
        <v>19</v>
      </c>
      <c r="B919" s="127"/>
      <c r="C919" s="127"/>
      <c r="D919" s="128"/>
      <c r="J919" s="8"/>
      <c r="K919" s="8"/>
      <c r="L919" s="8"/>
      <c r="M919" s="8"/>
      <c r="N919" s="8"/>
      <c r="O919" s="8"/>
      <c r="P919" s="8"/>
    </row>
    <row r="920" spans="1:16" s="7" customFormat="1" ht="42.75" customHeight="1" thickBot="1">
      <c r="A920" s="123" t="s">
        <v>11</v>
      </c>
      <c r="B920" s="124"/>
      <c r="C920" s="125" t="s">
        <v>603</v>
      </c>
      <c r="D920" s="124"/>
      <c r="J920" s="8"/>
      <c r="K920" s="8"/>
      <c r="L920" s="8"/>
      <c r="M920" s="8"/>
      <c r="N920" s="8"/>
      <c r="O920" s="8"/>
      <c r="P920" s="8"/>
    </row>
    <row r="921" spans="1:16" s="7" customFormat="1" ht="42.75" customHeight="1" thickBot="1">
      <c r="A921" s="1" t="s">
        <v>686</v>
      </c>
      <c r="B921" s="26" t="s">
        <v>1</v>
      </c>
      <c r="C921" s="90" t="s">
        <v>337</v>
      </c>
      <c r="D921" s="91"/>
      <c r="J921" s="8"/>
      <c r="K921" s="8"/>
      <c r="L921" s="8"/>
      <c r="M921" s="8"/>
      <c r="N921" s="8"/>
      <c r="O921" s="8"/>
      <c r="P921" s="8"/>
    </row>
    <row r="922" spans="1:16" s="7" customFormat="1" ht="42.75" customHeight="1" thickBot="1">
      <c r="A922" s="26"/>
      <c r="B922" s="26" t="s">
        <v>0</v>
      </c>
      <c r="C922" s="5" t="s">
        <v>687</v>
      </c>
      <c r="D922" s="4" t="s">
        <v>2</v>
      </c>
      <c r="J922" s="8"/>
      <c r="K922" s="8"/>
      <c r="L922" s="8"/>
      <c r="M922" s="8"/>
      <c r="N922" s="8"/>
      <c r="O922" s="8"/>
      <c r="P922" s="8"/>
    </row>
    <row r="923" spans="1:16" s="7" customFormat="1" ht="42.75" customHeight="1" thickBot="1">
      <c r="A923" s="92">
        <v>4189</v>
      </c>
      <c r="B923" s="93"/>
      <c r="C923" s="94" t="s">
        <v>3</v>
      </c>
      <c r="D923" s="95"/>
      <c r="J923" s="8"/>
      <c r="K923" s="8"/>
      <c r="L923" s="8"/>
      <c r="M923" s="8"/>
      <c r="N923" s="8"/>
      <c r="O923" s="8"/>
      <c r="P923" s="8"/>
    </row>
    <row r="924" spans="1:16" s="7" customFormat="1" ht="42.75" customHeight="1" thickBot="1">
      <c r="A924" s="92">
        <v>4200</v>
      </c>
      <c r="B924" s="93"/>
      <c r="C924" s="96" t="s">
        <v>4</v>
      </c>
      <c r="D924" s="97"/>
      <c r="J924" s="8"/>
      <c r="K924" s="8"/>
      <c r="L924" s="8"/>
      <c r="M924" s="8"/>
      <c r="N924" s="8"/>
      <c r="O924" s="8"/>
      <c r="P924" s="8"/>
    </row>
    <row r="925" spans="1:16" s="7" customFormat="1" ht="42.75" customHeight="1" thickBot="1">
      <c r="A925" s="98">
        <f>A924-A923</f>
        <v>11</v>
      </c>
      <c r="B925" s="99"/>
      <c r="C925" s="100" t="s">
        <v>5</v>
      </c>
      <c r="D925" s="97"/>
      <c r="J925" s="8"/>
      <c r="K925" s="8"/>
      <c r="L925" s="8"/>
      <c r="M925" s="8"/>
      <c r="N925" s="8"/>
      <c r="O925" s="8"/>
      <c r="P925" s="8"/>
    </row>
    <row r="926" spans="1:16" s="7" customFormat="1" ht="42.75" customHeight="1" thickBot="1">
      <c r="A926" s="101">
        <v>62</v>
      </c>
      <c r="B926" s="102"/>
      <c r="C926" s="96" t="s">
        <v>6</v>
      </c>
      <c r="D926" s="97"/>
      <c r="J926" s="8"/>
      <c r="K926" s="8"/>
      <c r="L926" s="8"/>
      <c r="M926" s="8"/>
      <c r="N926" s="8"/>
      <c r="O926" s="8"/>
      <c r="P926" s="8"/>
    </row>
    <row r="927" spans="1:16" s="7" customFormat="1" ht="42.75" customHeight="1" thickBot="1">
      <c r="A927" s="103"/>
      <c r="B927" s="104"/>
      <c r="C927" s="96" t="s">
        <v>21</v>
      </c>
      <c r="D927" s="97"/>
      <c r="J927" s="8"/>
      <c r="K927" s="8"/>
      <c r="L927" s="8"/>
      <c r="M927" s="8"/>
      <c r="N927" s="8"/>
      <c r="O927" s="8"/>
      <c r="P927" s="8"/>
    </row>
    <row r="928" spans="1:16" s="7" customFormat="1" ht="42.75" customHeight="1" thickBot="1">
      <c r="A928" s="105">
        <v>700</v>
      </c>
      <c r="B928" s="106"/>
      <c r="C928" s="96" t="s">
        <v>7</v>
      </c>
      <c r="D928" s="97"/>
      <c r="J928" s="8"/>
      <c r="K928" s="8"/>
      <c r="L928" s="8"/>
      <c r="M928" s="8"/>
      <c r="N928" s="8"/>
      <c r="O928" s="8"/>
      <c r="P928" s="8"/>
    </row>
    <row r="929" spans="1:16" s="7" customFormat="1" ht="42.75" customHeight="1" thickBot="1">
      <c r="A929" s="107" t="s">
        <v>17</v>
      </c>
      <c r="B929" s="108"/>
      <c r="C929" s="108"/>
      <c r="D929" s="109"/>
      <c r="J929" s="8"/>
      <c r="K929" s="8"/>
      <c r="L929" s="8"/>
      <c r="M929" s="8"/>
      <c r="N929" s="8"/>
      <c r="O929" s="8"/>
      <c r="P929" s="8"/>
    </row>
    <row r="930" spans="1:16" s="7" customFormat="1" ht="42.75" customHeight="1" thickBot="1">
      <c r="A930" s="116" t="s">
        <v>20</v>
      </c>
      <c r="B930" s="117"/>
      <c r="C930" s="117"/>
      <c r="D930" s="118"/>
      <c r="J930" s="8"/>
      <c r="K930" s="8"/>
      <c r="L930" s="8"/>
      <c r="M930" s="8"/>
      <c r="N930" s="8"/>
      <c r="O930" s="8"/>
      <c r="P930" s="8"/>
    </row>
    <row r="931" spans="1:16" s="7" customFormat="1" ht="42.75" customHeight="1" thickBot="1">
      <c r="A931" s="113" t="s">
        <v>18</v>
      </c>
      <c r="B931" s="114"/>
      <c r="C931" s="114"/>
      <c r="D931" s="115"/>
      <c r="J931" s="8"/>
      <c r="K931" s="8"/>
      <c r="L931" s="8"/>
      <c r="M931" s="8"/>
      <c r="N931" s="8"/>
      <c r="O931" s="8"/>
      <c r="P931" s="8"/>
    </row>
    <row r="932" spans="1:16" s="7" customFormat="1" ht="42.75" customHeight="1" thickBot="1">
      <c r="A932" s="119"/>
      <c r="B932" s="119"/>
      <c r="C932" s="119"/>
      <c r="D932" s="119"/>
      <c r="J932" s="8"/>
      <c r="K932" s="8"/>
      <c r="L932" s="8"/>
      <c r="M932" s="8"/>
      <c r="N932" s="8"/>
      <c r="O932" s="8"/>
      <c r="P932" s="8"/>
    </row>
    <row r="933" spans="1:16" s="7" customFormat="1" ht="42.75" customHeight="1" thickBot="1">
      <c r="A933" s="126" t="s">
        <v>19</v>
      </c>
      <c r="B933" s="127"/>
      <c r="C933" s="127"/>
      <c r="D933" s="128"/>
      <c r="J933" s="8"/>
      <c r="K933" s="8"/>
      <c r="L933" s="8"/>
      <c r="M933" s="8"/>
      <c r="N933" s="8"/>
      <c r="O933" s="8"/>
      <c r="P933" s="8"/>
    </row>
    <row r="934" spans="1:16" s="7" customFormat="1" ht="42.75" customHeight="1" thickBot="1">
      <c r="A934" s="123" t="s">
        <v>11</v>
      </c>
      <c r="B934" s="124"/>
      <c r="C934" s="125" t="s">
        <v>603</v>
      </c>
      <c r="D934" s="124"/>
      <c r="J934" s="8"/>
      <c r="K934" s="8"/>
      <c r="L934" s="8"/>
      <c r="M934" s="8"/>
      <c r="N934" s="8"/>
      <c r="O934" s="8"/>
      <c r="P934" s="8"/>
    </row>
    <row r="935" spans="1:16" s="7" customFormat="1" ht="42.75" customHeight="1" thickBot="1">
      <c r="A935" s="1" t="s">
        <v>686</v>
      </c>
      <c r="B935" s="26" t="s">
        <v>1</v>
      </c>
      <c r="C935" s="90" t="s">
        <v>337</v>
      </c>
      <c r="D935" s="91"/>
      <c r="J935" s="8"/>
      <c r="K935" s="8"/>
      <c r="L935" s="8"/>
      <c r="M935" s="8"/>
      <c r="N935" s="8"/>
      <c r="O935" s="8"/>
      <c r="P935" s="8"/>
    </row>
    <row r="936" spans="1:16" s="7" customFormat="1" ht="42.75" customHeight="1" thickBot="1">
      <c r="A936" s="26"/>
      <c r="B936" s="26" t="s">
        <v>0</v>
      </c>
      <c r="C936" s="5" t="s">
        <v>687</v>
      </c>
      <c r="D936" s="4" t="s">
        <v>2</v>
      </c>
      <c r="J936" s="8"/>
      <c r="K936" s="8"/>
      <c r="L936" s="8"/>
      <c r="M936" s="8"/>
      <c r="N936" s="8"/>
      <c r="O936" s="8"/>
      <c r="P936" s="8"/>
    </row>
    <row r="937" spans="1:16" s="7" customFormat="1" ht="42.75" customHeight="1" thickBot="1">
      <c r="A937" s="92">
        <v>4189</v>
      </c>
      <c r="B937" s="93"/>
      <c r="C937" s="94" t="s">
        <v>3</v>
      </c>
      <c r="D937" s="95"/>
      <c r="J937" s="8"/>
      <c r="K937" s="8"/>
      <c r="L937" s="8"/>
      <c r="M937" s="8"/>
      <c r="N937" s="8"/>
      <c r="O937" s="8"/>
      <c r="P937" s="8"/>
    </row>
    <row r="938" spans="1:16" s="7" customFormat="1" ht="42.75" customHeight="1" thickBot="1">
      <c r="A938" s="92">
        <v>4200</v>
      </c>
      <c r="B938" s="93"/>
      <c r="C938" s="96" t="s">
        <v>4</v>
      </c>
      <c r="D938" s="97"/>
      <c r="J938" s="8"/>
      <c r="K938" s="8"/>
      <c r="L938" s="8"/>
      <c r="M938" s="8"/>
      <c r="N938" s="8"/>
      <c r="O938" s="8"/>
      <c r="P938" s="8"/>
    </row>
    <row r="939" spans="1:16" s="7" customFormat="1" ht="42.75" customHeight="1" thickBot="1">
      <c r="A939" s="98">
        <f>A938-A937</f>
        <v>11</v>
      </c>
      <c r="B939" s="99"/>
      <c r="C939" s="100" t="s">
        <v>5</v>
      </c>
      <c r="D939" s="97"/>
      <c r="J939" s="8"/>
      <c r="K939" s="8"/>
      <c r="L939" s="8"/>
      <c r="M939" s="8"/>
      <c r="N939" s="8"/>
      <c r="O939" s="8"/>
      <c r="P939" s="8"/>
    </row>
    <row r="940" spans="1:16" s="7" customFormat="1" ht="42.75" customHeight="1" thickBot="1">
      <c r="A940" s="101">
        <v>62</v>
      </c>
      <c r="B940" s="102"/>
      <c r="C940" s="96" t="s">
        <v>6</v>
      </c>
      <c r="D940" s="97"/>
      <c r="J940" s="8"/>
      <c r="K940" s="8"/>
      <c r="L940" s="8"/>
      <c r="M940" s="8"/>
      <c r="N940" s="8"/>
      <c r="O940" s="8"/>
      <c r="P940" s="8"/>
    </row>
    <row r="941" spans="1:16" s="7" customFormat="1" ht="42.75" customHeight="1" thickBot="1">
      <c r="A941" s="103"/>
      <c r="B941" s="104"/>
      <c r="C941" s="96" t="s">
        <v>21</v>
      </c>
      <c r="D941" s="97"/>
      <c r="J941" s="8"/>
      <c r="K941" s="8"/>
      <c r="L941" s="8"/>
      <c r="M941" s="8"/>
      <c r="N941" s="8"/>
      <c r="O941" s="8"/>
      <c r="P941" s="8"/>
    </row>
    <row r="942" spans="1:16" s="7" customFormat="1" ht="42.75" customHeight="1" thickBot="1">
      <c r="A942" s="105">
        <v>700</v>
      </c>
      <c r="B942" s="106"/>
      <c r="C942" s="96" t="s">
        <v>7</v>
      </c>
      <c r="D942" s="97"/>
      <c r="J942" s="8"/>
      <c r="K942" s="8"/>
      <c r="L942" s="8"/>
      <c r="M942" s="8"/>
      <c r="N942" s="8"/>
      <c r="O942" s="8"/>
      <c r="P942" s="8"/>
    </row>
    <row r="943" spans="1:16" s="7" customFormat="1" ht="42.75" customHeight="1" thickBot="1">
      <c r="A943" s="107" t="s">
        <v>17</v>
      </c>
      <c r="B943" s="108"/>
      <c r="C943" s="108"/>
      <c r="D943" s="109"/>
      <c r="J943" s="8"/>
      <c r="K943" s="8"/>
      <c r="L943" s="8"/>
      <c r="M943" s="8"/>
      <c r="N943" s="8"/>
      <c r="O943" s="8"/>
      <c r="P943" s="8"/>
    </row>
    <row r="944" spans="1:16" s="7" customFormat="1" ht="42.75" customHeight="1" thickBot="1">
      <c r="A944" s="110" t="s">
        <v>20</v>
      </c>
      <c r="B944" s="111"/>
      <c r="C944" s="111"/>
      <c r="D944" s="112"/>
      <c r="J944" s="8"/>
      <c r="K944" s="8"/>
      <c r="L944" s="8"/>
      <c r="M944" s="8"/>
      <c r="N944" s="8"/>
      <c r="O944" s="8"/>
      <c r="P944" s="8"/>
    </row>
    <row r="945" spans="1:16" s="7" customFormat="1" ht="42.75" customHeight="1" thickBot="1">
      <c r="A945" s="113" t="s">
        <v>18</v>
      </c>
      <c r="B945" s="114"/>
      <c r="C945" s="114"/>
      <c r="D945" s="115"/>
      <c r="J945" s="8"/>
      <c r="K945" s="8"/>
      <c r="L945" s="8"/>
      <c r="M945" s="8"/>
      <c r="N945" s="8"/>
      <c r="O945" s="8"/>
      <c r="P945" s="8"/>
    </row>
    <row r="946" spans="1:16" s="7" customFormat="1" ht="42.75" customHeight="1" thickBot="1">
      <c r="A946" s="126" t="s">
        <v>19</v>
      </c>
      <c r="B946" s="127"/>
      <c r="C946" s="127"/>
      <c r="D946" s="128"/>
      <c r="J946" s="8"/>
      <c r="K946" s="8"/>
      <c r="L946" s="8"/>
      <c r="M946" s="8"/>
      <c r="N946" s="8"/>
      <c r="O946" s="8"/>
      <c r="P946" s="8"/>
    </row>
    <row r="947" spans="1:16" s="7" customFormat="1" ht="42.75" customHeight="1" thickBot="1">
      <c r="A947" s="123" t="s">
        <v>11</v>
      </c>
      <c r="B947" s="124"/>
      <c r="C947" s="125" t="s">
        <v>603</v>
      </c>
      <c r="D947" s="124"/>
      <c r="J947" s="8"/>
      <c r="K947" s="8"/>
      <c r="L947" s="8"/>
      <c r="M947" s="8"/>
      <c r="N947" s="8"/>
      <c r="O947" s="8"/>
      <c r="P947" s="8"/>
    </row>
    <row r="948" spans="1:16" s="7" customFormat="1" ht="42.75" customHeight="1" thickBot="1">
      <c r="A948" s="1" t="s">
        <v>686</v>
      </c>
      <c r="B948" s="26" t="s">
        <v>1</v>
      </c>
      <c r="C948" s="90" t="s">
        <v>551</v>
      </c>
      <c r="D948" s="91"/>
      <c r="J948" s="8"/>
      <c r="K948" s="8"/>
      <c r="L948" s="8"/>
      <c r="M948" s="8"/>
      <c r="N948" s="8"/>
      <c r="O948" s="8"/>
      <c r="P948" s="8"/>
    </row>
    <row r="949" spans="1:16" s="7" customFormat="1" ht="42.75" customHeight="1" thickBot="1">
      <c r="A949" s="26"/>
      <c r="B949" s="26" t="s">
        <v>0</v>
      </c>
      <c r="C949" s="5" t="s">
        <v>687</v>
      </c>
      <c r="D949" s="4" t="s">
        <v>2</v>
      </c>
      <c r="J949" s="8"/>
      <c r="K949" s="8"/>
      <c r="L949" s="8"/>
      <c r="M949" s="8"/>
      <c r="N949" s="8"/>
      <c r="O949" s="8"/>
      <c r="P949" s="8"/>
    </row>
    <row r="950" spans="1:16" s="7" customFormat="1" ht="42.75" customHeight="1" thickBot="1">
      <c r="A950" s="92">
        <v>1155</v>
      </c>
      <c r="B950" s="93"/>
      <c r="C950" s="94" t="s">
        <v>3</v>
      </c>
      <c r="D950" s="95"/>
      <c r="J950" s="8"/>
      <c r="K950" s="8"/>
      <c r="L950" s="8"/>
      <c r="M950" s="8"/>
      <c r="N950" s="8"/>
      <c r="O950" s="8"/>
      <c r="P950" s="8"/>
    </row>
    <row r="951" spans="1:16" s="7" customFormat="1" ht="42.75" customHeight="1" thickBot="1">
      <c r="A951" s="92">
        <v>1200</v>
      </c>
      <c r="B951" s="93"/>
      <c r="C951" s="96" t="s">
        <v>4</v>
      </c>
      <c r="D951" s="97"/>
      <c r="J951" s="8"/>
      <c r="K951" s="8"/>
      <c r="L951" s="8"/>
      <c r="M951" s="8"/>
      <c r="N951" s="8"/>
      <c r="O951" s="8"/>
      <c r="P951" s="8"/>
    </row>
    <row r="952" spans="1:16" s="7" customFormat="1" ht="42.75" customHeight="1" thickBot="1">
      <c r="A952" s="98">
        <f>A951-A950</f>
        <v>45</v>
      </c>
      <c r="B952" s="99"/>
      <c r="C952" s="100" t="s">
        <v>5</v>
      </c>
      <c r="D952" s="97"/>
      <c r="J952" s="8"/>
      <c r="K952" s="8"/>
      <c r="L952" s="8"/>
      <c r="M952" s="8"/>
      <c r="N952" s="8"/>
      <c r="O952" s="8"/>
      <c r="P952" s="8"/>
    </row>
    <row r="953" spans="1:16" s="7" customFormat="1" ht="42.75" customHeight="1" thickBot="1">
      <c r="A953" s="101">
        <v>62</v>
      </c>
      <c r="B953" s="102"/>
      <c r="C953" s="96" t="s">
        <v>6</v>
      </c>
      <c r="D953" s="97"/>
      <c r="J953" s="8"/>
      <c r="K953" s="8"/>
      <c r="L953" s="8"/>
      <c r="M953" s="8"/>
      <c r="N953" s="8"/>
      <c r="O953" s="8"/>
      <c r="P953" s="8"/>
    </row>
    <row r="954" spans="1:16" s="7" customFormat="1" ht="42.75" customHeight="1" thickBot="1">
      <c r="A954" s="103"/>
      <c r="B954" s="104"/>
      <c r="C954" s="96" t="s">
        <v>21</v>
      </c>
      <c r="D954" s="97"/>
      <c r="J954" s="8"/>
      <c r="K954" s="8"/>
      <c r="L954" s="8"/>
      <c r="M954" s="8"/>
      <c r="N954" s="8"/>
      <c r="O954" s="8"/>
      <c r="P954" s="8"/>
    </row>
    <row r="955" spans="1:16" s="7" customFormat="1" ht="42.75" customHeight="1" thickBot="1">
      <c r="A955" s="105">
        <v>2800</v>
      </c>
      <c r="B955" s="106"/>
      <c r="C955" s="96" t="s">
        <v>7</v>
      </c>
      <c r="D955" s="97"/>
      <c r="J955" s="8"/>
      <c r="K955" s="8"/>
      <c r="L955" s="8"/>
      <c r="M955" s="8"/>
      <c r="N955" s="8"/>
      <c r="O955" s="8"/>
      <c r="P955" s="8"/>
    </row>
    <row r="956" spans="1:16" s="7" customFormat="1" ht="42.75" customHeight="1" thickBot="1">
      <c r="A956" s="107" t="s">
        <v>17</v>
      </c>
      <c r="B956" s="108"/>
      <c r="C956" s="108"/>
      <c r="D956" s="109"/>
      <c r="J956" s="8"/>
      <c r="K956" s="8"/>
      <c r="L956" s="8"/>
      <c r="M956" s="8"/>
      <c r="N956" s="8"/>
      <c r="O956" s="8"/>
      <c r="P956" s="8"/>
    </row>
    <row r="957" spans="1:16" s="7" customFormat="1" ht="42.75" customHeight="1" thickBot="1">
      <c r="A957" s="116" t="s">
        <v>20</v>
      </c>
      <c r="B957" s="117"/>
      <c r="C957" s="117"/>
      <c r="D957" s="118"/>
      <c r="J957" s="8"/>
      <c r="K957" s="8"/>
      <c r="L957" s="8"/>
      <c r="M957" s="8"/>
      <c r="N957" s="8"/>
      <c r="O957" s="8"/>
      <c r="P957" s="8"/>
    </row>
    <row r="958" spans="1:16" s="7" customFormat="1" ht="42.75" customHeight="1" thickBot="1">
      <c r="A958" s="113" t="s">
        <v>18</v>
      </c>
      <c r="B958" s="114"/>
      <c r="C958" s="114"/>
      <c r="D958" s="115"/>
      <c r="J958" s="8"/>
      <c r="K958" s="8"/>
      <c r="L958" s="8"/>
      <c r="M958" s="8"/>
      <c r="N958" s="8"/>
      <c r="O958" s="8"/>
      <c r="P958" s="8"/>
    </row>
    <row r="959" spans="1:16" s="7" customFormat="1" ht="42.75" customHeight="1" thickBot="1">
      <c r="A959" s="119"/>
      <c r="B959" s="119"/>
      <c r="C959" s="119"/>
      <c r="D959" s="119"/>
      <c r="J959" s="8"/>
      <c r="K959" s="8"/>
      <c r="L959" s="8"/>
      <c r="M959" s="8"/>
      <c r="N959" s="8"/>
      <c r="O959" s="8"/>
      <c r="P959" s="8"/>
    </row>
    <row r="960" spans="1:16" s="7" customFormat="1" ht="42.75" customHeight="1" thickBot="1">
      <c r="A960" s="126" t="s">
        <v>19</v>
      </c>
      <c r="B960" s="127"/>
      <c r="C960" s="127"/>
      <c r="D960" s="128"/>
      <c r="J960" s="8"/>
      <c r="K960" s="8"/>
      <c r="L960" s="8"/>
      <c r="M960" s="8"/>
      <c r="N960" s="8"/>
      <c r="O960" s="8"/>
      <c r="P960" s="8"/>
    </row>
    <row r="961" spans="1:16" s="7" customFormat="1" ht="42.75" customHeight="1" thickBot="1">
      <c r="A961" s="123" t="s">
        <v>11</v>
      </c>
      <c r="B961" s="124"/>
      <c r="C961" s="125" t="s">
        <v>603</v>
      </c>
      <c r="D961" s="124"/>
      <c r="J961" s="8"/>
      <c r="K961" s="8"/>
      <c r="L961" s="8"/>
      <c r="M961" s="8"/>
      <c r="N961" s="8"/>
      <c r="O961" s="8"/>
      <c r="P961" s="8"/>
    </row>
    <row r="962" spans="1:16" s="7" customFormat="1" ht="42.75" customHeight="1" thickBot="1">
      <c r="A962" s="1" t="s">
        <v>686</v>
      </c>
      <c r="B962" s="26" t="s">
        <v>1</v>
      </c>
      <c r="C962" s="90" t="s">
        <v>551</v>
      </c>
      <c r="D962" s="91"/>
      <c r="J962" s="8"/>
      <c r="K962" s="8"/>
      <c r="L962" s="8"/>
      <c r="M962" s="8"/>
      <c r="N962" s="8"/>
      <c r="O962" s="8"/>
      <c r="P962" s="8"/>
    </row>
    <row r="963" spans="1:16" s="7" customFormat="1" ht="42.75" customHeight="1" thickBot="1">
      <c r="A963" s="26"/>
      <c r="B963" s="26" t="s">
        <v>0</v>
      </c>
      <c r="C963" s="5" t="s">
        <v>687</v>
      </c>
      <c r="D963" s="4" t="s">
        <v>2</v>
      </c>
      <c r="J963" s="8"/>
      <c r="K963" s="8"/>
      <c r="L963" s="8"/>
      <c r="M963" s="8"/>
      <c r="N963" s="8"/>
      <c r="O963" s="8"/>
      <c r="P963" s="8"/>
    </row>
    <row r="964" spans="1:16" s="7" customFormat="1" ht="42.75" customHeight="1" thickBot="1">
      <c r="A964" s="92">
        <v>1155</v>
      </c>
      <c r="B964" s="93"/>
      <c r="C964" s="94" t="s">
        <v>3</v>
      </c>
      <c r="D964" s="95"/>
      <c r="J964" s="8"/>
      <c r="K964" s="8"/>
      <c r="L964" s="8"/>
      <c r="M964" s="8"/>
      <c r="N964" s="8"/>
      <c r="O964" s="8"/>
      <c r="P964" s="8"/>
    </row>
    <row r="965" spans="1:16" s="7" customFormat="1" ht="42.75" customHeight="1" thickBot="1">
      <c r="A965" s="92">
        <v>1200</v>
      </c>
      <c r="B965" s="93"/>
      <c r="C965" s="96" t="s">
        <v>4</v>
      </c>
      <c r="D965" s="97"/>
      <c r="J965" s="8"/>
      <c r="K965" s="8"/>
      <c r="L965" s="8"/>
      <c r="M965" s="8"/>
      <c r="N965" s="8"/>
      <c r="O965" s="8"/>
      <c r="P965" s="8"/>
    </row>
    <row r="966" spans="1:16" s="7" customFormat="1" ht="42.75" customHeight="1" thickBot="1">
      <c r="A966" s="98">
        <f>A965-A964</f>
        <v>45</v>
      </c>
      <c r="B966" s="99"/>
      <c r="C966" s="100" t="s">
        <v>5</v>
      </c>
      <c r="D966" s="97"/>
      <c r="J966" s="8"/>
      <c r="K966" s="8"/>
      <c r="L966" s="8"/>
      <c r="M966" s="8"/>
      <c r="N966" s="8"/>
      <c r="O966" s="8"/>
      <c r="P966" s="8"/>
    </row>
    <row r="967" spans="1:16" s="7" customFormat="1" ht="42.75" customHeight="1" thickBot="1">
      <c r="A967" s="101">
        <v>62</v>
      </c>
      <c r="B967" s="102"/>
      <c r="C967" s="96" t="s">
        <v>6</v>
      </c>
      <c r="D967" s="97"/>
      <c r="J967" s="8"/>
      <c r="K967" s="8"/>
      <c r="L967" s="8"/>
      <c r="M967" s="8"/>
      <c r="N967" s="8"/>
      <c r="O967" s="8"/>
      <c r="P967" s="8"/>
    </row>
    <row r="968" spans="1:16" s="7" customFormat="1" ht="42.75" customHeight="1" thickBot="1">
      <c r="A968" s="103"/>
      <c r="B968" s="104"/>
      <c r="C968" s="96" t="s">
        <v>21</v>
      </c>
      <c r="D968" s="97"/>
      <c r="J968" s="8"/>
      <c r="K968" s="8"/>
      <c r="L968" s="8"/>
      <c r="M968" s="8"/>
      <c r="N968" s="8"/>
      <c r="O968" s="8"/>
      <c r="P968" s="8"/>
    </row>
    <row r="969" spans="1:16" s="7" customFormat="1" ht="42.75" customHeight="1" thickBot="1">
      <c r="A969" s="105">
        <v>2800</v>
      </c>
      <c r="B969" s="106"/>
      <c r="C969" s="96" t="s">
        <v>7</v>
      </c>
      <c r="D969" s="97"/>
      <c r="J969" s="8"/>
      <c r="K969" s="8"/>
      <c r="L969" s="8"/>
      <c r="M969" s="8"/>
      <c r="N969" s="8"/>
      <c r="O969" s="8"/>
      <c r="P969" s="8"/>
    </row>
    <row r="970" spans="1:16" s="7" customFormat="1" ht="42.75" customHeight="1" thickBot="1">
      <c r="A970" s="107" t="s">
        <v>17</v>
      </c>
      <c r="B970" s="108"/>
      <c r="C970" s="108"/>
      <c r="D970" s="109"/>
      <c r="J970" s="8"/>
      <c r="K970" s="8"/>
      <c r="L970" s="8"/>
      <c r="M970" s="8"/>
      <c r="N970" s="8"/>
      <c r="O970" s="8"/>
      <c r="P970" s="8"/>
    </row>
    <row r="971" spans="1:16" s="7" customFormat="1" ht="42.75" customHeight="1" thickBot="1">
      <c r="A971" s="110" t="s">
        <v>20</v>
      </c>
      <c r="B971" s="111"/>
      <c r="C971" s="111"/>
      <c r="D971" s="112"/>
      <c r="J971" s="8"/>
      <c r="K971" s="8"/>
      <c r="L971" s="8"/>
      <c r="M971" s="8"/>
      <c r="N971" s="8"/>
      <c r="O971" s="8"/>
      <c r="P971" s="8"/>
    </row>
    <row r="972" spans="1:16" s="7" customFormat="1" ht="42.75" customHeight="1" thickBot="1">
      <c r="A972" s="113" t="s">
        <v>18</v>
      </c>
      <c r="B972" s="114"/>
      <c r="C972" s="114"/>
      <c r="D972" s="115"/>
      <c r="J972" s="8"/>
      <c r="K972" s="8"/>
      <c r="L972" s="8"/>
      <c r="M972" s="8"/>
      <c r="N972" s="8"/>
      <c r="O972" s="8"/>
      <c r="P972" s="8"/>
    </row>
    <row r="973" spans="1:16" s="7" customFormat="1" ht="42.75" customHeight="1" thickBot="1">
      <c r="A973" s="126" t="s">
        <v>19</v>
      </c>
      <c r="B973" s="127"/>
      <c r="C973" s="127"/>
      <c r="D973" s="128"/>
      <c r="J973" s="8"/>
      <c r="K973" s="8"/>
      <c r="L973" s="8"/>
      <c r="M973" s="8"/>
      <c r="N973" s="8"/>
      <c r="O973" s="8"/>
      <c r="P973" s="8"/>
    </row>
    <row r="974" spans="1:16" s="7" customFormat="1" ht="42.75" customHeight="1" thickBot="1">
      <c r="A974" s="123" t="s">
        <v>11</v>
      </c>
      <c r="B974" s="124"/>
      <c r="C974" s="125" t="s">
        <v>603</v>
      </c>
      <c r="D974" s="124"/>
      <c r="J974" s="8"/>
      <c r="K974" s="8"/>
      <c r="L974" s="8"/>
      <c r="M974" s="8"/>
      <c r="N974" s="8"/>
      <c r="O974" s="8"/>
      <c r="P974" s="8"/>
    </row>
    <row r="975" spans="1:16" s="7" customFormat="1" ht="42.75" customHeight="1" thickBot="1">
      <c r="A975" s="1" t="s">
        <v>686</v>
      </c>
      <c r="B975" s="26" t="s">
        <v>1</v>
      </c>
      <c r="C975" s="90" t="s">
        <v>26</v>
      </c>
      <c r="D975" s="91"/>
      <c r="J975" s="8"/>
      <c r="K975" s="8"/>
      <c r="L975" s="8"/>
      <c r="M975" s="8"/>
      <c r="N975" s="8"/>
      <c r="O975" s="8"/>
      <c r="P975" s="8"/>
    </row>
    <row r="976" spans="1:16" s="7" customFormat="1" ht="42.75" customHeight="1" thickBot="1">
      <c r="A976" s="26"/>
      <c r="B976" s="26" t="s">
        <v>0</v>
      </c>
      <c r="C976" s="5" t="s">
        <v>687</v>
      </c>
      <c r="D976" s="4" t="s">
        <v>2</v>
      </c>
      <c r="J976" s="8"/>
      <c r="K976" s="8"/>
      <c r="L976" s="8"/>
      <c r="M976" s="8"/>
      <c r="N976" s="8"/>
      <c r="O976" s="8"/>
      <c r="P976" s="8"/>
    </row>
    <row r="977" spans="1:16" s="7" customFormat="1" ht="42.75" customHeight="1" thickBot="1">
      <c r="A977" s="92">
        <v>2083</v>
      </c>
      <c r="B977" s="93"/>
      <c r="C977" s="94" t="s">
        <v>3</v>
      </c>
      <c r="D977" s="95"/>
      <c r="J977" s="8"/>
      <c r="K977" s="8"/>
      <c r="L977" s="8"/>
      <c r="M977" s="8"/>
      <c r="N977" s="8"/>
      <c r="O977" s="8"/>
      <c r="P977" s="8"/>
    </row>
    <row r="978" spans="1:16" s="7" customFormat="1" ht="42.75" customHeight="1" thickBot="1">
      <c r="A978" s="92">
        <v>2105</v>
      </c>
      <c r="B978" s="93"/>
      <c r="C978" s="96" t="s">
        <v>4</v>
      </c>
      <c r="D978" s="97"/>
      <c r="J978" s="8"/>
      <c r="K978" s="8"/>
      <c r="L978" s="8"/>
      <c r="M978" s="8"/>
      <c r="N978" s="8"/>
      <c r="O978" s="8"/>
      <c r="P978" s="8"/>
    </row>
    <row r="979" spans="1:16" s="7" customFormat="1" ht="42.75" customHeight="1" thickBot="1">
      <c r="A979" s="98">
        <f>A978-A977</f>
        <v>22</v>
      </c>
      <c r="B979" s="99"/>
      <c r="C979" s="100" t="s">
        <v>5</v>
      </c>
      <c r="D979" s="97"/>
      <c r="J979" s="8"/>
      <c r="K979" s="8"/>
      <c r="L979" s="8"/>
      <c r="M979" s="8"/>
      <c r="N979" s="8"/>
      <c r="O979" s="8"/>
      <c r="P979" s="8"/>
    </row>
    <row r="980" spans="1:16" s="7" customFormat="1" ht="42.75" customHeight="1" thickBot="1">
      <c r="A980" s="101">
        <v>62</v>
      </c>
      <c r="B980" s="102"/>
      <c r="C980" s="96" t="s">
        <v>6</v>
      </c>
      <c r="D980" s="97"/>
      <c r="J980" s="8"/>
      <c r="K980" s="8"/>
      <c r="L980" s="8"/>
      <c r="M980" s="8"/>
      <c r="N980" s="8"/>
      <c r="O980" s="8"/>
      <c r="P980" s="8"/>
    </row>
    <row r="981" spans="1:16" s="7" customFormat="1" ht="42.75" customHeight="1" thickBot="1">
      <c r="A981" s="103"/>
      <c r="B981" s="104"/>
      <c r="C981" s="96" t="s">
        <v>21</v>
      </c>
      <c r="D981" s="97"/>
      <c r="J981" s="8"/>
      <c r="K981" s="8"/>
      <c r="L981" s="8"/>
      <c r="M981" s="8"/>
      <c r="N981" s="8"/>
      <c r="O981" s="8"/>
      <c r="P981" s="8"/>
    </row>
    <row r="982" spans="1:16" s="7" customFormat="1" ht="42.75" customHeight="1" thickBot="1">
      <c r="A982" s="105">
        <v>1350</v>
      </c>
      <c r="B982" s="106"/>
      <c r="C982" s="96" t="s">
        <v>7</v>
      </c>
      <c r="D982" s="97"/>
      <c r="J982" s="8"/>
      <c r="K982" s="8"/>
      <c r="L982" s="8"/>
      <c r="M982" s="8"/>
      <c r="N982" s="8"/>
      <c r="O982" s="8"/>
      <c r="P982" s="8"/>
    </row>
    <row r="983" spans="1:16" s="7" customFormat="1" ht="42.75" customHeight="1" thickBot="1">
      <c r="A983" s="107" t="s">
        <v>17</v>
      </c>
      <c r="B983" s="108"/>
      <c r="C983" s="108"/>
      <c r="D983" s="109"/>
      <c r="J983" s="8"/>
      <c r="K983" s="8"/>
      <c r="L983" s="8"/>
      <c r="M983" s="8"/>
      <c r="N983" s="8"/>
      <c r="O983" s="8"/>
      <c r="P983" s="8"/>
    </row>
    <row r="984" spans="1:16" s="7" customFormat="1" ht="42.75" customHeight="1" thickBot="1">
      <c r="A984" s="116" t="s">
        <v>20</v>
      </c>
      <c r="B984" s="117"/>
      <c r="C984" s="117"/>
      <c r="D984" s="118"/>
      <c r="J984" s="8"/>
      <c r="K984" s="8"/>
      <c r="L984" s="8"/>
      <c r="M984" s="8"/>
      <c r="N984" s="8"/>
      <c r="O984" s="8"/>
      <c r="P984" s="8"/>
    </row>
    <row r="985" spans="1:16" s="7" customFormat="1" ht="42.75" customHeight="1" thickBot="1">
      <c r="A985" s="113" t="s">
        <v>18</v>
      </c>
      <c r="B985" s="114"/>
      <c r="C985" s="114"/>
      <c r="D985" s="115"/>
      <c r="J985" s="8"/>
      <c r="K985" s="8"/>
      <c r="L985" s="8"/>
      <c r="M985" s="8"/>
      <c r="N985" s="8"/>
      <c r="O985" s="8"/>
      <c r="P985" s="8"/>
    </row>
    <row r="986" spans="1:16" s="7" customFormat="1" ht="42.75" customHeight="1" thickBot="1">
      <c r="A986" s="119"/>
      <c r="B986" s="119"/>
      <c r="C986" s="119"/>
      <c r="D986" s="119"/>
      <c r="J986" s="8"/>
      <c r="K986" s="8"/>
      <c r="L986" s="8"/>
      <c r="M986" s="8"/>
      <c r="N986" s="8"/>
      <c r="O986" s="8"/>
      <c r="P986" s="8"/>
    </row>
    <row r="987" spans="1:16" s="7" customFormat="1" ht="42.75" customHeight="1" thickBot="1">
      <c r="A987" s="126" t="s">
        <v>19</v>
      </c>
      <c r="B987" s="127"/>
      <c r="C987" s="127"/>
      <c r="D987" s="128"/>
      <c r="J987" s="8"/>
      <c r="K987" s="8"/>
      <c r="L987" s="8"/>
      <c r="M987" s="8"/>
      <c r="N987" s="8"/>
      <c r="O987" s="8"/>
      <c r="P987" s="8"/>
    </row>
    <row r="988" spans="1:16" s="7" customFormat="1" ht="42.75" customHeight="1" thickBot="1">
      <c r="A988" s="123" t="s">
        <v>11</v>
      </c>
      <c r="B988" s="124"/>
      <c r="C988" s="125" t="s">
        <v>603</v>
      </c>
      <c r="D988" s="124"/>
      <c r="J988" s="8"/>
      <c r="K988" s="8"/>
      <c r="L988" s="8"/>
      <c r="M988" s="8"/>
      <c r="N988" s="8"/>
      <c r="O988" s="8"/>
      <c r="P988" s="8"/>
    </row>
    <row r="989" spans="1:16" s="7" customFormat="1" ht="42.75" customHeight="1" thickBot="1">
      <c r="A989" s="1" t="s">
        <v>686</v>
      </c>
      <c r="B989" s="26" t="s">
        <v>1</v>
      </c>
      <c r="C989" s="90" t="s">
        <v>26</v>
      </c>
      <c r="D989" s="91"/>
      <c r="J989" s="8"/>
      <c r="K989" s="8"/>
      <c r="L989" s="8"/>
      <c r="M989" s="8"/>
      <c r="N989" s="8"/>
      <c r="O989" s="8"/>
      <c r="P989" s="8"/>
    </row>
    <row r="990" spans="1:16" s="7" customFormat="1" ht="42.75" customHeight="1" thickBot="1">
      <c r="A990" s="26"/>
      <c r="B990" s="26" t="s">
        <v>0</v>
      </c>
      <c r="C990" s="5" t="s">
        <v>687</v>
      </c>
      <c r="D990" s="4" t="s">
        <v>2</v>
      </c>
      <c r="J990" s="8"/>
      <c r="K990" s="8"/>
      <c r="L990" s="8"/>
      <c r="M990" s="8"/>
      <c r="N990" s="8"/>
      <c r="O990" s="8"/>
      <c r="P990" s="8"/>
    </row>
    <row r="991" spans="1:16" s="7" customFormat="1" ht="42.75" customHeight="1" thickBot="1">
      <c r="A991" s="92">
        <v>2083</v>
      </c>
      <c r="B991" s="93"/>
      <c r="C991" s="94" t="s">
        <v>3</v>
      </c>
      <c r="D991" s="95"/>
      <c r="J991" s="8"/>
      <c r="K991" s="8"/>
      <c r="L991" s="8"/>
      <c r="M991" s="8"/>
      <c r="N991" s="8"/>
      <c r="O991" s="8"/>
      <c r="P991" s="8"/>
    </row>
    <row r="992" spans="1:16" s="7" customFormat="1" ht="42.75" customHeight="1" thickBot="1">
      <c r="A992" s="92">
        <v>2105</v>
      </c>
      <c r="B992" s="93"/>
      <c r="C992" s="96" t="s">
        <v>4</v>
      </c>
      <c r="D992" s="97"/>
      <c r="J992" s="8"/>
      <c r="K992" s="8"/>
      <c r="L992" s="8"/>
      <c r="M992" s="8"/>
      <c r="N992" s="8"/>
      <c r="O992" s="8"/>
      <c r="P992" s="8"/>
    </row>
    <row r="993" spans="1:16" s="7" customFormat="1" ht="42.75" customHeight="1" thickBot="1">
      <c r="A993" s="98">
        <f>A992-A991</f>
        <v>22</v>
      </c>
      <c r="B993" s="99"/>
      <c r="C993" s="100" t="s">
        <v>5</v>
      </c>
      <c r="D993" s="97"/>
      <c r="J993" s="8"/>
      <c r="K993" s="8"/>
      <c r="L993" s="8"/>
      <c r="M993" s="8"/>
      <c r="N993" s="8"/>
      <c r="O993" s="8"/>
      <c r="P993" s="8"/>
    </row>
    <row r="994" spans="1:16" s="7" customFormat="1" ht="42.75" customHeight="1" thickBot="1">
      <c r="A994" s="101">
        <v>62</v>
      </c>
      <c r="B994" s="102"/>
      <c r="C994" s="96" t="s">
        <v>6</v>
      </c>
      <c r="D994" s="97"/>
      <c r="J994" s="8"/>
      <c r="K994" s="8"/>
      <c r="L994" s="8"/>
      <c r="M994" s="8"/>
      <c r="N994" s="8"/>
      <c r="O994" s="8"/>
      <c r="P994" s="8"/>
    </row>
    <row r="995" spans="1:16" s="7" customFormat="1" ht="42.75" customHeight="1" thickBot="1">
      <c r="A995" s="103"/>
      <c r="B995" s="104"/>
      <c r="C995" s="96" t="s">
        <v>21</v>
      </c>
      <c r="D995" s="97"/>
      <c r="J995" s="8"/>
      <c r="K995" s="8"/>
      <c r="L995" s="8"/>
      <c r="M995" s="8"/>
      <c r="N995" s="8"/>
      <c r="O995" s="8"/>
      <c r="P995" s="8"/>
    </row>
    <row r="996" spans="1:16" s="7" customFormat="1" ht="42.75" customHeight="1" thickBot="1">
      <c r="A996" s="105">
        <v>1350</v>
      </c>
      <c r="B996" s="106"/>
      <c r="C996" s="96" t="s">
        <v>7</v>
      </c>
      <c r="D996" s="97"/>
      <c r="J996" s="8"/>
      <c r="K996" s="8"/>
      <c r="L996" s="8"/>
      <c r="M996" s="8"/>
      <c r="N996" s="8"/>
      <c r="O996" s="8"/>
      <c r="P996" s="8"/>
    </row>
    <row r="997" spans="1:16" s="7" customFormat="1" ht="42.75" customHeight="1" thickBot="1">
      <c r="A997" s="107" t="s">
        <v>17</v>
      </c>
      <c r="B997" s="108"/>
      <c r="C997" s="108"/>
      <c r="D997" s="109"/>
      <c r="J997" s="8"/>
      <c r="K997" s="8"/>
      <c r="L997" s="8"/>
      <c r="M997" s="8"/>
      <c r="N997" s="8"/>
      <c r="O997" s="8"/>
      <c r="P997" s="8"/>
    </row>
    <row r="998" spans="1:16" s="7" customFormat="1" ht="42.75" customHeight="1" thickBot="1">
      <c r="A998" s="110" t="s">
        <v>20</v>
      </c>
      <c r="B998" s="111"/>
      <c r="C998" s="111"/>
      <c r="D998" s="112"/>
      <c r="J998" s="8"/>
      <c r="K998" s="8"/>
      <c r="L998" s="8"/>
      <c r="M998" s="8"/>
      <c r="N998" s="8"/>
      <c r="O998" s="8"/>
      <c r="P998" s="8"/>
    </row>
    <row r="999" spans="1:16" s="7" customFormat="1" ht="42.75" customHeight="1" thickBot="1">
      <c r="A999" s="113" t="s">
        <v>18</v>
      </c>
      <c r="B999" s="114"/>
      <c r="C999" s="114"/>
      <c r="D999" s="115"/>
      <c r="J999" s="8"/>
      <c r="K999" s="8"/>
      <c r="L999" s="8"/>
      <c r="M999" s="8"/>
      <c r="N999" s="8"/>
      <c r="O999" s="8"/>
      <c r="P999" s="8"/>
    </row>
    <row r="1000" spans="1:16" s="7" customFormat="1" ht="42.75" customHeight="1" thickBot="1">
      <c r="A1000" s="126" t="s">
        <v>19</v>
      </c>
      <c r="B1000" s="127"/>
      <c r="C1000" s="127"/>
      <c r="D1000" s="128"/>
      <c r="J1000" s="8"/>
      <c r="K1000" s="8"/>
      <c r="L1000" s="8"/>
      <c r="M1000" s="8"/>
      <c r="N1000" s="8"/>
      <c r="O1000" s="8"/>
      <c r="P1000" s="8"/>
    </row>
    <row r="1001" spans="1:16" s="7" customFormat="1" ht="42.75" customHeight="1" thickBot="1">
      <c r="A1001" s="123" t="s">
        <v>11</v>
      </c>
      <c r="B1001" s="124"/>
      <c r="C1001" s="125" t="s">
        <v>603</v>
      </c>
      <c r="D1001" s="124"/>
      <c r="J1001" s="8"/>
      <c r="K1001" s="8"/>
      <c r="L1001" s="8"/>
      <c r="M1001" s="8"/>
      <c r="N1001" s="8"/>
      <c r="O1001" s="8"/>
      <c r="P1001" s="8"/>
    </row>
    <row r="1002" spans="1:16" s="7" customFormat="1" ht="42.75" customHeight="1" thickBot="1">
      <c r="A1002" s="1" t="s">
        <v>686</v>
      </c>
      <c r="B1002" s="26" t="s">
        <v>1</v>
      </c>
      <c r="C1002" s="90" t="s">
        <v>569</v>
      </c>
      <c r="D1002" s="91"/>
      <c r="J1002" s="8"/>
      <c r="K1002" s="8"/>
      <c r="L1002" s="8"/>
      <c r="M1002" s="8"/>
      <c r="N1002" s="8"/>
      <c r="O1002" s="8"/>
      <c r="P1002" s="8"/>
    </row>
    <row r="1003" spans="1:16" s="7" customFormat="1" ht="42.75" customHeight="1" thickBot="1">
      <c r="A1003" s="26"/>
      <c r="B1003" s="26" t="s">
        <v>0</v>
      </c>
      <c r="C1003" s="5" t="s">
        <v>687</v>
      </c>
      <c r="D1003" s="4" t="s">
        <v>2</v>
      </c>
      <c r="J1003" s="8"/>
      <c r="K1003" s="8"/>
      <c r="L1003" s="8"/>
      <c r="M1003" s="8"/>
      <c r="N1003" s="8"/>
      <c r="O1003" s="8"/>
      <c r="P1003" s="8"/>
    </row>
    <row r="1004" spans="1:16" s="7" customFormat="1" ht="42.75" customHeight="1" thickBot="1">
      <c r="A1004" s="92">
        <v>1165</v>
      </c>
      <c r="B1004" s="93"/>
      <c r="C1004" s="94" t="s">
        <v>3</v>
      </c>
      <c r="D1004" s="95"/>
      <c r="J1004" s="8"/>
      <c r="K1004" s="8"/>
      <c r="L1004" s="8"/>
      <c r="M1004" s="8"/>
      <c r="N1004" s="8"/>
      <c r="O1004" s="8"/>
      <c r="P1004" s="8"/>
    </row>
    <row r="1005" spans="1:16" s="7" customFormat="1" ht="42.75" customHeight="1" thickBot="1">
      <c r="A1005" s="92">
        <v>1172</v>
      </c>
      <c r="B1005" s="93"/>
      <c r="C1005" s="96" t="s">
        <v>4</v>
      </c>
      <c r="D1005" s="97"/>
      <c r="J1005" s="8"/>
      <c r="K1005" s="8"/>
      <c r="L1005" s="8"/>
      <c r="M1005" s="8"/>
      <c r="N1005" s="8"/>
      <c r="O1005" s="8"/>
      <c r="P1005" s="8"/>
    </row>
    <row r="1006" spans="1:16" s="7" customFormat="1" ht="42.75" customHeight="1" thickBot="1">
      <c r="A1006" s="98">
        <v>10</v>
      </c>
      <c r="B1006" s="99"/>
      <c r="C1006" s="100" t="s">
        <v>5</v>
      </c>
      <c r="D1006" s="97"/>
      <c r="J1006" s="8"/>
      <c r="K1006" s="8"/>
      <c r="L1006" s="8"/>
      <c r="M1006" s="8"/>
      <c r="N1006" s="8"/>
      <c r="O1006" s="8"/>
      <c r="P1006" s="8"/>
    </row>
    <row r="1007" spans="1:16" s="7" customFormat="1" ht="42.75" customHeight="1" thickBot="1">
      <c r="A1007" s="101">
        <v>62</v>
      </c>
      <c r="B1007" s="102"/>
      <c r="C1007" s="96" t="s">
        <v>6</v>
      </c>
      <c r="D1007" s="97"/>
      <c r="J1007" s="8"/>
      <c r="K1007" s="8"/>
      <c r="L1007" s="8"/>
      <c r="M1007" s="8"/>
      <c r="N1007" s="8"/>
      <c r="O1007" s="8"/>
      <c r="P1007" s="8"/>
    </row>
    <row r="1008" spans="1:16" s="7" customFormat="1" ht="42.75" customHeight="1" thickBot="1">
      <c r="A1008" s="103"/>
      <c r="B1008" s="104"/>
      <c r="C1008" s="96" t="s">
        <v>21</v>
      </c>
      <c r="D1008" s="97"/>
      <c r="J1008" s="8"/>
      <c r="K1008" s="8"/>
      <c r="L1008" s="8"/>
      <c r="M1008" s="8"/>
      <c r="N1008" s="8"/>
      <c r="O1008" s="8"/>
      <c r="P1008" s="8"/>
    </row>
    <row r="1009" spans="1:16" s="7" customFormat="1" ht="42.75" customHeight="1" thickBot="1">
      <c r="A1009" s="105">
        <v>600</v>
      </c>
      <c r="B1009" s="106"/>
      <c r="C1009" s="96" t="s">
        <v>7</v>
      </c>
      <c r="D1009" s="97"/>
      <c r="J1009" s="8"/>
      <c r="K1009" s="8"/>
      <c r="L1009" s="8"/>
      <c r="M1009" s="8"/>
      <c r="N1009" s="8"/>
      <c r="O1009" s="8"/>
      <c r="P1009" s="8"/>
    </row>
    <row r="1010" spans="1:16" s="7" customFormat="1" ht="42.75" customHeight="1" thickBot="1">
      <c r="A1010" s="107" t="s">
        <v>17</v>
      </c>
      <c r="B1010" s="108"/>
      <c r="C1010" s="108"/>
      <c r="D1010" s="109"/>
      <c r="J1010" s="8"/>
      <c r="K1010" s="8"/>
      <c r="L1010" s="8"/>
      <c r="M1010" s="8"/>
      <c r="N1010" s="8"/>
      <c r="O1010" s="8"/>
      <c r="P1010" s="8"/>
    </row>
    <row r="1011" spans="1:16" s="7" customFormat="1" ht="42.75" customHeight="1" thickBot="1">
      <c r="A1011" s="116" t="s">
        <v>20</v>
      </c>
      <c r="B1011" s="117"/>
      <c r="C1011" s="117"/>
      <c r="D1011" s="118"/>
      <c r="J1011" s="8"/>
      <c r="K1011" s="8"/>
      <c r="L1011" s="8"/>
      <c r="M1011" s="8"/>
      <c r="N1011" s="8"/>
      <c r="O1011" s="8"/>
      <c r="P1011" s="8"/>
    </row>
    <row r="1012" spans="1:16" s="7" customFormat="1" ht="42.75" customHeight="1" thickBot="1">
      <c r="A1012" s="113" t="s">
        <v>18</v>
      </c>
      <c r="B1012" s="114"/>
      <c r="C1012" s="114"/>
      <c r="D1012" s="115"/>
      <c r="J1012" s="8"/>
      <c r="K1012" s="8"/>
      <c r="L1012" s="8"/>
      <c r="M1012" s="8"/>
      <c r="N1012" s="8"/>
      <c r="O1012" s="8"/>
      <c r="P1012" s="8"/>
    </row>
    <row r="1013" spans="1:16" s="7" customFormat="1" ht="42.75" customHeight="1" thickBot="1">
      <c r="A1013" s="119"/>
      <c r="B1013" s="119"/>
      <c r="C1013" s="119"/>
      <c r="D1013" s="119"/>
      <c r="J1013" s="8"/>
      <c r="K1013" s="8"/>
      <c r="L1013" s="8"/>
      <c r="M1013" s="8"/>
      <c r="N1013" s="8"/>
      <c r="O1013" s="8"/>
      <c r="P1013" s="8"/>
    </row>
    <row r="1014" spans="1:16" s="7" customFormat="1" ht="42.75" customHeight="1" thickBot="1">
      <c r="A1014" s="126" t="s">
        <v>19</v>
      </c>
      <c r="B1014" s="127"/>
      <c r="C1014" s="127"/>
      <c r="D1014" s="128"/>
      <c r="J1014" s="8"/>
      <c r="K1014" s="8"/>
      <c r="L1014" s="8"/>
      <c r="M1014" s="8"/>
      <c r="N1014" s="8"/>
      <c r="O1014" s="8"/>
      <c r="P1014" s="8"/>
    </row>
    <row r="1015" spans="1:16" s="7" customFormat="1" ht="42.75" customHeight="1" thickBot="1">
      <c r="A1015" s="123" t="s">
        <v>11</v>
      </c>
      <c r="B1015" s="124"/>
      <c r="C1015" s="125" t="s">
        <v>603</v>
      </c>
      <c r="D1015" s="124"/>
      <c r="J1015" s="8"/>
      <c r="K1015" s="8"/>
      <c r="L1015" s="8"/>
      <c r="M1015" s="8"/>
      <c r="N1015" s="8"/>
      <c r="O1015" s="8"/>
      <c r="P1015" s="8"/>
    </row>
    <row r="1016" spans="1:16" s="7" customFormat="1" ht="42.75" customHeight="1" thickBot="1">
      <c r="A1016" s="1" t="s">
        <v>686</v>
      </c>
      <c r="B1016" s="26" t="s">
        <v>1</v>
      </c>
      <c r="C1016" s="90" t="s">
        <v>569</v>
      </c>
      <c r="D1016" s="91"/>
      <c r="J1016" s="8"/>
      <c r="K1016" s="8"/>
      <c r="L1016" s="8"/>
      <c r="M1016" s="8"/>
      <c r="N1016" s="8"/>
      <c r="O1016" s="8"/>
      <c r="P1016" s="8"/>
    </row>
    <row r="1017" spans="1:16" s="7" customFormat="1" ht="42.75" customHeight="1" thickBot="1">
      <c r="A1017" s="26"/>
      <c r="B1017" s="26" t="s">
        <v>0</v>
      </c>
      <c r="C1017" s="5" t="s">
        <v>687</v>
      </c>
      <c r="D1017" s="4" t="s">
        <v>2</v>
      </c>
      <c r="J1017" s="8"/>
      <c r="K1017" s="8"/>
      <c r="L1017" s="8"/>
      <c r="M1017" s="8"/>
      <c r="N1017" s="8"/>
      <c r="O1017" s="8"/>
      <c r="P1017" s="8"/>
    </row>
    <row r="1018" spans="1:16" s="7" customFormat="1" ht="42.75" customHeight="1" thickBot="1">
      <c r="A1018" s="92">
        <v>1165</v>
      </c>
      <c r="B1018" s="93"/>
      <c r="C1018" s="94" t="s">
        <v>3</v>
      </c>
      <c r="D1018" s="95"/>
      <c r="J1018" s="8"/>
      <c r="K1018" s="8"/>
      <c r="L1018" s="8"/>
      <c r="M1018" s="8"/>
      <c r="N1018" s="8"/>
      <c r="O1018" s="8"/>
      <c r="P1018" s="8"/>
    </row>
    <row r="1019" spans="1:16" s="7" customFormat="1" ht="42.75" customHeight="1" thickBot="1">
      <c r="A1019" s="92">
        <v>1172</v>
      </c>
      <c r="B1019" s="93"/>
      <c r="C1019" s="96" t="s">
        <v>4</v>
      </c>
      <c r="D1019" s="97"/>
      <c r="J1019" s="8"/>
      <c r="K1019" s="8"/>
      <c r="L1019" s="8"/>
      <c r="M1019" s="8"/>
      <c r="N1019" s="8"/>
      <c r="O1019" s="8"/>
      <c r="P1019" s="8"/>
    </row>
    <row r="1020" spans="1:16" s="7" customFormat="1" ht="42.75" customHeight="1" thickBot="1">
      <c r="A1020" s="98">
        <v>10</v>
      </c>
      <c r="B1020" s="99"/>
      <c r="C1020" s="100" t="s">
        <v>5</v>
      </c>
      <c r="D1020" s="97"/>
      <c r="J1020" s="8"/>
      <c r="K1020" s="8"/>
      <c r="L1020" s="8"/>
      <c r="M1020" s="8"/>
      <c r="N1020" s="8"/>
      <c r="O1020" s="8"/>
      <c r="P1020" s="8"/>
    </row>
    <row r="1021" spans="1:16" s="7" customFormat="1" ht="42.75" customHeight="1" thickBot="1">
      <c r="A1021" s="101">
        <v>62</v>
      </c>
      <c r="B1021" s="102"/>
      <c r="C1021" s="96" t="s">
        <v>6</v>
      </c>
      <c r="D1021" s="97"/>
      <c r="J1021" s="8"/>
      <c r="K1021" s="8"/>
      <c r="L1021" s="8"/>
      <c r="M1021" s="8"/>
      <c r="N1021" s="8"/>
      <c r="O1021" s="8"/>
      <c r="P1021" s="8"/>
    </row>
    <row r="1022" spans="1:16" s="7" customFormat="1" ht="42.75" customHeight="1" thickBot="1">
      <c r="A1022" s="103"/>
      <c r="B1022" s="104"/>
      <c r="C1022" s="96" t="s">
        <v>21</v>
      </c>
      <c r="D1022" s="97"/>
      <c r="J1022" s="8"/>
      <c r="K1022" s="8"/>
      <c r="L1022" s="8"/>
      <c r="M1022" s="8"/>
      <c r="N1022" s="8"/>
      <c r="O1022" s="8"/>
      <c r="P1022" s="8"/>
    </row>
    <row r="1023" spans="1:16" s="7" customFormat="1" ht="42.75" customHeight="1" thickBot="1">
      <c r="A1023" s="105">
        <v>600</v>
      </c>
      <c r="B1023" s="106"/>
      <c r="C1023" s="96" t="s">
        <v>7</v>
      </c>
      <c r="D1023" s="97"/>
      <c r="J1023" s="8"/>
      <c r="K1023" s="8"/>
      <c r="L1023" s="8"/>
      <c r="M1023" s="8"/>
      <c r="N1023" s="8"/>
      <c r="O1023" s="8"/>
      <c r="P1023" s="8"/>
    </row>
    <row r="1024" spans="1:16" s="7" customFormat="1" ht="42.75" customHeight="1" thickBot="1">
      <c r="A1024" s="107" t="s">
        <v>17</v>
      </c>
      <c r="B1024" s="108"/>
      <c r="C1024" s="108"/>
      <c r="D1024" s="109"/>
      <c r="J1024" s="8"/>
      <c r="K1024" s="8"/>
      <c r="L1024" s="8"/>
      <c r="M1024" s="8"/>
      <c r="N1024" s="8"/>
      <c r="O1024" s="8"/>
      <c r="P1024" s="8"/>
    </row>
    <row r="1025" spans="1:16" s="7" customFormat="1" ht="42.75" customHeight="1" thickBot="1">
      <c r="A1025" s="110" t="s">
        <v>20</v>
      </c>
      <c r="B1025" s="111"/>
      <c r="C1025" s="111"/>
      <c r="D1025" s="112"/>
      <c r="J1025" s="8"/>
      <c r="K1025" s="8"/>
      <c r="L1025" s="8"/>
      <c r="M1025" s="8"/>
      <c r="N1025" s="8"/>
      <c r="O1025" s="8"/>
      <c r="P1025" s="8"/>
    </row>
    <row r="1026" spans="1:16" s="7" customFormat="1" ht="42.75" customHeight="1" thickBot="1">
      <c r="A1026" s="113" t="s">
        <v>18</v>
      </c>
      <c r="B1026" s="114"/>
      <c r="C1026" s="114"/>
      <c r="D1026" s="115"/>
      <c r="J1026" s="8"/>
      <c r="K1026" s="8"/>
      <c r="L1026" s="8"/>
      <c r="M1026" s="8"/>
      <c r="N1026" s="8"/>
      <c r="O1026" s="8"/>
      <c r="P1026" s="8"/>
    </row>
    <row r="1027" spans="1:16" s="7" customFormat="1" ht="42.75" customHeight="1" thickBot="1">
      <c r="A1027" s="126" t="s">
        <v>19</v>
      </c>
      <c r="B1027" s="127"/>
      <c r="C1027" s="127"/>
      <c r="D1027" s="128"/>
      <c r="J1027" s="8"/>
      <c r="K1027" s="8"/>
      <c r="L1027" s="8"/>
      <c r="M1027" s="8"/>
      <c r="N1027" s="8"/>
      <c r="O1027" s="8"/>
      <c r="P1027" s="8"/>
    </row>
    <row r="1028" spans="1:16" s="7" customFormat="1" ht="42.75" customHeight="1" thickBot="1">
      <c r="A1028" s="123" t="s">
        <v>11</v>
      </c>
      <c r="B1028" s="124"/>
      <c r="C1028" s="125" t="s">
        <v>603</v>
      </c>
      <c r="D1028" s="124"/>
      <c r="J1028" s="8"/>
      <c r="K1028" s="8"/>
      <c r="L1028" s="8"/>
      <c r="M1028" s="8"/>
      <c r="N1028" s="8"/>
      <c r="O1028" s="8"/>
      <c r="P1028" s="8"/>
    </row>
    <row r="1029" spans="1:16" s="7" customFormat="1" ht="42.75" customHeight="1" thickBot="1">
      <c r="A1029" s="1" t="s">
        <v>686</v>
      </c>
      <c r="B1029" s="26" t="s">
        <v>1</v>
      </c>
      <c r="C1029" s="90" t="s">
        <v>611</v>
      </c>
      <c r="D1029" s="91"/>
      <c r="J1029" s="8"/>
      <c r="K1029" s="8"/>
      <c r="L1029" s="8"/>
      <c r="M1029" s="8"/>
      <c r="N1029" s="8"/>
      <c r="O1029" s="8"/>
      <c r="P1029" s="8"/>
    </row>
    <row r="1030" spans="1:16" s="7" customFormat="1" ht="42.75" customHeight="1" thickBot="1">
      <c r="A1030" s="26"/>
      <c r="B1030" s="26" t="s">
        <v>0</v>
      </c>
      <c r="C1030" s="5" t="s">
        <v>687</v>
      </c>
      <c r="D1030" s="4" t="s">
        <v>2</v>
      </c>
      <c r="J1030" s="8"/>
      <c r="K1030" s="8"/>
      <c r="L1030" s="8"/>
      <c r="M1030" s="8"/>
      <c r="N1030" s="8"/>
      <c r="O1030" s="8"/>
      <c r="P1030" s="8"/>
    </row>
    <row r="1031" spans="1:16" s="7" customFormat="1" ht="42.75" customHeight="1" thickBot="1">
      <c r="A1031" s="92">
        <v>1085</v>
      </c>
      <c r="B1031" s="93"/>
      <c r="C1031" s="94" t="s">
        <v>3</v>
      </c>
      <c r="D1031" s="95"/>
      <c r="J1031" s="8"/>
      <c r="K1031" s="8"/>
      <c r="L1031" s="8"/>
      <c r="M1031" s="8"/>
      <c r="N1031" s="8"/>
      <c r="O1031" s="8"/>
      <c r="P1031" s="8"/>
    </row>
    <row r="1032" spans="1:16" s="7" customFormat="1" ht="42.75" customHeight="1" thickBot="1">
      <c r="A1032" s="92">
        <v>1165</v>
      </c>
      <c r="B1032" s="93"/>
      <c r="C1032" s="96" t="s">
        <v>4</v>
      </c>
      <c r="D1032" s="97"/>
      <c r="J1032" s="8"/>
      <c r="K1032" s="8"/>
      <c r="L1032" s="8"/>
      <c r="M1032" s="8"/>
      <c r="N1032" s="8"/>
      <c r="O1032" s="8"/>
      <c r="P1032" s="8"/>
    </row>
    <row r="1033" spans="1:16" s="7" customFormat="1" ht="42.75" customHeight="1" thickBot="1">
      <c r="A1033" s="98">
        <f>A1032-A1031</f>
        <v>80</v>
      </c>
      <c r="B1033" s="99"/>
      <c r="C1033" s="100" t="s">
        <v>5</v>
      </c>
      <c r="D1033" s="97"/>
      <c r="J1033" s="8"/>
      <c r="K1033" s="8"/>
      <c r="L1033" s="8"/>
      <c r="M1033" s="8"/>
      <c r="N1033" s="8"/>
      <c r="O1033" s="8"/>
      <c r="P1033" s="8"/>
    </row>
    <row r="1034" spans="1:16" s="7" customFormat="1" ht="42.75" customHeight="1" thickBot="1">
      <c r="A1034" s="101">
        <v>62</v>
      </c>
      <c r="B1034" s="102"/>
      <c r="C1034" s="96" t="s">
        <v>6</v>
      </c>
      <c r="D1034" s="97"/>
      <c r="J1034" s="8"/>
      <c r="K1034" s="8"/>
      <c r="L1034" s="8"/>
      <c r="M1034" s="8"/>
      <c r="N1034" s="8"/>
      <c r="O1034" s="8"/>
      <c r="P1034" s="8"/>
    </row>
    <row r="1035" spans="1:16" s="7" customFormat="1" ht="42.75" customHeight="1" thickBot="1">
      <c r="A1035" s="103"/>
      <c r="B1035" s="104"/>
      <c r="C1035" s="96" t="s">
        <v>21</v>
      </c>
      <c r="D1035" s="97"/>
      <c r="J1035" s="8"/>
      <c r="K1035" s="8"/>
      <c r="L1035" s="8"/>
      <c r="M1035" s="8"/>
      <c r="N1035" s="8"/>
      <c r="O1035" s="8"/>
      <c r="P1035" s="8"/>
    </row>
    <row r="1036" spans="1:16" s="7" customFormat="1" ht="42.75" customHeight="1" thickBot="1">
      <c r="A1036" s="105">
        <v>4950</v>
      </c>
      <c r="B1036" s="106"/>
      <c r="C1036" s="96" t="s">
        <v>7</v>
      </c>
      <c r="D1036" s="97"/>
      <c r="J1036" s="8"/>
      <c r="K1036" s="8"/>
      <c r="L1036" s="8"/>
      <c r="M1036" s="8"/>
      <c r="N1036" s="8"/>
      <c r="O1036" s="8"/>
      <c r="P1036" s="8"/>
    </row>
    <row r="1037" spans="1:16" s="7" customFormat="1" ht="42.75" customHeight="1" thickBot="1">
      <c r="A1037" s="107" t="s">
        <v>17</v>
      </c>
      <c r="B1037" s="108"/>
      <c r="C1037" s="108"/>
      <c r="D1037" s="109"/>
      <c r="J1037" s="8"/>
      <c r="K1037" s="8"/>
      <c r="L1037" s="8"/>
      <c r="M1037" s="8"/>
      <c r="N1037" s="8"/>
      <c r="O1037" s="8"/>
      <c r="P1037" s="8"/>
    </row>
    <row r="1038" spans="1:16" s="7" customFormat="1" ht="42.75" customHeight="1" thickBot="1">
      <c r="A1038" s="116" t="s">
        <v>20</v>
      </c>
      <c r="B1038" s="117"/>
      <c r="C1038" s="117"/>
      <c r="D1038" s="118"/>
      <c r="J1038" s="8"/>
      <c r="K1038" s="8"/>
      <c r="L1038" s="8"/>
      <c r="M1038" s="8"/>
      <c r="N1038" s="8"/>
      <c r="O1038" s="8"/>
      <c r="P1038" s="8"/>
    </row>
    <row r="1039" spans="1:16" s="7" customFormat="1" ht="42.75" customHeight="1" thickBot="1">
      <c r="A1039" s="113" t="s">
        <v>18</v>
      </c>
      <c r="B1039" s="114"/>
      <c r="C1039" s="114"/>
      <c r="D1039" s="115"/>
      <c r="J1039" s="8"/>
      <c r="K1039" s="8"/>
      <c r="L1039" s="8"/>
      <c r="M1039" s="8"/>
      <c r="N1039" s="8"/>
      <c r="O1039" s="8"/>
      <c r="P1039" s="8"/>
    </row>
    <row r="1040" spans="1:16" s="7" customFormat="1" ht="42.75" customHeight="1" thickBot="1">
      <c r="A1040" s="119"/>
      <c r="B1040" s="119"/>
      <c r="C1040" s="119"/>
      <c r="D1040" s="119"/>
      <c r="J1040" s="8"/>
      <c r="K1040" s="8"/>
      <c r="L1040" s="8"/>
      <c r="M1040" s="8"/>
      <c r="N1040" s="8"/>
      <c r="O1040" s="8"/>
      <c r="P1040" s="8"/>
    </row>
    <row r="1041" spans="1:16" s="7" customFormat="1" ht="42.75" customHeight="1" thickBot="1">
      <c r="A1041" s="126" t="s">
        <v>19</v>
      </c>
      <c r="B1041" s="127"/>
      <c r="C1041" s="127"/>
      <c r="D1041" s="128"/>
      <c r="J1041" s="8"/>
      <c r="K1041" s="8"/>
      <c r="L1041" s="8"/>
      <c r="M1041" s="8"/>
      <c r="N1041" s="8"/>
      <c r="O1041" s="8"/>
      <c r="P1041" s="8"/>
    </row>
    <row r="1042" spans="1:16" s="7" customFormat="1" ht="42.75" customHeight="1" thickBot="1">
      <c r="A1042" s="123" t="s">
        <v>11</v>
      </c>
      <c r="B1042" s="124"/>
      <c r="C1042" s="125" t="s">
        <v>603</v>
      </c>
      <c r="D1042" s="124"/>
      <c r="J1042" s="8"/>
      <c r="K1042" s="8"/>
      <c r="L1042" s="8"/>
      <c r="M1042" s="8"/>
      <c r="N1042" s="8"/>
      <c r="O1042" s="8"/>
      <c r="P1042" s="8"/>
    </row>
    <row r="1043" spans="1:16" s="7" customFormat="1" ht="42.75" customHeight="1" thickBot="1">
      <c r="A1043" s="1" t="s">
        <v>686</v>
      </c>
      <c r="B1043" s="26" t="s">
        <v>1</v>
      </c>
      <c r="C1043" s="90" t="s">
        <v>611</v>
      </c>
      <c r="D1043" s="91"/>
      <c r="J1043" s="8"/>
      <c r="K1043" s="8"/>
      <c r="L1043" s="8"/>
      <c r="M1043" s="8"/>
      <c r="N1043" s="8"/>
      <c r="O1043" s="8"/>
      <c r="P1043" s="8"/>
    </row>
    <row r="1044" spans="1:16" s="7" customFormat="1" ht="42.75" customHeight="1" thickBot="1">
      <c r="A1044" s="26"/>
      <c r="B1044" s="26" t="s">
        <v>0</v>
      </c>
      <c r="C1044" s="5" t="s">
        <v>687</v>
      </c>
      <c r="D1044" s="4" t="s">
        <v>2</v>
      </c>
      <c r="J1044" s="8"/>
      <c r="K1044" s="8"/>
      <c r="L1044" s="8"/>
      <c r="M1044" s="8"/>
      <c r="N1044" s="8"/>
      <c r="O1044" s="8"/>
      <c r="P1044" s="8"/>
    </row>
    <row r="1045" spans="1:16" s="7" customFormat="1" ht="42.75" customHeight="1" thickBot="1">
      <c r="A1045" s="92">
        <v>1085</v>
      </c>
      <c r="B1045" s="93"/>
      <c r="C1045" s="94" t="s">
        <v>3</v>
      </c>
      <c r="D1045" s="95"/>
      <c r="J1045" s="8"/>
      <c r="K1045" s="8"/>
      <c r="L1045" s="8"/>
      <c r="M1045" s="8"/>
      <c r="N1045" s="8"/>
      <c r="O1045" s="8"/>
      <c r="P1045" s="8"/>
    </row>
    <row r="1046" spans="1:16" s="7" customFormat="1" ht="42.75" customHeight="1" thickBot="1">
      <c r="A1046" s="92">
        <v>1165</v>
      </c>
      <c r="B1046" s="93"/>
      <c r="C1046" s="96" t="s">
        <v>4</v>
      </c>
      <c r="D1046" s="97"/>
      <c r="J1046" s="8"/>
      <c r="K1046" s="8"/>
      <c r="L1046" s="8"/>
      <c r="M1046" s="8"/>
      <c r="N1046" s="8"/>
      <c r="O1046" s="8"/>
      <c r="P1046" s="8"/>
    </row>
    <row r="1047" spans="1:16" s="7" customFormat="1" ht="42.75" customHeight="1" thickBot="1">
      <c r="A1047" s="98">
        <f>A1046-A1045</f>
        <v>80</v>
      </c>
      <c r="B1047" s="99"/>
      <c r="C1047" s="100" t="s">
        <v>5</v>
      </c>
      <c r="D1047" s="97"/>
      <c r="J1047" s="8"/>
      <c r="K1047" s="8"/>
      <c r="L1047" s="8"/>
      <c r="M1047" s="8"/>
      <c r="N1047" s="8"/>
      <c r="O1047" s="8"/>
      <c r="P1047" s="8"/>
    </row>
    <row r="1048" spans="1:16" s="7" customFormat="1" ht="42.75" customHeight="1" thickBot="1">
      <c r="A1048" s="101">
        <v>62</v>
      </c>
      <c r="B1048" s="102"/>
      <c r="C1048" s="96" t="s">
        <v>6</v>
      </c>
      <c r="D1048" s="97"/>
      <c r="J1048" s="8"/>
      <c r="K1048" s="8"/>
      <c r="L1048" s="8"/>
      <c r="M1048" s="8"/>
      <c r="N1048" s="8"/>
      <c r="O1048" s="8"/>
      <c r="P1048" s="8"/>
    </row>
    <row r="1049" spans="1:16" s="7" customFormat="1" ht="42.75" customHeight="1" thickBot="1">
      <c r="A1049" s="103"/>
      <c r="B1049" s="104"/>
      <c r="C1049" s="96" t="s">
        <v>21</v>
      </c>
      <c r="D1049" s="97"/>
      <c r="J1049" s="8"/>
      <c r="K1049" s="8"/>
      <c r="L1049" s="8"/>
      <c r="M1049" s="8"/>
      <c r="N1049" s="8"/>
      <c r="O1049" s="8"/>
      <c r="P1049" s="8"/>
    </row>
    <row r="1050" spans="1:16" s="7" customFormat="1" ht="42.75" customHeight="1" thickBot="1">
      <c r="A1050" s="105">
        <v>4950</v>
      </c>
      <c r="B1050" s="106"/>
      <c r="C1050" s="96" t="s">
        <v>7</v>
      </c>
      <c r="D1050" s="97"/>
      <c r="J1050" s="8"/>
      <c r="K1050" s="8"/>
      <c r="L1050" s="8"/>
      <c r="M1050" s="8"/>
      <c r="N1050" s="8"/>
      <c r="O1050" s="8"/>
      <c r="P1050" s="8"/>
    </row>
    <row r="1051" spans="1:16" s="7" customFormat="1" ht="42.75" customHeight="1" thickBot="1">
      <c r="A1051" s="107" t="s">
        <v>17</v>
      </c>
      <c r="B1051" s="108"/>
      <c r="C1051" s="108"/>
      <c r="D1051" s="109"/>
      <c r="J1051" s="8"/>
      <c r="K1051" s="8"/>
      <c r="L1051" s="8"/>
      <c r="M1051" s="8"/>
      <c r="N1051" s="8"/>
      <c r="O1051" s="8"/>
      <c r="P1051" s="8"/>
    </row>
    <row r="1052" spans="1:16" s="7" customFormat="1" ht="42.75" customHeight="1" thickBot="1">
      <c r="A1052" s="110" t="s">
        <v>20</v>
      </c>
      <c r="B1052" s="111"/>
      <c r="C1052" s="111"/>
      <c r="D1052" s="112"/>
      <c r="J1052" s="8"/>
      <c r="K1052" s="8"/>
      <c r="L1052" s="8"/>
      <c r="M1052" s="8"/>
      <c r="N1052" s="8"/>
      <c r="O1052" s="8"/>
      <c r="P1052" s="8"/>
    </row>
    <row r="1053" spans="1:16" s="7" customFormat="1" ht="42.75" customHeight="1" thickBot="1">
      <c r="A1053" s="113" t="s">
        <v>18</v>
      </c>
      <c r="B1053" s="114"/>
      <c r="C1053" s="114"/>
      <c r="D1053" s="115"/>
      <c r="J1053" s="8"/>
      <c r="K1053" s="8"/>
      <c r="L1053" s="8"/>
      <c r="M1053" s="8"/>
      <c r="N1053" s="8"/>
      <c r="O1053" s="8"/>
      <c r="P1053" s="8"/>
    </row>
    <row r="1054" spans="1:16" s="7" customFormat="1" ht="42.75" customHeight="1" thickBot="1">
      <c r="A1054" s="126" t="s">
        <v>19</v>
      </c>
      <c r="B1054" s="127"/>
      <c r="C1054" s="127"/>
      <c r="D1054" s="128"/>
      <c r="J1054" s="8"/>
      <c r="K1054" s="8"/>
      <c r="L1054" s="8"/>
      <c r="M1054" s="8"/>
      <c r="N1054" s="8"/>
      <c r="O1054" s="8"/>
      <c r="P1054" s="8"/>
    </row>
    <row r="1055" spans="1:16" s="7" customFormat="1" ht="42.75" customHeight="1" thickBot="1">
      <c r="A1055" s="123" t="s">
        <v>11</v>
      </c>
      <c r="B1055" s="124"/>
      <c r="C1055" s="125" t="s">
        <v>603</v>
      </c>
      <c r="D1055" s="124"/>
      <c r="J1055" s="8"/>
      <c r="K1055" s="8"/>
      <c r="L1055" s="8"/>
      <c r="M1055" s="8"/>
      <c r="N1055" s="8"/>
      <c r="O1055" s="8"/>
      <c r="P1055" s="8"/>
    </row>
    <row r="1056" spans="1:16" s="7" customFormat="1" ht="42.75" customHeight="1" thickBot="1">
      <c r="A1056" s="1" t="s">
        <v>686</v>
      </c>
      <c r="B1056" s="26" t="s">
        <v>1</v>
      </c>
      <c r="C1056" s="90" t="s">
        <v>338</v>
      </c>
      <c r="D1056" s="91"/>
      <c r="J1056" s="8"/>
      <c r="K1056" s="8"/>
      <c r="L1056" s="8"/>
      <c r="M1056" s="8"/>
      <c r="N1056" s="8"/>
      <c r="O1056" s="8"/>
      <c r="P1056" s="8"/>
    </row>
    <row r="1057" spans="1:16" s="7" customFormat="1" ht="42.75" customHeight="1" thickBot="1">
      <c r="A1057" s="26"/>
      <c r="B1057" s="26" t="s">
        <v>0</v>
      </c>
      <c r="C1057" s="5" t="s">
        <v>687</v>
      </c>
      <c r="D1057" s="4" t="s">
        <v>2</v>
      </c>
      <c r="J1057" s="8"/>
      <c r="K1057" s="8"/>
      <c r="L1057" s="8"/>
      <c r="M1057" s="8"/>
      <c r="N1057" s="8"/>
      <c r="O1057" s="8"/>
      <c r="P1057" s="8"/>
    </row>
    <row r="1058" spans="1:16" s="7" customFormat="1" ht="42.75" customHeight="1" thickBot="1">
      <c r="A1058" s="92">
        <v>1353</v>
      </c>
      <c r="B1058" s="93"/>
      <c r="C1058" s="94" t="s">
        <v>3</v>
      </c>
      <c r="D1058" s="95"/>
      <c r="J1058" s="8"/>
      <c r="K1058" s="8"/>
      <c r="L1058" s="8"/>
      <c r="M1058" s="8"/>
      <c r="N1058" s="8"/>
      <c r="O1058" s="8"/>
      <c r="P1058" s="8"/>
    </row>
    <row r="1059" spans="1:16" s="7" customFormat="1" ht="42.75" customHeight="1" thickBot="1">
      <c r="A1059" s="92">
        <v>1365</v>
      </c>
      <c r="B1059" s="93"/>
      <c r="C1059" s="96" t="s">
        <v>4</v>
      </c>
      <c r="D1059" s="97"/>
      <c r="J1059" s="8"/>
      <c r="K1059" s="8"/>
      <c r="L1059" s="8"/>
      <c r="M1059" s="8"/>
      <c r="N1059" s="8"/>
      <c r="O1059" s="8"/>
      <c r="P1059" s="8"/>
    </row>
    <row r="1060" spans="1:16" s="7" customFormat="1" ht="42.75" customHeight="1" thickBot="1">
      <c r="A1060" s="98">
        <f>A1059-A1058</f>
        <v>12</v>
      </c>
      <c r="B1060" s="99"/>
      <c r="C1060" s="100" t="s">
        <v>5</v>
      </c>
      <c r="D1060" s="97"/>
      <c r="J1060" s="8"/>
      <c r="K1060" s="8"/>
      <c r="L1060" s="8"/>
      <c r="M1060" s="8"/>
      <c r="N1060" s="8"/>
      <c r="O1060" s="8"/>
      <c r="P1060" s="8"/>
    </row>
    <row r="1061" spans="1:16" s="7" customFormat="1" ht="42.75" customHeight="1" thickBot="1">
      <c r="A1061" s="101">
        <v>62</v>
      </c>
      <c r="B1061" s="102"/>
      <c r="C1061" s="96" t="s">
        <v>6</v>
      </c>
      <c r="D1061" s="97"/>
      <c r="J1061" s="8"/>
      <c r="K1061" s="8"/>
      <c r="L1061" s="8"/>
      <c r="M1061" s="8"/>
      <c r="N1061" s="8"/>
      <c r="O1061" s="8"/>
      <c r="P1061" s="8"/>
    </row>
    <row r="1062" spans="1:16" s="7" customFormat="1" ht="42.75" customHeight="1" thickBot="1">
      <c r="A1062" s="103"/>
      <c r="B1062" s="104"/>
      <c r="C1062" s="96" t="s">
        <v>21</v>
      </c>
      <c r="D1062" s="97"/>
      <c r="J1062" s="8"/>
      <c r="K1062" s="8"/>
      <c r="L1062" s="8"/>
      <c r="M1062" s="8"/>
      <c r="N1062" s="8"/>
      <c r="O1062" s="8"/>
      <c r="P1062" s="8"/>
    </row>
    <row r="1063" spans="1:16" s="7" customFormat="1" ht="42.75" customHeight="1" thickBot="1">
      <c r="A1063" s="105">
        <v>750</v>
      </c>
      <c r="B1063" s="106"/>
      <c r="C1063" s="96" t="s">
        <v>7</v>
      </c>
      <c r="D1063" s="97"/>
      <c r="J1063" s="8"/>
      <c r="K1063" s="8"/>
      <c r="L1063" s="8"/>
      <c r="M1063" s="8"/>
      <c r="N1063" s="8"/>
      <c r="O1063" s="8"/>
      <c r="P1063" s="8"/>
    </row>
    <row r="1064" spans="1:16" s="7" customFormat="1" ht="42.75" customHeight="1" thickBot="1">
      <c r="A1064" s="107" t="s">
        <v>17</v>
      </c>
      <c r="B1064" s="108"/>
      <c r="C1064" s="108"/>
      <c r="D1064" s="109"/>
      <c r="J1064" s="8"/>
      <c r="K1064" s="8"/>
      <c r="L1064" s="8"/>
      <c r="M1064" s="8"/>
      <c r="N1064" s="8"/>
      <c r="O1064" s="8"/>
      <c r="P1064" s="8"/>
    </row>
    <row r="1065" spans="1:16" s="7" customFormat="1" ht="42.75" customHeight="1" thickBot="1">
      <c r="A1065" s="116" t="s">
        <v>20</v>
      </c>
      <c r="B1065" s="117"/>
      <c r="C1065" s="117"/>
      <c r="D1065" s="118"/>
      <c r="J1065" s="8"/>
      <c r="K1065" s="8"/>
      <c r="L1065" s="8"/>
      <c r="M1065" s="8"/>
      <c r="N1065" s="8"/>
      <c r="O1065" s="8"/>
      <c r="P1065" s="8"/>
    </row>
    <row r="1066" spans="1:16" s="7" customFormat="1" ht="42.75" customHeight="1" thickBot="1">
      <c r="A1066" s="113" t="s">
        <v>18</v>
      </c>
      <c r="B1066" s="114"/>
      <c r="C1066" s="114"/>
      <c r="D1066" s="115"/>
      <c r="J1066" s="8"/>
      <c r="K1066" s="8"/>
      <c r="L1066" s="8"/>
      <c r="M1066" s="8"/>
      <c r="N1066" s="8"/>
      <c r="O1066" s="8"/>
      <c r="P1066" s="8"/>
    </row>
    <row r="1067" spans="1:16" s="7" customFormat="1" ht="42.75" customHeight="1" thickBot="1">
      <c r="A1067" s="119"/>
      <c r="B1067" s="119"/>
      <c r="C1067" s="119"/>
      <c r="D1067" s="119"/>
      <c r="J1067" s="8"/>
      <c r="K1067" s="8"/>
      <c r="L1067" s="8"/>
      <c r="M1067" s="8"/>
      <c r="N1067" s="8"/>
      <c r="O1067" s="8"/>
      <c r="P1067" s="8"/>
    </row>
    <row r="1068" spans="1:16" s="7" customFormat="1" ht="42.75" customHeight="1" thickBot="1">
      <c r="A1068" s="126" t="s">
        <v>19</v>
      </c>
      <c r="B1068" s="127"/>
      <c r="C1068" s="127"/>
      <c r="D1068" s="128"/>
      <c r="J1068" s="8"/>
      <c r="K1068" s="8"/>
      <c r="L1068" s="8"/>
      <c r="M1068" s="8"/>
      <c r="N1068" s="8"/>
      <c r="O1068" s="8"/>
      <c r="P1068" s="8"/>
    </row>
    <row r="1069" spans="1:16" s="7" customFormat="1" ht="42.75" customHeight="1" thickBot="1">
      <c r="A1069" s="123" t="s">
        <v>11</v>
      </c>
      <c r="B1069" s="124"/>
      <c r="C1069" s="125" t="s">
        <v>603</v>
      </c>
      <c r="D1069" s="124"/>
      <c r="J1069" s="8"/>
      <c r="K1069" s="8"/>
      <c r="L1069" s="8"/>
      <c r="M1069" s="8"/>
      <c r="N1069" s="8"/>
      <c r="O1069" s="8"/>
      <c r="P1069" s="8"/>
    </row>
    <row r="1070" spans="1:16" s="7" customFormat="1" ht="42.75" customHeight="1" thickBot="1">
      <c r="A1070" s="1" t="s">
        <v>686</v>
      </c>
      <c r="B1070" s="26" t="s">
        <v>1</v>
      </c>
      <c r="C1070" s="90" t="s">
        <v>338</v>
      </c>
      <c r="D1070" s="91"/>
      <c r="J1070" s="8"/>
      <c r="K1070" s="8"/>
      <c r="L1070" s="8"/>
      <c r="M1070" s="8"/>
      <c r="N1070" s="8"/>
      <c r="O1070" s="8"/>
      <c r="P1070" s="8"/>
    </row>
    <row r="1071" spans="1:16" s="7" customFormat="1" ht="42.75" customHeight="1" thickBot="1">
      <c r="A1071" s="26"/>
      <c r="B1071" s="26" t="s">
        <v>0</v>
      </c>
      <c r="C1071" s="5" t="s">
        <v>687</v>
      </c>
      <c r="D1071" s="4" t="s">
        <v>2</v>
      </c>
      <c r="J1071" s="8"/>
      <c r="K1071" s="8"/>
      <c r="L1071" s="8"/>
      <c r="M1071" s="8"/>
      <c r="N1071" s="8"/>
      <c r="O1071" s="8"/>
      <c r="P1071" s="8"/>
    </row>
    <row r="1072" spans="1:16" s="7" customFormat="1" ht="42.75" customHeight="1" thickBot="1">
      <c r="A1072" s="92">
        <v>1353</v>
      </c>
      <c r="B1072" s="93"/>
      <c r="C1072" s="94" t="s">
        <v>3</v>
      </c>
      <c r="D1072" s="95"/>
      <c r="J1072" s="8"/>
      <c r="K1072" s="8"/>
      <c r="L1072" s="8"/>
      <c r="M1072" s="8"/>
      <c r="N1072" s="8"/>
      <c r="O1072" s="8"/>
      <c r="P1072" s="8"/>
    </row>
    <row r="1073" spans="1:16" s="7" customFormat="1" ht="42.75" customHeight="1" thickBot="1">
      <c r="A1073" s="92">
        <v>1365</v>
      </c>
      <c r="B1073" s="93"/>
      <c r="C1073" s="96" t="s">
        <v>4</v>
      </c>
      <c r="D1073" s="97"/>
      <c r="J1073" s="8"/>
      <c r="K1073" s="8"/>
      <c r="L1073" s="8"/>
      <c r="M1073" s="8"/>
      <c r="N1073" s="8"/>
      <c r="O1073" s="8"/>
      <c r="P1073" s="8"/>
    </row>
    <row r="1074" spans="1:16" s="7" customFormat="1" ht="42.75" customHeight="1" thickBot="1">
      <c r="A1074" s="98">
        <f>A1073-A1072</f>
        <v>12</v>
      </c>
      <c r="B1074" s="99"/>
      <c r="C1074" s="100" t="s">
        <v>5</v>
      </c>
      <c r="D1074" s="97"/>
      <c r="J1074" s="8"/>
      <c r="K1074" s="8"/>
      <c r="L1074" s="8"/>
      <c r="M1074" s="8"/>
      <c r="N1074" s="8"/>
      <c r="O1074" s="8"/>
      <c r="P1074" s="8"/>
    </row>
    <row r="1075" spans="1:16" s="7" customFormat="1" ht="42.75" customHeight="1" thickBot="1">
      <c r="A1075" s="101">
        <v>62</v>
      </c>
      <c r="B1075" s="102"/>
      <c r="C1075" s="96" t="s">
        <v>6</v>
      </c>
      <c r="D1075" s="97"/>
      <c r="J1075" s="8"/>
      <c r="K1075" s="8"/>
      <c r="L1075" s="8"/>
      <c r="M1075" s="8"/>
      <c r="N1075" s="8"/>
      <c r="O1075" s="8"/>
      <c r="P1075" s="8"/>
    </row>
    <row r="1076" spans="1:16" s="7" customFormat="1" ht="42.75" customHeight="1" thickBot="1">
      <c r="A1076" s="103"/>
      <c r="B1076" s="104"/>
      <c r="C1076" s="96" t="s">
        <v>21</v>
      </c>
      <c r="D1076" s="97"/>
      <c r="J1076" s="8"/>
      <c r="K1076" s="8"/>
      <c r="L1076" s="8"/>
      <c r="M1076" s="8"/>
      <c r="N1076" s="8"/>
      <c r="O1076" s="8"/>
      <c r="P1076" s="8"/>
    </row>
    <row r="1077" spans="1:16" s="7" customFormat="1" ht="42.75" customHeight="1" thickBot="1">
      <c r="A1077" s="105">
        <v>750</v>
      </c>
      <c r="B1077" s="106"/>
      <c r="C1077" s="96" t="s">
        <v>7</v>
      </c>
      <c r="D1077" s="97"/>
      <c r="J1077" s="8"/>
      <c r="K1077" s="8"/>
      <c r="L1077" s="8"/>
      <c r="M1077" s="8"/>
      <c r="N1077" s="8"/>
      <c r="O1077" s="8"/>
      <c r="P1077" s="8"/>
    </row>
    <row r="1078" spans="1:16" s="7" customFormat="1" ht="42.75" customHeight="1" thickBot="1">
      <c r="A1078" s="107" t="s">
        <v>17</v>
      </c>
      <c r="B1078" s="108"/>
      <c r="C1078" s="108"/>
      <c r="D1078" s="109"/>
      <c r="J1078" s="8"/>
      <c r="K1078" s="8"/>
      <c r="L1078" s="8"/>
      <c r="M1078" s="8"/>
      <c r="N1078" s="8"/>
      <c r="O1078" s="8"/>
      <c r="P1078" s="8"/>
    </row>
    <row r="1079" spans="1:16" s="7" customFormat="1" ht="42.75" customHeight="1" thickBot="1">
      <c r="A1079" s="110" t="s">
        <v>20</v>
      </c>
      <c r="B1079" s="111"/>
      <c r="C1079" s="111"/>
      <c r="D1079" s="112"/>
      <c r="J1079" s="8"/>
      <c r="K1079" s="8"/>
      <c r="L1079" s="8"/>
      <c r="M1079" s="8"/>
      <c r="N1079" s="8"/>
      <c r="O1079" s="8"/>
      <c r="P1079" s="8"/>
    </row>
    <row r="1080" spans="1:16" s="7" customFormat="1" ht="42.75" customHeight="1" thickBot="1">
      <c r="A1080" s="113" t="s">
        <v>18</v>
      </c>
      <c r="B1080" s="114"/>
      <c r="C1080" s="114"/>
      <c r="D1080" s="115"/>
      <c r="J1080" s="8"/>
      <c r="K1080" s="8"/>
      <c r="L1080" s="8"/>
      <c r="M1080" s="8"/>
      <c r="N1080" s="8"/>
      <c r="O1080" s="8"/>
      <c r="P1080" s="8"/>
    </row>
    <row r="1081" spans="1:16" s="7" customFormat="1" ht="42.75" customHeight="1" thickBot="1">
      <c r="A1081" s="126" t="s">
        <v>19</v>
      </c>
      <c r="B1081" s="127"/>
      <c r="C1081" s="127"/>
      <c r="D1081" s="128"/>
      <c r="J1081" s="8"/>
      <c r="K1081" s="8"/>
      <c r="L1081" s="8"/>
      <c r="M1081" s="8"/>
      <c r="N1081" s="8"/>
      <c r="O1081" s="8"/>
      <c r="P1081" s="8"/>
    </row>
    <row r="1082" spans="1:16" s="7" customFormat="1" ht="42.75" customHeight="1" thickBot="1">
      <c r="A1082" s="123" t="s">
        <v>11</v>
      </c>
      <c r="B1082" s="124"/>
      <c r="C1082" s="125" t="s">
        <v>603</v>
      </c>
      <c r="D1082" s="124"/>
      <c r="J1082" s="8"/>
      <c r="K1082" s="8"/>
      <c r="L1082" s="8"/>
      <c r="M1082" s="8"/>
      <c r="N1082" s="8"/>
      <c r="O1082" s="8"/>
      <c r="P1082" s="8"/>
    </row>
    <row r="1083" spans="1:16" s="7" customFormat="1" ht="42.75" customHeight="1" thickBot="1">
      <c r="A1083" s="1" t="s">
        <v>686</v>
      </c>
      <c r="B1083" s="26" t="s">
        <v>1</v>
      </c>
      <c r="C1083" s="90" t="s">
        <v>323</v>
      </c>
      <c r="D1083" s="91"/>
      <c r="J1083" s="8"/>
      <c r="K1083" s="8"/>
      <c r="L1083" s="8"/>
      <c r="M1083" s="8"/>
      <c r="N1083" s="8"/>
      <c r="O1083" s="8"/>
      <c r="P1083" s="8"/>
    </row>
    <row r="1084" spans="1:16" s="7" customFormat="1" ht="42.75" customHeight="1" thickBot="1">
      <c r="A1084" s="26"/>
      <c r="B1084" s="26" t="s">
        <v>0</v>
      </c>
      <c r="C1084" s="5" t="s">
        <v>687</v>
      </c>
      <c r="D1084" s="4" t="s">
        <v>2</v>
      </c>
      <c r="J1084" s="8"/>
      <c r="K1084" s="8"/>
      <c r="L1084" s="8"/>
      <c r="M1084" s="8"/>
      <c r="N1084" s="8"/>
      <c r="O1084" s="8"/>
      <c r="P1084" s="8"/>
    </row>
    <row r="1085" spans="1:16" s="7" customFormat="1" ht="42.75" customHeight="1" thickBot="1">
      <c r="A1085" s="92">
        <v>513</v>
      </c>
      <c r="B1085" s="93"/>
      <c r="C1085" s="94" t="s">
        <v>3</v>
      </c>
      <c r="D1085" s="95"/>
      <c r="J1085" s="8"/>
      <c r="K1085" s="8"/>
      <c r="L1085" s="8"/>
      <c r="M1085" s="8"/>
      <c r="N1085" s="8"/>
      <c r="O1085" s="8"/>
      <c r="P1085" s="8"/>
    </row>
    <row r="1086" spans="1:16" s="7" customFormat="1" ht="42.75" customHeight="1" thickBot="1">
      <c r="A1086" s="92">
        <v>535</v>
      </c>
      <c r="B1086" s="93"/>
      <c r="C1086" s="96" t="s">
        <v>4</v>
      </c>
      <c r="D1086" s="97"/>
      <c r="J1086" s="8"/>
      <c r="K1086" s="8"/>
      <c r="L1086" s="8"/>
      <c r="M1086" s="8"/>
      <c r="N1086" s="8"/>
      <c r="O1086" s="8"/>
      <c r="P1086" s="8"/>
    </row>
    <row r="1087" spans="1:16" s="7" customFormat="1" ht="42.75" customHeight="1" thickBot="1">
      <c r="A1087" s="98">
        <f>A1086-A1085</f>
        <v>22</v>
      </c>
      <c r="B1087" s="99"/>
      <c r="C1087" s="100" t="s">
        <v>5</v>
      </c>
      <c r="D1087" s="97"/>
      <c r="J1087" s="8"/>
      <c r="K1087" s="8"/>
      <c r="L1087" s="8"/>
      <c r="M1087" s="8"/>
      <c r="N1087" s="8"/>
      <c r="O1087" s="8"/>
      <c r="P1087" s="8"/>
    </row>
    <row r="1088" spans="1:16" s="7" customFormat="1" ht="42.75" customHeight="1" thickBot="1">
      <c r="A1088" s="101">
        <v>62</v>
      </c>
      <c r="B1088" s="102"/>
      <c r="C1088" s="96" t="s">
        <v>6</v>
      </c>
      <c r="D1088" s="97"/>
      <c r="J1088" s="8"/>
      <c r="K1088" s="8"/>
      <c r="L1088" s="8"/>
      <c r="M1088" s="8"/>
      <c r="N1088" s="8"/>
      <c r="O1088" s="8"/>
      <c r="P1088" s="8"/>
    </row>
    <row r="1089" spans="1:16" s="7" customFormat="1" ht="42.75" customHeight="1" thickBot="1">
      <c r="A1089" s="103"/>
      <c r="B1089" s="104"/>
      <c r="C1089" s="96" t="s">
        <v>21</v>
      </c>
      <c r="D1089" s="97"/>
      <c r="J1089" s="8"/>
      <c r="K1089" s="8"/>
      <c r="L1089" s="8"/>
      <c r="M1089" s="8"/>
      <c r="N1089" s="8"/>
      <c r="O1089" s="8"/>
      <c r="P1089" s="8"/>
    </row>
    <row r="1090" spans="1:16" s="7" customFormat="1" ht="42.75" customHeight="1" thickBot="1">
      <c r="A1090" s="105">
        <v>1350</v>
      </c>
      <c r="B1090" s="106"/>
      <c r="C1090" s="96" t="s">
        <v>7</v>
      </c>
      <c r="D1090" s="97"/>
      <c r="J1090" s="8"/>
      <c r="K1090" s="8"/>
      <c r="L1090" s="8"/>
      <c r="M1090" s="8"/>
      <c r="N1090" s="8"/>
      <c r="O1090" s="8"/>
      <c r="P1090" s="8"/>
    </row>
    <row r="1091" spans="1:16" s="7" customFormat="1" ht="42.75" customHeight="1" thickBot="1">
      <c r="A1091" s="107" t="s">
        <v>17</v>
      </c>
      <c r="B1091" s="108"/>
      <c r="C1091" s="108"/>
      <c r="D1091" s="109"/>
      <c r="J1091" s="8"/>
      <c r="K1091" s="8"/>
      <c r="L1091" s="8"/>
      <c r="M1091" s="8"/>
      <c r="N1091" s="8"/>
      <c r="O1091" s="8"/>
      <c r="P1091" s="8"/>
    </row>
    <row r="1092" spans="1:16" s="7" customFormat="1" ht="42.75" customHeight="1" thickBot="1">
      <c r="A1092" s="116" t="s">
        <v>20</v>
      </c>
      <c r="B1092" s="117"/>
      <c r="C1092" s="117"/>
      <c r="D1092" s="118"/>
      <c r="J1092" s="8"/>
      <c r="K1092" s="8"/>
      <c r="L1092" s="8"/>
      <c r="M1092" s="8"/>
      <c r="N1092" s="8"/>
      <c r="O1092" s="8"/>
      <c r="P1092" s="8"/>
    </row>
    <row r="1093" spans="1:16" s="7" customFormat="1" ht="42.75" customHeight="1" thickBot="1">
      <c r="A1093" s="113" t="s">
        <v>18</v>
      </c>
      <c r="B1093" s="114"/>
      <c r="C1093" s="114"/>
      <c r="D1093" s="115"/>
      <c r="J1093" s="8"/>
      <c r="K1093" s="8"/>
      <c r="L1093" s="8"/>
      <c r="M1093" s="8"/>
      <c r="N1093" s="8"/>
      <c r="O1093" s="8"/>
      <c r="P1093" s="8"/>
    </row>
    <row r="1094" spans="1:16" s="7" customFormat="1" ht="42.75" customHeight="1" thickBot="1">
      <c r="A1094" s="119"/>
      <c r="B1094" s="119"/>
      <c r="C1094" s="119"/>
      <c r="D1094" s="119"/>
      <c r="J1094" s="8"/>
      <c r="K1094" s="8"/>
      <c r="L1094" s="8"/>
      <c r="M1094" s="8"/>
      <c r="N1094" s="8"/>
      <c r="O1094" s="8"/>
      <c r="P1094" s="8"/>
    </row>
    <row r="1095" spans="1:16" s="7" customFormat="1" ht="42.75" customHeight="1" thickBot="1">
      <c r="A1095" s="126" t="s">
        <v>19</v>
      </c>
      <c r="B1095" s="127"/>
      <c r="C1095" s="127"/>
      <c r="D1095" s="128"/>
      <c r="J1095" s="8"/>
      <c r="K1095" s="8"/>
      <c r="L1095" s="8"/>
      <c r="M1095" s="8"/>
      <c r="N1095" s="8"/>
      <c r="O1095" s="8"/>
      <c r="P1095" s="8"/>
    </row>
    <row r="1096" spans="1:16" s="7" customFormat="1" ht="42.75" customHeight="1" thickBot="1">
      <c r="A1096" s="123" t="s">
        <v>11</v>
      </c>
      <c r="B1096" s="124"/>
      <c r="C1096" s="125" t="s">
        <v>603</v>
      </c>
      <c r="D1096" s="124"/>
      <c r="J1096" s="8"/>
      <c r="K1096" s="8"/>
      <c r="L1096" s="8"/>
      <c r="M1096" s="8"/>
      <c r="N1096" s="8"/>
      <c r="O1096" s="8"/>
      <c r="P1096" s="8"/>
    </row>
    <row r="1097" spans="1:16" s="7" customFormat="1" ht="42.75" customHeight="1" thickBot="1">
      <c r="A1097" s="1" t="s">
        <v>686</v>
      </c>
      <c r="B1097" s="26" t="s">
        <v>1</v>
      </c>
      <c r="C1097" s="90" t="s">
        <v>323</v>
      </c>
      <c r="D1097" s="91"/>
      <c r="J1097" s="8"/>
      <c r="K1097" s="8"/>
      <c r="L1097" s="8"/>
      <c r="M1097" s="8"/>
      <c r="N1097" s="8"/>
      <c r="O1097" s="8"/>
      <c r="P1097" s="8"/>
    </row>
    <row r="1098" spans="1:16" s="7" customFormat="1" ht="42.75" customHeight="1" thickBot="1">
      <c r="A1098" s="26"/>
      <c r="B1098" s="26" t="s">
        <v>0</v>
      </c>
      <c r="C1098" s="5" t="s">
        <v>687</v>
      </c>
      <c r="D1098" s="4" t="s">
        <v>2</v>
      </c>
      <c r="J1098" s="8"/>
      <c r="K1098" s="8"/>
      <c r="L1098" s="8"/>
      <c r="M1098" s="8"/>
      <c r="N1098" s="8"/>
      <c r="O1098" s="8"/>
      <c r="P1098" s="8"/>
    </row>
    <row r="1099" spans="1:16" s="7" customFormat="1" ht="42.75" customHeight="1" thickBot="1">
      <c r="A1099" s="92">
        <v>513</v>
      </c>
      <c r="B1099" s="93"/>
      <c r="C1099" s="94" t="s">
        <v>3</v>
      </c>
      <c r="D1099" s="95"/>
      <c r="J1099" s="8"/>
      <c r="K1099" s="8"/>
      <c r="L1099" s="8"/>
      <c r="M1099" s="8"/>
      <c r="N1099" s="8"/>
      <c r="O1099" s="8"/>
      <c r="P1099" s="8"/>
    </row>
    <row r="1100" spans="1:16" s="7" customFormat="1" ht="42.75" customHeight="1" thickBot="1">
      <c r="A1100" s="92">
        <v>535</v>
      </c>
      <c r="B1100" s="93"/>
      <c r="C1100" s="96" t="s">
        <v>4</v>
      </c>
      <c r="D1100" s="97"/>
      <c r="J1100" s="8"/>
      <c r="K1100" s="8"/>
      <c r="L1100" s="8"/>
      <c r="M1100" s="8"/>
      <c r="N1100" s="8"/>
      <c r="O1100" s="8"/>
      <c r="P1100" s="8"/>
    </row>
    <row r="1101" spans="1:16" s="7" customFormat="1" ht="42.75" customHeight="1" thickBot="1">
      <c r="A1101" s="98">
        <f>A1100-A1099</f>
        <v>22</v>
      </c>
      <c r="B1101" s="99"/>
      <c r="C1101" s="100" t="s">
        <v>5</v>
      </c>
      <c r="D1101" s="97"/>
      <c r="J1101" s="8"/>
      <c r="K1101" s="8"/>
      <c r="L1101" s="8"/>
      <c r="M1101" s="8"/>
      <c r="N1101" s="8"/>
      <c r="O1101" s="8"/>
      <c r="P1101" s="8"/>
    </row>
    <row r="1102" spans="1:16" s="7" customFormat="1" ht="42.75" customHeight="1" thickBot="1">
      <c r="A1102" s="101">
        <v>62</v>
      </c>
      <c r="B1102" s="102"/>
      <c r="C1102" s="96" t="s">
        <v>6</v>
      </c>
      <c r="D1102" s="97"/>
      <c r="J1102" s="8"/>
      <c r="K1102" s="8"/>
      <c r="L1102" s="8"/>
      <c r="M1102" s="8"/>
      <c r="N1102" s="8"/>
      <c r="O1102" s="8"/>
      <c r="P1102" s="8"/>
    </row>
    <row r="1103" spans="1:16" s="7" customFormat="1" ht="42.75" customHeight="1" thickBot="1">
      <c r="A1103" s="103"/>
      <c r="B1103" s="104"/>
      <c r="C1103" s="96" t="s">
        <v>21</v>
      </c>
      <c r="D1103" s="97"/>
      <c r="J1103" s="8"/>
      <c r="K1103" s="8"/>
      <c r="L1103" s="8"/>
      <c r="M1103" s="8"/>
      <c r="N1103" s="8"/>
      <c r="O1103" s="8"/>
      <c r="P1103" s="8"/>
    </row>
    <row r="1104" spans="1:16" s="7" customFormat="1" ht="42.75" customHeight="1" thickBot="1">
      <c r="A1104" s="105">
        <v>1350</v>
      </c>
      <c r="B1104" s="106"/>
      <c r="C1104" s="96" t="s">
        <v>7</v>
      </c>
      <c r="D1104" s="97"/>
      <c r="J1104" s="8"/>
      <c r="K1104" s="8"/>
      <c r="L1104" s="8"/>
      <c r="M1104" s="8"/>
      <c r="N1104" s="8"/>
      <c r="O1104" s="8"/>
      <c r="P1104" s="8"/>
    </row>
    <row r="1105" spans="1:16" s="7" customFormat="1" ht="42.75" customHeight="1" thickBot="1">
      <c r="A1105" s="107" t="s">
        <v>17</v>
      </c>
      <c r="B1105" s="108"/>
      <c r="C1105" s="108"/>
      <c r="D1105" s="109"/>
      <c r="J1105" s="8"/>
      <c r="K1105" s="8"/>
      <c r="L1105" s="8"/>
      <c r="M1105" s="8"/>
      <c r="N1105" s="8"/>
      <c r="O1105" s="8"/>
      <c r="P1105" s="8"/>
    </row>
    <row r="1106" spans="1:16" s="7" customFormat="1" ht="42.75" customHeight="1" thickBot="1">
      <c r="A1106" s="110" t="s">
        <v>20</v>
      </c>
      <c r="B1106" s="111"/>
      <c r="C1106" s="111"/>
      <c r="D1106" s="112"/>
      <c r="J1106" s="8"/>
      <c r="K1106" s="8"/>
      <c r="L1106" s="8"/>
      <c r="M1106" s="8"/>
      <c r="N1106" s="8"/>
      <c r="O1106" s="8"/>
      <c r="P1106" s="8"/>
    </row>
    <row r="1107" spans="1:16" s="7" customFormat="1" ht="42.75" customHeight="1" thickBot="1">
      <c r="A1107" s="113" t="s">
        <v>18</v>
      </c>
      <c r="B1107" s="114"/>
      <c r="C1107" s="114"/>
      <c r="D1107" s="115"/>
      <c r="J1107" s="8"/>
      <c r="K1107" s="8"/>
      <c r="L1107" s="8"/>
      <c r="M1107" s="8"/>
      <c r="N1107" s="8"/>
      <c r="O1107" s="8"/>
      <c r="P1107" s="8"/>
    </row>
    <row r="1108" spans="1:16" s="7" customFormat="1" ht="42.75" customHeight="1" thickBot="1">
      <c r="A1108" s="126" t="s">
        <v>19</v>
      </c>
      <c r="B1108" s="127"/>
      <c r="C1108" s="127"/>
      <c r="D1108" s="128"/>
      <c r="J1108" s="8"/>
      <c r="K1108" s="8"/>
      <c r="L1108" s="8"/>
      <c r="M1108" s="8"/>
      <c r="N1108" s="8"/>
      <c r="O1108" s="8"/>
      <c r="P1108" s="8"/>
    </row>
    <row r="1109" spans="1:16" s="7" customFormat="1" ht="42.75" customHeight="1" thickBot="1">
      <c r="A1109" s="123" t="s">
        <v>11</v>
      </c>
      <c r="B1109" s="124"/>
      <c r="C1109" s="125" t="s">
        <v>603</v>
      </c>
      <c r="D1109" s="124"/>
      <c r="J1109" s="8"/>
      <c r="K1109" s="8"/>
      <c r="L1109" s="8"/>
      <c r="M1109" s="8"/>
      <c r="N1109" s="8"/>
      <c r="O1109" s="8"/>
      <c r="P1109" s="8"/>
    </row>
    <row r="1110" spans="1:16" s="7" customFormat="1" ht="42.75" customHeight="1" thickBot="1">
      <c r="A1110" s="1" t="s">
        <v>686</v>
      </c>
      <c r="B1110" s="26" t="s">
        <v>1</v>
      </c>
      <c r="C1110" s="90" t="s">
        <v>629</v>
      </c>
      <c r="D1110" s="91"/>
      <c r="J1110" s="8"/>
      <c r="K1110" s="8"/>
      <c r="L1110" s="8"/>
      <c r="M1110" s="8"/>
      <c r="N1110" s="8"/>
      <c r="O1110" s="8"/>
      <c r="P1110" s="8"/>
    </row>
    <row r="1111" spans="1:16" s="7" customFormat="1" ht="42.75" customHeight="1" thickBot="1">
      <c r="A1111" s="26"/>
      <c r="B1111" s="26" t="s">
        <v>0</v>
      </c>
      <c r="C1111" s="5" t="s">
        <v>687</v>
      </c>
      <c r="D1111" s="4" t="s">
        <v>2</v>
      </c>
      <c r="J1111" s="8"/>
      <c r="K1111" s="8"/>
      <c r="L1111" s="8"/>
      <c r="M1111" s="8"/>
      <c r="N1111" s="8"/>
      <c r="O1111" s="8"/>
      <c r="P1111" s="8"/>
    </row>
    <row r="1112" spans="1:16" s="7" customFormat="1" ht="42.75" customHeight="1" thickBot="1">
      <c r="A1112" s="92">
        <v>300</v>
      </c>
      <c r="B1112" s="93"/>
      <c r="C1112" s="94" t="s">
        <v>3</v>
      </c>
      <c r="D1112" s="95"/>
      <c r="J1112" s="8"/>
      <c r="K1112" s="8"/>
      <c r="L1112" s="8"/>
      <c r="M1112" s="8"/>
      <c r="N1112" s="8"/>
      <c r="O1112" s="8"/>
      <c r="P1112" s="8"/>
    </row>
    <row r="1113" spans="1:16" s="7" customFormat="1" ht="42.75" customHeight="1" thickBot="1">
      <c r="A1113" s="92">
        <v>311</v>
      </c>
      <c r="B1113" s="93"/>
      <c r="C1113" s="96" t="s">
        <v>4</v>
      </c>
      <c r="D1113" s="97"/>
      <c r="J1113" s="8"/>
      <c r="K1113" s="8"/>
      <c r="L1113" s="8"/>
      <c r="M1113" s="8"/>
      <c r="N1113" s="8"/>
      <c r="O1113" s="8"/>
      <c r="P1113" s="8"/>
    </row>
    <row r="1114" spans="1:16" s="7" customFormat="1" ht="42.75" customHeight="1" thickBot="1">
      <c r="A1114" s="98">
        <f>A1113-A1112</f>
        <v>11</v>
      </c>
      <c r="B1114" s="99"/>
      <c r="C1114" s="100" t="s">
        <v>5</v>
      </c>
      <c r="D1114" s="97"/>
      <c r="J1114" s="8"/>
      <c r="K1114" s="8"/>
      <c r="L1114" s="8"/>
      <c r="M1114" s="8"/>
      <c r="N1114" s="8"/>
      <c r="O1114" s="8"/>
      <c r="P1114" s="8"/>
    </row>
    <row r="1115" spans="1:16" s="7" customFormat="1" ht="42.75" customHeight="1" thickBot="1">
      <c r="A1115" s="101">
        <v>62</v>
      </c>
      <c r="B1115" s="102"/>
      <c r="C1115" s="96" t="s">
        <v>6</v>
      </c>
      <c r="D1115" s="97"/>
      <c r="J1115" s="8"/>
      <c r="K1115" s="8"/>
      <c r="L1115" s="8"/>
      <c r="M1115" s="8"/>
      <c r="N1115" s="8"/>
      <c r="O1115" s="8"/>
      <c r="P1115" s="8"/>
    </row>
    <row r="1116" spans="1:16" s="7" customFormat="1" ht="42.75" customHeight="1" thickBot="1">
      <c r="A1116" s="103"/>
      <c r="B1116" s="104"/>
      <c r="C1116" s="96" t="s">
        <v>21</v>
      </c>
      <c r="D1116" s="97"/>
      <c r="J1116" s="8"/>
      <c r="K1116" s="8"/>
      <c r="L1116" s="8"/>
      <c r="M1116" s="8"/>
      <c r="N1116" s="8"/>
      <c r="O1116" s="8"/>
      <c r="P1116" s="8"/>
    </row>
    <row r="1117" spans="1:16" s="7" customFormat="1" ht="42.75" customHeight="1" thickBot="1">
      <c r="A1117" s="105">
        <v>700</v>
      </c>
      <c r="B1117" s="106"/>
      <c r="C1117" s="96" t="s">
        <v>7</v>
      </c>
      <c r="D1117" s="97"/>
      <c r="J1117" s="8"/>
      <c r="K1117" s="8"/>
      <c r="L1117" s="8"/>
      <c r="M1117" s="8"/>
      <c r="N1117" s="8"/>
      <c r="O1117" s="8"/>
      <c r="P1117" s="8"/>
    </row>
    <row r="1118" spans="1:16" s="7" customFormat="1" ht="42.75" customHeight="1" thickBot="1">
      <c r="A1118" s="107" t="s">
        <v>17</v>
      </c>
      <c r="B1118" s="108"/>
      <c r="C1118" s="108"/>
      <c r="D1118" s="109"/>
      <c r="J1118" s="8"/>
      <c r="K1118" s="8"/>
      <c r="L1118" s="8"/>
      <c r="M1118" s="8"/>
      <c r="N1118" s="8"/>
      <c r="O1118" s="8"/>
      <c r="P1118" s="8"/>
    </row>
    <row r="1119" spans="1:16" s="7" customFormat="1" ht="42.75" customHeight="1" thickBot="1">
      <c r="A1119" s="116" t="s">
        <v>20</v>
      </c>
      <c r="B1119" s="117"/>
      <c r="C1119" s="117"/>
      <c r="D1119" s="118"/>
      <c r="J1119" s="8"/>
      <c r="K1119" s="8"/>
      <c r="L1119" s="8"/>
      <c r="M1119" s="8"/>
      <c r="N1119" s="8"/>
      <c r="O1119" s="8"/>
      <c r="P1119" s="8"/>
    </row>
    <row r="1120" spans="1:16" s="7" customFormat="1" ht="42.75" customHeight="1" thickBot="1">
      <c r="A1120" s="113" t="s">
        <v>18</v>
      </c>
      <c r="B1120" s="114"/>
      <c r="C1120" s="114"/>
      <c r="D1120" s="115"/>
      <c r="J1120" s="8"/>
      <c r="K1120" s="8"/>
      <c r="L1120" s="8"/>
      <c r="M1120" s="8"/>
      <c r="N1120" s="8"/>
      <c r="O1120" s="8"/>
      <c r="P1120" s="8"/>
    </row>
    <row r="1121" spans="1:16" s="7" customFormat="1" ht="42.75" customHeight="1" thickBot="1">
      <c r="A1121" s="119"/>
      <c r="B1121" s="119"/>
      <c r="C1121" s="119"/>
      <c r="D1121" s="119"/>
      <c r="J1121" s="8"/>
      <c r="K1121" s="8"/>
      <c r="L1121" s="8"/>
      <c r="M1121" s="8"/>
      <c r="N1121" s="8"/>
      <c r="O1121" s="8"/>
      <c r="P1121" s="8"/>
    </row>
    <row r="1122" spans="1:16" s="7" customFormat="1" ht="42.75" customHeight="1" thickBot="1">
      <c r="A1122" s="126" t="s">
        <v>19</v>
      </c>
      <c r="B1122" s="127"/>
      <c r="C1122" s="127"/>
      <c r="D1122" s="128"/>
      <c r="J1122" s="8"/>
      <c r="K1122" s="8"/>
      <c r="L1122" s="8"/>
      <c r="M1122" s="8"/>
      <c r="N1122" s="8"/>
      <c r="O1122" s="8"/>
      <c r="P1122" s="8"/>
    </row>
    <row r="1123" spans="1:16" s="7" customFormat="1" ht="42.75" customHeight="1" thickBot="1">
      <c r="A1123" s="123" t="s">
        <v>11</v>
      </c>
      <c r="B1123" s="124"/>
      <c r="C1123" s="125" t="s">
        <v>603</v>
      </c>
      <c r="D1123" s="124"/>
      <c r="J1123" s="8"/>
      <c r="K1123" s="8"/>
      <c r="L1123" s="8"/>
      <c r="M1123" s="8"/>
      <c r="N1123" s="8"/>
      <c r="O1123" s="8"/>
      <c r="P1123" s="8"/>
    </row>
    <row r="1124" spans="1:16" s="7" customFormat="1" ht="42.75" customHeight="1" thickBot="1">
      <c r="A1124" s="1" t="s">
        <v>686</v>
      </c>
      <c r="B1124" s="26" t="s">
        <v>1</v>
      </c>
      <c r="C1124" s="90" t="s">
        <v>629</v>
      </c>
      <c r="D1124" s="91"/>
      <c r="J1124" s="8"/>
      <c r="K1124" s="8"/>
      <c r="L1124" s="8"/>
      <c r="M1124" s="8"/>
      <c r="N1124" s="8"/>
      <c r="O1124" s="8"/>
      <c r="P1124" s="8"/>
    </row>
    <row r="1125" spans="1:16" s="7" customFormat="1" ht="42.75" customHeight="1" thickBot="1">
      <c r="A1125" s="26"/>
      <c r="B1125" s="26" t="s">
        <v>0</v>
      </c>
      <c r="C1125" s="5" t="s">
        <v>687</v>
      </c>
      <c r="D1125" s="4" t="s">
        <v>2</v>
      </c>
      <c r="J1125" s="8"/>
      <c r="K1125" s="8"/>
      <c r="L1125" s="8"/>
      <c r="M1125" s="8"/>
      <c r="N1125" s="8"/>
      <c r="O1125" s="8"/>
      <c r="P1125" s="8"/>
    </row>
    <row r="1126" spans="1:16" s="7" customFormat="1" ht="42.75" customHeight="1" thickBot="1">
      <c r="A1126" s="92">
        <v>300</v>
      </c>
      <c r="B1126" s="93"/>
      <c r="C1126" s="94" t="s">
        <v>3</v>
      </c>
      <c r="D1126" s="95"/>
      <c r="J1126" s="8"/>
      <c r="K1126" s="8"/>
      <c r="L1126" s="8"/>
      <c r="M1126" s="8"/>
      <c r="N1126" s="8"/>
      <c r="O1126" s="8"/>
      <c r="P1126" s="8"/>
    </row>
    <row r="1127" spans="1:16" s="7" customFormat="1" ht="42.75" customHeight="1" thickBot="1">
      <c r="A1127" s="92">
        <v>311</v>
      </c>
      <c r="B1127" s="93"/>
      <c r="C1127" s="96" t="s">
        <v>4</v>
      </c>
      <c r="D1127" s="97"/>
      <c r="J1127" s="8"/>
      <c r="K1127" s="8"/>
      <c r="L1127" s="8"/>
      <c r="M1127" s="8"/>
      <c r="N1127" s="8"/>
      <c r="O1127" s="8"/>
      <c r="P1127" s="8"/>
    </row>
    <row r="1128" spans="1:16" s="7" customFormat="1" ht="42.75" customHeight="1" thickBot="1">
      <c r="A1128" s="98">
        <f>A1127-A1126</f>
        <v>11</v>
      </c>
      <c r="B1128" s="99"/>
      <c r="C1128" s="100" t="s">
        <v>5</v>
      </c>
      <c r="D1128" s="97"/>
      <c r="J1128" s="8"/>
      <c r="K1128" s="8"/>
      <c r="L1128" s="8"/>
      <c r="M1128" s="8"/>
      <c r="N1128" s="8"/>
      <c r="O1128" s="8"/>
      <c r="P1128" s="8"/>
    </row>
    <row r="1129" spans="1:16" s="7" customFormat="1" ht="42.75" customHeight="1" thickBot="1">
      <c r="A1129" s="101">
        <v>62</v>
      </c>
      <c r="B1129" s="102"/>
      <c r="C1129" s="96" t="s">
        <v>6</v>
      </c>
      <c r="D1129" s="97"/>
      <c r="J1129" s="8"/>
      <c r="K1129" s="8"/>
      <c r="L1129" s="8"/>
      <c r="M1129" s="8"/>
      <c r="N1129" s="8"/>
      <c r="O1129" s="8"/>
      <c r="P1129" s="8"/>
    </row>
    <row r="1130" spans="1:16" s="7" customFormat="1" ht="42.75" customHeight="1" thickBot="1">
      <c r="A1130" s="103"/>
      <c r="B1130" s="104"/>
      <c r="C1130" s="96" t="s">
        <v>21</v>
      </c>
      <c r="D1130" s="97"/>
      <c r="J1130" s="8"/>
      <c r="K1130" s="8"/>
      <c r="L1130" s="8"/>
      <c r="M1130" s="8"/>
      <c r="N1130" s="8"/>
      <c r="O1130" s="8"/>
      <c r="P1130" s="8"/>
    </row>
    <row r="1131" spans="1:16" s="7" customFormat="1" ht="42.75" customHeight="1" thickBot="1">
      <c r="A1131" s="105">
        <v>700</v>
      </c>
      <c r="B1131" s="106"/>
      <c r="C1131" s="96" t="s">
        <v>7</v>
      </c>
      <c r="D1131" s="97"/>
      <c r="J1131" s="8"/>
      <c r="K1131" s="8"/>
      <c r="L1131" s="8"/>
      <c r="M1131" s="8"/>
      <c r="N1131" s="8"/>
      <c r="O1131" s="8"/>
      <c r="P1131" s="8"/>
    </row>
    <row r="1132" spans="1:16" s="7" customFormat="1" ht="42.75" customHeight="1" thickBot="1">
      <c r="A1132" s="107" t="s">
        <v>17</v>
      </c>
      <c r="B1132" s="108"/>
      <c r="C1132" s="108"/>
      <c r="D1132" s="109"/>
      <c r="J1132" s="8"/>
      <c r="K1132" s="8"/>
      <c r="L1132" s="8"/>
      <c r="M1132" s="8"/>
      <c r="N1132" s="8"/>
      <c r="O1132" s="8"/>
      <c r="P1132" s="8"/>
    </row>
    <row r="1133" spans="1:16" s="7" customFormat="1" ht="42.75" customHeight="1" thickBot="1">
      <c r="A1133" s="110" t="s">
        <v>20</v>
      </c>
      <c r="B1133" s="111"/>
      <c r="C1133" s="111"/>
      <c r="D1133" s="112"/>
      <c r="J1133" s="8"/>
      <c r="K1133" s="8"/>
      <c r="L1133" s="8"/>
      <c r="M1133" s="8"/>
      <c r="N1133" s="8"/>
      <c r="O1133" s="8"/>
      <c r="P1133" s="8"/>
    </row>
    <row r="1134" spans="1:16" s="7" customFormat="1" ht="42.75" customHeight="1" thickBot="1">
      <c r="A1134" s="113" t="s">
        <v>18</v>
      </c>
      <c r="B1134" s="114"/>
      <c r="C1134" s="114"/>
      <c r="D1134" s="115"/>
      <c r="J1134" s="8"/>
      <c r="K1134" s="8"/>
      <c r="L1134" s="8"/>
      <c r="M1134" s="8"/>
      <c r="N1134" s="8"/>
      <c r="O1134" s="8"/>
      <c r="P1134" s="8"/>
    </row>
    <row r="1135" spans="1:16" s="7" customFormat="1" ht="42.75" customHeight="1" thickBot="1">
      <c r="A1135" s="126" t="s">
        <v>19</v>
      </c>
      <c r="B1135" s="127"/>
      <c r="C1135" s="127"/>
      <c r="D1135" s="128"/>
      <c r="J1135" s="8"/>
      <c r="K1135" s="8"/>
      <c r="L1135" s="8"/>
      <c r="M1135" s="8"/>
      <c r="N1135" s="8"/>
      <c r="O1135" s="8"/>
      <c r="P1135" s="8"/>
    </row>
    <row r="1136" spans="1:16" s="7" customFormat="1" ht="42.75" customHeight="1" thickBot="1">
      <c r="A1136" s="123" t="s">
        <v>11</v>
      </c>
      <c r="B1136" s="124"/>
      <c r="C1136" s="125" t="s">
        <v>603</v>
      </c>
      <c r="D1136" s="124"/>
      <c r="J1136" s="8"/>
      <c r="K1136" s="8"/>
      <c r="L1136" s="8"/>
      <c r="M1136" s="8"/>
      <c r="N1136" s="8"/>
      <c r="O1136" s="8"/>
      <c r="P1136" s="8"/>
    </row>
    <row r="1137" spans="1:16" s="7" customFormat="1" ht="42.75" customHeight="1" thickBot="1">
      <c r="A1137" s="1" t="s">
        <v>686</v>
      </c>
      <c r="B1137" s="26" t="s">
        <v>1</v>
      </c>
      <c r="C1137" s="90" t="s">
        <v>339</v>
      </c>
      <c r="D1137" s="91"/>
      <c r="J1137" s="8"/>
      <c r="K1137" s="8"/>
      <c r="L1137" s="8"/>
      <c r="M1137" s="8"/>
      <c r="N1137" s="8"/>
      <c r="O1137" s="8"/>
      <c r="P1137" s="8"/>
    </row>
    <row r="1138" spans="1:16" s="7" customFormat="1" ht="42.75" customHeight="1" thickBot="1">
      <c r="A1138" s="26"/>
      <c r="B1138" s="26" t="s">
        <v>0</v>
      </c>
      <c r="C1138" s="5" t="s">
        <v>687</v>
      </c>
      <c r="D1138" s="4" t="s">
        <v>2</v>
      </c>
      <c r="J1138" s="8"/>
      <c r="K1138" s="8"/>
      <c r="L1138" s="8"/>
      <c r="M1138" s="8"/>
      <c r="N1138" s="8"/>
      <c r="O1138" s="8"/>
      <c r="P1138" s="8"/>
    </row>
    <row r="1139" spans="1:16" s="7" customFormat="1" ht="42.75" customHeight="1" thickBot="1">
      <c r="A1139" s="92">
        <v>3968</v>
      </c>
      <c r="B1139" s="93"/>
      <c r="C1139" s="94" t="s">
        <v>3</v>
      </c>
      <c r="D1139" s="95"/>
      <c r="J1139" s="8"/>
      <c r="K1139" s="8"/>
      <c r="L1139" s="8"/>
      <c r="M1139" s="8"/>
      <c r="N1139" s="8"/>
      <c r="O1139" s="8"/>
      <c r="P1139" s="8"/>
    </row>
    <row r="1140" spans="1:16" s="7" customFormat="1" ht="42.75" customHeight="1" thickBot="1">
      <c r="A1140" s="92">
        <v>3978</v>
      </c>
      <c r="B1140" s="93"/>
      <c r="C1140" s="96" t="s">
        <v>4</v>
      </c>
      <c r="D1140" s="97"/>
      <c r="J1140" s="8"/>
      <c r="K1140" s="8"/>
      <c r="L1140" s="8"/>
      <c r="M1140" s="8"/>
      <c r="N1140" s="8"/>
      <c r="O1140" s="8"/>
      <c r="P1140" s="8"/>
    </row>
    <row r="1141" spans="1:16" s="7" customFormat="1" ht="42.75" customHeight="1" thickBot="1">
      <c r="A1141" s="98">
        <f>A1140-A1139</f>
        <v>10</v>
      </c>
      <c r="B1141" s="99"/>
      <c r="C1141" s="100" t="s">
        <v>5</v>
      </c>
      <c r="D1141" s="97"/>
      <c r="J1141" s="8"/>
      <c r="K1141" s="8"/>
      <c r="L1141" s="8"/>
      <c r="M1141" s="8"/>
      <c r="N1141" s="8"/>
      <c r="O1141" s="8"/>
      <c r="P1141" s="8"/>
    </row>
    <row r="1142" spans="1:16" s="7" customFormat="1" ht="42.75" customHeight="1" thickBot="1">
      <c r="A1142" s="101">
        <v>62</v>
      </c>
      <c r="B1142" s="102"/>
      <c r="C1142" s="96" t="s">
        <v>6</v>
      </c>
      <c r="D1142" s="97"/>
      <c r="J1142" s="8"/>
      <c r="K1142" s="8"/>
      <c r="L1142" s="8"/>
      <c r="M1142" s="8"/>
      <c r="N1142" s="8"/>
      <c r="O1142" s="8"/>
      <c r="P1142" s="8"/>
    </row>
    <row r="1143" spans="1:16" s="7" customFormat="1" ht="42.75" customHeight="1" thickBot="1">
      <c r="A1143" s="103"/>
      <c r="B1143" s="104"/>
      <c r="C1143" s="96" t="s">
        <v>21</v>
      </c>
      <c r="D1143" s="97"/>
      <c r="J1143" s="8"/>
      <c r="K1143" s="8"/>
      <c r="L1143" s="8"/>
      <c r="M1143" s="8"/>
      <c r="N1143" s="8"/>
      <c r="O1143" s="8"/>
      <c r="P1143" s="8"/>
    </row>
    <row r="1144" spans="1:16" s="7" customFormat="1" ht="42.75" customHeight="1" thickBot="1">
      <c r="A1144" s="105">
        <v>600</v>
      </c>
      <c r="B1144" s="106"/>
      <c r="C1144" s="96" t="s">
        <v>7</v>
      </c>
      <c r="D1144" s="97"/>
      <c r="J1144" s="8"/>
      <c r="K1144" s="8"/>
      <c r="L1144" s="8"/>
      <c r="M1144" s="8"/>
      <c r="N1144" s="8"/>
      <c r="O1144" s="8"/>
      <c r="P1144" s="8"/>
    </row>
    <row r="1145" spans="1:16" s="7" customFormat="1" ht="42.75" customHeight="1" thickBot="1">
      <c r="A1145" s="107" t="s">
        <v>17</v>
      </c>
      <c r="B1145" s="108"/>
      <c r="C1145" s="108"/>
      <c r="D1145" s="109"/>
      <c r="J1145" s="8"/>
      <c r="K1145" s="8"/>
      <c r="L1145" s="8"/>
      <c r="M1145" s="8"/>
      <c r="N1145" s="8"/>
      <c r="O1145" s="8"/>
      <c r="P1145" s="8"/>
    </row>
    <row r="1146" spans="1:16" s="7" customFormat="1" ht="42.75" customHeight="1" thickBot="1">
      <c r="A1146" s="116" t="s">
        <v>20</v>
      </c>
      <c r="B1146" s="117"/>
      <c r="C1146" s="117"/>
      <c r="D1146" s="118"/>
      <c r="J1146" s="8"/>
      <c r="K1146" s="8"/>
      <c r="L1146" s="8"/>
      <c r="M1146" s="8"/>
      <c r="N1146" s="8"/>
      <c r="O1146" s="8"/>
      <c r="P1146" s="8"/>
    </row>
    <row r="1147" spans="1:16" s="7" customFormat="1" ht="42.75" customHeight="1" thickBot="1">
      <c r="A1147" s="113" t="s">
        <v>18</v>
      </c>
      <c r="B1147" s="114"/>
      <c r="C1147" s="114"/>
      <c r="D1147" s="115"/>
      <c r="J1147" s="8"/>
      <c r="K1147" s="8"/>
      <c r="L1147" s="8"/>
      <c r="M1147" s="8"/>
      <c r="N1147" s="8"/>
      <c r="O1147" s="8"/>
      <c r="P1147" s="8"/>
    </row>
    <row r="1148" spans="1:16" s="7" customFormat="1" ht="42.75" customHeight="1" thickBot="1">
      <c r="A1148" s="119"/>
      <c r="B1148" s="119"/>
      <c r="C1148" s="119"/>
      <c r="D1148" s="119"/>
      <c r="J1148" s="8"/>
      <c r="K1148" s="8"/>
      <c r="L1148" s="8"/>
      <c r="M1148" s="8"/>
      <c r="N1148" s="8"/>
      <c r="O1148" s="8"/>
      <c r="P1148" s="8"/>
    </row>
    <row r="1149" spans="1:16" s="7" customFormat="1" ht="42.75" customHeight="1" thickBot="1">
      <c r="A1149" s="126" t="s">
        <v>19</v>
      </c>
      <c r="B1149" s="127"/>
      <c r="C1149" s="127"/>
      <c r="D1149" s="128"/>
      <c r="J1149" s="8"/>
      <c r="K1149" s="8"/>
      <c r="L1149" s="8"/>
      <c r="M1149" s="8"/>
      <c r="N1149" s="8"/>
      <c r="O1149" s="8"/>
      <c r="P1149" s="8"/>
    </row>
    <row r="1150" spans="1:16" s="7" customFormat="1" ht="42.75" customHeight="1" thickBot="1">
      <c r="A1150" s="123" t="s">
        <v>11</v>
      </c>
      <c r="B1150" s="124"/>
      <c r="C1150" s="125" t="s">
        <v>603</v>
      </c>
      <c r="D1150" s="124"/>
      <c r="J1150" s="8"/>
      <c r="K1150" s="8"/>
      <c r="L1150" s="8"/>
      <c r="M1150" s="8"/>
      <c r="N1150" s="8"/>
      <c r="O1150" s="8"/>
      <c r="P1150" s="8"/>
    </row>
    <row r="1151" spans="1:16" s="7" customFormat="1" ht="42.75" customHeight="1" thickBot="1">
      <c r="A1151" s="1" t="s">
        <v>686</v>
      </c>
      <c r="B1151" s="26" t="s">
        <v>1</v>
      </c>
      <c r="C1151" s="90" t="s">
        <v>339</v>
      </c>
      <c r="D1151" s="91"/>
      <c r="J1151" s="8"/>
      <c r="K1151" s="8"/>
      <c r="L1151" s="8"/>
      <c r="M1151" s="8"/>
      <c r="N1151" s="8"/>
      <c r="O1151" s="8"/>
      <c r="P1151" s="8"/>
    </row>
    <row r="1152" spans="1:16" s="7" customFormat="1" ht="42.75" customHeight="1" thickBot="1">
      <c r="A1152" s="26"/>
      <c r="B1152" s="26" t="s">
        <v>0</v>
      </c>
      <c r="C1152" s="5" t="s">
        <v>687</v>
      </c>
      <c r="D1152" s="4" t="s">
        <v>2</v>
      </c>
      <c r="J1152" s="8"/>
      <c r="K1152" s="8"/>
      <c r="L1152" s="8"/>
      <c r="M1152" s="8"/>
      <c r="N1152" s="8"/>
      <c r="O1152" s="8"/>
      <c r="P1152" s="8"/>
    </row>
    <row r="1153" spans="1:16" s="7" customFormat="1" ht="42.75" customHeight="1" thickBot="1">
      <c r="A1153" s="92">
        <v>3968</v>
      </c>
      <c r="B1153" s="93"/>
      <c r="C1153" s="94" t="s">
        <v>3</v>
      </c>
      <c r="D1153" s="95"/>
      <c r="J1153" s="8"/>
      <c r="K1153" s="8"/>
      <c r="L1153" s="8"/>
      <c r="M1153" s="8"/>
      <c r="N1153" s="8"/>
      <c r="O1153" s="8"/>
      <c r="P1153" s="8"/>
    </row>
    <row r="1154" spans="1:16" s="7" customFormat="1" ht="42.75" customHeight="1" thickBot="1">
      <c r="A1154" s="92">
        <v>3978</v>
      </c>
      <c r="B1154" s="93"/>
      <c r="C1154" s="96" t="s">
        <v>4</v>
      </c>
      <c r="D1154" s="97"/>
      <c r="J1154" s="8"/>
      <c r="K1154" s="8"/>
      <c r="L1154" s="8"/>
      <c r="M1154" s="8"/>
      <c r="N1154" s="8"/>
      <c r="O1154" s="8"/>
      <c r="P1154" s="8"/>
    </row>
    <row r="1155" spans="1:16" s="7" customFormat="1" ht="42.75" customHeight="1" thickBot="1">
      <c r="A1155" s="98">
        <f>A1154-A1153</f>
        <v>10</v>
      </c>
      <c r="B1155" s="99"/>
      <c r="C1155" s="100" t="s">
        <v>5</v>
      </c>
      <c r="D1155" s="97"/>
      <c r="J1155" s="8"/>
      <c r="K1155" s="8"/>
      <c r="L1155" s="8"/>
      <c r="M1155" s="8"/>
      <c r="N1155" s="8"/>
      <c r="O1155" s="8"/>
      <c r="P1155" s="8"/>
    </row>
    <row r="1156" spans="1:16" s="7" customFormat="1" ht="42.75" customHeight="1" thickBot="1">
      <c r="A1156" s="101">
        <v>62</v>
      </c>
      <c r="B1156" s="102"/>
      <c r="C1156" s="96" t="s">
        <v>6</v>
      </c>
      <c r="D1156" s="97"/>
      <c r="J1156" s="8"/>
      <c r="K1156" s="8"/>
      <c r="L1156" s="8"/>
      <c r="M1156" s="8"/>
      <c r="N1156" s="8"/>
      <c r="O1156" s="8"/>
      <c r="P1156" s="8"/>
    </row>
    <row r="1157" spans="1:16" s="7" customFormat="1" ht="42.75" customHeight="1" thickBot="1">
      <c r="A1157" s="103"/>
      <c r="B1157" s="104"/>
      <c r="C1157" s="96" t="s">
        <v>21</v>
      </c>
      <c r="D1157" s="97"/>
      <c r="J1157" s="8"/>
      <c r="K1157" s="8"/>
      <c r="L1157" s="8"/>
      <c r="M1157" s="8"/>
      <c r="N1157" s="8"/>
      <c r="O1157" s="8"/>
      <c r="P1157" s="8"/>
    </row>
    <row r="1158" spans="1:16" s="7" customFormat="1" ht="42.75" customHeight="1" thickBot="1">
      <c r="A1158" s="105">
        <v>600</v>
      </c>
      <c r="B1158" s="106"/>
      <c r="C1158" s="96" t="s">
        <v>7</v>
      </c>
      <c r="D1158" s="97"/>
      <c r="J1158" s="8"/>
      <c r="K1158" s="8"/>
      <c r="L1158" s="8"/>
      <c r="M1158" s="8"/>
      <c r="N1158" s="8"/>
      <c r="O1158" s="8"/>
      <c r="P1158" s="8"/>
    </row>
    <row r="1159" spans="1:16" s="7" customFormat="1" ht="42.75" customHeight="1" thickBot="1">
      <c r="A1159" s="107" t="s">
        <v>17</v>
      </c>
      <c r="B1159" s="108"/>
      <c r="C1159" s="108"/>
      <c r="D1159" s="109"/>
      <c r="J1159" s="8"/>
      <c r="K1159" s="8"/>
      <c r="L1159" s="8"/>
      <c r="M1159" s="8"/>
      <c r="N1159" s="8"/>
      <c r="O1159" s="8"/>
      <c r="P1159" s="8"/>
    </row>
    <row r="1160" spans="1:16" s="7" customFormat="1" ht="42.75" customHeight="1" thickBot="1">
      <c r="A1160" s="110" t="s">
        <v>20</v>
      </c>
      <c r="B1160" s="111"/>
      <c r="C1160" s="111"/>
      <c r="D1160" s="112"/>
      <c r="J1160" s="8"/>
      <c r="K1160" s="8"/>
      <c r="L1160" s="8"/>
      <c r="M1160" s="8"/>
      <c r="N1160" s="8"/>
      <c r="O1160" s="8"/>
      <c r="P1160" s="8"/>
    </row>
    <row r="1161" spans="1:16" s="7" customFormat="1" ht="42.75" customHeight="1" thickBot="1">
      <c r="A1161" s="113" t="s">
        <v>18</v>
      </c>
      <c r="B1161" s="114"/>
      <c r="C1161" s="114"/>
      <c r="D1161" s="115"/>
      <c r="J1161" s="8"/>
      <c r="K1161" s="8"/>
      <c r="L1161" s="8"/>
      <c r="M1161" s="8"/>
      <c r="N1161" s="8"/>
      <c r="O1161" s="8"/>
      <c r="P1161" s="8"/>
    </row>
    <row r="1162" spans="1:16" s="7" customFormat="1" ht="42.75" customHeight="1" thickBot="1">
      <c r="A1162" s="126" t="s">
        <v>19</v>
      </c>
      <c r="B1162" s="127"/>
      <c r="C1162" s="127"/>
      <c r="D1162" s="128"/>
      <c r="J1162" s="8"/>
      <c r="K1162" s="8"/>
      <c r="L1162" s="8"/>
      <c r="M1162" s="8"/>
      <c r="N1162" s="8"/>
      <c r="O1162" s="8"/>
      <c r="P1162" s="8"/>
    </row>
    <row r="1163" spans="1:16" s="7" customFormat="1" ht="42.75" customHeight="1" thickBot="1">
      <c r="A1163" s="123" t="s">
        <v>11</v>
      </c>
      <c r="B1163" s="124"/>
      <c r="C1163" s="125" t="s">
        <v>603</v>
      </c>
      <c r="D1163" s="124"/>
      <c r="J1163" s="8"/>
      <c r="K1163" s="8"/>
      <c r="L1163" s="8"/>
      <c r="M1163" s="8"/>
      <c r="N1163" s="8"/>
      <c r="O1163" s="8"/>
      <c r="P1163" s="8"/>
    </row>
    <row r="1164" spans="1:16" s="7" customFormat="1" ht="42.75" customHeight="1" thickBot="1">
      <c r="A1164" s="1" t="s">
        <v>686</v>
      </c>
      <c r="B1164" s="26" t="s">
        <v>1</v>
      </c>
      <c r="C1164" s="90" t="s">
        <v>340</v>
      </c>
      <c r="D1164" s="91"/>
      <c r="J1164" s="8"/>
      <c r="K1164" s="8"/>
      <c r="L1164" s="8"/>
      <c r="M1164" s="8"/>
      <c r="N1164" s="8"/>
      <c r="O1164" s="8"/>
      <c r="P1164" s="8"/>
    </row>
    <row r="1165" spans="1:16" s="7" customFormat="1" ht="42.75" customHeight="1" thickBot="1">
      <c r="A1165" s="26"/>
      <c r="B1165" s="26" t="s">
        <v>0</v>
      </c>
      <c r="C1165" s="5" t="s">
        <v>687</v>
      </c>
      <c r="D1165" s="4" t="s">
        <v>2</v>
      </c>
      <c r="J1165" s="8"/>
      <c r="K1165" s="8"/>
      <c r="L1165" s="8"/>
      <c r="M1165" s="8"/>
      <c r="N1165" s="8"/>
      <c r="O1165" s="8"/>
      <c r="P1165" s="8"/>
    </row>
    <row r="1166" spans="1:16" s="7" customFormat="1" ht="42.75" customHeight="1" thickBot="1">
      <c r="A1166" s="92">
        <v>5710</v>
      </c>
      <c r="B1166" s="93"/>
      <c r="C1166" s="94" t="s">
        <v>3</v>
      </c>
      <c r="D1166" s="95"/>
      <c r="J1166" s="8"/>
      <c r="K1166" s="8"/>
      <c r="L1166" s="8"/>
      <c r="M1166" s="8"/>
      <c r="N1166" s="8"/>
      <c r="O1166" s="8"/>
      <c r="P1166" s="8"/>
    </row>
    <row r="1167" spans="1:16" s="7" customFormat="1" ht="42.75" customHeight="1" thickBot="1">
      <c r="A1167" s="92">
        <v>5740</v>
      </c>
      <c r="B1167" s="93"/>
      <c r="C1167" s="96" t="s">
        <v>4</v>
      </c>
      <c r="D1167" s="97"/>
      <c r="J1167" s="8"/>
      <c r="K1167" s="8"/>
      <c r="L1167" s="8"/>
      <c r="M1167" s="8"/>
      <c r="N1167" s="8"/>
      <c r="O1167" s="8"/>
      <c r="P1167" s="8"/>
    </row>
    <row r="1168" spans="1:16" s="7" customFormat="1" ht="42.75" customHeight="1" thickBot="1">
      <c r="A1168" s="98">
        <f>A1167-A1166</f>
        <v>30</v>
      </c>
      <c r="B1168" s="99"/>
      <c r="C1168" s="100" t="s">
        <v>5</v>
      </c>
      <c r="D1168" s="97"/>
      <c r="J1168" s="8"/>
      <c r="K1168" s="8"/>
      <c r="L1168" s="8"/>
      <c r="M1168" s="8"/>
      <c r="N1168" s="8"/>
      <c r="O1168" s="8"/>
      <c r="P1168" s="8"/>
    </row>
    <row r="1169" spans="1:16" s="7" customFormat="1" ht="42.75" customHeight="1" thickBot="1">
      <c r="A1169" s="101">
        <v>62</v>
      </c>
      <c r="B1169" s="102"/>
      <c r="C1169" s="96" t="s">
        <v>6</v>
      </c>
      <c r="D1169" s="97"/>
      <c r="J1169" s="8"/>
      <c r="K1169" s="8"/>
      <c r="L1169" s="8"/>
      <c r="M1169" s="8"/>
      <c r="N1169" s="8"/>
      <c r="O1169" s="8"/>
      <c r="P1169" s="8"/>
    </row>
    <row r="1170" spans="1:16" s="7" customFormat="1" ht="42.75" customHeight="1" thickBot="1">
      <c r="A1170" s="103"/>
      <c r="B1170" s="104"/>
      <c r="C1170" s="96" t="s">
        <v>21</v>
      </c>
      <c r="D1170" s="97"/>
      <c r="J1170" s="8"/>
      <c r="K1170" s="8"/>
      <c r="L1170" s="8"/>
      <c r="M1170" s="8"/>
      <c r="N1170" s="8"/>
      <c r="O1170" s="8"/>
      <c r="P1170" s="8"/>
    </row>
    <row r="1171" spans="1:16" s="7" customFormat="1" ht="42.75" customHeight="1" thickBot="1">
      <c r="A1171" s="105">
        <f>A1169*A1168</f>
        <v>1860</v>
      </c>
      <c r="B1171" s="106"/>
      <c r="C1171" s="96" t="s">
        <v>7</v>
      </c>
      <c r="D1171" s="97"/>
      <c r="J1171" s="8"/>
      <c r="K1171" s="8"/>
      <c r="L1171" s="8"/>
      <c r="M1171" s="8"/>
      <c r="N1171" s="8"/>
      <c r="O1171" s="8"/>
      <c r="P1171" s="8"/>
    </row>
    <row r="1172" spans="1:16" s="7" customFormat="1" ht="42.75" customHeight="1" thickBot="1">
      <c r="A1172" s="107" t="s">
        <v>17</v>
      </c>
      <c r="B1172" s="108"/>
      <c r="C1172" s="108"/>
      <c r="D1172" s="109"/>
      <c r="J1172" s="8"/>
      <c r="K1172" s="8"/>
      <c r="L1172" s="8"/>
      <c r="M1172" s="8"/>
      <c r="N1172" s="8"/>
      <c r="O1172" s="8"/>
      <c r="P1172" s="8"/>
    </row>
    <row r="1173" spans="1:16" s="7" customFormat="1" ht="42.75" customHeight="1" thickBot="1">
      <c r="A1173" s="116" t="s">
        <v>20</v>
      </c>
      <c r="B1173" s="117"/>
      <c r="C1173" s="117"/>
      <c r="D1173" s="118"/>
      <c r="J1173" s="8"/>
      <c r="K1173" s="8"/>
      <c r="L1173" s="8"/>
      <c r="M1173" s="8"/>
      <c r="N1173" s="8"/>
      <c r="O1173" s="8"/>
      <c r="P1173" s="8"/>
    </row>
    <row r="1174" spans="1:16" s="7" customFormat="1" ht="42.75" customHeight="1" thickBot="1">
      <c r="A1174" s="113" t="s">
        <v>18</v>
      </c>
      <c r="B1174" s="114"/>
      <c r="C1174" s="114"/>
      <c r="D1174" s="115"/>
      <c r="J1174" s="8"/>
      <c r="K1174" s="8"/>
      <c r="L1174" s="8"/>
      <c r="M1174" s="8"/>
      <c r="N1174" s="8"/>
      <c r="O1174" s="8"/>
      <c r="P1174" s="8"/>
    </row>
    <row r="1175" spans="1:16" s="7" customFormat="1" ht="42.75" customHeight="1" thickBot="1">
      <c r="A1175" s="119"/>
      <c r="B1175" s="119"/>
      <c r="C1175" s="119"/>
      <c r="D1175" s="119"/>
      <c r="J1175" s="8"/>
      <c r="K1175" s="8"/>
      <c r="L1175" s="8"/>
      <c r="M1175" s="8"/>
      <c r="N1175" s="8"/>
      <c r="O1175" s="8"/>
      <c r="P1175" s="8"/>
    </row>
    <row r="1176" spans="1:16" s="7" customFormat="1" ht="42.75" customHeight="1" thickBot="1">
      <c r="A1176" s="126" t="s">
        <v>19</v>
      </c>
      <c r="B1176" s="127"/>
      <c r="C1176" s="127"/>
      <c r="D1176" s="128"/>
      <c r="J1176" s="8"/>
      <c r="K1176" s="8"/>
      <c r="L1176" s="8"/>
      <c r="M1176" s="8"/>
      <c r="N1176" s="8"/>
      <c r="O1176" s="8"/>
      <c r="P1176" s="8"/>
    </row>
    <row r="1177" spans="1:16" s="7" customFormat="1" ht="42.75" customHeight="1" thickBot="1">
      <c r="A1177" s="123" t="s">
        <v>11</v>
      </c>
      <c r="B1177" s="124"/>
      <c r="C1177" s="125" t="s">
        <v>603</v>
      </c>
      <c r="D1177" s="124"/>
      <c r="J1177" s="8"/>
      <c r="K1177" s="8"/>
      <c r="L1177" s="8"/>
      <c r="M1177" s="8"/>
      <c r="N1177" s="8"/>
      <c r="O1177" s="8"/>
      <c r="P1177" s="8"/>
    </row>
    <row r="1178" spans="1:16" s="7" customFormat="1" ht="42.75" customHeight="1" thickBot="1">
      <c r="A1178" s="1" t="s">
        <v>686</v>
      </c>
      <c r="B1178" s="26" t="s">
        <v>1</v>
      </c>
      <c r="C1178" s="90" t="s">
        <v>340</v>
      </c>
      <c r="D1178" s="91"/>
      <c r="J1178" s="8"/>
      <c r="K1178" s="8"/>
      <c r="L1178" s="8"/>
      <c r="M1178" s="8"/>
      <c r="N1178" s="8"/>
      <c r="O1178" s="8"/>
      <c r="P1178" s="8"/>
    </row>
    <row r="1179" spans="1:16" s="7" customFormat="1" ht="42.75" customHeight="1" thickBot="1">
      <c r="A1179" s="26"/>
      <c r="B1179" s="26" t="s">
        <v>0</v>
      </c>
      <c r="C1179" s="5" t="s">
        <v>687</v>
      </c>
      <c r="D1179" s="4" t="s">
        <v>2</v>
      </c>
      <c r="J1179" s="8"/>
      <c r="K1179" s="8"/>
      <c r="L1179" s="8"/>
      <c r="M1179" s="8"/>
      <c r="N1179" s="8"/>
      <c r="O1179" s="8"/>
      <c r="P1179" s="8"/>
    </row>
    <row r="1180" spans="1:16" s="7" customFormat="1" ht="42.75" customHeight="1" thickBot="1">
      <c r="A1180" s="92">
        <v>5710</v>
      </c>
      <c r="B1180" s="93"/>
      <c r="C1180" s="94" t="s">
        <v>3</v>
      </c>
      <c r="D1180" s="95"/>
      <c r="J1180" s="8"/>
      <c r="K1180" s="8"/>
      <c r="L1180" s="8"/>
      <c r="M1180" s="8"/>
      <c r="N1180" s="8"/>
      <c r="O1180" s="8"/>
      <c r="P1180" s="8"/>
    </row>
    <row r="1181" spans="1:16" s="7" customFormat="1" ht="42.75" customHeight="1" thickBot="1">
      <c r="A1181" s="92">
        <v>5740</v>
      </c>
      <c r="B1181" s="93"/>
      <c r="C1181" s="96" t="s">
        <v>4</v>
      </c>
      <c r="D1181" s="97"/>
      <c r="J1181" s="8"/>
      <c r="K1181" s="8"/>
      <c r="L1181" s="8"/>
      <c r="M1181" s="8"/>
      <c r="N1181" s="8"/>
      <c r="O1181" s="8"/>
      <c r="P1181" s="8"/>
    </row>
    <row r="1182" spans="1:16" s="7" customFormat="1" ht="42.75" customHeight="1" thickBot="1">
      <c r="A1182" s="98">
        <f>A1181-A1180</f>
        <v>30</v>
      </c>
      <c r="B1182" s="99"/>
      <c r="C1182" s="100" t="s">
        <v>5</v>
      </c>
      <c r="D1182" s="97"/>
      <c r="J1182" s="8"/>
      <c r="K1182" s="8"/>
      <c r="L1182" s="8"/>
      <c r="M1182" s="8"/>
      <c r="N1182" s="8"/>
      <c r="O1182" s="8"/>
      <c r="P1182" s="8"/>
    </row>
    <row r="1183" spans="1:16" s="7" customFormat="1" ht="42.75" customHeight="1" thickBot="1">
      <c r="A1183" s="101">
        <v>62</v>
      </c>
      <c r="B1183" s="102"/>
      <c r="C1183" s="96" t="s">
        <v>6</v>
      </c>
      <c r="D1183" s="97"/>
      <c r="J1183" s="8"/>
      <c r="K1183" s="8"/>
      <c r="L1183" s="8"/>
      <c r="M1183" s="8"/>
      <c r="N1183" s="8"/>
      <c r="O1183" s="8"/>
      <c r="P1183" s="8"/>
    </row>
    <row r="1184" spans="1:16" s="7" customFormat="1" ht="42.75" customHeight="1" thickBot="1">
      <c r="A1184" s="103"/>
      <c r="B1184" s="104"/>
      <c r="C1184" s="96" t="s">
        <v>21</v>
      </c>
      <c r="D1184" s="97"/>
      <c r="J1184" s="8"/>
      <c r="K1184" s="8"/>
      <c r="L1184" s="8"/>
      <c r="M1184" s="8"/>
      <c r="N1184" s="8"/>
      <c r="O1184" s="8"/>
      <c r="P1184" s="8"/>
    </row>
    <row r="1185" spans="1:16" s="7" customFormat="1" ht="42.75" customHeight="1" thickBot="1">
      <c r="A1185" s="105">
        <f>A1183*A1182</f>
        <v>1860</v>
      </c>
      <c r="B1185" s="106"/>
      <c r="C1185" s="96" t="s">
        <v>7</v>
      </c>
      <c r="D1185" s="97"/>
      <c r="J1185" s="8"/>
      <c r="K1185" s="8"/>
      <c r="L1185" s="8"/>
      <c r="M1185" s="8"/>
      <c r="N1185" s="8"/>
      <c r="O1185" s="8"/>
      <c r="P1185" s="8"/>
    </row>
    <row r="1186" spans="1:16" s="7" customFormat="1" ht="42.75" customHeight="1" thickBot="1">
      <c r="A1186" s="107" t="s">
        <v>17</v>
      </c>
      <c r="B1186" s="108"/>
      <c r="C1186" s="108"/>
      <c r="D1186" s="109"/>
      <c r="J1186" s="8"/>
      <c r="K1186" s="8"/>
      <c r="L1186" s="8"/>
      <c r="M1186" s="8"/>
      <c r="N1186" s="8"/>
      <c r="O1186" s="8"/>
      <c r="P1186" s="8"/>
    </row>
    <row r="1187" spans="1:16" s="7" customFormat="1" ht="42.75" customHeight="1" thickBot="1">
      <c r="A1187" s="110" t="s">
        <v>20</v>
      </c>
      <c r="B1187" s="111"/>
      <c r="C1187" s="111"/>
      <c r="D1187" s="112"/>
      <c r="J1187" s="8"/>
      <c r="K1187" s="8"/>
      <c r="L1187" s="8"/>
      <c r="M1187" s="8"/>
      <c r="N1187" s="8"/>
      <c r="O1187" s="8"/>
      <c r="P1187" s="8"/>
    </row>
    <row r="1188" spans="1:16" s="7" customFormat="1" ht="42.75" customHeight="1" thickBot="1">
      <c r="A1188" s="113" t="s">
        <v>18</v>
      </c>
      <c r="B1188" s="114"/>
      <c r="C1188" s="114"/>
      <c r="D1188" s="115"/>
      <c r="J1188" s="8"/>
      <c r="K1188" s="8"/>
      <c r="L1188" s="8"/>
      <c r="M1188" s="8"/>
      <c r="N1188" s="8"/>
      <c r="O1188" s="8"/>
      <c r="P1188" s="8"/>
    </row>
    <row r="1189" spans="1:16" s="7" customFormat="1" ht="42.75" customHeight="1" thickBot="1">
      <c r="A1189" s="126" t="s">
        <v>19</v>
      </c>
      <c r="B1189" s="127"/>
      <c r="C1189" s="127"/>
      <c r="D1189" s="128"/>
      <c r="J1189" s="8"/>
      <c r="K1189" s="8"/>
      <c r="L1189" s="8"/>
      <c r="M1189" s="8"/>
      <c r="N1189" s="8"/>
      <c r="O1189" s="8"/>
      <c r="P1189" s="8"/>
    </row>
    <row r="1190" spans="1:16" s="7" customFormat="1" ht="42.75" customHeight="1" thickBot="1">
      <c r="A1190" s="123" t="s">
        <v>11</v>
      </c>
      <c r="B1190" s="124"/>
      <c r="C1190" s="125" t="s">
        <v>603</v>
      </c>
      <c r="D1190" s="124"/>
      <c r="J1190" s="8"/>
      <c r="K1190" s="8"/>
      <c r="L1190" s="8"/>
      <c r="M1190" s="8"/>
      <c r="N1190" s="8"/>
      <c r="O1190" s="8"/>
      <c r="P1190" s="8"/>
    </row>
    <row r="1191" spans="1:16" s="7" customFormat="1" ht="42.75" customHeight="1" thickBot="1">
      <c r="A1191" s="1" t="s">
        <v>686</v>
      </c>
      <c r="B1191" s="26" t="s">
        <v>1</v>
      </c>
      <c r="C1191" s="90" t="s">
        <v>553</v>
      </c>
      <c r="D1191" s="91"/>
      <c r="J1191" s="8"/>
      <c r="K1191" s="8"/>
      <c r="L1191" s="8"/>
      <c r="M1191" s="8"/>
      <c r="N1191" s="8"/>
      <c r="O1191" s="8"/>
      <c r="P1191" s="8"/>
    </row>
    <row r="1192" spans="1:16" s="7" customFormat="1" ht="42.75" customHeight="1" thickBot="1">
      <c r="A1192" s="26"/>
      <c r="B1192" s="26" t="s">
        <v>0</v>
      </c>
      <c r="C1192" s="5" t="s">
        <v>687</v>
      </c>
      <c r="D1192" s="4" t="s">
        <v>2</v>
      </c>
      <c r="J1192" s="8"/>
      <c r="K1192" s="8"/>
      <c r="L1192" s="8"/>
      <c r="M1192" s="8"/>
      <c r="N1192" s="8"/>
      <c r="O1192" s="8"/>
      <c r="P1192" s="8"/>
    </row>
    <row r="1193" spans="1:16" s="7" customFormat="1" ht="42.75" customHeight="1" thickBot="1">
      <c r="A1193" s="92">
        <v>1210</v>
      </c>
      <c r="B1193" s="93"/>
      <c r="C1193" s="94" t="s">
        <v>3</v>
      </c>
      <c r="D1193" s="95"/>
      <c r="J1193" s="8"/>
      <c r="K1193" s="8"/>
      <c r="L1193" s="8"/>
      <c r="M1193" s="8"/>
      <c r="N1193" s="8"/>
      <c r="O1193" s="8"/>
      <c r="P1193" s="8"/>
    </row>
    <row r="1194" spans="1:16" s="7" customFormat="1" ht="42.75" customHeight="1" thickBot="1">
      <c r="A1194" s="92">
        <v>1255</v>
      </c>
      <c r="B1194" s="93"/>
      <c r="C1194" s="96" t="s">
        <v>4</v>
      </c>
      <c r="D1194" s="97"/>
      <c r="J1194" s="8"/>
      <c r="K1194" s="8"/>
      <c r="L1194" s="8"/>
      <c r="M1194" s="8"/>
      <c r="N1194" s="8"/>
      <c r="O1194" s="8"/>
      <c r="P1194" s="8"/>
    </row>
    <row r="1195" spans="1:16" s="7" customFormat="1" ht="42.75" customHeight="1" thickBot="1">
      <c r="A1195" s="98">
        <f>A1194-A1193</f>
        <v>45</v>
      </c>
      <c r="B1195" s="99"/>
      <c r="C1195" s="100" t="s">
        <v>5</v>
      </c>
      <c r="D1195" s="97"/>
      <c r="J1195" s="8"/>
      <c r="K1195" s="8"/>
      <c r="L1195" s="8"/>
      <c r="M1195" s="8"/>
      <c r="N1195" s="8"/>
      <c r="O1195" s="8"/>
      <c r="P1195" s="8"/>
    </row>
    <row r="1196" spans="1:16" s="7" customFormat="1" ht="42.75" customHeight="1" thickBot="1">
      <c r="A1196" s="101">
        <v>62</v>
      </c>
      <c r="B1196" s="102"/>
      <c r="C1196" s="96" t="s">
        <v>6</v>
      </c>
      <c r="D1196" s="97"/>
      <c r="J1196" s="8"/>
      <c r="K1196" s="8"/>
      <c r="L1196" s="8"/>
      <c r="M1196" s="8"/>
      <c r="N1196" s="8"/>
      <c r="O1196" s="8"/>
      <c r="P1196" s="8"/>
    </row>
    <row r="1197" spans="1:16" s="7" customFormat="1" ht="42.75" customHeight="1" thickBot="1">
      <c r="A1197" s="103"/>
      <c r="B1197" s="104"/>
      <c r="C1197" s="96" t="s">
        <v>21</v>
      </c>
      <c r="D1197" s="97"/>
      <c r="J1197" s="8"/>
      <c r="K1197" s="8"/>
      <c r="L1197" s="8"/>
      <c r="M1197" s="8"/>
      <c r="N1197" s="8"/>
      <c r="O1197" s="8"/>
      <c r="P1197" s="8"/>
    </row>
    <row r="1198" spans="1:16" s="7" customFormat="1" ht="42.75" customHeight="1" thickBot="1">
      <c r="A1198" s="105">
        <v>2800</v>
      </c>
      <c r="B1198" s="106"/>
      <c r="C1198" s="96" t="s">
        <v>7</v>
      </c>
      <c r="D1198" s="97"/>
      <c r="J1198" s="8"/>
      <c r="K1198" s="8"/>
      <c r="L1198" s="8"/>
      <c r="M1198" s="8"/>
      <c r="N1198" s="8"/>
      <c r="O1198" s="8"/>
      <c r="P1198" s="8"/>
    </row>
    <row r="1199" spans="1:16" s="7" customFormat="1" ht="42.75" customHeight="1" thickBot="1">
      <c r="A1199" s="107" t="s">
        <v>17</v>
      </c>
      <c r="B1199" s="108"/>
      <c r="C1199" s="108"/>
      <c r="D1199" s="109"/>
      <c r="J1199" s="8"/>
      <c r="K1199" s="8"/>
      <c r="L1199" s="8"/>
      <c r="M1199" s="8"/>
      <c r="N1199" s="8"/>
      <c r="O1199" s="8"/>
      <c r="P1199" s="8"/>
    </row>
    <row r="1200" spans="1:16" s="7" customFormat="1" ht="42.75" customHeight="1" thickBot="1">
      <c r="A1200" s="116" t="s">
        <v>20</v>
      </c>
      <c r="B1200" s="117"/>
      <c r="C1200" s="117"/>
      <c r="D1200" s="118"/>
      <c r="J1200" s="8"/>
      <c r="K1200" s="8"/>
      <c r="L1200" s="8"/>
      <c r="M1200" s="8"/>
      <c r="N1200" s="8"/>
      <c r="O1200" s="8"/>
      <c r="P1200" s="8"/>
    </row>
    <row r="1201" spans="1:16" s="7" customFormat="1" ht="42.75" customHeight="1" thickBot="1">
      <c r="A1201" s="113" t="s">
        <v>18</v>
      </c>
      <c r="B1201" s="114"/>
      <c r="C1201" s="114"/>
      <c r="D1201" s="115"/>
      <c r="J1201" s="8"/>
      <c r="K1201" s="8"/>
      <c r="L1201" s="8"/>
      <c r="M1201" s="8"/>
      <c r="N1201" s="8"/>
      <c r="O1201" s="8"/>
      <c r="P1201" s="8"/>
    </row>
    <row r="1202" spans="1:16" s="7" customFormat="1" ht="42.75" customHeight="1" thickBot="1">
      <c r="A1202" s="119"/>
      <c r="B1202" s="119"/>
      <c r="C1202" s="119"/>
      <c r="D1202" s="119"/>
      <c r="J1202" s="8"/>
      <c r="K1202" s="8"/>
      <c r="L1202" s="8"/>
      <c r="M1202" s="8"/>
      <c r="N1202" s="8"/>
      <c r="O1202" s="8"/>
      <c r="P1202" s="8"/>
    </row>
    <row r="1203" spans="1:16" s="7" customFormat="1" ht="42.75" customHeight="1" thickBot="1">
      <c r="A1203" s="126" t="s">
        <v>19</v>
      </c>
      <c r="B1203" s="127"/>
      <c r="C1203" s="127"/>
      <c r="D1203" s="128"/>
      <c r="J1203" s="8"/>
      <c r="K1203" s="8"/>
      <c r="L1203" s="8"/>
      <c r="M1203" s="8"/>
      <c r="N1203" s="8"/>
      <c r="O1203" s="8"/>
      <c r="P1203" s="8"/>
    </row>
    <row r="1204" spans="1:16" s="7" customFormat="1" ht="42.75" customHeight="1" thickBot="1">
      <c r="A1204" s="123" t="s">
        <v>11</v>
      </c>
      <c r="B1204" s="124"/>
      <c r="C1204" s="125" t="s">
        <v>603</v>
      </c>
      <c r="D1204" s="124"/>
      <c r="J1204" s="8"/>
      <c r="K1204" s="8"/>
      <c r="L1204" s="8"/>
      <c r="M1204" s="8"/>
      <c r="N1204" s="8"/>
      <c r="O1204" s="8"/>
      <c r="P1204" s="8"/>
    </row>
    <row r="1205" spans="1:16" s="7" customFormat="1" ht="42.75" customHeight="1" thickBot="1">
      <c r="A1205" s="1" t="s">
        <v>686</v>
      </c>
      <c r="B1205" s="26" t="s">
        <v>1</v>
      </c>
      <c r="C1205" s="90" t="s">
        <v>553</v>
      </c>
      <c r="D1205" s="91"/>
      <c r="J1205" s="8"/>
      <c r="K1205" s="8"/>
      <c r="L1205" s="8"/>
      <c r="M1205" s="8"/>
      <c r="N1205" s="8"/>
      <c r="O1205" s="8"/>
      <c r="P1205" s="8"/>
    </row>
    <row r="1206" spans="1:16" s="7" customFormat="1" ht="42.75" customHeight="1" thickBot="1">
      <c r="A1206" s="26"/>
      <c r="B1206" s="26" t="s">
        <v>0</v>
      </c>
      <c r="C1206" s="5" t="s">
        <v>687</v>
      </c>
      <c r="D1206" s="4" t="s">
        <v>2</v>
      </c>
      <c r="J1206" s="8"/>
      <c r="K1206" s="8"/>
      <c r="L1206" s="8"/>
      <c r="M1206" s="8"/>
      <c r="N1206" s="8"/>
      <c r="O1206" s="8"/>
      <c r="P1206" s="8"/>
    </row>
    <row r="1207" spans="1:16" s="7" customFormat="1" ht="42.75" customHeight="1" thickBot="1">
      <c r="A1207" s="92">
        <v>1210</v>
      </c>
      <c r="B1207" s="93"/>
      <c r="C1207" s="94" t="s">
        <v>3</v>
      </c>
      <c r="D1207" s="95"/>
      <c r="J1207" s="8"/>
      <c r="K1207" s="8"/>
      <c r="L1207" s="8"/>
      <c r="M1207" s="8"/>
      <c r="N1207" s="8"/>
      <c r="O1207" s="8"/>
      <c r="P1207" s="8"/>
    </row>
    <row r="1208" spans="1:16" s="7" customFormat="1" ht="42.75" customHeight="1" thickBot="1">
      <c r="A1208" s="92">
        <v>1255</v>
      </c>
      <c r="B1208" s="93"/>
      <c r="C1208" s="96" t="s">
        <v>4</v>
      </c>
      <c r="D1208" s="97"/>
      <c r="J1208" s="8"/>
      <c r="K1208" s="8"/>
      <c r="L1208" s="8"/>
      <c r="M1208" s="8"/>
      <c r="N1208" s="8"/>
      <c r="O1208" s="8"/>
      <c r="P1208" s="8"/>
    </row>
    <row r="1209" spans="1:16" s="7" customFormat="1" ht="42.75" customHeight="1" thickBot="1">
      <c r="A1209" s="98">
        <f>A1208-A1207</f>
        <v>45</v>
      </c>
      <c r="B1209" s="99"/>
      <c r="C1209" s="100" t="s">
        <v>5</v>
      </c>
      <c r="D1209" s="97"/>
      <c r="J1209" s="8"/>
      <c r="K1209" s="8"/>
      <c r="L1209" s="8"/>
      <c r="M1209" s="8"/>
      <c r="N1209" s="8"/>
      <c r="O1209" s="8"/>
      <c r="P1209" s="8"/>
    </row>
    <row r="1210" spans="1:16" s="7" customFormat="1" ht="42.75" customHeight="1" thickBot="1">
      <c r="A1210" s="101">
        <v>62</v>
      </c>
      <c r="B1210" s="102"/>
      <c r="C1210" s="96" t="s">
        <v>6</v>
      </c>
      <c r="D1210" s="97"/>
      <c r="J1210" s="8"/>
      <c r="K1210" s="8"/>
      <c r="L1210" s="8"/>
      <c r="M1210" s="8"/>
      <c r="N1210" s="8"/>
      <c r="O1210" s="8"/>
      <c r="P1210" s="8"/>
    </row>
    <row r="1211" spans="1:16" s="7" customFormat="1" ht="42.75" customHeight="1" thickBot="1">
      <c r="A1211" s="103"/>
      <c r="B1211" s="104"/>
      <c r="C1211" s="96" t="s">
        <v>21</v>
      </c>
      <c r="D1211" s="97"/>
      <c r="J1211" s="8"/>
      <c r="K1211" s="8"/>
      <c r="L1211" s="8"/>
      <c r="M1211" s="8"/>
      <c r="N1211" s="8"/>
      <c r="O1211" s="8"/>
      <c r="P1211" s="8"/>
    </row>
    <row r="1212" spans="1:16" s="7" customFormat="1" ht="42.75" customHeight="1" thickBot="1">
      <c r="A1212" s="105">
        <v>2800</v>
      </c>
      <c r="B1212" s="106"/>
      <c r="C1212" s="96" t="s">
        <v>7</v>
      </c>
      <c r="D1212" s="97"/>
      <c r="J1212" s="8"/>
      <c r="K1212" s="8"/>
      <c r="L1212" s="8"/>
      <c r="M1212" s="8"/>
      <c r="N1212" s="8"/>
      <c r="O1212" s="8"/>
      <c r="P1212" s="8"/>
    </row>
    <row r="1213" spans="1:16" s="7" customFormat="1" ht="42.75" customHeight="1" thickBot="1">
      <c r="A1213" s="107" t="s">
        <v>17</v>
      </c>
      <c r="B1213" s="108"/>
      <c r="C1213" s="108"/>
      <c r="D1213" s="109"/>
      <c r="J1213" s="8"/>
      <c r="K1213" s="8"/>
      <c r="L1213" s="8"/>
      <c r="M1213" s="8"/>
      <c r="N1213" s="8"/>
      <c r="O1213" s="8"/>
      <c r="P1213" s="8"/>
    </row>
    <row r="1214" spans="1:16" s="7" customFormat="1" ht="42.75" customHeight="1" thickBot="1">
      <c r="A1214" s="110" t="s">
        <v>20</v>
      </c>
      <c r="B1214" s="111"/>
      <c r="C1214" s="111"/>
      <c r="D1214" s="112"/>
      <c r="J1214" s="8"/>
      <c r="K1214" s="8"/>
      <c r="L1214" s="8"/>
      <c r="M1214" s="8"/>
      <c r="N1214" s="8"/>
      <c r="O1214" s="8"/>
      <c r="P1214" s="8"/>
    </row>
    <row r="1215" spans="1:16" s="7" customFormat="1" ht="42.75" customHeight="1" thickBot="1">
      <c r="A1215" s="113" t="s">
        <v>18</v>
      </c>
      <c r="B1215" s="114"/>
      <c r="C1215" s="114"/>
      <c r="D1215" s="115"/>
      <c r="J1215" s="8"/>
      <c r="K1215" s="8"/>
      <c r="L1215" s="8"/>
      <c r="M1215" s="8"/>
      <c r="N1215" s="8"/>
      <c r="O1215" s="8"/>
      <c r="P1215" s="8"/>
    </row>
    <row r="1216" spans="1:16" s="7" customFormat="1" ht="42.75" customHeight="1" thickBot="1">
      <c r="A1216" s="126" t="s">
        <v>19</v>
      </c>
      <c r="B1216" s="127"/>
      <c r="C1216" s="127"/>
      <c r="D1216" s="128"/>
      <c r="J1216" s="8"/>
      <c r="K1216" s="8"/>
      <c r="L1216" s="8"/>
      <c r="M1216" s="8"/>
      <c r="N1216" s="8"/>
      <c r="O1216" s="8"/>
      <c r="P1216" s="8"/>
    </row>
    <row r="1217" spans="1:16" s="7" customFormat="1" ht="42.75" customHeight="1" thickBot="1">
      <c r="A1217" s="123" t="s">
        <v>11</v>
      </c>
      <c r="B1217" s="124"/>
      <c r="C1217" s="125" t="s">
        <v>603</v>
      </c>
      <c r="D1217" s="124"/>
      <c r="J1217" s="8"/>
      <c r="K1217" s="8"/>
      <c r="L1217" s="8"/>
      <c r="M1217" s="8"/>
      <c r="N1217" s="8"/>
      <c r="O1217" s="8"/>
      <c r="P1217" s="8"/>
    </row>
    <row r="1218" spans="1:16" s="7" customFormat="1" ht="42.75" customHeight="1" thickBot="1">
      <c r="A1218" s="1" t="s">
        <v>686</v>
      </c>
      <c r="B1218" s="26" t="s">
        <v>1</v>
      </c>
      <c r="C1218" s="90" t="s">
        <v>666</v>
      </c>
      <c r="D1218" s="91"/>
      <c r="J1218" s="8"/>
      <c r="K1218" s="8"/>
      <c r="L1218" s="8"/>
      <c r="M1218" s="8"/>
      <c r="N1218" s="8"/>
      <c r="O1218" s="8"/>
      <c r="P1218" s="8"/>
    </row>
    <row r="1219" spans="1:16" s="7" customFormat="1" ht="42.75" customHeight="1" thickBot="1">
      <c r="A1219" s="26"/>
      <c r="B1219" s="26" t="s">
        <v>0</v>
      </c>
      <c r="C1219" s="5" t="s">
        <v>687</v>
      </c>
      <c r="D1219" s="4" t="s">
        <v>2</v>
      </c>
      <c r="J1219" s="8"/>
      <c r="K1219" s="8"/>
      <c r="L1219" s="8"/>
      <c r="M1219" s="8"/>
      <c r="N1219" s="8"/>
      <c r="O1219" s="8"/>
      <c r="P1219" s="8"/>
    </row>
    <row r="1220" spans="1:16" s="7" customFormat="1" ht="42.75" customHeight="1" thickBot="1">
      <c r="A1220" s="92">
        <v>265</v>
      </c>
      <c r="B1220" s="93"/>
      <c r="C1220" s="94" t="s">
        <v>3</v>
      </c>
      <c r="D1220" s="95"/>
      <c r="J1220" s="8"/>
      <c r="K1220" s="8"/>
      <c r="L1220" s="8"/>
      <c r="M1220" s="8"/>
      <c r="N1220" s="8"/>
      <c r="O1220" s="8"/>
      <c r="P1220" s="8"/>
    </row>
    <row r="1221" spans="1:16" s="7" customFormat="1" ht="42.75" customHeight="1" thickBot="1">
      <c r="A1221" s="92">
        <v>270</v>
      </c>
      <c r="B1221" s="93"/>
      <c r="C1221" s="96" t="s">
        <v>4</v>
      </c>
      <c r="D1221" s="97"/>
      <c r="J1221" s="8"/>
      <c r="K1221" s="8"/>
      <c r="L1221" s="8"/>
      <c r="M1221" s="8"/>
      <c r="N1221" s="8"/>
      <c r="O1221" s="8"/>
      <c r="P1221" s="8"/>
    </row>
    <row r="1222" spans="1:16" s="7" customFormat="1" ht="42.75" customHeight="1" thickBot="1">
      <c r="A1222" s="98">
        <v>8</v>
      </c>
      <c r="B1222" s="99"/>
      <c r="C1222" s="100" t="s">
        <v>5</v>
      </c>
      <c r="D1222" s="97"/>
      <c r="J1222" s="8"/>
      <c r="K1222" s="8"/>
      <c r="L1222" s="8"/>
      <c r="M1222" s="8"/>
      <c r="N1222" s="8"/>
      <c r="O1222" s="8"/>
      <c r="P1222" s="8"/>
    </row>
    <row r="1223" spans="1:16" s="7" customFormat="1" ht="42.75" customHeight="1" thickBot="1">
      <c r="A1223" s="101">
        <v>62</v>
      </c>
      <c r="B1223" s="102"/>
      <c r="C1223" s="96" t="s">
        <v>6</v>
      </c>
      <c r="D1223" s="97"/>
      <c r="J1223" s="8"/>
      <c r="K1223" s="8"/>
      <c r="L1223" s="8"/>
      <c r="M1223" s="8"/>
      <c r="N1223" s="8"/>
      <c r="O1223" s="8"/>
      <c r="P1223" s="8"/>
    </row>
    <row r="1224" spans="1:16" s="7" customFormat="1" ht="42.75" customHeight="1" thickBot="1">
      <c r="A1224" s="103"/>
      <c r="B1224" s="104"/>
      <c r="C1224" s="96" t="s">
        <v>21</v>
      </c>
      <c r="D1224" s="97"/>
      <c r="J1224" s="8"/>
      <c r="K1224" s="8"/>
      <c r="L1224" s="8"/>
      <c r="M1224" s="8"/>
      <c r="N1224" s="8"/>
      <c r="O1224" s="8"/>
      <c r="P1224" s="8"/>
    </row>
    <row r="1225" spans="1:16" s="7" customFormat="1" ht="42.75" customHeight="1" thickBot="1">
      <c r="A1225" s="105">
        <v>500</v>
      </c>
      <c r="B1225" s="106"/>
      <c r="C1225" s="96" t="s">
        <v>7</v>
      </c>
      <c r="D1225" s="97"/>
      <c r="J1225" s="8"/>
      <c r="K1225" s="8"/>
      <c r="L1225" s="8"/>
      <c r="M1225" s="8"/>
      <c r="N1225" s="8"/>
      <c r="O1225" s="8"/>
      <c r="P1225" s="8"/>
    </row>
    <row r="1226" spans="1:16" s="7" customFormat="1" ht="42.75" customHeight="1" thickBot="1">
      <c r="A1226" s="107" t="s">
        <v>17</v>
      </c>
      <c r="B1226" s="108"/>
      <c r="C1226" s="108"/>
      <c r="D1226" s="109"/>
      <c r="J1226" s="8"/>
      <c r="K1226" s="8"/>
      <c r="L1226" s="8"/>
      <c r="M1226" s="8"/>
      <c r="N1226" s="8"/>
      <c r="O1226" s="8"/>
      <c r="P1226" s="8"/>
    </row>
    <row r="1227" spans="1:16" s="7" customFormat="1" ht="42.75" customHeight="1" thickBot="1">
      <c r="A1227" s="116" t="s">
        <v>20</v>
      </c>
      <c r="B1227" s="117"/>
      <c r="C1227" s="117"/>
      <c r="D1227" s="118"/>
      <c r="J1227" s="8"/>
      <c r="K1227" s="8"/>
      <c r="L1227" s="8"/>
      <c r="M1227" s="8"/>
      <c r="N1227" s="8"/>
      <c r="O1227" s="8"/>
      <c r="P1227" s="8"/>
    </row>
    <row r="1228" spans="1:16" s="7" customFormat="1" ht="42.75" customHeight="1" thickBot="1">
      <c r="A1228" s="113" t="s">
        <v>18</v>
      </c>
      <c r="B1228" s="114"/>
      <c r="C1228" s="114"/>
      <c r="D1228" s="115"/>
      <c r="J1228" s="8"/>
      <c r="K1228" s="8"/>
      <c r="L1228" s="8"/>
      <c r="M1228" s="8"/>
      <c r="N1228" s="8"/>
      <c r="O1228" s="8"/>
      <c r="P1228" s="8"/>
    </row>
    <row r="1229" spans="1:16" s="7" customFormat="1" ht="42.75" customHeight="1" thickBot="1">
      <c r="A1229" s="119"/>
      <c r="B1229" s="119"/>
      <c r="C1229" s="119"/>
      <c r="D1229" s="119"/>
      <c r="J1229" s="8"/>
      <c r="K1229" s="8"/>
      <c r="L1229" s="8"/>
      <c r="M1229" s="8"/>
      <c r="N1229" s="8"/>
      <c r="O1229" s="8"/>
      <c r="P1229" s="8"/>
    </row>
    <row r="1230" spans="1:16" s="7" customFormat="1" ht="42.75" customHeight="1" thickBot="1">
      <c r="A1230" s="126" t="s">
        <v>19</v>
      </c>
      <c r="B1230" s="127"/>
      <c r="C1230" s="127"/>
      <c r="D1230" s="128"/>
      <c r="J1230" s="8"/>
      <c r="K1230" s="8"/>
      <c r="L1230" s="8"/>
      <c r="M1230" s="8"/>
      <c r="N1230" s="8"/>
      <c r="O1230" s="8"/>
      <c r="P1230" s="8"/>
    </row>
    <row r="1231" spans="1:16" s="7" customFormat="1" ht="42.75" customHeight="1" thickBot="1">
      <c r="A1231" s="123" t="s">
        <v>11</v>
      </c>
      <c r="B1231" s="124"/>
      <c r="C1231" s="125" t="s">
        <v>603</v>
      </c>
      <c r="D1231" s="124"/>
      <c r="J1231" s="8"/>
      <c r="K1231" s="8"/>
      <c r="L1231" s="8"/>
      <c r="M1231" s="8"/>
      <c r="N1231" s="8"/>
      <c r="O1231" s="8"/>
      <c r="P1231" s="8"/>
    </row>
    <row r="1232" spans="1:16" s="7" customFormat="1" ht="42.75" customHeight="1" thickBot="1">
      <c r="A1232" s="1" t="s">
        <v>686</v>
      </c>
      <c r="B1232" s="26" t="s">
        <v>1</v>
      </c>
      <c r="C1232" s="90" t="s">
        <v>666</v>
      </c>
      <c r="D1232" s="91"/>
      <c r="J1232" s="8"/>
      <c r="K1232" s="8"/>
      <c r="L1232" s="8"/>
      <c r="M1232" s="8"/>
      <c r="N1232" s="8"/>
      <c r="O1232" s="8"/>
      <c r="P1232" s="8"/>
    </row>
    <row r="1233" spans="1:16" s="7" customFormat="1" ht="42.75" customHeight="1" thickBot="1">
      <c r="A1233" s="26"/>
      <c r="B1233" s="26" t="s">
        <v>0</v>
      </c>
      <c r="C1233" s="5" t="s">
        <v>687</v>
      </c>
      <c r="D1233" s="4" t="s">
        <v>2</v>
      </c>
      <c r="J1233" s="8"/>
      <c r="K1233" s="8"/>
      <c r="L1233" s="8"/>
      <c r="M1233" s="8"/>
      <c r="N1233" s="8"/>
      <c r="O1233" s="8"/>
      <c r="P1233" s="8"/>
    </row>
    <row r="1234" spans="1:16" s="7" customFormat="1" ht="42.75" customHeight="1" thickBot="1">
      <c r="A1234" s="92">
        <v>265</v>
      </c>
      <c r="B1234" s="93"/>
      <c r="C1234" s="94" t="s">
        <v>3</v>
      </c>
      <c r="D1234" s="95"/>
      <c r="J1234" s="8"/>
      <c r="K1234" s="8"/>
      <c r="L1234" s="8"/>
      <c r="M1234" s="8"/>
      <c r="N1234" s="8"/>
      <c r="O1234" s="8"/>
      <c r="P1234" s="8"/>
    </row>
    <row r="1235" spans="1:16" s="7" customFormat="1" ht="42.75" customHeight="1" thickBot="1">
      <c r="A1235" s="92">
        <v>270</v>
      </c>
      <c r="B1235" s="93"/>
      <c r="C1235" s="96" t="s">
        <v>4</v>
      </c>
      <c r="D1235" s="97"/>
      <c r="J1235" s="8"/>
      <c r="K1235" s="8"/>
      <c r="L1235" s="8"/>
      <c r="M1235" s="8"/>
      <c r="N1235" s="8"/>
      <c r="O1235" s="8"/>
      <c r="P1235" s="8"/>
    </row>
    <row r="1236" spans="1:16" s="7" customFormat="1" ht="42.75" customHeight="1" thickBot="1">
      <c r="A1236" s="98">
        <v>8</v>
      </c>
      <c r="B1236" s="99"/>
      <c r="C1236" s="100" t="s">
        <v>5</v>
      </c>
      <c r="D1236" s="97"/>
      <c r="J1236" s="8"/>
      <c r="K1236" s="8"/>
      <c r="L1236" s="8"/>
      <c r="M1236" s="8"/>
      <c r="N1236" s="8"/>
      <c r="O1236" s="8"/>
      <c r="P1236" s="8"/>
    </row>
    <row r="1237" spans="1:16" s="7" customFormat="1" ht="42.75" customHeight="1" thickBot="1">
      <c r="A1237" s="101">
        <v>62</v>
      </c>
      <c r="B1237" s="102"/>
      <c r="C1237" s="96" t="s">
        <v>6</v>
      </c>
      <c r="D1237" s="97"/>
      <c r="J1237" s="8"/>
      <c r="K1237" s="8"/>
      <c r="L1237" s="8"/>
      <c r="M1237" s="8"/>
      <c r="N1237" s="8"/>
      <c r="O1237" s="8"/>
      <c r="P1237" s="8"/>
    </row>
    <row r="1238" spans="1:16" s="7" customFormat="1" ht="42.75" customHeight="1" thickBot="1">
      <c r="A1238" s="103"/>
      <c r="B1238" s="104"/>
      <c r="C1238" s="96" t="s">
        <v>21</v>
      </c>
      <c r="D1238" s="97"/>
      <c r="J1238" s="8"/>
      <c r="K1238" s="8"/>
      <c r="L1238" s="8"/>
      <c r="M1238" s="8"/>
      <c r="N1238" s="8"/>
      <c r="O1238" s="8"/>
      <c r="P1238" s="8"/>
    </row>
    <row r="1239" spans="1:16" s="7" customFormat="1" ht="42.75" customHeight="1" thickBot="1">
      <c r="A1239" s="105">
        <v>500</v>
      </c>
      <c r="B1239" s="106"/>
      <c r="C1239" s="96" t="s">
        <v>7</v>
      </c>
      <c r="D1239" s="97"/>
      <c r="J1239" s="8"/>
      <c r="K1239" s="8"/>
      <c r="L1239" s="8"/>
      <c r="M1239" s="8"/>
      <c r="N1239" s="8"/>
      <c r="O1239" s="8"/>
      <c r="P1239" s="8"/>
    </row>
    <row r="1240" spans="1:16" s="7" customFormat="1" ht="42.75" customHeight="1" thickBot="1">
      <c r="A1240" s="107" t="s">
        <v>17</v>
      </c>
      <c r="B1240" s="108"/>
      <c r="C1240" s="108"/>
      <c r="D1240" s="109"/>
      <c r="J1240" s="8"/>
      <c r="K1240" s="8"/>
      <c r="L1240" s="8"/>
      <c r="M1240" s="8"/>
      <c r="N1240" s="8"/>
      <c r="O1240" s="8"/>
      <c r="P1240" s="8"/>
    </row>
    <row r="1241" spans="1:16" s="7" customFormat="1" ht="42.75" customHeight="1" thickBot="1">
      <c r="A1241" s="110" t="s">
        <v>20</v>
      </c>
      <c r="B1241" s="111"/>
      <c r="C1241" s="111"/>
      <c r="D1241" s="112"/>
      <c r="J1241" s="8"/>
      <c r="K1241" s="8"/>
      <c r="L1241" s="8"/>
      <c r="M1241" s="8"/>
      <c r="N1241" s="8"/>
      <c r="O1241" s="8"/>
      <c r="P1241" s="8"/>
    </row>
    <row r="1242" spans="1:16" s="7" customFormat="1" ht="42.75" customHeight="1" thickBot="1">
      <c r="A1242" s="113" t="s">
        <v>18</v>
      </c>
      <c r="B1242" s="114"/>
      <c r="C1242" s="114"/>
      <c r="D1242" s="115"/>
      <c r="J1242" s="8"/>
      <c r="K1242" s="8"/>
      <c r="L1242" s="8"/>
      <c r="M1242" s="8"/>
      <c r="N1242" s="8"/>
      <c r="O1242" s="8"/>
      <c r="P1242" s="8"/>
    </row>
    <row r="1243" spans="1:16" s="7" customFormat="1" ht="42.75" customHeight="1" thickBot="1">
      <c r="A1243" s="126" t="s">
        <v>19</v>
      </c>
      <c r="B1243" s="127"/>
      <c r="C1243" s="127"/>
      <c r="D1243" s="128"/>
      <c r="J1243" s="8"/>
      <c r="K1243" s="8"/>
      <c r="L1243" s="8"/>
      <c r="M1243" s="8"/>
      <c r="N1243" s="8"/>
      <c r="O1243" s="8"/>
      <c r="P1243" s="8"/>
    </row>
    <row r="1244" spans="1:16" s="7" customFormat="1" ht="42.75" customHeight="1" thickBot="1">
      <c r="A1244" s="123" t="s">
        <v>11</v>
      </c>
      <c r="B1244" s="124"/>
      <c r="C1244" s="125" t="s">
        <v>603</v>
      </c>
      <c r="D1244" s="124"/>
      <c r="J1244" s="8"/>
      <c r="K1244" s="8"/>
      <c r="L1244" s="8"/>
      <c r="M1244" s="8"/>
      <c r="N1244" s="8"/>
      <c r="O1244" s="8"/>
      <c r="P1244" s="8"/>
    </row>
    <row r="1245" spans="1:16" s="7" customFormat="1" ht="42.75" customHeight="1" thickBot="1">
      <c r="A1245" s="1" t="s">
        <v>686</v>
      </c>
      <c r="B1245" s="26" t="s">
        <v>1</v>
      </c>
      <c r="C1245" s="90" t="s">
        <v>341</v>
      </c>
      <c r="D1245" s="91"/>
      <c r="J1245" s="8"/>
      <c r="K1245" s="8"/>
      <c r="L1245" s="8"/>
      <c r="M1245" s="8"/>
      <c r="N1245" s="8"/>
      <c r="O1245" s="8"/>
      <c r="P1245" s="8"/>
    </row>
    <row r="1246" spans="1:16" s="7" customFormat="1" ht="42.75" customHeight="1" thickBot="1">
      <c r="A1246" s="26"/>
      <c r="B1246" s="26" t="s">
        <v>0</v>
      </c>
      <c r="C1246" s="5" t="s">
        <v>687</v>
      </c>
      <c r="D1246" s="4" t="s">
        <v>2</v>
      </c>
      <c r="J1246" s="8"/>
      <c r="K1246" s="8"/>
      <c r="L1246" s="8"/>
      <c r="M1246" s="8"/>
      <c r="N1246" s="8"/>
      <c r="O1246" s="8"/>
      <c r="P1246" s="8"/>
    </row>
    <row r="1247" spans="1:16" s="7" customFormat="1" ht="42.75" customHeight="1" thickBot="1">
      <c r="A1247" s="92">
        <v>242</v>
      </c>
      <c r="B1247" s="93"/>
      <c r="C1247" s="94" t="s">
        <v>3</v>
      </c>
      <c r="D1247" s="95"/>
      <c r="J1247" s="8"/>
      <c r="K1247" s="8"/>
      <c r="L1247" s="8"/>
      <c r="M1247" s="8"/>
      <c r="N1247" s="8"/>
      <c r="O1247" s="8"/>
      <c r="P1247" s="8"/>
    </row>
    <row r="1248" spans="1:16" s="7" customFormat="1" ht="42.75" customHeight="1" thickBot="1">
      <c r="A1248" s="92">
        <v>252</v>
      </c>
      <c r="B1248" s="93"/>
      <c r="C1248" s="96" t="s">
        <v>4</v>
      </c>
      <c r="D1248" s="97"/>
      <c r="J1248" s="8"/>
      <c r="K1248" s="8"/>
      <c r="L1248" s="8"/>
      <c r="M1248" s="8"/>
      <c r="N1248" s="8"/>
      <c r="O1248" s="8"/>
      <c r="P1248" s="8"/>
    </row>
    <row r="1249" spans="1:16" s="7" customFormat="1" ht="42.75" customHeight="1" thickBot="1">
      <c r="A1249" s="98">
        <f>A1248-A1247</f>
        <v>10</v>
      </c>
      <c r="B1249" s="99"/>
      <c r="C1249" s="100" t="s">
        <v>5</v>
      </c>
      <c r="D1249" s="97"/>
      <c r="J1249" s="8"/>
      <c r="K1249" s="8"/>
      <c r="L1249" s="8"/>
      <c r="M1249" s="8"/>
      <c r="N1249" s="8"/>
      <c r="O1249" s="8"/>
      <c r="P1249" s="8"/>
    </row>
    <row r="1250" spans="1:16" s="7" customFormat="1" ht="42.75" customHeight="1" thickBot="1">
      <c r="A1250" s="101">
        <v>62</v>
      </c>
      <c r="B1250" s="102"/>
      <c r="C1250" s="96" t="s">
        <v>6</v>
      </c>
      <c r="D1250" s="97"/>
      <c r="J1250" s="8"/>
      <c r="K1250" s="8"/>
      <c r="L1250" s="8"/>
      <c r="M1250" s="8"/>
      <c r="N1250" s="8"/>
      <c r="O1250" s="8"/>
      <c r="P1250" s="8"/>
    </row>
    <row r="1251" spans="1:16" s="7" customFormat="1" ht="42.75" customHeight="1" thickBot="1">
      <c r="A1251" s="103"/>
      <c r="B1251" s="104"/>
      <c r="C1251" s="96" t="s">
        <v>21</v>
      </c>
      <c r="D1251" s="97"/>
      <c r="J1251" s="8"/>
      <c r="K1251" s="8"/>
      <c r="L1251" s="8"/>
      <c r="M1251" s="8"/>
      <c r="N1251" s="8"/>
      <c r="O1251" s="8"/>
      <c r="P1251" s="8"/>
    </row>
    <row r="1252" spans="1:16" s="7" customFormat="1" ht="42.75" customHeight="1" thickBot="1">
      <c r="A1252" s="105">
        <v>600</v>
      </c>
      <c r="B1252" s="106"/>
      <c r="C1252" s="96" t="s">
        <v>7</v>
      </c>
      <c r="D1252" s="97"/>
      <c r="J1252" s="8"/>
      <c r="K1252" s="8"/>
      <c r="L1252" s="8"/>
      <c r="M1252" s="8"/>
      <c r="N1252" s="8"/>
      <c r="O1252" s="8"/>
      <c r="P1252" s="8"/>
    </row>
    <row r="1253" spans="1:16" s="7" customFormat="1" ht="42.75" customHeight="1" thickBot="1">
      <c r="A1253" s="107" t="s">
        <v>17</v>
      </c>
      <c r="B1253" s="108"/>
      <c r="C1253" s="108"/>
      <c r="D1253" s="109"/>
      <c r="J1253" s="8"/>
      <c r="K1253" s="8"/>
      <c r="L1253" s="8"/>
      <c r="M1253" s="8"/>
      <c r="N1253" s="8"/>
      <c r="O1253" s="8"/>
      <c r="P1253" s="8"/>
    </row>
    <row r="1254" spans="1:16" s="7" customFormat="1" ht="42.75" customHeight="1" thickBot="1">
      <c r="A1254" s="116" t="s">
        <v>20</v>
      </c>
      <c r="B1254" s="117"/>
      <c r="C1254" s="117"/>
      <c r="D1254" s="118"/>
      <c r="J1254" s="8"/>
      <c r="K1254" s="8"/>
      <c r="L1254" s="8"/>
      <c r="M1254" s="8"/>
      <c r="N1254" s="8"/>
      <c r="O1254" s="8"/>
      <c r="P1254" s="8"/>
    </row>
    <row r="1255" spans="1:16" s="7" customFormat="1" ht="42.75" customHeight="1" thickBot="1">
      <c r="A1255" s="113" t="s">
        <v>18</v>
      </c>
      <c r="B1255" s="114"/>
      <c r="C1255" s="114"/>
      <c r="D1255" s="115"/>
      <c r="J1255" s="8"/>
      <c r="K1255" s="8"/>
      <c r="L1255" s="8"/>
      <c r="M1255" s="8"/>
      <c r="N1255" s="8"/>
      <c r="O1255" s="8"/>
      <c r="P1255" s="8"/>
    </row>
    <row r="1256" spans="1:16" s="7" customFormat="1" ht="42.75" customHeight="1" thickBot="1">
      <c r="A1256" s="119"/>
      <c r="B1256" s="119"/>
      <c r="C1256" s="119"/>
      <c r="D1256" s="119"/>
      <c r="J1256" s="8"/>
      <c r="K1256" s="8"/>
      <c r="L1256" s="8"/>
      <c r="M1256" s="8"/>
      <c r="N1256" s="8"/>
      <c r="O1256" s="8"/>
      <c r="P1256" s="8"/>
    </row>
    <row r="1257" spans="1:16" s="7" customFormat="1" ht="42.75" customHeight="1" thickBot="1">
      <c r="A1257" s="126" t="s">
        <v>19</v>
      </c>
      <c r="B1257" s="127"/>
      <c r="C1257" s="127"/>
      <c r="D1257" s="128"/>
      <c r="J1257" s="8"/>
      <c r="K1257" s="8"/>
      <c r="L1257" s="8"/>
      <c r="M1257" s="8"/>
      <c r="N1257" s="8"/>
      <c r="O1257" s="8"/>
      <c r="P1257" s="8"/>
    </row>
    <row r="1258" spans="1:16" s="7" customFormat="1" ht="42.75" customHeight="1" thickBot="1">
      <c r="A1258" s="123" t="s">
        <v>11</v>
      </c>
      <c r="B1258" s="124"/>
      <c r="C1258" s="125" t="s">
        <v>603</v>
      </c>
      <c r="D1258" s="124"/>
      <c r="J1258" s="8"/>
      <c r="K1258" s="8"/>
      <c r="L1258" s="8"/>
      <c r="M1258" s="8"/>
      <c r="N1258" s="8"/>
      <c r="O1258" s="8"/>
      <c r="P1258" s="8"/>
    </row>
    <row r="1259" spans="1:16" s="7" customFormat="1" ht="42.75" customHeight="1" thickBot="1">
      <c r="A1259" s="1" t="s">
        <v>686</v>
      </c>
      <c r="B1259" s="26" t="s">
        <v>1</v>
      </c>
      <c r="C1259" s="90" t="s">
        <v>341</v>
      </c>
      <c r="D1259" s="91"/>
      <c r="J1259" s="8"/>
      <c r="K1259" s="8"/>
      <c r="L1259" s="8"/>
      <c r="M1259" s="8"/>
      <c r="N1259" s="8"/>
      <c r="O1259" s="8"/>
      <c r="P1259" s="8"/>
    </row>
    <row r="1260" spans="1:16" s="7" customFormat="1" ht="42.75" customHeight="1" thickBot="1">
      <c r="A1260" s="26"/>
      <c r="B1260" s="26" t="s">
        <v>0</v>
      </c>
      <c r="C1260" s="5" t="s">
        <v>687</v>
      </c>
      <c r="D1260" s="4" t="s">
        <v>2</v>
      </c>
      <c r="J1260" s="8"/>
      <c r="K1260" s="8"/>
      <c r="L1260" s="8"/>
      <c r="M1260" s="8"/>
      <c r="N1260" s="8"/>
      <c r="O1260" s="8"/>
      <c r="P1260" s="8"/>
    </row>
    <row r="1261" spans="1:16" s="7" customFormat="1" ht="42.75" customHeight="1" thickBot="1">
      <c r="A1261" s="92">
        <v>242</v>
      </c>
      <c r="B1261" s="93"/>
      <c r="C1261" s="94" t="s">
        <v>3</v>
      </c>
      <c r="D1261" s="95"/>
      <c r="J1261" s="8"/>
      <c r="K1261" s="8"/>
      <c r="L1261" s="8"/>
      <c r="M1261" s="8"/>
      <c r="N1261" s="8"/>
      <c r="O1261" s="8"/>
      <c r="P1261" s="8"/>
    </row>
    <row r="1262" spans="1:16" s="7" customFormat="1" ht="42.75" customHeight="1" thickBot="1">
      <c r="A1262" s="92">
        <v>252</v>
      </c>
      <c r="B1262" s="93"/>
      <c r="C1262" s="96" t="s">
        <v>4</v>
      </c>
      <c r="D1262" s="97"/>
      <c r="J1262" s="8"/>
      <c r="K1262" s="8"/>
      <c r="L1262" s="8"/>
      <c r="M1262" s="8"/>
      <c r="N1262" s="8"/>
      <c r="O1262" s="8"/>
      <c r="P1262" s="8"/>
    </row>
    <row r="1263" spans="1:16" s="7" customFormat="1" ht="42.75" customHeight="1" thickBot="1">
      <c r="A1263" s="98">
        <f>A1262-A1261</f>
        <v>10</v>
      </c>
      <c r="B1263" s="99"/>
      <c r="C1263" s="100" t="s">
        <v>5</v>
      </c>
      <c r="D1263" s="97"/>
      <c r="J1263" s="8"/>
      <c r="K1263" s="8"/>
      <c r="L1263" s="8"/>
      <c r="M1263" s="8"/>
      <c r="N1263" s="8"/>
      <c r="O1263" s="8"/>
      <c r="P1263" s="8"/>
    </row>
    <row r="1264" spans="1:16" s="7" customFormat="1" ht="42.75" customHeight="1" thickBot="1">
      <c r="A1264" s="101">
        <v>62</v>
      </c>
      <c r="B1264" s="102"/>
      <c r="C1264" s="96" t="s">
        <v>6</v>
      </c>
      <c r="D1264" s="97"/>
      <c r="J1264" s="8"/>
      <c r="K1264" s="8"/>
      <c r="L1264" s="8"/>
      <c r="M1264" s="8"/>
      <c r="N1264" s="8"/>
      <c r="O1264" s="8"/>
      <c r="P1264" s="8"/>
    </row>
    <row r="1265" spans="1:16" s="7" customFormat="1" ht="42.75" customHeight="1" thickBot="1">
      <c r="A1265" s="103"/>
      <c r="B1265" s="104"/>
      <c r="C1265" s="96" t="s">
        <v>21</v>
      </c>
      <c r="D1265" s="97"/>
      <c r="J1265" s="8"/>
      <c r="K1265" s="8"/>
      <c r="L1265" s="8"/>
      <c r="M1265" s="8"/>
      <c r="N1265" s="8"/>
      <c r="O1265" s="8"/>
      <c r="P1265" s="8"/>
    </row>
    <row r="1266" spans="1:16" s="7" customFormat="1" ht="42.75" customHeight="1" thickBot="1">
      <c r="A1266" s="105">
        <v>600</v>
      </c>
      <c r="B1266" s="106"/>
      <c r="C1266" s="96" t="s">
        <v>7</v>
      </c>
      <c r="D1266" s="97"/>
      <c r="J1266" s="8"/>
      <c r="K1266" s="8"/>
      <c r="L1266" s="8"/>
      <c r="M1266" s="8"/>
      <c r="N1266" s="8"/>
      <c r="O1266" s="8"/>
      <c r="P1266" s="8"/>
    </row>
    <row r="1267" spans="1:16" s="7" customFormat="1" ht="42.75" customHeight="1" thickBot="1">
      <c r="A1267" s="107" t="s">
        <v>17</v>
      </c>
      <c r="B1267" s="108"/>
      <c r="C1267" s="108"/>
      <c r="D1267" s="109"/>
      <c r="J1267" s="8"/>
      <c r="K1267" s="8"/>
      <c r="L1267" s="8"/>
      <c r="M1267" s="8"/>
      <c r="N1267" s="8"/>
      <c r="O1267" s="8"/>
      <c r="P1267" s="8"/>
    </row>
    <row r="1268" spans="1:16" s="7" customFormat="1" ht="42.75" customHeight="1" thickBot="1">
      <c r="A1268" s="110" t="s">
        <v>20</v>
      </c>
      <c r="B1268" s="111"/>
      <c r="C1268" s="111"/>
      <c r="D1268" s="112"/>
      <c r="J1268" s="8"/>
      <c r="K1268" s="8"/>
      <c r="L1268" s="8"/>
      <c r="M1268" s="8"/>
      <c r="N1268" s="8"/>
      <c r="O1268" s="8"/>
      <c r="P1268" s="8"/>
    </row>
    <row r="1269" spans="1:16" s="7" customFormat="1" ht="42.75" customHeight="1" thickBot="1">
      <c r="A1269" s="113" t="s">
        <v>18</v>
      </c>
      <c r="B1269" s="114"/>
      <c r="C1269" s="114"/>
      <c r="D1269" s="115"/>
      <c r="J1269" s="8"/>
      <c r="K1269" s="8"/>
      <c r="L1269" s="8"/>
      <c r="M1269" s="8"/>
      <c r="N1269" s="8"/>
      <c r="O1269" s="8"/>
      <c r="P1269" s="8"/>
    </row>
    <row r="1270" spans="1:16" s="7" customFormat="1" ht="42.75" customHeight="1" thickBot="1">
      <c r="A1270" s="126" t="s">
        <v>19</v>
      </c>
      <c r="B1270" s="127"/>
      <c r="C1270" s="127"/>
      <c r="D1270" s="128"/>
      <c r="J1270" s="8"/>
      <c r="K1270" s="8"/>
      <c r="L1270" s="8"/>
      <c r="M1270" s="8"/>
      <c r="N1270" s="8"/>
      <c r="O1270" s="8"/>
      <c r="P1270" s="8"/>
    </row>
    <row r="1271" spans="1:16" s="7" customFormat="1" ht="42.75" customHeight="1" thickBot="1">
      <c r="A1271" s="123" t="s">
        <v>11</v>
      </c>
      <c r="B1271" s="124"/>
      <c r="C1271" s="125" t="s">
        <v>603</v>
      </c>
      <c r="D1271" s="124"/>
      <c r="J1271" s="8"/>
      <c r="K1271" s="8"/>
      <c r="L1271" s="8"/>
      <c r="M1271" s="8"/>
      <c r="N1271" s="8"/>
      <c r="O1271" s="8"/>
      <c r="P1271" s="8"/>
    </row>
    <row r="1272" spans="1:16" s="7" customFormat="1" ht="42.75" customHeight="1" thickBot="1">
      <c r="A1272" s="1" t="s">
        <v>686</v>
      </c>
      <c r="B1272" s="26" t="s">
        <v>1</v>
      </c>
      <c r="C1272" s="90" t="s">
        <v>676</v>
      </c>
      <c r="D1272" s="91"/>
      <c r="J1272" s="8"/>
      <c r="K1272" s="8"/>
      <c r="L1272" s="8"/>
      <c r="M1272" s="8"/>
      <c r="N1272" s="8"/>
      <c r="O1272" s="8"/>
      <c r="P1272" s="8"/>
    </row>
    <row r="1273" spans="1:16" s="7" customFormat="1" ht="42.75" customHeight="1" thickBot="1">
      <c r="A1273" s="26"/>
      <c r="B1273" s="26" t="s">
        <v>0</v>
      </c>
      <c r="C1273" s="5" t="s">
        <v>687</v>
      </c>
      <c r="D1273" s="4" t="s">
        <v>2</v>
      </c>
      <c r="J1273" s="8"/>
      <c r="K1273" s="8"/>
      <c r="L1273" s="8"/>
      <c r="M1273" s="8"/>
      <c r="N1273" s="8"/>
      <c r="O1273" s="8"/>
      <c r="P1273" s="8"/>
    </row>
    <row r="1274" spans="1:16" s="7" customFormat="1" ht="42.75" customHeight="1" thickBot="1">
      <c r="A1274" s="92">
        <v>300</v>
      </c>
      <c r="B1274" s="93"/>
      <c r="C1274" s="94" t="s">
        <v>3</v>
      </c>
      <c r="D1274" s="95"/>
      <c r="J1274" s="8"/>
      <c r="K1274" s="8"/>
      <c r="L1274" s="8"/>
      <c r="M1274" s="8"/>
      <c r="N1274" s="8"/>
      <c r="O1274" s="8"/>
      <c r="P1274" s="8"/>
    </row>
    <row r="1275" spans="1:16" s="7" customFormat="1" ht="42.75" customHeight="1" thickBot="1">
      <c r="A1275" s="92">
        <v>315</v>
      </c>
      <c r="B1275" s="93"/>
      <c r="C1275" s="96" t="s">
        <v>4</v>
      </c>
      <c r="D1275" s="97"/>
      <c r="J1275" s="8"/>
      <c r="K1275" s="8"/>
      <c r="L1275" s="8"/>
      <c r="M1275" s="8"/>
      <c r="N1275" s="8"/>
      <c r="O1275" s="8"/>
      <c r="P1275" s="8"/>
    </row>
    <row r="1276" spans="1:16" s="7" customFormat="1" ht="42.75" customHeight="1" thickBot="1">
      <c r="A1276" s="98">
        <f>A1275-A1274</f>
        <v>15</v>
      </c>
      <c r="B1276" s="99"/>
      <c r="C1276" s="100" t="s">
        <v>5</v>
      </c>
      <c r="D1276" s="97"/>
      <c r="J1276" s="8"/>
      <c r="K1276" s="8"/>
      <c r="L1276" s="8"/>
      <c r="M1276" s="8"/>
      <c r="N1276" s="8"/>
      <c r="O1276" s="8"/>
      <c r="P1276" s="8"/>
    </row>
    <row r="1277" spans="1:16" s="7" customFormat="1" ht="42.75" customHeight="1" thickBot="1">
      <c r="A1277" s="101">
        <v>62</v>
      </c>
      <c r="B1277" s="102"/>
      <c r="C1277" s="96" t="s">
        <v>6</v>
      </c>
      <c r="D1277" s="97"/>
      <c r="J1277" s="8"/>
      <c r="K1277" s="8"/>
      <c r="L1277" s="8"/>
      <c r="M1277" s="8"/>
      <c r="N1277" s="8"/>
      <c r="O1277" s="8"/>
      <c r="P1277" s="8"/>
    </row>
    <row r="1278" spans="1:16" s="7" customFormat="1" ht="42.75" customHeight="1" thickBot="1">
      <c r="A1278" s="103"/>
      <c r="B1278" s="104"/>
      <c r="C1278" s="96" t="s">
        <v>21</v>
      </c>
      <c r="D1278" s="97"/>
      <c r="J1278" s="8"/>
      <c r="K1278" s="8"/>
      <c r="L1278" s="8"/>
      <c r="M1278" s="8"/>
      <c r="N1278" s="8"/>
      <c r="O1278" s="8"/>
      <c r="P1278" s="8"/>
    </row>
    <row r="1279" spans="1:16" s="7" customFormat="1" ht="42.75" customHeight="1" thickBot="1">
      <c r="A1279" s="105">
        <v>950</v>
      </c>
      <c r="B1279" s="106"/>
      <c r="C1279" s="96" t="s">
        <v>7</v>
      </c>
      <c r="D1279" s="97"/>
      <c r="J1279" s="8"/>
      <c r="K1279" s="8"/>
      <c r="L1279" s="8"/>
      <c r="M1279" s="8"/>
      <c r="N1279" s="8"/>
      <c r="O1279" s="8"/>
      <c r="P1279" s="8"/>
    </row>
    <row r="1280" spans="1:16" s="7" customFormat="1" ht="42.75" customHeight="1" thickBot="1">
      <c r="A1280" s="107" t="s">
        <v>17</v>
      </c>
      <c r="B1280" s="108"/>
      <c r="C1280" s="108"/>
      <c r="D1280" s="109"/>
      <c r="J1280" s="8"/>
      <c r="K1280" s="8"/>
      <c r="L1280" s="8"/>
      <c r="M1280" s="8"/>
      <c r="N1280" s="8"/>
      <c r="O1280" s="8"/>
      <c r="P1280" s="8"/>
    </row>
    <row r="1281" spans="1:16" s="7" customFormat="1" ht="42.75" customHeight="1" thickBot="1">
      <c r="A1281" s="116" t="s">
        <v>20</v>
      </c>
      <c r="B1281" s="117"/>
      <c r="C1281" s="117"/>
      <c r="D1281" s="118"/>
      <c r="J1281" s="8"/>
      <c r="K1281" s="8"/>
      <c r="L1281" s="8"/>
      <c r="M1281" s="8"/>
      <c r="N1281" s="8"/>
      <c r="O1281" s="8"/>
      <c r="P1281" s="8"/>
    </row>
    <row r="1282" spans="1:16" s="7" customFormat="1" ht="42.75" customHeight="1" thickBot="1">
      <c r="A1282" s="113" t="s">
        <v>18</v>
      </c>
      <c r="B1282" s="114"/>
      <c r="C1282" s="114"/>
      <c r="D1282" s="115"/>
      <c r="J1282" s="8"/>
      <c r="K1282" s="8"/>
      <c r="L1282" s="8"/>
      <c r="M1282" s="8"/>
      <c r="N1282" s="8"/>
      <c r="O1282" s="8"/>
      <c r="P1282" s="8"/>
    </row>
    <row r="1283" spans="1:16" s="7" customFormat="1" ht="42.75" customHeight="1" thickBot="1">
      <c r="A1283" s="119"/>
      <c r="B1283" s="119"/>
      <c r="C1283" s="119"/>
      <c r="D1283" s="119"/>
      <c r="J1283" s="8"/>
      <c r="K1283" s="8"/>
      <c r="L1283" s="8"/>
      <c r="M1283" s="8"/>
      <c r="N1283" s="8"/>
      <c r="O1283" s="8"/>
      <c r="P1283" s="8"/>
    </row>
    <row r="1284" spans="1:16" s="7" customFormat="1" ht="42.75" customHeight="1" thickBot="1">
      <c r="A1284" s="126" t="s">
        <v>19</v>
      </c>
      <c r="B1284" s="127"/>
      <c r="C1284" s="127"/>
      <c r="D1284" s="128"/>
      <c r="J1284" s="8"/>
      <c r="K1284" s="8"/>
      <c r="L1284" s="8"/>
      <c r="M1284" s="8"/>
      <c r="N1284" s="8"/>
      <c r="O1284" s="8"/>
      <c r="P1284" s="8"/>
    </row>
    <row r="1285" spans="1:16" s="7" customFormat="1" ht="42.75" customHeight="1" thickBot="1">
      <c r="A1285" s="123" t="s">
        <v>11</v>
      </c>
      <c r="B1285" s="124"/>
      <c r="C1285" s="125" t="s">
        <v>603</v>
      </c>
      <c r="D1285" s="124"/>
      <c r="J1285" s="8"/>
      <c r="K1285" s="8"/>
      <c r="L1285" s="8"/>
      <c r="M1285" s="8"/>
      <c r="N1285" s="8"/>
      <c r="O1285" s="8"/>
      <c r="P1285" s="8"/>
    </row>
    <row r="1286" spans="1:16" s="7" customFormat="1" ht="42.75" customHeight="1" thickBot="1">
      <c r="A1286" s="1" t="s">
        <v>686</v>
      </c>
      <c r="B1286" s="26" t="s">
        <v>1</v>
      </c>
      <c r="C1286" s="90" t="s">
        <v>676</v>
      </c>
      <c r="D1286" s="91"/>
      <c r="J1286" s="8"/>
      <c r="K1286" s="8"/>
      <c r="L1286" s="8"/>
      <c r="M1286" s="8"/>
      <c r="N1286" s="8"/>
      <c r="O1286" s="8"/>
      <c r="P1286" s="8"/>
    </row>
    <row r="1287" spans="1:16" s="7" customFormat="1" ht="42.75" customHeight="1" thickBot="1">
      <c r="A1287" s="26"/>
      <c r="B1287" s="26" t="s">
        <v>0</v>
      </c>
      <c r="C1287" s="5" t="s">
        <v>687</v>
      </c>
      <c r="D1287" s="4" t="s">
        <v>2</v>
      </c>
      <c r="J1287" s="8"/>
      <c r="K1287" s="8"/>
      <c r="L1287" s="8"/>
      <c r="M1287" s="8"/>
      <c r="N1287" s="8"/>
      <c r="O1287" s="8"/>
      <c r="P1287" s="8"/>
    </row>
    <row r="1288" spans="1:16" s="7" customFormat="1" ht="42.75" customHeight="1" thickBot="1">
      <c r="A1288" s="92">
        <v>300</v>
      </c>
      <c r="B1288" s="93"/>
      <c r="C1288" s="94" t="s">
        <v>3</v>
      </c>
      <c r="D1288" s="95"/>
      <c r="J1288" s="8"/>
      <c r="K1288" s="8"/>
      <c r="L1288" s="8"/>
      <c r="M1288" s="8"/>
      <c r="N1288" s="8"/>
      <c r="O1288" s="8"/>
      <c r="P1288" s="8"/>
    </row>
    <row r="1289" spans="1:16" s="7" customFormat="1" ht="42.75" customHeight="1" thickBot="1">
      <c r="A1289" s="92">
        <v>315</v>
      </c>
      <c r="B1289" s="93"/>
      <c r="C1289" s="96" t="s">
        <v>4</v>
      </c>
      <c r="D1289" s="97"/>
      <c r="J1289" s="8"/>
      <c r="K1289" s="8"/>
      <c r="L1289" s="8"/>
      <c r="M1289" s="8"/>
      <c r="N1289" s="8"/>
      <c r="O1289" s="8"/>
      <c r="P1289" s="8"/>
    </row>
    <row r="1290" spans="1:16" s="7" customFormat="1" ht="42.75" customHeight="1" thickBot="1">
      <c r="A1290" s="98">
        <f>A1289-A1288</f>
        <v>15</v>
      </c>
      <c r="B1290" s="99"/>
      <c r="C1290" s="100" t="s">
        <v>5</v>
      </c>
      <c r="D1290" s="97"/>
      <c r="J1290" s="8"/>
      <c r="K1290" s="8"/>
      <c r="L1290" s="8"/>
      <c r="M1290" s="8"/>
      <c r="N1290" s="8"/>
      <c r="O1290" s="8"/>
      <c r="P1290" s="8"/>
    </row>
    <row r="1291" spans="1:16" s="7" customFormat="1" ht="42.75" customHeight="1" thickBot="1">
      <c r="A1291" s="101">
        <v>62</v>
      </c>
      <c r="B1291" s="102"/>
      <c r="C1291" s="96" t="s">
        <v>6</v>
      </c>
      <c r="D1291" s="97"/>
      <c r="J1291" s="8"/>
      <c r="K1291" s="8"/>
      <c r="L1291" s="8"/>
      <c r="M1291" s="8"/>
      <c r="N1291" s="8"/>
      <c r="O1291" s="8"/>
      <c r="P1291" s="8"/>
    </row>
    <row r="1292" spans="1:16" s="7" customFormat="1" ht="42.75" customHeight="1" thickBot="1">
      <c r="A1292" s="103"/>
      <c r="B1292" s="104"/>
      <c r="C1292" s="96" t="s">
        <v>21</v>
      </c>
      <c r="D1292" s="97"/>
      <c r="J1292" s="8"/>
      <c r="K1292" s="8"/>
      <c r="L1292" s="8"/>
      <c r="M1292" s="8"/>
      <c r="N1292" s="8"/>
      <c r="O1292" s="8"/>
      <c r="P1292" s="8"/>
    </row>
    <row r="1293" spans="1:16" s="7" customFormat="1" ht="42.75" customHeight="1" thickBot="1">
      <c r="A1293" s="105">
        <v>950</v>
      </c>
      <c r="B1293" s="106"/>
      <c r="C1293" s="96" t="s">
        <v>7</v>
      </c>
      <c r="D1293" s="97"/>
      <c r="J1293" s="8"/>
      <c r="K1293" s="8"/>
      <c r="L1293" s="8"/>
      <c r="M1293" s="8"/>
      <c r="N1293" s="8"/>
      <c r="O1293" s="8"/>
      <c r="P1293" s="8"/>
    </row>
    <row r="1294" spans="1:16" s="7" customFormat="1" ht="42.75" customHeight="1" thickBot="1">
      <c r="A1294" s="107" t="s">
        <v>17</v>
      </c>
      <c r="B1294" s="108"/>
      <c r="C1294" s="108"/>
      <c r="D1294" s="109"/>
      <c r="J1294" s="8"/>
      <c r="K1294" s="8"/>
      <c r="L1294" s="8"/>
      <c r="M1294" s="8"/>
      <c r="N1294" s="8"/>
      <c r="O1294" s="8"/>
      <c r="P1294" s="8"/>
    </row>
    <row r="1295" spans="1:16" s="7" customFormat="1" ht="42.75" customHeight="1" thickBot="1">
      <c r="A1295" s="110" t="s">
        <v>20</v>
      </c>
      <c r="B1295" s="111"/>
      <c r="C1295" s="111"/>
      <c r="D1295" s="112"/>
      <c r="J1295" s="8"/>
      <c r="K1295" s="8"/>
      <c r="L1295" s="8"/>
      <c r="M1295" s="8"/>
      <c r="N1295" s="8"/>
      <c r="O1295" s="8"/>
      <c r="P1295" s="8"/>
    </row>
    <row r="1296" spans="1:16" s="7" customFormat="1" ht="42.75" customHeight="1" thickBot="1">
      <c r="A1296" s="113" t="s">
        <v>18</v>
      </c>
      <c r="B1296" s="114"/>
      <c r="C1296" s="114"/>
      <c r="D1296" s="115"/>
      <c r="J1296" s="8"/>
      <c r="K1296" s="8"/>
      <c r="L1296" s="8"/>
      <c r="M1296" s="8"/>
      <c r="N1296" s="8"/>
      <c r="O1296" s="8"/>
      <c r="P1296" s="8"/>
    </row>
    <row r="1297" spans="1:16" s="7" customFormat="1" ht="42.75" customHeight="1" thickBot="1">
      <c r="A1297" s="126" t="s">
        <v>19</v>
      </c>
      <c r="B1297" s="127"/>
      <c r="C1297" s="127"/>
      <c r="D1297" s="128"/>
      <c r="J1297" s="8"/>
      <c r="K1297" s="8"/>
      <c r="L1297" s="8"/>
      <c r="M1297" s="8"/>
      <c r="N1297" s="8"/>
      <c r="O1297" s="8"/>
      <c r="P1297" s="8"/>
    </row>
    <row r="1298" spans="1:16" s="7" customFormat="1" ht="42.75" customHeight="1" thickBot="1">
      <c r="A1298" s="123" t="s">
        <v>11</v>
      </c>
      <c r="B1298" s="124"/>
      <c r="C1298" s="125" t="s">
        <v>603</v>
      </c>
      <c r="D1298" s="124"/>
      <c r="J1298" s="8"/>
      <c r="K1298" s="8"/>
      <c r="L1298" s="8"/>
      <c r="M1298" s="8"/>
      <c r="N1298" s="8"/>
      <c r="O1298" s="8"/>
      <c r="P1298" s="8"/>
    </row>
    <row r="1299" spans="1:16" s="7" customFormat="1" ht="42.75" customHeight="1" thickBot="1">
      <c r="A1299" s="1" t="s">
        <v>686</v>
      </c>
      <c r="B1299" s="26" t="s">
        <v>1</v>
      </c>
      <c r="C1299" s="90" t="s">
        <v>342</v>
      </c>
      <c r="D1299" s="91"/>
      <c r="J1299" s="8"/>
      <c r="K1299" s="8"/>
      <c r="L1299" s="8"/>
      <c r="M1299" s="8"/>
      <c r="N1299" s="8"/>
      <c r="O1299" s="8"/>
      <c r="P1299" s="8"/>
    </row>
    <row r="1300" spans="1:16" s="7" customFormat="1" ht="42.75" customHeight="1" thickBot="1">
      <c r="A1300" s="26"/>
      <c r="B1300" s="26" t="s">
        <v>0</v>
      </c>
      <c r="C1300" s="5" t="s">
        <v>687</v>
      </c>
      <c r="D1300" s="4" t="s">
        <v>2</v>
      </c>
      <c r="J1300" s="8"/>
      <c r="K1300" s="8"/>
      <c r="L1300" s="8"/>
      <c r="M1300" s="8"/>
      <c r="N1300" s="8"/>
      <c r="O1300" s="8"/>
      <c r="P1300" s="8"/>
    </row>
    <row r="1301" spans="1:16" s="7" customFormat="1" ht="42.75" customHeight="1" thickBot="1">
      <c r="A1301" s="92">
        <v>1855</v>
      </c>
      <c r="B1301" s="93"/>
      <c r="C1301" s="94" t="s">
        <v>3</v>
      </c>
      <c r="D1301" s="95"/>
      <c r="J1301" s="8"/>
      <c r="K1301" s="8"/>
      <c r="L1301" s="8"/>
      <c r="M1301" s="8"/>
      <c r="N1301" s="8"/>
      <c r="O1301" s="8"/>
      <c r="P1301" s="8"/>
    </row>
    <row r="1302" spans="1:16" s="7" customFormat="1" ht="42.75" customHeight="1" thickBot="1">
      <c r="A1302" s="92">
        <v>1900</v>
      </c>
      <c r="B1302" s="93"/>
      <c r="C1302" s="96" t="s">
        <v>4</v>
      </c>
      <c r="D1302" s="97"/>
      <c r="J1302" s="8"/>
      <c r="K1302" s="8"/>
      <c r="L1302" s="8"/>
      <c r="M1302" s="8"/>
      <c r="N1302" s="8"/>
      <c r="O1302" s="8"/>
      <c r="P1302" s="8"/>
    </row>
    <row r="1303" spans="1:16" s="7" customFormat="1" ht="42.75" customHeight="1" thickBot="1">
      <c r="A1303" s="98">
        <f>A1302-A1301</f>
        <v>45</v>
      </c>
      <c r="B1303" s="99"/>
      <c r="C1303" s="100" t="s">
        <v>5</v>
      </c>
      <c r="D1303" s="97"/>
      <c r="J1303" s="8"/>
      <c r="K1303" s="8"/>
      <c r="L1303" s="8"/>
      <c r="M1303" s="8"/>
      <c r="N1303" s="8"/>
      <c r="O1303" s="8"/>
      <c r="P1303" s="8"/>
    </row>
    <row r="1304" spans="1:16" s="7" customFormat="1" ht="42.75" customHeight="1" thickBot="1">
      <c r="A1304" s="101">
        <v>40</v>
      </c>
      <c r="B1304" s="102"/>
      <c r="C1304" s="96" t="s">
        <v>6</v>
      </c>
      <c r="D1304" s="97"/>
      <c r="J1304" s="8"/>
      <c r="K1304" s="8"/>
      <c r="L1304" s="8"/>
      <c r="M1304" s="8"/>
      <c r="N1304" s="8"/>
      <c r="O1304" s="8"/>
      <c r="P1304" s="8"/>
    </row>
    <row r="1305" spans="1:16" s="7" customFormat="1" ht="42.75" customHeight="1" thickBot="1">
      <c r="A1305" s="103"/>
      <c r="B1305" s="104"/>
      <c r="C1305" s="96" t="s">
        <v>21</v>
      </c>
      <c r="D1305" s="97"/>
      <c r="J1305" s="8"/>
      <c r="K1305" s="8"/>
      <c r="L1305" s="8"/>
      <c r="M1305" s="8"/>
      <c r="N1305" s="8"/>
      <c r="O1305" s="8"/>
      <c r="P1305" s="8"/>
    </row>
    <row r="1306" spans="1:16" s="7" customFormat="1" ht="42.75" customHeight="1" thickBot="1">
      <c r="A1306" s="105">
        <f>A1304*A1303</f>
        <v>1800</v>
      </c>
      <c r="B1306" s="106"/>
      <c r="C1306" s="96" t="s">
        <v>7</v>
      </c>
      <c r="D1306" s="97"/>
      <c r="J1306" s="8"/>
      <c r="K1306" s="8"/>
      <c r="L1306" s="8"/>
      <c r="M1306" s="8"/>
      <c r="N1306" s="8"/>
      <c r="O1306" s="8"/>
      <c r="P1306" s="8"/>
    </row>
    <row r="1307" spans="1:16" s="7" customFormat="1" ht="42.75" customHeight="1" thickBot="1">
      <c r="A1307" s="107" t="s">
        <v>17</v>
      </c>
      <c r="B1307" s="108"/>
      <c r="C1307" s="108"/>
      <c r="D1307" s="109"/>
      <c r="J1307" s="8"/>
      <c r="K1307" s="8"/>
      <c r="L1307" s="8"/>
      <c r="M1307" s="8"/>
      <c r="N1307" s="8"/>
      <c r="O1307" s="8"/>
      <c r="P1307" s="8"/>
    </row>
    <row r="1308" spans="1:16" s="7" customFormat="1" ht="42.75" customHeight="1" thickBot="1">
      <c r="A1308" s="116" t="s">
        <v>20</v>
      </c>
      <c r="B1308" s="117"/>
      <c r="C1308" s="117"/>
      <c r="D1308" s="118"/>
      <c r="J1308" s="8"/>
      <c r="K1308" s="8"/>
      <c r="L1308" s="8"/>
      <c r="M1308" s="8"/>
      <c r="N1308" s="8"/>
      <c r="O1308" s="8"/>
      <c r="P1308" s="8"/>
    </row>
    <row r="1309" spans="1:16" s="7" customFormat="1" ht="42.75" customHeight="1" thickBot="1">
      <c r="A1309" s="113" t="s">
        <v>18</v>
      </c>
      <c r="B1309" s="114"/>
      <c r="C1309" s="114"/>
      <c r="D1309" s="115"/>
      <c r="J1309" s="8"/>
      <c r="K1309" s="8"/>
      <c r="L1309" s="8"/>
      <c r="M1309" s="8"/>
      <c r="N1309" s="8"/>
      <c r="O1309" s="8"/>
      <c r="P1309" s="8"/>
    </row>
    <row r="1310" spans="1:16" s="7" customFormat="1" ht="42.75" customHeight="1" thickBot="1">
      <c r="A1310" s="119"/>
      <c r="B1310" s="119"/>
      <c r="C1310" s="119"/>
      <c r="D1310" s="119"/>
      <c r="J1310" s="8"/>
      <c r="K1310" s="8"/>
      <c r="L1310" s="8"/>
      <c r="M1310" s="8"/>
      <c r="N1310" s="8"/>
      <c r="O1310" s="8"/>
      <c r="P1310" s="8"/>
    </row>
    <row r="1311" spans="1:16" s="7" customFormat="1" ht="42.75" customHeight="1" thickBot="1">
      <c r="A1311" s="126" t="s">
        <v>19</v>
      </c>
      <c r="B1311" s="127"/>
      <c r="C1311" s="127"/>
      <c r="D1311" s="128"/>
      <c r="J1311" s="8"/>
      <c r="K1311" s="8"/>
      <c r="L1311" s="8"/>
      <c r="M1311" s="8"/>
      <c r="N1311" s="8"/>
      <c r="O1311" s="8"/>
      <c r="P1311" s="8"/>
    </row>
    <row r="1312" spans="1:16" s="7" customFormat="1" ht="42.75" customHeight="1" thickBot="1">
      <c r="A1312" s="123" t="s">
        <v>11</v>
      </c>
      <c r="B1312" s="124"/>
      <c r="C1312" s="125" t="s">
        <v>603</v>
      </c>
      <c r="D1312" s="124"/>
      <c r="J1312" s="8"/>
      <c r="K1312" s="8"/>
      <c r="L1312" s="8"/>
      <c r="M1312" s="8"/>
      <c r="N1312" s="8"/>
      <c r="O1312" s="8"/>
      <c r="P1312" s="8"/>
    </row>
    <row r="1313" spans="1:16" s="7" customFormat="1" ht="42.75" customHeight="1" thickBot="1">
      <c r="A1313" s="1" t="s">
        <v>686</v>
      </c>
      <c r="B1313" s="26" t="s">
        <v>1</v>
      </c>
      <c r="C1313" s="90" t="s">
        <v>342</v>
      </c>
      <c r="D1313" s="91"/>
      <c r="J1313" s="8"/>
      <c r="K1313" s="8"/>
      <c r="L1313" s="8"/>
      <c r="M1313" s="8"/>
      <c r="N1313" s="8"/>
      <c r="O1313" s="8"/>
      <c r="P1313" s="8"/>
    </row>
    <row r="1314" spans="1:16" s="7" customFormat="1" ht="42.75" customHeight="1" thickBot="1">
      <c r="A1314" s="26"/>
      <c r="B1314" s="26" t="s">
        <v>0</v>
      </c>
      <c r="C1314" s="5" t="s">
        <v>687</v>
      </c>
      <c r="D1314" s="4" t="s">
        <v>2</v>
      </c>
      <c r="J1314" s="8"/>
      <c r="K1314" s="8"/>
      <c r="L1314" s="8"/>
      <c r="M1314" s="8"/>
      <c r="N1314" s="8"/>
      <c r="O1314" s="8"/>
      <c r="P1314" s="8"/>
    </row>
    <row r="1315" spans="1:16" s="7" customFormat="1" ht="42.75" customHeight="1" thickBot="1">
      <c r="A1315" s="92">
        <v>1855</v>
      </c>
      <c r="B1315" s="93"/>
      <c r="C1315" s="94" t="s">
        <v>3</v>
      </c>
      <c r="D1315" s="95"/>
      <c r="J1315" s="8"/>
      <c r="K1315" s="8"/>
      <c r="L1315" s="8"/>
      <c r="M1315" s="8"/>
      <c r="N1315" s="8"/>
      <c r="O1315" s="8"/>
      <c r="P1315" s="8"/>
    </row>
    <row r="1316" spans="1:16" s="7" customFormat="1" ht="42.75" customHeight="1" thickBot="1">
      <c r="A1316" s="92">
        <v>1900</v>
      </c>
      <c r="B1316" s="93"/>
      <c r="C1316" s="96" t="s">
        <v>4</v>
      </c>
      <c r="D1316" s="97"/>
      <c r="J1316" s="8"/>
      <c r="K1316" s="8"/>
      <c r="L1316" s="8"/>
      <c r="M1316" s="8"/>
      <c r="N1316" s="8"/>
      <c r="O1316" s="8"/>
      <c r="P1316" s="8"/>
    </row>
    <row r="1317" spans="1:16" s="7" customFormat="1" ht="42.75" customHeight="1" thickBot="1">
      <c r="A1317" s="98">
        <f>A1316-A1315</f>
        <v>45</v>
      </c>
      <c r="B1317" s="99"/>
      <c r="C1317" s="100" t="s">
        <v>5</v>
      </c>
      <c r="D1317" s="97"/>
      <c r="J1317" s="8"/>
      <c r="K1317" s="8"/>
      <c r="L1317" s="8"/>
      <c r="M1317" s="8"/>
      <c r="N1317" s="8"/>
      <c r="O1317" s="8"/>
      <c r="P1317" s="8"/>
    </row>
    <row r="1318" spans="1:16" s="7" customFormat="1" ht="42.75" customHeight="1" thickBot="1">
      <c r="A1318" s="101">
        <v>40</v>
      </c>
      <c r="B1318" s="102"/>
      <c r="C1318" s="96" t="s">
        <v>6</v>
      </c>
      <c r="D1318" s="97"/>
      <c r="J1318" s="8"/>
      <c r="K1318" s="8"/>
      <c r="L1318" s="8"/>
      <c r="M1318" s="8"/>
      <c r="N1318" s="8"/>
      <c r="O1318" s="8"/>
      <c r="P1318" s="8"/>
    </row>
    <row r="1319" spans="1:16" s="7" customFormat="1" ht="42.75" customHeight="1" thickBot="1">
      <c r="A1319" s="103"/>
      <c r="B1319" s="104"/>
      <c r="C1319" s="96" t="s">
        <v>21</v>
      </c>
      <c r="D1319" s="97"/>
      <c r="J1319" s="8"/>
      <c r="K1319" s="8"/>
      <c r="L1319" s="8"/>
      <c r="M1319" s="8"/>
      <c r="N1319" s="8"/>
      <c r="O1319" s="8"/>
      <c r="P1319" s="8"/>
    </row>
    <row r="1320" spans="1:16" s="7" customFormat="1" ht="42.75" customHeight="1" thickBot="1">
      <c r="A1320" s="105">
        <f>A1318*A1317</f>
        <v>1800</v>
      </c>
      <c r="B1320" s="106"/>
      <c r="C1320" s="96" t="s">
        <v>7</v>
      </c>
      <c r="D1320" s="97"/>
      <c r="J1320" s="8"/>
      <c r="K1320" s="8"/>
      <c r="L1320" s="8"/>
      <c r="M1320" s="8"/>
      <c r="N1320" s="8"/>
      <c r="O1320" s="8"/>
      <c r="P1320" s="8"/>
    </row>
    <row r="1321" spans="1:16" s="7" customFormat="1" ht="42.75" customHeight="1" thickBot="1">
      <c r="A1321" s="107" t="s">
        <v>17</v>
      </c>
      <c r="B1321" s="108"/>
      <c r="C1321" s="108"/>
      <c r="D1321" s="109"/>
      <c r="J1321" s="8"/>
      <c r="K1321" s="8"/>
      <c r="L1321" s="8"/>
      <c r="M1321" s="8"/>
      <c r="N1321" s="8"/>
      <c r="O1321" s="8"/>
      <c r="P1321" s="8"/>
    </row>
    <row r="1322" spans="1:16" s="7" customFormat="1" ht="42.75" customHeight="1" thickBot="1">
      <c r="A1322" s="110" t="s">
        <v>20</v>
      </c>
      <c r="B1322" s="111"/>
      <c r="C1322" s="111"/>
      <c r="D1322" s="112"/>
      <c r="J1322" s="8"/>
      <c r="K1322" s="8"/>
      <c r="L1322" s="8"/>
      <c r="M1322" s="8"/>
      <c r="N1322" s="8"/>
      <c r="O1322" s="8"/>
      <c r="P1322" s="8"/>
    </row>
    <row r="1323" spans="1:16" s="7" customFormat="1" ht="42.75" customHeight="1" thickBot="1">
      <c r="A1323" s="113" t="s">
        <v>18</v>
      </c>
      <c r="B1323" s="114"/>
      <c r="C1323" s="114"/>
      <c r="D1323" s="115"/>
      <c r="J1323" s="8"/>
      <c r="K1323" s="8"/>
      <c r="L1323" s="8"/>
      <c r="M1323" s="8"/>
      <c r="N1323" s="8"/>
      <c r="O1323" s="8"/>
      <c r="P1323" s="8"/>
    </row>
    <row r="1324" spans="1:16" s="7" customFormat="1" ht="42.75" customHeight="1" thickBot="1">
      <c r="A1324" s="126" t="s">
        <v>19</v>
      </c>
      <c r="B1324" s="127"/>
      <c r="C1324" s="127"/>
      <c r="D1324" s="128"/>
      <c r="J1324" s="8"/>
      <c r="K1324" s="8"/>
      <c r="L1324" s="8"/>
      <c r="M1324" s="8"/>
      <c r="N1324" s="8"/>
      <c r="O1324" s="8"/>
      <c r="P1324" s="8"/>
    </row>
    <row r="1325" spans="1:16" s="7" customFormat="1" ht="42.75" customHeight="1" thickBot="1">
      <c r="A1325" s="123" t="s">
        <v>11</v>
      </c>
      <c r="B1325" s="124"/>
      <c r="C1325" s="125" t="s">
        <v>603</v>
      </c>
      <c r="D1325" s="124"/>
      <c r="J1325" s="8"/>
      <c r="K1325" s="8"/>
      <c r="L1325" s="8"/>
      <c r="M1325" s="8"/>
      <c r="N1325" s="8"/>
      <c r="O1325" s="8"/>
      <c r="P1325" s="8"/>
    </row>
    <row r="1326" spans="1:16" s="7" customFormat="1" ht="42.75" customHeight="1" thickBot="1">
      <c r="A1326" s="1" t="s">
        <v>686</v>
      </c>
      <c r="B1326" s="26" t="s">
        <v>1</v>
      </c>
      <c r="C1326" s="90" t="s">
        <v>343</v>
      </c>
      <c r="D1326" s="91"/>
      <c r="J1326" s="8"/>
      <c r="K1326" s="8"/>
      <c r="L1326" s="8"/>
      <c r="M1326" s="8"/>
      <c r="N1326" s="8"/>
      <c r="O1326" s="8"/>
      <c r="P1326" s="8"/>
    </row>
    <row r="1327" spans="1:16" s="7" customFormat="1" ht="42.75" customHeight="1" thickBot="1">
      <c r="A1327" s="26"/>
      <c r="B1327" s="26" t="s">
        <v>0</v>
      </c>
      <c r="C1327" s="5" t="s">
        <v>687</v>
      </c>
      <c r="D1327" s="4" t="s">
        <v>2</v>
      </c>
      <c r="J1327" s="8"/>
      <c r="K1327" s="8"/>
      <c r="L1327" s="8"/>
      <c r="M1327" s="8"/>
      <c r="N1327" s="8"/>
      <c r="O1327" s="8"/>
      <c r="P1327" s="8"/>
    </row>
    <row r="1328" spans="1:16" s="7" customFormat="1" ht="42.75" customHeight="1" thickBot="1">
      <c r="A1328" s="92">
        <v>450</v>
      </c>
      <c r="B1328" s="93"/>
      <c r="C1328" s="94" t="s">
        <v>3</v>
      </c>
      <c r="D1328" s="95"/>
      <c r="J1328" s="8"/>
      <c r="K1328" s="8"/>
      <c r="L1328" s="8"/>
      <c r="M1328" s="8"/>
      <c r="N1328" s="8"/>
      <c r="O1328" s="8"/>
      <c r="P1328" s="8"/>
    </row>
    <row r="1329" spans="1:16" s="7" customFormat="1" ht="42.75" customHeight="1" thickBot="1">
      <c r="A1329" s="92">
        <v>475</v>
      </c>
      <c r="B1329" s="93"/>
      <c r="C1329" s="96" t="s">
        <v>4</v>
      </c>
      <c r="D1329" s="97"/>
      <c r="J1329" s="8"/>
      <c r="K1329" s="8"/>
      <c r="L1329" s="8"/>
      <c r="M1329" s="8"/>
      <c r="N1329" s="8"/>
      <c r="O1329" s="8"/>
      <c r="P1329" s="8"/>
    </row>
    <row r="1330" spans="1:16" s="7" customFormat="1" ht="42.75" customHeight="1" thickBot="1">
      <c r="A1330" s="98">
        <f>A1329-A1328</f>
        <v>25</v>
      </c>
      <c r="B1330" s="99"/>
      <c r="C1330" s="100" t="s">
        <v>5</v>
      </c>
      <c r="D1330" s="97"/>
      <c r="J1330" s="8"/>
      <c r="K1330" s="8"/>
      <c r="L1330" s="8"/>
      <c r="M1330" s="8"/>
      <c r="N1330" s="8"/>
      <c r="O1330" s="8"/>
      <c r="P1330" s="8"/>
    </row>
    <row r="1331" spans="1:16" s="7" customFormat="1" ht="42.75" customHeight="1" thickBot="1">
      <c r="A1331" s="101">
        <v>62</v>
      </c>
      <c r="B1331" s="102"/>
      <c r="C1331" s="96" t="s">
        <v>6</v>
      </c>
      <c r="D1331" s="97"/>
      <c r="J1331" s="8"/>
      <c r="K1331" s="8"/>
      <c r="L1331" s="8"/>
      <c r="M1331" s="8"/>
      <c r="N1331" s="8"/>
      <c r="O1331" s="8"/>
      <c r="P1331" s="8"/>
    </row>
    <row r="1332" spans="1:16" s="7" customFormat="1" ht="42.75" customHeight="1" thickBot="1">
      <c r="A1332" s="103"/>
      <c r="B1332" s="104"/>
      <c r="C1332" s="96" t="s">
        <v>21</v>
      </c>
      <c r="D1332" s="97"/>
      <c r="J1332" s="8"/>
      <c r="K1332" s="8"/>
      <c r="L1332" s="8"/>
      <c r="M1332" s="8"/>
      <c r="N1332" s="8"/>
      <c r="O1332" s="8"/>
      <c r="P1332" s="8"/>
    </row>
    <row r="1333" spans="1:16" s="7" customFormat="1" ht="42.75" customHeight="1" thickBot="1">
      <c r="A1333" s="105">
        <f>A1331*A1330</f>
        <v>1550</v>
      </c>
      <c r="B1333" s="106"/>
      <c r="C1333" s="96" t="s">
        <v>7</v>
      </c>
      <c r="D1333" s="97"/>
      <c r="J1333" s="8"/>
      <c r="K1333" s="8"/>
      <c r="L1333" s="8"/>
      <c r="M1333" s="8"/>
      <c r="N1333" s="8"/>
      <c r="O1333" s="8"/>
      <c r="P1333" s="8"/>
    </row>
    <row r="1334" spans="1:16" s="7" customFormat="1" ht="42.75" customHeight="1" thickBot="1">
      <c r="A1334" s="107" t="s">
        <v>17</v>
      </c>
      <c r="B1334" s="108"/>
      <c r="C1334" s="108"/>
      <c r="D1334" s="109"/>
      <c r="J1334" s="8"/>
      <c r="K1334" s="8"/>
      <c r="L1334" s="8"/>
      <c r="M1334" s="8"/>
      <c r="N1334" s="8"/>
      <c r="O1334" s="8"/>
      <c r="P1334" s="8"/>
    </row>
    <row r="1335" spans="1:16" s="7" customFormat="1" ht="42.75" customHeight="1" thickBot="1">
      <c r="A1335" s="116" t="s">
        <v>20</v>
      </c>
      <c r="B1335" s="117"/>
      <c r="C1335" s="117"/>
      <c r="D1335" s="118"/>
      <c r="J1335" s="8"/>
      <c r="K1335" s="8"/>
      <c r="L1335" s="8"/>
      <c r="M1335" s="8"/>
      <c r="N1335" s="8"/>
      <c r="O1335" s="8"/>
      <c r="P1335" s="8"/>
    </row>
    <row r="1336" spans="1:16" s="7" customFormat="1" ht="42.75" customHeight="1" thickBot="1">
      <c r="A1336" s="113" t="s">
        <v>18</v>
      </c>
      <c r="B1336" s="114"/>
      <c r="C1336" s="114"/>
      <c r="D1336" s="115"/>
      <c r="J1336" s="8"/>
      <c r="K1336" s="8"/>
      <c r="L1336" s="8"/>
      <c r="M1336" s="8"/>
      <c r="N1336" s="8"/>
      <c r="O1336" s="8"/>
      <c r="P1336" s="8"/>
    </row>
    <row r="1337" spans="1:16" s="7" customFormat="1" ht="42.75" customHeight="1" thickBot="1">
      <c r="A1337" s="119"/>
      <c r="B1337" s="119"/>
      <c r="C1337" s="119"/>
      <c r="D1337" s="119"/>
      <c r="J1337" s="8"/>
      <c r="K1337" s="8"/>
      <c r="L1337" s="8"/>
      <c r="M1337" s="8"/>
      <c r="N1337" s="8"/>
      <c r="O1337" s="8"/>
      <c r="P1337" s="8"/>
    </row>
    <row r="1338" spans="1:16" s="7" customFormat="1" ht="42.75" customHeight="1" thickBot="1">
      <c r="A1338" s="126" t="s">
        <v>19</v>
      </c>
      <c r="B1338" s="127"/>
      <c r="C1338" s="127"/>
      <c r="D1338" s="128"/>
      <c r="J1338" s="8"/>
      <c r="K1338" s="8"/>
      <c r="L1338" s="8"/>
      <c r="M1338" s="8"/>
      <c r="N1338" s="8"/>
      <c r="O1338" s="8"/>
      <c r="P1338" s="8"/>
    </row>
    <row r="1339" spans="1:16" s="7" customFormat="1" ht="42.75" customHeight="1" thickBot="1">
      <c r="A1339" s="123" t="s">
        <v>11</v>
      </c>
      <c r="B1339" s="124"/>
      <c r="C1339" s="125" t="s">
        <v>603</v>
      </c>
      <c r="D1339" s="124"/>
      <c r="J1339" s="8"/>
      <c r="K1339" s="8"/>
      <c r="L1339" s="8"/>
      <c r="M1339" s="8"/>
      <c r="N1339" s="8"/>
      <c r="O1339" s="8"/>
      <c r="P1339" s="8"/>
    </row>
    <row r="1340" spans="1:16" s="7" customFormat="1" ht="42.75" customHeight="1" thickBot="1">
      <c r="A1340" s="1" t="s">
        <v>686</v>
      </c>
      <c r="B1340" s="26" t="s">
        <v>1</v>
      </c>
      <c r="C1340" s="90" t="s">
        <v>343</v>
      </c>
      <c r="D1340" s="91"/>
      <c r="J1340" s="8"/>
      <c r="K1340" s="8"/>
      <c r="L1340" s="8"/>
      <c r="M1340" s="8"/>
      <c r="N1340" s="8"/>
      <c r="O1340" s="8"/>
      <c r="P1340" s="8"/>
    </row>
    <row r="1341" spans="1:16" s="7" customFormat="1" ht="42.75" customHeight="1" thickBot="1">
      <c r="A1341" s="26"/>
      <c r="B1341" s="26" t="s">
        <v>0</v>
      </c>
      <c r="C1341" s="5" t="s">
        <v>687</v>
      </c>
      <c r="D1341" s="4" t="s">
        <v>2</v>
      </c>
      <c r="J1341" s="8"/>
      <c r="K1341" s="8"/>
      <c r="L1341" s="8"/>
      <c r="M1341" s="8"/>
      <c r="N1341" s="8"/>
      <c r="O1341" s="8"/>
      <c r="P1341" s="8"/>
    </row>
    <row r="1342" spans="1:16" s="7" customFormat="1" ht="42.75" customHeight="1" thickBot="1">
      <c r="A1342" s="92">
        <v>450</v>
      </c>
      <c r="B1342" s="93"/>
      <c r="C1342" s="94" t="s">
        <v>3</v>
      </c>
      <c r="D1342" s="95"/>
      <c r="J1342" s="8"/>
      <c r="K1342" s="8"/>
      <c r="L1342" s="8"/>
      <c r="M1342" s="8"/>
      <c r="N1342" s="8"/>
      <c r="O1342" s="8"/>
      <c r="P1342" s="8"/>
    </row>
    <row r="1343" spans="1:16" s="7" customFormat="1" ht="42.75" customHeight="1" thickBot="1">
      <c r="A1343" s="92">
        <v>475</v>
      </c>
      <c r="B1343" s="93"/>
      <c r="C1343" s="96" t="s">
        <v>4</v>
      </c>
      <c r="D1343" s="97"/>
      <c r="J1343" s="8"/>
      <c r="K1343" s="8"/>
      <c r="L1343" s="8"/>
      <c r="M1343" s="8"/>
      <c r="N1343" s="8"/>
      <c r="O1343" s="8"/>
      <c r="P1343" s="8"/>
    </row>
    <row r="1344" spans="1:16" s="7" customFormat="1" ht="42.75" customHeight="1" thickBot="1">
      <c r="A1344" s="98">
        <f>A1343-A1342</f>
        <v>25</v>
      </c>
      <c r="B1344" s="99"/>
      <c r="C1344" s="100" t="s">
        <v>5</v>
      </c>
      <c r="D1344" s="97"/>
      <c r="J1344" s="8"/>
      <c r="K1344" s="8"/>
      <c r="L1344" s="8"/>
      <c r="M1344" s="8"/>
      <c r="N1344" s="8"/>
      <c r="O1344" s="8"/>
      <c r="P1344" s="8"/>
    </row>
    <row r="1345" spans="1:16" s="7" customFormat="1" ht="42.75" customHeight="1" thickBot="1">
      <c r="A1345" s="101">
        <v>62</v>
      </c>
      <c r="B1345" s="102"/>
      <c r="C1345" s="96" t="s">
        <v>6</v>
      </c>
      <c r="D1345" s="97"/>
      <c r="J1345" s="8"/>
      <c r="K1345" s="8"/>
      <c r="L1345" s="8"/>
      <c r="M1345" s="8"/>
      <c r="N1345" s="8"/>
      <c r="O1345" s="8"/>
      <c r="P1345" s="8"/>
    </row>
    <row r="1346" spans="1:16" s="7" customFormat="1" ht="42.75" customHeight="1" thickBot="1">
      <c r="A1346" s="103"/>
      <c r="B1346" s="104"/>
      <c r="C1346" s="96" t="s">
        <v>21</v>
      </c>
      <c r="D1346" s="97"/>
      <c r="J1346" s="8"/>
      <c r="K1346" s="8"/>
      <c r="L1346" s="8"/>
      <c r="M1346" s="8"/>
      <c r="N1346" s="8"/>
      <c r="O1346" s="8"/>
      <c r="P1346" s="8"/>
    </row>
    <row r="1347" spans="1:16" s="7" customFormat="1" ht="42.75" customHeight="1" thickBot="1">
      <c r="A1347" s="105">
        <f>A1345*A1344</f>
        <v>1550</v>
      </c>
      <c r="B1347" s="106"/>
      <c r="C1347" s="96" t="s">
        <v>7</v>
      </c>
      <c r="D1347" s="97"/>
      <c r="J1347" s="8"/>
      <c r="K1347" s="8"/>
      <c r="L1347" s="8"/>
      <c r="M1347" s="8"/>
      <c r="N1347" s="8"/>
      <c r="O1347" s="8"/>
      <c r="P1347" s="8"/>
    </row>
    <row r="1348" spans="1:16" s="7" customFormat="1" ht="42.75" customHeight="1" thickBot="1">
      <c r="A1348" s="107" t="s">
        <v>17</v>
      </c>
      <c r="B1348" s="108"/>
      <c r="C1348" s="108"/>
      <c r="D1348" s="109"/>
      <c r="J1348" s="8"/>
      <c r="K1348" s="8"/>
      <c r="L1348" s="8"/>
      <c r="M1348" s="8"/>
      <c r="N1348" s="8"/>
      <c r="O1348" s="8"/>
      <c r="P1348" s="8"/>
    </row>
    <row r="1349" spans="1:16" s="7" customFormat="1" ht="42.75" customHeight="1" thickBot="1">
      <c r="A1349" s="110" t="s">
        <v>20</v>
      </c>
      <c r="B1349" s="111"/>
      <c r="C1349" s="111"/>
      <c r="D1349" s="112"/>
      <c r="J1349" s="8"/>
      <c r="K1349" s="8"/>
      <c r="L1349" s="8"/>
      <c r="M1349" s="8"/>
      <c r="N1349" s="8"/>
      <c r="O1349" s="8"/>
      <c r="P1349" s="8"/>
    </row>
    <row r="1350" spans="1:16" s="7" customFormat="1" ht="42.75" customHeight="1" thickBot="1">
      <c r="A1350" s="113" t="s">
        <v>18</v>
      </c>
      <c r="B1350" s="114"/>
      <c r="C1350" s="114"/>
      <c r="D1350" s="115"/>
      <c r="J1350" s="8"/>
      <c r="K1350" s="8"/>
      <c r="L1350" s="8"/>
      <c r="M1350" s="8"/>
      <c r="N1350" s="8"/>
      <c r="O1350" s="8"/>
      <c r="P1350" s="8"/>
    </row>
    <row r="1351" spans="1:16" s="7" customFormat="1" ht="42.75" customHeight="1" thickBot="1">
      <c r="A1351" s="126" t="s">
        <v>19</v>
      </c>
      <c r="B1351" s="127"/>
      <c r="C1351" s="127"/>
      <c r="D1351" s="128"/>
      <c r="J1351" s="8"/>
      <c r="K1351" s="8"/>
      <c r="L1351" s="8"/>
      <c r="M1351" s="8"/>
      <c r="N1351" s="8"/>
      <c r="O1351" s="8"/>
      <c r="P1351" s="8"/>
    </row>
    <row r="1352" spans="1:16" s="7" customFormat="1" ht="42.75" customHeight="1" thickBot="1">
      <c r="A1352" s="123" t="s">
        <v>11</v>
      </c>
      <c r="B1352" s="124"/>
      <c r="C1352" s="125" t="s">
        <v>603</v>
      </c>
      <c r="D1352" s="124"/>
      <c r="J1352" s="8"/>
      <c r="K1352" s="8"/>
      <c r="L1352" s="8"/>
      <c r="M1352" s="8"/>
      <c r="N1352" s="8"/>
      <c r="O1352" s="8"/>
      <c r="P1352" s="8"/>
    </row>
    <row r="1353" spans="1:16" s="7" customFormat="1" ht="42.75" customHeight="1" thickBot="1">
      <c r="A1353" s="1" t="s">
        <v>686</v>
      </c>
      <c r="B1353" s="26" t="s">
        <v>1</v>
      </c>
      <c r="C1353" s="90" t="s">
        <v>344</v>
      </c>
      <c r="D1353" s="91"/>
      <c r="J1353" s="8"/>
      <c r="K1353" s="8"/>
      <c r="L1353" s="8"/>
      <c r="M1353" s="8"/>
      <c r="N1353" s="8"/>
      <c r="O1353" s="8"/>
      <c r="P1353" s="8"/>
    </row>
    <row r="1354" spans="1:16" s="7" customFormat="1" ht="42.75" customHeight="1" thickBot="1">
      <c r="A1354" s="26"/>
      <c r="B1354" s="26" t="s">
        <v>0</v>
      </c>
      <c r="C1354" s="5" t="s">
        <v>687</v>
      </c>
      <c r="D1354" s="4" t="s">
        <v>2</v>
      </c>
      <c r="J1354" s="8"/>
      <c r="K1354" s="8"/>
      <c r="L1354" s="8"/>
      <c r="M1354" s="8"/>
      <c r="N1354" s="8"/>
      <c r="O1354" s="8"/>
      <c r="P1354" s="8"/>
    </row>
    <row r="1355" spans="1:16" s="7" customFormat="1" ht="42.75" customHeight="1" thickBot="1">
      <c r="A1355" s="92">
        <v>265</v>
      </c>
      <c r="B1355" s="93"/>
      <c r="C1355" s="94" t="s">
        <v>3</v>
      </c>
      <c r="D1355" s="95"/>
      <c r="J1355" s="8"/>
      <c r="K1355" s="8"/>
      <c r="L1355" s="8"/>
      <c r="M1355" s="8"/>
      <c r="N1355" s="8"/>
      <c r="O1355" s="8"/>
      <c r="P1355" s="8"/>
    </row>
    <row r="1356" spans="1:16" s="7" customFormat="1" ht="42.75" customHeight="1" thickBot="1">
      <c r="A1356" s="92">
        <v>290</v>
      </c>
      <c r="B1356" s="93"/>
      <c r="C1356" s="96" t="s">
        <v>4</v>
      </c>
      <c r="D1356" s="97"/>
      <c r="J1356" s="8"/>
      <c r="K1356" s="8"/>
      <c r="L1356" s="8"/>
      <c r="M1356" s="8"/>
      <c r="N1356" s="8"/>
      <c r="O1356" s="8"/>
      <c r="P1356" s="8"/>
    </row>
    <row r="1357" spans="1:16" s="7" customFormat="1" ht="42.75" customHeight="1" thickBot="1">
      <c r="A1357" s="98">
        <f>A1356-A1355</f>
        <v>25</v>
      </c>
      <c r="B1357" s="99"/>
      <c r="C1357" s="100" t="s">
        <v>5</v>
      </c>
      <c r="D1357" s="97"/>
      <c r="J1357" s="8"/>
      <c r="K1357" s="8"/>
      <c r="L1357" s="8"/>
      <c r="M1357" s="8"/>
      <c r="N1357" s="8"/>
      <c r="O1357" s="8"/>
      <c r="P1357" s="8"/>
    </row>
    <row r="1358" spans="1:16" s="7" customFormat="1" ht="42.75" customHeight="1" thickBot="1">
      <c r="A1358" s="101">
        <v>62</v>
      </c>
      <c r="B1358" s="102"/>
      <c r="C1358" s="96" t="s">
        <v>6</v>
      </c>
      <c r="D1358" s="97"/>
      <c r="J1358" s="8"/>
      <c r="K1358" s="8"/>
      <c r="L1358" s="8"/>
      <c r="M1358" s="8"/>
      <c r="N1358" s="8"/>
      <c r="O1358" s="8"/>
      <c r="P1358" s="8"/>
    </row>
    <row r="1359" spans="1:16" s="7" customFormat="1" ht="42.75" customHeight="1" thickBot="1">
      <c r="A1359" s="103"/>
      <c r="B1359" s="104"/>
      <c r="C1359" s="96" t="s">
        <v>21</v>
      </c>
      <c r="D1359" s="97"/>
      <c r="J1359" s="8"/>
      <c r="K1359" s="8"/>
      <c r="L1359" s="8"/>
      <c r="M1359" s="8"/>
      <c r="N1359" s="8"/>
      <c r="O1359" s="8"/>
      <c r="P1359" s="8"/>
    </row>
    <row r="1360" spans="1:16" s="7" customFormat="1" ht="42.75" customHeight="1" thickBot="1">
      <c r="A1360" s="105">
        <f>A1358*A1357</f>
        <v>1550</v>
      </c>
      <c r="B1360" s="106"/>
      <c r="C1360" s="96" t="s">
        <v>7</v>
      </c>
      <c r="D1360" s="97"/>
      <c r="J1360" s="8"/>
      <c r="K1360" s="8"/>
      <c r="L1360" s="8"/>
      <c r="M1360" s="8"/>
      <c r="N1360" s="8"/>
      <c r="O1360" s="8"/>
      <c r="P1360" s="8"/>
    </row>
    <row r="1361" spans="1:16" s="7" customFormat="1" ht="42.75" customHeight="1" thickBot="1">
      <c r="A1361" s="107" t="s">
        <v>17</v>
      </c>
      <c r="B1361" s="108"/>
      <c r="C1361" s="108"/>
      <c r="D1361" s="109"/>
      <c r="J1361" s="8"/>
      <c r="K1361" s="8"/>
      <c r="L1361" s="8"/>
      <c r="M1361" s="8"/>
      <c r="N1361" s="8"/>
      <c r="O1361" s="8"/>
      <c r="P1361" s="8"/>
    </row>
    <row r="1362" spans="1:16" s="7" customFormat="1" ht="42.75" customHeight="1" thickBot="1">
      <c r="A1362" s="116" t="s">
        <v>20</v>
      </c>
      <c r="B1362" s="117"/>
      <c r="C1362" s="117"/>
      <c r="D1362" s="118"/>
      <c r="J1362" s="8"/>
      <c r="K1362" s="8"/>
      <c r="L1362" s="8"/>
      <c r="M1362" s="8"/>
      <c r="N1362" s="8"/>
      <c r="O1362" s="8"/>
      <c r="P1362" s="8"/>
    </row>
    <row r="1363" spans="1:16" s="7" customFormat="1" ht="42.75" customHeight="1" thickBot="1">
      <c r="A1363" s="113" t="s">
        <v>18</v>
      </c>
      <c r="B1363" s="114"/>
      <c r="C1363" s="114"/>
      <c r="D1363" s="115"/>
      <c r="J1363" s="8"/>
      <c r="K1363" s="8"/>
      <c r="L1363" s="8"/>
      <c r="M1363" s="8"/>
      <c r="N1363" s="8"/>
      <c r="O1363" s="8"/>
      <c r="P1363" s="8"/>
    </row>
    <row r="1364" spans="1:16" s="7" customFormat="1" ht="42.75" customHeight="1" thickBot="1">
      <c r="A1364" s="119"/>
      <c r="B1364" s="119"/>
      <c r="C1364" s="119"/>
      <c r="D1364" s="119"/>
      <c r="J1364" s="8"/>
      <c r="K1364" s="8"/>
      <c r="L1364" s="8"/>
      <c r="M1364" s="8"/>
      <c r="N1364" s="8"/>
      <c r="O1364" s="8"/>
      <c r="P1364" s="8"/>
    </row>
    <row r="1365" spans="1:16" s="7" customFormat="1" ht="42.75" customHeight="1" thickBot="1">
      <c r="A1365" s="126" t="s">
        <v>19</v>
      </c>
      <c r="B1365" s="127"/>
      <c r="C1365" s="127"/>
      <c r="D1365" s="128"/>
      <c r="J1365" s="8"/>
      <c r="K1365" s="8"/>
      <c r="L1365" s="8"/>
      <c r="M1365" s="8"/>
      <c r="N1365" s="8"/>
      <c r="O1365" s="8"/>
      <c r="P1365" s="8"/>
    </row>
    <row r="1366" spans="1:16" s="7" customFormat="1" ht="42.75" customHeight="1" thickBot="1">
      <c r="A1366" s="123" t="s">
        <v>11</v>
      </c>
      <c r="B1366" s="124"/>
      <c r="C1366" s="125" t="s">
        <v>603</v>
      </c>
      <c r="D1366" s="124"/>
      <c r="J1366" s="8"/>
      <c r="K1366" s="8"/>
      <c r="L1366" s="8"/>
      <c r="M1366" s="8"/>
      <c r="N1366" s="8"/>
      <c r="O1366" s="8"/>
      <c r="P1366" s="8"/>
    </row>
    <row r="1367" spans="1:16" s="7" customFormat="1" ht="42.75" customHeight="1" thickBot="1">
      <c r="A1367" s="1" t="s">
        <v>686</v>
      </c>
      <c r="B1367" s="26" t="s">
        <v>1</v>
      </c>
      <c r="C1367" s="90" t="s">
        <v>344</v>
      </c>
      <c r="D1367" s="91"/>
      <c r="J1367" s="8"/>
      <c r="K1367" s="8"/>
      <c r="L1367" s="8"/>
      <c r="M1367" s="8"/>
      <c r="N1367" s="8"/>
      <c r="O1367" s="8"/>
      <c r="P1367" s="8"/>
    </row>
    <row r="1368" spans="1:16" s="7" customFormat="1" ht="42.75" customHeight="1" thickBot="1">
      <c r="A1368" s="26"/>
      <c r="B1368" s="26" t="s">
        <v>0</v>
      </c>
      <c r="C1368" s="5" t="s">
        <v>687</v>
      </c>
      <c r="D1368" s="4" t="s">
        <v>2</v>
      </c>
      <c r="J1368" s="8"/>
      <c r="K1368" s="8"/>
      <c r="L1368" s="8"/>
      <c r="M1368" s="8"/>
      <c r="N1368" s="8"/>
      <c r="O1368" s="8"/>
      <c r="P1368" s="8"/>
    </row>
    <row r="1369" spans="1:16" s="7" customFormat="1" ht="42.75" customHeight="1" thickBot="1">
      <c r="A1369" s="92">
        <v>265</v>
      </c>
      <c r="B1369" s="93"/>
      <c r="C1369" s="94" t="s">
        <v>3</v>
      </c>
      <c r="D1369" s="95"/>
      <c r="J1369" s="8"/>
      <c r="K1369" s="8"/>
      <c r="L1369" s="8"/>
      <c r="M1369" s="8"/>
      <c r="N1369" s="8"/>
      <c r="O1369" s="8"/>
      <c r="P1369" s="8"/>
    </row>
    <row r="1370" spans="1:16" s="7" customFormat="1" ht="42.75" customHeight="1" thickBot="1">
      <c r="A1370" s="92">
        <v>290</v>
      </c>
      <c r="B1370" s="93"/>
      <c r="C1370" s="96" t="s">
        <v>4</v>
      </c>
      <c r="D1370" s="97"/>
      <c r="J1370" s="8"/>
      <c r="K1370" s="8"/>
      <c r="L1370" s="8"/>
      <c r="M1370" s="8"/>
      <c r="N1370" s="8"/>
      <c r="O1370" s="8"/>
      <c r="P1370" s="8"/>
    </row>
    <row r="1371" spans="1:16" s="7" customFormat="1" ht="42.75" customHeight="1" thickBot="1">
      <c r="A1371" s="98">
        <f>A1370-A1369</f>
        <v>25</v>
      </c>
      <c r="B1371" s="99"/>
      <c r="C1371" s="100" t="s">
        <v>5</v>
      </c>
      <c r="D1371" s="97"/>
      <c r="J1371" s="8"/>
      <c r="K1371" s="8"/>
      <c r="L1371" s="8"/>
      <c r="M1371" s="8"/>
      <c r="N1371" s="8"/>
      <c r="O1371" s="8"/>
      <c r="P1371" s="8"/>
    </row>
    <row r="1372" spans="1:16" s="7" customFormat="1" ht="42.75" customHeight="1" thickBot="1">
      <c r="A1372" s="101">
        <v>62</v>
      </c>
      <c r="B1372" s="102"/>
      <c r="C1372" s="96" t="s">
        <v>6</v>
      </c>
      <c r="D1372" s="97"/>
      <c r="J1372" s="8"/>
      <c r="K1372" s="8"/>
      <c r="L1372" s="8"/>
      <c r="M1372" s="8"/>
      <c r="N1372" s="8"/>
      <c r="O1372" s="8"/>
      <c r="P1372" s="8"/>
    </row>
    <row r="1373" spans="1:16" s="7" customFormat="1" ht="42.75" customHeight="1" thickBot="1">
      <c r="A1373" s="103"/>
      <c r="B1373" s="104"/>
      <c r="C1373" s="96" t="s">
        <v>21</v>
      </c>
      <c r="D1373" s="97"/>
      <c r="J1373" s="8"/>
      <c r="K1373" s="8"/>
      <c r="L1373" s="8"/>
      <c r="M1373" s="8"/>
      <c r="N1373" s="8"/>
      <c r="O1373" s="8"/>
      <c r="P1373" s="8"/>
    </row>
    <row r="1374" spans="1:16" s="7" customFormat="1" ht="42.75" customHeight="1" thickBot="1">
      <c r="A1374" s="105">
        <f>A1372*A1371</f>
        <v>1550</v>
      </c>
      <c r="B1374" s="106"/>
      <c r="C1374" s="96" t="s">
        <v>7</v>
      </c>
      <c r="D1374" s="97"/>
      <c r="J1374" s="8"/>
      <c r="K1374" s="8"/>
      <c r="L1374" s="8"/>
      <c r="M1374" s="8"/>
      <c r="N1374" s="8"/>
      <c r="O1374" s="8"/>
      <c r="P1374" s="8"/>
    </row>
    <row r="1375" spans="1:16" s="7" customFormat="1" ht="42.75" customHeight="1" thickBot="1">
      <c r="A1375" s="107" t="s">
        <v>17</v>
      </c>
      <c r="B1375" s="108"/>
      <c r="C1375" s="108"/>
      <c r="D1375" s="109"/>
      <c r="J1375" s="8"/>
      <c r="K1375" s="8"/>
      <c r="L1375" s="8"/>
      <c r="M1375" s="8"/>
      <c r="N1375" s="8"/>
      <c r="O1375" s="8"/>
      <c r="P1375" s="8"/>
    </row>
    <row r="1376" spans="1:16" s="7" customFormat="1" ht="42.75" customHeight="1" thickBot="1">
      <c r="A1376" s="110" t="s">
        <v>20</v>
      </c>
      <c r="B1376" s="111"/>
      <c r="C1376" s="111"/>
      <c r="D1376" s="112"/>
      <c r="J1376" s="8"/>
      <c r="K1376" s="8"/>
      <c r="L1376" s="8"/>
      <c r="M1376" s="8"/>
      <c r="N1376" s="8"/>
      <c r="O1376" s="8"/>
      <c r="P1376" s="8"/>
    </row>
    <row r="1377" spans="1:16" s="7" customFormat="1" ht="42.75" customHeight="1" thickBot="1">
      <c r="A1377" s="113" t="s">
        <v>18</v>
      </c>
      <c r="B1377" s="114"/>
      <c r="C1377" s="114"/>
      <c r="D1377" s="115"/>
      <c r="J1377" s="8"/>
      <c r="K1377" s="8"/>
      <c r="L1377" s="8"/>
      <c r="M1377" s="8"/>
      <c r="N1377" s="8"/>
      <c r="O1377" s="8"/>
      <c r="P1377" s="8"/>
    </row>
    <row r="1378" spans="1:16" s="7" customFormat="1" ht="42.75" customHeight="1" thickBot="1">
      <c r="A1378" s="126" t="s">
        <v>19</v>
      </c>
      <c r="B1378" s="127"/>
      <c r="C1378" s="127"/>
      <c r="D1378" s="128"/>
      <c r="J1378" s="8"/>
      <c r="K1378" s="8"/>
      <c r="L1378" s="8"/>
      <c r="M1378" s="8"/>
      <c r="N1378" s="8"/>
      <c r="O1378" s="8"/>
      <c r="P1378" s="8"/>
    </row>
    <row r="1379" spans="1:16" s="7" customFormat="1" ht="42.75" customHeight="1" thickBot="1">
      <c r="A1379" s="123" t="s">
        <v>11</v>
      </c>
      <c r="B1379" s="124"/>
      <c r="C1379" s="125" t="s">
        <v>603</v>
      </c>
      <c r="D1379" s="124"/>
      <c r="J1379" s="8"/>
      <c r="K1379" s="8"/>
      <c r="L1379" s="8"/>
      <c r="M1379" s="8"/>
      <c r="N1379" s="8"/>
      <c r="O1379" s="8"/>
      <c r="P1379" s="8"/>
    </row>
    <row r="1380" spans="1:16" s="7" customFormat="1" ht="42.75" customHeight="1" thickBot="1">
      <c r="A1380" s="1" t="s">
        <v>686</v>
      </c>
      <c r="B1380" s="26" t="s">
        <v>1</v>
      </c>
      <c r="C1380" s="90" t="s">
        <v>345</v>
      </c>
      <c r="D1380" s="91"/>
      <c r="J1380" s="8"/>
      <c r="K1380" s="8"/>
      <c r="L1380" s="8"/>
      <c r="M1380" s="8"/>
      <c r="N1380" s="8"/>
      <c r="O1380" s="8"/>
      <c r="P1380" s="8"/>
    </row>
    <row r="1381" spans="1:16" s="7" customFormat="1" ht="42.75" customHeight="1" thickBot="1">
      <c r="A1381" s="26"/>
      <c r="B1381" s="26" t="s">
        <v>0</v>
      </c>
      <c r="C1381" s="5" t="s">
        <v>687</v>
      </c>
      <c r="D1381" s="4" t="s">
        <v>2</v>
      </c>
      <c r="J1381" s="8"/>
      <c r="K1381" s="8"/>
      <c r="L1381" s="8"/>
      <c r="M1381" s="8"/>
      <c r="N1381" s="8"/>
      <c r="O1381" s="8"/>
      <c r="P1381" s="8"/>
    </row>
    <row r="1382" spans="1:16" s="7" customFormat="1" ht="42.75" customHeight="1" thickBot="1">
      <c r="A1382" s="92">
        <v>200</v>
      </c>
      <c r="B1382" s="93"/>
      <c r="C1382" s="94" t="s">
        <v>3</v>
      </c>
      <c r="D1382" s="95"/>
      <c r="J1382" s="8"/>
      <c r="K1382" s="8"/>
      <c r="L1382" s="8"/>
      <c r="M1382" s="8"/>
      <c r="N1382" s="8"/>
      <c r="O1382" s="8"/>
      <c r="P1382" s="8"/>
    </row>
    <row r="1383" spans="1:16" s="7" customFormat="1" ht="42.75" customHeight="1" thickBot="1">
      <c r="A1383" s="92">
        <v>209</v>
      </c>
      <c r="B1383" s="93"/>
      <c r="C1383" s="96" t="s">
        <v>4</v>
      </c>
      <c r="D1383" s="97"/>
      <c r="J1383" s="8"/>
      <c r="K1383" s="8"/>
      <c r="L1383" s="8"/>
      <c r="M1383" s="8"/>
      <c r="N1383" s="8"/>
      <c r="O1383" s="8"/>
      <c r="P1383" s="8"/>
    </row>
    <row r="1384" spans="1:16" s="7" customFormat="1" ht="42.75" customHeight="1" thickBot="1">
      <c r="A1384" s="98">
        <v>10</v>
      </c>
      <c r="B1384" s="99"/>
      <c r="C1384" s="100" t="s">
        <v>5</v>
      </c>
      <c r="D1384" s="97"/>
      <c r="J1384" s="8"/>
      <c r="K1384" s="8"/>
      <c r="L1384" s="8"/>
      <c r="M1384" s="8"/>
      <c r="N1384" s="8"/>
      <c r="O1384" s="8"/>
      <c r="P1384" s="8"/>
    </row>
    <row r="1385" spans="1:16" s="7" customFormat="1" ht="42.75" customHeight="1" thickBot="1">
      <c r="A1385" s="101">
        <v>62</v>
      </c>
      <c r="B1385" s="102"/>
      <c r="C1385" s="96" t="s">
        <v>6</v>
      </c>
      <c r="D1385" s="97"/>
      <c r="J1385" s="8"/>
      <c r="K1385" s="8"/>
      <c r="L1385" s="8"/>
      <c r="M1385" s="8"/>
      <c r="N1385" s="8"/>
      <c r="O1385" s="8"/>
      <c r="P1385" s="8"/>
    </row>
    <row r="1386" spans="1:16" s="7" customFormat="1" ht="42.75" customHeight="1" thickBot="1">
      <c r="A1386" s="103"/>
      <c r="B1386" s="104"/>
      <c r="C1386" s="96" t="s">
        <v>21</v>
      </c>
      <c r="D1386" s="97"/>
      <c r="J1386" s="8"/>
      <c r="K1386" s="8"/>
      <c r="L1386" s="8"/>
      <c r="M1386" s="8"/>
      <c r="N1386" s="8"/>
      <c r="O1386" s="8"/>
      <c r="P1386" s="8"/>
    </row>
    <row r="1387" spans="1:16" s="7" customFormat="1" ht="42.75" customHeight="1" thickBot="1">
      <c r="A1387" s="105">
        <v>600</v>
      </c>
      <c r="B1387" s="106"/>
      <c r="C1387" s="96" t="s">
        <v>7</v>
      </c>
      <c r="D1387" s="97"/>
      <c r="J1387" s="8"/>
      <c r="K1387" s="8"/>
      <c r="L1387" s="8"/>
      <c r="M1387" s="8"/>
      <c r="N1387" s="8"/>
      <c r="O1387" s="8"/>
      <c r="P1387" s="8"/>
    </row>
    <row r="1388" spans="1:16" s="7" customFormat="1" ht="42.75" customHeight="1" thickBot="1">
      <c r="A1388" s="107" t="s">
        <v>17</v>
      </c>
      <c r="B1388" s="108"/>
      <c r="C1388" s="108"/>
      <c r="D1388" s="109"/>
      <c r="J1388" s="8"/>
      <c r="K1388" s="8"/>
      <c r="L1388" s="8"/>
      <c r="M1388" s="8"/>
      <c r="N1388" s="8"/>
      <c r="O1388" s="8"/>
      <c r="P1388" s="8"/>
    </row>
    <row r="1389" spans="1:16" s="7" customFormat="1" ht="42.75" customHeight="1" thickBot="1">
      <c r="A1389" s="116" t="s">
        <v>20</v>
      </c>
      <c r="B1389" s="117"/>
      <c r="C1389" s="117"/>
      <c r="D1389" s="118"/>
      <c r="J1389" s="8"/>
      <c r="K1389" s="8"/>
      <c r="L1389" s="8"/>
      <c r="M1389" s="8"/>
      <c r="N1389" s="8"/>
      <c r="O1389" s="8"/>
      <c r="P1389" s="8"/>
    </row>
    <row r="1390" spans="1:16" s="7" customFormat="1" ht="42.75" customHeight="1" thickBot="1">
      <c r="A1390" s="113" t="s">
        <v>18</v>
      </c>
      <c r="B1390" s="114"/>
      <c r="C1390" s="114"/>
      <c r="D1390" s="115"/>
      <c r="J1390" s="8"/>
      <c r="K1390" s="8"/>
      <c r="L1390" s="8"/>
      <c r="M1390" s="8"/>
      <c r="N1390" s="8"/>
      <c r="O1390" s="8"/>
      <c r="P1390" s="8"/>
    </row>
    <row r="1391" spans="1:16" s="7" customFormat="1" ht="42.75" customHeight="1" thickBot="1">
      <c r="A1391" s="119"/>
      <c r="B1391" s="119"/>
      <c r="C1391" s="119"/>
      <c r="D1391" s="119"/>
      <c r="J1391" s="8"/>
      <c r="K1391" s="8"/>
      <c r="L1391" s="8"/>
      <c r="M1391" s="8"/>
      <c r="N1391" s="8"/>
      <c r="O1391" s="8"/>
      <c r="P1391" s="8"/>
    </row>
    <row r="1392" spans="1:16" s="7" customFormat="1" ht="42.75" customHeight="1" thickBot="1">
      <c r="A1392" s="126" t="s">
        <v>19</v>
      </c>
      <c r="B1392" s="127"/>
      <c r="C1392" s="127"/>
      <c r="D1392" s="128"/>
      <c r="J1392" s="8"/>
      <c r="K1392" s="8"/>
      <c r="L1392" s="8"/>
      <c r="M1392" s="8"/>
      <c r="N1392" s="8"/>
      <c r="O1392" s="8"/>
      <c r="P1392" s="8"/>
    </row>
    <row r="1393" spans="1:16" s="7" customFormat="1" ht="42.75" customHeight="1" thickBot="1">
      <c r="A1393" s="123" t="s">
        <v>11</v>
      </c>
      <c r="B1393" s="124"/>
      <c r="C1393" s="125" t="s">
        <v>603</v>
      </c>
      <c r="D1393" s="124"/>
      <c r="J1393" s="8"/>
      <c r="K1393" s="8"/>
      <c r="L1393" s="8"/>
      <c r="M1393" s="8"/>
      <c r="N1393" s="8"/>
      <c r="O1393" s="8"/>
      <c r="P1393" s="8"/>
    </row>
    <row r="1394" spans="1:16" s="7" customFormat="1" ht="42.75" customHeight="1" thickBot="1">
      <c r="A1394" s="1" t="s">
        <v>686</v>
      </c>
      <c r="B1394" s="26" t="s">
        <v>1</v>
      </c>
      <c r="C1394" s="90" t="s">
        <v>345</v>
      </c>
      <c r="D1394" s="91"/>
      <c r="J1394" s="8"/>
      <c r="K1394" s="8"/>
      <c r="L1394" s="8"/>
      <c r="M1394" s="8"/>
      <c r="N1394" s="8"/>
      <c r="O1394" s="8"/>
      <c r="P1394" s="8"/>
    </row>
    <row r="1395" spans="1:16" s="7" customFormat="1" ht="42.75" customHeight="1" thickBot="1">
      <c r="A1395" s="26"/>
      <c r="B1395" s="26" t="s">
        <v>0</v>
      </c>
      <c r="C1395" s="5" t="s">
        <v>687</v>
      </c>
      <c r="D1395" s="4" t="s">
        <v>2</v>
      </c>
      <c r="J1395" s="8"/>
      <c r="K1395" s="8"/>
      <c r="L1395" s="8"/>
      <c r="M1395" s="8"/>
      <c r="N1395" s="8"/>
      <c r="O1395" s="8"/>
      <c r="P1395" s="8"/>
    </row>
    <row r="1396" spans="1:16" s="7" customFormat="1" ht="42.75" customHeight="1" thickBot="1">
      <c r="A1396" s="92">
        <v>200</v>
      </c>
      <c r="B1396" s="93"/>
      <c r="C1396" s="94" t="s">
        <v>3</v>
      </c>
      <c r="D1396" s="95"/>
      <c r="J1396" s="8"/>
      <c r="K1396" s="8"/>
      <c r="L1396" s="8"/>
      <c r="M1396" s="8"/>
      <c r="N1396" s="8"/>
      <c r="O1396" s="8"/>
      <c r="P1396" s="8"/>
    </row>
    <row r="1397" spans="1:16" s="7" customFormat="1" ht="42.75" customHeight="1" thickBot="1">
      <c r="A1397" s="92">
        <v>209</v>
      </c>
      <c r="B1397" s="93"/>
      <c r="C1397" s="96" t="s">
        <v>4</v>
      </c>
      <c r="D1397" s="97"/>
      <c r="J1397" s="8"/>
      <c r="K1397" s="8"/>
      <c r="L1397" s="8"/>
      <c r="M1397" s="8"/>
      <c r="N1397" s="8"/>
      <c r="O1397" s="8"/>
      <c r="P1397" s="8"/>
    </row>
    <row r="1398" spans="1:16" s="7" customFormat="1" ht="42.75" customHeight="1" thickBot="1">
      <c r="A1398" s="98">
        <v>10</v>
      </c>
      <c r="B1398" s="99"/>
      <c r="C1398" s="100" t="s">
        <v>5</v>
      </c>
      <c r="D1398" s="97"/>
      <c r="J1398" s="8"/>
      <c r="K1398" s="8"/>
      <c r="L1398" s="8"/>
      <c r="M1398" s="8"/>
      <c r="N1398" s="8"/>
      <c r="O1398" s="8"/>
      <c r="P1398" s="8"/>
    </row>
    <row r="1399" spans="1:16" s="7" customFormat="1" ht="42.75" customHeight="1" thickBot="1">
      <c r="A1399" s="101">
        <v>62</v>
      </c>
      <c r="B1399" s="102"/>
      <c r="C1399" s="96" t="s">
        <v>6</v>
      </c>
      <c r="D1399" s="97"/>
      <c r="J1399" s="8"/>
      <c r="K1399" s="8"/>
      <c r="L1399" s="8"/>
      <c r="M1399" s="8"/>
      <c r="N1399" s="8"/>
      <c r="O1399" s="8"/>
      <c r="P1399" s="8"/>
    </row>
    <row r="1400" spans="1:16" s="7" customFormat="1" ht="42.75" customHeight="1" thickBot="1">
      <c r="A1400" s="103"/>
      <c r="B1400" s="104"/>
      <c r="C1400" s="96" t="s">
        <v>21</v>
      </c>
      <c r="D1400" s="97"/>
      <c r="J1400" s="8"/>
      <c r="K1400" s="8"/>
      <c r="L1400" s="8"/>
      <c r="M1400" s="8"/>
      <c r="N1400" s="8"/>
      <c r="O1400" s="8"/>
      <c r="P1400" s="8"/>
    </row>
    <row r="1401" spans="1:16" s="7" customFormat="1" ht="42.75" customHeight="1" thickBot="1">
      <c r="A1401" s="105">
        <v>600</v>
      </c>
      <c r="B1401" s="106"/>
      <c r="C1401" s="96" t="s">
        <v>7</v>
      </c>
      <c r="D1401" s="97"/>
      <c r="J1401" s="8"/>
      <c r="K1401" s="8"/>
      <c r="L1401" s="8"/>
      <c r="M1401" s="8"/>
      <c r="N1401" s="8"/>
      <c r="O1401" s="8"/>
      <c r="P1401" s="8"/>
    </row>
    <row r="1402" spans="1:16" s="7" customFormat="1" ht="42.75" customHeight="1" thickBot="1">
      <c r="A1402" s="107" t="s">
        <v>17</v>
      </c>
      <c r="B1402" s="108"/>
      <c r="C1402" s="108"/>
      <c r="D1402" s="109"/>
      <c r="J1402" s="8"/>
      <c r="K1402" s="8"/>
      <c r="L1402" s="8"/>
      <c r="M1402" s="8"/>
      <c r="N1402" s="8"/>
      <c r="O1402" s="8"/>
      <c r="P1402" s="8"/>
    </row>
    <row r="1403" spans="1:16" s="7" customFormat="1" ht="42.75" customHeight="1" thickBot="1">
      <c r="A1403" s="110" t="s">
        <v>20</v>
      </c>
      <c r="B1403" s="111"/>
      <c r="C1403" s="111"/>
      <c r="D1403" s="112"/>
      <c r="J1403" s="8"/>
      <c r="K1403" s="8"/>
      <c r="L1403" s="8"/>
      <c r="M1403" s="8"/>
      <c r="N1403" s="8"/>
      <c r="O1403" s="8"/>
      <c r="P1403" s="8"/>
    </row>
    <row r="1404" spans="1:16" s="7" customFormat="1" ht="42.75" customHeight="1" thickBot="1">
      <c r="A1404" s="113" t="s">
        <v>18</v>
      </c>
      <c r="B1404" s="114"/>
      <c r="C1404" s="114"/>
      <c r="D1404" s="115"/>
      <c r="J1404" s="8"/>
      <c r="K1404" s="8"/>
      <c r="L1404" s="8"/>
      <c r="M1404" s="8"/>
      <c r="N1404" s="8"/>
      <c r="O1404" s="8"/>
      <c r="P1404" s="8"/>
    </row>
    <row r="1405" spans="1:16" s="7" customFormat="1" ht="42.75" customHeight="1" thickBot="1">
      <c r="A1405" s="126" t="s">
        <v>19</v>
      </c>
      <c r="B1405" s="127"/>
      <c r="C1405" s="127"/>
      <c r="D1405" s="128"/>
      <c r="J1405" s="8"/>
      <c r="K1405" s="8"/>
      <c r="L1405" s="8"/>
      <c r="M1405" s="8"/>
      <c r="N1405" s="8"/>
      <c r="O1405" s="8"/>
      <c r="P1405" s="8"/>
    </row>
    <row r="1406" spans="1:16" s="7" customFormat="1" ht="42.75" customHeight="1" thickBot="1">
      <c r="A1406" s="123" t="s">
        <v>11</v>
      </c>
      <c r="B1406" s="124"/>
      <c r="C1406" s="125" t="s">
        <v>603</v>
      </c>
      <c r="D1406" s="124"/>
      <c r="J1406" s="8"/>
      <c r="K1406" s="8"/>
      <c r="L1406" s="8"/>
      <c r="M1406" s="8"/>
      <c r="N1406" s="8"/>
      <c r="O1406" s="8"/>
      <c r="P1406" s="8"/>
    </row>
    <row r="1407" spans="1:16" s="7" customFormat="1" ht="42.75" customHeight="1" thickBot="1">
      <c r="A1407" s="1" t="s">
        <v>686</v>
      </c>
      <c r="B1407" s="26" t="s">
        <v>1</v>
      </c>
      <c r="C1407" s="90" t="s">
        <v>688</v>
      </c>
      <c r="D1407" s="91"/>
      <c r="J1407" s="8"/>
      <c r="K1407" s="8"/>
      <c r="L1407" s="8"/>
      <c r="M1407" s="8"/>
      <c r="N1407" s="8"/>
      <c r="O1407" s="8"/>
      <c r="P1407" s="8"/>
    </row>
    <row r="1408" spans="1:16" s="7" customFormat="1" ht="42.75" customHeight="1" thickBot="1">
      <c r="A1408" s="26"/>
      <c r="B1408" s="26" t="s">
        <v>0</v>
      </c>
      <c r="C1408" s="5" t="s">
        <v>687</v>
      </c>
      <c r="D1408" s="4" t="s">
        <v>2</v>
      </c>
      <c r="J1408" s="8"/>
      <c r="K1408" s="8"/>
      <c r="L1408" s="8"/>
      <c r="M1408" s="8"/>
      <c r="N1408" s="8"/>
      <c r="O1408" s="8"/>
      <c r="P1408" s="8"/>
    </row>
    <row r="1409" spans="1:16" s="7" customFormat="1" ht="42.75" customHeight="1" thickBot="1">
      <c r="A1409" s="92">
        <v>482</v>
      </c>
      <c r="B1409" s="93"/>
      <c r="C1409" s="94" t="s">
        <v>3</v>
      </c>
      <c r="D1409" s="95"/>
      <c r="J1409" s="8"/>
      <c r="K1409" s="8"/>
      <c r="L1409" s="8"/>
      <c r="M1409" s="8"/>
      <c r="N1409" s="8"/>
      <c r="O1409" s="8"/>
      <c r="P1409" s="8"/>
    </row>
    <row r="1410" spans="1:16" s="7" customFormat="1" ht="42.75" customHeight="1" thickBot="1">
      <c r="A1410" s="92">
        <v>535</v>
      </c>
      <c r="B1410" s="93"/>
      <c r="C1410" s="96" t="s">
        <v>4</v>
      </c>
      <c r="D1410" s="97"/>
      <c r="J1410" s="8"/>
      <c r="K1410" s="8"/>
      <c r="L1410" s="8"/>
      <c r="M1410" s="8"/>
      <c r="N1410" s="8"/>
      <c r="O1410" s="8"/>
      <c r="P1410" s="8"/>
    </row>
    <row r="1411" spans="1:16" s="7" customFormat="1" ht="42.75" customHeight="1" thickBot="1">
      <c r="A1411" s="98">
        <f>A1410-A1409</f>
        <v>53</v>
      </c>
      <c r="B1411" s="99"/>
      <c r="C1411" s="100" t="s">
        <v>5</v>
      </c>
      <c r="D1411" s="97"/>
      <c r="J1411" s="8"/>
      <c r="K1411" s="8"/>
      <c r="L1411" s="8"/>
      <c r="M1411" s="8"/>
      <c r="N1411" s="8"/>
      <c r="O1411" s="8"/>
      <c r="P1411" s="8"/>
    </row>
    <row r="1412" spans="1:16" s="7" customFormat="1" ht="42.75" customHeight="1" thickBot="1">
      <c r="A1412" s="101">
        <v>62</v>
      </c>
      <c r="B1412" s="102"/>
      <c r="C1412" s="96" t="s">
        <v>6</v>
      </c>
      <c r="D1412" s="97"/>
      <c r="J1412" s="8"/>
      <c r="K1412" s="8"/>
      <c r="L1412" s="8"/>
      <c r="M1412" s="8"/>
      <c r="N1412" s="8"/>
      <c r="O1412" s="8"/>
      <c r="P1412" s="8"/>
    </row>
    <row r="1413" spans="1:16" s="7" customFormat="1" ht="42.75" customHeight="1" thickBot="1">
      <c r="A1413" s="103"/>
      <c r="B1413" s="104"/>
      <c r="C1413" s="96" t="s">
        <v>21</v>
      </c>
      <c r="D1413" s="97"/>
      <c r="J1413" s="8"/>
      <c r="K1413" s="8"/>
      <c r="L1413" s="8"/>
      <c r="M1413" s="8"/>
      <c r="N1413" s="8"/>
      <c r="O1413" s="8"/>
      <c r="P1413" s="8"/>
    </row>
    <row r="1414" spans="1:16" s="7" customFormat="1" ht="42.75" customHeight="1" thickBot="1">
      <c r="A1414" s="105">
        <v>3400</v>
      </c>
      <c r="B1414" s="106"/>
      <c r="C1414" s="96" t="s">
        <v>7</v>
      </c>
      <c r="D1414" s="97"/>
      <c r="J1414" s="8"/>
      <c r="K1414" s="8"/>
      <c r="L1414" s="8"/>
      <c r="M1414" s="8"/>
      <c r="N1414" s="8"/>
      <c r="O1414" s="8"/>
      <c r="P1414" s="8"/>
    </row>
    <row r="1415" spans="1:16" s="7" customFormat="1" ht="42.75" customHeight="1" thickBot="1">
      <c r="A1415" s="107" t="s">
        <v>17</v>
      </c>
      <c r="B1415" s="108"/>
      <c r="C1415" s="108"/>
      <c r="D1415" s="109"/>
      <c r="J1415" s="8"/>
      <c r="K1415" s="8"/>
      <c r="L1415" s="8"/>
      <c r="M1415" s="8"/>
      <c r="N1415" s="8"/>
      <c r="O1415" s="8"/>
      <c r="P1415" s="8"/>
    </row>
    <row r="1416" spans="1:16" s="7" customFormat="1" ht="42.75" customHeight="1" thickBot="1">
      <c r="A1416" s="116" t="s">
        <v>20</v>
      </c>
      <c r="B1416" s="117"/>
      <c r="C1416" s="117"/>
      <c r="D1416" s="118"/>
      <c r="J1416" s="8"/>
      <c r="K1416" s="8"/>
      <c r="L1416" s="8"/>
      <c r="M1416" s="8"/>
      <c r="N1416" s="8"/>
      <c r="O1416" s="8"/>
      <c r="P1416" s="8"/>
    </row>
    <row r="1417" spans="1:16" s="7" customFormat="1" ht="42.75" customHeight="1" thickBot="1">
      <c r="A1417" s="113" t="s">
        <v>18</v>
      </c>
      <c r="B1417" s="114"/>
      <c r="C1417" s="114"/>
      <c r="D1417" s="115"/>
      <c r="J1417" s="8"/>
      <c r="K1417" s="8"/>
      <c r="L1417" s="8"/>
      <c r="M1417" s="8"/>
      <c r="N1417" s="8"/>
      <c r="O1417" s="8"/>
      <c r="P1417" s="8"/>
    </row>
    <row r="1418" spans="1:16" s="7" customFormat="1" ht="42.75" customHeight="1" thickBot="1">
      <c r="A1418" s="119"/>
      <c r="B1418" s="119"/>
      <c r="C1418" s="119"/>
      <c r="D1418" s="119"/>
      <c r="J1418" s="8"/>
      <c r="K1418" s="8"/>
      <c r="L1418" s="8"/>
      <c r="M1418" s="8"/>
      <c r="N1418" s="8"/>
      <c r="O1418" s="8"/>
      <c r="P1418" s="8"/>
    </row>
    <row r="1419" spans="1:16" s="7" customFormat="1" ht="42.75" customHeight="1" thickBot="1">
      <c r="A1419" s="126" t="s">
        <v>19</v>
      </c>
      <c r="B1419" s="127"/>
      <c r="C1419" s="127"/>
      <c r="D1419" s="128"/>
      <c r="J1419" s="8"/>
      <c r="K1419" s="8"/>
      <c r="L1419" s="8"/>
      <c r="M1419" s="8"/>
      <c r="N1419" s="8"/>
      <c r="O1419" s="8"/>
      <c r="P1419" s="8"/>
    </row>
    <row r="1420" spans="1:16" s="7" customFormat="1" ht="42.75" customHeight="1" thickBot="1">
      <c r="A1420" s="123" t="s">
        <v>11</v>
      </c>
      <c r="B1420" s="124"/>
      <c r="C1420" s="125" t="s">
        <v>603</v>
      </c>
      <c r="D1420" s="124"/>
      <c r="J1420" s="8"/>
      <c r="K1420" s="8"/>
      <c r="L1420" s="8"/>
      <c r="M1420" s="8"/>
      <c r="N1420" s="8"/>
      <c r="O1420" s="8"/>
      <c r="P1420" s="8"/>
    </row>
    <row r="1421" spans="1:16" s="7" customFormat="1" ht="42.75" customHeight="1" thickBot="1">
      <c r="A1421" s="1" t="s">
        <v>686</v>
      </c>
      <c r="B1421" s="26" t="s">
        <v>1</v>
      </c>
      <c r="C1421" s="90" t="s">
        <v>688</v>
      </c>
      <c r="D1421" s="91"/>
      <c r="J1421" s="8"/>
      <c r="K1421" s="8"/>
      <c r="L1421" s="8"/>
      <c r="M1421" s="8"/>
      <c r="N1421" s="8"/>
      <c r="O1421" s="8"/>
      <c r="P1421" s="8"/>
    </row>
    <row r="1422" spans="1:16" s="7" customFormat="1" ht="42.75" customHeight="1" thickBot="1">
      <c r="A1422" s="26"/>
      <c r="B1422" s="26" t="s">
        <v>0</v>
      </c>
      <c r="C1422" s="5" t="s">
        <v>687</v>
      </c>
      <c r="D1422" s="4" t="s">
        <v>2</v>
      </c>
      <c r="J1422" s="8"/>
      <c r="K1422" s="8"/>
      <c r="L1422" s="8"/>
      <c r="M1422" s="8"/>
      <c r="N1422" s="8"/>
      <c r="O1422" s="8"/>
      <c r="P1422" s="8"/>
    </row>
    <row r="1423" spans="1:16" s="7" customFormat="1" ht="42.75" customHeight="1" thickBot="1">
      <c r="A1423" s="92">
        <v>482</v>
      </c>
      <c r="B1423" s="93"/>
      <c r="C1423" s="94" t="s">
        <v>3</v>
      </c>
      <c r="D1423" s="95"/>
      <c r="J1423" s="8"/>
      <c r="K1423" s="8"/>
      <c r="L1423" s="8"/>
      <c r="M1423" s="8"/>
      <c r="N1423" s="8"/>
      <c r="O1423" s="8"/>
      <c r="P1423" s="8"/>
    </row>
    <row r="1424" spans="1:16" s="7" customFormat="1" ht="42.75" customHeight="1" thickBot="1">
      <c r="A1424" s="92">
        <v>535</v>
      </c>
      <c r="B1424" s="93"/>
      <c r="C1424" s="96" t="s">
        <v>4</v>
      </c>
      <c r="D1424" s="97"/>
      <c r="J1424" s="8"/>
      <c r="K1424" s="8"/>
      <c r="L1424" s="8"/>
      <c r="M1424" s="8"/>
      <c r="N1424" s="8"/>
      <c r="O1424" s="8"/>
      <c r="P1424" s="8"/>
    </row>
    <row r="1425" spans="1:16" s="7" customFormat="1" ht="42.75" customHeight="1" thickBot="1">
      <c r="A1425" s="98">
        <f>A1424-A1423</f>
        <v>53</v>
      </c>
      <c r="B1425" s="99"/>
      <c r="C1425" s="100" t="s">
        <v>5</v>
      </c>
      <c r="D1425" s="97"/>
      <c r="J1425" s="8"/>
      <c r="K1425" s="8"/>
      <c r="L1425" s="8"/>
      <c r="M1425" s="8"/>
      <c r="N1425" s="8"/>
      <c r="O1425" s="8"/>
      <c r="P1425" s="8"/>
    </row>
    <row r="1426" spans="1:16" s="7" customFormat="1" ht="42.75" customHeight="1" thickBot="1">
      <c r="A1426" s="101">
        <v>62</v>
      </c>
      <c r="B1426" s="102"/>
      <c r="C1426" s="96" t="s">
        <v>6</v>
      </c>
      <c r="D1426" s="97"/>
      <c r="J1426" s="8"/>
      <c r="K1426" s="8"/>
      <c r="L1426" s="8"/>
      <c r="M1426" s="8"/>
      <c r="N1426" s="8"/>
      <c r="O1426" s="8"/>
      <c r="P1426" s="8"/>
    </row>
    <row r="1427" spans="1:16" s="7" customFormat="1" ht="42.75" customHeight="1" thickBot="1">
      <c r="A1427" s="103"/>
      <c r="B1427" s="104"/>
      <c r="C1427" s="96" t="s">
        <v>21</v>
      </c>
      <c r="D1427" s="97"/>
      <c r="J1427" s="8"/>
      <c r="K1427" s="8"/>
      <c r="L1427" s="8"/>
      <c r="M1427" s="8"/>
      <c r="N1427" s="8"/>
      <c r="O1427" s="8"/>
      <c r="P1427" s="8"/>
    </row>
    <row r="1428" spans="1:16" s="7" customFormat="1" ht="42.75" customHeight="1" thickBot="1">
      <c r="A1428" s="105">
        <v>3400</v>
      </c>
      <c r="B1428" s="106"/>
      <c r="C1428" s="96" t="s">
        <v>7</v>
      </c>
      <c r="D1428" s="97"/>
      <c r="J1428" s="8"/>
      <c r="K1428" s="8"/>
      <c r="L1428" s="8"/>
      <c r="M1428" s="8"/>
      <c r="N1428" s="8"/>
      <c r="O1428" s="8"/>
      <c r="P1428" s="8"/>
    </row>
    <row r="1429" spans="1:16" s="7" customFormat="1" ht="42.75" customHeight="1" thickBot="1">
      <c r="A1429" s="107" t="s">
        <v>17</v>
      </c>
      <c r="B1429" s="108"/>
      <c r="C1429" s="108"/>
      <c r="D1429" s="109"/>
      <c r="J1429" s="8"/>
      <c r="K1429" s="8"/>
      <c r="L1429" s="8"/>
      <c r="M1429" s="8"/>
      <c r="N1429" s="8"/>
      <c r="O1429" s="8"/>
      <c r="P1429" s="8"/>
    </row>
    <row r="1430" spans="1:16" s="7" customFormat="1" ht="42.75" customHeight="1" thickBot="1">
      <c r="A1430" s="110" t="s">
        <v>20</v>
      </c>
      <c r="B1430" s="111"/>
      <c r="C1430" s="111"/>
      <c r="D1430" s="112"/>
      <c r="J1430" s="8"/>
      <c r="K1430" s="8"/>
      <c r="L1430" s="8"/>
      <c r="M1430" s="8"/>
      <c r="N1430" s="8"/>
      <c r="O1430" s="8"/>
      <c r="P1430" s="8"/>
    </row>
    <row r="1431" spans="1:16" s="7" customFormat="1" ht="42.75" customHeight="1" thickBot="1">
      <c r="A1431" s="113" t="s">
        <v>18</v>
      </c>
      <c r="B1431" s="114"/>
      <c r="C1431" s="114"/>
      <c r="D1431" s="115"/>
      <c r="J1431" s="8"/>
      <c r="K1431" s="8"/>
      <c r="L1431" s="8"/>
      <c r="M1431" s="8"/>
      <c r="N1431" s="8"/>
      <c r="O1431" s="8"/>
      <c r="P1431" s="8"/>
    </row>
    <row r="1432" spans="1:16" s="7" customFormat="1" ht="42.75" customHeight="1" thickBot="1">
      <c r="A1432" s="126" t="s">
        <v>19</v>
      </c>
      <c r="B1432" s="127"/>
      <c r="C1432" s="127"/>
      <c r="D1432" s="128"/>
      <c r="J1432" s="8"/>
      <c r="K1432" s="8"/>
      <c r="L1432" s="8"/>
      <c r="M1432" s="8"/>
      <c r="N1432" s="8"/>
      <c r="O1432" s="8"/>
      <c r="P1432" s="8"/>
    </row>
    <row r="1433" spans="1:16" s="7" customFormat="1" ht="42.75" customHeight="1" thickBot="1">
      <c r="A1433" s="123" t="s">
        <v>11</v>
      </c>
      <c r="B1433" s="124"/>
      <c r="C1433" s="125" t="s">
        <v>603</v>
      </c>
      <c r="D1433" s="124"/>
      <c r="J1433" s="8"/>
      <c r="K1433" s="8"/>
      <c r="L1433" s="8"/>
      <c r="M1433" s="8"/>
      <c r="N1433" s="8"/>
      <c r="O1433" s="8"/>
      <c r="P1433" s="8"/>
    </row>
    <row r="1434" spans="1:16" s="7" customFormat="1" ht="42.75" customHeight="1" thickBot="1">
      <c r="A1434" s="1" t="s">
        <v>686</v>
      </c>
      <c r="B1434" s="26" t="s">
        <v>1</v>
      </c>
      <c r="C1434" s="90" t="s">
        <v>113</v>
      </c>
      <c r="D1434" s="91"/>
      <c r="J1434" s="8"/>
      <c r="K1434" s="8"/>
      <c r="L1434" s="8"/>
      <c r="M1434" s="8"/>
      <c r="N1434" s="8"/>
      <c r="O1434" s="8"/>
      <c r="P1434" s="8"/>
    </row>
    <row r="1435" spans="1:16" s="7" customFormat="1" ht="42.75" customHeight="1" thickBot="1">
      <c r="A1435" s="26"/>
      <c r="B1435" s="26" t="s">
        <v>0</v>
      </c>
      <c r="C1435" s="5" t="s">
        <v>687</v>
      </c>
      <c r="D1435" s="4" t="s">
        <v>2</v>
      </c>
      <c r="J1435" s="8"/>
      <c r="K1435" s="8"/>
      <c r="L1435" s="8"/>
      <c r="M1435" s="8"/>
      <c r="N1435" s="8"/>
      <c r="O1435" s="8"/>
      <c r="P1435" s="8"/>
    </row>
    <row r="1436" spans="1:16" s="7" customFormat="1" ht="42.75" customHeight="1" thickBot="1">
      <c r="A1436" s="92">
        <v>492</v>
      </c>
      <c r="B1436" s="93"/>
      <c r="C1436" s="94" t="s">
        <v>3</v>
      </c>
      <c r="D1436" s="95"/>
      <c r="J1436" s="8"/>
      <c r="K1436" s="8"/>
      <c r="L1436" s="8"/>
      <c r="M1436" s="8"/>
      <c r="N1436" s="8"/>
      <c r="O1436" s="8"/>
      <c r="P1436" s="8"/>
    </row>
    <row r="1437" spans="1:16" s="7" customFormat="1" ht="42.75" customHeight="1" thickBot="1">
      <c r="A1437" s="92">
        <v>550</v>
      </c>
      <c r="B1437" s="93"/>
      <c r="C1437" s="96" t="s">
        <v>4</v>
      </c>
      <c r="D1437" s="97"/>
      <c r="J1437" s="8"/>
      <c r="K1437" s="8"/>
      <c r="L1437" s="8"/>
      <c r="M1437" s="8"/>
      <c r="N1437" s="8"/>
      <c r="O1437" s="8"/>
      <c r="P1437" s="8"/>
    </row>
    <row r="1438" spans="1:16" s="7" customFormat="1" ht="42.75" customHeight="1" thickBot="1">
      <c r="A1438" s="98">
        <f>A1437-A1436</f>
        <v>58</v>
      </c>
      <c r="B1438" s="99"/>
      <c r="C1438" s="100" t="s">
        <v>5</v>
      </c>
      <c r="D1438" s="97"/>
      <c r="J1438" s="8"/>
      <c r="K1438" s="8"/>
      <c r="L1438" s="8"/>
      <c r="M1438" s="8"/>
      <c r="N1438" s="8"/>
      <c r="O1438" s="8"/>
      <c r="P1438" s="8"/>
    </row>
    <row r="1439" spans="1:16" s="7" customFormat="1" ht="42.75" customHeight="1" thickBot="1">
      <c r="A1439" s="101">
        <v>62</v>
      </c>
      <c r="B1439" s="102"/>
      <c r="C1439" s="96" t="s">
        <v>6</v>
      </c>
      <c r="D1439" s="97"/>
      <c r="J1439" s="8"/>
      <c r="K1439" s="8"/>
      <c r="L1439" s="8"/>
      <c r="M1439" s="8"/>
      <c r="N1439" s="8"/>
      <c r="O1439" s="8"/>
      <c r="P1439" s="8"/>
    </row>
    <row r="1440" spans="1:16" s="7" customFormat="1" ht="42.75" customHeight="1" thickBot="1">
      <c r="A1440" s="103"/>
      <c r="B1440" s="104"/>
      <c r="C1440" s="96" t="s">
        <v>21</v>
      </c>
      <c r="D1440" s="97"/>
      <c r="J1440" s="8"/>
      <c r="K1440" s="8"/>
      <c r="L1440" s="8"/>
      <c r="M1440" s="8"/>
      <c r="N1440" s="8"/>
      <c r="O1440" s="8"/>
      <c r="P1440" s="8"/>
    </row>
    <row r="1441" spans="1:16" s="7" customFormat="1" ht="42.75" customHeight="1" thickBot="1">
      <c r="A1441" s="105">
        <v>3600</v>
      </c>
      <c r="B1441" s="106"/>
      <c r="C1441" s="96" t="s">
        <v>7</v>
      </c>
      <c r="D1441" s="97"/>
      <c r="J1441" s="8"/>
      <c r="K1441" s="8"/>
      <c r="L1441" s="8"/>
      <c r="M1441" s="8"/>
      <c r="N1441" s="8"/>
      <c r="O1441" s="8"/>
      <c r="P1441" s="8"/>
    </row>
    <row r="1442" spans="1:16" s="7" customFormat="1" ht="42.75" customHeight="1" thickBot="1">
      <c r="A1442" s="107" t="s">
        <v>17</v>
      </c>
      <c r="B1442" s="108"/>
      <c r="C1442" s="108"/>
      <c r="D1442" s="109"/>
      <c r="J1442" s="8"/>
      <c r="K1442" s="8"/>
      <c r="L1442" s="8"/>
      <c r="M1442" s="8"/>
      <c r="N1442" s="8"/>
      <c r="O1442" s="8"/>
      <c r="P1442" s="8"/>
    </row>
    <row r="1443" spans="1:16" s="7" customFormat="1" ht="42.75" customHeight="1" thickBot="1">
      <c r="A1443" s="116" t="s">
        <v>20</v>
      </c>
      <c r="B1443" s="117"/>
      <c r="C1443" s="117"/>
      <c r="D1443" s="118"/>
      <c r="J1443" s="8"/>
      <c r="K1443" s="8"/>
      <c r="L1443" s="8"/>
      <c r="M1443" s="8"/>
      <c r="N1443" s="8"/>
      <c r="O1443" s="8"/>
      <c r="P1443" s="8"/>
    </row>
    <row r="1444" spans="1:16" s="7" customFormat="1" ht="42.75" customHeight="1" thickBot="1">
      <c r="A1444" s="113" t="s">
        <v>18</v>
      </c>
      <c r="B1444" s="114"/>
      <c r="C1444" s="114"/>
      <c r="D1444" s="115"/>
      <c r="J1444" s="8"/>
      <c r="K1444" s="8"/>
      <c r="L1444" s="8"/>
      <c r="M1444" s="8"/>
      <c r="N1444" s="8"/>
      <c r="O1444" s="8"/>
      <c r="P1444" s="8"/>
    </row>
    <row r="1445" spans="1:16" s="7" customFormat="1" ht="42.75" customHeight="1" thickBot="1">
      <c r="A1445" s="119"/>
      <c r="B1445" s="119"/>
      <c r="C1445" s="119"/>
      <c r="D1445" s="119"/>
      <c r="J1445" s="8"/>
      <c r="K1445" s="8"/>
      <c r="L1445" s="8"/>
      <c r="M1445" s="8"/>
      <c r="N1445" s="8"/>
      <c r="O1445" s="8"/>
      <c r="P1445" s="8"/>
    </row>
    <row r="1446" spans="1:16" s="7" customFormat="1" ht="42.75" customHeight="1" thickBot="1">
      <c r="A1446" s="126" t="s">
        <v>19</v>
      </c>
      <c r="B1446" s="127"/>
      <c r="C1446" s="127"/>
      <c r="D1446" s="128"/>
      <c r="J1446" s="8"/>
      <c r="K1446" s="8"/>
      <c r="L1446" s="8"/>
      <c r="M1446" s="8"/>
      <c r="N1446" s="8"/>
      <c r="O1446" s="8"/>
      <c r="P1446" s="8"/>
    </row>
    <row r="1447" spans="1:16" s="7" customFormat="1" ht="42.75" customHeight="1" thickBot="1">
      <c r="A1447" s="123" t="s">
        <v>11</v>
      </c>
      <c r="B1447" s="124"/>
      <c r="C1447" s="125" t="s">
        <v>603</v>
      </c>
      <c r="D1447" s="124"/>
      <c r="J1447" s="8"/>
      <c r="K1447" s="8"/>
      <c r="L1447" s="8"/>
      <c r="M1447" s="8"/>
      <c r="N1447" s="8"/>
      <c r="O1447" s="8"/>
      <c r="P1447" s="8"/>
    </row>
    <row r="1448" spans="1:16" s="7" customFormat="1" ht="42.75" customHeight="1" thickBot="1">
      <c r="A1448" s="1" t="s">
        <v>686</v>
      </c>
      <c r="B1448" s="26" t="s">
        <v>1</v>
      </c>
      <c r="C1448" s="90" t="s">
        <v>113</v>
      </c>
      <c r="D1448" s="91"/>
      <c r="J1448" s="8"/>
      <c r="K1448" s="8"/>
      <c r="L1448" s="8"/>
      <c r="M1448" s="8"/>
      <c r="N1448" s="8"/>
      <c r="O1448" s="8"/>
      <c r="P1448" s="8"/>
    </row>
    <row r="1449" spans="1:16" s="7" customFormat="1" ht="42.75" customHeight="1" thickBot="1">
      <c r="A1449" s="26"/>
      <c r="B1449" s="26" t="s">
        <v>0</v>
      </c>
      <c r="C1449" s="5" t="s">
        <v>687</v>
      </c>
      <c r="D1449" s="4" t="s">
        <v>2</v>
      </c>
      <c r="J1449" s="8"/>
      <c r="K1449" s="8"/>
      <c r="L1449" s="8"/>
      <c r="M1449" s="8"/>
      <c r="N1449" s="8"/>
      <c r="O1449" s="8"/>
      <c r="P1449" s="8"/>
    </row>
    <row r="1450" spans="1:16" s="7" customFormat="1" ht="42.75" customHeight="1" thickBot="1">
      <c r="A1450" s="92">
        <v>492</v>
      </c>
      <c r="B1450" s="93"/>
      <c r="C1450" s="94" t="s">
        <v>3</v>
      </c>
      <c r="D1450" s="95"/>
      <c r="J1450" s="8"/>
      <c r="K1450" s="8"/>
      <c r="L1450" s="8"/>
      <c r="M1450" s="8"/>
      <c r="N1450" s="8"/>
      <c r="O1450" s="8"/>
      <c r="P1450" s="8"/>
    </row>
    <row r="1451" spans="1:16" s="7" customFormat="1" ht="42.75" customHeight="1" thickBot="1">
      <c r="A1451" s="92">
        <v>550</v>
      </c>
      <c r="B1451" s="93"/>
      <c r="C1451" s="96" t="s">
        <v>4</v>
      </c>
      <c r="D1451" s="97"/>
      <c r="J1451" s="8"/>
      <c r="K1451" s="8"/>
      <c r="L1451" s="8"/>
      <c r="M1451" s="8"/>
      <c r="N1451" s="8"/>
      <c r="O1451" s="8"/>
      <c r="P1451" s="8"/>
    </row>
    <row r="1452" spans="1:16" s="7" customFormat="1" ht="42.75" customHeight="1" thickBot="1">
      <c r="A1452" s="98">
        <f>A1451-A1450</f>
        <v>58</v>
      </c>
      <c r="B1452" s="99"/>
      <c r="C1452" s="100" t="s">
        <v>5</v>
      </c>
      <c r="D1452" s="97"/>
      <c r="J1452" s="8"/>
      <c r="K1452" s="8"/>
      <c r="L1452" s="8"/>
      <c r="M1452" s="8"/>
      <c r="N1452" s="8"/>
      <c r="O1452" s="8"/>
      <c r="P1452" s="8"/>
    </row>
    <row r="1453" spans="1:16" s="7" customFormat="1" ht="42.75" customHeight="1" thickBot="1">
      <c r="A1453" s="101">
        <v>62</v>
      </c>
      <c r="B1453" s="102"/>
      <c r="C1453" s="96" t="s">
        <v>6</v>
      </c>
      <c r="D1453" s="97"/>
      <c r="J1453" s="8"/>
      <c r="K1453" s="8"/>
      <c r="L1453" s="8"/>
      <c r="M1453" s="8"/>
      <c r="N1453" s="8"/>
      <c r="O1453" s="8"/>
      <c r="P1453" s="8"/>
    </row>
    <row r="1454" spans="1:16" s="7" customFormat="1" ht="42.75" customHeight="1" thickBot="1">
      <c r="A1454" s="103"/>
      <c r="B1454" s="104"/>
      <c r="C1454" s="96" t="s">
        <v>21</v>
      </c>
      <c r="D1454" s="97"/>
      <c r="J1454" s="8"/>
      <c r="K1454" s="8"/>
      <c r="L1454" s="8"/>
      <c r="M1454" s="8"/>
      <c r="N1454" s="8"/>
      <c r="O1454" s="8"/>
      <c r="P1454" s="8"/>
    </row>
    <row r="1455" spans="1:16" s="7" customFormat="1" ht="42.75" customHeight="1" thickBot="1">
      <c r="A1455" s="105">
        <v>3600</v>
      </c>
      <c r="B1455" s="106"/>
      <c r="C1455" s="96" t="s">
        <v>7</v>
      </c>
      <c r="D1455" s="97"/>
      <c r="J1455" s="8"/>
      <c r="K1455" s="8"/>
      <c r="L1455" s="8"/>
      <c r="M1455" s="8"/>
      <c r="N1455" s="8"/>
      <c r="O1455" s="8"/>
      <c r="P1455" s="8"/>
    </row>
    <row r="1456" spans="1:16" s="7" customFormat="1" ht="42.75" customHeight="1" thickBot="1">
      <c r="A1456" s="107" t="s">
        <v>17</v>
      </c>
      <c r="B1456" s="108"/>
      <c r="C1456" s="108"/>
      <c r="D1456" s="109"/>
      <c r="J1456" s="8"/>
      <c r="K1456" s="8"/>
      <c r="L1456" s="8"/>
      <c r="M1456" s="8"/>
      <c r="N1456" s="8"/>
      <c r="O1456" s="8"/>
      <c r="P1456" s="8"/>
    </row>
    <row r="1457" spans="1:16" s="7" customFormat="1" ht="42.75" customHeight="1" thickBot="1">
      <c r="A1457" s="110" t="s">
        <v>20</v>
      </c>
      <c r="B1457" s="111"/>
      <c r="C1457" s="111"/>
      <c r="D1457" s="112"/>
      <c r="J1457" s="8"/>
      <c r="K1457" s="8"/>
      <c r="L1457" s="8"/>
      <c r="M1457" s="8"/>
      <c r="N1457" s="8"/>
      <c r="O1457" s="8"/>
      <c r="P1457" s="8"/>
    </row>
    <row r="1458" spans="1:16" s="7" customFormat="1" ht="42.75" customHeight="1" thickBot="1">
      <c r="A1458" s="113" t="s">
        <v>18</v>
      </c>
      <c r="B1458" s="114"/>
      <c r="C1458" s="114"/>
      <c r="D1458" s="115"/>
      <c r="J1458" s="8"/>
      <c r="K1458" s="8"/>
      <c r="L1458" s="8"/>
      <c r="M1458" s="8"/>
      <c r="N1458" s="8"/>
      <c r="O1458" s="8"/>
      <c r="P1458" s="8"/>
    </row>
    <row r="1459" spans="1:16" s="7" customFormat="1" ht="42.75" customHeight="1" thickBot="1">
      <c r="A1459" s="126" t="s">
        <v>19</v>
      </c>
      <c r="B1459" s="127"/>
      <c r="C1459" s="127"/>
      <c r="D1459" s="128"/>
      <c r="J1459" s="8"/>
      <c r="K1459" s="8"/>
      <c r="L1459" s="8"/>
      <c r="M1459" s="8"/>
      <c r="N1459" s="8"/>
      <c r="O1459" s="8"/>
      <c r="P1459" s="8"/>
    </row>
    <row r="1460" spans="1:16" s="7" customFormat="1" ht="42.75" customHeight="1" thickBot="1">
      <c r="A1460" s="123" t="s">
        <v>11</v>
      </c>
      <c r="B1460" s="124"/>
      <c r="C1460" s="125" t="s">
        <v>603</v>
      </c>
      <c r="D1460" s="124"/>
      <c r="J1460" s="8"/>
      <c r="K1460" s="8"/>
      <c r="L1460" s="8"/>
      <c r="M1460" s="8"/>
      <c r="N1460" s="8"/>
      <c r="O1460" s="8"/>
      <c r="P1460" s="8"/>
    </row>
    <row r="1461" spans="1:16" s="7" customFormat="1" ht="42.75" customHeight="1" thickBot="1">
      <c r="A1461" s="1" t="s">
        <v>686</v>
      </c>
      <c r="B1461" s="26" t="s">
        <v>1</v>
      </c>
      <c r="C1461" s="90" t="s">
        <v>346</v>
      </c>
      <c r="D1461" s="91"/>
      <c r="J1461" s="8"/>
      <c r="K1461" s="8"/>
      <c r="L1461" s="8"/>
      <c r="M1461" s="8"/>
      <c r="N1461" s="8"/>
      <c r="O1461" s="8"/>
      <c r="P1461" s="8"/>
    </row>
    <row r="1462" spans="1:16" s="7" customFormat="1" ht="42.75" customHeight="1" thickBot="1">
      <c r="A1462" s="26"/>
      <c r="B1462" s="26" t="s">
        <v>0</v>
      </c>
      <c r="C1462" s="5" t="s">
        <v>687</v>
      </c>
      <c r="D1462" s="4" t="s">
        <v>2</v>
      </c>
      <c r="J1462" s="8"/>
      <c r="K1462" s="8"/>
      <c r="L1462" s="8"/>
      <c r="M1462" s="8"/>
      <c r="N1462" s="8"/>
      <c r="O1462" s="8"/>
      <c r="P1462" s="8"/>
    </row>
    <row r="1463" spans="1:16" s="7" customFormat="1" ht="42.75" customHeight="1" thickBot="1">
      <c r="A1463" s="92">
        <v>260</v>
      </c>
      <c r="B1463" s="93"/>
      <c r="C1463" s="94" t="s">
        <v>3</v>
      </c>
      <c r="D1463" s="95"/>
      <c r="J1463" s="8"/>
      <c r="K1463" s="8"/>
      <c r="L1463" s="8"/>
      <c r="M1463" s="8"/>
      <c r="N1463" s="8"/>
      <c r="O1463" s="8"/>
      <c r="P1463" s="8"/>
    </row>
    <row r="1464" spans="1:16" s="7" customFormat="1" ht="42.75" customHeight="1" thickBot="1">
      <c r="A1464" s="92">
        <v>285</v>
      </c>
      <c r="B1464" s="93"/>
      <c r="C1464" s="96" t="s">
        <v>4</v>
      </c>
      <c r="D1464" s="97"/>
      <c r="J1464" s="8"/>
      <c r="K1464" s="8"/>
      <c r="L1464" s="8"/>
      <c r="M1464" s="8"/>
      <c r="N1464" s="8"/>
      <c r="O1464" s="8"/>
      <c r="P1464" s="8"/>
    </row>
    <row r="1465" spans="1:16" s="7" customFormat="1" ht="42.75" customHeight="1" thickBot="1">
      <c r="A1465" s="98">
        <f>A1464-A1463</f>
        <v>25</v>
      </c>
      <c r="B1465" s="99"/>
      <c r="C1465" s="100" t="s">
        <v>5</v>
      </c>
      <c r="D1465" s="97"/>
      <c r="J1465" s="8"/>
      <c r="K1465" s="8"/>
      <c r="L1465" s="8"/>
      <c r="M1465" s="8"/>
      <c r="N1465" s="8"/>
      <c r="O1465" s="8"/>
      <c r="P1465" s="8"/>
    </row>
    <row r="1466" spans="1:16" s="7" customFormat="1" ht="42.75" customHeight="1" thickBot="1">
      <c r="A1466" s="101">
        <v>62</v>
      </c>
      <c r="B1466" s="102"/>
      <c r="C1466" s="96" t="s">
        <v>6</v>
      </c>
      <c r="D1466" s="97"/>
      <c r="J1466" s="8"/>
      <c r="K1466" s="8"/>
      <c r="L1466" s="8"/>
      <c r="M1466" s="8"/>
      <c r="N1466" s="8"/>
      <c r="O1466" s="8"/>
      <c r="P1466" s="8"/>
    </row>
    <row r="1467" spans="1:16" s="7" customFormat="1" ht="42.75" customHeight="1" thickBot="1">
      <c r="A1467" s="103"/>
      <c r="B1467" s="104"/>
      <c r="C1467" s="96" t="s">
        <v>21</v>
      </c>
      <c r="D1467" s="97"/>
      <c r="J1467" s="8"/>
      <c r="K1467" s="8"/>
      <c r="L1467" s="8"/>
      <c r="M1467" s="8"/>
      <c r="N1467" s="8"/>
      <c r="O1467" s="8"/>
      <c r="P1467" s="8"/>
    </row>
    <row r="1468" spans="1:16" s="7" customFormat="1" ht="42.75" customHeight="1" thickBot="1">
      <c r="A1468" s="105">
        <f>A1466*A1465</f>
        <v>1550</v>
      </c>
      <c r="B1468" s="106"/>
      <c r="C1468" s="96" t="s">
        <v>7</v>
      </c>
      <c r="D1468" s="97"/>
      <c r="J1468" s="8"/>
      <c r="K1468" s="8"/>
      <c r="L1468" s="8"/>
      <c r="M1468" s="8"/>
      <c r="N1468" s="8"/>
      <c r="O1468" s="8"/>
      <c r="P1468" s="8"/>
    </row>
    <row r="1469" spans="1:16" s="7" customFormat="1" ht="42.75" customHeight="1" thickBot="1">
      <c r="A1469" s="107" t="s">
        <v>17</v>
      </c>
      <c r="B1469" s="108"/>
      <c r="C1469" s="108"/>
      <c r="D1469" s="109"/>
      <c r="J1469" s="8"/>
      <c r="K1469" s="8"/>
      <c r="L1469" s="8"/>
      <c r="M1469" s="8"/>
      <c r="N1469" s="8"/>
      <c r="O1469" s="8"/>
      <c r="P1469" s="8"/>
    </row>
    <row r="1470" spans="1:16" s="7" customFormat="1" ht="42.75" customHeight="1" thickBot="1">
      <c r="A1470" s="116" t="s">
        <v>20</v>
      </c>
      <c r="B1470" s="117"/>
      <c r="C1470" s="117"/>
      <c r="D1470" s="118"/>
      <c r="J1470" s="8"/>
      <c r="K1470" s="8"/>
      <c r="L1470" s="8"/>
      <c r="M1470" s="8"/>
      <c r="N1470" s="8"/>
      <c r="O1470" s="8"/>
      <c r="P1470" s="8"/>
    </row>
    <row r="1471" spans="1:16" s="7" customFormat="1" ht="42.75" customHeight="1" thickBot="1">
      <c r="A1471" s="113" t="s">
        <v>18</v>
      </c>
      <c r="B1471" s="114"/>
      <c r="C1471" s="114"/>
      <c r="D1471" s="115"/>
      <c r="J1471" s="8"/>
      <c r="K1471" s="8"/>
      <c r="L1471" s="8"/>
      <c r="M1471" s="8"/>
      <c r="N1471" s="8"/>
      <c r="O1471" s="8"/>
      <c r="P1471" s="8"/>
    </row>
    <row r="1472" spans="1:16" s="7" customFormat="1" ht="42.75" customHeight="1" thickBot="1">
      <c r="A1472" s="119"/>
      <c r="B1472" s="119"/>
      <c r="C1472" s="119"/>
      <c r="D1472" s="119"/>
      <c r="J1472" s="8"/>
      <c r="K1472" s="8"/>
      <c r="L1472" s="8"/>
      <c r="M1472" s="8"/>
      <c r="N1472" s="8"/>
      <c r="O1472" s="8"/>
      <c r="P1472" s="8"/>
    </row>
    <row r="1473" spans="1:16" s="7" customFormat="1" ht="42.75" customHeight="1" thickBot="1">
      <c r="A1473" s="126" t="s">
        <v>19</v>
      </c>
      <c r="B1473" s="127"/>
      <c r="C1473" s="127"/>
      <c r="D1473" s="128"/>
      <c r="J1473" s="8"/>
      <c r="K1473" s="8"/>
      <c r="L1473" s="8"/>
      <c r="M1473" s="8"/>
      <c r="N1473" s="8"/>
      <c r="O1473" s="8"/>
      <c r="P1473" s="8"/>
    </row>
    <row r="1474" spans="1:16" s="7" customFormat="1" ht="42.75" customHeight="1" thickBot="1">
      <c r="A1474" s="123" t="s">
        <v>11</v>
      </c>
      <c r="B1474" s="124"/>
      <c r="C1474" s="125" t="s">
        <v>603</v>
      </c>
      <c r="D1474" s="124"/>
      <c r="J1474" s="8"/>
      <c r="K1474" s="8"/>
      <c r="L1474" s="8"/>
      <c r="M1474" s="8"/>
      <c r="N1474" s="8"/>
      <c r="O1474" s="8"/>
      <c r="P1474" s="8"/>
    </row>
    <row r="1475" spans="1:16" s="7" customFormat="1" ht="42.75" customHeight="1" thickBot="1">
      <c r="A1475" s="1" t="s">
        <v>686</v>
      </c>
      <c r="B1475" s="26" t="s">
        <v>1</v>
      </c>
      <c r="C1475" s="90" t="s">
        <v>346</v>
      </c>
      <c r="D1475" s="91"/>
      <c r="J1475" s="8"/>
      <c r="K1475" s="8"/>
      <c r="L1475" s="8"/>
      <c r="M1475" s="8"/>
      <c r="N1475" s="8"/>
      <c r="O1475" s="8"/>
      <c r="P1475" s="8"/>
    </row>
    <row r="1476" spans="1:16" s="7" customFormat="1" ht="42.75" customHeight="1" thickBot="1">
      <c r="A1476" s="26"/>
      <c r="B1476" s="26" t="s">
        <v>0</v>
      </c>
      <c r="C1476" s="5" t="s">
        <v>687</v>
      </c>
      <c r="D1476" s="4" t="s">
        <v>2</v>
      </c>
      <c r="J1476" s="8"/>
      <c r="K1476" s="8"/>
      <c r="L1476" s="8"/>
      <c r="M1476" s="8"/>
      <c r="N1476" s="8"/>
      <c r="O1476" s="8"/>
      <c r="P1476" s="8"/>
    </row>
    <row r="1477" spans="1:16" s="7" customFormat="1" ht="42.75" customHeight="1" thickBot="1">
      <c r="A1477" s="92">
        <v>260</v>
      </c>
      <c r="B1477" s="93"/>
      <c r="C1477" s="94" t="s">
        <v>3</v>
      </c>
      <c r="D1477" s="95"/>
      <c r="J1477" s="8"/>
      <c r="K1477" s="8"/>
      <c r="L1477" s="8"/>
      <c r="M1477" s="8"/>
      <c r="N1477" s="8"/>
      <c r="O1477" s="8"/>
      <c r="P1477" s="8"/>
    </row>
    <row r="1478" spans="1:16" s="7" customFormat="1" ht="42.75" customHeight="1" thickBot="1">
      <c r="A1478" s="92">
        <v>285</v>
      </c>
      <c r="B1478" s="93"/>
      <c r="C1478" s="96" t="s">
        <v>4</v>
      </c>
      <c r="D1478" s="97"/>
      <c r="J1478" s="8"/>
      <c r="K1478" s="8"/>
      <c r="L1478" s="8"/>
      <c r="M1478" s="8"/>
      <c r="N1478" s="8"/>
      <c r="O1478" s="8"/>
      <c r="P1478" s="8"/>
    </row>
    <row r="1479" spans="1:16" s="7" customFormat="1" ht="42.75" customHeight="1" thickBot="1">
      <c r="A1479" s="98">
        <f>A1478-A1477</f>
        <v>25</v>
      </c>
      <c r="B1479" s="99"/>
      <c r="C1479" s="100" t="s">
        <v>5</v>
      </c>
      <c r="D1479" s="97"/>
      <c r="J1479" s="8"/>
      <c r="K1479" s="8"/>
      <c r="L1479" s="8"/>
      <c r="M1479" s="8"/>
      <c r="N1479" s="8"/>
      <c r="O1479" s="8"/>
      <c r="P1479" s="8"/>
    </row>
    <row r="1480" spans="1:16" s="7" customFormat="1" ht="42.75" customHeight="1" thickBot="1">
      <c r="A1480" s="101">
        <v>62</v>
      </c>
      <c r="B1480" s="102"/>
      <c r="C1480" s="96" t="s">
        <v>6</v>
      </c>
      <c r="D1480" s="97"/>
      <c r="J1480" s="8"/>
      <c r="K1480" s="8"/>
      <c r="L1480" s="8"/>
      <c r="M1480" s="8"/>
      <c r="N1480" s="8"/>
      <c r="O1480" s="8"/>
      <c r="P1480" s="8"/>
    </row>
    <row r="1481" spans="1:16" s="7" customFormat="1" ht="42.75" customHeight="1" thickBot="1">
      <c r="A1481" s="103"/>
      <c r="B1481" s="104"/>
      <c r="C1481" s="96" t="s">
        <v>21</v>
      </c>
      <c r="D1481" s="97"/>
      <c r="J1481" s="8"/>
      <c r="K1481" s="8"/>
      <c r="L1481" s="8"/>
      <c r="M1481" s="8"/>
      <c r="N1481" s="8"/>
      <c r="O1481" s="8"/>
      <c r="P1481" s="8"/>
    </row>
    <row r="1482" spans="1:16" s="7" customFormat="1" ht="42.75" customHeight="1" thickBot="1">
      <c r="A1482" s="105">
        <f>A1480*A1479</f>
        <v>1550</v>
      </c>
      <c r="B1482" s="106"/>
      <c r="C1482" s="96" t="s">
        <v>7</v>
      </c>
      <c r="D1482" s="97"/>
      <c r="J1482" s="8"/>
      <c r="K1482" s="8"/>
      <c r="L1482" s="8"/>
      <c r="M1482" s="8"/>
      <c r="N1482" s="8"/>
      <c r="O1482" s="8"/>
      <c r="P1482" s="8"/>
    </row>
    <row r="1483" spans="1:16" s="7" customFormat="1" ht="42.75" customHeight="1" thickBot="1">
      <c r="A1483" s="107" t="s">
        <v>17</v>
      </c>
      <c r="B1483" s="108"/>
      <c r="C1483" s="108"/>
      <c r="D1483" s="109"/>
      <c r="J1483" s="8"/>
      <c r="K1483" s="8"/>
      <c r="L1483" s="8"/>
      <c r="M1483" s="8"/>
      <c r="N1483" s="8"/>
      <c r="O1483" s="8"/>
      <c r="P1483" s="8"/>
    </row>
    <row r="1484" spans="1:16" s="7" customFormat="1" ht="42.75" customHeight="1" thickBot="1">
      <c r="A1484" s="110" t="s">
        <v>20</v>
      </c>
      <c r="B1484" s="111"/>
      <c r="C1484" s="111"/>
      <c r="D1484" s="112"/>
      <c r="J1484" s="8"/>
      <c r="K1484" s="8"/>
      <c r="L1484" s="8"/>
      <c r="M1484" s="8"/>
      <c r="N1484" s="8"/>
      <c r="O1484" s="8"/>
      <c r="P1484" s="8"/>
    </row>
    <row r="1485" spans="1:16" s="7" customFormat="1" ht="42.75" customHeight="1" thickBot="1">
      <c r="A1485" s="113" t="s">
        <v>18</v>
      </c>
      <c r="B1485" s="114"/>
      <c r="C1485" s="114"/>
      <c r="D1485" s="115"/>
      <c r="J1485" s="8"/>
      <c r="K1485" s="8"/>
      <c r="L1485" s="8"/>
      <c r="M1485" s="8"/>
      <c r="N1485" s="8"/>
      <c r="O1485" s="8"/>
      <c r="P1485" s="8"/>
    </row>
    <row r="1486" spans="1:16" s="7" customFormat="1" ht="42.75" customHeight="1" thickBot="1">
      <c r="A1486" s="126" t="s">
        <v>19</v>
      </c>
      <c r="B1486" s="127"/>
      <c r="C1486" s="127"/>
      <c r="D1486" s="128"/>
      <c r="J1486" s="8"/>
      <c r="K1486" s="8"/>
      <c r="L1486" s="8"/>
      <c r="M1486" s="8"/>
      <c r="N1486" s="8"/>
      <c r="O1486" s="8"/>
      <c r="P1486" s="8"/>
    </row>
    <row r="1487" spans="1:16" s="7" customFormat="1" ht="42.75" customHeight="1" thickBot="1">
      <c r="A1487" s="123" t="s">
        <v>11</v>
      </c>
      <c r="B1487" s="124"/>
      <c r="C1487" s="125" t="s">
        <v>603</v>
      </c>
      <c r="D1487" s="124"/>
      <c r="J1487" s="8"/>
      <c r="K1487" s="8"/>
      <c r="L1487" s="8"/>
      <c r="M1487" s="8"/>
      <c r="N1487" s="8"/>
      <c r="O1487" s="8"/>
      <c r="P1487" s="8"/>
    </row>
    <row r="1488" spans="1:16" s="7" customFormat="1" ht="42.75" customHeight="1" thickBot="1">
      <c r="A1488" s="1" t="s">
        <v>686</v>
      </c>
      <c r="B1488" s="26" t="s">
        <v>1</v>
      </c>
      <c r="C1488" s="90" t="s">
        <v>322</v>
      </c>
      <c r="D1488" s="91"/>
      <c r="J1488" s="8"/>
      <c r="K1488" s="8"/>
      <c r="L1488" s="8"/>
      <c r="M1488" s="8"/>
      <c r="N1488" s="8"/>
      <c r="O1488" s="8"/>
      <c r="P1488" s="8"/>
    </row>
    <row r="1489" spans="1:16" s="7" customFormat="1" ht="42.75" customHeight="1" thickBot="1">
      <c r="A1489" s="26"/>
      <c r="B1489" s="26" t="s">
        <v>0</v>
      </c>
      <c r="C1489" s="5" t="s">
        <v>687</v>
      </c>
      <c r="D1489" s="4" t="s">
        <v>2</v>
      </c>
      <c r="J1489" s="8"/>
      <c r="K1489" s="8"/>
      <c r="L1489" s="8"/>
      <c r="M1489" s="8"/>
      <c r="N1489" s="8"/>
      <c r="O1489" s="8"/>
      <c r="P1489" s="8"/>
    </row>
    <row r="1490" spans="1:16" s="7" customFormat="1" ht="42.75" customHeight="1" thickBot="1">
      <c r="A1490" s="92">
        <v>401</v>
      </c>
      <c r="B1490" s="93"/>
      <c r="C1490" s="94" t="s">
        <v>3</v>
      </c>
      <c r="D1490" s="95"/>
      <c r="J1490" s="8"/>
      <c r="K1490" s="8"/>
      <c r="L1490" s="8"/>
      <c r="M1490" s="8"/>
      <c r="N1490" s="8"/>
      <c r="O1490" s="8"/>
      <c r="P1490" s="8"/>
    </row>
    <row r="1491" spans="1:16" s="7" customFormat="1" ht="42.75" customHeight="1" thickBot="1">
      <c r="A1491" s="92">
        <v>426</v>
      </c>
      <c r="B1491" s="93"/>
      <c r="C1491" s="96" t="s">
        <v>4</v>
      </c>
      <c r="D1491" s="97"/>
      <c r="J1491" s="8"/>
      <c r="K1491" s="8"/>
      <c r="L1491" s="8"/>
      <c r="M1491" s="8"/>
      <c r="N1491" s="8"/>
      <c r="O1491" s="8"/>
      <c r="P1491" s="8"/>
    </row>
    <row r="1492" spans="1:16" s="7" customFormat="1" ht="42.75" customHeight="1" thickBot="1">
      <c r="A1492" s="98">
        <f>A1491-A1490</f>
        <v>25</v>
      </c>
      <c r="B1492" s="99"/>
      <c r="C1492" s="100" t="s">
        <v>5</v>
      </c>
      <c r="D1492" s="97"/>
      <c r="J1492" s="8"/>
      <c r="K1492" s="8"/>
      <c r="L1492" s="8"/>
      <c r="M1492" s="8"/>
      <c r="N1492" s="8"/>
      <c r="O1492" s="8"/>
      <c r="P1492" s="8"/>
    </row>
    <row r="1493" spans="1:16" s="7" customFormat="1" ht="42.75" customHeight="1" thickBot="1">
      <c r="A1493" s="101">
        <v>62</v>
      </c>
      <c r="B1493" s="102"/>
      <c r="C1493" s="96" t="s">
        <v>6</v>
      </c>
      <c r="D1493" s="97"/>
      <c r="J1493" s="8"/>
      <c r="K1493" s="8"/>
      <c r="L1493" s="8"/>
      <c r="M1493" s="8"/>
      <c r="N1493" s="8"/>
      <c r="O1493" s="8"/>
      <c r="P1493" s="8"/>
    </row>
    <row r="1494" spans="1:16" s="7" customFormat="1" ht="42.75" customHeight="1" thickBot="1">
      <c r="A1494" s="103"/>
      <c r="B1494" s="104"/>
      <c r="C1494" s="96" t="s">
        <v>21</v>
      </c>
      <c r="D1494" s="97"/>
      <c r="J1494" s="8"/>
      <c r="K1494" s="8"/>
      <c r="L1494" s="8"/>
      <c r="M1494" s="8"/>
      <c r="N1494" s="8"/>
      <c r="O1494" s="8"/>
      <c r="P1494" s="8"/>
    </row>
    <row r="1495" spans="1:16" s="7" customFormat="1" ht="42.75" customHeight="1" thickBot="1">
      <c r="A1495" s="105">
        <f>A1493*A1492</f>
        <v>1550</v>
      </c>
      <c r="B1495" s="106"/>
      <c r="C1495" s="96" t="s">
        <v>7</v>
      </c>
      <c r="D1495" s="97"/>
      <c r="J1495" s="8"/>
      <c r="K1495" s="8"/>
      <c r="L1495" s="8"/>
      <c r="M1495" s="8"/>
      <c r="N1495" s="8"/>
      <c r="O1495" s="8"/>
      <c r="P1495" s="8"/>
    </row>
    <row r="1496" spans="1:16" s="7" customFormat="1" ht="42.75" customHeight="1" thickBot="1">
      <c r="A1496" s="107" t="s">
        <v>17</v>
      </c>
      <c r="B1496" s="108"/>
      <c r="C1496" s="108"/>
      <c r="D1496" s="109"/>
      <c r="J1496" s="8"/>
      <c r="K1496" s="8"/>
      <c r="L1496" s="8"/>
      <c r="M1496" s="8"/>
      <c r="N1496" s="8"/>
      <c r="O1496" s="8"/>
      <c r="P1496" s="8"/>
    </row>
    <row r="1497" spans="1:16" s="7" customFormat="1" ht="42.75" customHeight="1" thickBot="1">
      <c r="A1497" s="116" t="s">
        <v>20</v>
      </c>
      <c r="B1497" s="117"/>
      <c r="C1497" s="117"/>
      <c r="D1497" s="118"/>
      <c r="J1497" s="8"/>
      <c r="K1497" s="8"/>
      <c r="L1497" s="8"/>
      <c r="M1497" s="8"/>
      <c r="N1497" s="8"/>
      <c r="O1497" s="8"/>
      <c r="P1497" s="8"/>
    </row>
    <row r="1498" spans="1:16" s="7" customFormat="1" ht="42.75" customHeight="1" thickBot="1">
      <c r="A1498" s="113" t="s">
        <v>18</v>
      </c>
      <c r="B1498" s="114"/>
      <c r="C1498" s="114"/>
      <c r="D1498" s="115"/>
      <c r="J1498" s="8"/>
      <c r="K1498" s="8"/>
      <c r="L1498" s="8"/>
      <c r="M1498" s="8"/>
      <c r="N1498" s="8"/>
      <c r="O1498" s="8"/>
      <c r="P1498" s="8"/>
    </row>
    <row r="1499" spans="1:16" s="7" customFormat="1" ht="42.75" customHeight="1" thickBot="1">
      <c r="A1499" s="119"/>
      <c r="B1499" s="119"/>
      <c r="C1499" s="119"/>
      <c r="D1499" s="119"/>
      <c r="J1499" s="8"/>
      <c r="K1499" s="8"/>
      <c r="L1499" s="8"/>
      <c r="M1499" s="8"/>
      <c r="N1499" s="8"/>
      <c r="O1499" s="8"/>
      <c r="P1499" s="8"/>
    </row>
    <row r="1500" spans="1:16" s="7" customFormat="1" ht="42.75" customHeight="1" thickBot="1">
      <c r="A1500" s="126" t="s">
        <v>19</v>
      </c>
      <c r="B1500" s="127"/>
      <c r="C1500" s="127"/>
      <c r="D1500" s="128"/>
      <c r="J1500" s="8"/>
      <c r="K1500" s="8"/>
      <c r="L1500" s="8"/>
      <c r="M1500" s="8"/>
      <c r="N1500" s="8"/>
      <c r="O1500" s="8"/>
      <c r="P1500" s="8"/>
    </row>
    <row r="1501" spans="1:16" s="7" customFormat="1" ht="42.75" customHeight="1" thickBot="1">
      <c r="A1501" s="123" t="s">
        <v>11</v>
      </c>
      <c r="B1501" s="124"/>
      <c r="C1501" s="125" t="s">
        <v>603</v>
      </c>
      <c r="D1501" s="124"/>
      <c r="J1501" s="8"/>
      <c r="K1501" s="8"/>
      <c r="L1501" s="8"/>
      <c r="M1501" s="8"/>
      <c r="N1501" s="8"/>
      <c r="O1501" s="8"/>
      <c r="P1501" s="8"/>
    </row>
    <row r="1502" spans="1:16" s="7" customFormat="1" ht="42.75" customHeight="1" thickBot="1">
      <c r="A1502" s="1" t="s">
        <v>686</v>
      </c>
      <c r="B1502" s="26" t="s">
        <v>1</v>
      </c>
      <c r="C1502" s="90" t="s">
        <v>322</v>
      </c>
      <c r="D1502" s="91"/>
      <c r="J1502" s="8"/>
      <c r="K1502" s="8"/>
      <c r="L1502" s="8"/>
      <c r="M1502" s="8"/>
      <c r="N1502" s="8"/>
      <c r="O1502" s="8"/>
      <c r="P1502" s="8"/>
    </row>
    <row r="1503" spans="1:16" s="7" customFormat="1" ht="42.75" customHeight="1" thickBot="1">
      <c r="A1503" s="26"/>
      <c r="B1503" s="26" t="s">
        <v>0</v>
      </c>
      <c r="C1503" s="5" t="s">
        <v>687</v>
      </c>
      <c r="D1503" s="4" t="s">
        <v>2</v>
      </c>
      <c r="J1503" s="8"/>
      <c r="K1503" s="8"/>
      <c r="L1503" s="8"/>
      <c r="M1503" s="8"/>
      <c r="N1503" s="8"/>
      <c r="O1503" s="8"/>
      <c r="P1503" s="8"/>
    </row>
    <row r="1504" spans="1:16" s="7" customFormat="1" ht="42.75" customHeight="1" thickBot="1">
      <c r="A1504" s="92">
        <v>401</v>
      </c>
      <c r="B1504" s="93"/>
      <c r="C1504" s="94" t="s">
        <v>3</v>
      </c>
      <c r="D1504" s="95"/>
      <c r="J1504" s="8"/>
      <c r="K1504" s="8"/>
      <c r="L1504" s="8"/>
      <c r="M1504" s="8"/>
      <c r="N1504" s="8"/>
      <c r="O1504" s="8"/>
      <c r="P1504" s="8"/>
    </row>
    <row r="1505" spans="1:16" s="7" customFormat="1" ht="42.75" customHeight="1" thickBot="1">
      <c r="A1505" s="92">
        <v>426</v>
      </c>
      <c r="B1505" s="93"/>
      <c r="C1505" s="96" t="s">
        <v>4</v>
      </c>
      <c r="D1505" s="97"/>
      <c r="J1505" s="8"/>
      <c r="K1505" s="8"/>
      <c r="L1505" s="8"/>
      <c r="M1505" s="8"/>
      <c r="N1505" s="8"/>
      <c r="O1505" s="8"/>
      <c r="P1505" s="8"/>
    </row>
    <row r="1506" spans="1:16" s="7" customFormat="1" ht="42.75" customHeight="1" thickBot="1">
      <c r="A1506" s="98">
        <f>A1505-A1504</f>
        <v>25</v>
      </c>
      <c r="B1506" s="99"/>
      <c r="C1506" s="100" t="s">
        <v>5</v>
      </c>
      <c r="D1506" s="97"/>
      <c r="J1506" s="8"/>
      <c r="K1506" s="8"/>
      <c r="L1506" s="8"/>
      <c r="M1506" s="8"/>
      <c r="N1506" s="8"/>
      <c r="O1506" s="8"/>
      <c r="P1506" s="8"/>
    </row>
    <row r="1507" spans="1:16" s="7" customFormat="1" ht="42.75" customHeight="1" thickBot="1">
      <c r="A1507" s="101">
        <v>62</v>
      </c>
      <c r="B1507" s="102"/>
      <c r="C1507" s="96" t="s">
        <v>6</v>
      </c>
      <c r="D1507" s="97"/>
      <c r="J1507" s="8"/>
      <c r="K1507" s="8"/>
      <c r="L1507" s="8"/>
      <c r="M1507" s="8"/>
      <c r="N1507" s="8"/>
      <c r="O1507" s="8"/>
      <c r="P1507" s="8"/>
    </row>
    <row r="1508" spans="1:16" s="7" customFormat="1" ht="42.75" customHeight="1" thickBot="1">
      <c r="A1508" s="103"/>
      <c r="B1508" s="104"/>
      <c r="C1508" s="96" t="s">
        <v>21</v>
      </c>
      <c r="D1508" s="97"/>
      <c r="J1508" s="8"/>
      <c r="K1508" s="8"/>
      <c r="L1508" s="8"/>
      <c r="M1508" s="8"/>
      <c r="N1508" s="8"/>
      <c r="O1508" s="8"/>
      <c r="P1508" s="8"/>
    </row>
    <row r="1509" spans="1:16" s="7" customFormat="1" ht="42.75" customHeight="1" thickBot="1">
      <c r="A1509" s="105">
        <f>A1507*A1506</f>
        <v>1550</v>
      </c>
      <c r="B1509" s="106"/>
      <c r="C1509" s="96" t="s">
        <v>7</v>
      </c>
      <c r="D1509" s="97"/>
      <c r="J1509" s="8"/>
      <c r="K1509" s="8"/>
      <c r="L1509" s="8"/>
      <c r="M1509" s="8"/>
      <c r="N1509" s="8"/>
      <c r="O1509" s="8"/>
      <c r="P1509" s="8"/>
    </row>
    <row r="1510" spans="1:16" s="7" customFormat="1" ht="42.75" customHeight="1" thickBot="1">
      <c r="A1510" s="107" t="s">
        <v>17</v>
      </c>
      <c r="B1510" s="108"/>
      <c r="C1510" s="108"/>
      <c r="D1510" s="109"/>
      <c r="J1510" s="8"/>
      <c r="K1510" s="8"/>
      <c r="L1510" s="8"/>
      <c r="M1510" s="8"/>
      <c r="N1510" s="8"/>
      <c r="O1510" s="8"/>
      <c r="P1510" s="8"/>
    </row>
    <row r="1511" spans="1:16" s="7" customFormat="1" ht="42.75" customHeight="1" thickBot="1">
      <c r="A1511" s="110" t="s">
        <v>20</v>
      </c>
      <c r="B1511" s="111"/>
      <c r="C1511" s="111"/>
      <c r="D1511" s="112"/>
      <c r="J1511" s="8"/>
      <c r="K1511" s="8"/>
      <c r="L1511" s="8"/>
      <c r="M1511" s="8"/>
      <c r="N1511" s="8"/>
      <c r="O1511" s="8"/>
      <c r="P1511" s="8"/>
    </row>
    <row r="1512" spans="1:16" s="7" customFormat="1" ht="42.75" customHeight="1" thickBot="1">
      <c r="A1512" s="113" t="s">
        <v>18</v>
      </c>
      <c r="B1512" s="114"/>
      <c r="C1512" s="114"/>
      <c r="D1512" s="115"/>
      <c r="J1512" s="8"/>
      <c r="K1512" s="8"/>
      <c r="L1512" s="8"/>
      <c r="M1512" s="8"/>
      <c r="N1512" s="8"/>
      <c r="O1512" s="8"/>
      <c r="P1512" s="8"/>
    </row>
    <row r="1513" spans="1:16" s="7" customFormat="1" ht="42.75" customHeight="1" thickBot="1">
      <c r="A1513" s="126" t="s">
        <v>19</v>
      </c>
      <c r="B1513" s="127"/>
      <c r="C1513" s="127"/>
      <c r="D1513" s="128"/>
      <c r="J1513" s="8"/>
      <c r="K1513" s="8"/>
      <c r="L1513" s="8"/>
      <c r="M1513" s="8"/>
      <c r="N1513" s="8"/>
      <c r="O1513" s="8"/>
      <c r="P1513" s="8"/>
    </row>
    <row r="1514" spans="1:16" s="7" customFormat="1" ht="42.75" customHeight="1" thickBot="1">
      <c r="A1514" s="123" t="s">
        <v>11</v>
      </c>
      <c r="B1514" s="124"/>
      <c r="C1514" s="125" t="s">
        <v>603</v>
      </c>
      <c r="D1514" s="124"/>
      <c r="J1514" s="8"/>
      <c r="K1514" s="8"/>
      <c r="L1514" s="8"/>
      <c r="M1514" s="8"/>
      <c r="N1514" s="8"/>
      <c r="O1514" s="8"/>
      <c r="P1514" s="8"/>
    </row>
    <row r="1515" spans="1:16" s="7" customFormat="1" ht="42.75" customHeight="1" thickBot="1">
      <c r="A1515" s="1" t="s">
        <v>686</v>
      </c>
      <c r="B1515" s="26" t="s">
        <v>1</v>
      </c>
      <c r="C1515" s="90" t="s">
        <v>70</v>
      </c>
      <c r="D1515" s="91"/>
      <c r="J1515" s="8"/>
      <c r="K1515" s="8"/>
      <c r="L1515" s="8"/>
      <c r="M1515" s="8"/>
      <c r="N1515" s="8"/>
      <c r="O1515" s="8"/>
      <c r="P1515" s="8"/>
    </row>
    <row r="1516" spans="1:16" s="7" customFormat="1" ht="42.75" customHeight="1" thickBot="1">
      <c r="A1516" s="26"/>
      <c r="B1516" s="26" t="s">
        <v>0</v>
      </c>
      <c r="C1516" s="5" t="s">
        <v>687</v>
      </c>
      <c r="D1516" s="4" t="s">
        <v>2</v>
      </c>
      <c r="J1516" s="8"/>
      <c r="K1516" s="8"/>
      <c r="L1516" s="8"/>
      <c r="M1516" s="8"/>
      <c r="N1516" s="8"/>
      <c r="O1516" s="8"/>
      <c r="P1516" s="8"/>
    </row>
    <row r="1517" spans="1:16" s="7" customFormat="1" ht="42.75" customHeight="1" thickBot="1">
      <c r="A1517" s="92">
        <v>405</v>
      </c>
      <c r="B1517" s="93"/>
      <c r="C1517" s="94" t="s">
        <v>3</v>
      </c>
      <c r="D1517" s="95"/>
      <c r="J1517" s="8"/>
      <c r="K1517" s="8"/>
      <c r="L1517" s="8"/>
      <c r="M1517" s="8"/>
      <c r="N1517" s="8"/>
      <c r="O1517" s="8"/>
      <c r="P1517" s="8"/>
    </row>
    <row r="1518" spans="1:16" s="7" customFormat="1" ht="42.75" customHeight="1" thickBot="1">
      <c r="A1518" s="92">
        <v>455</v>
      </c>
      <c r="B1518" s="93"/>
      <c r="C1518" s="96" t="s">
        <v>4</v>
      </c>
      <c r="D1518" s="97"/>
      <c r="J1518" s="8"/>
      <c r="K1518" s="8"/>
      <c r="L1518" s="8"/>
      <c r="M1518" s="8"/>
      <c r="N1518" s="8"/>
      <c r="O1518" s="8"/>
      <c r="P1518" s="8"/>
    </row>
    <row r="1519" spans="1:16" s="7" customFormat="1" ht="42.75" customHeight="1" thickBot="1">
      <c r="A1519" s="98">
        <f>A1518-A1517</f>
        <v>50</v>
      </c>
      <c r="B1519" s="99"/>
      <c r="C1519" s="100" t="s">
        <v>5</v>
      </c>
      <c r="D1519" s="97"/>
      <c r="J1519" s="8"/>
      <c r="K1519" s="8"/>
      <c r="L1519" s="8"/>
      <c r="M1519" s="8"/>
      <c r="N1519" s="8"/>
      <c r="O1519" s="8"/>
      <c r="P1519" s="8"/>
    </row>
    <row r="1520" spans="1:16" s="7" customFormat="1" ht="42.75" customHeight="1" thickBot="1">
      <c r="A1520" s="101">
        <v>62</v>
      </c>
      <c r="B1520" s="102"/>
      <c r="C1520" s="96" t="s">
        <v>6</v>
      </c>
      <c r="D1520" s="97"/>
      <c r="J1520" s="8"/>
      <c r="K1520" s="8"/>
      <c r="L1520" s="8"/>
      <c r="M1520" s="8"/>
      <c r="N1520" s="8"/>
      <c r="O1520" s="8"/>
      <c r="P1520" s="8"/>
    </row>
    <row r="1521" spans="1:16" s="7" customFormat="1" ht="42.75" customHeight="1" thickBot="1">
      <c r="A1521" s="103"/>
      <c r="B1521" s="104"/>
      <c r="C1521" s="96" t="s">
        <v>21</v>
      </c>
      <c r="D1521" s="97"/>
      <c r="J1521" s="8"/>
      <c r="K1521" s="8"/>
      <c r="L1521" s="8"/>
      <c r="M1521" s="8"/>
      <c r="N1521" s="8"/>
      <c r="O1521" s="8"/>
      <c r="P1521" s="8"/>
    </row>
    <row r="1522" spans="1:16" s="7" customFormat="1" ht="42.75" customHeight="1" thickBot="1">
      <c r="A1522" s="105">
        <f>A1520*A1519</f>
        <v>3100</v>
      </c>
      <c r="B1522" s="106"/>
      <c r="C1522" s="96" t="s">
        <v>7</v>
      </c>
      <c r="D1522" s="97"/>
      <c r="J1522" s="8"/>
      <c r="K1522" s="8"/>
      <c r="L1522" s="8"/>
      <c r="M1522" s="8"/>
      <c r="N1522" s="8"/>
      <c r="O1522" s="8"/>
      <c r="P1522" s="8"/>
    </row>
    <row r="1523" spans="1:16" s="7" customFormat="1" ht="42.75" customHeight="1" thickBot="1">
      <c r="A1523" s="107" t="s">
        <v>17</v>
      </c>
      <c r="B1523" s="108"/>
      <c r="C1523" s="108"/>
      <c r="D1523" s="109"/>
      <c r="J1523" s="8"/>
      <c r="K1523" s="8"/>
      <c r="L1523" s="8"/>
      <c r="M1523" s="8"/>
      <c r="N1523" s="8"/>
      <c r="O1523" s="8"/>
      <c r="P1523" s="8"/>
    </row>
    <row r="1524" spans="1:16" s="7" customFormat="1" ht="42.75" customHeight="1" thickBot="1">
      <c r="A1524" s="116" t="s">
        <v>20</v>
      </c>
      <c r="B1524" s="117"/>
      <c r="C1524" s="117"/>
      <c r="D1524" s="118"/>
      <c r="J1524" s="8"/>
      <c r="K1524" s="8"/>
      <c r="L1524" s="8"/>
      <c r="M1524" s="8"/>
      <c r="N1524" s="8"/>
      <c r="O1524" s="8"/>
      <c r="P1524" s="8"/>
    </row>
    <row r="1525" spans="1:16" s="7" customFormat="1" ht="42.75" customHeight="1" thickBot="1">
      <c r="A1525" s="113" t="s">
        <v>18</v>
      </c>
      <c r="B1525" s="114"/>
      <c r="C1525" s="114"/>
      <c r="D1525" s="115"/>
      <c r="J1525" s="8"/>
      <c r="K1525" s="8"/>
      <c r="L1525" s="8"/>
      <c r="M1525" s="8"/>
      <c r="N1525" s="8"/>
      <c r="O1525" s="8"/>
      <c r="P1525" s="8"/>
    </row>
    <row r="1526" spans="1:16" s="7" customFormat="1" ht="42.75" customHeight="1" thickBot="1">
      <c r="A1526" s="119"/>
      <c r="B1526" s="119"/>
      <c r="C1526" s="119"/>
      <c r="D1526" s="119"/>
      <c r="J1526" s="8"/>
      <c r="K1526" s="8"/>
      <c r="L1526" s="8"/>
      <c r="M1526" s="8"/>
      <c r="N1526" s="8"/>
      <c r="O1526" s="8"/>
      <c r="P1526" s="8"/>
    </row>
    <row r="1527" spans="1:16" s="7" customFormat="1" ht="42.75" customHeight="1" thickBot="1">
      <c r="A1527" s="126" t="s">
        <v>19</v>
      </c>
      <c r="B1527" s="127"/>
      <c r="C1527" s="127"/>
      <c r="D1527" s="128"/>
      <c r="J1527" s="8"/>
      <c r="K1527" s="8"/>
      <c r="L1527" s="8"/>
      <c r="M1527" s="8"/>
      <c r="N1527" s="8"/>
      <c r="O1527" s="8"/>
      <c r="P1527" s="8"/>
    </row>
    <row r="1528" spans="1:16" s="7" customFormat="1" ht="42.75" customHeight="1" thickBot="1">
      <c r="A1528" s="123" t="s">
        <v>11</v>
      </c>
      <c r="B1528" s="124"/>
      <c r="C1528" s="125" t="s">
        <v>603</v>
      </c>
      <c r="D1528" s="124"/>
      <c r="J1528" s="8"/>
      <c r="K1528" s="8"/>
      <c r="L1528" s="8"/>
      <c r="M1528" s="8"/>
      <c r="N1528" s="8"/>
      <c r="O1528" s="8"/>
      <c r="P1528" s="8"/>
    </row>
    <row r="1529" spans="1:16" s="7" customFormat="1" ht="42.75" customHeight="1" thickBot="1">
      <c r="A1529" s="1" t="s">
        <v>686</v>
      </c>
      <c r="B1529" s="26" t="s">
        <v>1</v>
      </c>
      <c r="C1529" s="90" t="s">
        <v>70</v>
      </c>
      <c r="D1529" s="91"/>
      <c r="J1529" s="8"/>
      <c r="K1529" s="8"/>
      <c r="L1529" s="8"/>
      <c r="M1529" s="8"/>
      <c r="N1529" s="8"/>
      <c r="O1529" s="8"/>
      <c r="P1529" s="8"/>
    </row>
    <row r="1530" spans="1:16" s="7" customFormat="1" ht="42.75" customHeight="1" thickBot="1">
      <c r="A1530" s="26"/>
      <c r="B1530" s="26" t="s">
        <v>0</v>
      </c>
      <c r="C1530" s="5" t="s">
        <v>687</v>
      </c>
      <c r="D1530" s="4" t="s">
        <v>2</v>
      </c>
      <c r="J1530" s="8"/>
      <c r="K1530" s="8"/>
      <c r="L1530" s="8"/>
      <c r="M1530" s="8"/>
      <c r="N1530" s="8"/>
      <c r="O1530" s="8"/>
      <c r="P1530" s="8"/>
    </row>
    <row r="1531" spans="1:16" s="7" customFormat="1" ht="42.75" customHeight="1" thickBot="1">
      <c r="A1531" s="92">
        <v>405</v>
      </c>
      <c r="B1531" s="93"/>
      <c r="C1531" s="94" t="s">
        <v>3</v>
      </c>
      <c r="D1531" s="95"/>
      <c r="J1531" s="8"/>
      <c r="K1531" s="8"/>
      <c r="L1531" s="8"/>
      <c r="M1531" s="8"/>
      <c r="N1531" s="8"/>
      <c r="O1531" s="8"/>
      <c r="P1531" s="8"/>
    </row>
    <row r="1532" spans="1:16" s="7" customFormat="1" ht="42.75" customHeight="1" thickBot="1">
      <c r="A1532" s="92">
        <v>455</v>
      </c>
      <c r="B1532" s="93"/>
      <c r="C1532" s="96" t="s">
        <v>4</v>
      </c>
      <c r="D1532" s="97"/>
      <c r="J1532" s="8"/>
      <c r="K1532" s="8"/>
      <c r="L1532" s="8"/>
      <c r="M1532" s="8"/>
      <c r="N1532" s="8"/>
      <c r="O1532" s="8"/>
      <c r="P1532" s="8"/>
    </row>
    <row r="1533" spans="1:16" s="7" customFormat="1" ht="42.75" customHeight="1" thickBot="1">
      <c r="A1533" s="98">
        <f>A1532-A1531</f>
        <v>50</v>
      </c>
      <c r="B1533" s="99"/>
      <c r="C1533" s="100" t="s">
        <v>5</v>
      </c>
      <c r="D1533" s="97"/>
      <c r="J1533" s="8"/>
      <c r="K1533" s="8"/>
      <c r="L1533" s="8"/>
      <c r="M1533" s="8"/>
      <c r="N1533" s="8"/>
      <c r="O1533" s="8"/>
      <c r="P1533" s="8"/>
    </row>
    <row r="1534" spans="1:16" s="7" customFormat="1" ht="42.75" customHeight="1" thickBot="1">
      <c r="A1534" s="101">
        <v>62</v>
      </c>
      <c r="B1534" s="102"/>
      <c r="C1534" s="96" t="s">
        <v>6</v>
      </c>
      <c r="D1534" s="97"/>
      <c r="J1534" s="8"/>
      <c r="K1534" s="8"/>
      <c r="L1534" s="8"/>
      <c r="M1534" s="8"/>
      <c r="N1534" s="8"/>
      <c r="O1534" s="8"/>
      <c r="P1534" s="8"/>
    </row>
    <row r="1535" spans="1:16" s="7" customFormat="1" ht="42.75" customHeight="1" thickBot="1">
      <c r="A1535" s="103"/>
      <c r="B1535" s="104"/>
      <c r="C1535" s="96" t="s">
        <v>21</v>
      </c>
      <c r="D1535" s="97"/>
      <c r="J1535" s="8"/>
      <c r="K1535" s="8"/>
      <c r="L1535" s="8"/>
      <c r="M1535" s="8"/>
      <c r="N1535" s="8"/>
      <c r="O1535" s="8"/>
      <c r="P1535" s="8"/>
    </row>
    <row r="1536" spans="1:16" s="7" customFormat="1" ht="42.75" customHeight="1" thickBot="1">
      <c r="A1536" s="105">
        <f>A1534*A1533</f>
        <v>3100</v>
      </c>
      <c r="B1536" s="106"/>
      <c r="C1536" s="96" t="s">
        <v>7</v>
      </c>
      <c r="D1536" s="97"/>
      <c r="J1536" s="8"/>
      <c r="K1536" s="8"/>
      <c r="L1536" s="8"/>
      <c r="M1536" s="8"/>
      <c r="N1536" s="8"/>
      <c r="O1536" s="8"/>
      <c r="P1536" s="8"/>
    </row>
    <row r="1537" spans="1:16" s="7" customFormat="1" ht="42.75" customHeight="1" thickBot="1">
      <c r="A1537" s="107" t="s">
        <v>17</v>
      </c>
      <c r="B1537" s="108"/>
      <c r="C1537" s="108"/>
      <c r="D1537" s="109"/>
      <c r="J1537" s="8"/>
      <c r="K1537" s="8"/>
      <c r="L1537" s="8"/>
      <c r="M1537" s="8"/>
      <c r="N1537" s="8"/>
      <c r="O1537" s="8"/>
      <c r="P1537" s="8"/>
    </row>
    <row r="1538" spans="1:16" s="7" customFormat="1" ht="42.75" customHeight="1" thickBot="1">
      <c r="A1538" s="110" t="s">
        <v>20</v>
      </c>
      <c r="B1538" s="111"/>
      <c r="C1538" s="111"/>
      <c r="D1538" s="112"/>
      <c r="J1538" s="8"/>
      <c r="K1538" s="8"/>
      <c r="L1538" s="8"/>
      <c r="M1538" s="8"/>
      <c r="N1538" s="8"/>
      <c r="O1538" s="8"/>
      <c r="P1538" s="8"/>
    </row>
    <row r="1539" spans="1:16" s="7" customFormat="1" ht="42.75" customHeight="1" thickBot="1">
      <c r="A1539" s="113" t="s">
        <v>18</v>
      </c>
      <c r="B1539" s="114"/>
      <c r="C1539" s="114"/>
      <c r="D1539" s="115"/>
      <c r="J1539" s="8"/>
      <c r="K1539" s="8"/>
      <c r="L1539" s="8"/>
      <c r="M1539" s="8"/>
      <c r="N1539" s="8"/>
      <c r="O1539" s="8"/>
      <c r="P1539" s="8"/>
    </row>
    <row r="1540" spans="1:16" s="7" customFormat="1" ht="42.75" customHeight="1" thickBot="1">
      <c r="A1540" s="126" t="s">
        <v>19</v>
      </c>
      <c r="B1540" s="127"/>
      <c r="C1540" s="127"/>
      <c r="D1540" s="128"/>
      <c r="J1540" s="8"/>
      <c r="K1540" s="8"/>
      <c r="L1540" s="8"/>
      <c r="M1540" s="8"/>
      <c r="N1540" s="8"/>
      <c r="O1540" s="8"/>
      <c r="P1540" s="8"/>
    </row>
    <row r="1541" spans="1:16" s="7" customFormat="1" ht="42.75" customHeight="1" thickBot="1">
      <c r="A1541" s="123" t="s">
        <v>11</v>
      </c>
      <c r="B1541" s="124"/>
      <c r="C1541" s="125" t="s">
        <v>603</v>
      </c>
      <c r="D1541" s="124"/>
      <c r="J1541" s="8"/>
      <c r="K1541" s="8"/>
      <c r="L1541" s="8"/>
      <c r="M1541" s="8"/>
      <c r="N1541" s="8"/>
      <c r="O1541" s="8"/>
      <c r="P1541" s="8"/>
    </row>
    <row r="1542" spans="1:16" s="7" customFormat="1" ht="42.75" customHeight="1" thickBot="1">
      <c r="A1542" s="1" t="s">
        <v>686</v>
      </c>
      <c r="B1542" s="26" t="s">
        <v>1</v>
      </c>
      <c r="C1542" s="90" t="s">
        <v>347</v>
      </c>
      <c r="D1542" s="91"/>
      <c r="J1542" s="8"/>
      <c r="K1542" s="8"/>
      <c r="L1542" s="8"/>
      <c r="M1542" s="8"/>
      <c r="N1542" s="8"/>
      <c r="O1542" s="8"/>
      <c r="P1542" s="8"/>
    </row>
    <row r="1543" spans="1:16" s="7" customFormat="1" ht="42.75" customHeight="1" thickBot="1">
      <c r="A1543" s="26"/>
      <c r="B1543" s="26" t="s">
        <v>0</v>
      </c>
      <c r="C1543" s="5" t="s">
        <v>687</v>
      </c>
      <c r="D1543" s="4" t="s">
        <v>2</v>
      </c>
      <c r="J1543" s="8"/>
      <c r="K1543" s="8"/>
      <c r="L1543" s="8"/>
      <c r="M1543" s="8"/>
      <c r="N1543" s="8"/>
      <c r="O1543" s="8"/>
      <c r="P1543" s="8"/>
    </row>
    <row r="1544" spans="1:16" s="7" customFormat="1" ht="42.75" customHeight="1" thickBot="1">
      <c r="A1544" s="92">
        <v>682</v>
      </c>
      <c r="B1544" s="93"/>
      <c r="C1544" s="94" t="s">
        <v>3</v>
      </c>
      <c r="D1544" s="95"/>
      <c r="J1544" s="8"/>
      <c r="K1544" s="8"/>
      <c r="L1544" s="8"/>
      <c r="M1544" s="8"/>
      <c r="N1544" s="8"/>
      <c r="O1544" s="8"/>
      <c r="P1544" s="8"/>
    </row>
    <row r="1545" spans="1:16" s="7" customFormat="1" ht="42.75" customHeight="1" thickBot="1">
      <c r="A1545" s="92">
        <v>702</v>
      </c>
      <c r="B1545" s="93"/>
      <c r="C1545" s="96" t="s">
        <v>4</v>
      </c>
      <c r="D1545" s="97"/>
      <c r="J1545" s="8"/>
      <c r="K1545" s="8"/>
      <c r="L1545" s="8"/>
      <c r="M1545" s="8"/>
      <c r="N1545" s="8"/>
      <c r="O1545" s="8"/>
      <c r="P1545" s="8"/>
    </row>
    <row r="1546" spans="1:16" s="7" customFormat="1" ht="42.75" customHeight="1" thickBot="1">
      <c r="A1546" s="98">
        <f>A1545-A1544</f>
        <v>20</v>
      </c>
      <c r="B1546" s="99"/>
      <c r="C1546" s="100" t="s">
        <v>5</v>
      </c>
      <c r="D1546" s="97"/>
      <c r="J1546" s="8"/>
      <c r="K1546" s="8"/>
      <c r="L1546" s="8"/>
      <c r="M1546" s="8"/>
      <c r="N1546" s="8"/>
      <c r="O1546" s="8"/>
      <c r="P1546" s="8"/>
    </row>
    <row r="1547" spans="1:16" s="7" customFormat="1" ht="42.75" customHeight="1" thickBot="1">
      <c r="A1547" s="101">
        <v>62</v>
      </c>
      <c r="B1547" s="102"/>
      <c r="C1547" s="96" t="s">
        <v>6</v>
      </c>
      <c r="D1547" s="97"/>
      <c r="J1547" s="8"/>
      <c r="K1547" s="8"/>
      <c r="L1547" s="8"/>
      <c r="M1547" s="8"/>
      <c r="N1547" s="8"/>
      <c r="O1547" s="8"/>
      <c r="P1547" s="8"/>
    </row>
    <row r="1548" spans="1:16" s="7" customFormat="1" ht="42.75" customHeight="1" thickBot="1">
      <c r="A1548" s="103"/>
      <c r="B1548" s="104"/>
      <c r="C1548" s="96" t="s">
        <v>21</v>
      </c>
      <c r="D1548" s="97"/>
      <c r="J1548" s="8"/>
      <c r="K1548" s="8"/>
      <c r="L1548" s="8"/>
      <c r="M1548" s="8"/>
      <c r="N1548" s="8"/>
      <c r="O1548" s="8"/>
      <c r="P1548" s="8"/>
    </row>
    <row r="1549" spans="1:16" s="7" customFormat="1" ht="42.75" customHeight="1" thickBot="1">
      <c r="A1549" s="105">
        <v>1250</v>
      </c>
      <c r="B1549" s="106"/>
      <c r="C1549" s="96" t="s">
        <v>7</v>
      </c>
      <c r="D1549" s="97"/>
      <c r="J1549" s="8"/>
      <c r="K1549" s="8"/>
      <c r="L1549" s="8"/>
      <c r="M1549" s="8"/>
      <c r="N1549" s="8"/>
      <c r="O1549" s="8"/>
      <c r="P1549" s="8"/>
    </row>
    <row r="1550" spans="1:16" s="7" customFormat="1" ht="42.75" customHeight="1" thickBot="1">
      <c r="A1550" s="107" t="s">
        <v>17</v>
      </c>
      <c r="B1550" s="108"/>
      <c r="C1550" s="108"/>
      <c r="D1550" s="109"/>
      <c r="J1550" s="8"/>
      <c r="K1550" s="8"/>
      <c r="L1550" s="8"/>
      <c r="M1550" s="8"/>
      <c r="N1550" s="8"/>
      <c r="O1550" s="8"/>
      <c r="P1550" s="8"/>
    </row>
    <row r="1551" spans="1:16" s="7" customFormat="1" ht="42.75" customHeight="1" thickBot="1">
      <c r="A1551" s="116" t="s">
        <v>20</v>
      </c>
      <c r="B1551" s="117"/>
      <c r="C1551" s="117"/>
      <c r="D1551" s="118"/>
      <c r="J1551" s="8"/>
      <c r="K1551" s="8"/>
      <c r="L1551" s="8"/>
      <c r="M1551" s="8"/>
      <c r="N1551" s="8"/>
      <c r="O1551" s="8"/>
      <c r="P1551" s="8"/>
    </row>
    <row r="1552" spans="1:16" s="7" customFormat="1" ht="42.75" customHeight="1" thickBot="1">
      <c r="A1552" s="113" t="s">
        <v>18</v>
      </c>
      <c r="B1552" s="114"/>
      <c r="C1552" s="114"/>
      <c r="D1552" s="115"/>
      <c r="J1552" s="8"/>
      <c r="K1552" s="8"/>
      <c r="L1552" s="8"/>
      <c r="M1552" s="8"/>
      <c r="N1552" s="8"/>
      <c r="O1552" s="8"/>
      <c r="P1552" s="8"/>
    </row>
    <row r="1553" spans="1:16" s="7" customFormat="1" ht="42.75" customHeight="1" thickBot="1">
      <c r="A1553" s="119"/>
      <c r="B1553" s="119"/>
      <c r="C1553" s="119"/>
      <c r="D1553" s="119"/>
      <c r="J1553" s="8"/>
      <c r="K1553" s="8"/>
      <c r="L1553" s="8"/>
      <c r="M1553" s="8"/>
      <c r="N1553" s="8"/>
      <c r="O1553" s="8"/>
      <c r="P1553" s="8"/>
    </row>
    <row r="1554" spans="1:16" s="7" customFormat="1" ht="42.75" customHeight="1" thickBot="1">
      <c r="A1554" s="126" t="s">
        <v>19</v>
      </c>
      <c r="B1554" s="127"/>
      <c r="C1554" s="127"/>
      <c r="D1554" s="128"/>
      <c r="J1554" s="8"/>
      <c r="K1554" s="8"/>
      <c r="L1554" s="8"/>
      <c r="M1554" s="8"/>
      <c r="N1554" s="8"/>
      <c r="O1554" s="8"/>
      <c r="P1554" s="8"/>
    </row>
    <row r="1555" spans="1:16" s="7" customFormat="1" ht="42.75" customHeight="1" thickBot="1">
      <c r="A1555" s="123" t="s">
        <v>11</v>
      </c>
      <c r="B1555" s="124"/>
      <c r="C1555" s="125" t="s">
        <v>603</v>
      </c>
      <c r="D1555" s="124"/>
      <c r="J1555" s="8"/>
      <c r="K1555" s="8"/>
      <c r="L1555" s="8"/>
      <c r="M1555" s="8"/>
      <c r="N1555" s="8"/>
      <c r="O1555" s="8"/>
      <c r="P1555" s="8"/>
    </row>
    <row r="1556" spans="1:16" s="7" customFormat="1" ht="42.75" customHeight="1" thickBot="1">
      <c r="A1556" s="1" t="s">
        <v>686</v>
      </c>
      <c r="B1556" s="26" t="s">
        <v>1</v>
      </c>
      <c r="C1556" s="90" t="s">
        <v>347</v>
      </c>
      <c r="D1556" s="91"/>
      <c r="J1556" s="8"/>
      <c r="K1556" s="8"/>
      <c r="L1556" s="8"/>
      <c r="M1556" s="8"/>
      <c r="N1556" s="8"/>
      <c r="O1556" s="8"/>
      <c r="P1556" s="8"/>
    </row>
    <row r="1557" spans="1:16" s="7" customFormat="1" ht="42.75" customHeight="1" thickBot="1">
      <c r="A1557" s="26"/>
      <c r="B1557" s="26" t="s">
        <v>0</v>
      </c>
      <c r="C1557" s="5" t="s">
        <v>687</v>
      </c>
      <c r="D1557" s="4" t="s">
        <v>2</v>
      </c>
      <c r="J1557" s="8"/>
      <c r="K1557" s="8"/>
      <c r="L1557" s="8"/>
      <c r="M1557" s="8"/>
      <c r="N1557" s="8"/>
      <c r="O1557" s="8"/>
      <c r="P1557" s="8"/>
    </row>
    <row r="1558" spans="1:16" s="7" customFormat="1" ht="42.75" customHeight="1" thickBot="1">
      <c r="A1558" s="92">
        <v>682</v>
      </c>
      <c r="B1558" s="93"/>
      <c r="C1558" s="94" t="s">
        <v>3</v>
      </c>
      <c r="D1558" s="95"/>
      <c r="J1558" s="8"/>
      <c r="K1558" s="8"/>
      <c r="L1558" s="8"/>
      <c r="M1558" s="8"/>
      <c r="N1558" s="8"/>
      <c r="O1558" s="8"/>
      <c r="P1558" s="8"/>
    </row>
    <row r="1559" spans="1:16" s="7" customFormat="1" ht="42.75" customHeight="1" thickBot="1">
      <c r="A1559" s="92">
        <v>702</v>
      </c>
      <c r="B1559" s="93"/>
      <c r="C1559" s="96" t="s">
        <v>4</v>
      </c>
      <c r="D1559" s="97"/>
      <c r="J1559" s="8"/>
      <c r="K1559" s="8"/>
      <c r="L1559" s="8"/>
      <c r="M1559" s="8"/>
      <c r="N1559" s="8"/>
      <c r="O1559" s="8"/>
      <c r="P1559" s="8"/>
    </row>
    <row r="1560" spans="1:16" s="7" customFormat="1" ht="42.75" customHeight="1" thickBot="1">
      <c r="A1560" s="98">
        <f>A1559-A1558</f>
        <v>20</v>
      </c>
      <c r="B1560" s="99"/>
      <c r="C1560" s="100" t="s">
        <v>5</v>
      </c>
      <c r="D1560" s="97"/>
      <c r="J1560" s="8"/>
      <c r="K1560" s="8"/>
      <c r="L1560" s="8"/>
      <c r="M1560" s="8"/>
      <c r="N1560" s="8"/>
      <c r="O1560" s="8"/>
      <c r="P1560" s="8"/>
    </row>
    <row r="1561" spans="1:16" s="7" customFormat="1" ht="42.75" customHeight="1" thickBot="1">
      <c r="A1561" s="101">
        <v>62</v>
      </c>
      <c r="B1561" s="102"/>
      <c r="C1561" s="96" t="s">
        <v>6</v>
      </c>
      <c r="D1561" s="97"/>
      <c r="J1561" s="8"/>
      <c r="K1561" s="8"/>
      <c r="L1561" s="8"/>
      <c r="M1561" s="8"/>
      <c r="N1561" s="8"/>
      <c r="O1561" s="8"/>
      <c r="P1561" s="8"/>
    </row>
    <row r="1562" spans="1:16" s="7" customFormat="1" ht="42.75" customHeight="1" thickBot="1">
      <c r="A1562" s="103"/>
      <c r="B1562" s="104"/>
      <c r="C1562" s="96" t="s">
        <v>21</v>
      </c>
      <c r="D1562" s="97"/>
      <c r="J1562" s="8"/>
      <c r="K1562" s="8"/>
      <c r="L1562" s="8"/>
      <c r="M1562" s="8"/>
      <c r="N1562" s="8"/>
      <c r="O1562" s="8"/>
      <c r="P1562" s="8"/>
    </row>
    <row r="1563" spans="1:16" s="7" customFormat="1" ht="42.75" customHeight="1" thickBot="1">
      <c r="A1563" s="105">
        <v>1250</v>
      </c>
      <c r="B1563" s="106"/>
      <c r="C1563" s="96" t="s">
        <v>7</v>
      </c>
      <c r="D1563" s="97"/>
      <c r="J1563" s="8"/>
      <c r="K1563" s="8"/>
      <c r="L1563" s="8"/>
      <c r="M1563" s="8"/>
      <c r="N1563" s="8"/>
      <c r="O1563" s="8"/>
      <c r="P1563" s="8"/>
    </row>
    <row r="1564" spans="1:16" s="7" customFormat="1" ht="42.75" customHeight="1" thickBot="1">
      <c r="A1564" s="107" t="s">
        <v>17</v>
      </c>
      <c r="B1564" s="108"/>
      <c r="C1564" s="108"/>
      <c r="D1564" s="109"/>
      <c r="J1564" s="8"/>
      <c r="K1564" s="8"/>
      <c r="L1564" s="8"/>
      <c r="M1564" s="8"/>
      <c r="N1564" s="8"/>
      <c r="O1564" s="8"/>
      <c r="P1564" s="8"/>
    </row>
    <row r="1565" spans="1:16" s="7" customFormat="1" ht="42.75" customHeight="1" thickBot="1">
      <c r="A1565" s="110" t="s">
        <v>20</v>
      </c>
      <c r="B1565" s="111"/>
      <c r="C1565" s="111"/>
      <c r="D1565" s="112"/>
      <c r="J1565" s="8"/>
      <c r="K1565" s="8"/>
      <c r="L1565" s="8"/>
      <c r="M1565" s="8"/>
      <c r="N1565" s="8"/>
      <c r="O1565" s="8"/>
      <c r="P1565" s="8"/>
    </row>
    <row r="1566" spans="1:16" s="7" customFormat="1" ht="42.75" customHeight="1" thickBot="1">
      <c r="A1566" s="113" t="s">
        <v>18</v>
      </c>
      <c r="B1566" s="114"/>
      <c r="C1566" s="114"/>
      <c r="D1566" s="115"/>
      <c r="J1566" s="8"/>
      <c r="K1566" s="8"/>
      <c r="L1566" s="8"/>
      <c r="M1566" s="8"/>
      <c r="N1566" s="8"/>
      <c r="O1566" s="8"/>
      <c r="P1566" s="8"/>
    </row>
    <row r="1567" spans="1:16" s="7" customFormat="1" ht="42.75" customHeight="1" thickBot="1">
      <c r="A1567" s="126" t="s">
        <v>19</v>
      </c>
      <c r="B1567" s="127"/>
      <c r="C1567" s="127"/>
      <c r="D1567" s="128"/>
      <c r="J1567" s="8"/>
      <c r="K1567" s="8"/>
      <c r="L1567" s="8"/>
      <c r="M1567" s="8"/>
      <c r="N1567" s="8"/>
      <c r="O1567" s="8"/>
      <c r="P1567" s="8"/>
    </row>
    <row r="1568" spans="1:16" s="7" customFormat="1" ht="42.75" customHeight="1" thickBot="1">
      <c r="A1568" s="123" t="s">
        <v>11</v>
      </c>
      <c r="B1568" s="124"/>
      <c r="C1568" s="125" t="s">
        <v>603</v>
      </c>
      <c r="D1568" s="124"/>
      <c r="J1568" s="8"/>
      <c r="K1568" s="8"/>
      <c r="L1568" s="8"/>
      <c r="M1568" s="8"/>
      <c r="N1568" s="8"/>
      <c r="O1568" s="8"/>
      <c r="P1568" s="8"/>
    </row>
    <row r="1569" spans="1:16" s="7" customFormat="1" ht="42.75" customHeight="1" thickBot="1">
      <c r="A1569" s="1" t="s">
        <v>686</v>
      </c>
      <c r="B1569" s="26" t="s">
        <v>1</v>
      </c>
      <c r="C1569" s="90" t="s">
        <v>144</v>
      </c>
      <c r="D1569" s="91"/>
      <c r="J1569" s="8"/>
      <c r="K1569" s="8"/>
      <c r="L1569" s="8"/>
      <c r="M1569" s="8"/>
      <c r="N1569" s="8"/>
      <c r="O1569" s="8"/>
      <c r="P1569" s="8"/>
    </row>
    <row r="1570" spans="1:16" s="7" customFormat="1" ht="42.75" customHeight="1" thickBot="1">
      <c r="A1570" s="26"/>
      <c r="B1570" s="26" t="s">
        <v>0</v>
      </c>
      <c r="C1570" s="5" t="s">
        <v>687</v>
      </c>
      <c r="D1570" s="4" t="s">
        <v>2</v>
      </c>
      <c r="J1570" s="8"/>
      <c r="K1570" s="8"/>
      <c r="L1570" s="8"/>
      <c r="M1570" s="8"/>
      <c r="N1570" s="8"/>
      <c r="O1570" s="8"/>
      <c r="P1570" s="8"/>
    </row>
    <row r="1571" spans="1:16" s="7" customFormat="1" ht="42.75" customHeight="1" thickBot="1">
      <c r="A1571" s="92">
        <v>35</v>
      </c>
      <c r="B1571" s="93"/>
      <c r="C1571" s="94" t="s">
        <v>3</v>
      </c>
      <c r="D1571" s="95"/>
      <c r="J1571" s="8"/>
      <c r="K1571" s="8"/>
      <c r="L1571" s="8"/>
      <c r="M1571" s="8"/>
      <c r="N1571" s="8"/>
      <c r="O1571" s="8"/>
      <c r="P1571" s="8"/>
    </row>
    <row r="1572" spans="1:16" s="7" customFormat="1" ht="42.75" customHeight="1" thickBot="1">
      <c r="A1572" s="92">
        <v>75</v>
      </c>
      <c r="B1572" s="93"/>
      <c r="C1572" s="96" t="s">
        <v>4</v>
      </c>
      <c r="D1572" s="97"/>
      <c r="J1572" s="8"/>
      <c r="K1572" s="8"/>
      <c r="L1572" s="8"/>
      <c r="M1572" s="8"/>
      <c r="N1572" s="8"/>
      <c r="O1572" s="8"/>
      <c r="P1572" s="8"/>
    </row>
    <row r="1573" spans="1:16" s="7" customFormat="1" ht="42.75" customHeight="1" thickBot="1">
      <c r="A1573" s="98">
        <f>A1572-A1571</f>
        <v>40</v>
      </c>
      <c r="B1573" s="99"/>
      <c r="C1573" s="100" t="s">
        <v>5</v>
      </c>
      <c r="D1573" s="97"/>
      <c r="J1573" s="8"/>
      <c r="K1573" s="8"/>
      <c r="L1573" s="8"/>
      <c r="M1573" s="8"/>
      <c r="N1573" s="8"/>
      <c r="O1573" s="8"/>
      <c r="P1573" s="8"/>
    </row>
    <row r="1574" spans="1:16" s="7" customFormat="1" ht="42.75" customHeight="1" thickBot="1">
      <c r="A1574" s="101">
        <v>62</v>
      </c>
      <c r="B1574" s="102"/>
      <c r="C1574" s="96" t="s">
        <v>6</v>
      </c>
      <c r="D1574" s="97"/>
      <c r="J1574" s="8"/>
      <c r="K1574" s="8"/>
      <c r="L1574" s="8"/>
      <c r="M1574" s="8"/>
      <c r="N1574" s="8"/>
      <c r="O1574" s="8"/>
      <c r="P1574" s="8"/>
    </row>
    <row r="1575" spans="1:16" s="7" customFormat="1" ht="42.75" customHeight="1" thickBot="1">
      <c r="A1575" s="103"/>
      <c r="B1575" s="104"/>
      <c r="C1575" s="96" t="s">
        <v>21</v>
      </c>
      <c r="D1575" s="97"/>
      <c r="J1575" s="8"/>
      <c r="K1575" s="8"/>
      <c r="L1575" s="8"/>
      <c r="M1575" s="8"/>
      <c r="N1575" s="8"/>
      <c r="O1575" s="8"/>
      <c r="P1575" s="8"/>
    </row>
    <row r="1576" spans="1:16" s="7" customFormat="1" ht="42.75" customHeight="1" thickBot="1">
      <c r="A1576" s="105">
        <v>2500</v>
      </c>
      <c r="B1576" s="106"/>
      <c r="C1576" s="96" t="s">
        <v>7</v>
      </c>
      <c r="D1576" s="97"/>
      <c r="J1576" s="8"/>
      <c r="K1576" s="8"/>
      <c r="L1576" s="8"/>
      <c r="M1576" s="8"/>
      <c r="N1576" s="8"/>
      <c r="O1576" s="8"/>
      <c r="P1576" s="8"/>
    </row>
    <row r="1577" spans="1:16" s="7" customFormat="1" ht="42.75" customHeight="1" thickBot="1">
      <c r="A1577" s="107" t="s">
        <v>17</v>
      </c>
      <c r="B1577" s="108"/>
      <c r="C1577" s="108"/>
      <c r="D1577" s="109"/>
      <c r="J1577" s="8"/>
      <c r="K1577" s="8"/>
      <c r="L1577" s="8"/>
      <c r="M1577" s="8"/>
      <c r="N1577" s="8"/>
      <c r="O1577" s="8"/>
      <c r="P1577" s="8"/>
    </row>
    <row r="1578" spans="1:16" s="7" customFormat="1" ht="42.75" customHeight="1" thickBot="1">
      <c r="A1578" s="116" t="s">
        <v>20</v>
      </c>
      <c r="B1578" s="117"/>
      <c r="C1578" s="117"/>
      <c r="D1578" s="118"/>
      <c r="J1578" s="8"/>
      <c r="K1578" s="8"/>
      <c r="L1578" s="8"/>
      <c r="M1578" s="8"/>
      <c r="N1578" s="8"/>
      <c r="O1578" s="8"/>
      <c r="P1578" s="8"/>
    </row>
    <row r="1579" spans="1:16" s="7" customFormat="1" ht="42.75" customHeight="1" thickBot="1">
      <c r="A1579" s="113" t="s">
        <v>18</v>
      </c>
      <c r="B1579" s="114"/>
      <c r="C1579" s="114"/>
      <c r="D1579" s="115"/>
      <c r="J1579" s="8"/>
      <c r="K1579" s="8"/>
      <c r="L1579" s="8"/>
      <c r="M1579" s="8"/>
      <c r="N1579" s="8"/>
      <c r="O1579" s="8"/>
      <c r="P1579" s="8"/>
    </row>
    <row r="1580" spans="1:16" s="7" customFormat="1" ht="42.75" customHeight="1" thickBot="1">
      <c r="A1580" s="119"/>
      <c r="B1580" s="119"/>
      <c r="C1580" s="119"/>
      <c r="D1580" s="119"/>
      <c r="J1580" s="8"/>
      <c r="K1580" s="8"/>
      <c r="L1580" s="8"/>
      <c r="M1580" s="8"/>
      <c r="N1580" s="8"/>
      <c r="O1580" s="8"/>
      <c r="P1580" s="8"/>
    </row>
    <row r="1581" spans="1:16" s="7" customFormat="1" ht="42.75" customHeight="1" thickBot="1">
      <c r="A1581" s="126" t="s">
        <v>19</v>
      </c>
      <c r="B1581" s="127"/>
      <c r="C1581" s="127"/>
      <c r="D1581" s="128"/>
      <c r="J1581" s="8"/>
      <c r="K1581" s="8"/>
      <c r="L1581" s="8"/>
      <c r="M1581" s="8"/>
      <c r="N1581" s="8"/>
      <c r="O1581" s="8"/>
      <c r="P1581" s="8"/>
    </row>
    <row r="1582" spans="1:16" s="7" customFormat="1" ht="42.75" customHeight="1" thickBot="1">
      <c r="A1582" s="123" t="s">
        <v>11</v>
      </c>
      <c r="B1582" s="124"/>
      <c r="C1582" s="125" t="s">
        <v>603</v>
      </c>
      <c r="D1582" s="124"/>
      <c r="J1582" s="8"/>
      <c r="K1582" s="8"/>
      <c r="L1582" s="8"/>
      <c r="M1582" s="8"/>
      <c r="N1582" s="8"/>
      <c r="O1582" s="8"/>
      <c r="P1582" s="8"/>
    </row>
    <row r="1583" spans="1:16" s="7" customFormat="1" ht="42.75" customHeight="1" thickBot="1">
      <c r="A1583" s="1" t="s">
        <v>686</v>
      </c>
      <c r="B1583" s="26" t="s">
        <v>1</v>
      </c>
      <c r="C1583" s="90" t="s">
        <v>144</v>
      </c>
      <c r="D1583" s="91"/>
      <c r="J1583" s="8"/>
      <c r="K1583" s="8"/>
      <c r="L1583" s="8"/>
      <c r="M1583" s="8"/>
      <c r="N1583" s="8"/>
      <c r="O1583" s="8"/>
      <c r="P1583" s="8"/>
    </row>
    <row r="1584" spans="1:16" s="7" customFormat="1" ht="42.75" customHeight="1" thickBot="1">
      <c r="A1584" s="26"/>
      <c r="B1584" s="26" t="s">
        <v>0</v>
      </c>
      <c r="C1584" s="5" t="s">
        <v>687</v>
      </c>
      <c r="D1584" s="4" t="s">
        <v>2</v>
      </c>
      <c r="J1584" s="8"/>
      <c r="K1584" s="8"/>
      <c r="L1584" s="8"/>
      <c r="M1584" s="8"/>
      <c r="N1584" s="8"/>
      <c r="O1584" s="8"/>
      <c r="P1584" s="8"/>
    </row>
    <row r="1585" spans="1:16" s="7" customFormat="1" ht="42.75" customHeight="1" thickBot="1">
      <c r="A1585" s="92">
        <v>35</v>
      </c>
      <c r="B1585" s="93"/>
      <c r="C1585" s="94" t="s">
        <v>3</v>
      </c>
      <c r="D1585" s="95"/>
      <c r="J1585" s="8"/>
      <c r="K1585" s="8"/>
      <c r="L1585" s="8"/>
      <c r="M1585" s="8"/>
      <c r="N1585" s="8"/>
      <c r="O1585" s="8"/>
      <c r="P1585" s="8"/>
    </row>
    <row r="1586" spans="1:16" s="7" customFormat="1" ht="42.75" customHeight="1" thickBot="1">
      <c r="A1586" s="92">
        <v>75</v>
      </c>
      <c r="B1586" s="93"/>
      <c r="C1586" s="96" t="s">
        <v>4</v>
      </c>
      <c r="D1586" s="97"/>
      <c r="J1586" s="8"/>
      <c r="K1586" s="8"/>
      <c r="L1586" s="8"/>
      <c r="M1586" s="8"/>
      <c r="N1586" s="8"/>
      <c r="O1586" s="8"/>
      <c r="P1586" s="8"/>
    </row>
    <row r="1587" spans="1:16" s="7" customFormat="1" ht="42.75" customHeight="1" thickBot="1">
      <c r="A1587" s="98">
        <f>A1586-A1585</f>
        <v>40</v>
      </c>
      <c r="B1587" s="99"/>
      <c r="C1587" s="100" t="s">
        <v>5</v>
      </c>
      <c r="D1587" s="97"/>
      <c r="J1587" s="8"/>
      <c r="K1587" s="8"/>
      <c r="L1587" s="8"/>
      <c r="M1587" s="8"/>
      <c r="N1587" s="8"/>
      <c r="O1587" s="8"/>
      <c r="P1587" s="8"/>
    </row>
    <row r="1588" spans="1:16" s="7" customFormat="1" ht="42.75" customHeight="1" thickBot="1">
      <c r="A1588" s="101">
        <v>62</v>
      </c>
      <c r="B1588" s="102"/>
      <c r="C1588" s="96" t="s">
        <v>6</v>
      </c>
      <c r="D1588" s="97"/>
      <c r="J1588" s="8"/>
      <c r="K1588" s="8"/>
      <c r="L1588" s="8"/>
      <c r="M1588" s="8"/>
      <c r="N1588" s="8"/>
      <c r="O1588" s="8"/>
      <c r="P1588" s="8"/>
    </row>
    <row r="1589" spans="1:16" s="7" customFormat="1" ht="42.75" customHeight="1" thickBot="1">
      <c r="A1589" s="103"/>
      <c r="B1589" s="104"/>
      <c r="C1589" s="96" t="s">
        <v>21</v>
      </c>
      <c r="D1589" s="97"/>
      <c r="J1589" s="8"/>
      <c r="K1589" s="8"/>
      <c r="L1589" s="8"/>
      <c r="M1589" s="8"/>
      <c r="N1589" s="8"/>
      <c r="O1589" s="8"/>
      <c r="P1589" s="8"/>
    </row>
    <row r="1590" spans="1:16" s="7" customFormat="1" ht="42.75" customHeight="1" thickBot="1">
      <c r="A1590" s="105">
        <v>2500</v>
      </c>
      <c r="B1590" s="106"/>
      <c r="C1590" s="96" t="s">
        <v>7</v>
      </c>
      <c r="D1590" s="97"/>
      <c r="J1590" s="8"/>
      <c r="K1590" s="8"/>
      <c r="L1590" s="8"/>
      <c r="M1590" s="8"/>
      <c r="N1590" s="8"/>
      <c r="O1590" s="8"/>
      <c r="P1590" s="8"/>
    </row>
    <row r="1591" spans="1:16" s="7" customFormat="1" ht="42.75" customHeight="1" thickBot="1">
      <c r="A1591" s="107" t="s">
        <v>17</v>
      </c>
      <c r="B1591" s="108"/>
      <c r="C1591" s="108"/>
      <c r="D1591" s="109"/>
      <c r="J1591" s="8"/>
      <c r="K1591" s="8"/>
      <c r="L1591" s="8"/>
      <c r="M1591" s="8"/>
      <c r="N1591" s="8"/>
      <c r="O1591" s="8"/>
      <c r="P1591" s="8"/>
    </row>
    <row r="1592" spans="1:16" s="7" customFormat="1" ht="42.75" customHeight="1" thickBot="1">
      <c r="A1592" s="110" t="s">
        <v>20</v>
      </c>
      <c r="B1592" s="111"/>
      <c r="C1592" s="111"/>
      <c r="D1592" s="112"/>
      <c r="J1592" s="8"/>
      <c r="K1592" s="8"/>
      <c r="L1592" s="8"/>
      <c r="M1592" s="8"/>
      <c r="N1592" s="8"/>
      <c r="O1592" s="8"/>
      <c r="P1592" s="8"/>
    </row>
    <row r="1593" spans="1:16" s="7" customFormat="1" ht="42.75" customHeight="1" thickBot="1">
      <c r="A1593" s="113" t="s">
        <v>18</v>
      </c>
      <c r="B1593" s="114"/>
      <c r="C1593" s="114"/>
      <c r="D1593" s="115"/>
      <c r="J1593" s="8"/>
      <c r="K1593" s="8"/>
      <c r="L1593" s="8"/>
      <c r="M1593" s="8"/>
      <c r="N1593" s="8"/>
      <c r="O1593" s="8"/>
      <c r="P1593" s="8"/>
    </row>
    <row r="1594" spans="1:16" s="7" customFormat="1" ht="42.75" customHeight="1" thickBot="1">
      <c r="A1594" s="126" t="s">
        <v>19</v>
      </c>
      <c r="B1594" s="127"/>
      <c r="C1594" s="127"/>
      <c r="D1594" s="128"/>
      <c r="J1594" s="8"/>
      <c r="K1594" s="8"/>
      <c r="L1594" s="8"/>
      <c r="M1594" s="8"/>
      <c r="N1594" s="8"/>
      <c r="O1594" s="8"/>
      <c r="P1594" s="8"/>
    </row>
    <row r="1595" spans="1:16" s="7" customFormat="1" ht="42.75" customHeight="1" thickBot="1">
      <c r="A1595" s="123" t="s">
        <v>11</v>
      </c>
      <c r="B1595" s="124"/>
      <c r="C1595" s="125" t="s">
        <v>603</v>
      </c>
      <c r="D1595" s="124"/>
      <c r="J1595" s="8"/>
      <c r="K1595" s="8"/>
      <c r="L1595" s="8"/>
      <c r="M1595" s="8"/>
      <c r="N1595" s="8"/>
      <c r="O1595" s="8"/>
      <c r="P1595" s="8"/>
    </row>
    <row r="1596" spans="1:16" s="7" customFormat="1" ht="42.75" customHeight="1" thickBot="1">
      <c r="A1596" s="1" t="s">
        <v>686</v>
      </c>
      <c r="B1596" s="26" t="s">
        <v>1</v>
      </c>
      <c r="C1596" s="90" t="s">
        <v>132</v>
      </c>
      <c r="D1596" s="91"/>
      <c r="J1596" s="8"/>
      <c r="K1596" s="8"/>
      <c r="L1596" s="8"/>
      <c r="M1596" s="8"/>
      <c r="N1596" s="8"/>
      <c r="O1596" s="8"/>
      <c r="P1596" s="8"/>
    </row>
    <row r="1597" spans="1:16" s="7" customFormat="1" ht="42.75" customHeight="1" thickBot="1">
      <c r="A1597" s="26"/>
      <c r="B1597" s="26" t="s">
        <v>0</v>
      </c>
      <c r="C1597" s="5" t="s">
        <v>687</v>
      </c>
      <c r="D1597" s="4" t="s">
        <v>2</v>
      </c>
      <c r="J1597" s="8"/>
      <c r="K1597" s="8"/>
      <c r="L1597" s="8"/>
      <c r="M1597" s="8"/>
      <c r="N1597" s="8"/>
      <c r="O1597" s="8"/>
      <c r="P1597" s="8"/>
    </row>
    <row r="1598" spans="1:16" s="7" customFormat="1" ht="42.75" customHeight="1" thickBot="1">
      <c r="A1598" s="92">
        <v>291</v>
      </c>
      <c r="B1598" s="93"/>
      <c r="C1598" s="94" t="s">
        <v>3</v>
      </c>
      <c r="D1598" s="95"/>
      <c r="J1598" s="8"/>
      <c r="K1598" s="8"/>
      <c r="L1598" s="8"/>
      <c r="M1598" s="8"/>
      <c r="N1598" s="8"/>
      <c r="O1598" s="8"/>
      <c r="P1598" s="8"/>
    </row>
    <row r="1599" spans="1:16" s="7" customFormat="1" ht="42.75" customHeight="1" thickBot="1">
      <c r="A1599" s="92">
        <v>330</v>
      </c>
      <c r="B1599" s="93"/>
      <c r="C1599" s="96" t="s">
        <v>4</v>
      </c>
      <c r="D1599" s="97"/>
      <c r="J1599" s="8"/>
      <c r="K1599" s="8"/>
      <c r="L1599" s="8"/>
      <c r="M1599" s="8"/>
      <c r="N1599" s="8"/>
      <c r="O1599" s="8"/>
      <c r="P1599" s="8"/>
    </row>
    <row r="1600" spans="1:16" s="7" customFormat="1" ht="42.75" customHeight="1" thickBot="1">
      <c r="A1600" s="98">
        <f>A1599-A1598</f>
        <v>39</v>
      </c>
      <c r="B1600" s="99"/>
      <c r="C1600" s="100" t="s">
        <v>5</v>
      </c>
      <c r="D1600" s="97"/>
      <c r="J1600" s="8"/>
      <c r="K1600" s="8"/>
      <c r="L1600" s="8"/>
      <c r="M1600" s="8"/>
      <c r="N1600" s="8"/>
      <c r="O1600" s="8"/>
      <c r="P1600" s="8"/>
    </row>
    <row r="1601" spans="1:16" s="7" customFormat="1" ht="42.75" customHeight="1" thickBot="1">
      <c r="A1601" s="101">
        <v>62</v>
      </c>
      <c r="B1601" s="102"/>
      <c r="C1601" s="96" t="s">
        <v>6</v>
      </c>
      <c r="D1601" s="97"/>
      <c r="J1601" s="8"/>
      <c r="K1601" s="8"/>
      <c r="L1601" s="8"/>
      <c r="M1601" s="8"/>
      <c r="N1601" s="8"/>
      <c r="O1601" s="8"/>
      <c r="P1601" s="8"/>
    </row>
    <row r="1602" spans="1:16" s="7" customFormat="1" ht="42.75" customHeight="1" thickBot="1">
      <c r="A1602" s="103"/>
      <c r="B1602" s="104"/>
      <c r="C1602" s="96" t="s">
        <v>21</v>
      </c>
      <c r="D1602" s="97"/>
      <c r="J1602" s="8"/>
      <c r="K1602" s="8"/>
      <c r="L1602" s="8"/>
      <c r="M1602" s="8"/>
      <c r="N1602" s="8"/>
      <c r="O1602" s="8"/>
      <c r="P1602" s="8"/>
    </row>
    <row r="1603" spans="1:16" s="7" customFormat="1" ht="42.75" customHeight="1" thickBot="1">
      <c r="A1603" s="105">
        <v>2500</v>
      </c>
      <c r="B1603" s="106"/>
      <c r="C1603" s="96" t="s">
        <v>7</v>
      </c>
      <c r="D1603" s="97"/>
      <c r="J1603" s="8"/>
      <c r="K1603" s="8"/>
      <c r="L1603" s="8"/>
      <c r="M1603" s="8"/>
      <c r="N1603" s="8"/>
      <c r="O1603" s="8"/>
      <c r="P1603" s="8"/>
    </row>
    <row r="1604" spans="1:16" s="7" customFormat="1" ht="42.75" customHeight="1" thickBot="1">
      <c r="A1604" s="107" t="s">
        <v>17</v>
      </c>
      <c r="B1604" s="108"/>
      <c r="C1604" s="108"/>
      <c r="D1604" s="109"/>
      <c r="J1604" s="8"/>
      <c r="K1604" s="8"/>
      <c r="L1604" s="8"/>
      <c r="M1604" s="8"/>
      <c r="N1604" s="8"/>
      <c r="O1604" s="8"/>
      <c r="P1604" s="8"/>
    </row>
    <row r="1605" spans="1:16" s="7" customFormat="1" ht="42.75" customHeight="1" thickBot="1">
      <c r="A1605" s="116" t="s">
        <v>20</v>
      </c>
      <c r="B1605" s="117"/>
      <c r="C1605" s="117"/>
      <c r="D1605" s="118"/>
      <c r="J1605" s="8"/>
      <c r="K1605" s="8"/>
      <c r="L1605" s="8"/>
      <c r="M1605" s="8"/>
      <c r="N1605" s="8"/>
      <c r="O1605" s="8"/>
      <c r="P1605" s="8"/>
    </row>
    <row r="1606" spans="1:16" s="7" customFormat="1" ht="42.75" customHeight="1" thickBot="1">
      <c r="A1606" s="113" t="s">
        <v>18</v>
      </c>
      <c r="B1606" s="114"/>
      <c r="C1606" s="114"/>
      <c r="D1606" s="115"/>
      <c r="J1606" s="8"/>
      <c r="K1606" s="8"/>
      <c r="L1606" s="8"/>
      <c r="M1606" s="8"/>
      <c r="N1606" s="8"/>
      <c r="O1606" s="8"/>
      <c r="P1606" s="8"/>
    </row>
    <row r="1607" spans="1:16" s="7" customFormat="1" ht="42.75" customHeight="1" thickBot="1">
      <c r="A1607" s="119"/>
      <c r="B1607" s="119"/>
      <c r="C1607" s="119"/>
      <c r="D1607" s="119"/>
      <c r="J1607" s="8"/>
      <c r="K1607" s="8"/>
      <c r="L1607" s="8"/>
      <c r="M1607" s="8"/>
      <c r="N1607" s="8"/>
      <c r="O1607" s="8"/>
      <c r="P1607" s="8"/>
    </row>
    <row r="1608" spans="1:16" s="7" customFormat="1" ht="42.75" customHeight="1" thickBot="1">
      <c r="A1608" s="126" t="s">
        <v>19</v>
      </c>
      <c r="B1608" s="127"/>
      <c r="C1608" s="127"/>
      <c r="D1608" s="128"/>
      <c r="J1608" s="8"/>
      <c r="K1608" s="8"/>
      <c r="L1608" s="8"/>
      <c r="M1608" s="8"/>
      <c r="N1608" s="8"/>
      <c r="O1608" s="8"/>
      <c r="P1608" s="8"/>
    </row>
    <row r="1609" spans="1:16" s="7" customFormat="1" ht="42.75" customHeight="1" thickBot="1">
      <c r="A1609" s="123" t="s">
        <v>11</v>
      </c>
      <c r="B1609" s="124"/>
      <c r="C1609" s="125" t="s">
        <v>603</v>
      </c>
      <c r="D1609" s="124"/>
      <c r="J1609" s="8"/>
      <c r="K1609" s="8"/>
      <c r="L1609" s="8"/>
      <c r="M1609" s="8"/>
      <c r="N1609" s="8"/>
      <c r="O1609" s="8"/>
      <c r="P1609" s="8"/>
    </row>
    <row r="1610" spans="1:16" s="7" customFormat="1" ht="42.75" customHeight="1" thickBot="1">
      <c r="A1610" s="1" t="s">
        <v>686</v>
      </c>
      <c r="B1610" s="26" t="s">
        <v>1</v>
      </c>
      <c r="C1610" s="90" t="s">
        <v>132</v>
      </c>
      <c r="D1610" s="91"/>
      <c r="J1610" s="8"/>
      <c r="K1610" s="8"/>
      <c r="L1610" s="8"/>
      <c r="M1610" s="8"/>
      <c r="N1610" s="8"/>
      <c r="O1610" s="8"/>
      <c r="P1610" s="8"/>
    </row>
    <row r="1611" spans="1:16" s="7" customFormat="1" ht="42.75" customHeight="1" thickBot="1">
      <c r="A1611" s="26"/>
      <c r="B1611" s="26" t="s">
        <v>0</v>
      </c>
      <c r="C1611" s="5" t="s">
        <v>687</v>
      </c>
      <c r="D1611" s="4" t="s">
        <v>2</v>
      </c>
      <c r="J1611" s="8"/>
      <c r="K1611" s="8"/>
      <c r="L1611" s="8"/>
      <c r="M1611" s="8"/>
      <c r="N1611" s="8"/>
      <c r="O1611" s="8"/>
      <c r="P1611" s="8"/>
    </row>
    <row r="1612" spans="1:16" s="7" customFormat="1" ht="42.75" customHeight="1" thickBot="1">
      <c r="A1612" s="92">
        <v>291</v>
      </c>
      <c r="B1612" s="93"/>
      <c r="C1612" s="94" t="s">
        <v>3</v>
      </c>
      <c r="D1612" s="95"/>
      <c r="J1612" s="8"/>
      <c r="K1612" s="8"/>
      <c r="L1612" s="8"/>
      <c r="M1612" s="8"/>
      <c r="N1612" s="8"/>
      <c r="O1612" s="8"/>
      <c r="P1612" s="8"/>
    </row>
    <row r="1613" spans="1:16" s="7" customFormat="1" ht="42.75" customHeight="1" thickBot="1">
      <c r="A1613" s="92">
        <v>330</v>
      </c>
      <c r="B1613" s="93"/>
      <c r="C1613" s="96" t="s">
        <v>4</v>
      </c>
      <c r="D1613" s="97"/>
      <c r="J1613" s="8"/>
      <c r="K1613" s="8"/>
      <c r="L1613" s="8"/>
      <c r="M1613" s="8"/>
      <c r="N1613" s="8"/>
      <c r="O1613" s="8"/>
      <c r="P1613" s="8"/>
    </row>
    <row r="1614" spans="1:16" s="7" customFormat="1" ht="42.75" customHeight="1" thickBot="1">
      <c r="A1614" s="98">
        <f>A1613-A1612</f>
        <v>39</v>
      </c>
      <c r="B1614" s="99"/>
      <c r="C1614" s="100" t="s">
        <v>5</v>
      </c>
      <c r="D1614" s="97"/>
      <c r="J1614" s="8"/>
      <c r="K1614" s="8"/>
      <c r="L1614" s="8"/>
      <c r="M1614" s="8"/>
      <c r="N1614" s="8"/>
      <c r="O1614" s="8"/>
      <c r="P1614" s="8"/>
    </row>
    <row r="1615" spans="1:16" s="7" customFormat="1" ht="42.75" customHeight="1" thickBot="1">
      <c r="A1615" s="101">
        <v>62</v>
      </c>
      <c r="B1615" s="102"/>
      <c r="C1615" s="96" t="s">
        <v>6</v>
      </c>
      <c r="D1615" s="97"/>
      <c r="J1615" s="8"/>
      <c r="K1615" s="8"/>
      <c r="L1615" s="8"/>
      <c r="M1615" s="8"/>
      <c r="N1615" s="8"/>
      <c r="O1615" s="8"/>
      <c r="P1615" s="8"/>
    </row>
    <row r="1616" spans="1:16" s="7" customFormat="1" ht="42.75" customHeight="1" thickBot="1">
      <c r="A1616" s="103"/>
      <c r="B1616" s="104"/>
      <c r="C1616" s="96" t="s">
        <v>21</v>
      </c>
      <c r="D1616" s="97"/>
      <c r="J1616" s="8"/>
      <c r="K1616" s="8"/>
      <c r="L1616" s="8"/>
      <c r="M1616" s="8"/>
      <c r="N1616" s="8"/>
      <c r="O1616" s="8"/>
      <c r="P1616" s="8"/>
    </row>
    <row r="1617" spans="1:16" s="7" customFormat="1" ht="42.75" customHeight="1" thickBot="1">
      <c r="A1617" s="105">
        <v>2500</v>
      </c>
      <c r="B1617" s="106"/>
      <c r="C1617" s="96" t="s">
        <v>7</v>
      </c>
      <c r="D1617" s="97"/>
      <c r="J1617" s="8"/>
      <c r="K1617" s="8"/>
      <c r="L1617" s="8"/>
      <c r="M1617" s="8"/>
      <c r="N1617" s="8"/>
      <c r="O1617" s="8"/>
      <c r="P1617" s="8"/>
    </row>
    <row r="1618" spans="1:16" s="7" customFormat="1" ht="42.75" customHeight="1" thickBot="1">
      <c r="A1618" s="107" t="s">
        <v>17</v>
      </c>
      <c r="B1618" s="108"/>
      <c r="C1618" s="108"/>
      <c r="D1618" s="109"/>
      <c r="J1618" s="8"/>
      <c r="K1618" s="8"/>
      <c r="L1618" s="8"/>
      <c r="M1618" s="8"/>
      <c r="N1618" s="8"/>
      <c r="O1618" s="8"/>
      <c r="P1618" s="8"/>
    </row>
    <row r="1619" spans="1:16" s="7" customFormat="1" ht="42.75" customHeight="1" thickBot="1">
      <c r="A1619" s="110" t="s">
        <v>20</v>
      </c>
      <c r="B1619" s="111"/>
      <c r="C1619" s="111"/>
      <c r="D1619" s="112"/>
      <c r="J1619" s="8"/>
      <c r="K1619" s="8"/>
      <c r="L1619" s="8"/>
      <c r="M1619" s="8"/>
      <c r="N1619" s="8"/>
      <c r="O1619" s="8"/>
      <c r="P1619" s="8"/>
    </row>
    <row r="1620" spans="1:16" s="7" customFormat="1" ht="42.75" customHeight="1" thickBot="1">
      <c r="A1620" s="113" t="s">
        <v>18</v>
      </c>
      <c r="B1620" s="114"/>
      <c r="C1620" s="114"/>
      <c r="D1620" s="115"/>
      <c r="J1620" s="8"/>
      <c r="K1620" s="8"/>
      <c r="L1620" s="8"/>
      <c r="M1620" s="8"/>
      <c r="N1620" s="8"/>
      <c r="O1620" s="8"/>
      <c r="P1620" s="8"/>
    </row>
    <row r="1621" spans="1:16" s="7" customFormat="1" ht="42.75" customHeight="1" thickBot="1">
      <c r="A1621" s="126" t="s">
        <v>19</v>
      </c>
      <c r="B1621" s="127"/>
      <c r="C1621" s="127"/>
      <c r="D1621" s="128"/>
      <c r="J1621" s="8"/>
      <c r="K1621" s="8"/>
      <c r="L1621" s="8"/>
      <c r="M1621" s="8"/>
      <c r="N1621" s="8"/>
      <c r="O1621" s="8"/>
      <c r="P1621" s="8"/>
    </row>
    <row r="1622" spans="1:16" s="7" customFormat="1" ht="42.75" customHeight="1" thickBot="1">
      <c r="A1622" s="123" t="s">
        <v>11</v>
      </c>
      <c r="B1622" s="124"/>
      <c r="C1622" s="125" t="s">
        <v>603</v>
      </c>
      <c r="D1622" s="124"/>
      <c r="J1622" s="8"/>
      <c r="K1622" s="8"/>
      <c r="L1622" s="8"/>
      <c r="M1622" s="8"/>
      <c r="N1622" s="8"/>
      <c r="O1622" s="8"/>
      <c r="P1622" s="8"/>
    </row>
    <row r="1623" spans="1:16" s="7" customFormat="1" ht="42.75" customHeight="1" thickBot="1">
      <c r="A1623" s="1" t="s">
        <v>686</v>
      </c>
      <c r="B1623" s="26" t="s">
        <v>1</v>
      </c>
      <c r="C1623" s="90" t="s">
        <v>260</v>
      </c>
      <c r="D1623" s="91"/>
      <c r="J1623" s="8"/>
      <c r="K1623" s="8"/>
      <c r="L1623" s="8"/>
      <c r="M1623" s="8"/>
      <c r="N1623" s="8"/>
      <c r="O1623" s="8"/>
      <c r="P1623" s="8"/>
    </row>
    <row r="1624" spans="1:16" s="7" customFormat="1" ht="42.75" customHeight="1" thickBot="1">
      <c r="A1624" s="26"/>
      <c r="B1624" s="26" t="s">
        <v>0</v>
      </c>
      <c r="C1624" s="5" t="s">
        <v>687</v>
      </c>
      <c r="D1624" s="4" t="s">
        <v>2</v>
      </c>
      <c r="J1624" s="8"/>
      <c r="K1624" s="8"/>
      <c r="L1624" s="8"/>
      <c r="M1624" s="8"/>
      <c r="N1624" s="8"/>
      <c r="O1624" s="8"/>
      <c r="P1624" s="8"/>
    </row>
    <row r="1625" spans="1:16" s="7" customFormat="1" ht="42.75" customHeight="1" thickBot="1">
      <c r="A1625" s="92">
        <v>146</v>
      </c>
      <c r="B1625" s="93"/>
      <c r="C1625" s="94" t="s">
        <v>3</v>
      </c>
      <c r="D1625" s="95"/>
      <c r="J1625" s="8"/>
      <c r="K1625" s="8"/>
      <c r="L1625" s="8"/>
      <c r="M1625" s="8"/>
      <c r="N1625" s="8"/>
      <c r="O1625" s="8"/>
      <c r="P1625" s="8"/>
    </row>
    <row r="1626" spans="1:16" s="7" customFormat="1" ht="42.75" customHeight="1" thickBot="1">
      <c r="A1626" s="92">
        <v>152</v>
      </c>
      <c r="B1626" s="93"/>
      <c r="C1626" s="96" t="s">
        <v>4</v>
      </c>
      <c r="D1626" s="97"/>
      <c r="J1626" s="8"/>
      <c r="K1626" s="8"/>
      <c r="L1626" s="8"/>
      <c r="M1626" s="8"/>
      <c r="N1626" s="8"/>
      <c r="O1626" s="8"/>
      <c r="P1626" s="8"/>
    </row>
    <row r="1627" spans="1:16" s="7" customFormat="1" ht="42.75" customHeight="1" thickBot="1">
      <c r="A1627" s="98">
        <v>10</v>
      </c>
      <c r="B1627" s="99"/>
      <c r="C1627" s="100" t="s">
        <v>5</v>
      </c>
      <c r="D1627" s="97"/>
      <c r="J1627" s="8"/>
      <c r="K1627" s="8"/>
      <c r="L1627" s="8"/>
      <c r="M1627" s="8"/>
      <c r="N1627" s="8"/>
      <c r="O1627" s="8"/>
      <c r="P1627" s="8"/>
    </row>
    <row r="1628" spans="1:16" s="7" customFormat="1" ht="42.75" customHeight="1" thickBot="1">
      <c r="A1628" s="101">
        <v>62</v>
      </c>
      <c r="B1628" s="102"/>
      <c r="C1628" s="96" t="s">
        <v>6</v>
      </c>
      <c r="D1628" s="97"/>
      <c r="J1628" s="8"/>
      <c r="K1628" s="8"/>
      <c r="L1628" s="8"/>
      <c r="M1628" s="8"/>
      <c r="N1628" s="8"/>
      <c r="O1628" s="8"/>
      <c r="P1628" s="8"/>
    </row>
    <row r="1629" spans="1:16" s="7" customFormat="1" ht="42.75" customHeight="1" thickBot="1">
      <c r="A1629" s="103"/>
      <c r="B1629" s="104"/>
      <c r="C1629" s="96" t="s">
        <v>21</v>
      </c>
      <c r="D1629" s="97"/>
      <c r="J1629" s="8"/>
      <c r="K1629" s="8"/>
      <c r="L1629" s="8"/>
      <c r="M1629" s="8"/>
      <c r="N1629" s="8"/>
      <c r="O1629" s="8"/>
      <c r="P1629" s="8"/>
    </row>
    <row r="1630" spans="1:16" s="7" customFormat="1" ht="42.75" customHeight="1" thickBot="1">
      <c r="A1630" s="105">
        <v>600</v>
      </c>
      <c r="B1630" s="106"/>
      <c r="C1630" s="96" t="s">
        <v>7</v>
      </c>
      <c r="D1630" s="97"/>
      <c r="J1630" s="8"/>
      <c r="K1630" s="8"/>
      <c r="L1630" s="8"/>
      <c r="M1630" s="8"/>
      <c r="N1630" s="8"/>
      <c r="O1630" s="8"/>
      <c r="P1630" s="8"/>
    </row>
    <row r="1631" spans="1:16" s="7" customFormat="1" ht="42.75" customHeight="1" thickBot="1">
      <c r="A1631" s="107" t="s">
        <v>17</v>
      </c>
      <c r="B1631" s="108"/>
      <c r="C1631" s="108"/>
      <c r="D1631" s="109"/>
      <c r="J1631" s="8"/>
      <c r="K1631" s="8"/>
      <c r="L1631" s="8"/>
      <c r="M1631" s="8"/>
      <c r="N1631" s="8"/>
      <c r="O1631" s="8"/>
      <c r="P1631" s="8"/>
    </row>
    <row r="1632" spans="1:16" s="7" customFormat="1" ht="42.75" customHeight="1" thickBot="1">
      <c r="A1632" s="116" t="s">
        <v>20</v>
      </c>
      <c r="B1632" s="117"/>
      <c r="C1632" s="117"/>
      <c r="D1632" s="118"/>
      <c r="J1632" s="8"/>
      <c r="K1632" s="8"/>
      <c r="L1632" s="8"/>
      <c r="M1632" s="8"/>
      <c r="N1632" s="8"/>
      <c r="O1632" s="8"/>
      <c r="P1632" s="8"/>
    </row>
    <row r="1633" spans="1:16" s="7" customFormat="1" ht="42.75" customHeight="1" thickBot="1">
      <c r="A1633" s="113" t="s">
        <v>18</v>
      </c>
      <c r="B1633" s="114"/>
      <c r="C1633" s="114"/>
      <c r="D1633" s="115"/>
      <c r="J1633" s="8"/>
      <c r="K1633" s="8"/>
      <c r="L1633" s="8"/>
      <c r="M1633" s="8"/>
      <c r="N1633" s="8"/>
      <c r="O1633" s="8"/>
      <c r="P1633" s="8"/>
    </row>
    <row r="1634" spans="1:16" s="7" customFormat="1" ht="42.75" customHeight="1" thickBot="1">
      <c r="A1634" s="119"/>
      <c r="B1634" s="119"/>
      <c r="C1634" s="119"/>
      <c r="D1634" s="119"/>
      <c r="J1634" s="8"/>
      <c r="K1634" s="8"/>
      <c r="L1634" s="8"/>
      <c r="M1634" s="8"/>
      <c r="N1634" s="8"/>
      <c r="O1634" s="8"/>
      <c r="P1634" s="8"/>
    </row>
    <row r="1635" spans="1:16" s="7" customFormat="1" ht="42.75" customHeight="1" thickBot="1">
      <c r="A1635" s="126" t="s">
        <v>19</v>
      </c>
      <c r="B1635" s="127"/>
      <c r="C1635" s="127"/>
      <c r="D1635" s="128"/>
      <c r="J1635" s="8"/>
      <c r="K1635" s="8"/>
      <c r="L1635" s="8"/>
      <c r="M1635" s="8"/>
      <c r="N1635" s="8"/>
      <c r="O1635" s="8"/>
      <c r="P1635" s="8"/>
    </row>
    <row r="1636" spans="1:16" s="7" customFormat="1" ht="42.75" customHeight="1" thickBot="1">
      <c r="A1636" s="123" t="s">
        <v>11</v>
      </c>
      <c r="B1636" s="124"/>
      <c r="C1636" s="125" t="s">
        <v>603</v>
      </c>
      <c r="D1636" s="124"/>
      <c r="J1636" s="8"/>
      <c r="K1636" s="8"/>
      <c r="L1636" s="8"/>
      <c r="M1636" s="8"/>
      <c r="N1636" s="8"/>
      <c r="O1636" s="8"/>
      <c r="P1636" s="8"/>
    </row>
    <row r="1637" spans="1:16" s="7" customFormat="1" ht="42.75" customHeight="1" thickBot="1">
      <c r="A1637" s="1" t="s">
        <v>686</v>
      </c>
      <c r="B1637" s="26" t="s">
        <v>1</v>
      </c>
      <c r="C1637" s="90" t="s">
        <v>260</v>
      </c>
      <c r="D1637" s="91"/>
      <c r="J1637" s="8"/>
      <c r="K1637" s="8"/>
      <c r="L1637" s="8"/>
      <c r="M1637" s="8"/>
      <c r="N1637" s="8"/>
      <c r="O1637" s="8"/>
      <c r="P1637" s="8"/>
    </row>
    <row r="1638" spans="1:16" s="7" customFormat="1" ht="42.75" customHeight="1" thickBot="1">
      <c r="A1638" s="26"/>
      <c r="B1638" s="26" t="s">
        <v>0</v>
      </c>
      <c r="C1638" s="5" t="s">
        <v>687</v>
      </c>
      <c r="D1638" s="4" t="s">
        <v>2</v>
      </c>
      <c r="J1638" s="8"/>
      <c r="K1638" s="8"/>
      <c r="L1638" s="8"/>
      <c r="M1638" s="8"/>
      <c r="N1638" s="8"/>
      <c r="O1638" s="8"/>
      <c r="P1638" s="8"/>
    </row>
    <row r="1639" spans="1:16" s="7" customFormat="1" ht="42.75" customHeight="1" thickBot="1">
      <c r="A1639" s="92">
        <v>146</v>
      </c>
      <c r="B1639" s="93"/>
      <c r="C1639" s="94" t="s">
        <v>3</v>
      </c>
      <c r="D1639" s="95"/>
      <c r="J1639" s="8"/>
      <c r="K1639" s="8"/>
      <c r="L1639" s="8"/>
      <c r="M1639" s="8"/>
      <c r="N1639" s="8"/>
      <c r="O1639" s="8"/>
      <c r="P1639" s="8"/>
    </row>
    <row r="1640" spans="1:16" s="7" customFormat="1" ht="42.75" customHeight="1" thickBot="1">
      <c r="A1640" s="92">
        <v>152</v>
      </c>
      <c r="B1640" s="93"/>
      <c r="C1640" s="96" t="s">
        <v>4</v>
      </c>
      <c r="D1640" s="97"/>
      <c r="J1640" s="8"/>
      <c r="K1640" s="8"/>
      <c r="L1640" s="8"/>
      <c r="M1640" s="8"/>
      <c r="N1640" s="8"/>
      <c r="O1640" s="8"/>
      <c r="P1640" s="8"/>
    </row>
    <row r="1641" spans="1:16" s="7" customFormat="1" ht="42.75" customHeight="1" thickBot="1">
      <c r="A1641" s="98">
        <v>10</v>
      </c>
      <c r="B1641" s="99"/>
      <c r="C1641" s="100" t="s">
        <v>5</v>
      </c>
      <c r="D1641" s="97"/>
      <c r="J1641" s="8"/>
      <c r="K1641" s="8"/>
      <c r="L1641" s="8"/>
      <c r="M1641" s="8"/>
      <c r="N1641" s="8"/>
      <c r="O1641" s="8"/>
      <c r="P1641" s="8"/>
    </row>
    <row r="1642" spans="1:16" s="7" customFormat="1" ht="42.75" customHeight="1" thickBot="1">
      <c r="A1642" s="101">
        <v>62</v>
      </c>
      <c r="B1642" s="102"/>
      <c r="C1642" s="96" t="s">
        <v>6</v>
      </c>
      <c r="D1642" s="97"/>
      <c r="J1642" s="8"/>
      <c r="K1642" s="8"/>
      <c r="L1642" s="8"/>
      <c r="M1642" s="8"/>
      <c r="N1642" s="8"/>
      <c r="O1642" s="8"/>
      <c r="P1642" s="8"/>
    </row>
    <row r="1643" spans="1:16" s="7" customFormat="1" ht="42.75" customHeight="1" thickBot="1">
      <c r="A1643" s="103"/>
      <c r="B1643" s="104"/>
      <c r="C1643" s="96" t="s">
        <v>21</v>
      </c>
      <c r="D1643" s="97"/>
      <c r="J1643" s="8"/>
      <c r="K1643" s="8"/>
      <c r="L1643" s="8"/>
      <c r="M1643" s="8"/>
      <c r="N1643" s="8"/>
      <c r="O1643" s="8"/>
      <c r="P1643" s="8"/>
    </row>
    <row r="1644" spans="1:16" s="7" customFormat="1" ht="42.75" customHeight="1" thickBot="1">
      <c r="A1644" s="105">
        <v>600</v>
      </c>
      <c r="B1644" s="106"/>
      <c r="C1644" s="96" t="s">
        <v>7</v>
      </c>
      <c r="D1644" s="97"/>
      <c r="J1644" s="8"/>
      <c r="K1644" s="8"/>
      <c r="L1644" s="8"/>
      <c r="M1644" s="8"/>
      <c r="N1644" s="8"/>
      <c r="O1644" s="8"/>
      <c r="P1644" s="8"/>
    </row>
    <row r="1645" spans="1:16" s="7" customFormat="1" ht="42.75" customHeight="1" thickBot="1">
      <c r="A1645" s="107" t="s">
        <v>17</v>
      </c>
      <c r="B1645" s="108"/>
      <c r="C1645" s="108"/>
      <c r="D1645" s="109"/>
      <c r="J1645" s="8"/>
      <c r="K1645" s="8"/>
      <c r="L1645" s="8"/>
      <c r="M1645" s="8"/>
      <c r="N1645" s="8"/>
      <c r="O1645" s="8"/>
      <c r="P1645" s="8"/>
    </row>
    <row r="1646" spans="1:16" s="7" customFormat="1" ht="42.75" customHeight="1" thickBot="1">
      <c r="A1646" s="110" t="s">
        <v>20</v>
      </c>
      <c r="B1646" s="111"/>
      <c r="C1646" s="111"/>
      <c r="D1646" s="112"/>
      <c r="J1646" s="8"/>
      <c r="K1646" s="8"/>
      <c r="L1646" s="8"/>
      <c r="M1646" s="8"/>
      <c r="N1646" s="8"/>
      <c r="O1646" s="8"/>
      <c r="P1646" s="8"/>
    </row>
    <row r="1647" spans="1:16" s="7" customFormat="1" ht="42.75" customHeight="1" thickBot="1">
      <c r="A1647" s="113" t="s">
        <v>18</v>
      </c>
      <c r="B1647" s="114"/>
      <c r="C1647" s="114"/>
      <c r="D1647" s="115"/>
      <c r="J1647" s="8"/>
      <c r="K1647" s="8"/>
      <c r="L1647" s="8"/>
      <c r="M1647" s="8"/>
      <c r="N1647" s="8"/>
      <c r="O1647" s="8"/>
      <c r="P1647" s="8"/>
    </row>
    <row r="1648" spans="1:16" s="7" customFormat="1" ht="42.75" customHeight="1" thickBot="1">
      <c r="A1648" s="126" t="s">
        <v>19</v>
      </c>
      <c r="B1648" s="127"/>
      <c r="C1648" s="127"/>
      <c r="D1648" s="128"/>
      <c r="J1648" s="8"/>
      <c r="K1648" s="8"/>
      <c r="L1648" s="8"/>
      <c r="M1648" s="8"/>
      <c r="N1648" s="8"/>
      <c r="O1648" s="8"/>
      <c r="P1648" s="8"/>
    </row>
    <row r="1649" spans="1:16" s="7" customFormat="1" ht="42.75" customHeight="1" thickBot="1">
      <c r="A1649" s="123" t="s">
        <v>11</v>
      </c>
      <c r="B1649" s="124"/>
      <c r="C1649" s="125" t="s">
        <v>603</v>
      </c>
      <c r="D1649" s="124"/>
      <c r="J1649" s="8"/>
      <c r="K1649" s="8"/>
      <c r="L1649" s="8"/>
      <c r="M1649" s="8"/>
      <c r="N1649" s="8"/>
      <c r="O1649" s="8"/>
      <c r="P1649" s="8"/>
    </row>
    <row r="1650" spans="1:16" s="7" customFormat="1" ht="42.75" customHeight="1" thickBot="1">
      <c r="A1650" s="1" t="s">
        <v>686</v>
      </c>
      <c r="B1650" s="26" t="s">
        <v>1</v>
      </c>
      <c r="C1650" s="90" t="s">
        <v>193</v>
      </c>
      <c r="D1650" s="91"/>
      <c r="J1650" s="8"/>
      <c r="K1650" s="8"/>
      <c r="L1650" s="8"/>
      <c r="M1650" s="8"/>
      <c r="N1650" s="8"/>
      <c r="O1650" s="8"/>
      <c r="P1650" s="8"/>
    </row>
    <row r="1651" spans="1:16" s="7" customFormat="1" ht="42.75" customHeight="1" thickBot="1">
      <c r="A1651" s="26"/>
      <c r="B1651" s="26" t="s">
        <v>0</v>
      </c>
      <c r="C1651" s="5" t="s">
        <v>687</v>
      </c>
      <c r="D1651" s="4" t="s">
        <v>2</v>
      </c>
      <c r="J1651" s="8"/>
      <c r="K1651" s="8"/>
      <c r="L1651" s="8"/>
      <c r="M1651" s="8"/>
      <c r="N1651" s="8"/>
      <c r="O1651" s="8"/>
      <c r="P1651" s="8"/>
    </row>
    <row r="1652" spans="1:16" s="7" customFormat="1" ht="42.75" customHeight="1" thickBot="1">
      <c r="A1652" s="92">
        <v>225</v>
      </c>
      <c r="B1652" s="93"/>
      <c r="C1652" s="94" t="s">
        <v>3</v>
      </c>
      <c r="D1652" s="95"/>
      <c r="J1652" s="8"/>
      <c r="K1652" s="8"/>
      <c r="L1652" s="8"/>
      <c r="M1652" s="8"/>
      <c r="N1652" s="8"/>
      <c r="O1652" s="8"/>
      <c r="P1652" s="8"/>
    </row>
    <row r="1653" spans="1:16" s="7" customFormat="1" ht="42.75" customHeight="1" thickBot="1">
      <c r="A1653" s="92">
        <v>234</v>
      </c>
      <c r="B1653" s="93"/>
      <c r="C1653" s="96" t="s">
        <v>4</v>
      </c>
      <c r="D1653" s="97"/>
      <c r="J1653" s="8"/>
      <c r="K1653" s="8"/>
      <c r="L1653" s="8"/>
      <c r="M1653" s="8"/>
      <c r="N1653" s="8"/>
      <c r="O1653" s="8"/>
      <c r="P1653" s="8"/>
    </row>
    <row r="1654" spans="1:16" s="7" customFormat="1" ht="42.75" customHeight="1" thickBot="1">
      <c r="A1654" s="98">
        <v>10</v>
      </c>
      <c r="B1654" s="99"/>
      <c r="C1654" s="100" t="s">
        <v>5</v>
      </c>
      <c r="D1654" s="97"/>
      <c r="J1654" s="8"/>
      <c r="K1654" s="8"/>
      <c r="L1654" s="8"/>
      <c r="M1654" s="8"/>
      <c r="N1654" s="8"/>
      <c r="O1654" s="8"/>
      <c r="P1654" s="8"/>
    </row>
    <row r="1655" spans="1:16" s="7" customFormat="1" ht="42.75" customHeight="1" thickBot="1">
      <c r="A1655" s="101">
        <v>62</v>
      </c>
      <c r="B1655" s="102"/>
      <c r="C1655" s="96" t="s">
        <v>6</v>
      </c>
      <c r="D1655" s="97"/>
      <c r="J1655" s="8"/>
      <c r="K1655" s="8"/>
      <c r="L1655" s="8"/>
      <c r="M1655" s="8"/>
      <c r="N1655" s="8"/>
      <c r="O1655" s="8"/>
      <c r="P1655" s="8"/>
    </row>
    <row r="1656" spans="1:16" s="7" customFormat="1" ht="42.75" customHeight="1" thickBot="1">
      <c r="A1656" s="103"/>
      <c r="B1656" s="104"/>
      <c r="C1656" s="96" t="s">
        <v>21</v>
      </c>
      <c r="D1656" s="97"/>
      <c r="J1656" s="8"/>
      <c r="K1656" s="8"/>
      <c r="L1656" s="8"/>
      <c r="M1656" s="8"/>
      <c r="N1656" s="8"/>
      <c r="O1656" s="8"/>
      <c r="P1656" s="8"/>
    </row>
    <row r="1657" spans="1:16" s="7" customFormat="1" ht="42.75" customHeight="1" thickBot="1">
      <c r="A1657" s="105">
        <v>600</v>
      </c>
      <c r="B1657" s="106"/>
      <c r="C1657" s="96" t="s">
        <v>7</v>
      </c>
      <c r="D1657" s="97"/>
      <c r="J1657" s="8"/>
      <c r="K1657" s="8"/>
      <c r="L1657" s="8"/>
      <c r="M1657" s="8"/>
      <c r="N1657" s="8"/>
      <c r="O1657" s="8"/>
      <c r="P1657" s="8"/>
    </row>
    <row r="1658" spans="1:16" s="7" customFormat="1" ht="42.75" customHeight="1" thickBot="1">
      <c r="A1658" s="107" t="s">
        <v>17</v>
      </c>
      <c r="B1658" s="108"/>
      <c r="C1658" s="108"/>
      <c r="D1658" s="109"/>
      <c r="J1658" s="8"/>
      <c r="K1658" s="8"/>
      <c r="L1658" s="8"/>
      <c r="M1658" s="8"/>
      <c r="N1658" s="8"/>
      <c r="O1658" s="8"/>
      <c r="P1658" s="8"/>
    </row>
    <row r="1659" spans="1:16" s="7" customFormat="1" ht="42.75" customHeight="1" thickBot="1">
      <c r="A1659" s="116" t="s">
        <v>20</v>
      </c>
      <c r="B1659" s="117"/>
      <c r="C1659" s="117"/>
      <c r="D1659" s="118"/>
      <c r="J1659" s="8"/>
      <c r="K1659" s="8"/>
      <c r="L1659" s="8"/>
      <c r="M1659" s="8"/>
      <c r="N1659" s="8"/>
      <c r="O1659" s="8"/>
      <c r="P1659" s="8"/>
    </row>
    <row r="1660" spans="1:16" s="7" customFormat="1" ht="42.75" customHeight="1" thickBot="1">
      <c r="A1660" s="113" t="s">
        <v>18</v>
      </c>
      <c r="B1660" s="114"/>
      <c r="C1660" s="114"/>
      <c r="D1660" s="115"/>
      <c r="J1660" s="8"/>
      <c r="K1660" s="8"/>
      <c r="L1660" s="8"/>
      <c r="M1660" s="8"/>
      <c r="N1660" s="8"/>
      <c r="O1660" s="8"/>
      <c r="P1660" s="8"/>
    </row>
    <row r="1661" spans="1:16" s="7" customFormat="1" ht="42.75" customHeight="1" thickBot="1">
      <c r="A1661" s="119"/>
      <c r="B1661" s="119"/>
      <c r="C1661" s="119"/>
      <c r="D1661" s="119"/>
      <c r="J1661" s="8"/>
      <c r="K1661" s="8"/>
      <c r="L1661" s="8"/>
      <c r="M1661" s="8"/>
      <c r="N1661" s="8"/>
      <c r="O1661" s="8"/>
      <c r="P1661" s="8"/>
    </row>
    <row r="1662" spans="1:16" s="7" customFormat="1" ht="42.75" customHeight="1" thickBot="1">
      <c r="A1662" s="126" t="s">
        <v>19</v>
      </c>
      <c r="B1662" s="127"/>
      <c r="C1662" s="127"/>
      <c r="D1662" s="128"/>
      <c r="J1662" s="8"/>
      <c r="K1662" s="8"/>
      <c r="L1662" s="8"/>
      <c r="M1662" s="8"/>
      <c r="N1662" s="8"/>
      <c r="O1662" s="8"/>
      <c r="P1662" s="8"/>
    </row>
    <row r="1663" spans="1:16" s="7" customFormat="1" ht="42.75" customHeight="1" thickBot="1">
      <c r="A1663" s="123" t="s">
        <v>11</v>
      </c>
      <c r="B1663" s="124"/>
      <c r="C1663" s="125" t="s">
        <v>603</v>
      </c>
      <c r="D1663" s="124"/>
      <c r="J1663" s="8"/>
      <c r="K1663" s="8"/>
      <c r="L1663" s="8"/>
      <c r="M1663" s="8"/>
      <c r="N1663" s="8"/>
      <c r="O1663" s="8"/>
      <c r="P1663" s="8"/>
    </row>
    <row r="1664" spans="1:16" s="7" customFormat="1" ht="42.75" customHeight="1" thickBot="1">
      <c r="A1664" s="1" t="s">
        <v>686</v>
      </c>
      <c r="B1664" s="26" t="s">
        <v>1</v>
      </c>
      <c r="C1664" s="90" t="s">
        <v>193</v>
      </c>
      <c r="D1664" s="91"/>
      <c r="J1664" s="8"/>
      <c r="K1664" s="8"/>
      <c r="L1664" s="8"/>
      <c r="M1664" s="8"/>
      <c r="N1664" s="8"/>
      <c r="O1664" s="8"/>
      <c r="P1664" s="8"/>
    </row>
    <row r="1665" spans="1:16" s="7" customFormat="1" ht="42.75" customHeight="1" thickBot="1">
      <c r="A1665" s="26"/>
      <c r="B1665" s="26" t="s">
        <v>0</v>
      </c>
      <c r="C1665" s="5" t="s">
        <v>687</v>
      </c>
      <c r="D1665" s="4" t="s">
        <v>2</v>
      </c>
      <c r="J1665" s="8"/>
      <c r="K1665" s="8"/>
      <c r="L1665" s="8"/>
      <c r="M1665" s="8"/>
      <c r="N1665" s="8"/>
      <c r="O1665" s="8"/>
      <c r="P1665" s="8"/>
    </row>
    <row r="1666" spans="1:16" s="7" customFormat="1" ht="42.75" customHeight="1" thickBot="1">
      <c r="A1666" s="92">
        <v>225</v>
      </c>
      <c r="B1666" s="93"/>
      <c r="C1666" s="94" t="s">
        <v>3</v>
      </c>
      <c r="D1666" s="95"/>
      <c r="J1666" s="8"/>
      <c r="K1666" s="8"/>
      <c r="L1666" s="8"/>
      <c r="M1666" s="8"/>
      <c r="N1666" s="8"/>
      <c r="O1666" s="8"/>
      <c r="P1666" s="8"/>
    </row>
    <row r="1667" spans="1:16" s="7" customFormat="1" ht="42.75" customHeight="1" thickBot="1">
      <c r="A1667" s="92">
        <v>234</v>
      </c>
      <c r="B1667" s="93"/>
      <c r="C1667" s="96" t="s">
        <v>4</v>
      </c>
      <c r="D1667" s="97"/>
      <c r="J1667" s="8"/>
      <c r="K1667" s="8"/>
      <c r="L1667" s="8"/>
      <c r="M1667" s="8"/>
      <c r="N1667" s="8"/>
      <c r="O1667" s="8"/>
      <c r="P1667" s="8"/>
    </row>
    <row r="1668" spans="1:16" s="7" customFormat="1" ht="42.75" customHeight="1" thickBot="1">
      <c r="A1668" s="98">
        <v>10</v>
      </c>
      <c r="B1668" s="99"/>
      <c r="C1668" s="100" t="s">
        <v>5</v>
      </c>
      <c r="D1668" s="97"/>
      <c r="J1668" s="8"/>
      <c r="K1668" s="8"/>
      <c r="L1668" s="8"/>
      <c r="M1668" s="8"/>
      <c r="N1668" s="8"/>
      <c r="O1668" s="8"/>
      <c r="P1668" s="8"/>
    </row>
    <row r="1669" spans="1:16" s="7" customFormat="1" ht="42.75" customHeight="1" thickBot="1">
      <c r="A1669" s="101">
        <v>62</v>
      </c>
      <c r="B1669" s="102"/>
      <c r="C1669" s="96" t="s">
        <v>6</v>
      </c>
      <c r="D1669" s="97"/>
      <c r="J1669" s="8"/>
      <c r="K1669" s="8"/>
      <c r="L1669" s="8"/>
      <c r="M1669" s="8"/>
      <c r="N1669" s="8"/>
      <c r="O1669" s="8"/>
      <c r="P1669" s="8"/>
    </row>
    <row r="1670" spans="1:16" s="7" customFormat="1" ht="42.75" customHeight="1" thickBot="1">
      <c r="A1670" s="103"/>
      <c r="B1670" s="104"/>
      <c r="C1670" s="96" t="s">
        <v>21</v>
      </c>
      <c r="D1670" s="97"/>
      <c r="J1670" s="8"/>
      <c r="K1670" s="8"/>
      <c r="L1670" s="8"/>
      <c r="M1670" s="8"/>
      <c r="N1670" s="8"/>
      <c r="O1670" s="8"/>
      <c r="P1670" s="8"/>
    </row>
    <row r="1671" spans="1:16" s="7" customFormat="1" ht="42.75" customHeight="1" thickBot="1">
      <c r="A1671" s="105">
        <v>600</v>
      </c>
      <c r="B1671" s="106"/>
      <c r="C1671" s="96" t="s">
        <v>7</v>
      </c>
      <c r="D1671" s="97"/>
      <c r="J1671" s="8"/>
      <c r="K1671" s="8"/>
      <c r="L1671" s="8"/>
      <c r="M1671" s="8"/>
      <c r="N1671" s="8"/>
      <c r="O1671" s="8"/>
      <c r="P1671" s="8"/>
    </row>
    <row r="1672" spans="1:16" s="7" customFormat="1" ht="42.75" customHeight="1" thickBot="1">
      <c r="A1672" s="107" t="s">
        <v>17</v>
      </c>
      <c r="B1672" s="108"/>
      <c r="C1672" s="108"/>
      <c r="D1672" s="109"/>
      <c r="J1672" s="8"/>
      <c r="K1672" s="8"/>
      <c r="L1672" s="8"/>
      <c r="M1672" s="8"/>
      <c r="N1672" s="8"/>
      <c r="O1672" s="8"/>
      <c r="P1672" s="8"/>
    </row>
    <row r="1673" spans="1:16" s="7" customFormat="1" ht="42.75" customHeight="1" thickBot="1">
      <c r="A1673" s="110" t="s">
        <v>20</v>
      </c>
      <c r="B1673" s="111"/>
      <c r="C1673" s="111"/>
      <c r="D1673" s="112"/>
      <c r="J1673" s="8"/>
      <c r="K1673" s="8"/>
      <c r="L1673" s="8"/>
      <c r="M1673" s="8"/>
      <c r="N1673" s="8"/>
      <c r="O1673" s="8"/>
      <c r="P1673" s="8"/>
    </row>
    <row r="1674" spans="1:16" s="7" customFormat="1" ht="42.75" customHeight="1" thickBot="1">
      <c r="A1674" s="113" t="s">
        <v>18</v>
      </c>
      <c r="B1674" s="114"/>
      <c r="C1674" s="114"/>
      <c r="D1674" s="115"/>
      <c r="J1674" s="8"/>
      <c r="K1674" s="8"/>
      <c r="L1674" s="8"/>
      <c r="M1674" s="8"/>
      <c r="N1674" s="8"/>
      <c r="O1674" s="8"/>
      <c r="P1674" s="8"/>
    </row>
    <row r="1675" spans="1:16" s="7" customFormat="1" ht="42.75" customHeight="1" thickBot="1">
      <c r="A1675" s="126" t="s">
        <v>19</v>
      </c>
      <c r="B1675" s="127"/>
      <c r="C1675" s="127"/>
      <c r="D1675" s="128"/>
      <c r="J1675" s="8"/>
      <c r="K1675" s="8"/>
      <c r="L1675" s="8"/>
      <c r="M1675" s="8"/>
      <c r="N1675" s="8"/>
      <c r="O1675" s="8"/>
      <c r="P1675" s="8"/>
    </row>
    <row r="1676" spans="1:16" s="7" customFormat="1" ht="42.75" customHeight="1" thickBot="1">
      <c r="A1676" s="123" t="s">
        <v>11</v>
      </c>
      <c r="B1676" s="124"/>
      <c r="C1676" s="125" t="s">
        <v>603</v>
      </c>
      <c r="D1676" s="124"/>
      <c r="J1676" s="8"/>
      <c r="K1676" s="8"/>
      <c r="L1676" s="8"/>
      <c r="M1676" s="8"/>
      <c r="N1676" s="8"/>
      <c r="O1676" s="8"/>
      <c r="P1676" s="8"/>
    </row>
    <row r="1677" spans="1:16" s="7" customFormat="1" ht="42.75" customHeight="1" thickBot="1">
      <c r="A1677" s="1" t="s">
        <v>686</v>
      </c>
      <c r="B1677" s="26" t="s">
        <v>1</v>
      </c>
      <c r="C1677" s="90" t="s">
        <v>284</v>
      </c>
      <c r="D1677" s="91"/>
      <c r="J1677" s="8"/>
      <c r="K1677" s="8"/>
      <c r="L1677" s="8"/>
      <c r="M1677" s="8"/>
      <c r="N1677" s="8"/>
      <c r="O1677" s="8"/>
      <c r="P1677" s="8"/>
    </row>
    <row r="1678" spans="1:16" s="7" customFormat="1" ht="42.75" customHeight="1" thickBot="1">
      <c r="A1678" s="26"/>
      <c r="B1678" s="26" t="s">
        <v>0</v>
      </c>
      <c r="C1678" s="5" t="s">
        <v>687</v>
      </c>
      <c r="D1678" s="4" t="s">
        <v>2</v>
      </c>
      <c r="J1678" s="8"/>
      <c r="K1678" s="8"/>
      <c r="L1678" s="8"/>
      <c r="M1678" s="8"/>
      <c r="N1678" s="8"/>
      <c r="O1678" s="8"/>
      <c r="P1678" s="8"/>
    </row>
    <row r="1679" spans="1:16" s="7" customFormat="1" ht="42.75" customHeight="1" thickBot="1">
      <c r="A1679" s="92">
        <v>389</v>
      </c>
      <c r="B1679" s="93"/>
      <c r="C1679" s="94" t="s">
        <v>3</v>
      </c>
      <c r="D1679" s="95"/>
      <c r="J1679" s="8"/>
      <c r="K1679" s="8"/>
      <c r="L1679" s="8"/>
      <c r="M1679" s="8"/>
      <c r="N1679" s="8"/>
      <c r="O1679" s="8"/>
      <c r="P1679" s="8"/>
    </row>
    <row r="1680" spans="1:16" s="7" customFormat="1" ht="42.75" customHeight="1" thickBot="1">
      <c r="A1680" s="92">
        <v>389</v>
      </c>
      <c r="B1680" s="93"/>
      <c r="C1680" s="96" t="s">
        <v>4</v>
      </c>
      <c r="D1680" s="97"/>
      <c r="J1680" s="8"/>
      <c r="K1680" s="8"/>
      <c r="L1680" s="8"/>
      <c r="M1680" s="8"/>
      <c r="N1680" s="8"/>
      <c r="O1680" s="8"/>
      <c r="P1680" s="8"/>
    </row>
    <row r="1681" spans="1:16" s="7" customFormat="1" ht="42.75" customHeight="1" thickBot="1">
      <c r="A1681" s="98">
        <f>A1680-A1679</f>
        <v>0</v>
      </c>
      <c r="B1681" s="99"/>
      <c r="C1681" s="100" t="s">
        <v>5</v>
      </c>
      <c r="D1681" s="97"/>
      <c r="J1681" s="8"/>
      <c r="K1681" s="8"/>
      <c r="L1681" s="8"/>
      <c r="M1681" s="8"/>
      <c r="N1681" s="8"/>
      <c r="O1681" s="8"/>
      <c r="P1681" s="8"/>
    </row>
    <row r="1682" spans="1:16" s="7" customFormat="1" ht="42.75" customHeight="1" thickBot="1">
      <c r="A1682" s="101">
        <v>62</v>
      </c>
      <c r="B1682" s="102"/>
      <c r="C1682" s="96" t="s">
        <v>6</v>
      </c>
      <c r="D1682" s="97"/>
      <c r="J1682" s="8"/>
      <c r="K1682" s="8"/>
      <c r="L1682" s="8"/>
      <c r="M1682" s="8"/>
      <c r="N1682" s="8"/>
      <c r="O1682" s="8"/>
      <c r="P1682" s="8"/>
    </row>
    <row r="1683" spans="1:16" s="7" customFormat="1" ht="42.75" customHeight="1" thickBot="1">
      <c r="A1683" s="103"/>
      <c r="B1683" s="104"/>
      <c r="C1683" s="96" t="s">
        <v>21</v>
      </c>
      <c r="D1683" s="97"/>
      <c r="J1683" s="8"/>
      <c r="K1683" s="8"/>
      <c r="L1683" s="8"/>
      <c r="M1683" s="8"/>
      <c r="N1683" s="8"/>
      <c r="O1683" s="8"/>
      <c r="P1683" s="8"/>
    </row>
    <row r="1684" spans="1:16" s="7" customFormat="1" ht="42.75" customHeight="1" thickBot="1">
      <c r="A1684" s="105">
        <f>A1682*A1681</f>
        <v>0</v>
      </c>
      <c r="B1684" s="106"/>
      <c r="C1684" s="96" t="s">
        <v>7</v>
      </c>
      <c r="D1684" s="97"/>
      <c r="J1684" s="8"/>
      <c r="K1684" s="8"/>
      <c r="L1684" s="8"/>
      <c r="M1684" s="8"/>
      <c r="N1684" s="8"/>
      <c r="O1684" s="8"/>
      <c r="P1684" s="8"/>
    </row>
    <row r="1685" spans="1:16" s="7" customFormat="1" ht="42.75" customHeight="1" thickBot="1">
      <c r="A1685" s="107" t="s">
        <v>17</v>
      </c>
      <c r="B1685" s="108"/>
      <c r="C1685" s="108"/>
      <c r="D1685" s="109"/>
      <c r="J1685" s="8"/>
      <c r="K1685" s="8"/>
      <c r="L1685" s="8"/>
      <c r="M1685" s="8"/>
      <c r="N1685" s="8"/>
      <c r="O1685" s="8"/>
      <c r="P1685" s="8"/>
    </row>
    <row r="1686" spans="1:16" s="7" customFormat="1" ht="42.75" customHeight="1" thickBot="1">
      <c r="A1686" s="116" t="s">
        <v>20</v>
      </c>
      <c r="B1686" s="117"/>
      <c r="C1686" s="117"/>
      <c r="D1686" s="118"/>
      <c r="J1686" s="8"/>
      <c r="K1686" s="8"/>
      <c r="L1686" s="8"/>
      <c r="M1686" s="8"/>
      <c r="N1686" s="8"/>
      <c r="O1686" s="8"/>
      <c r="P1686" s="8"/>
    </row>
    <row r="1687" spans="1:16" s="7" customFormat="1" ht="42.75" customHeight="1" thickBot="1">
      <c r="A1687" s="113" t="s">
        <v>18</v>
      </c>
      <c r="B1687" s="114"/>
      <c r="C1687" s="114"/>
      <c r="D1687" s="115"/>
      <c r="J1687" s="8"/>
      <c r="K1687" s="8"/>
      <c r="L1687" s="8"/>
      <c r="M1687" s="8"/>
      <c r="N1687" s="8"/>
      <c r="O1687" s="8"/>
      <c r="P1687" s="8"/>
    </row>
    <row r="1688" spans="1:16" s="7" customFormat="1" ht="42.75" customHeight="1" thickBot="1">
      <c r="A1688" s="119"/>
      <c r="B1688" s="119"/>
      <c r="C1688" s="119"/>
      <c r="D1688" s="119"/>
      <c r="J1688" s="8"/>
      <c r="K1688" s="8"/>
      <c r="L1688" s="8"/>
      <c r="M1688" s="8"/>
      <c r="N1688" s="8"/>
      <c r="O1688" s="8"/>
      <c r="P1688" s="8"/>
    </row>
    <row r="1689" spans="1:16" s="7" customFormat="1" ht="42.75" customHeight="1" thickBot="1">
      <c r="A1689" s="126" t="s">
        <v>19</v>
      </c>
      <c r="B1689" s="127"/>
      <c r="C1689" s="127"/>
      <c r="D1689" s="128"/>
      <c r="J1689" s="8"/>
      <c r="K1689" s="8"/>
      <c r="L1689" s="8"/>
      <c r="M1689" s="8"/>
      <c r="N1689" s="8"/>
      <c r="O1689" s="8"/>
      <c r="P1689" s="8"/>
    </row>
    <row r="1690" spans="1:16" s="7" customFormat="1" ht="42.75" customHeight="1" thickBot="1">
      <c r="A1690" s="123" t="s">
        <v>11</v>
      </c>
      <c r="B1690" s="124"/>
      <c r="C1690" s="125" t="s">
        <v>603</v>
      </c>
      <c r="D1690" s="124"/>
      <c r="J1690" s="8"/>
      <c r="K1690" s="8"/>
      <c r="L1690" s="8"/>
      <c r="M1690" s="8"/>
      <c r="N1690" s="8"/>
      <c r="O1690" s="8"/>
      <c r="P1690" s="8"/>
    </row>
    <row r="1691" spans="1:16" s="7" customFormat="1" ht="42.75" customHeight="1" thickBot="1">
      <c r="A1691" s="1" t="s">
        <v>686</v>
      </c>
      <c r="B1691" s="26" t="s">
        <v>1</v>
      </c>
      <c r="C1691" s="90" t="s">
        <v>284</v>
      </c>
      <c r="D1691" s="91"/>
      <c r="J1691" s="8"/>
      <c r="K1691" s="8"/>
      <c r="L1691" s="8"/>
      <c r="M1691" s="8"/>
      <c r="N1691" s="8"/>
      <c r="O1691" s="8"/>
      <c r="P1691" s="8"/>
    </row>
    <row r="1692" spans="1:16" s="7" customFormat="1" ht="42.75" customHeight="1" thickBot="1">
      <c r="A1692" s="26"/>
      <c r="B1692" s="26" t="s">
        <v>0</v>
      </c>
      <c r="C1692" s="5" t="s">
        <v>687</v>
      </c>
      <c r="D1692" s="4" t="s">
        <v>2</v>
      </c>
      <c r="J1692" s="8"/>
      <c r="K1692" s="8"/>
      <c r="L1692" s="8"/>
      <c r="M1692" s="8"/>
      <c r="N1692" s="8"/>
      <c r="O1692" s="8"/>
      <c r="P1692" s="8"/>
    </row>
    <row r="1693" spans="1:16" s="7" customFormat="1" ht="42.75" customHeight="1" thickBot="1">
      <c r="A1693" s="92">
        <v>381</v>
      </c>
      <c r="B1693" s="93"/>
      <c r="C1693" s="94" t="s">
        <v>3</v>
      </c>
      <c r="D1693" s="95"/>
      <c r="J1693" s="8"/>
      <c r="K1693" s="8"/>
      <c r="L1693" s="8"/>
      <c r="M1693" s="8"/>
      <c r="N1693" s="8"/>
      <c r="O1693" s="8"/>
      <c r="P1693" s="8"/>
    </row>
    <row r="1694" spans="1:16" s="7" customFormat="1" ht="42.75" customHeight="1" thickBot="1">
      <c r="A1694" s="92">
        <v>389</v>
      </c>
      <c r="B1694" s="93"/>
      <c r="C1694" s="96" t="s">
        <v>4</v>
      </c>
      <c r="D1694" s="97"/>
      <c r="J1694" s="8"/>
      <c r="K1694" s="8"/>
      <c r="L1694" s="8"/>
      <c r="M1694" s="8"/>
      <c r="N1694" s="8"/>
      <c r="O1694" s="8"/>
      <c r="P1694" s="8"/>
    </row>
    <row r="1695" spans="1:16" s="7" customFormat="1" ht="42.75" customHeight="1" thickBot="1">
      <c r="A1695" s="98">
        <f>A1694-A1693</f>
        <v>8</v>
      </c>
      <c r="B1695" s="99"/>
      <c r="C1695" s="100" t="s">
        <v>5</v>
      </c>
      <c r="D1695" s="97"/>
      <c r="J1695" s="8"/>
      <c r="K1695" s="8"/>
      <c r="L1695" s="8"/>
      <c r="M1695" s="8"/>
      <c r="N1695" s="8"/>
      <c r="O1695" s="8"/>
      <c r="P1695" s="8"/>
    </row>
    <row r="1696" spans="1:16" s="7" customFormat="1" ht="42.75" customHeight="1" thickBot="1">
      <c r="A1696" s="101">
        <v>62</v>
      </c>
      <c r="B1696" s="102"/>
      <c r="C1696" s="96" t="s">
        <v>6</v>
      </c>
      <c r="D1696" s="97"/>
      <c r="J1696" s="8"/>
      <c r="K1696" s="8"/>
      <c r="L1696" s="8"/>
      <c r="M1696" s="8"/>
      <c r="N1696" s="8"/>
      <c r="O1696" s="8"/>
      <c r="P1696" s="8"/>
    </row>
    <row r="1697" spans="1:16" s="7" customFormat="1" ht="42.75" customHeight="1" thickBot="1">
      <c r="A1697" s="103"/>
      <c r="B1697" s="104"/>
      <c r="C1697" s="96" t="s">
        <v>21</v>
      </c>
      <c r="D1697" s="97"/>
      <c r="J1697" s="8"/>
      <c r="K1697" s="8"/>
      <c r="L1697" s="8"/>
      <c r="M1697" s="8"/>
      <c r="N1697" s="8"/>
      <c r="O1697" s="8"/>
      <c r="P1697" s="8"/>
    </row>
    <row r="1698" spans="1:16" s="7" customFormat="1" ht="42.75" customHeight="1" thickBot="1">
      <c r="A1698" s="105">
        <v>500</v>
      </c>
      <c r="B1698" s="106"/>
      <c r="C1698" s="96" t="s">
        <v>7</v>
      </c>
      <c r="D1698" s="97"/>
      <c r="J1698" s="8"/>
      <c r="K1698" s="8"/>
      <c r="L1698" s="8"/>
      <c r="M1698" s="8"/>
      <c r="N1698" s="8"/>
      <c r="O1698" s="8"/>
      <c r="P1698" s="8"/>
    </row>
    <row r="1699" spans="1:16" s="7" customFormat="1" ht="42.75" customHeight="1" thickBot="1">
      <c r="A1699" s="107" t="s">
        <v>17</v>
      </c>
      <c r="B1699" s="108"/>
      <c r="C1699" s="108"/>
      <c r="D1699" s="109"/>
      <c r="J1699" s="8"/>
      <c r="K1699" s="8"/>
      <c r="L1699" s="8"/>
      <c r="M1699" s="8"/>
      <c r="N1699" s="8"/>
      <c r="O1699" s="8"/>
      <c r="P1699" s="8"/>
    </row>
    <row r="1700" spans="1:16" s="7" customFormat="1" ht="42.75" customHeight="1" thickBot="1">
      <c r="A1700" s="110" t="s">
        <v>20</v>
      </c>
      <c r="B1700" s="111"/>
      <c r="C1700" s="111"/>
      <c r="D1700" s="112"/>
      <c r="J1700" s="8"/>
      <c r="K1700" s="8"/>
      <c r="L1700" s="8"/>
      <c r="M1700" s="8"/>
      <c r="N1700" s="8"/>
      <c r="O1700" s="8"/>
      <c r="P1700" s="8"/>
    </row>
    <row r="1701" spans="1:16" s="7" customFormat="1" ht="42.75" customHeight="1" thickBot="1">
      <c r="A1701" s="113" t="s">
        <v>18</v>
      </c>
      <c r="B1701" s="114"/>
      <c r="C1701" s="114"/>
      <c r="D1701" s="115"/>
      <c r="J1701" s="8"/>
      <c r="K1701" s="8"/>
      <c r="L1701" s="8"/>
      <c r="M1701" s="8"/>
      <c r="N1701" s="8"/>
      <c r="O1701" s="8"/>
      <c r="P1701" s="8"/>
    </row>
    <row r="1702" spans="1:16" s="7" customFormat="1" ht="42.75" customHeight="1" thickBot="1">
      <c r="A1702" s="126" t="s">
        <v>19</v>
      </c>
      <c r="B1702" s="127"/>
      <c r="C1702" s="127"/>
      <c r="D1702" s="128"/>
      <c r="J1702" s="8"/>
      <c r="K1702" s="8"/>
      <c r="L1702" s="8"/>
      <c r="M1702" s="8"/>
      <c r="N1702" s="8"/>
      <c r="O1702" s="8"/>
      <c r="P1702" s="8"/>
    </row>
    <row r="1703" spans="1:16" s="7" customFormat="1" ht="42.75" customHeight="1" thickBot="1">
      <c r="A1703" s="123" t="s">
        <v>11</v>
      </c>
      <c r="B1703" s="124"/>
      <c r="C1703" s="125" t="s">
        <v>603</v>
      </c>
      <c r="D1703" s="124"/>
      <c r="J1703" s="8"/>
      <c r="K1703" s="8"/>
      <c r="L1703" s="8"/>
      <c r="M1703" s="8"/>
      <c r="N1703" s="8"/>
      <c r="O1703" s="8"/>
      <c r="P1703" s="8"/>
    </row>
    <row r="1704" spans="1:16" s="7" customFormat="1" ht="42.75" customHeight="1" thickBot="1">
      <c r="A1704" s="1" t="s">
        <v>686</v>
      </c>
      <c r="B1704" s="26" t="s">
        <v>1</v>
      </c>
      <c r="C1704" s="90" t="s">
        <v>554</v>
      </c>
      <c r="D1704" s="91"/>
      <c r="J1704" s="8"/>
      <c r="K1704" s="8"/>
      <c r="L1704" s="8"/>
      <c r="M1704" s="8"/>
      <c r="N1704" s="8"/>
      <c r="O1704" s="8"/>
      <c r="P1704" s="8"/>
    </row>
    <row r="1705" spans="1:16" s="7" customFormat="1" ht="42.75" customHeight="1" thickBot="1">
      <c r="A1705" s="26"/>
      <c r="B1705" s="26" t="s">
        <v>0</v>
      </c>
      <c r="C1705" s="5" t="s">
        <v>687</v>
      </c>
      <c r="D1705" s="4" t="s">
        <v>2</v>
      </c>
      <c r="J1705" s="8"/>
      <c r="K1705" s="8"/>
      <c r="L1705" s="8"/>
      <c r="M1705" s="8"/>
      <c r="N1705" s="8"/>
      <c r="O1705" s="8"/>
      <c r="P1705" s="8"/>
    </row>
    <row r="1706" spans="1:16" s="7" customFormat="1" ht="42.75" customHeight="1" thickBot="1">
      <c r="A1706" s="92">
        <v>192</v>
      </c>
      <c r="B1706" s="93"/>
      <c r="C1706" s="94" t="s">
        <v>3</v>
      </c>
      <c r="D1706" s="95"/>
      <c r="J1706" s="8"/>
      <c r="K1706" s="8"/>
      <c r="L1706" s="8"/>
      <c r="M1706" s="8"/>
      <c r="N1706" s="8"/>
      <c r="O1706" s="8"/>
      <c r="P1706" s="8"/>
    </row>
    <row r="1707" spans="1:16" s="7" customFormat="1" ht="42.75" customHeight="1" thickBot="1">
      <c r="A1707" s="92">
        <v>250</v>
      </c>
      <c r="B1707" s="93"/>
      <c r="C1707" s="96" t="s">
        <v>4</v>
      </c>
      <c r="D1707" s="97"/>
      <c r="J1707" s="8"/>
      <c r="K1707" s="8"/>
      <c r="L1707" s="8"/>
      <c r="M1707" s="8"/>
      <c r="N1707" s="8"/>
      <c r="O1707" s="8"/>
      <c r="P1707" s="8"/>
    </row>
    <row r="1708" spans="1:16" s="7" customFormat="1" ht="42.75" customHeight="1" thickBot="1">
      <c r="A1708" s="98">
        <f>A1707-A1706</f>
        <v>58</v>
      </c>
      <c r="B1708" s="99"/>
      <c r="C1708" s="100" t="s">
        <v>5</v>
      </c>
      <c r="D1708" s="97"/>
      <c r="J1708" s="8"/>
      <c r="K1708" s="8"/>
      <c r="L1708" s="8"/>
      <c r="M1708" s="8"/>
      <c r="N1708" s="8"/>
      <c r="O1708" s="8"/>
      <c r="P1708" s="8"/>
    </row>
    <row r="1709" spans="1:16" s="7" customFormat="1" ht="42.75" customHeight="1" thickBot="1">
      <c r="A1709" s="101">
        <v>62</v>
      </c>
      <c r="B1709" s="102"/>
      <c r="C1709" s="96" t="s">
        <v>6</v>
      </c>
      <c r="D1709" s="97"/>
      <c r="J1709" s="8"/>
      <c r="K1709" s="8"/>
      <c r="L1709" s="8"/>
      <c r="M1709" s="8"/>
      <c r="N1709" s="8"/>
      <c r="O1709" s="8"/>
      <c r="P1709" s="8"/>
    </row>
    <row r="1710" spans="1:16" s="7" customFormat="1" ht="42.75" customHeight="1" thickBot="1">
      <c r="A1710" s="103"/>
      <c r="B1710" s="104"/>
      <c r="C1710" s="96" t="s">
        <v>21</v>
      </c>
      <c r="D1710" s="97"/>
      <c r="J1710" s="8"/>
      <c r="K1710" s="8"/>
      <c r="L1710" s="8"/>
      <c r="M1710" s="8"/>
      <c r="N1710" s="8"/>
      <c r="O1710" s="8"/>
      <c r="P1710" s="8"/>
    </row>
    <row r="1711" spans="1:16" s="7" customFormat="1" ht="42.75" customHeight="1" thickBot="1">
      <c r="A1711" s="105">
        <v>3600</v>
      </c>
      <c r="B1711" s="106"/>
      <c r="C1711" s="96" t="s">
        <v>7</v>
      </c>
      <c r="D1711" s="97"/>
      <c r="J1711" s="8"/>
      <c r="K1711" s="8"/>
      <c r="L1711" s="8"/>
      <c r="M1711" s="8"/>
      <c r="N1711" s="8"/>
      <c r="O1711" s="8"/>
      <c r="P1711" s="8"/>
    </row>
    <row r="1712" spans="1:16" s="7" customFormat="1" ht="42.75" customHeight="1" thickBot="1">
      <c r="A1712" s="107" t="s">
        <v>17</v>
      </c>
      <c r="B1712" s="108"/>
      <c r="C1712" s="108"/>
      <c r="D1712" s="109"/>
      <c r="J1712" s="8"/>
      <c r="K1712" s="8"/>
      <c r="L1712" s="8"/>
      <c r="M1712" s="8"/>
      <c r="N1712" s="8"/>
      <c r="O1712" s="8"/>
      <c r="P1712" s="8"/>
    </row>
    <row r="1713" spans="1:16" s="7" customFormat="1" ht="42.75" customHeight="1" thickBot="1">
      <c r="A1713" s="116" t="s">
        <v>20</v>
      </c>
      <c r="B1713" s="117"/>
      <c r="C1713" s="117"/>
      <c r="D1713" s="118"/>
      <c r="J1713" s="8"/>
      <c r="K1713" s="8"/>
      <c r="L1713" s="8"/>
      <c r="M1713" s="8"/>
      <c r="N1713" s="8"/>
      <c r="O1713" s="8"/>
      <c r="P1713" s="8"/>
    </row>
    <row r="1714" spans="1:16" s="7" customFormat="1" ht="42.75" customHeight="1" thickBot="1">
      <c r="A1714" s="113" t="s">
        <v>18</v>
      </c>
      <c r="B1714" s="114"/>
      <c r="C1714" s="114"/>
      <c r="D1714" s="115"/>
      <c r="J1714" s="8"/>
      <c r="K1714" s="8"/>
      <c r="L1714" s="8"/>
      <c r="M1714" s="8"/>
      <c r="N1714" s="8"/>
      <c r="O1714" s="8"/>
      <c r="P1714" s="8"/>
    </row>
    <row r="1715" spans="1:16" s="7" customFormat="1" ht="42.75" customHeight="1" thickBot="1">
      <c r="A1715" s="119"/>
      <c r="B1715" s="119"/>
      <c r="C1715" s="119"/>
      <c r="D1715" s="119"/>
      <c r="J1715" s="8"/>
      <c r="K1715" s="8"/>
      <c r="L1715" s="8"/>
      <c r="M1715" s="8"/>
      <c r="N1715" s="8"/>
      <c r="O1715" s="8"/>
      <c r="P1715" s="8"/>
    </row>
    <row r="1716" spans="1:16" s="7" customFormat="1" ht="42.75" customHeight="1" thickBot="1">
      <c r="A1716" s="126" t="s">
        <v>19</v>
      </c>
      <c r="B1716" s="127"/>
      <c r="C1716" s="127"/>
      <c r="D1716" s="128"/>
      <c r="J1716" s="8"/>
      <c r="K1716" s="8"/>
      <c r="L1716" s="8"/>
      <c r="M1716" s="8"/>
      <c r="N1716" s="8"/>
      <c r="O1716" s="8"/>
      <c r="P1716" s="8"/>
    </row>
    <row r="1717" spans="1:16" s="7" customFormat="1" ht="42.75" customHeight="1" thickBot="1">
      <c r="A1717" s="123" t="s">
        <v>11</v>
      </c>
      <c r="B1717" s="124"/>
      <c r="C1717" s="125" t="s">
        <v>603</v>
      </c>
      <c r="D1717" s="124"/>
      <c r="J1717" s="8"/>
      <c r="K1717" s="8"/>
      <c r="L1717" s="8"/>
      <c r="M1717" s="8"/>
      <c r="N1717" s="8"/>
      <c r="O1717" s="8"/>
      <c r="P1717" s="8"/>
    </row>
    <row r="1718" spans="1:16" s="7" customFormat="1" ht="42.75" customHeight="1" thickBot="1">
      <c r="A1718" s="1" t="s">
        <v>686</v>
      </c>
      <c r="B1718" s="26" t="s">
        <v>1</v>
      </c>
      <c r="C1718" s="90" t="s">
        <v>554</v>
      </c>
      <c r="D1718" s="91"/>
      <c r="J1718" s="8"/>
      <c r="K1718" s="8"/>
      <c r="L1718" s="8"/>
      <c r="M1718" s="8"/>
      <c r="N1718" s="8"/>
      <c r="O1718" s="8"/>
      <c r="P1718" s="8"/>
    </row>
    <row r="1719" spans="1:16" s="7" customFormat="1" ht="42.75" customHeight="1" thickBot="1">
      <c r="A1719" s="26"/>
      <c r="B1719" s="26" t="s">
        <v>0</v>
      </c>
      <c r="C1719" s="5" t="s">
        <v>687</v>
      </c>
      <c r="D1719" s="4" t="s">
        <v>2</v>
      </c>
      <c r="J1719" s="8"/>
      <c r="K1719" s="8"/>
      <c r="L1719" s="8"/>
      <c r="M1719" s="8"/>
      <c r="N1719" s="8"/>
      <c r="O1719" s="8"/>
      <c r="P1719" s="8"/>
    </row>
    <row r="1720" spans="1:16" s="7" customFormat="1" ht="42.75" customHeight="1" thickBot="1">
      <c r="A1720" s="92">
        <v>192</v>
      </c>
      <c r="B1720" s="93"/>
      <c r="C1720" s="94" t="s">
        <v>3</v>
      </c>
      <c r="D1720" s="95"/>
      <c r="J1720" s="8"/>
      <c r="K1720" s="8"/>
      <c r="L1720" s="8"/>
      <c r="M1720" s="8"/>
      <c r="N1720" s="8"/>
      <c r="O1720" s="8"/>
      <c r="P1720" s="8"/>
    </row>
    <row r="1721" spans="1:16" s="7" customFormat="1" ht="42.75" customHeight="1" thickBot="1">
      <c r="A1721" s="92">
        <v>250</v>
      </c>
      <c r="B1721" s="93"/>
      <c r="C1721" s="96" t="s">
        <v>4</v>
      </c>
      <c r="D1721" s="97"/>
      <c r="J1721" s="8"/>
      <c r="K1721" s="8"/>
      <c r="L1721" s="8"/>
      <c r="M1721" s="8"/>
      <c r="N1721" s="8"/>
      <c r="O1721" s="8"/>
      <c r="P1721" s="8"/>
    </row>
    <row r="1722" spans="1:16" s="7" customFormat="1" ht="42.75" customHeight="1" thickBot="1">
      <c r="A1722" s="98">
        <f>A1721-A1720</f>
        <v>58</v>
      </c>
      <c r="B1722" s="99"/>
      <c r="C1722" s="100" t="s">
        <v>5</v>
      </c>
      <c r="D1722" s="97"/>
      <c r="J1722" s="8"/>
      <c r="K1722" s="8"/>
      <c r="L1722" s="8"/>
      <c r="M1722" s="8"/>
      <c r="N1722" s="8"/>
      <c r="O1722" s="8"/>
      <c r="P1722" s="8"/>
    </row>
    <row r="1723" spans="1:16" s="7" customFormat="1" ht="42.75" customHeight="1" thickBot="1">
      <c r="A1723" s="101">
        <v>62</v>
      </c>
      <c r="B1723" s="102"/>
      <c r="C1723" s="96" t="s">
        <v>6</v>
      </c>
      <c r="D1723" s="97"/>
      <c r="J1723" s="8"/>
      <c r="K1723" s="8"/>
      <c r="L1723" s="8"/>
      <c r="M1723" s="8"/>
      <c r="N1723" s="8"/>
      <c r="O1723" s="8"/>
      <c r="P1723" s="8"/>
    </row>
    <row r="1724" spans="1:16" s="7" customFormat="1" ht="42.75" customHeight="1" thickBot="1">
      <c r="A1724" s="103"/>
      <c r="B1724" s="104"/>
      <c r="C1724" s="96" t="s">
        <v>21</v>
      </c>
      <c r="D1724" s="97"/>
      <c r="J1724" s="8"/>
      <c r="K1724" s="8"/>
      <c r="L1724" s="8"/>
      <c r="M1724" s="8"/>
      <c r="N1724" s="8"/>
      <c r="O1724" s="8"/>
      <c r="P1724" s="8"/>
    </row>
    <row r="1725" spans="1:16" s="7" customFormat="1" ht="42.75" customHeight="1" thickBot="1">
      <c r="A1725" s="105">
        <v>3600</v>
      </c>
      <c r="B1725" s="106"/>
      <c r="C1725" s="96" t="s">
        <v>7</v>
      </c>
      <c r="D1725" s="97"/>
      <c r="J1725" s="8"/>
      <c r="K1725" s="8"/>
      <c r="L1725" s="8"/>
      <c r="M1725" s="8"/>
      <c r="N1725" s="8"/>
      <c r="O1725" s="8"/>
      <c r="P1725" s="8"/>
    </row>
    <row r="1726" spans="1:16" s="7" customFormat="1" ht="42.75" customHeight="1" thickBot="1">
      <c r="A1726" s="107" t="s">
        <v>17</v>
      </c>
      <c r="B1726" s="108"/>
      <c r="C1726" s="108"/>
      <c r="D1726" s="109"/>
      <c r="J1726" s="8"/>
      <c r="K1726" s="8"/>
      <c r="L1726" s="8"/>
      <c r="M1726" s="8"/>
      <c r="N1726" s="8"/>
      <c r="O1726" s="8"/>
      <c r="P1726" s="8"/>
    </row>
    <row r="1727" spans="1:16" s="7" customFormat="1" ht="42.75" customHeight="1" thickBot="1">
      <c r="A1727" s="110" t="s">
        <v>20</v>
      </c>
      <c r="B1727" s="111"/>
      <c r="C1727" s="111"/>
      <c r="D1727" s="112"/>
      <c r="J1727" s="8"/>
      <c r="K1727" s="8"/>
      <c r="L1727" s="8"/>
      <c r="M1727" s="8"/>
      <c r="N1727" s="8"/>
      <c r="O1727" s="8"/>
      <c r="P1727" s="8"/>
    </row>
    <row r="1728" spans="1:16" s="7" customFormat="1" ht="42.75" customHeight="1" thickBot="1">
      <c r="A1728" s="113" t="s">
        <v>18</v>
      </c>
      <c r="B1728" s="114"/>
      <c r="C1728" s="114"/>
      <c r="D1728" s="115"/>
      <c r="J1728" s="8"/>
      <c r="K1728" s="8"/>
      <c r="L1728" s="8"/>
      <c r="M1728" s="8"/>
      <c r="N1728" s="8"/>
      <c r="O1728" s="8"/>
      <c r="P1728" s="8"/>
    </row>
    <row r="1729" spans="1:16" s="7" customFormat="1" ht="42.75" customHeight="1" thickBot="1">
      <c r="A1729" s="126" t="s">
        <v>19</v>
      </c>
      <c r="B1729" s="127"/>
      <c r="C1729" s="127"/>
      <c r="D1729" s="128"/>
      <c r="J1729" s="8"/>
      <c r="K1729" s="8"/>
      <c r="L1729" s="8"/>
      <c r="M1729" s="8"/>
      <c r="N1729" s="8"/>
      <c r="O1729" s="8"/>
      <c r="P1729" s="8"/>
    </row>
    <row r="1730" spans="1:16" s="7" customFormat="1" ht="42.75" customHeight="1" thickBot="1">
      <c r="A1730" s="123" t="s">
        <v>11</v>
      </c>
      <c r="B1730" s="124"/>
      <c r="C1730" s="125" t="s">
        <v>603</v>
      </c>
      <c r="D1730" s="124"/>
      <c r="J1730" s="8"/>
      <c r="K1730" s="8"/>
      <c r="L1730" s="8"/>
      <c r="M1730" s="8"/>
      <c r="N1730" s="8"/>
      <c r="O1730" s="8"/>
      <c r="P1730" s="8"/>
    </row>
    <row r="1731" spans="1:16" s="7" customFormat="1" ht="42.75" customHeight="1" thickBot="1">
      <c r="A1731" s="1" t="s">
        <v>686</v>
      </c>
      <c r="B1731" s="26" t="s">
        <v>1</v>
      </c>
      <c r="C1731" s="90" t="s">
        <v>349</v>
      </c>
      <c r="D1731" s="91"/>
      <c r="J1731" s="8"/>
      <c r="K1731" s="8"/>
      <c r="L1731" s="8"/>
      <c r="M1731" s="8"/>
      <c r="N1731" s="8"/>
      <c r="O1731" s="8"/>
      <c r="P1731" s="8"/>
    </row>
    <row r="1732" spans="1:16" s="7" customFormat="1" ht="42.75" customHeight="1" thickBot="1">
      <c r="A1732" s="26"/>
      <c r="B1732" s="26" t="s">
        <v>0</v>
      </c>
      <c r="C1732" s="5" t="s">
        <v>687</v>
      </c>
      <c r="D1732" s="4" t="s">
        <v>2</v>
      </c>
      <c r="J1732" s="8"/>
      <c r="K1732" s="8"/>
      <c r="L1732" s="8"/>
      <c r="M1732" s="8"/>
      <c r="N1732" s="8"/>
      <c r="O1732" s="8"/>
      <c r="P1732" s="8"/>
    </row>
    <row r="1733" spans="1:16" s="7" customFormat="1" ht="42.75" customHeight="1" thickBot="1">
      <c r="A1733" s="92">
        <v>1585</v>
      </c>
      <c r="B1733" s="93"/>
      <c r="C1733" s="94" t="s">
        <v>3</v>
      </c>
      <c r="D1733" s="95"/>
      <c r="J1733" s="8"/>
      <c r="K1733" s="8"/>
      <c r="L1733" s="8"/>
      <c r="M1733" s="8"/>
      <c r="N1733" s="8"/>
      <c r="O1733" s="8"/>
      <c r="P1733" s="8"/>
    </row>
    <row r="1734" spans="1:16" s="7" customFormat="1" ht="42.75" customHeight="1" thickBot="1">
      <c r="A1734" s="92">
        <v>1635</v>
      </c>
      <c r="B1734" s="93"/>
      <c r="C1734" s="96" t="s">
        <v>4</v>
      </c>
      <c r="D1734" s="97"/>
      <c r="J1734" s="8"/>
      <c r="K1734" s="8"/>
      <c r="L1734" s="8"/>
      <c r="M1734" s="8"/>
      <c r="N1734" s="8"/>
      <c r="O1734" s="8"/>
      <c r="P1734" s="8"/>
    </row>
    <row r="1735" spans="1:16" s="7" customFormat="1" ht="42.75" customHeight="1" thickBot="1">
      <c r="A1735" s="98">
        <f>A1734-A1733</f>
        <v>50</v>
      </c>
      <c r="B1735" s="99"/>
      <c r="C1735" s="100" t="s">
        <v>5</v>
      </c>
      <c r="D1735" s="97"/>
      <c r="J1735" s="8"/>
      <c r="K1735" s="8"/>
      <c r="L1735" s="8"/>
      <c r="M1735" s="8"/>
      <c r="N1735" s="8"/>
      <c r="O1735" s="8"/>
      <c r="P1735" s="8"/>
    </row>
    <row r="1736" spans="1:16" s="7" customFormat="1" ht="42.75" customHeight="1" thickBot="1">
      <c r="A1736" s="101">
        <v>62</v>
      </c>
      <c r="B1736" s="102"/>
      <c r="C1736" s="96" t="s">
        <v>6</v>
      </c>
      <c r="D1736" s="97"/>
      <c r="J1736" s="8"/>
      <c r="K1736" s="8"/>
      <c r="L1736" s="8"/>
      <c r="M1736" s="8"/>
      <c r="N1736" s="8"/>
      <c r="O1736" s="8"/>
      <c r="P1736" s="8"/>
    </row>
    <row r="1737" spans="1:16" s="7" customFormat="1" ht="42.75" customHeight="1" thickBot="1">
      <c r="A1737" s="103"/>
      <c r="B1737" s="104"/>
      <c r="C1737" s="96" t="s">
        <v>21</v>
      </c>
      <c r="D1737" s="97"/>
      <c r="J1737" s="8"/>
      <c r="K1737" s="8"/>
      <c r="L1737" s="8"/>
      <c r="M1737" s="8"/>
      <c r="N1737" s="8"/>
      <c r="O1737" s="8"/>
      <c r="P1737" s="8"/>
    </row>
    <row r="1738" spans="1:16" s="7" customFormat="1" ht="42.75" customHeight="1" thickBot="1">
      <c r="A1738" s="105">
        <f>A1736*A1735</f>
        <v>3100</v>
      </c>
      <c r="B1738" s="106"/>
      <c r="C1738" s="96" t="s">
        <v>7</v>
      </c>
      <c r="D1738" s="97"/>
      <c r="J1738" s="8"/>
      <c r="K1738" s="8"/>
      <c r="L1738" s="8"/>
      <c r="M1738" s="8"/>
      <c r="N1738" s="8"/>
      <c r="O1738" s="8"/>
      <c r="P1738" s="8"/>
    </row>
    <row r="1739" spans="1:16" s="7" customFormat="1" ht="42.75" customHeight="1" thickBot="1">
      <c r="A1739" s="107" t="s">
        <v>17</v>
      </c>
      <c r="B1739" s="108"/>
      <c r="C1739" s="108"/>
      <c r="D1739" s="109"/>
      <c r="J1739" s="8"/>
      <c r="K1739" s="8"/>
      <c r="L1739" s="8"/>
      <c r="M1739" s="8"/>
      <c r="N1739" s="8"/>
      <c r="O1739" s="8"/>
      <c r="P1739" s="8"/>
    </row>
    <row r="1740" spans="1:16" s="7" customFormat="1" ht="42.75" customHeight="1" thickBot="1">
      <c r="A1740" s="116" t="s">
        <v>20</v>
      </c>
      <c r="B1740" s="117"/>
      <c r="C1740" s="117"/>
      <c r="D1740" s="118"/>
      <c r="J1740" s="8"/>
      <c r="K1740" s="8"/>
      <c r="L1740" s="8"/>
      <c r="M1740" s="8"/>
      <c r="N1740" s="8"/>
      <c r="O1740" s="8"/>
      <c r="P1740" s="8"/>
    </row>
    <row r="1741" spans="1:16" s="7" customFormat="1" ht="42.75" customHeight="1" thickBot="1">
      <c r="A1741" s="113" t="s">
        <v>18</v>
      </c>
      <c r="B1741" s="114"/>
      <c r="C1741" s="114"/>
      <c r="D1741" s="115"/>
      <c r="J1741" s="8"/>
      <c r="K1741" s="8"/>
      <c r="L1741" s="8"/>
      <c r="M1741" s="8"/>
      <c r="N1741" s="8"/>
      <c r="O1741" s="8"/>
      <c r="P1741" s="8"/>
    </row>
    <row r="1742" spans="1:16" s="7" customFormat="1" ht="42.75" customHeight="1" thickBot="1">
      <c r="A1742" s="119"/>
      <c r="B1742" s="119"/>
      <c r="C1742" s="119"/>
      <c r="D1742" s="119"/>
      <c r="J1742" s="8"/>
      <c r="K1742" s="8"/>
      <c r="L1742" s="8"/>
      <c r="M1742" s="8"/>
      <c r="N1742" s="8"/>
      <c r="O1742" s="8"/>
      <c r="P1742" s="8"/>
    </row>
    <row r="1743" spans="1:16" s="7" customFormat="1" ht="42.75" customHeight="1" thickBot="1">
      <c r="A1743" s="126" t="s">
        <v>19</v>
      </c>
      <c r="B1743" s="127"/>
      <c r="C1743" s="127"/>
      <c r="D1743" s="128"/>
      <c r="J1743" s="8"/>
      <c r="K1743" s="8"/>
      <c r="L1743" s="8"/>
      <c r="M1743" s="8"/>
      <c r="N1743" s="8"/>
      <c r="O1743" s="8"/>
      <c r="P1743" s="8"/>
    </row>
    <row r="1744" spans="1:16" s="7" customFormat="1" ht="42.75" customHeight="1" thickBot="1">
      <c r="A1744" s="123" t="s">
        <v>11</v>
      </c>
      <c r="B1744" s="124"/>
      <c r="C1744" s="125" t="s">
        <v>603</v>
      </c>
      <c r="D1744" s="124"/>
      <c r="J1744" s="8"/>
      <c r="K1744" s="8"/>
      <c r="L1744" s="8"/>
      <c r="M1744" s="8"/>
      <c r="N1744" s="8"/>
      <c r="O1744" s="8"/>
      <c r="P1744" s="8"/>
    </row>
    <row r="1745" spans="1:16" s="7" customFormat="1" ht="42.75" customHeight="1" thickBot="1">
      <c r="A1745" s="1" t="s">
        <v>686</v>
      </c>
      <c r="B1745" s="26" t="s">
        <v>1</v>
      </c>
      <c r="C1745" s="90" t="s">
        <v>349</v>
      </c>
      <c r="D1745" s="91"/>
      <c r="J1745" s="8"/>
      <c r="K1745" s="8"/>
      <c r="L1745" s="8"/>
      <c r="M1745" s="8"/>
      <c r="N1745" s="8"/>
      <c r="O1745" s="8"/>
      <c r="P1745" s="8"/>
    </row>
    <row r="1746" spans="1:16" s="7" customFormat="1" ht="42.75" customHeight="1" thickBot="1">
      <c r="A1746" s="26"/>
      <c r="B1746" s="26" t="s">
        <v>0</v>
      </c>
      <c r="C1746" s="5" t="s">
        <v>687</v>
      </c>
      <c r="D1746" s="4" t="s">
        <v>2</v>
      </c>
      <c r="J1746" s="8"/>
      <c r="K1746" s="8"/>
      <c r="L1746" s="8"/>
      <c r="M1746" s="8"/>
      <c r="N1746" s="8"/>
      <c r="O1746" s="8"/>
      <c r="P1746" s="8"/>
    </row>
    <row r="1747" spans="1:16" s="7" customFormat="1" ht="42.75" customHeight="1" thickBot="1">
      <c r="A1747" s="92">
        <v>1585</v>
      </c>
      <c r="B1747" s="93"/>
      <c r="C1747" s="94" t="s">
        <v>3</v>
      </c>
      <c r="D1747" s="95"/>
      <c r="J1747" s="8"/>
      <c r="K1747" s="8"/>
      <c r="L1747" s="8"/>
      <c r="M1747" s="8"/>
      <c r="N1747" s="8"/>
      <c r="O1747" s="8"/>
      <c r="P1747" s="8"/>
    </row>
    <row r="1748" spans="1:16" s="7" customFormat="1" ht="42.75" customHeight="1" thickBot="1">
      <c r="A1748" s="92">
        <v>1635</v>
      </c>
      <c r="B1748" s="93"/>
      <c r="C1748" s="96" t="s">
        <v>4</v>
      </c>
      <c r="D1748" s="97"/>
      <c r="J1748" s="8"/>
      <c r="K1748" s="8"/>
      <c r="L1748" s="8"/>
      <c r="M1748" s="8"/>
      <c r="N1748" s="8"/>
      <c r="O1748" s="8"/>
      <c r="P1748" s="8"/>
    </row>
    <row r="1749" spans="1:16" s="7" customFormat="1" ht="42.75" customHeight="1" thickBot="1">
      <c r="A1749" s="98">
        <f>A1748-A1747</f>
        <v>50</v>
      </c>
      <c r="B1749" s="99"/>
      <c r="C1749" s="100" t="s">
        <v>5</v>
      </c>
      <c r="D1749" s="97"/>
      <c r="J1749" s="8"/>
      <c r="K1749" s="8"/>
      <c r="L1749" s="8"/>
      <c r="M1749" s="8"/>
      <c r="N1749" s="8"/>
      <c r="O1749" s="8"/>
      <c r="P1749" s="8"/>
    </row>
    <row r="1750" spans="1:16" s="7" customFormat="1" ht="42.75" customHeight="1" thickBot="1">
      <c r="A1750" s="101">
        <v>62</v>
      </c>
      <c r="B1750" s="102"/>
      <c r="C1750" s="96" t="s">
        <v>6</v>
      </c>
      <c r="D1750" s="97"/>
      <c r="J1750" s="8"/>
      <c r="K1750" s="8"/>
      <c r="L1750" s="8"/>
      <c r="M1750" s="8"/>
      <c r="N1750" s="8"/>
      <c r="O1750" s="8"/>
      <c r="P1750" s="8"/>
    </row>
    <row r="1751" spans="1:16" s="7" customFormat="1" ht="42.75" customHeight="1" thickBot="1">
      <c r="A1751" s="103"/>
      <c r="B1751" s="104"/>
      <c r="C1751" s="96" t="s">
        <v>21</v>
      </c>
      <c r="D1751" s="97"/>
      <c r="J1751" s="8"/>
      <c r="K1751" s="8"/>
      <c r="L1751" s="8"/>
      <c r="M1751" s="8"/>
      <c r="N1751" s="8"/>
      <c r="O1751" s="8"/>
      <c r="P1751" s="8"/>
    </row>
    <row r="1752" spans="1:16" s="7" customFormat="1" ht="42.75" customHeight="1" thickBot="1">
      <c r="A1752" s="105">
        <f>A1750*A1749</f>
        <v>3100</v>
      </c>
      <c r="B1752" s="106"/>
      <c r="C1752" s="96" t="s">
        <v>7</v>
      </c>
      <c r="D1752" s="97"/>
      <c r="J1752" s="8"/>
      <c r="K1752" s="8"/>
      <c r="L1752" s="8"/>
      <c r="M1752" s="8"/>
      <c r="N1752" s="8"/>
      <c r="O1752" s="8"/>
      <c r="P1752" s="8"/>
    </row>
    <row r="1753" spans="1:16" s="7" customFormat="1" ht="42.75" customHeight="1" thickBot="1">
      <c r="A1753" s="107" t="s">
        <v>17</v>
      </c>
      <c r="B1753" s="108"/>
      <c r="C1753" s="108"/>
      <c r="D1753" s="109"/>
      <c r="J1753" s="8"/>
      <c r="K1753" s="8"/>
      <c r="L1753" s="8"/>
      <c r="M1753" s="8"/>
      <c r="N1753" s="8"/>
      <c r="O1753" s="8"/>
      <c r="P1753" s="8"/>
    </row>
    <row r="1754" spans="1:16" s="7" customFormat="1" ht="42.75" customHeight="1" thickBot="1">
      <c r="A1754" s="110" t="s">
        <v>20</v>
      </c>
      <c r="B1754" s="111"/>
      <c r="C1754" s="111"/>
      <c r="D1754" s="112"/>
      <c r="J1754" s="8"/>
      <c r="K1754" s="8"/>
      <c r="L1754" s="8"/>
      <c r="M1754" s="8"/>
      <c r="N1754" s="8"/>
      <c r="O1754" s="8"/>
      <c r="P1754" s="8"/>
    </row>
    <row r="1755" spans="1:16" s="7" customFormat="1" ht="42.75" customHeight="1" thickBot="1">
      <c r="A1755" s="113" t="s">
        <v>18</v>
      </c>
      <c r="B1755" s="114"/>
      <c r="C1755" s="114"/>
      <c r="D1755" s="115"/>
      <c r="J1755" s="8"/>
      <c r="K1755" s="8"/>
      <c r="L1755" s="8"/>
      <c r="M1755" s="8"/>
      <c r="N1755" s="8"/>
      <c r="O1755" s="8"/>
      <c r="P1755" s="8"/>
    </row>
    <row r="1756" spans="1:16" s="7" customFormat="1" ht="42.75" customHeight="1" thickBot="1">
      <c r="A1756" s="126" t="s">
        <v>19</v>
      </c>
      <c r="B1756" s="127"/>
      <c r="C1756" s="127"/>
      <c r="D1756" s="128"/>
      <c r="J1756" s="8"/>
      <c r="K1756" s="8"/>
      <c r="L1756" s="8"/>
      <c r="M1756" s="8"/>
      <c r="N1756" s="8"/>
      <c r="O1756" s="8"/>
      <c r="P1756" s="8"/>
    </row>
    <row r="1757" spans="1:16" s="7" customFormat="1" ht="42.75" customHeight="1" thickBot="1">
      <c r="A1757" s="123" t="s">
        <v>11</v>
      </c>
      <c r="B1757" s="124"/>
      <c r="C1757" s="125" t="s">
        <v>603</v>
      </c>
      <c r="D1757" s="124"/>
      <c r="J1757" s="8"/>
      <c r="K1757" s="8"/>
      <c r="L1757" s="8"/>
      <c r="M1757" s="8"/>
      <c r="N1757" s="8"/>
      <c r="O1757" s="8"/>
      <c r="P1757" s="8"/>
    </row>
    <row r="1758" spans="1:16" s="7" customFormat="1" ht="42.75" customHeight="1" thickBot="1">
      <c r="A1758" s="1" t="s">
        <v>686</v>
      </c>
      <c r="B1758" s="26" t="s">
        <v>1</v>
      </c>
      <c r="C1758" s="90" t="s">
        <v>555</v>
      </c>
      <c r="D1758" s="91"/>
      <c r="J1758" s="8"/>
      <c r="K1758" s="8"/>
      <c r="L1758" s="8"/>
      <c r="M1758" s="8"/>
      <c r="N1758" s="8"/>
      <c r="O1758" s="8"/>
      <c r="P1758" s="8"/>
    </row>
    <row r="1759" spans="1:16" s="7" customFormat="1" ht="42.75" customHeight="1" thickBot="1">
      <c r="A1759" s="26"/>
      <c r="B1759" s="26" t="s">
        <v>0</v>
      </c>
      <c r="C1759" s="5" t="s">
        <v>687</v>
      </c>
      <c r="D1759" s="4" t="s">
        <v>2</v>
      </c>
      <c r="J1759" s="8"/>
      <c r="K1759" s="8"/>
      <c r="L1759" s="8"/>
      <c r="M1759" s="8"/>
      <c r="N1759" s="8"/>
      <c r="O1759" s="8"/>
      <c r="P1759" s="8"/>
    </row>
    <row r="1760" spans="1:16" s="7" customFormat="1" ht="42.75" customHeight="1" thickBot="1">
      <c r="A1760" s="92">
        <v>1285</v>
      </c>
      <c r="B1760" s="93"/>
      <c r="C1760" s="94" t="s">
        <v>3</v>
      </c>
      <c r="D1760" s="95"/>
      <c r="J1760" s="8"/>
      <c r="K1760" s="8"/>
      <c r="L1760" s="8"/>
      <c r="M1760" s="8"/>
      <c r="N1760" s="8"/>
      <c r="O1760" s="8"/>
      <c r="P1760" s="8"/>
    </row>
    <row r="1761" spans="1:16" s="7" customFormat="1" ht="42.75" customHeight="1" thickBot="1">
      <c r="A1761" s="92">
        <v>1350</v>
      </c>
      <c r="B1761" s="93"/>
      <c r="C1761" s="96" t="s">
        <v>4</v>
      </c>
      <c r="D1761" s="97"/>
      <c r="J1761" s="8"/>
      <c r="K1761" s="8"/>
      <c r="L1761" s="8"/>
      <c r="M1761" s="8"/>
      <c r="N1761" s="8"/>
      <c r="O1761" s="8"/>
      <c r="P1761" s="8"/>
    </row>
    <row r="1762" spans="1:16" s="7" customFormat="1" ht="42.75" customHeight="1" thickBot="1">
      <c r="A1762" s="98">
        <f>A1761-A1760</f>
        <v>65</v>
      </c>
      <c r="B1762" s="99"/>
      <c r="C1762" s="100" t="s">
        <v>5</v>
      </c>
      <c r="D1762" s="97"/>
      <c r="J1762" s="8"/>
      <c r="K1762" s="8"/>
      <c r="L1762" s="8"/>
      <c r="M1762" s="8"/>
      <c r="N1762" s="8"/>
      <c r="O1762" s="8"/>
      <c r="P1762" s="8"/>
    </row>
    <row r="1763" spans="1:16" s="7" customFormat="1" ht="42.75" customHeight="1" thickBot="1">
      <c r="A1763" s="101">
        <v>62</v>
      </c>
      <c r="B1763" s="102"/>
      <c r="C1763" s="96" t="s">
        <v>6</v>
      </c>
      <c r="D1763" s="97"/>
      <c r="J1763" s="8"/>
      <c r="K1763" s="8"/>
      <c r="L1763" s="8"/>
      <c r="M1763" s="8"/>
      <c r="N1763" s="8"/>
      <c r="O1763" s="8"/>
      <c r="P1763" s="8"/>
    </row>
    <row r="1764" spans="1:16" s="7" customFormat="1" ht="42.75" customHeight="1" thickBot="1">
      <c r="A1764" s="103"/>
      <c r="B1764" s="104"/>
      <c r="C1764" s="96" t="s">
        <v>21</v>
      </c>
      <c r="D1764" s="97"/>
      <c r="J1764" s="8"/>
      <c r="K1764" s="8"/>
      <c r="L1764" s="8"/>
      <c r="M1764" s="8"/>
      <c r="N1764" s="8"/>
      <c r="O1764" s="8"/>
      <c r="P1764" s="8"/>
    </row>
    <row r="1765" spans="1:16" s="7" customFormat="1" ht="42.75" customHeight="1" thickBot="1">
      <c r="A1765" s="105">
        <v>4000</v>
      </c>
      <c r="B1765" s="106"/>
      <c r="C1765" s="96" t="s">
        <v>7</v>
      </c>
      <c r="D1765" s="97"/>
      <c r="J1765" s="8"/>
      <c r="K1765" s="8"/>
      <c r="L1765" s="8"/>
      <c r="M1765" s="8"/>
      <c r="N1765" s="8"/>
      <c r="O1765" s="8"/>
      <c r="P1765" s="8"/>
    </row>
    <row r="1766" spans="1:16" s="7" customFormat="1" ht="42.75" customHeight="1" thickBot="1">
      <c r="A1766" s="107" t="s">
        <v>17</v>
      </c>
      <c r="B1766" s="108"/>
      <c r="C1766" s="108"/>
      <c r="D1766" s="109"/>
      <c r="J1766" s="8"/>
      <c r="K1766" s="8"/>
      <c r="L1766" s="8"/>
      <c r="M1766" s="8"/>
      <c r="N1766" s="8"/>
      <c r="O1766" s="8"/>
      <c r="P1766" s="8"/>
    </row>
    <row r="1767" spans="1:16" s="7" customFormat="1" ht="42.75" customHeight="1" thickBot="1">
      <c r="A1767" s="116" t="s">
        <v>20</v>
      </c>
      <c r="B1767" s="117"/>
      <c r="C1767" s="117"/>
      <c r="D1767" s="118"/>
      <c r="J1767" s="8"/>
      <c r="K1767" s="8"/>
      <c r="L1767" s="8"/>
      <c r="M1767" s="8"/>
      <c r="N1767" s="8"/>
      <c r="O1767" s="8"/>
      <c r="P1767" s="8"/>
    </row>
    <row r="1768" spans="1:16" s="7" customFormat="1" ht="42.75" customHeight="1" thickBot="1">
      <c r="A1768" s="113" t="s">
        <v>18</v>
      </c>
      <c r="B1768" s="114"/>
      <c r="C1768" s="114"/>
      <c r="D1768" s="115"/>
      <c r="J1768" s="8"/>
      <c r="K1768" s="8"/>
      <c r="L1768" s="8"/>
      <c r="M1768" s="8"/>
      <c r="N1768" s="8"/>
      <c r="O1768" s="8"/>
      <c r="P1768" s="8"/>
    </row>
    <row r="1769" spans="1:16" s="7" customFormat="1" ht="42.75" customHeight="1" thickBot="1">
      <c r="A1769" s="119"/>
      <c r="B1769" s="119"/>
      <c r="C1769" s="119"/>
      <c r="D1769" s="119"/>
      <c r="J1769" s="8"/>
      <c r="K1769" s="8"/>
      <c r="L1769" s="8"/>
      <c r="M1769" s="8"/>
      <c r="N1769" s="8"/>
      <c r="O1769" s="8"/>
      <c r="P1769" s="8"/>
    </row>
    <row r="1770" spans="1:16" s="7" customFormat="1" ht="42.75" customHeight="1" thickBot="1">
      <c r="A1770" s="126" t="s">
        <v>19</v>
      </c>
      <c r="B1770" s="127"/>
      <c r="C1770" s="127"/>
      <c r="D1770" s="128"/>
      <c r="J1770" s="8"/>
      <c r="K1770" s="8"/>
      <c r="L1770" s="8"/>
      <c r="M1770" s="8"/>
      <c r="N1770" s="8"/>
      <c r="O1770" s="8"/>
      <c r="P1770" s="8"/>
    </row>
    <row r="1771" spans="1:16" s="7" customFormat="1" ht="42.75" customHeight="1" thickBot="1">
      <c r="A1771" s="123" t="s">
        <v>11</v>
      </c>
      <c r="B1771" s="124"/>
      <c r="C1771" s="125" t="s">
        <v>603</v>
      </c>
      <c r="D1771" s="124"/>
      <c r="J1771" s="8"/>
      <c r="K1771" s="8"/>
      <c r="L1771" s="8"/>
      <c r="M1771" s="8"/>
      <c r="N1771" s="8"/>
      <c r="O1771" s="8"/>
      <c r="P1771" s="8"/>
    </row>
    <row r="1772" spans="1:16" s="7" customFormat="1" ht="42.75" customHeight="1" thickBot="1">
      <c r="A1772" s="1" t="s">
        <v>686</v>
      </c>
      <c r="B1772" s="26" t="s">
        <v>1</v>
      </c>
      <c r="C1772" s="90" t="s">
        <v>555</v>
      </c>
      <c r="D1772" s="91"/>
      <c r="J1772" s="8"/>
      <c r="K1772" s="8"/>
      <c r="L1772" s="8"/>
      <c r="M1772" s="8"/>
      <c r="N1772" s="8"/>
      <c r="O1772" s="8"/>
      <c r="P1772" s="8"/>
    </row>
    <row r="1773" spans="1:16" s="7" customFormat="1" ht="42.75" customHeight="1" thickBot="1">
      <c r="A1773" s="26"/>
      <c r="B1773" s="26" t="s">
        <v>0</v>
      </c>
      <c r="C1773" s="5" t="s">
        <v>687</v>
      </c>
      <c r="D1773" s="4" t="s">
        <v>2</v>
      </c>
      <c r="J1773" s="8"/>
      <c r="K1773" s="8"/>
      <c r="L1773" s="8"/>
      <c r="M1773" s="8"/>
      <c r="N1773" s="8"/>
      <c r="O1773" s="8"/>
      <c r="P1773" s="8"/>
    </row>
    <row r="1774" spans="1:16" s="7" customFormat="1" ht="42.75" customHeight="1" thickBot="1">
      <c r="A1774" s="92">
        <v>1285</v>
      </c>
      <c r="B1774" s="93"/>
      <c r="C1774" s="94" t="s">
        <v>3</v>
      </c>
      <c r="D1774" s="95"/>
      <c r="J1774" s="8"/>
      <c r="K1774" s="8"/>
      <c r="L1774" s="8"/>
      <c r="M1774" s="8"/>
      <c r="N1774" s="8"/>
      <c r="O1774" s="8"/>
      <c r="P1774" s="8"/>
    </row>
    <row r="1775" spans="1:16" s="7" customFormat="1" ht="42.75" customHeight="1" thickBot="1">
      <c r="A1775" s="92">
        <v>1350</v>
      </c>
      <c r="B1775" s="93"/>
      <c r="C1775" s="96" t="s">
        <v>4</v>
      </c>
      <c r="D1775" s="97"/>
      <c r="J1775" s="8"/>
      <c r="K1775" s="8"/>
      <c r="L1775" s="8"/>
      <c r="M1775" s="8"/>
      <c r="N1775" s="8"/>
      <c r="O1775" s="8"/>
      <c r="P1775" s="8"/>
    </row>
    <row r="1776" spans="1:16" s="7" customFormat="1" ht="42.75" customHeight="1" thickBot="1">
      <c r="A1776" s="98">
        <f>A1775-A1774</f>
        <v>65</v>
      </c>
      <c r="B1776" s="99"/>
      <c r="C1776" s="100" t="s">
        <v>5</v>
      </c>
      <c r="D1776" s="97"/>
      <c r="J1776" s="8"/>
      <c r="K1776" s="8"/>
      <c r="L1776" s="8"/>
      <c r="M1776" s="8"/>
      <c r="N1776" s="8"/>
      <c r="O1776" s="8"/>
      <c r="P1776" s="8"/>
    </row>
    <row r="1777" spans="1:16" s="7" customFormat="1" ht="42.75" customHeight="1" thickBot="1">
      <c r="A1777" s="101">
        <v>62</v>
      </c>
      <c r="B1777" s="102"/>
      <c r="C1777" s="96" t="s">
        <v>6</v>
      </c>
      <c r="D1777" s="97"/>
      <c r="J1777" s="8"/>
      <c r="K1777" s="8"/>
      <c r="L1777" s="8"/>
      <c r="M1777" s="8"/>
      <c r="N1777" s="8"/>
      <c r="O1777" s="8"/>
      <c r="P1777" s="8"/>
    </row>
    <row r="1778" spans="1:16" s="7" customFormat="1" ht="42.75" customHeight="1" thickBot="1">
      <c r="A1778" s="103"/>
      <c r="B1778" s="104"/>
      <c r="C1778" s="96" t="s">
        <v>21</v>
      </c>
      <c r="D1778" s="97"/>
      <c r="J1778" s="8"/>
      <c r="K1778" s="8"/>
      <c r="L1778" s="8"/>
      <c r="M1778" s="8"/>
      <c r="N1778" s="8"/>
      <c r="O1778" s="8"/>
      <c r="P1778" s="8"/>
    </row>
    <row r="1779" spans="1:16" s="7" customFormat="1" ht="42.75" customHeight="1" thickBot="1">
      <c r="A1779" s="105">
        <v>4000</v>
      </c>
      <c r="B1779" s="106"/>
      <c r="C1779" s="96" t="s">
        <v>7</v>
      </c>
      <c r="D1779" s="97"/>
      <c r="J1779" s="8"/>
      <c r="K1779" s="8"/>
      <c r="L1779" s="8"/>
      <c r="M1779" s="8"/>
      <c r="N1779" s="8"/>
      <c r="O1779" s="8"/>
      <c r="P1779" s="8"/>
    </row>
    <row r="1780" spans="1:16" s="7" customFormat="1" ht="42.75" customHeight="1" thickBot="1">
      <c r="A1780" s="107" t="s">
        <v>17</v>
      </c>
      <c r="B1780" s="108"/>
      <c r="C1780" s="108"/>
      <c r="D1780" s="109"/>
      <c r="J1780" s="8"/>
      <c r="K1780" s="8"/>
      <c r="L1780" s="8"/>
      <c r="M1780" s="8"/>
      <c r="N1780" s="8"/>
      <c r="O1780" s="8"/>
      <c r="P1780" s="8"/>
    </row>
    <row r="1781" spans="1:16" s="7" customFormat="1" ht="42.75" customHeight="1" thickBot="1">
      <c r="A1781" s="110" t="s">
        <v>20</v>
      </c>
      <c r="B1781" s="111"/>
      <c r="C1781" s="111"/>
      <c r="D1781" s="112"/>
      <c r="J1781" s="8"/>
      <c r="K1781" s="8"/>
      <c r="L1781" s="8"/>
      <c r="M1781" s="8"/>
      <c r="N1781" s="8"/>
      <c r="O1781" s="8"/>
      <c r="P1781" s="8"/>
    </row>
    <row r="1782" spans="1:16" s="7" customFormat="1" ht="42.75" customHeight="1" thickBot="1">
      <c r="A1782" s="113" t="s">
        <v>18</v>
      </c>
      <c r="B1782" s="114"/>
      <c r="C1782" s="114"/>
      <c r="D1782" s="115"/>
      <c r="J1782" s="8"/>
      <c r="K1782" s="8"/>
      <c r="L1782" s="8"/>
      <c r="M1782" s="8"/>
      <c r="N1782" s="8"/>
      <c r="O1782" s="8"/>
      <c r="P1782" s="8"/>
    </row>
    <row r="1783" spans="1:16" s="7" customFormat="1" ht="42.75" customHeight="1" thickBot="1">
      <c r="A1783" s="126" t="s">
        <v>19</v>
      </c>
      <c r="B1783" s="127"/>
      <c r="C1783" s="127"/>
      <c r="D1783" s="128"/>
      <c r="J1783" s="8"/>
      <c r="K1783" s="8"/>
      <c r="L1783" s="8"/>
      <c r="M1783" s="8"/>
      <c r="N1783" s="8"/>
      <c r="O1783" s="8"/>
      <c r="P1783" s="8"/>
    </row>
    <row r="1784" spans="1:16" s="7" customFormat="1" ht="42.75" customHeight="1" thickBot="1">
      <c r="A1784" s="123" t="s">
        <v>11</v>
      </c>
      <c r="B1784" s="124"/>
      <c r="C1784" s="125" t="s">
        <v>603</v>
      </c>
      <c r="D1784" s="124"/>
      <c r="J1784" s="8"/>
      <c r="K1784" s="8"/>
      <c r="L1784" s="8"/>
      <c r="M1784" s="8"/>
      <c r="N1784" s="8"/>
      <c r="O1784" s="8"/>
      <c r="P1784" s="8"/>
    </row>
    <row r="1785" spans="1:16" s="7" customFormat="1" ht="42.75" customHeight="1" thickBot="1">
      <c r="A1785" s="1" t="s">
        <v>686</v>
      </c>
      <c r="B1785" s="26" t="s">
        <v>1</v>
      </c>
      <c r="C1785" s="90" t="s">
        <v>350</v>
      </c>
      <c r="D1785" s="91"/>
      <c r="J1785" s="8"/>
      <c r="K1785" s="8"/>
      <c r="L1785" s="8"/>
      <c r="M1785" s="8"/>
      <c r="N1785" s="8"/>
      <c r="O1785" s="8"/>
      <c r="P1785" s="8"/>
    </row>
    <row r="1786" spans="1:16" s="7" customFormat="1" ht="42.75" customHeight="1" thickBot="1">
      <c r="A1786" s="26"/>
      <c r="B1786" s="26" t="s">
        <v>0</v>
      </c>
      <c r="C1786" s="5" t="s">
        <v>687</v>
      </c>
      <c r="D1786" s="4" t="s">
        <v>2</v>
      </c>
      <c r="J1786" s="8"/>
      <c r="K1786" s="8"/>
      <c r="L1786" s="8"/>
      <c r="M1786" s="8"/>
      <c r="N1786" s="8"/>
      <c r="O1786" s="8"/>
      <c r="P1786" s="8"/>
    </row>
    <row r="1787" spans="1:16" s="7" customFormat="1" ht="42.75" customHeight="1" thickBot="1">
      <c r="A1787" s="92">
        <v>404</v>
      </c>
      <c r="B1787" s="93"/>
      <c r="C1787" s="94" t="s">
        <v>3</v>
      </c>
      <c r="D1787" s="95"/>
      <c r="J1787" s="8"/>
      <c r="K1787" s="8"/>
      <c r="L1787" s="8"/>
      <c r="M1787" s="8"/>
      <c r="N1787" s="8"/>
      <c r="O1787" s="8"/>
      <c r="P1787" s="8"/>
    </row>
    <row r="1788" spans="1:16" s="7" customFormat="1" ht="42.75" customHeight="1" thickBot="1">
      <c r="A1788" s="92">
        <v>440</v>
      </c>
      <c r="B1788" s="93"/>
      <c r="C1788" s="96" t="s">
        <v>4</v>
      </c>
      <c r="D1788" s="97"/>
      <c r="J1788" s="8"/>
      <c r="K1788" s="8"/>
      <c r="L1788" s="8"/>
      <c r="M1788" s="8"/>
      <c r="N1788" s="8"/>
      <c r="O1788" s="8"/>
      <c r="P1788" s="8"/>
    </row>
    <row r="1789" spans="1:16" s="7" customFormat="1" ht="42.75" customHeight="1" thickBot="1">
      <c r="A1789" s="98">
        <f>A1788-A1787</f>
        <v>36</v>
      </c>
      <c r="B1789" s="99"/>
      <c r="C1789" s="100" t="s">
        <v>5</v>
      </c>
      <c r="D1789" s="97"/>
      <c r="J1789" s="8"/>
      <c r="K1789" s="8"/>
      <c r="L1789" s="8"/>
      <c r="M1789" s="8"/>
      <c r="N1789" s="8"/>
      <c r="O1789" s="8"/>
      <c r="P1789" s="8"/>
    </row>
    <row r="1790" spans="1:16" s="7" customFormat="1" ht="42.75" customHeight="1" thickBot="1">
      <c r="A1790" s="101">
        <v>62</v>
      </c>
      <c r="B1790" s="102"/>
      <c r="C1790" s="96" t="s">
        <v>6</v>
      </c>
      <c r="D1790" s="97"/>
      <c r="J1790" s="8"/>
      <c r="K1790" s="8"/>
      <c r="L1790" s="8"/>
      <c r="M1790" s="8"/>
      <c r="N1790" s="8"/>
      <c r="O1790" s="8"/>
      <c r="P1790" s="8"/>
    </row>
    <row r="1791" spans="1:16" s="7" customFormat="1" ht="42.75" customHeight="1" thickBot="1">
      <c r="A1791" s="103"/>
      <c r="B1791" s="104"/>
      <c r="C1791" s="96" t="s">
        <v>21</v>
      </c>
      <c r="D1791" s="97"/>
      <c r="J1791" s="8"/>
      <c r="K1791" s="8"/>
      <c r="L1791" s="8"/>
      <c r="M1791" s="8"/>
      <c r="N1791" s="8"/>
      <c r="O1791" s="8"/>
      <c r="P1791" s="8"/>
    </row>
    <row r="1792" spans="1:16" s="7" customFormat="1" ht="42.75" customHeight="1" thickBot="1">
      <c r="A1792" s="105">
        <v>2350</v>
      </c>
      <c r="B1792" s="106"/>
      <c r="C1792" s="96" t="s">
        <v>7</v>
      </c>
      <c r="D1792" s="97"/>
      <c r="J1792" s="8"/>
      <c r="K1792" s="8"/>
      <c r="L1792" s="8"/>
      <c r="M1792" s="8"/>
      <c r="N1792" s="8"/>
      <c r="O1792" s="8"/>
      <c r="P1792" s="8"/>
    </row>
    <row r="1793" spans="1:16" s="7" customFormat="1" ht="42.75" customHeight="1" thickBot="1">
      <c r="A1793" s="107" t="s">
        <v>17</v>
      </c>
      <c r="B1793" s="108"/>
      <c r="C1793" s="108"/>
      <c r="D1793" s="109"/>
      <c r="J1793" s="8"/>
      <c r="K1793" s="8"/>
      <c r="L1793" s="8"/>
      <c r="M1793" s="8"/>
      <c r="N1793" s="8"/>
      <c r="O1793" s="8"/>
      <c r="P1793" s="8"/>
    </row>
    <row r="1794" spans="1:16" s="7" customFormat="1" ht="42.75" customHeight="1" thickBot="1">
      <c r="A1794" s="116" t="s">
        <v>20</v>
      </c>
      <c r="B1794" s="117"/>
      <c r="C1794" s="117"/>
      <c r="D1794" s="118"/>
      <c r="J1794" s="8"/>
      <c r="K1794" s="8"/>
      <c r="L1794" s="8"/>
      <c r="M1794" s="8"/>
      <c r="N1794" s="8"/>
      <c r="O1794" s="8"/>
      <c r="P1794" s="8"/>
    </row>
    <row r="1795" spans="1:16" s="7" customFormat="1" ht="42.75" customHeight="1" thickBot="1">
      <c r="A1795" s="113" t="s">
        <v>18</v>
      </c>
      <c r="B1795" s="114"/>
      <c r="C1795" s="114"/>
      <c r="D1795" s="115"/>
      <c r="J1795" s="8"/>
      <c r="K1795" s="8"/>
      <c r="L1795" s="8"/>
      <c r="M1795" s="8"/>
      <c r="N1795" s="8"/>
      <c r="O1795" s="8"/>
      <c r="P1795" s="8"/>
    </row>
    <row r="1796" spans="1:16" s="7" customFormat="1" ht="42.75" customHeight="1" thickBot="1">
      <c r="A1796" s="119"/>
      <c r="B1796" s="119"/>
      <c r="C1796" s="119"/>
      <c r="D1796" s="119"/>
      <c r="J1796" s="8"/>
      <c r="K1796" s="8"/>
      <c r="L1796" s="8"/>
      <c r="M1796" s="8"/>
      <c r="N1796" s="8"/>
      <c r="O1796" s="8"/>
      <c r="P1796" s="8"/>
    </row>
    <row r="1797" spans="1:16" s="7" customFormat="1" ht="42.75" customHeight="1" thickBot="1">
      <c r="A1797" s="126" t="s">
        <v>19</v>
      </c>
      <c r="B1797" s="127"/>
      <c r="C1797" s="127"/>
      <c r="D1797" s="128"/>
      <c r="J1797" s="8"/>
      <c r="K1797" s="8"/>
      <c r="L1797" s="8"/>
      <c r="M1797" s="8"/>
      <c r="N1797" s="8"/>
      <c r="O1797" s="8"/>
      <c r="P1797" s="8"/>
    </row>
    <row r="1798" spans="1:16" s="7" customFormat="1" ht="42.75" customHeight="1" thickBot="1">
      <c r="A1798" s="123" t="s">
        <v>11</v>
      </c>
      <c r="B1798" s="124"/>
      <c r="C1798" s="125" t="s">
        <v>603</v>
      </c>
      <c r="D1798" s="124"/>
      <c r="J1798" s="8"/>
      <c r="K1798" s="8"/>
      <c r="L1798" s="8"/>
      <c r="M1798" s="8"/>
      <c r="N1798" s="8"/>
      <c r="O1798" s="8"/>
      <c r="P1798" s="8"/>
    </row>
    <row r="1799" spans="1:16" s="7" customFormat="1" ht="42.75" customHeight="1" thickBot="1">
      <c r="A1799" s="1" t="s">
        <v>686</v>
      </c>
      <c r="B1799" s="26" t="s">
        <v>1</v>
      </c>
      <c r="C1799" s="90" t="s">
        <v>350</v>
      </c>
      <c r="D1799" s="91"/>
      <c r="J1799" s="8"/>
      <c r="K1799" s="8"/>
      <c r="L1799" s="8"/>
      <c r="M1799" s="8"/>
      <c r="N1799" s="8"/>
      <c r="O1799" s="8"/>
      <c r="P1799" s="8"/>
    </row>
    <row r="1800" spans="1:16" s="7" customFormat="1" ht="42.75" customHeight="1" thickBot="1">
      <c r="A1800" s="26"/>
      <c r="B1800" s="26" t="s">
        <v>0</v>
      </c>
      <c r="C1800" s="5" t="s">
        <v>687</v>
      </c>
      <c r="D1800" s="4" t="s">
        <v>2</v>
      </c>
      <c r="J1800" s="8"/>
      <c r="K1800" s="8"/>
      <c r="L1800" s="8"/>
      <c r="M1800" s="8"/>
      <c r="N1800" s="8"/>
      <c r="O1800" s="8"/>
      <c r="P1800" s="8"/>
    </row>
    <row r="1801" spans="1:16" s="7" customFormat="1" ht="42.75" customHeight="1" thickBot="1">
      <c r="A1801" s="92">
        <v>404</v>
      </c>
      <c r="B1801" s="93"/>
      <c r="C1801" s="94" t="s">
        <v>3</v>
      </c>
      <c r="D1801" s="95"/>
      <c r="J1801" s="8"/>
      <c r="K1801" s="8"/>
      <c r="L1801" s="8"/>
      <c r="M1801" s="8"/>
      <c r="N1801" s="8"/>
      <c r="O1801" s="8"/>
      <c r="P1801" s="8"/>
    </row>
    <row r="1802" spans="1:16" s="7" customFormat="1" ht="42.75" customHeight="1" thickBot="1">
      <c r="A1802" s="92">
        <v>440</v>
      </c>
      <c r="B1802" s="93"/>
      <c r="C1802" s="96" t="s">
        <v>4</v>
      </c>
      <c r="D1802" s="97"/>
      <c r="J1802" s="8"/>
      <c r="K1802" s="8"/>
      <c r="L1802" s="8"/>
      <c r="M1802" s="8"/>
      <c r="N1802" s="8"/>
      <c r="O1802" s="8"/>
      <c r="P1802" s="8"/>
    </row>
    <row r="1803" spans="1:16" s="7" customFormat="1" ht="42.75" customHeight="1" thickBot="1">
      <c r="A1803" s="98">
        <f>A1802-A1801</f>
        <v>36</v>
      </c>
      <c r="B1803" s="99"/>
      <c r="C1803" s="100" t="s">
        <v>5</v>
      </c>
      <c r="D1803" s="97"/>
      <c r="J1803" s="8"/>
      <c r="K1803" s="8"/>
      <c r="L1803" s="8"/>
      <c r="M1803" s="8"/>
      <c r="N1803" s="8"/>
      <c r="O1803" s="8"/>
      <c r="P1803" s="8"/>
    </row>
    <row r="1804" spans="1:16" s="7" customFormat="1" ht="42.75" customHeight="1" thickBot="1">
      <c r="A1804" s="101">
        <v>62</v>
      </c>
      <c r="B1804" s="102"/>
      <c r="C1804" s="96" t="s">
        <v>6</v>
      </c>
      <c r="D1804" s="97"/>
      <c r="J1804" s="8"/>
      <c r="K1804" s="8"/>
      <c r="L1804" s="8"/>
      <c r="M1804" s="8"/>
      <c r="N1804" s="8"/>
      <c r="O1804" s="8"/>
      <c r="P1804" s="8"/>
    </row>
    <row r="1805" spans="1:16" s="7" customFormat="1" ht="42.75" customHeight="1" thickBot="1">
      <c r="A1805" s="103"/>
      <c r="B1805" s="104"/>
      <c r="C1805" s="96" t="s">
        <v>21</v>
      </c>
      <c r="D1805" s="97"/>
      <c r="J1805" s="8"/>
      <c r="K1805" s="8"/>
      <c r="L1805" s="8"/>
      <c r="M1805" s="8"/>
      <c r="N1805" s="8"/>
      <c r="O1805" s="8"/>
      <c r="P1805" s="8"/>
    </row>
    <row r="1806" spans="1:16" s="7" customFormat="1" ht="42.75" customHeight="1" thickBot="1">
      <c r="A1806" s="105">
        <v>2350</v>
      </c>
      <c r="B1806" s="106"/>
      <c r="C1806" s="96" t="s">
        <v>7</v>
      </c>
      <c r="D1806" s="97"/>
      <c r="J1806" s="8"/>
      <c r="K1806" s="8"/>
      <c r="L1806" s="8"/>
      <c r="M1806" s="8"/>
      <c r="N1806" s="8"/>
      <c r="O1806" s="8"/>
      <c r="P1806" s="8"/>
    </row>
    <row r="1807" spans="1:16" s="7" customFormat="1" ht="42.75" customHeight="1" thickBot="1">
      <c r="A1807" s="107" t="s">
        <v>17</v>
      </c>
      <c r="B1807" s="108"/>
      <c r="C1807" s="108"/>
      <c r="D1807" s="109"/>
      <c r="J1807" s="8"/>
      <c r="K1807" s="8"/>
      <c r="L1807" s="8"/>
      <c r="M1807" s="8"/>
      <c r="N1807" s="8"/>
      <c r="O1807" s="8"/>
      <c r="P1807" s="8"/>
    </row>
    <row r="1808" spans="1:16" s="7" customFormat="1" ht="42.75" customHeight="1" thickBot="1">
      <c r="A1808" s="110" t="s">
        <v>20</v>
      </c>
      <c r="B1808" s="111"/>
      <c r="C1808" s="111"/>
      <c r="D1808" s="112"/>
      <c r="J1808" s="8"/>
      <c r="K1808" s="8"/>
      <c r="L1808" s="8"/>
      <c r="M1808" s="8"/>
      <c r="N1808" s="8"/>
      <c r="O1808" s="8"/>
      <c r="P1808" s="8"/>
    </row>
    <row r="1809" spans="1:16" s="7" customFormat="1" ht="42.75" customHeight="1" thickBot="1">
      <c r="A1809" s="113" t="s">
        <v>18</v>
      </c>
      <c r="B1809" s="114"/>
      <c r="C1809" s="114"/>
      <c r="D1809" s="115"/>
      <c r="J1809" s="8"/>
      <c r="K1809" s="8"/>
      <c r="L1809" s="8"/>
      <c r="M1809" s="8"/>
      <c r="N1809" s="8"/>
      <c r="O1809" s="8"/>
      <c r="P1809" s="8"/>
    </row>
    <row r="1810" spans="1:16" s="7" customFormat="1" ht="42.75" customHeight="1" thickBot="1">
      <c r="A1810" s="126" t="s">
        <v>19</v>
      </c>
      <c r="B1810" s="127"/>
      <c r="C1810" s="127"/>
      <c r="D1810" s="128"/>
      <c r="J1810" s="8"/>
      <c r="K1810" s="8"/>
      <c r="L1810" s="8"/>
      <c r="M1810" s="8"/>
      <c r="N1810" s="8"/>
      <c r="O1810" s="8"/>
      <c r="P1810" s="8"/>
    </row>
    <row r="1811" spans="1:16" s="7" customFormat="1" ht="42.75" customHeight="1" thickBot="1">
      <c r="A1811" s="123" t="s">
        <v>11</v>
      </c>
      <c r="B1811" s="124"/>
      <c r="C1811" s="125" t="s">
        <v>603</v>
      </c>
      <c r="D1811" s="124"/>
      <c r="J1811" s="8"/>
      <c r="K1811" s="8"/>
      <c r="L1811" s="8"/>
      <c r="M1811" s="8"/>
      <c r="N1811" s="8"/>
      <c r="O1811" s="8"/>
      <c r="P1811" s="8"/>
    </row>
    <row r="1812" spans="1:16" s="7" customFormat="1" ht="42.75" customHeight="1" thickBot="1">
      <c r="A1812" s="1" t="s">
        <v>686</v>
      </c>
      <c r="B1812" s="26" t="s">
        <v>1</v>
      </c>
      <c r="C1812" s="90" t="s">
        <v>351</v>
      </c>
      <c r="D1812" s="91"/>
      <c r="J1812" s="8"/>
      <c r="K1812" s="8"/>
      <c r="L1812" s="8"/>
      <c r="M1812" s="8"/>
      <c r="N1812" s="8"/>
      <c r="O1812" s="8"/>
      <c r="P1812" s="8"/>
    </row>
    <row r="1813" spans="1:16" s="7" customFormat="1" ht="42.75" customHeight="1" thickBot="1">
      <c r="A1813" s="26"/>
      <c r="B1813" s="26" t="s">
        <v>0</v>
      </c>
      <c r="C1813" s="5" t="s">
        <v>687</v>
      </c>
      <c r="D1813" s="4" t="s">
        <v>2</v>
      </c>
      <c r="J1813" s="8"/>
      <c r="K1813" s="8"/>
      <c r="L1813" s="8"/>
      <c r="M1813" s="8"/>
      <c r="N1813" s="8"/>
      <c r="O1813" s="8"/>
      <c r="P1813" s="8"/>
    </row>
    <row r="1814" spans="1:16" s="7" customFormat="1" ht="42.75" customHeight="1" thickBot="1">
      <c r="A1814" s="92">
        <v>88</v>
      </c>
      <c r="B1814" s="93"/>
      <c r="C1814" s="94" t="s">
        <v>3</v>
      </c>
      <c r="D1814" s="95"/>
      <c r="J1814" s="8"/>
      <c r="K1814" s="8"/>
      <c r="L1814" s="8"/>
      <c r="M1814" s="8"/>
      <c r="N1814" s="8"/>
      <c r="O1814" s="8"/>
      <c r="P1814" s="8"/>
    </row>
    <row r="1815" spans="1:16" s="7" customFormat="1" ht="42.75" customHeight="1" thickBot="1">
      <c r="A1815" s="92">
        <v>115</v>
      </c>
      <c r="B1815" s="93"/>
      <c r="C1815" s="96" t="s">
        <v>4</v>
      </c>
      <c r="D1815" s="97"/>
      <c r="J1815" s="8"/>
      <c r="K1815" s="8"/>
      <c r="L1815" s="8"/>
      <c r="M1815" s="8"/>
      <c r="N1815" s="8"/>
      <c r="O1815" s="8"/>
      <c r="P1815" s="8"/>
    </row>
    <row r="1816" spans="1:16" s="7" customFormat="1" ht="42.75" customHeight="1" thickBot="1">
      <c r="A1816" s="98">
        <f>A1815-A1814</f>
        <v>27</v>
      </c>
      <c r="B1816" s="99"/>
      <c r="C1816" s="100" t="s">
        <v>5</v>
      </c>
      <c r="D1816" s="97"/>
      <c r="J1816" s="8"/>
      <c r="K1816" s="8"/>
      <c r="L1816" s="8"/>
      <c r="M1816" s="8"/>
      <c r="N1816" s="8"/>
      <c r="O1816" s="8"/>
      <c r="P1816" s="8"/>
    </row>
    <row r="1817" spans="1:16" s="7" customFormat="1" ht="42.75" customHeight="1" thickBot="1">
      <c r="A1817" s="101">
        <v>62</v>
      </c>
      <c r="B1817" s="102"/>
      <c r="C1817" s="96" t="s">
        <v>6</v>
      </c>
      <c r="D1817" s="97"/>
      <c r="J1817" s="8"/>
      <c r="K1817" s="8"/>
      <c r="L1817" s="8"/>
      <c r="M1817" s="8"/>
      <c r="N1817" s="8"/>
      <c r="O1817" s="8"/>
      <c r="P1817" s="8"/>
    </row>
    <row r="1818" spans="1:16" s="7" customFormat="1" ht="42.75" customHeight="1" thickBot="1">
      <c r="A1818" s="103"/>
      <c r="B1818" s="104"/>
      <c r="C1818" s="96" t="s">
        <v>21</v>
      </c>
      <c r="D1818" s="97"/>
      <c r="J1818" s="8"/>
      <c r="K1818" s="8"/>
      <c r="L1818" s="8"/>
      <c r="M1818" s="8"/>
      <c r="N1818" s="8"/>
      <c r="O1818" s="8"/>
      <c r="P1818" s="8"/>
    </row>
    <row r="1819" spans="1:16" s="7" customFormat="1" ht="42.75" customHeight="1" thickBot="1">
      <c r="A1819" s="105">
        <v>1700</v>
      </c>
      <c r="B1819" s="106"/>
      <c r="C1819" s="96" t="s">
        <v>7</v>
      </c>
      <c r="D1819" s="97"/>
      <c r="J1819" s="8"/>
      <c r="K1819" s="8"/>
      <c r="L1819" s="8"/>
      <c r="M1819" s="8"/>
      <c r="N1819" s="8"/>
      <c r="O1819" s="8"/>
      <c r="P1819" s="8"/>
    </row>
    <row r="1820" spans="1:16" s="7" customFormat="1" ht="42.75" customHeight="1" thickBot="1">
      <c r="A1820" s="107" t="s">
        <v>17</v>
      </c>
      <c r="B1820" s="108"/>
      <c r="C1820" s="108"/>
      <c r="D1820" s="109"/>
      <c r="J1820" s="8"/>
      <c r="K1820" s="8"/>
      <c r="L1820" s="8"/>
      <c r="M1820" s="8"/>
      <c r="N1820" s="8"/>
      <c r="O1820" s="8"/>
      <c r="P1820" s="8"/>
    </row>
    <row r="1821" spans="1:16" s="7" customFormat="1" ht="42.75" customHeight="1" thickBot="1">
      <c r="A1821" s="116" t="s">
        <v>20</v>
      </c>
      <c r="B1821" s="117"/>
      <c r="C1821" s="117"/>
      <c r="D1821" s="118"/>
      <c r="J1821" s="8"/>
      <c r="K1821" s="8"/>
      <c r="L1821" s="8"/>
      <c r="M1821" s="8"/>
      <c r="N1821" s="8"/>
      <c r="O1821" s="8"/>
      <c r="P1821" s="8"/>
    </row>
    <row r="1822" spans="1:16" s="7" customFormat="1" ht="42.75" customHeight="1" thickBot="1">
      <c r="A1822" s="113" t="s">
        <v>18</v>
      </c>
      <c r="B1822" s="114"/>
      <c r="C1822" s="114"/>
      <c r="D1822" s="115"/>
      <c r="J1822" s="8"/>
      <c r="K1822" s="8"/>
      <c r="L1822" s="8"/>
      <c r="M1822" s="8"/>
      <c r="N1822" s="8"/>
      <c r="O1822" s="8"/>
      <c r="P1822" s="8"/>
    </row>
    <row r="1823" spans="1:16" s="7" customFormat="1" ht="42.75" customHeight="1" thickBot="1">
      <c r="A1823" s="119"/>
      <c r="B1823" s="119"/>
      <c r="C1823" s="119"/>
      <c r="D1823" s="119"/>
      <c r="J1823" s="8"/>
      <c r="K1823" s="8"/>
      <c r="L1823" s="8"/>
      <c r="M1823" s="8"/>
      <c r="N1823" s="8"/>
      <c r="O1823" s="8"/>
      <c r="P1823" s="8"/>
    </row>
    <row r="1824" spans="1:16" s="7" customFormat="1" ht="42.75" customHeight="1" thickBot="1">
      <c r="A1824" s="126" t="s">
        <v>19</v>
      </c>
      <c r="B1824" s="127"/>
      <c r="C1824" s="127"/>
      <c r="D1824" s="128"/>
      <c r="J1824" s="8"/>
      <c r="K1824" s="8"/>
      <c r="L1824" s="8"/>
      <c r="M1824" s="8"/>
      <c r="N1824" s="8"/>
      <c r="O1824" s="8"/>
      <c r="P1824" s="8"/>
    </row>
    <row r="1825" spans="1:16" s="7" customFormat="1" ht="42.75" customHeight="1" thickBot="1">
      <c r="A1825" s="123" t="s">
        <v>11</v>
      </c>
      <c r="B1825" s="124"/>
      <c r="C1825" s="125" t="s">
        <v>603</v>
      </c>
      <c r="D1825" s="124"/>
      <c r="J1825" s="8"/>
      <c r="K1825" s="8"/>
      <c r="L1825" s="8"/>
      <c r="M1825" s="8"/>
      <c r="N1825" s="8"/>
      <c r="O1825" s="8"/>
      <c r="P1825" s="8"/>
    </row>
    <row r="1826" spans="1:16" s="7" customFormat="1" ht="42.75" customHeight="1" thickBot="1">
      <c r="A1826" s="1" t="s">
        <v>686</v>
      </c>
      <c r="B1826" s="26" t="s">
        <v>1</v>
      </c>
      <c r="C1826" s="90" t="s">
        <v>351</v>
      </c>
      <c r="D1826" s="91"/>
      <c r="J1826" s="8"/>
      <c r="K1826" s="8"/>
      <c r="L1826" s="8"/>
      <c r="M1826" s="8"/>
      <c r="N1826" s="8"/>
      <c r="O1826" s="8"/>
      <c r="P1826" s="8"/>
    </row>
    <row r="1827" spans="1:16" s="7" customFormat="1" ht="42.75" customHeight="1" thickBot="1">
      <c r="A1827" s="26"/>
      <c r="B1827" s="26" t="s">
        <v>0</v>
      </c>
      <c r="C1827" s="5" t="s">
        <v>687</v>
      </c>
      <c r="D1827" s="4" t="s">
        <v>2</v>
      </c>
      <c r="J1827" s="8"/>
      <c r="K1827" s="8"/>
      <c r="L1827" s="8"/>
      <c r="M1827" s="8"/>
      <c r="N1827" s="8"/>
      <c r="O1827" s="8"/>
      <c r="P1827" s="8"/>
    </row>
    <row r="1828" spans="1:16" s="7" customFormat="1" ht="42.75" customHeight="1" thickBot="1">
      <c r="A1828" s="92">
        <v>88</v>
      </c>
      <c r="B1828" s="93"/>
      <c r="C1828" s="94" t="s">
        <v>3</v>
      </c>
      <c r="D1828" s="95"/>
      <c r="J1828" s="8"/>
      <c r="K1828" s="8"/>
      <c r="L1828" s="8"/>
      <c r="M1828" s="8"/>
      <c r="N1828" s="8"/>
      <c r="O1828" s="8"/>
      <c r="P1828" s="8"/>
    </row>
    <row r="1829" spans="1:16" s="7" customFormat="1" ht="42.75" customHeight="1" thickBot="1">
      <c r="A1829" s="92">
        <v>115</v>
      </c>
      <c r="B1829" s="93"/>
      <c r="C1829" s="96" t="s">
        <v>4</v>
      </c>
      <c r="D1829" s="97"/>
      <c r="J1829" s="8"/>
      <c r="K1829" s="8"/>
      <c r="L1829" s="8"/>
      <c r="M1829" s="8"/>
      <c r="N1829" s="8"/>
      <c r="O1829" s="8"/>
      <c r="P1829" s="8"/>
    </row>
    <row r="1830" spans="1:16" s="7" customFormat="1" ht="42.75" customHeight="1" thickBot="1">
      <c r="A1830" s="98">
        <f>A1829-A1828</f>
        <v>27</v>
      </c>
      <c r="B1830" s="99"/>
      <c r="C1830" s="100" t="s">
        <v>5</v>
      </c>
      <c r="D1830" s="97"/>
      <c r="J1830" s="8"/>
      <c r="K1830" s="8"/>
      <c r="L1830" s="8"/>
      <c r="M1830" s="8"/>
      <c r="N1830" s="8"/>
      <c r="O1830" s="8"/>
      <c r="P1830" s="8"/>
    </row>
    <row r="1831" spans="1:16" s="7" customFormat="1" ht="42.75" customHeight="1" thickBot="1">
      <c r="A1831" s="101">
        <v>62</v>
      </c>
      <c r="B1831" s="102"/>
      <c r="C1831" s="96" t="s">
        <v>6</v>
      </c>
      <c r="D1831" s="97"/>
      <c r="J1831" s="8"/>
      <c r="K1831" s="8"/>
      <c r="L1831" s="8"/>
      <c r="M1831" s="8"/>
      <c r="N1831" s="8"/>
      <c r="O1831" s="8"/>
      <c r="P1831" s="8"/>
    </row>
    <row r="1832" spans="1:16" s="7" customFormat="1" ht="42.75" customHeight="1" thickBot="1">
      <c r="A1832" s="103"/>
      <c r="B1832" s="104"/>
      <c r="C1832" s="96" t="s">
        <v>21</v>
      </c>
      <c r="D1832" s="97"/>
      <c r="J1832" s="8"/>
      <c r="K1832" s="8"/>
      <c r="L1832" s="8"/>
      <c r="M1832" s="8"/>
      <c r="N1832" s="8"/>
      <c r="O1832" s="8"/>
      <c r="P1832" s="8"/>
    </row>
    <row r="1833" spans="1:16" s="7" customFormat="1" ht="42.75" customHeight="1" thickBot="1">
      <c r="A1833" s="105">
        <v>1700</v>
      </c>
      <c r="B1833" s="106"/>
      <c r="C1833" s="96" t="s">
        <v>7</v>
      </c>
      <c r="D1833" s="97"/>
      <c r="J1833" s="8"/>
      <c r="K1833" s="8"/>
      <c r="L1833" s="8"/>
      <c r="M1833" s="8"/>
      <c r="N1833" s="8"/>
      <c r="O1833" s="8"/>
      <c r="P1833" s="8"/>
    </row>
    <row r="1834" spans="1:16" s="7" customFormat="1" ht="42.75" customHeight="1" thickBot="1">
      <c r="A1834" s="107" t="s">
        <v>17</v>
      </c>
      <c r="B1834" s="108"/>
      <c r="C1834" s="108"/>
      <c r="D1834" s="109"/>
      <c r="J1834" s="8"/>
      <c r="K1834" s="8"/>
      <c r="L1834" s="8"/>
      <c r="M1834" s="8"/>
      <c r="N1834" s="8"/>
      <c r="O1834" s="8"/>
      <c r="P1834" s="8"/>
    </row>
    <row r="1835" spans="1:16" s="7" customFormat="1" ht="42.75" customHeight="1" thickBot="1">
      <c r="A1835" s="110" t="s">
        <v>20</v>
      </c>
      <c r="B1835" s="111"/>
      <c r="C1835" s="111"/>
      <c r="D1835" s="112"/>
      <c r="J1835" s="8"/>
      <c r="K1835" s="8"/>
      <c r="L1835" s="8"/>
      <c r="M1835" s="8"/>
      <c r="N1835" s="8"/>
      <c r="O1835" s="8"/>
      <c r="P1835" s="8"/>
    </row>
    <row r="1836" spans="1:16" s="7" customFormat="1" ht="42.75" customHeight="1" thickBot="1">
      <c r="A1836" s="113" t="s">
        <v>18</v>
      </c>
      <c r="B1836" s="114"/>
      <c r="C1836" s="114"/>
      <c r="D1836" s="115"/>
      <c r="J1836" s="8"/>
      <c r="K1836" s="8"/>
      <c r="L1836" s="8"/>
      <c r="M1836" s="8"/>
      <c r="N1836" s="8"/>
      <c r="O1836" s="8"/>
      <c r="P1836" s="8"/>
    </row>
    <row r="1837" spans="1:16" s="7" customFormat="1" ht="42.75" customHeight="1" thickBot="1">
      <c r="A1837" s="126" t="s">
        <v>19</v>
      </c>
      <c r="B1837" s="127"/>
      <c r="C1837" s="127"/>
      <c r="D1837" s="128"/>
      <c r="J1837" s="8"/>
      <c r="K1837" s="8"/>
      <c r="L1837" s="8"/>
      <c r="M1837" s="8"/>
      <c r="N1837" s="8"/>
      <c r="O1837" s="8"/>
      <c r="P1837" s="8"/>
    </row>
    <row r="1838" spans="1:16" s="7" customFormat="1" ht="42.75" customHeight="1" thickBot="1">
      <c r="A1838" s="123" t="s">
        <v>11</v>
      </c>
      <c r="B1838" s="124"/>
      <c r="C1838" s="125" t="s">
        <v>603</v>
      </c>
      <c r="D1838" s="124"/>
      <c r="J1838" s="8"/>
      <c r="K1838" s="8"/>
      <c r="L1838" s="8"/>
      <c r="M1838" s="8"/>
      <c r="N1838" s="8"/>
      <c r="O1838" s="8"/>
      <c r="P1838" s="8"/>
    </row>
    <row r="1839" spans="1:16" s="7" customFormat="1" ht="42.75" customHeight="1" thickBot="1">
      <c r="A1839" s="1" t="s">
        <v>686</v>
      </c>
      <c r="B1839" s="26" t="s">
        <v>1</v>
      </c>
      <c r="C1839" s="90" t="s">
        <v>552</v>
      </c>
      <c r="D1839" s="91"/>
      <c r="J1839" s="8"/>
      <c r="K1839" s="8"/>
      <c r="L1839" s="8"/>
      <c r="M1839" s="8"/>
      <c r="N1839" s="8"/>
      <c r="O1839" s="8"/>
      <c r="P1839" s="8"/>
    </row>
    <row r="1840" spans="1:16" s="7" customFormat="1" ht="42.75" customHeight="1" thickBot="1">
      <c r="A1840" s="26"/>
      <c r="B1840" s="26" t="s">
        <v>0</v>
      </c>
      <c r="C1840" s="5" t="s">
        <v>687</v>
      </c>
      <c r="D1840" s="4" t="s">
        <v>2</v>
      </c>
      <c r="J1840" s="8"/>
      <c r="K1840" s="8"/>
      <c r="L1840" s="8"/>
      <c r="M1840" s="8"/>
      <c r="N1840" s="8"/>
      <c r="O1840" s="8"/>
      <c r="P1840" s="8"/>
    </row>
    <row r="1841" spans="1:16" s="7" customFormat="1" ht="42.75" customHeight="1" thickBot="1">
      <c r="A1841" s="92">
        <v>80</v>
      </c>
      <c r="B1841" s="93"/>
      <c r="C1841" s="94" t="s">
        <v>3</v>
      </c>
      <c r="D1841" s="95"/>
      <c r="J1841" s="8"/>
      <c r="K1841" s="8"/>
      <c r="L1841" s="8"/>
      <c r="M1841" s="8"/>
      <c r="N1841" s="8"/>
      <c r="O1841" s="8"/>
      <c r="P1841" s="8"/>
    </row>
    <row r="1842" spans="1:16" s="7" customFormat="1" ht="42.75" customHeight="1" thickBot="1">
      <c r="A1842" s="92">
        <v>100</v>
      </c>
      <c r="B1842" s="93"/>
      <c r="C1842" s="96" t="s">
        <v>4</v>
      </c>
      <c r="D1842" s="97"/>
      <c r="J1842" s="8"/>
      <c r="K1842" s="8"/>
      <c r="L1842" s="8"/>
      <c r="M1842" s="8"/>
      <c r="N1842" s="8"/>
      <c r="O1842" s="8"/>
      <c r="P1842" s="8"/>
    </row>
    <row r="1843" spans="1:16" s="7" customFormat="1" ht="42.75" customHeight="1" thickBot="1">
      <c r="A1843" s="98">
        <f>A1842-A1841</f>
        <v>20</v>
      </c>
      <c r="B1843" s="99"/>
      <c r="C1843" s="100" t="s">
        <v>5</v>
      </c>
      <c r="D1843" s="97"/>
      <c r="J1843" s="8"/>
      <c r="K1843" s="8"/>
      <c r="L1843" s="8"/>
      <c r="M1843" s="8"/>
      <c r="N1843" s="8"/>
      <c r="O1843" s="8"/>
      <c r="P1843" s="8"/>
    </row>
    <row r="1844" spans="1:16" s="7" customFormat="1" ht="42.75" customHeight="1" thickBot="1">
      <c r="A1844" s="101">
        <v>62</v>
      </c>
      <c r="B1844" s="102"/>
      <c r="C1844" s="96" t="s">
        <v>6</v>
      </c>
      <c r="D1844" s="97"/>
      <c r="J1844" s="8"/>
      <c r="K1844" s="8"/>
      <c r="L1844" s="8"/>
      <c r="M1844" s="8"/>
      <c r="N1844" s="8"/>
      <c r="O1844" s="8"/>
      <c r="P1844" s="8"/>
    </row>
    <row r="1845" spans="1:16" s="7" customFormat="1" ht="42.75" customHeight="1" thickBot="1">
      <c r="A1845" s="103"/>
      <c r="B1845" s="104"/>
      <c r="C1845" s="96" t="s">
        <v>21</v>
      </c>
      <c r="D1845" s="97"/>
      <c r="J1845" s="8"/>
      <c r="K1845" s="8"/>
      <c r="L1845" s="8"/>
      <c r="M1845" s="8"/>
      <c r="N1845" s="8"/>
      <c r="O1845" s="8"/>
      <c r="P1845" s="8"/>
    </row>
    <row r="1846" spans="1:16" s="7" customFormat="1" ht="42.75" customHeight="1" thickBot="1">
      <c r="A1846" s="105">
        <v>1250</v>
      </c>
      <c r="B1846" s="106"/>
      <c r="C1846" s="96" t="s">
        <v>7</v>
      </c>
      <c r="D1846" s="97"/>
      <c r="J1846" s="8"/>
      <c r="K1846" s="8"/>
      <c r="L1846" s="8"/>
      <c r="M1846" s="8"/>
      <c r="N1846" s="8"/>
      <c r="O1846" s="8"/>
      <c r="P1846" s="8"/>
    </row>
    <row r="1847" spans="1:16" s="7" customFormat="1" ht="42.75" customHeight="1" thickBot="1">
      <c r="A1847" s="107" t="s">
        <v>17</v>
      </c>
      <c r="B1847" s="108"/>
      <c r="C1847" s="108"/>
      <c r="D1847" s="109"/>
      <c r="J1847" s="8"/>
      <c r="K1847" s="8"/>
      <c r="L1847" s="8"/>
      <c r="M1847" s="8"/>
      <c r="N1847" s="8"/>
      <c r="O1847" s="8"/>
      <c r="P1847" s="8"/>
    </row>
    <row r="1848" spans="1:16" s="7" customFormat="1" ht="42.75" customHeight="1" thickBot="1">
      <c r="A1848" s="116" t="s">
        <v>20</v>
      </c>
      <c r="B1848" s="117"/>
      <c r="C1848" s="117"/>
      <c r="D1848" s="118"/>
      <c r="J1848" s="8"/>
      <c r="K1848" s="8"/>
      <c r="L1848" s="8"/>
      <c r="M1848" s="8"/>
      <c r="N1848" s="8"/>
      <c r="O1848" s="8"/>
      <c r="P1848" s="8"/>
    </row>
    <row r="1849" spans="1:16" s="7" customFormat="1" ht="42.75" customHeight="1" thickBot="1">
      <c r="A1849" s="113" t="s">
        <v>18</v>
      </c>
      <c r="B1849" s="114"/>
      <c r="C1849" s="114"/>
      <c r="D1849" s="115"/>
      <c r="J1849" s="8"/>
      <c r="K1849" s="8"/>
      <c r="L1849" s="8"/>
      <c r="M1849" s="8"/>
      <c r="N1849" s="8"/>
      <c r="O1849" s="8"/>
      <c r="P1849" s="8"/>
    </row>
    <row r="1850" spans="1:16" s="7" customFormat="1" ht="42.75" customHeight="1" thickBot="1">
      <c r="A1850" s="119"/>
      <c r="B1850" s="119"/>
      <c r="C1850" s="119"/>
      <c r="D1850" s="119"/>
      <c r="J1850" s="8"/>
      <c r="K1850" s="8"/>
      <c r="L1850" s="8"/>
      <c r="M1850" s="8"/>
      <c r="N1850" s="8"/>
      <c r="O1850" s="8"/>
      <c r="P1850" s="8"/>
    </row>
    <row r="1851" spans="1:16" s="7" customFormat="1" ht="42.75" customHeight="1" thickBot="1">
      <c r="A1851" s="126" t="s">
        <v>19</v>
      </c>
      <c r="B1851" s="127"/>
      <c r="C1851" s="127"/>
      <c r="D1851" s="128"/>
      <c r="J1851" s="8"/>
      <c r="K1851" s="8"/>
      <c r="L1851" s="8"/>
      <c r="M1851" s="8"/>
      <c r="N1851" s="8"/>
      <c r="O1851" s="8"/>
      <c r="P1851" s="8"/>
    </row>
    <row r="1852" spans="1:16" s="7" customFormat="1" ht="42.75" customHeight="1" thickBot="1">
      <c r="A1852" s="123" t="s">
        <v>11</v>
      </c>
      <c r="B1852" s="124"/>
      <c r="C1852" s="125" t="s">
        <v>603</v>
      </c>
      <c r="D1852" s="124"/>
      <c r="J1852" s="8"/>
      <c r="K1852" s="8"/>
      <c r="L1852" s="8"/>
      <c r="M1852" s="8"/>
      <c r="N1852" s="8"/>
      <c r="O1852" s="8"/>
      <c r="P1852" s="8"/>
    </row>
    <row r="1853" spans="1:16" s="7" customFormat="1" ht="42.75" customHeight="1" thickBot="1">
      <c r="A1853" s="1" t="s">
        <v>686</v>
      </c>
      <c r="B1853" s="26" t="s">
        <v>1</v>
      </c>
      <c r="C1853" s="90" t="s">
        <v>552</v>
      </c>
      <c r="D1853" s="91"/>
      <c r="J1853" s="8"/>
      <c r="K1853" s="8"/>
      <c r="L1853" s="8"/>
      <c r="M1853" s="8"/>
      <c r="N1853" s="8"/>
      <c r="O1853" s="8"/>
      <c r="P1853" s="8"/>
    </row>
    <row r="1854" spans="1:16" s="7" customFormat="1" ht="42.75" customHeight="1" thickBot="1">
      <c r="A1854" s="26"/>
      <c r="B1854" s="26" t="s">
        <v>0</v>
      </c>
      <c r="C1854" s="5" t="s">
        <v>687</v>
      </c>
      <c r="D1854" s="4" t="s">
        <v>2</v>
      </c>
      <c r="J1854" s="8"/>
      <c r="K1854" s="8"/>
      <c r="L1854" s="8"/>
      <c r="M1854" s="8"/>
      <c r="N1854" s="8"/>
      <c r="O1854" s="8"/>
      <c r="P1854" s="8"/>
    </row>
    <row r="1855" spans="1:16" s="7" customFormat="1" ht="42.75" customHeight="1" thickBot="1">
      <c r="A1855" s="92">
        <v>80</v>
      </c>
      <c r="B1855" s="93"/>
      <c r="C1855" s="94" t="s">
        <v>3</v>
      </c>
      <c r="D1855" s="95"/>
      <c r="J1855" s="8"/>
      <c r="K1855" s="8"/>
      <c r="L1855" s="8"/>
      <c r="M1855" s="8"/>
      <c r="N1855" s="8"/>
      <c r="O1855" s="8"/>
      <c r="P1855" s="8"/>
    </row>
    <row r="1856" spans="1:16" s="7" customFormat="1" ht="42.75" customHeight="1" thickBot="1">
      <c r="A1856" s="92">
        <v>100</v>
      </c>
      <c r="B1856" s="93"/>
      <c r="C1856" s="96" t="s">
        <v>4</v>
      </c>
      <c r="D1856" s="97"/>
      <c r="J1856" s="8"/>
      <c r="K1856" s="8"/>
      <c r="L1856" s="8"/>
      <c r="M1856" s="8"/>
      <c r="N1856" s="8"/>
      <c r="O1856" s="8"/>
      <c r="P1856" s="8"/>
    </row>
    <row r="1857" spans="1:16" s="7" customFormat="1" ht="42.75" customHeight="1" thickBot="1">
      <c r="A1857" s="98">
        <f>A1856-A1855</f>
        <v>20</v>
      </c>
      <c r="B1857" s="99"/>
      <c r="C1857" s="100" t="s">
        <v>5</v>
      </c>
      <c r="D1857" s="97"/>
      <c r="J1857" s="8"/>
      <c r="K1857" s="8"/>
      <c r="L1857" s="8"/>
      <c r="M1857" s="8"/>
      <c r="N1857" s="8"/>
      <c r="O1857" s="8"/>
      <c r="P1857" s="8"/>
    </row>
    <row r="1858" spans="1:16" s="7" customFormat="1" ht="42.75" customHeight="1" thickBot="1">
      <c r="A1858" s="101">
        <v>62</v>
      </c>
      <c r="B1858" s="102"/>
      <c r="C1858" s="96" t="s">
        <v>6</v>
      </c>
      <c r="D1858" s="97"/>
      <c r="J1858" s="8"/>
      <c r="K1858" s="8"/>
      <c r="L1858" s="8"/>
      <c r="M1858" s="8"/>
      <c r="N1858" s="8"/>
      <c r="O1858" s="8"/>
      <c r="P1858" s="8"/>
    </row>
    <row r="1859" spans="1:16" s="7" customFormat="1" ht="42.75" customHeight="1" thickBot="1">
      <c r="A1859" s="103"/>
      <c r="B1859" s="104"/>
      <c r="C1859" s="96" t="s">
        <v>21</v>
      </c>
      <c r="D1859" s="97"/>
      <c r="J1859" s="8"/>
      <c r="K1859" s="8"/>
      <c r="L1859" s="8"/>
      <c r="M1859" s="8"/>
      <c r="N1859" s="8"/>
      <c r="O1859" s="8"/>
      <c r="P1859" s="8"/>
    </row>
    <row r="1860" spans="1:16" s="7" customFormat="1" ht="42.75" customHeight="1" thickBot="1">
      <c r="A1860" s="105">
        <v>1250</v>
      </c>
      <c r="B1860" s="106"/>
      <c r="C1860" s="96" t="s">
        <v>7</v>
      </c>
      <c r="D1860" s="97"/>
      <c r="J1860" s="8"/>
      <c r="K1860" s="8"/>
      <c r="L1860" s="8"/>
      <c r="M1860" s="8"/>
      <c r="N1860" s="8"/>
      <c r="O1860" s="8"/>
      <c r="P1860" s="8"/>
    </row>
    <row r="1861" spans="1:16" s="7" customFormat="1" ht="42.75" customHeight="1" thickBot="1">
      <c r="A1861" s="107" t="s">
        <v>17</v>
      </c>
      <c r="B1861" s="108"/>
      <c r="C1861" s="108"/>
      <c r="D1861" s="109"/>
      <c r="J1861" s="8"/>
      <c r="K1861" s="8"/>
      <c r="L1861" s="8"/>
      <c r="M1861" s="8"/>
      <c r="N1861" s="8"/>
      <c r="O1861" s="8"/>
      <c r="P1861" s="8"/>
    </row>
    <row r="1862" spans="1:16" s="7" customFormat="1" ht="42.75" customHeight="1" thickBot="1">
      <c r="A1862" s="110" t="s">
        <v>20</v>
      </c>
      <c r="B1862" s="111"/>
      <c r="C1862" s="111"/>
      <c r="D1862" s="112"/>
      <c r="J1862" s="8"/>
      <c r="K1862" s="8"/>
      <c r="L1862" s="8"/>
      <c r="M1862" s="8"/>
      <c r="N1862" s="8"/>
      <c r="O1862" s="8"/>
      <c r="P1862" s="8"/>
    </row>
    <row r="1863" spans="1:16" s="7" customFormat="1" ht="42.75" customHeight="1" thickBot="1">
      <c r="A1863" s="113" t="s">
        <v>18</v>
      </c>
      <c r="B1863" s="114"/>
      <c r="C1863" s="114"/>
      <c r="D1863" s="115"/>
      <c r="J1863" s="8"/>
      <c r="K1863" s="8"/>
      <c r="L1863" s="8"/>
      <c r="M1863" s="8"/>
      <c r="N1863" s="8"/>
      <c r="O1863" s="8"/>
      <c r="P1863" s="8"/>
    </row>
    <row r="1864" spans="1:16" ht="42.75" customHeight="1" thickBot="1">
      <c r="A1864" s="126" t="s">
        <v>19</v>
      </c>
      <c r="B1864" s="127"/>
      <c r="C1864" s="127"/>
      <c r="D1864" s="128"/>
    </row>
    <row r="1865" spans="1:16" ht="42.75" customHeight="1" thickBot="1">
      <c r="A1865" s="123" t="s">
        <v>11</v>
      </c>
      <c r="B1865" s="124"/>
      <c r="C1865" s="125" t="s">
        <v>603</v>
      </c>
      <c r="D1865" s="124"/>
    </row>
    <row r="1866" spans="1:16" ht="42.75" customHeight="1" thickBot="1">
      <c r="A1866" s="1" t="s">
        <v>686</v>
      </c>
      <c r="B1866" s="26" t="s">
        <v>1</v>
      </c>
      <c r="C1866" s="90" t="s">
        <v>612</v>
      </c>
      <c r="D1866" s="91"/>
    </row>
    <row r="1867" spans="1:16" ht="42.75" customHeight="1" thickBot="1">
      <c r="A1867" s="26"/>
      <c r="B1867" s="26" t="s">
        <v>0</v>
      </c>
      <c r="C1867" s="5" t="s">
        <v>687</v>
      </c>
      <c r="D1867" s="4" t="s">
        <v>2</v>
      </c>
    </row>
    <row r="1868" spans="1:16" ht="42.75" customHeight="1" thickBot="1">
      <c r="A1868" s="92">
        <v>151</v>
      </c>
      <c r="B1868" s="93"/>
      <c r="C1868" s="94" t="s">
        <v>3</v>
      </c>
      <c r="D1868" s="95"/>
    </row>
    <row r="1869" spans="1:16" ht="42.75" customHeight="1" thickBot="1">
      <c r="A1869" s="92">
        <v>162</v>
      </c>
      <c r="B1869" s="93"/>
      <c r="C1869" s="96" t="s">
        <v>4</v>
      </c>
      <c r="D1869" s="97"/>
    </row>
    <row r="1870" spans="1:16" ht="42.75" customHeight="1" thickBot="1">
      <c r="A1870" s="98">
        <f>A1869-A1868</f>
        <v>11</v>
      </c>
      <c r="B1870" s="99"/>
      <c r="C1870" s="100" t="s">
        <v>5</v>
      </c>
      <c r="D1870" s="97"/>
    </row>
    <row r="1871" spans="1:16" ht="42.75" customHeight="1" thickBot="1">
      <c r="A1871" s="101">
        <v>62</v>
      </c>
      <c r="B1871" s="102"/>
      <c r="C1871" s="96" t="s">
        <v>6</v>
      </c>
      <c r="D1871" s="97"/>
    </row>
    <row r="1872" spans="1:16" ht="42.75" customHeight="1" thickBot="1">
      <c r="A1872" s="103"/>
      <c r="B1872" s="104"/>
      <c r="C1872" s="96" t="s">
        <v>21</v>
      </c>
      <c r="D1872" s="97"/>
    </row>
    <row r="1873" spans="1:4" ht="42.75" customHeight="1" thickBot="1">
      <c r="A1873" s="105">
        <v>700</v>
      </c>
      <c r="B1873" s="106"/>
      <c r="C1873" s="96" t="s">
        <v>7</v>
      </c>
      <c r="D1873" s="97"/>
    </row>
    <row r="1874" spans="1:4" ht="42.75" customHeight="1" thickBot="1">
      <c r="A1874" s="107" t="s">
        <v>17</v>
      </c>
      <c r="B1874" s="108"/>
      <c r="C1874" s="108"/>
      <c r="D1874" s="109"/>
    </row>
    <row r="1875" spans="1:4" ht="42.75" customHeight="1" thickBot="1">
      <c r="A1875" s="116" t="s">
        <v>20</v>
      </c>
      <c r="B1875" s="117"/>
      <c r="C1875" s="117"/>
      <c r="D1875" s="118"/>
    </row>
    <row r="1876" spans="1:4" ht="42.75" customHeight="1" thickBot="1">
      <c r="A1876" s="113" t="s">
        <v>18</v>
      </c>
      <c r="B1876" s="114"/>
      <c r="C1876" s="114"/>
      <c r="D1876" s="115"/>
    </row>
    <row r="1877" spans="1:4" ht="42.75" customHeight="1" thickBot="1">
      <c r="A1877" s="119"/>
      <c r="B1877" s="119"/>
      <c r="C1877" s="119"/>
      <c r="D1877" s="119"/>
    </row>
    <row r="1878" spans="1:4" ht="42.75" customHeight="1" thickBot="1">
      <c r="A1878" s="126" t="s">
        <v>19</v>
      </c>
      <c r="B1878" s="127"/>
      <c r="C1878" s="127"/>
      <c r="D1878" s="128"/>
    </row>
    <row r="1879" spans="1:4" ht="42.75" customHeight="1" thickBot="1">
      <c r="A1879" s="123" t="s">
        <v>11</v>
      </c>
      <c r="B1879" s="124"/>
      <c r="C1879" s="125" t="s">
        <v>603</v>
      </c>
      <c r="D1879" s="124"/>
    </row>
    <row r="1880" spans="1:4" ht="42.75" customHeight="1" thickBot="1">
      <c r="A1880" s="1" t="s">
        <v>686</v>
      </c>
      <c r="B1880" s="26" t="s">
        <v>1</v>
      </c>
      <c r="C1880" s="90" t="s">
        <v>612</v>
      </c>
      <c r="D1880" s="91"/>
    </row>
    <row r="1881" spans="1:4" ht="42.75" customHeight="1" thickBot="1">
      <c r="A1881" s="26"/>
      <c r="B1881" s="26" t="s">
        <v>0</v>
      </c>
      <c r="C1881" s="5" t="s">
        <v>687</v>
      </c>
      <c r="D1881" s="4" t="s">
        <v>2</v>
      </c>
    </row>
    <row r="1882" spans="1:4" ht="42.75" customHeight="1" thickBot="1">
      <c r="A1882" s="92">
        <v>151</v>
      </c>
      <c r="B1882" s="93"/>
      <c r="C1882" s="94" t="s">
        <v>3</v>
      </c>
      <c r="D1882" s="95"/>
    </row>
    <row r="1883" spans="1:4" ht="42.75" customHeight="1" thickBot="1">
      <c r="A1883" s="92">
        <v>162</v>
      </c>
      <c r="B1883" s="93"/>
      <c r="C1883" s="96" t="s">
        <v>4</v>
      </c>
      <c r="D1883" s="97"/>
    </row>
    <row r="1884" spans="1:4" ht="42.75" customHeight="1" thickBot="1">
      <c r="A1884" s="98">
        <f>A1883-A1882</f>
        <v>11</v>
      </c>
      <c r="B1884" s="99"/>
      <c r="C1884" s="100" t="s">
        <v>5</v>
      </c>
      <c r="D1884" s="97"/>
    </row>
    <row r="1885" spans="1:4" ht="42.75" customHeight="1" thickBot="1">
      <c r="A1885" s="101">
        <v>62</v>
      </c>
      <c r="B1885" s="102"/>
      <c r="C1885" s="96" t="s">
        <v>6</v>
      </c>
      <c r="D1885" s="97"/>
    </row>
    <row r="1886" spans="1:4" ht="42.75" customHeight="1" thickBot="1">
      <c r="A1886" s="103"/>
      <c r="B1886" s="104"/>
      <c r="C1886" s="96" t="s">
        <v>21</v>
      </c>
      <c r="D1886" s="97"/>
    </row>
    <row r="1887" spans="1:4" ht="42.75" customHeight="1" thickBot="1">
      <c r="A1887" s="105">
        <v>700</v>
      </c>
      <c r="B1887" s="106"/>
      <c r="C1887" s="96" t="s">
        <v>7</v>
      </c>
      <c r="D1887" s="97"/>
    </row>
    <row r="1888" spans="1:4" ht="42.75" customHeight="1" thickBot="1">
      <c r="A1888" s="107" t="s">
        <v>17</v>
      </c>
      <c r="B1888" s="108"/>
      <c r="C1888" s="108"/>
      <c r="D1888" s="109"/>
    </row>
    <row r="1889" spans="1:4" ht="42.75" customHeight="1" thickBot="1">
      <c r="A1889" s="110" t="s">
        <v>20</v>
      </c>
      <c r="B1889" s="111"/>
      <c r="C1889" s="111"/>
      <c r="D1889" s="112"/>
    </row>
    <row r="1890" spans="1:4" ht="42.75" customHeight="1" thickBot="1">
      <c r="A1890" s="113" t="s">
        <v>18</v>
      </c>
      <c r="B1890" s="114"/>
      <c r="C1890" s="114"/>
      <c r="D1890" s="115"/>
    </row>
    <row r="1891" spans="1:4" ht="42.75" customHeight="1" thickBot="1">
      <c r="A1891" s="126" t="s">
        <v>19</v>
      </c>
      <c r="B1891" s="127"/>
      <c r="C1891" s="127"/>
      <c r="D1891" s="128"/>
    </row>
    <row r="1892" spans="1:4" ht="42.75" customHeight="1" thickBot="1">
      <c r="A1892" s="123" t="s">
        <v>11</v>
      </c>
      <c r="B1892" s="124"/>
      <c r="C1892" s="125" t="s">
        <v>603</v>
      </c>
      <c r="D1892" s="124"/>
    </row>
    <row r="1893" spans="1:4" ht="42.75" customHeight="1" thickBot="1">
      <c r="A1893" s="1" t="s">
        <v>686</v>
      </c>
      <c r="B1893" s="26" t="s">
        <v>1</v>
      </c>
      <c r="C1893" s="90" t="s">
        <v>630</v>
      </c>
      <c r="D1893" s="91"/>
    </row>
    <row r="1894" spans="1:4" ht="42.75" customHeight="1" thickBot="1">
      <c r="A1894" s="26"/>
      <c r="B1894" s="26" t="s">
        <v>0</v>
      </c>
      <c r="C1894" s="5" t="s">
        <v>687</v>
      </c>
      <c r="D1894" s="4" t="s">
        <v>2</v>
      </c>
    </row>
    <row r="1895" spans="1:4" ht="42.75" customHeight="1" thickBot="1">
      <c r="A1895" s="92">
        <v>160</v>
      </c>
      <c r="B1895" s="93"/>
      <c r="C1895" s="94" t="s">
        <v>3</v>
      </c>
      <c r="D1895" s="95"/>
    </row>
    <row r="1896" spans="1:4" ht="42.75" customHeight="1" thickBot="1">
      <c r="A1896" s="92">
        <v>210</v>
      </c>
      <c r="B1896" s="93"/>
      <c r="C1896" s="96" t="s">
        <v>4</v>
      </c>
      <c r="D1896" s="97"/>
    </row>
    <row r="1897" spans="1:4" ht="42.75" customHeight="1" thickBot="1">
      <c r="A1897" s="98">
        <f>A1896-A1895</f>
        <v>50</v>
      </c>
      <c r="B1897" s="99"/>
      <c r="C1897" s="100" t="s">
        <v>5</v>
      </c>
      <c r="D1897" s="97"/>
    </row>
    <row r="1898" spans="1:4" ht="42.75" customHeight="1" thickBot="1">
      <c r="A1898" s="101">
        <v>62</v>
      </c>
      <c r="B1898" s="102"/>
      <c r="C1898" s="96" t="s">
        <v>6</v>
      </c>
      <c r="D1898" s="97"/>
    </row>
    <row r="1899" spans="1:4" ht="42.75" customHeight="1" thickBot="1">
      <c r="A1899" s="103"/>
      <c r="B1899" s="104"/>
      <c r="C1899" s="96" t="s">
        <v>21</v>
      </c>
      <c r="D1899" s="97"/>
    </row>
    <row r="1900" spans="1:4" ht="42.75" customHeight="1" thickBot="1">
      <c r="A1900" s="105">
        <f>A1898*A1897</f>
        <v>3100</v>
      </c>
      <c r="B1900" s="106"/>
      <c r="C1900" s="96" t="s">
        <v>7</v>
      </c>
      <c r="D1900" s="97"/>
    </row>
    <row r="1901" spans="1:4" ht="42.75" customHeight="1" thickBot="1">
      <c r="A1901" s="107" t="s">
        <v>17</v>
      </c>
      <c r="B1901" s="108"/>
      <c r="C1901" s="108"/>
      <c r="D1901" s="109"/>
    </row>
    <row r="1902" spans="1:4" ht="42.75" customHeight="1" thickBot="1">
      <c r="A1902" s="116" t="s">
        <v>20</v>
      </c>
      <c r="B1902" s="117"/>
      <c r="C1902" s="117"/>
      <c r="D1902" s="118"/>
    </row>
    <row r="1903" spans="1:4" ht="42.75" customHeight="1" thickBot="1">
      <c r="A1903" s="113" t="s">
        <v>18</v>
      </c>
      <c r="B1903" s="114"/>
      <c r="C1903" s="114"/>
      <c r="D1903" s="115"/>
    </row>
    <row r="1904" spans="1:4" ht="42.75" customHeight="1" thickBot="1">
      <c r="A1904" s="119"/>
      <c r="B1904" s="119"/>
      <c r="C1904" s="119"/>
      <c r="D1904" s="119"/>
    </row>
    <row r="1905" spans="1:4" ht="42.75" customHeight="1" thickBot="1">
      <c r="A1905" s="126" t="s">
        <v>19</v>
      </c>
      <c r="B1905" s="127"/>
      <c r="C1905" s="127"/>
      <c r="D1905" s="128"/>
    </row>
    <row r="1906" spans="1:4" ht="42.75" customHeight="1" thickBot="1">
      <c r="A1906" s="123" t="s">
        <v>11</v>
      </c>
      <c r="B1906" s="124"/>
      <c r="C1906" s="125" t="s">
        <v>603</v>
      </c>
      <c r="D1906" s="124"/>
    </row>
    <row r="1907" spans="1:4" ht="42.75" customHeight="1" thickBot="1">
      <c r="A1907" s="1" t="s">
        <v>686</v>
      </c>
      <c r="B1907" s="26" t="s">
        <v>1</v>
      </c>
      <c r="C1907" s="90" t="s">
        <v>630</v>
      </c>
      <c r="D1907" s="91"/>
    </row>
    <row r="1908" spans="1:4" ht="42.75" customHeight="1" thickBot="1">
      <c r="A1908" s="26"/>
      <c r="B1908" s="26" t="s">
        <v>0</v>
      </c>
      <c r="C1908" s="5" t="s">
        <v>687</v>
      </c>
      <c r="D1908" s="4" t="s">
        <v>2</v>
      </c>
    </row>
    <row r="1909" spans="1:4" ht="42.75" customHeight="1" thickBot="1">
      <c r="A1909" s="92">
        <v>160</v>
      </c>
      <c r="B1909" s="93"/>
      <c r="C1909" s="94" t="s">
        <v>3</v>
      </c>
      <c r="D1909" s="95"/>
    </row>
    <row r="1910" spans="1:4" ht="42.75" customHeight="1" thickBot="1">
      <c r="A1910" s="92">
        <v>210</v>
      </c>
      <c r="B1910" s="93"/>
      <c r="C1910" s="96" t="s">
        <v>4</v>
      </c>
      <c r="D1910" s="97"/>
    </row>
    <row r="1911" spans="1:4" ht="42.75" customHeight="1" thickBot="1">
      <c r="A1911" s="98">
        <f>A1910-A1909</f>
        <v>50</v>
      </c>
      <c r="B1911" s="99"/>
      <c r="C1911" s="100" t="s">
        <v>5</v>
      </c>
      <c r="D1911" s="97"/>
    </row>
    <row r="1912" spans="1:4" ht="42.75" customHeight="1" thickBot="1">
      <c r="A1912" s="101">
        <v>62</v>
      </c>
      <c r="B1912" s="102"/>
      <c r="C1912" s="96" t="s">
        <v>6</v>
      </c>
      <c r="D1912" s="97"/>
    </row>
    <row r="1913" spans="1:4" ht="42.75" customHeight="1" thickBot="1">
      <c r="A1913" s="103"/>
      <c r="B1913" s="104"/>
      <c r="C1913" s="96" t="s">
        <v>21</v>
      </c>
      <c r="D1913" s="97"/>
    </row>
    <row r="1914" spans="1:4" ht="42.75" customHeight="1" thickBot="1">
      <c r="A1914" s="105">
        <f>A1912*A1911</f>
        <v>3100</v>
      </c>
      <c r="B1914" s="106"/>
      <c r="C1914" s="96" t="s">
        <v>7</v>
      </c>
      <c r="D1914" s="97"/>
    </row>
    <row r="1915" spans="1:4" ht="42.75" customHeight="1" thickBot="1">
      <c r="A1915" s="107" t="s">
        <v>17</v>
      </c>
      <c r="B1915" s="108"/>
      <c r="C1915" s="108"/>
      <c r="D1915" s="109"/>
    </row>
    <row r="1916" spans="1:4" ht="42.75" customHeight="1" thickBot="1">
      <c r="A1916" s="110" t="s">
        <v>20</v>
      </c>
      <c r="B1916" s="111"/>
      <c r="C1916" s="111"/>
      <c r="D1916" s="112"/>
    </row>
    <row r="1917" spans="1:4" ht="42.75" customHeight="1" thickBot="1">
      <c r="A1917" s="113" t="s">
        <v>18</v>
      </c>
      <c r="B1917" s="114"/>
      <c r="C1917" s="114"/>
      <c r="D1917" s="115"/>
    </row>
    <row r="1918" spans="1:4" ht="42.75" customHeight="1" thickBot="1">
      <c r="A1918" s="126" t="s">
        <v>19</v>
      </c>
      <c r="B1918" s="127"/>
      <c r="C1918" s="127"/>
      <c r="D1918" s="128"/>
    </row>
    <row r="1919" spans="1:4" ht="42.75" customHeight="1" thickBot="1">
      <c r="A1919" s="123" t="s">
        <v>11</v>
      </c>
      <c r="B1919" s="124"/>
      <c r="C1919" s="125" t="s">
        <v>603</v>
      </c>
      <c r="D1919" s="124"/>
    </row>
    <row r="1920" spans="1:4" ht="42.75" customHeight="1" thickBot="1">
      <c r="A1920" s="1" t="s">
        <v>686</v>
      </c>
      <c r="B1920" s="26" t="s">
        <v>1</v>
      </c>
      <c r="C1920" s="90" t="s">
        <v>689</v>
      </c>
      <c r="D1920" s="91"/>
    </row>
    <row r="1921" spans="1:4" ht="42.75" customHeight="1" thickBot="1">
      <c r="A1921" s="26"/>
      <c r="B1921" s="26" t="s">
        <v>0</v>
      </c>
      <c r="C1921" s="5" t="s">
        <v>687</v>
      </c>
      <c r="D1921" s="4" t="s">
        <v>2</v>
      </c>
    </row>
    <row r="1922" spans="1:4" ht="42.75" customHeight="1" thickBot="1">
      <c r="A1922" s="92">
        <v>72</v>
      </c>
      <c r="B1922" s="93"/>
      <c r="C1922" s="94" t="s">
        <v>3</v>
      </c>
      <c r="D1922" s="95"/>
    </row>
    <row r="1923" spans="1:4" ht="42.75" customHeight="1" thickBot="1">
      <c r="A1923" s="92">
        <v>110</v>
      </c>
      <c r="B1923" s="93"/>
      <c r="C1923" s="96" t="s">
        <v>4</v>
      </c>
      <c r="D1923" s="97"/>
    </row>
    <row r="1924" spans="1:4" ht="42.75" customHeight="1" thickBot="1">
      <c r="A1924" s="98">
        <f>A1923-A1922</f>
        <v>38</v>
      </c>
      <c r="B1924" s="99"/>
      <c r="C1924" s="100" t="s">
        <v>5</v>
      </c>
      <c r="D1924" s="97"/>
    </row>
    <row r="1925" spans="1:4" ht="42.75" customHeight="1" thickBot="1">
      <c r="A1925" s="101">
        <v>62</v>
      </c>
      <c r="B1925" s="102"/>
      <c r="C1925" s="96" t="s">
        <v>6</v>
      </c>
      <c r="D1925" s="97"/>
    </row>
    <row r="1926" spans="1:4" ht="42.75" customHeight="1" thickBot="1">
      <c r="A1926" s="103"/>
      <c r="B1926" s="104"/>
      <c r="C1926" s="96" t="s">
        <v>21</v>
      </c>
      <c r="D1926" s="97"/>
    </row>
    <row r="1927" spans="1:4" ht="42.75" customHeight="1" thickBot="1">
      <c r="A1927" s="105">
        <f>A1925*A1924</f>
        <v>2356</v>
      </c>
      <c r="B1927" s="106"/>
      <c r="C1927" s="96" t="s">
        <v>7</v>
      </c>
      <c r="D1927" s="97"/>
    </row>
    <row r="1928" spans="1:4" ht="42.75" customHeight="1" thickBot="1">
      <c r="A1928" s="107" t="s">
        <v>17</v>
      </c>
      <c r="B1928" s="108"/>
      <c r="C1928" s="108"/>
      <c r="D1928" s="109"/>
    </row>
    <row r="1929" spans="1:4" ht="42.75" customHeight="1" thickBot="1">
      <c r="A1929" s="116" t="s">
        <v>20</v>
      </c>
      <c r="B1929" s="117"/>
      <c r="C1929" s="117"/>
      <c r="D1929" s="118"/>
    </row>
    <row r="1930" spans="1:4" ht="42.75" customHeight="1" thickBot="1">
      <c r="A1930" s="113" t="s">
        <v>18</v>
      </c>
      <c r="B1930" s="114"/>
      <c r="C1930" s="114"/>
      <c r="D1930" s="115"/>
    </row>
    <row r="1931" spans="1:4" ht="42.75" customHeight="1" thickBot="1">
      <c r="A1931" s="119"/>
      <c r="B1931" s="119"/>
      <c r="C1931" s="119"/>
      <c r="D1931" s="119"/>
    </row>
    <row r="1932" spans="1:4" ht="42.75" customHeight="1" thickBot="1">
      <c r="A1932" s="126" t="s">
        <v>19</v>
      </c>
      <c r="B1932" s="127"/>
      <c r="C1932" s="127"/>
      <c r="D1932" s="128"/>
    </row>
    <row r="1933" spans="1:4" ht="42.75" customHeight="1" thickBot="1">
      <c r="A1933" s="123" t="s">
        <v>11</v>
      </c>
      <c r="B1933" s="124"/>
      <c r="C1933" s="125" t="s">
        <v>603</v>
      </c>
      <c r="D1933" s="124"/>
    </row>
    <row r="1934" spans="1:4" ht="42.75" customHeight="1" thickBot="1">
      <c r="A1934" s="1" t="s">
        <v>686</v>
      </c>
      <c r="B1934" s="26" t="s">
        <v>1</v>
      </c>
      <c r="C1934" s="90" t="s">
        <v>689</v>
      </c>
      <c r="D1934" s="91"/>
    </row>
    <row r="1935" spans="1:4" ht="42.75" customHeight="1" thickBot="1">
      <c r="A1935" s="26"/>
      <c r="B1935" s="26" t="s">
        <v>0</v>
      </c>
      <c r="C1935" s="5" t="s">
        <v>687</v>
      </c>
      <c r="D1935" s="4" t="s">
        <v>2</v>
      </c>
    </row>
    <row r="1936" spans="1:4" ht="42.75" customHeight="1" thickBot="1">
      <c r="A1936" s="92">
        <v>72</v>
      </c>
      <c r="B1936" s="93"/>
      <c r="C1936" s="94" t="s">
        <v>3</v>
      </c>
      <c r="D1936" s="95"/>
    </row>
    <row r="1937" spans="1:4" ht="42.75" customHeight="1" thickBot="1">
      <c r="A1937" s="92">
        <v>110</v>
      </c>
      <c r="B1937" s="93"/>
      <c r="C1937" s="96" t="s">
        <v>4</v>
      </c>
      <c r="D1937" s="97"/>
    </row>
    <row r="1938" spans="1:4" ht="42.75" customHeight="1" thickBot="1">
      <c r="A1938" s="98">
        <f>A1937-A1936</f>
        <v>38</v>
      </c>
      <c r="B1938" s="99"/>
      <c r="C1938" s="100" t="s">
        <v>5</v>
      </c>
      <c r="D1938" s="97"/>
    </row>
    <row r="1939" spans="1:4" ht="42.75" customHeight="1" thickBot="1">
      <c r="A1939" s="101">
        <v>62</v>
      </c>
      <c r="B1939" s="102"/>
      <c r="C1939" s="96" t="s">
        <v>6</v>
      </c>
      <c r="D1939" s="97"/>
    </row>
    <row r="1940" spans="1:4" ht="42.75" customHeight="1" thickBot="1">
      <c r="A1940" s="103"/>
      <c r="B1940" s="104"/>
      <c r="C1940" s="96" t="s">
        <v>21</v>
      </c>
      <c r="D1940" s="97"/>
    </row>
    <row r="1941" spans="1:4" ht="42.75" customHeight="1" thickBot="1">
      <c r="A1941" s="105">
        <f>A1939*A1938</f>
        <v>2356</v>
      </c>
      <c r="B1941" s="106"/>
      <c r="C1941" s="96" t="s">
        <v>7</v>
      </c>
      <c r="D1941" s="97"/>
    </row>
    <row r="1942" spans="1:4" ht="42.75" customHeight="1" thickBot="1">
      <c r="A1942" s="107" t="s">
        <v>17</v>
      </c>
      <c r="B1942" s="108"/>
      <c r="C1942" s="108"/>
      <c r="D1942" s="109"/>
    </row>
    <row r="1943" spans="1:4" ht="42.75" customHeight="1" thickBot="1">
      <c r="A1943" s="110" t="s">
        <v>20</v>
      </c>
      <c r="B1943" s="111"/>
      <c r="C1943" s="111"/>
      <c r="D1943" s="112"/>
    </row>
    <row r="1944" spans="1:4" ht="42.75" customHeight="1" thickBot="1">
      <c r="A1944" s="113" t="s">
        <v>18</v>
      </c>
      <c r="B1944" s="114"/>
      <c r="C1944" s="114"/>
      <c r="D1944" s="115"/>
    </row>
    <row r="1945" spans="1:4" ht="42.75" customHeight="1" thickBot="1">
      <c r="A1945" s="126" t="s">
        <v>19</v>
      </c>
      <c r="B1945" s="127"/>
      <c r="C1945" s="127"/>
      <c r="D1945" s="128"/>
    </row>
    <row r="1946" spans="1:4" ht="42.75" customHeight="1" thickBot="1">
      <c r="A1946" s="123" t="s">
        <v>11</v>
      </c>
      <c r="B1946" s="124"/>
      <c r="C1946" s="125" t="s">
        <v>603</v>
      </c>
      <c r="D1946" s="124"/>
    </row>
    <row r="1947" spans="1:4" ht="42.75" customHeight="1" thickBot="1">
      <c r="A1947" s="1" t="s">
        <v>686</v>
      </c>
      <c r="B1947" s="26" t="s">
        <v>1</v>
      </c>
      <c r="C1947" s="90" t="s">
        <v>667</v>
      </c>
      <c r="D1947" s="91"/>
    </row>
    <row r="1948" spans="1:4" ht="42.75" customHeight="1" thickBot="1">
      <c r="A1948" s="26"/>
      <c r="B1948" s="26" t="s">
        <v>0</v>
      </c>
      <c r="C1948" s="5" t="s">
        <v>687</v>
      </c>
      <c r="D1948" s="4" t="s">
        <v>2</v>
      </c>
    </row>
    <row r="1949" spans="1:4" ht="42.75" customHeight="1" thickBot="1">
      <c r="A1949" s="92">
        <v>40</v>
      </c>
      <c r="B1949" s="93"/>
      <c r="C1949" s="94" t="s">
        <v>3</v>
      </c>
      <c r="D1949" s="95"/>
    </row>
    <row r="1950" spans="1:4" ht="42.75" customHeight="1" thickBot="1">
      <c r="A1950" s="92">
        <v>95</v>
      </c>
      <c r="B1950" s="93"/>
      <c r="C1950" s="96" t="s">
        <v>4</v>
      </c>
      <c r="D1950" s="97"/>
    </row>
    <row r="1951" spans="1:4" ht="42.75" customHeight="1" thickBot="1">
      <c r="A1951" s="98">
        <f>A1950-A1949</f>
        <v>55</v>
      </c>
      <c r="B1951" s="99"/>
      <c r="C1951" s="100" t="s">
        <v>5</v>
      </c>
      <c r="D1951" s="97"/>
    </row>
    <row r="1952" spans="1:4" ht="42.75" customHeight="1" thickBot="1">
      <c r="A1952" s="101">
        <v>62</v>
      </c>
      <c r="B1952" s="102"/>
      <c r="C1952" s="96" t="s">
        <v>6</v>
      </c>
      <c r="D1952" s="97"/>
    </row>
    <row r="1953" spans="1:4" ht="42.75" customHeight="1" thickBot="1">
      <c r="A1953" s="103"/>
      <c r="B1953" s="104"/>
      <c r="C1953" s="96" t="s">
        <v>21</v>
      </c>
      <c r="D1953" s="97"/>
    </row>
    <row r="1954" spans="1:4" ht="42.75" customHeight="1" thickBot="1">
      <c r="A1954" s="105">
        <v>3400</v>
      </c>
      <c r="B1954" s="106"/>
      <c r="C1954" s="96" t="s">
        <v>7</v>
      </c>
      <c r="D1954" s="97"/>
    </row>
    <row r="1955" spans="1:4" ht="42.75" customHeight="1" thickBot="1">
      <c r="A1955" s="107" t="s">
        <v>17</v>
      </c>
      <c r="B1955" s="108"/>
      <c r="C1955" s="108"/>
      <c r="D1955" s="109"/>
    </row>
    <row r="1956" spans="1:4" ht="42.75" customHeight="1" thickBot="1">
      <c r="A1956" s="116" t="s">
        <v>20</v>
      </c>
      <c r="B1956" s="117"/>
      <c r="C1956" s="117"/>
      <c r="D1956" s="118"/>
    </row>
    <row r="1957" spans="1:4" ht="42.75" customHeight="1" thickBot="1">
      <c r="A1957" s="113" t="s">
        <v>18</v>
      </c>
      <c r="B1957" s="114"/>
      <c r="C1957" s="114"/>
      <c r="D1957" s="115"/>
    </row>
    <row r="1958" spans="1:4" ht="42.75" customHeight="1" thickBot="1">
      <c r="A1958" s="119"/>
      <c r="B1958" s="119"/>
      <c r="C1958" s="119"/>
      <c r="D1958" s="119"/>
    </row>
    <row r="1959" spans="1:4" ht="42.75" customHeight="1" thickBot="1">
      <c r="A1959" s="126" t="s">
        <v>19</v>
      </c>
      <c r="B1959" s="127"/>
      <c r="C1959" s="127"/>
      <c r="D1959" s="128"/>
    </row>
    <row r="1960" spans="1:4" ht="42.75" customHeight="1" thickBot="1">
      <c r="A1960" s="123" t="s">
        <v>11</v>
      </c>
      <c r="B1960" s="124"/>
      <c r="C1960" s="125" t="s">
        <v>603</v>
      </c>
      <c r="D1960" s="124"/>
    </row>
    <row r="1961" spans="1:4" ht="42.75" customHeight="1" thickBot="1">
      <c r="A1961" s="1" t="s">
        <v>686</v>
      </c>
      <c r="B1961" s="26" t="s">
        <v>1</v>
      </c>
      <c r="C1961" s="90" t="s">
        <v>667</v>
      </c>
      <c r="D1961" s="91"/>
    </row>
    <row r="1962" spans="1:4" ht="42.75" customHeight="1" thickBot="1">
      <c r="A1962" s="26"/>
      <c r="B1962" s="26" t="s">
        <v>0</v>
      </c>
      <c r="C1962" s="5" t="s">
        <v>687</v>
      </c>
      <c r="D1962" s="4" t="s">
        <v>2</v>
      </c>
    </row>
    <row r="1963" spans="1:4" ht="42.75" customHeight="1" thickBot="1">
      <c r="A1963" s="92">
        <v>40</v>
      </c>
      <c r="B1963" s="93"/>
      <c r="C1963" s="94" t="s">
        <v>3</v>
      </c>
      <c r="D1963" s="95"/>
    </row>
    <row r="1964" spans="1:4" ht="42.75" customHeight="1" thickBot="1">
      <c r="A1964" s="92">
        <v>95</v>
      </c>
      <c r="B1964" s="93"/>
      <c r="C1964" s="96" t="s">
        <v>4</v>
      </c>
      <c r="D1964" s="97"/>
    </row>
    <row r="1965" spans="1:4" ht="42.75" customHeight="1" thickBot="1">
      <c r="A1965" s="98">
        <f>A1964-A1963</f>
        <v>55</v>
      </c>
      <c r="B1965" s="99"/>
      <c r="C1965" s="100" t="s">
        <v>5</v>
      </c>
      <c r="D1965" s="97"/>
    </row>
    <row r="1966" spans="1:4" ht="42.75" customHeight="1" thickBot="1">
      <c r="A1966" s="101">
        <v>62</v>
      </c>
      <c r="B1966" s="102"/>
      <c r="C1966" s="96" t="s">
        <v>6</v>
      </c>
      <c r="D1966" s="97"/>
    </row>
    <row r="1967" spans="1:4" ht="42.75" customHeight="1" thickBot="1">
      <c r="A1967" s="103"/>
      <c r="B1967" s="104"/>
      <c r="C1967" s="96" t="s">
        <v>21</v>
      </c>
      <c r="D1967" s="97"/>
    </row>
    <row r="1968" spans="1:4" ht="42.75" customHeight="1" thickBot="1">
      <c r="A1968" s="105">
        <v>3400</v>
      </c>
      <c r="B1968" s="106"/>
      <c r="C1968" s="96" t="s">
        <v>7</v>
      </c>
      <c r="D1968" s="97"/>
    </row>
    <row r="1969" spans="1:4" ht="42.75" customHeight="1" thickBot="1">
      <c r="A1969" s="107" t="s">
        <v>17</v>
      </c>
      <c r="B1969" s="108"/>
      <c r="C1969" s="108"/>
      <c r="D1969" s="109"/>
    </row>
    <row r="1970" spans="1:4" ht="42.75" customHeight="1" thickBot="1">
      <c r="A1970" s="110" t="s">
        <v>20</v>
      </c>
      <c r="B1970" s="111"/>
      <c r="C1970" s="111"/>
      <c r="D1970" s="112"/>
    </row>
    <row r="1971" spans="1:4" ht="42.75" customHeight="1" thickBot="1">
      <c r="A1971" s="113" t="s">
        <v>18</v>
      </c>
      <c r="B1971" s="114"/>
      <c r="C1971" s="114"/>
      <c r="D1971" s="115"/>
    </row>
    <row r="1972" spans="1:4" ht="42.75" customHeight="1" thickBot="1">
      <c r="A1972" s="126" t="s">
        <v>19</v>
      </c>
      <c r="B1972" s="127"/>
      <c r="C1972" s="127"/>
      <c r="D1972" s="128"/>
    </row>
    <row r="1973" spans="1:4" ht="42.75" customHeight="1" thickBot="1">
      <c r="A1973" s="123" t="s">
        <v>11</v>
      </c>
      <c r="B1973" s="124"/>
      <c r="C1973" s="125" t="s">
        <v>603</v>
      </c>
      <c r="D1973" s="124"/>
    </row>
    <row r="1974" spans="1:4" ht="42.75" customHeight="1" thickBot="1">
      <c r="A1974" s="1" t="s">
        <v>686</v>
      </c>
      <c r="B1974" s="26" t="s">
        <v>1</v>
      </c>
      <c r="C1974" s="90" t="s">
        <v>661</v>
      </c>
      <c r="D1974" s="91"/>
    </row>
    <row r="1975" spans="1:4" ht="42.75" customHeight="1" thickBot="1">
      <c r="A1975" s="26"/>
      <c r="B1975" s="26" t="s">
        <v>0</v>
      </c>
      <c r="C1975" s="5" t="s">
        <v>687</v>
      </c>
      <c r="D1975" s="4" t="s">
        <v>2</v>
      </c>
    </row>
    <row r="1976" spans="1:4" ht="42.75" customHeight="1" thickBot="1">
      <c r="A1976" s="92">
        <v>4110</v>
      </c>
      <c r="B1976" s="93"/>
      <c r="C1976" s="94" t="s">
        <v>3</v>
      </c>
      <c r="D1976" s="95"/>
    </row>
    <row r="1977" spans="1:4" ht="42.75" customHeight="1" thickBot="1">
      <c r="A1977" s="92">
        <v>4160</v>
      </c>
      <c r="B1977" s="93"/>
      <c r="C1977" s="96" t="s">
        <v>4</v>
      </c>
      <c r="D1977" s="97"/>
    </row>
    <row r="1978" spans="1:4" ht="42.75" customHeight="1" thickBot="1">
      <c r="A1978" s="98">
        <f>A1977-A1976</f>
        <v>50</v>
      </c>
      <c r="B1978" s="99"/>
      <c r="C1978" s="100" t="s">
        <v>5</v>
      </c>
      <c r="D1978" s="97"/>
    </row>
    <row r="1979" spans="1:4" ht="42.75" customHeight="1" thickBot="1">
      <c r="A1979" s="101">
        <v>62</v>
      </c>
      <c r="B1979" s="102"/>
      <c r="C1979" s="96" t="s">
        <v>6</v>
      </c>
      <c r="D1979" s="97"/>
    </row>
    <row r="1980" spans="1:4" ht="42.75" customHeight="1" thickBot="1">
      <c r="A1980" s="103"/>
      <c r="B1980" s="104"/>
      <c r="C1980" s="96" t="s">
        <v>21</v>
      </c>
      <c r="D1980" s="97"/>
    </row>
    <row r="1981" spans="1:4" ht="42.75" customHeight="1" thickBot="1">
      <c r="A1981" s="105">
        <f>A1979*A1978</f>
        <v>3100</v>
      </c>
      <c r="B1981" s="106"/>
      <c r="C1981" s="96" t="s">
        <v>7</v>
      </c>
      <c r="D1981" s="97"/>
    </row>
    <row r="1982" spans="1:4" ht="42.75" customHeight="1" thickBot="1">
      <c r="A1982" s="107" t="s">
        <v>17</v>
      </c>
      <c r="B1982" s="108"/>
      <c r="C1982" s="108"/>
      <c r="D1982" s="109"/>
    </row>
    <row r="1983" spans="1:4" ht="42.75" customHeight="1" thickBot="1">
      <c r="A1983" s="116" t="s">
        <v>20</v>
      </c>
      <c r="B1983" s="117"/>
      <c r="C1983" s="117"/>
      <c r="D1983" s="118"/>
    </row>
    <row r="1984" spans="1:4" ht="42.75" customHeight="1" thickBot="1">
      <c r="A1984" s="113" t="s">
        <v>18</v>
      </c>
      <c r="B1984" s="114"/>
      <c r="C1984" s="114"/>
      <c r="D1984" s="115"/>
    </row>
    <row r="1985" spans="1:4" ht="42.75" customHeight="1" thickBot="1">
      <c r="A1985" s="119"/>
      <c r="B1985" s="119"/>
      <c r="C1985" s="119"/>
      <c r="D1985" s="119"/>
    </row>
    <row r="1986" spans="1:4" ht="42.75" customHeight="1" thickBot="1">
      <c r="A1986" s="126" t="s">
        <v>19</v>
      </c>
      <c r="B1986" s="127"/>
      <c r="C1986" s="127"/>
      <c r="D1986" s="128"/>
    </row>
    <row r="1987" spans="1:4" ht="42.75" customHeight="1" thickBot="1">
      <c r="A1987" s="123" t="s">
        <v>11</v>
      </c>
      <c r="B1987" s="124"/>
      <c r="C1987" s="125" t="s">
        <v>603</v>
      </c>
      <c r="D1987" s="124"/>
    </row>
    <row r="1988" spans="1:4" ht="42.75" customHeight="1" thickBot="1">
      <c r="A1988" s="1" t="s">
        <v>686</v>
      </c>
      <c r="B1988" s="26" t="s">
        <v>1</v>
      </c>
      <c r="C1988" s="90" t="s">
        <v>661</v>
      </c>
      <c r="D1988" s="91"/>
    </row>
    <row r="1989" spans="1:4" ht="42.75" customHeight="1" thickBot="1">
      <c r="A1989" s="26"/>
      <c r="B1989" s="26" t="s">
        <v>0</v>
      </c>
      <c r="C1989" s="5" t="s">
        <v>687</v>
      </c>
      <c r="D1989" s="4" t="s">
        <v>2</v>
      </c>
    </row>
    <row r="1990" spans="1:4" ht="42.75" customHeight="1" thickBot="1">
      <c r="A1990" s="92">
        <v>4110</v>
      </c>
      <c r="B1990" s="93"/>
      <c r="C1990" s="94" t="s">
        <v>3</v>
      </c>
      <c r="D1990" s="95"/>
    </row>
    <row r="1991" spans="1:4" ht="42.75" customHeight="1" thickBot="1">
      <c r="A1991" s="92">
        <v>4160</v>
      </c>
      <c r="B1991" s="93"/>
      <c r="C1991" s="96" t="s">
        <v>4</v>
      </c>
      <c r="D1991" s="97"/>
    </row>
    <row r="1992" spans="1:4" ht="42.75" customHeight="1" thickBot="1">
      <c r="A1992" s="98">
        <f>A1991-A1990</f>
        <v>50</v>
      </c>
      <c r="B1992" s="99"/>
      <c r="C1992" s="100" t="s">
        <v>5</v>
      </c>
      <c r="D1992" s="97"/>
    </row>
    <row r="1993" spans="1:4" ht="42.75" customHeight="1" thickBot="1">
      <c r="A1993" s="101">
        <v>62</v>
      </c>
      <c r="B1993" s="102"/>
      <c r="C1993" s="96" t="s">
        <v>6</v>
      </c>
      <c r="D1993" s="97"/>
    </row>
    <row r="1994" spans="1:4" ht="42.75" customHeight="1" thickBot="1">
      <c r="A1994" s="103"/>
      <c r="B1994" s="104"/>
      <c r="C1994" s="96" t="s">
        <v>21</v>
      </c>
      <c r="D1994" s="97"/>
    </row>
    <row r="1995" spans="1:4" ht="42.75" customHeight="1" thickBot="1">
      <c r="A1995" s="105">
        <f>A1993*A1992</f>
        <v>3100</v>
      </c>
      <c r="B1995" s="106"/>
      <c r="C1995" s="96" t="s">
        <v>7</v>
      </c>
      <c r="D1995" s="97"/>
    </row>
    <row r="1996" spans="1:4" ht="42.75" customHeight="1" thickBot="1">
      <c r="A1996" s="107" t="s">
        <v>17</v>
      </c>
      <c r="B1996" s="108"/>
      <c r="C1996" s="108"/>
      <c r="D1996" s="109"/>
    </row>
    <row r="1997" spans="1:4" ht="42.75" customHeight="1" thickBot="1">
      <c r="A1997" s="110" t="s">
        <v>20</v>
      </c>
      <c r="B1997" s="111"/>
      <c r="C1997" s="111"/>
      <c r="D1997" s="112"/>
    </row>
    <row r="1998" spans="1:4" ht="42.75" customHeight="1" thickBot="1">
      <c r="A1998" s="113" t="s">
        <v>18</v>
      </c>
      <c r="B1998" s="114"/>
      <c r="C1998" s="114"/>
      <c r="D1998" s="115"/>
    </row>
    <row r="1999" spans="1:4" ht="42.75" customHeight="1" thickBot="1">
      <c r="A1999" s="126" t="s">
        <v>19</v>
      </c>
      <c r="B1999" s="127"/>
      <c r="C1999" s="127"/>
      <c r="D1999" s="128"/>
    </row>
    <row r="2000" spans="1:4" ht="42.75" customHeight="1" thickBot="1">
      <c r="A2000" s="123" t="s">
        <v>11</v>
      </c>
      <c r="B2000" s="124"/>
      <c r="C2000" s="125" t="s">
        <v>603</v>
      </c>
      <c r="D2000" s="124"/>
    </row>
    <row r="2001" spans="1:4" ht="42.75" customHeight="1" thickBot="1">
      <c r="A2001" s="1" t="s">
        <v>686</v>
      </c>
      <c r="B2001" s="26" t="s">
        <v>1</v>
      </c>
      <c r="C2001" s="90" t="s">
        <v>677</v>
      </c>
      <c r="D2001" s="91"/>
    </row>
    <row r="2002" spans="1:4" ht="42.75" customHeight="1" thickBot="1">
      <c r="A2002" s="26"/>
      <c r="B2002" s="26" t="s">
        <v>0</v>
      </c>
      <c r="C2002" s="5" t="s">
        <v>687</v>
      </c>
      <c r="D2002" s="4" t="s">
        <v>2</v>
      </c>
    </row>
    <row r="2003" spans="1:4" ht="42.75" customHeight="1" thickBot="1">
      <c r="A2003" s="92">
        <v>10</v>
      </c>
      <c r="B2003" s="93"/>
      <c r="C2003" s="94" t="s">
        <v>3</v>
      </c>
      <c r="D2003" s="95"/>
    </row>
    <row r="2004" spans="1:4" ht="42.75" customHeight="1" thickBot="1">
      <c r="A2004" s="92">
        <v>15</v>
      </c>
      <c r="B2004" s="93"/>
      <c r="C2004" s="96" t="s">
        <v>4</v>
      </c>
      <c r="D2004" s="97"/>
    </row>
    <row r="2005" spans="1:4" ht="42.75" customHeight="1" thickBot="1">
      <c r="A2005" s="98">
        <v>10</v>
      </c>
      <c r="B2005" s="99"/>
      <c r="C2005" s="100" t="s">
        <v>5</v>
      </c>
      <c r="D2005" s="97"/>
    </row>
    <row r="2006" spans="1:4" ht="42.75" customHeight="1" thickBot="1">
      <c r="A2006" s="101">
        <v>62</v>
      </c>
      <c r="B2006" s="102"/>
      <c r="C2006" s="96" t="s">
        <v>6</v>
      </c>
      <c r="D2006" s="97"/>
    </row>
    <row r="2007" spans="1:4" ht="42.75" customHeight="1" thickBot="1">
      <c r="A2007" s="103"/>
      <c r="B2007" s="104"/>
      <c r="C2007" s="96" t="s">
        <v>21</v>
      </c>
      <c r="D2007" s="97"/>
    </row>
    <row r="2008" spans="1:4" ht="42.75" customHeight="1" thickBot="1">
      <c r="A2008" s="105">
        <v>600</v>
      </c>
      <c r="B2008" s="106"/>
      <c r="C2008" s="96" t="s">
        <v>7</v>
      </c>
      <c r="D2008" s="97"/>
    </row>
    <row r="2009" spans="1:4" ht="42.75" customHeight="1" thickBot="1">
      <c r="A2009" s="107" t="s">
        <v>17</v>
      </c>
      <c r="B2009" s="108"/>
      <c r="C2009" s="108"/>
      <c r="D2009" s="109"/>
    </row>
    <row r="2010" spans="1:4" ht="42.75" customHeight="1" thickBot="1">
      <c r="A2010" s="116" t="s">
        <v>20</v>
      </c>
      <c r="B2010" s="117"/>
      <c r="C2010" s="117"/>
      <c r="D2010" s="118"/>
    </row>
    <row r="2011" spans="1:4" ht="42.75" customHeight="1" thickBot="1">
      <c r="A2011" s="113" t="s">
        <v>18</v>
      </c>
      <c r="B2011" s="114"/>
      <c r="C2011" s="114"/>
      <c r="D2011" s="115"/>
    </row>
    <row r="2012" spans="1:4" ht="42.75" customHeight="1" thickBot="1">
      <c r="A2012" s="119"/>
      <c r="B2012" s="119"/>
      <c r="C2012" s="119"/>
      <c r="D2012" s="119"/>
    </row>
    <row r="2013" spans="1:4" ht="42.75" customHeight="1" thickBot="1">
      <c r="A2013" s="126" t="s">
        <v>19</v>
      </c>
      <c r="B2013" s="127"/>
      <c r="C2013" s="127"/>
      <c r="D2013" s="128"/>
    </row>
    <row r="2014" spans="1:4" ht="42.75" customHeight="1" thickBot="1">
      <c r="A2014" s="123" t="s">
        <v>11</v>
      </c>
      <c r="B2014" s="124"/>
      <c r="C2014" s="125" t="s">
        <v>603</v>
      </c>
      <c r="D2014" s="124"/>
    </row>
    <row r="2015" spans="1:4" ht="42.75" customHeight="1" thickBot="1">
      <c r="A2015" s="1" t="s">
        <v>686</v>
      </c>
      <c r="B2015" s="26" t="s">
        <v>1</v>
      </c>
      <c r="C2015" s="90" t="s">
        <v>677</v>
      </c>
      <c r="D2015" s="91"/>
    </row>
    <row r="2016" spans="1:4" ht="42.75" customHeight="1" thickBot="1">
      <c r="A2016" s="26"/>
      <c r="B2016" s="26" t="s">
        <v>0</v>
      </c>
      <c r="C2016" s="5" t="s">
        <v>687</v>
      </c>
      <c r="D2016" s="4" t="s">
        <v>2</v>
      </c>
    </row>
    <row r="2017" spans="1:4" ht="42.75" customHeight="1" thickBot="1">
      <c r="A2017" s="92">
        <v>10</v>
      </c>
      <c r="B2017" s="93"/>
      <c r="C2017" s="94" t="s">
        <v>3</v>
      </c>
      <c r="D2017" s="95"/>
    </row>
    <row r="2018" spans="1:4" ht="42.75" customHeight="1" thickBot="1">
      <c r="A2018" s="92">
        <v>15</v>
      </c>
      <c r="B2018" s="93"/>
      <c r="C2018" s="96" t="s">
        <v>4</v>
      </c>
      <c r="D2018" s="97"/>
    </row>
    <row r="2019" spans="1:4" ht="42.75" customHeight="1" thickBot="1">
      <c r="A2019" s="98">
        <v>10</v>
      </c>
      <c r="B2019" s="99"/>
      <c r="C2019" s="100" t="s">
        <v>5</v>
      </c>
      <c r="D2019" s="97"/>
    </row>
    <row r="2020" spans="1:4" ht="42.75" customHeight="1" thickBot="1">
      <c r="A2020" s="101">
        <v>62</v>
      </c>
      <c r="B2020" s="102"/>
      <c r="C2020" s="96" t="s">
        <v>6</v>
      </c>
      <c r="D2020" s="97"/>
    </row>
    <row r="2021" spans="1:4" ht="42.75" customHeight="1" thickBot="1">
      <c r="A2021" s="103"/>
      <c r="B2021" s="104"/>
      <c r="C2021" s="96" t="s">
        <v>21</v>
      </c>
      <c r="D2021" s="97"/>
    </row>
    <row r="2022" spans="1:4" ht="42.75" customHeight="1" thickBot="1">
      <c r="A2022" s="105">
        <v>600</v>
      </c>
      <c r="B2022" s="106"/>
      <c r="C2022" s="96" t="s">
        <v>7</v>
      </c>
      <c r="D2022" s="97"/>
    </row>
    <row r="2023" spans="1:4" ht="42.75" customHeight="1" thickBot="1">
      <c r="A2023" s="107" t="s">
        <v>17</v>
      </c>
      <c r="B2023" s="108"/>
      <c r="C2023" s="108"/>
      <c r="D2023" s="109"/>
    </row>
    <row r="2024" spans="1:4" ht="42.75" customHeight="1" thickBot="1">
      <c r="A2024" s="110" t="s">
        <v>20</v>
      </c>
      <c r="B2024" s="111"/>
      <c r="C2024" s="111"/>
      <c r="D2024" s="112"/>
    </row>
    <row r="2025" spans="1:4" ht="42.75" customHeight="1" thickBot="1">
      <c r="A2025" s="113" t="s">
        <v>18</v>
      </c>
      <c r="B2025" s="114"/>
      <c r="C2025" s="114"/>
      <c r="D2025" s="115"/>
    </row>
  </sheetData>
  <mergeCells count="2925">
    <mergeCell ref="A1939:B1939"/>
    <mergeCell ref="C1939:D1939"/>
    <mergeCell ref="A1940:B1940"/>
    <mergeCell ref="C1940:D1940"/>
    <mergeCell ref="A1941:B1941"/>
    <mergeCell ref="C1941:D1941"/>
    <mergeCell ref="A1942:D1942"/>
    <mergeCell ref="A1943:D1943"/>
    <mergeCell ref="A1944:D1944"/>
    <mergeCell ref="A1926:B1926"/>
    <mergeCell ref="C1926:D1926"/>
    <mergeCell ref="A1927:B1927"/>
    <mergeCell ref="C1927:D1927"/>
    <mergeCell ref="A1928:D1928"/>
    <mergeCell ref="A1929:D1929"/>
    <mergeCell ref="A1930:D1930"/>
    <mergeCell ref="A1931:D1931"/>
    <mergeCell ref="A1932:D1932"/>
    <mergeCell ref="A1933:B1933"/>
    <mergeCell ref="C1933:D1933"/>
    <mergeCell ref="C1934:D1934"/>
    <mergeCell ref="A1936:B1936"/>
    <mergeCell ref="C1936:D1936"/>
    <mergeCell ref="A1937:B1937"/>
    <mergeCell ref="C1937:D1937"/>
    <mergeCell ref="A1938:B1938"/>
    <mergeCell ref="C1938:D1938"/>
    <mergeCell ref="A1914:B1914"/>
    <mergeCell ref="C1914:D1914"/>
    <mergeCell ref="A1915:D1915"/>
    <mergeCell ref="A1916:D1916"/>
    <mergeCell ref="A1917:D1917"/>
    <mergeCell ref="A1918:D1918"/>
    <mergeCell ref="A1919:B1919"/>
    <mergeCell ref="C1919:D1919"/>
    <mergeCell ref="C1920:D1920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02:D1902"/>
    <mergeCell ref="A1903:D1903"/>
    <mergeCell ref="A1904:D1904"/>
    <mergeCell ref="A1905:D1905"/>
    <mergeCell ref="A1906:B1906"/>
    <mergeCell ref="C1906:D1906"/>
    <mergeCell ref="C1907:D1907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891:D1891"/>
    <mergeCell ref="A1892:B1892"/>
    <mergeCell ref="C1892:D1892"/>
    <mergeCell ref="C1893:D1893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900:B1900"/>
    <mergeCell ref="C1900:D1900"/>
    <mergeCell ref="A1901:D1901"/>
    <mergeCell ref="A1:D1"/>
    <mergeCell ref="A2:B2"/>
    <mergeCell ref="C2:D2"/>
    <mergeCell ref="C3:D3"/>
    <mergeCell ref="A5:B5"/>
    <mergeCell ref="C5:D5"/>
    <mergeCell ref="A13:D13"/>
    <mergeCell ref="A14:D14"/>
    <mergeCell ref="A15:D15"/>
    <mergeCell ref="A16:B16"/>
    <mergeCell ref="C16:D16"/>
    <mergeCell ref="C17:D17"/>
    <mergeCell ref="A9:B9"/>
    <mergeCell ref="C9:D9"/>
    <mergeCell ref="A10:B10"/>
    <mergeCell ref="C10:D10"/>
    <mergeCell ref="A11:D11"/>
    <mergeCell ref="A12:D12"/>
    <mergeCell ref="A6:B6"/>
    <mergeCell ref="C6:D6"/>
    <mergeCell ref="A7:B7"/>
    <mergeCell ref="C7:D7"/>
    <mergeCell ref="A8:B8"/>
    <mergeCell ref="C8:D8"/>
    <mergeCell ref="A25:D25"/>
    <mergeCell ref="A26:D26"/>
    <mergeCell ref="A27:D27"/>
    <mergeCell ref="A28:D28"/>
    <mergeCell ref="A29:B29"/>
    <mergeCell ref="C29:D29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38:D38"/>
    <mergeCell ref="A39:D39"/>
    <mergeCell ref="A40:D40"/>
    <mergeCell ref="A41:D41"/>
    <mergeCell ref="A42:D42"/>
    <mergeCell ref="A43:B43"/>
    <mergeCell ref="C43:D43"/>
    <mergeCell ref="A35:B35"/>
    <mergeCell ref="C35:D35"/>
    <mergeCell ref="A36:B36"/>
    <mergeCell ref="C36:D36"/>
    <mergeCell ref="A37:B37"/>
    <mergeCell ref="C37:D37"/>
    <mergeCell ref="C30:D30"/>
    <mergeCell ref="A32:B32"/>
    <mergeCell ref="C32:D32"/>
    <mergeCell ref="A33:B33"/>
    <mergeCell ref="C33:D33"/>
    <mergeCell ref="A34:B34"/>
    <mergeCell ref="C34:D34"/>
    <mergeCell ref="A52:D52"/>
    <mergeCell ref="A53:D53"/>
    <mergeCell ref="A54:D54"/>
    <mergeCell ref="A55:D55"/>
    <mergeCell ref="A56:B56"/>
    <mergeCell ref="C56:D56"/>
    <mergeCell ref="A49:B49"/>
    <mergeCell ref="C49:D49"/>
    <mergeCell ref="A50:B50"/>
    <mergeCell ref="C50:D50"/>
    <mergeCell ref="A51:B51"/>
    <mergeCell ref="C51:D51"/>
    <mergeCell ref="C44:D44"/>
    <mergeCell ref="A46:B46"/>
    <mergeCell ref="C46:D46"/>
    <mergeCell ref="A47:B47"/>
    <mergeCell ref="C47:D47"/>
    <mergeCell ref="A48:B48"/>
    <mergeCell ref="C48:D48"/>
    <mergeCell ref="A65:D65"/>
    <mergeCell ref="A66:D66"/>
    <mergeCell ref="A67:D67"/>
    <mergeCell ref="A68:D68"/>
    <mergeCell ref="A69:D69"/>
    <mergeCell ref="A70:B70"/>
    <mergeCell ref="C70:D70"/>
    <mergeCell ref="A62:B62"/>
    <mergeCell ref="C62:D62"/>
    <mergeCell ref="A63:B63"/>
    <mergeCell ref="C63:D63"/>
    <mergeCell ref="A64:B64"/>
    <mergeCell ref="C64:D64"/>
    <mergeCell ref="C57:D57"/>
    <mergeCell ref="A59:B59"/>
    <mergeCell ref="C59:D59"/>
    <mergeCell ref="A60:B60"/>
    <mergeCell ref="C60:D60"/>
    <mergeCell ref="A61:B61"/>
    <mergeCell ref="C61:D61"/>
    <mergeCell ref="A79:D79"/>
    <mergeCell ref="A80:D80"/>
    <mergeCell ref="A81:D81"/>
    <mergeCell ref="A82:D82"/>
    <mergeCell ref="A83:B83"/>
    <mergeCell ref="C83:D83"/>
    <mergeCell ref="A76:B76"/>
    <mergeCell ref="C76:D76"/>
    <mergeCell ref="A77:B77"/>
    <mergeCell ref="C77:D77"/>
    <mergeCell ref="A78:B78"/>
    <mergeCell ref="C78:D78"/>
    <mergeCell ref="C71:D71"/>
    <mergeCell ref="A73:B73"/>
    <mergeCell ref="C73:D73"/>
    <mergeCell ref="A74:B74"/>
    <mergeCell ref="C74:D74"/>
    <mergeCell ref="A75:B75"/>
    <mergeCell ref="C75:D75"/>
    <mergeCell ref="A92:D92"/>
    <mergeCell ref="A93:D93"/>
    <mergeCell ref="A94:D94"/>
    <mergeCell ref="A95:D95"/>
    <mergeCell ref="A96:D96"/>
    <mergeCell ref="A97:B97"/>
    <mergeCell ref="C97:D97"/>
    <mergeCell ref="A89:B89"/>
    <mergeCell ref="C89:D89"/>
    <mergeCell ref="A90:B90"/>
    <mergeCell ref="C90:D90"/>
    <mergeCell ref="A91:B91"/>
    <mergeCell ref="C91:D91"/>
    <mergeCell ref="C84:D84"/>
    <mergeCell ref="A86:B86"/>
    <mergeCell ref="C86:D86"/>
    <mergeCell ref="A87:B87"/>
    <mergeCell ref="C87:D87"/>
    <mergeCell ref="A88:B88"/>
    <mergeCell ref="C88:D88"/>
    <mergeCell ref="A106:D106"/>
    <mergeCell ref="A107:D107"/>
    <mergeCell ref="A108:D108"/>
    <mergeCell ref="A109:D109"/>
    <mergeCell ref="A110:B110"/>
    <mergeCell ref="C110:D110"/>
    <mergeCell ref="A103:B103"/>
    <mergeCell ref="C103:D103"/>
    <mergeCell ref="A104:B104"/>
    <mergeCell ref="C104:D104"/>
    <mergeCell ref="A105:B105"/>
    <mergeCell ref="C105:D105"/>
    <mergeCell ref="C98:D98"/>
    <mergeCell ref="A100:B100"/>
    <mergeCell ref="C100:D100"/>
    <mergeCell ref="A101:B101"/>
    <mergeCell ref="C101:D101"/>
    <mergeCell ref="A102:B102"/>
    <mergeCell ref="C102:D102"/>
    <mergeCell ref="A119:D119"/>
    <mergeCell ref="A120:D120"/>
    <mergeCell ref="A121:D121"/>
    <mergeCell ref="A122:D122"/>
    <mergeCell ref="A123:D123"/>
    <mergeCell ref="A124:B124"/>
    <mergeCell ref="C124:D124"/>
    <mergeCell ref="A116:B116"/>
    <mergeCell ref="C116:D116"/>
    <mergeCell ref="A117:B117"/>
    <mergeCell ref="C117:D117"/>
    <mergeCell ref="A118:B118"/>
    <mergeCell ref="C118:D118"/>
    <mergeCell ref="C111:D111"/>
    <mergeCell ref="A113:B113"/>
    <mergeCell ref="C113:D113"/>
    <mergeCell ref="A114:B114"/>
    <mergeCell ref="C114:D114"/>
    <mergeCell ref="A115:B115"/>
    <mergeCell ref="C115:D115"/>
    <mergeCell ref="A133:D133"/>
    <mergeCell ref="A134:D134"/>
    <mergeCell ref="A135:D135"/>
    <mergeCell ref="A136:D136"/>
    <mergeCell ref="A137:B137"/>
    <mergeCell ref="C137:D137"/>
    <mergeCell ref="A130:B130"/>
    <mergeCell ref="C130:D130"/>
    <mergeCell ref="A131:B131"/>
    <mergeCell ref="C131:D131"/>
    <mergeCell ref="A132:B132"/>
    <mergeCell ref="C132:D132"/>
    <mergeCell ref="C125:D125"/>
    <mergeCell ref="A127:B127"/>
    <mergeCell ref="C127:D127"/>
    <mergeCell ref="A128:B128"/>
    <mergeCell ref="C128:D128"/>
    <mergeCell ref="A129:B129"/>
    <mergeCell ref="C129:D129"/>
    <mergeCell ref="A146:D146"/>
    <mergeCell ref="A147:D147"/>
    <mergeCell ref="A148:D148"/>
    <mergeCell ref="A149:D149"/>
    <mergeCell ref="A150:D150"/>
    <mergeCell ref="A151:B151"/>
    <mergeCell ref="C151:D151"/>
    <mergeCell ref="A143:B143"/>
    <mergeCell ref="C143:D143"/>
    <mergeCell ref="A144:B144"/>
    <mergeCell ref="C144:D144"/>
    <mergeCell ref="A145:B145"/>
    <mergeCell ref="C145:D145"/>
    <mergeCell ref="C138:D138"/>
    <mergeCell ref="A140:B140"/>
    <mergeCell ref="C140:D140"/>
    <mergeCell ref="A141:B141"/>
    <mergeCell ref="C141:D141"/>
    <mergeCell ref="A142:B142"/>
    <mergeCell ref="C142:D142"/>
    <mergeCell ref="A160:D160"/>
    <mergeCell ref="A161:D161"/>
    <mergeCell ref="A162:D162"/>
    <mergeCell ref="A163:D163"/>
    <mergeCell ref="A164:B164"/>
    <mergeCell ref="C164:D164"/>
    <mergeCell ref="A157:B157"/>
    <mergeCell ref="C157:D157"/>
    <mergeCell ref="A158:B158"/>
    <mergeCell ref="C158:D158"/>
    <mergeCell ref="A159:B159"/>
    <mergeCell ref="C159:D159"/>
    <mergeCell ref="C152:D152"/>
    <mergeCell ref="A154:B154"/>
    <mergeCell ref="C154:D154"/>
    <mergeCell ref="A155:B155"/>
    <mergeCell ref="C155:D155"/>
    <mergeCell ref="A156:B156"/>
    <mergeCell ref="C156:D156"/>
    <mergeCell ref="A173:D173"/>
    <mergeCell ref="A174:D174"/>
    <mergeCell ref="A175:D175"/>
    <mergeCell ref="A176:D176"/>
    <mergeCell ref="A177:D177"/>
    <mergeCell ref="A178:B178"/>
    <mergeCell ref="C178:D178"/>
    <mergeCell ref="A170:B170"/>
    <mergeCell ref="C170:D170"/>
    <mergeCell ref="A171:B171"/>
    <mergeCell ref="C171:D171"/>
    <mergeCell ref="A172:B172"/>
    <mergeCell ref="C172:D172"/>
    <mergeCell ref="C165:D165"/>
    <mergeCell ref="A167:B167"/>
    <mergeCell ref="C167:D167"/>
    <mergeCell ref="A168:B168"/>
    <mergeCell ref="C168:D168"/>
    <mergeCell ref="A169:B169"/>
    <mergeCell ref="C169:D169"/>
    <mergeCell ref="A187:D187"/>
    <mergeCell ref="A188:D188"/>
    <mergeCell ref="A189:D189"/>
    <mergeCell ref="A190:D190"/>
    <mergeCell ref="A191:B191"/>
    <mergeCell ref="C191:D191"/>
    <mergeCell ref="A184:B184"/>
    <mergeCell ref="C184:D184"/>
    <mergeCell ref="A185:B185"/>
    <mergeCell ref="C185:D185"/>
    <mergeCell ref="A186:B186"/>
    <mergeCell ref="C186:D186"/>
    <mergeCell ref="C179:D179"/>
    <mergeCell ref="A181:B181"/>
    <mergeCell ref="C181:D181"/>
    <mergeCell ref="A182:B182"/>
    <mergeCell ref="C182:D182"/>
    <mergeCell ref="A183:B183"/>
    <mergeCell ref="C183:D183"/>
    <mergeCell ref="A200:D200"/>
    <mergeCell ref="A201:D201"/>
    <mergeCell ref="A202:D202"/>
    <mergeCell ref="A203:D203"/>
    <mergeCell ref="A204:D204"/>
    <mergeCell ref="A205:B205"/>
    <mergeCell ref="C205:D205"/>
    <mergeCell ref="A197:B197"/>
    <mergeCell ref="C197:D197"/>
    <mergeCell ref="A198:B198"/>
    <mergeCell ref="C198:D198"/>
    <mergeCell ref="A199:B199"/>
    <mergeCell ref="C199:D199"/>
    <mergeCell ref="C192:D192"/>
    <mergeCell ref="A194:B194"/>
    <mergeCell ref="C194:D194"/>
    <mergeCell ref="A195:B195"/>
    <mergeCell ref="C195:D195"/>
    <mergeCell ref="A196:B196"/>
    <mergeCell ref="C196:D196"/>
    <mergeCell ref="A214:D214"/>
    <mergeCell ref="A215:D215"/>
    <mergeCell ref="A216:D216"/>
    <mergeCell ref="A217:D217"/>
    <mergeCell ref="A218:B218"/>
    <mergeCell ref="C218:D218"/>
    <mergeCell ref="A211:B211"/>
    <mergeCell ref="C211:D211"/>
    <mergeCell ref="A212:B212"/>
    <mergeCell ref="C212:D212"/>
    <mergeCell ref="A213:B213"/>
    <mergeCell ref="C213:D213"/>
    <mergeCell ref="C206:D206"/>
    <mergeCell ref="A208:B208"/>
    <mergeCell ref="C208:D208"/>
    <mergeCell ref="A209:B209"/>
    <mergeCell ref="C209:D209"/>
    <mergeCell ref="A210:B210"/>
    <mergeCell ref="C210:D210"/>
    <mergeCell ref="A227:D227"/>
    <mergeCell ref="A228:D228"/>
    <mergeCell ref="A229:D229"/>
    <mergeCell ref="A230:D230"/>
    <mergeCell ref="A231:D231"/>
    <mergeCell ref="A232:B232"/>
    <mergeCell ref="C232:D232"/>
    <mergeCell ref="A224:B224"/>
    <mergeCell ref="C224:D224"/>
    <mergeCell ref="A225:B225"/>
    <mergeCell ref="C225:D225"/>
    <mergeCell ref="A226:B226"/>
    <mergeCell ref="C226:D226"/>
    <mergeCell ref="C219:D219"/>
    <mergeCell ref="A221:B221"/>
    <mergeCell ref="C221:D221"/>
    <mergeCell ref="A222:B222"/>
    <mergeCell ref="C222:D222"/>
    <mergeCell ref="A223:B223"/>
    <mergeCell ref="C223:D223"/>
    <mergeCell ref="A241:D241"/>
    <mergeCell ref="A242:D242"/>
    <mergeCell ref="A243:D243"/>
    <mergeCell ref="A244:D244"/>
    <mergeCell ref="A245:B245"/>
    <mergeCell ref="C245:D245"/>
    <mergeCell ref="A238:B238"/>
    <mergeCell ref="C238:D238"/>
    <mergeCell ref="A239:B239"/>
    <mergeCell ref="C239:D239"/>
    <mergeCell ref="A240:B240"/>
    <mergeCell ref="C240:D240"/>
    <mergeCell ref="C233:D233"/>
    <mergeCell ref="A235:B235"/>
    <mergeCell ref="C235:D235"/>
    <mergeCell ref="A236:B236"/>
    <mergeCell ref="C236:D236"/>
    <mergeCell ref="A237:B237"/>
    <mergeCell ref="C237:D237"/>
    <mergeCell ref="A254:D254"/>
    <mergeCell ref="A255:D255"/>
    <mergeCell ref="A256:D256"/>
    <mergeCell ref="A257:D257"/>
    <mergeCell ref="A258:D258"/>
    <mergeCell ref="A259:B259"/>
    <mergeCell ref="C259:D259"/>
    <mergeCell ref="A251:B251"/>
    <mergeCell ref="C251:D251"/>
    <mergeCell ref="A252:B252"/>
    <mergeCell ref="C252:D252"/>
    <mergeCell ref="A253:B253"/>
    <mergeCell ref="C253:D253"/>
    <mergeCell ref="C246:D246"/>
    <mergeCell ref="A248:B248"/>
    <mergeCell ref="C248:D248"/>
    <mergeCell ref="A249:B249"/>
    <mergeCell ref="C249:D249"/>
    <mergeCell ref="A250:B250"/>
    <mergeCell ref="C250:D250"/>
    <mergeCell ref="A268:D268"/>
    <mergeCell ref="A269:D269"/>
    <mergeCell ref="A270:D270"/>
    <mergeCell ref="A271:D271"/>
    <mergeCell ref="A272:B272"/>
    <mergeCell ref="C272:D272"/>
    <mergeCell ref="A265:B265"/>
    <mergeCell ref="C265:D265"/>
    <mergeCell ref="A266:B266"/>
    <mergeCell ref="C266:D266"/>
    <mergeCell ref="A267:B267"/>
    <mergeCell ref="C267:D267"/>
    <mergeCell ref="C260:D260"/>
    <mergeCell ref="A262:B262"/>
    <mergeCell ref="C262:D262"/>
    <mergeCell ref="A263:B263"/>
    <mergeCell ref="C263:D263"/>
    <mergeCell ref="A264:B264"/>
    <mergeCell ref="C264:D264"/>
    <mergeCell ref="A281:D281"/>
    <mergeCell ref="A282:D282"/>
    <mergeCell ref="A283:D283"/>
    <mergeCell ref="A284:D284"/>
    <mergeCell ref="A285:D285"/>
    <mergeCell ref="A286:B286"/>
    <mergeCell ref="C286:D286"/>
    <mergeCell ref="A278:B278"/>
    <mergeCell ref="C278:D278"/>
    <mergeCell ref="A279:B279"/>
    <mergeCell ref="C279:D279"/>
    <mergeCell ref="A280:B280"/>
    <mergeCell ref="C280:D280"/>
    <mergeCell ref="C273:D273"/>
    <mergeCell ref="A275:B275"/>
    <mergeCell ref="C275:D275"/>
    <mergeCell ref="A276:B276"/>
    <mergeCell ref="C276:D276"/>
    <mergeCell ref="A277:B277"/>
    <mergeCell ref="C277:D277"/>
    <mergeCell ref="A295:D295"/>
    <mergeCell ref="A296:D296"/>
    <mergeCell ref="A297:D297"/>
    <mergeCell ref="A298:D298"/>
    <mergeCell ref="A299:B299"/>
    <mergeCell ref="C299:D299"/>
    <mergeCell ref="A292:B292"/>
    <mergeCell ref="C292:D292"/>
    <mergeCell ref="A293:B293"/>
    <mergeCell ref="C293:D293"/>
    <mergeCell ref="A294:B294"/>
    <mergeCell ref="C294:D294"/>
    <mergeCell ref="C287:D287"/>
    <mergeCell ref="A289:B289"/>
    <mergeCell ref="C289:D289"/>
    <mergeCell ref="A290:B290"/>
    <mergeCell ref="C290:D290"/>
    <mergeCell ref="A291:B291"/>
    <mergeCell ref="C291:D291"/>
    <mergeCell ref="A308:D308"/>
    <mergeCell ref="A309:D309"/>
    <mergeCell ref="A310:D310"/>
    <mergeCell ref="A311:D311"/>
    <mergeCell ref="A312:D312"/>
    <mergeCell ref="A313:B313"/>
    <mergeCell ref="C313:D313"/>
    <mergeCell ref="A305:B305"/>
    <mergeCell ref="C305:D305"/>
    <mergeCell ref="A306:B306"/>
    <mergeCell ref="C306:D306"/>
    <mergeCell ref="A307:B307"/>
    <mergeCell ref="C307:D307"/>
    <mergeCell ref="C300:D300"/>
    <mergeCell ref="A302:B302"/>
    <mergeCell ref="C302:D302"/>
    <mergeCell ref="A303:B303"/>
    <mergeCell ref="C303:D303"/>
    <mergeCell ref="A304:B304"/>
    <mergeCell ref="C304:D304"/>
    <mergeCell ref="A322:D322"/>
    <mergeCell ref="A323:D323"/>
    <mergeCell ref="A324:D324"/>
    <mergeCell ref="A325:D325"/>
    <mergeCell ref="A326:B326"/>
    <mergeCell ref="C326:D326"/>
    <mergeCell ref="A319:B319"/>
    <mergeCell ref="C319:D319"/>
    <mergeCell ref="A320:B320"/>
    <mergeCell ref="C320:D320"/>
    <mergeCell ref="A321:B321"/>
    <mergeCell ref="C321:D321"/>
    <mergeCell ref="C314:D314"/>
    <mergeCell ref="A316:B316"/>
    <mergeCell ref="C316:D316"/>
    <mergeCell ref="A317:B317"/>
    <mergeCell ref="C317:D317"/>
    <mergeCell ref="A318:B318"/>
    <mergeCell ref="C318:D318"/>
    <mergeCell ref="A335:D335"/>
    <mergeCell ref="A336:D336"/>
    <mergeCell ref="A337:D337"/>
    <mergeCell ref="A338:D338"/>
    <mergeCell ref="A339:D339"/>
    <mergeCell ref="A340:B340"/>
    <mergeCell ref="C340:D340"/>
    <mergeCell ref="A332:B332"/>
    <mergeCell ref="C332:D332"/>
    <mergeCell ref="A333:B333"/>
    <mergeCell ref="C333:D333"/>
    <mergeCell ref="A334:B334"/>
    <mergeCell ref="C334:D334"/>
    <mergeCell ref="C327:D327"/>
    <mergeCell ref="A329:B329"/>
    <mergeCell ref="C329:D329"/>
    <mergeCell ref="A330:B330"/>
    <mergeCell ref="C330:D330"/>
    <mergeCell ref="A331:B331"/>
    <mergeCell ref="C331:D331"/>
    <mergeCell ref="A349:D349"/>
    <mergeCell ref="A350:D350"/>
    <mergeCell ref="A351:D351"/>
    <mergeCell ref="A352:D352"/>
    <mergeCell ref="A353:B353"/>
    <mergeCell ref="C353:D353"/>
    <mergeCell ref="A346:B346"/>
    <mergeCell ref="C346:D346"/>
    <mergeCell ref="A347:B347"/>
    <mergeCell ref="C347:D347"/>
    <mergeCell ref="A348:B348"/>
    <mergeCell ref="C348:D348"/>
    <mergeCell ref="C341:D341"/>
    <mergeCell ref="A343:B343"/>
    <mergeCell ref="C343:D343"/>
    <mergeCell ref="A344:B344"/>
    <mergeCell ref="C344:D344"/>
    <mergeCell ref="A345:B345"/>
    <mergeCell ref="C345:D345"/>
    <mergeCell ref="A362:D362"/>
    <mergeCell ref="A363:D363"/>
    <mergeCell ref="A364:D364"/>
    <mergeCell ref="A365:D365"/>
    <mergeCell ref="A366:D366"/>
    <mergeCell ref="A367:B367"/>
    <mergeCell ref="C367:D367"/>
    <mergeCell ref="A359:B359"/>
    <mergeCell ref="C359:D359"/>
    <mergeCell ref="A360:B360"/>
    <mergeCell ref="C360:D360"/>
    <mergeCell ref="A361:B361"/>
    <mergeCell ref="C361:D361"/>
    <mergeCell ref="C354:D354"/>
    <mergeCell ref="A356:B356"/>
    <mergeCell ref="C356:D356"/>
    <mergeCell ref="A357:B357"/>
    <mergeCell ref="C357:D357"/>
    <mergeCell ref="A358:B358"/>
    <mergeCell ref="C358:D358"/>
    <mergeCell ref="A376:D376"/>
    <mergeCell ref="A377:D377"/>
    <mergeCell ref="A378:D378"/>
    <mergeCell ref="A379:D379"/>
    <mergeCell ref="A380:B380"/>
    <mergeCell ref="C380:D380"/>
    <mergeCell ref="A373:B373"/>
    <mergeCell ref="C373:D373"/>
    <mergeCell ref="A374:B374"/>
    <mergeCell ref="C374:D374"/>
    <mergeCell ref="A375:B375"/>
    <mergeCell ref="C375:D375"/>
    <mergeCell ref="C368:D368"/>
    <mergeCell ref="A370:B370"/>
    <mergeCell ref="C370:D370"/>
    <mergeCell ref="A371:B371"/>
    <mergeCell ref="C371:D371"/>
    <mergeCell ref="A372:B372"/>
    <mergeCell ref="C372:D372"/>
    <mergeCell ref="A389:D389"/>
    <mergeCell ref="A390:D390"/>
    <mergeCell ref="A391:D391"/>
    <mergeCell ref="A392:D392"/>
    <mergeCell ref="A393:D393"/>
    <mergeCell ref="A394:B394"/>
    <mergeCell ref="C394:D394"/>
    <mergeCell ref="A386:B386"/>
    <mergeCell ref="C386:D386"/>
    <mergeCell ref="A387:B387"/>
    <mergeCell ref="C387:D387"/>
    <mergeCell ref="A388:B388"/>
    <mergeCell ref="C388:D388"/>
    <mergeCell ref="C381:D381"/>
    <mergeCell ref="A383:B383"/>
    <mergeCell ref="C383:D383"/>
    <mergeCell ref="A384:B384"/>
    <mergeCell ref="C384:D384"/>
    <mergeCell ref="A385:B385"/>
    <mergeCell ref="C385:D385"/>
    <mergeCell ref="A403:D403"/>
    <mergeCell ref="A404:D404"/>
    <mergeCell ref="A405:D405"/>
    <mergeCell ref="A406:D406"/>
    <mergeCell ref="A407:B407"/>
    <mergeCell ref="C407:D407"/>
    <mergeCell ref="A400:B400"/>
    <mergeCell ref="C400:D400"/>
    <mergeCell ref="A401:B401"/>
    <mergeCell ref="C401:D401"/>
    <mergeCell ref="A402:B402"/>
    <mergeCell ref="C402:D402"/>
    <mergeCell ref="C395:D395"/>
    <mergeCell ref="A397:B397"/>
    <mergeCell ref="C397:D397"/>
    <mergeCell ref="A398:B398"/>
    <mergeCell ref="C398:D398"/>
    <mergeCell ref="A399:B399"/>
    <mergeCell ref="C399:D399"/>
    <mergeCell ref="A416:D416"/>
    <mergeCell ref="A417:D417"/>
    <mergeCell ref="A418:D418"/>
    <mergeCell ref="A419:D419"/>
    <mergeCell ref="A420:D420"/>
    <mergeCell ref="A421:B421"/>
    <mergeCell ref="C421:D421"/>
    <mergeCell ref="A413:B413"/>
    <mergeCell ref="C413:D413"/>
    <mergeCell ref="A414:B414"/>
    <mergeCell ref="C414:D414"/>
    <mergeCell ref="A415:B415"/>
    <mergeCell ref="C415:D415"/>
    <mergeCell ref="C408:D408"/>
    <mergeCell ref="A410:B410"/>
    <mergeCell ref="C410:D410"/>
    <mergeCell ref="A411:B411"/>
    <mergeCell ref="C411:D411"/>
    <mergeCell ref="A412:B412"/>
    <mergeCell ref="C412:D412"/>
    <mergeCell ref="A430:D430"/>
    <mergeCell ref="A431:D431"/>
    <mergeCell ref="A432:D432"/>
    <mergeCell ref="A433:D433"/>
    <mergeCell ref="A434:B434"/>
    <mergeCell ref="C434:D434"/>
    <mergeCell ref="A427:B427"/>
    <mergeCell ref="C427:D427"/>
    <mergeCell ref="A428:B428"/>
    <mergeCell ref="C428:D428"/>
    <mergeCell ref="A429:B429"/>
    <mergeCell ref="C429:D429"/>
    <mergeCell ref="C422:D422"/>
    <mergeCell ref="A424:B424"/>
    <mergeCell ref="C424:D424"/>
    <mergeCell ref="A425:B425"/>
    <mergeCell ref="C425:D425"/>
    <mergeCell ref="A426:B426"/>
    <mergeCell ref="C426:D426"/>
    <mergeCell ref="A443:D443"/>
    <mergeCell ref="A444:D444"/>
    <mergeCell ref="A445:D445"/>
    <mergeCell ref="A446:D446"/>
    <mergeCell ref="A447:D447"/>
    <mergeCell ref="A448:B448"/>
    <mergeCell ref="C448:D448"/>
    <mergeCell ref="A440:B440"/>
    <mergeCell ref="C440:D440"/>
    <mergeCell ref="A441:B441"/>
    <mergeCell ref="C441:D441"/>
    <mergeCell ref="A442:B442"/>
    <mergeCell ref="C442:D442"/>
    <mergeCell ref="C435:D435"/>
    <mergeCell ref="A437:B437"/>
    <mergeCell ref="C437:D437"/>
    <mergeCell ref="A438:B438"/>
    <mergeCell ref="C438:D438"/>
    <mergeCell ref="A439:B439"/>
    <mergeCell ref="C439:D439"/>
    <mergeCell ref="A457:D457"/>
    <mergeCell ref="A458:D458"/>
    <mergeCell ref="A459:D459"/>
    <mergeCell ref="A460:D460"/>
    <mergeCell ref="A461:B461"/>
    <mergeCell ref="C461:D461"/>
    <mergeCell ref="A454:B454"/>
    <mergeCell ref="C454:D454"/>
    <mergeCell ref="A455:B455"/>
    <mergeCell ref="C455:D455"/>
    <mergeCell ref="A456:B456"/>
    <mergeCell ref="C456:D456"/>
    <mergeCell ref="C449:D449"/>
    <mergeCell ref="A451:B451"/>
    <mergeCell ref="C451:D451"/>
    <mergeCell ref="A452:B452"/>
    <mergeCell ref="C452:D452"/>
    <mergeCell ref="A453:B453"/>
    <mergeCell ref="C453:D453"/>
    <mergeCell ref="A470:D470"/>
    <mergeCell ref="A471:D471"/>
    <mergeCell ref="A472:D472"/>
    <mergeCell ref="A473:D473"/>
    <mergeCell ref="A474:D474"/>
    <mergeCell ref="A475:B475"/>
    <mergeCell ref="C475:D475"/>
    <mergeCell ref="A467:B467"/>
    <mergeCell ref="C467:D467"/>
    <mergeCell ref="A468:B468"/>
    <mergeCell ref="C468:D468"/>
    <mergeCell ref="A469:B469"/>
    <mergeCell ref="C469:D469"/>
    <mergeCell ref="C462:D462"/>
    <mergeCell ref="A464:B464"/>
    <mergeCell ref="C464:D464"/>
    <mergeCell ref="A465:B465"/>
    <mergeCell ref="C465:D465"/>
    <mergeCell ref="A466:B466"/>
    <mergeCell ref="C466:D466"/>
    <mergeCell ref="A484:D484"/>
    <mergeCell ref="A485:D485"/>
    <mergeCell ref="A486:D486"/>
    <mergeCell ref="A487:D487"/>
    <mergeCell ref="A488:B488"/>
    <mergeCell ref="C488:D488"/>
    <mergeCell ref="A481:B481"/>
    <mergeCell ref="C481:D481"/>
    <mergeCell ref="A482:B482"/>
    <mergeCell ref="C482:D482"/>
    <mergeCell ref="A483:B483"/>
    <mergeCell ref="C483:D483"/>
    <mergeCell ref="C476:D476"/>
    <mergeCell ref="A478:B478"/>
    <mergeCell ref="C478:D478"/>
    <mergeCell ref="A479:B479"/>
    <mergeCell ref="C479:D479"/>
    <mergeCell ref="A480:B480"/>
    <mergeCell ref="C480:D480"/>
    <mergeCell ref="A497:D497"/>
    <mergeCell ref="A498:D498"/>
    <mergeCell ref="A499:D499"/>
    <mergeCell ref="A500:D500"/>
    <mergeCell ref="A501:D501"/>
    <mergeCell ref="A502:B502"/>
    <mergeCell ref="C502:D502"/>
    <mergeCell ref="A494:B494"/>
    <mergeCell ref="C494:D494"/>
    <mergeCell ref="A495:B495"/>
    <mergeCell ref="C495:D495"/>
    <mergeCell ref="A496:B496"/>
    <mergeCell ref="C496:D496"/>
    <mergeCell ref="C489:D489"/>
    <mergeCell ref="A491:B491"/>
    <mergeCell ref="C491:D491"/>
    <mergeCell ref="A492:B492"/>
    <mergeCell ref="C492:D492"/>
    <mergeCell ref="A493:B493"/>
    <mergeCell ref="C493:D493"/>
    <mergeCell ref="A511:D511"/>
    <mergeCell ref="A512:D512"/>
    <mergeCell ref="A513:D513"/>
    <mergeCell ref="A514:D514"/>
    <mergeCell ref="A515:B515"/>
    <mergeCell ref="C515:D515"/>
    <mergeCell ref="A508:B508"/>
    <mergeCell ref="C508:D508"/>
    <mergeCell ref="A509:B509"/>
    <mergeCell ref="C509:D509"/>
    <mergeCell ref="A510:B510"/>
    <mergeCell ref="C510:D510"/>
    <mergeCell ref="C503:D503"/>
    <mergeCell ref="A505:B505"/>
    <mergeCell ref="C505:D505"/>
    <mergeCell ref="A506:B506"/>
    <mergeCell ref="C506:D506"/>
    <mergeCell ref="A507:B507"/>
    <mergeCell ref="C507:D507"/>
    <mergeCell ref="A524:D524"/>
    <mergeCell ref="A525:D525"/>
    <mergeCell ref="A526:D526"/>
    <mergeCell ref="A527:D527"/>
    <mergeCell ref="A528:D528"/>
    <mergeCell ref="A529:B529"/>
    <mergeCell ref="C529:D529"/>
    <mergeCell ref="A521:B521"/>
    <mergeCell ref="C521:D521"/>
    <mergeCell ref="A522:B522"/>
    <mergeCell ref="C522:D522"/>
    <mergeCell ref="A523:B523"/>
    <mergeCell ref="C523:D523"/>
    <mergeCell ref="C516:D516"/>
    <mergeCell ref="A518:B518"/>
    <mergeCell ref="C518:D518"/>
    <mergeCell ref="A519:B519"/>
    <mergeCell ref="C519:D519"/>
    <mergeCell ref="A520:B520"/>
    <mergeCell ref="C520:D520"/>
    <mergeCell ref="A538:D538"/>
    <mergeCell ref="A539:D539"/>
    <mergeCell ref="A540:D540"/>
    <mergeCell ref="A541:D541"/>
    <mergeCell ref="A542:B542"/>
    <mergeCell ref="C542:D542"/>
    <mergeCell ref="A535:B535"/>
    <mergeCell ref="C535:D535"/>
    <mergeCell ref="A536:B536"/>
    <mergeCell ref="C536:D536"/>
    <mergeCell ref="A537:B537"/>
    <mergeCell ref="C537:D537"/>
    <mergeCell ref="C530:D530"/>
    <mergeCell ref="A532:B532"/>
    <mergeCell ref="C532:D532"/>
    <mergeCell ref="A533:B533"/>
    <mergeCell ref="C533:D533"/>
    <mergeCell ref="A534:B534"/>
    <mergeCell ref="C534:D534"/>
    <mergeCell ref="A551:D551"/>
    <mergeCell ref="A552:D552"/>
    <mergeCell ref="A553:D553"/>
    <mergeCell ref="A554:D554"/>
    <mergeCell ref="A555:D555"/>
    <mergeCell ref="A556:B556"/>
    <mergeCell ref="C556:D556"/>
    <mergeCell ref="A548:B548"/>
    <mergeCell ref="C548:D548"/>
    <mergeCell ref="A549:B549"/>
    <mergeCell ref="C549:D549"/>
    <mergeCell ref="A550:B550"/>
    <mergeCell ref="C550:D550"/>
    <mergeCell ref="C543:D543"/>
    <mergeCell ref="A545:B545"/>
    <mergeCell ref="C545:D545"/>
    <mergeCell ref="A546:B546"/>
    <mergeCell ref="C546:D546"/>
    <mergeCell ref="A547:B547"/>
    <mergeCell ref="C547:D547"/>
    <mergeCell ref="A565:D565"/>
    <mergeCell ref="A566:D566"/>
    <mergeCell ref="A567:D567"/>
    <mergeCell ref="A568:D568"/>
    <mergeCell ref="A569:B569"/>
    <mergeCell ref="C569:D569"/>
    <mergeCell ref="A562:B562"/>
    <mergeCell ref="C562:D562"/>
    <mergeCell ref="A563:B563"/>
    <mergeCell ref="C563:D563"/>
    <mergeCell ref="A564:B564"/>
    <mergeCell ref="C564:D564"/>
    <mergeCell ref="C557:D557"/>
    <mergeCell ref="A559:B559"/>
    <mergeCell ref="C559:D559"/>
    <mergeCell ref="A560:B560"/>
    <mergeCell ref="C560:D560"/>
    <mergeCell ref="A561:B561"/>
    <mergeCell ref="C561:D561"/>
    <mergeCell ref="A578:D578"/>
    <mergeCell ref="A579:D579"/>
    <mergeCell ref="A580:D580"/>
    <mergeCell ref="A581:D581"/>
    <mergeCell ref="A582:D582"/>
    <mergeCell ref="A583:B583"/>
    <mergeCell ref="C583:D583"/>
    <mergeCell ref="A575:B575"/>
    <mergeCell ref="C575:D575"/>
    <mergeCell ref="A576:B576"/>
    <mergeCell ref="C576:D576"/>
    <mergeCell ref="A577:B577"/>
    <mergeCell ref="C577:D577"/>
    <mergeCell ref="C570:D570"/>
    <mergeCell ref="A572:B572"/>
    <mergeCell ref="C572:D572"/>
    <mergeCell ref="A573:B573"/>
    <mergeCell ref="C573:D573"/>
    <mergeCell ref="A574:B574"/>
    <mergeCell ref="C574:D574"/>
    <mergeCell ref="A592:D592"/>
    <mergeCell ref="A593:D593"/>
    <mergeCell ref="A594:D594"/>
    <mergeCell ref="A595:D595"/>
    <mergeCell ref="A596:B596"/>
    <mergeCell ref="C596:D596"/>
    <mergeCell ref="A589:B589"/>
    <mergeCell ref="C589:D589"/>
    <mergeCell ref="A590:B590"/>
    <mergeCell ref="C590:D590"/>
    <mergeCell ref="A591:B591"/>
    <mergeCell ref="C591:D591"/>
    <mergeCell ref="C584:D584"/>
    <mergeCell ref="A586:B586"/>
    <mergeCell ref="C586:D586"/>
    <mergeCell ref="A587:B587"/>
    <mergeCell ref="C587:D587"/>
    <mergeCell ref="A588:B588"/>
    <mergeCell ref="C588:D588"/>
    <mergeCell ref="A605:D605"/>
    <mergeCell ref="A606:D606"/>
    <mergeCell ref="A607:D607"/>
    <mergeCell ref="A608:D608"/>
    <mergeCell ref="A609:D609"/>
    <mergeCell ref="A610:B610"/>
    <mergeCell ref="C610:D610"/>
    <mergeCell ref="A602:B602"/>
    <mergeCell ref="C602:D602"/>
    <mergeCell ref="A603:B603"/>
    <mergeCell ref="C603:D603"/>
    <mergeCell ref="A604:B604"/>
    <mergeCell ref="C604:D604"/>
    <mergeCell ref="C597:D597"/>
    <mergeCell ref="A599:B599"/>
    <mergeCell ref="C599:D599"/>
    <mergeCell ref="A600:B600"/>
    <mergeCell ref="C600:D600"/>
    <mergeCell ref="A601:B601"/>
    <mergeCell ref="C601:D601"/>
    <mergeCell ref="A619:D619"/>
    <mergeCell ref="A620:D620"/>
    <mergeCell ref="A621:D621"/>
    <mergeCell ref="A622:D622"/>
    <mergeCell ref="A623:B623"/>
    <mergeCell ref="C623:D623"/>
    <mergeCell ref="A616:B616"/>
    <mergeCell ref="C616:D616"/>
    <mergeCell ref="A617:B617"/>
    <mergeCell ref="C617:D617"/>
    <mergeCell ref="A618:B618"/>
    <mergeCell ref="C618:D618"/>
    <mergeCell ref="C611:D611"/>
    <mergeCell ref="A613:B613"/>
    <mergeCell ref="C613:D613"/>
    <mergeCell ref="A614:B614"/>
    <mergeCell ref="C614:D614"/>
    <mergeCell ref="A615:B615"/>
    <mergeCell ref="C615:D615"/>
    <mergeCell ref="A632:D632"/>
    <mergeCell ref="A633:D633"/>
    <mergeCell ref="A634:D634"/>
    <mergeCell ref="A635:D635"/>
    <mergeCell ref="A636:D636"/>
    <mergeCell ref="A637:B637"/>
    <mergeCell ref="C637:D637"/>
    <mergeCell ref="A629:B629"/>
    <mergeCell ref="C629:D629"/>
    <mergeCell ref="A630:B630"/>
    <mergeCell ref="C630:D630"/>
    <mergeCell ref="A631:B631"/>
    <mergeCell ref="C631:D631"/>
    <mergeCell ref="C624:D624"/>
    <mergeCell ref="A626:B626"/>
    <mergeCell ref="C626:D626"/>
    <mergeCell ref="A627:B627"/>
    <mergeCell ref="C627:D627"/>
    <mergeCell ref="A628:B628"/>
    <mergeCell ref="C628:D628"/>
    <mergeCell ref="A646:D646"/>
    <mergeCell ref="A647:D647"/>
    <mergeCell ref="A648:D648"/>
    <mergeCell ref="A649:D649"/>
    <mergeCell ref="A650:B650"/>
    <mergeCell ref="C650:D650"/>
    <mergeCell ref="A643:B643"/>
    <mergeCell ref="C643:D643"/>
    <mergeCell ref="A644:B644"/>
    <mergeCell ref="C644:D644"/>
    <mergeCell ref="A645:B645"/>
    <mergeCell ref="C645:D645"/>
    <mergeCell ref="C638:D638"/>
    <mergeCell ref="A640:B640"/>
    <mergeCell ref="C640:D640"/>
    <mergeCell ref="A641:B641"/>
    <mergeCell ref="C641:D641"/>
    <mergeCell ref="A642:B642"/>
    <mergeCell ref="C642:D642"/>
    <mergeCell ref="A659:D659"/>
    <mergeCell ref="A660:D660"/>
    <mergeCell ref="A661:D661"/>
    <mergeCell ref="A662:D662"/>
    <mergeCell ref="A663:D663"/>
    <mergeCell ref="A664:B664"/>
    <mergeCell ref="C664:D664"/>
    <mergeCell ref="A656:B656"/>
    <mergeCell ref="C656:D656"/>
    <mergeCell ref="A657:B657"/>
    <mergeCell ref="C657:D657"/>
    <mergeCell ref="A658:B658"/>
    <mergeCell ref="C658:D658"/>
    <mergeCell ref="C651:D651"/>
    <mergeCell ref="A653:B653"/>
    <mergeCell ref="C653:D653"/>
    <mergeCell ref="A654:B654"/>
    <mergeCell ref="C654:D654"/>
    <mergeCell ref="A655:B655"/>
    <mergeCell ref="C655:D655"/>
    <mergeCell ref="A673:D673"/>
    <mergeCell ref="A674:D674"/>
    <mergeCell ref="A675:D675"/>
    <mergeCell ref="A676:D676"/>
    <mergeCell ref="A677:B677"/>
    <mergeCell ref="C677:D677"/>
    <mergeCell ref="A670:B670"/>
    <mergeCell ref="C670:D670"/>
    <mergeCell ref="A671:B671"/>
    <mergeCell ref="C671:D671"/>
    <mergeCell ref="A672:B672"/>
    <mergeCell ref="C672:D672"/>
    <mergeCell ref="C665:D665"/>
    <mergeCell ref="A667:B667"/>
    <mergeCell ref="C667:D667"/>
    <mergeCell ref="A668:B668"/>
    <mergeCell ref="C668:D668"/>
    <mergeCell ref="A669:B669"/>
    <mergeCell ref="C669:D669"/>
    <mergeCell ref="A686:D686"/>
    <mergeCell ref="A687:D687"/>
    <mergeCell ref="A688:D688"/>
    <mergeCell ref="A689:D689"/>
    <mergeCell ref="A690:D690"/>
    <mergeCell ref="A691:B691"/>
    <mergeCell ref="C691:D691"/>
    <mergeCell ref="A683:B683"/>
    <mergeCell ref="C683:D683"/>
    <mergeCell ref="A684:B684"/>
    <mergeCell ref="C684:D684"/>
    <mergeCell ref="A685:B685"/>
    <mergeCell ref="C685:D685"/>
    <mergeCell ref="C678:D678"/>
    <mergeCell ref="A680:B680"/>
    <mergeCell ref="C680:D680"/>
    <mergeCell ref="A681:B681"/>
    <mergeCell ref="C681:D681"/>
    <mergeCell ref="A682:B682"/>
    <mergeCell ref="C682:D682"/>
    <mergeCell ref="A700:D700"/>
    <mergeCell ref="A701:D701"/>
    <mergeCell ref="A702:D702"/>
    <mergeCell ref="A703:D703"/>
    <mergeCell ref="A704:B704"/>
    <mergeCell ref="C704:D704"/>
    <mergeCell ref="A697:B697"/>
    <mergeCell ref="C697:D697"/>
    <mergeCell ref="A698:B698"/>
    <mergeCell ref="C698:D698"/>
    <mergeCell ref="A699:B699"/>
    <mergeCell ref="C699:D699"/>
    <mergeCell ref="C692:D692"/>
    <mergeCell ref="A694:B694"/>
    <mergeCell ref="C694:D694"/>
    <mergeCell ref="A695:B695"/>
    <mergeCell ref="C695:D695"/>
    <mergeCell ref="A696:B696"/>
    <mergeCell ref="C696:D696"/>
    <mergeCell ref="A713:D713"/>
    <mergeCell ref="A714:D714"/>
    <mergeCell ref="A715:D715"/>
    <mergeCell ref="A716:D716"/>
    <mergeCell ref="A717:D717"/>
    <mergeCell ref="A718:B718"/>
    <mergeCell ref="C718:D718"/>
    <mergeCell ref="A710:B710"/>
    <mergeCell ref="C710:D710"/>
    <mergeCell ref="A711:B711"/>
    <mergeCell ref="C711:D711"/>
    <mergeCell ref="A712:B712"/>
    <mergeCell ref="C712:D712"/>
    <mergeCell ref="C705:D705"/>
    <mergeCell ref="A707:B707"/>
    <mergeCell ref="C707:D707"/>
    <mergeCell ref="A708:B708"/>
    <mergeCell ref="C708:D708"/>
    <mergeCell ref="A709:B709"/>
    <mergeCell ref="C709:D709"/>
    <mergeCell ref="A724:B724"/>
    <mergeCell ref="C724:D724"/>
    <mergeCell ref="A725:B725"/>
    <mergeCell ref="C725:D725"/>
    <mergeCell ref="A726:B726"/>
    <mergeCell ref="C726:D726"/>
    <mergeCell ref="C719:D719"/>
    <mergeCell ref="A721:B721"/>
    <mergeCell ref="C721:D721"/>
    <mergeCell ref="A722:B722"/>
    <mergeCell ref="C722:D722"/>
    <mergeCell ref="A723:B723"/>
    <mergeCell ref="C723:D723"/>
    <mergeCell ref="C737:D737"/>
    <mergeCell ref="A738:B738"/>
    <mergeCell ref="C738:D738"/>
    <mergeCell ref="A739:B739"/>
    <mergeCell ref="C739:D739"/>
    <mergeCell ref="A730:D730"/>
    <mergeCell ref="A731:B731"/>
    <mergeCell ref="C731:D731"/>
    <mergeCell ref="C759:D759"/>
    <mergeCell ref="A761:B761"/>
    <mergeCell ref="C761:D761"/>
    <mergeCell ref="A762:B762"/>
    <mergeCell ref="C762:D762"/>
    <mergeCell ref="A763:B763"/>
    <mergeCell ref="C763:D763"/>
    <mergeCell ref="A727:D727"/>
    <mergeCell ref="A728:D728"/>
    <mergeCell ref="A729:D729"/>
    <mergeCell ref="A757:D757"/>
    <mergeCell ref="A758:B758"/>
    <mergeCell ref="C758:D758"/>
    <mergeCell ref="C735:D735"/>
    <mergeCell ref="A736:B736"/>
    <mergeCell ref="C736:D736"/>
    <mergeCell ref="A737:B737"/>
    <mergeCell ref="A740:D740"/>
    <mergeCell ref="A749:B749"/>
    <mergeCell ref="C749:D749"/>
    <mergeCell ref="A750:B750"/>
    <mergeCell ref="C750:D750"/>
    <mergeCell ref="A741:D741"/>
    <mergeCell ref="A742:D742"/>
    <mergeCell ref="A743:D743"/>
    <mergeCell ref="A744:D744"/>
    <mergeCell ref="A745:B745"/>
    <mergeCell ref="C745:D745"/>
    <mergeCell ref="C732:D732"/>
    <mergeCell ref="A734:B734"/>
    <mergeCell ref="C734:D734"/>
    <mergeCell ref="A735:B735"/>
    <mergeCell ref="C773:D773"/>
    <mergeCell ref="A775:B775"/>
    <mergeCell ref="C775:D775"/>
    <mergeCell ref="A776:B776"/>
    <mergeCell ref="C776:D776"/>
    <mergeCell ref="A777:B777"/>
    <mergeCell ref="C777:D777"/>
    <mergeCell ref="A767:D767"/>
    <mergeCell ref="A768:D768"/>
    <mergeCell ref="A769:D769"/>
    <mergeCell ref="A770:D770"/>
    <mergeCell ref="A771:D771"/>
    <mergeCell ref="A772:B772"/>
    <mergeCell ref="C772:D772"/>
    <mergeCell ref="A764:B764"/>
    <mergeCell ref="C764:D764"/>
    <mergeCell ref="A765:B765"/>
    <mergeCell ref="C765:D765"/>
    <mergeCell ref="A766:B766"/>
    <mergeCell ref="C766:D766"/>
    <mergeCell ref="C786:D786"/>
    <mergeCell ref="A788:B788"/>
    <mergeCell ref="C788:D788"/>
    <mergeCell ref="A789:B789"/>
    <mergeCell ref="C789:D789"/>
    <mergeCell ref="A790:B790"/>
    <mergeCell ref="C790:D790"/>
    <mergeCell ref="A781:D781"/>
    <mergeCell ref="A782:D782"/>
    <mergeCell ref="A783:D783"/>
    <mergeCell ref="A784:D784"/>
    <mergeCell ref="A785:B785"/>
    <mergeCell ref="C785:D785"/>
    <mergeCell ref="A778:B778"/>
    <mergeCell ref="C778:D778"/>
    <mergeCell ref="A779:B779"/>
    <mergeCell ref="C779:D779"/>
    <mergeCell ref="A780:B780"/>
    <mergeCell ref="C780:D780"/>
    <mergeCell ref="C800:D800"/>
    <mergeCell ref="A802:B802"/>
    <mergeCell ref="C802:D802"/>
    <mergeCell ref="A803:B803"/>
    <mergeCell ref="C803:D803"/>
    <mergeCell ref="A804:B804"/>
    <mergeCell ref="C804:D804"/>
    <mergeCell ref="A794:D794"/>
    <mergeCell ref="A795:D795"/>
    <mergeCell ref="A796:D796"/>
    <mergeCell ref="A797:D797"/>
    <mergeCell ref="A798:D798"/>
    <mergeCell ref="A799:B799"/>
    <mergeCell ref="C799:D799"/>
    <mergeCell ref="A791:B791"/>
    <mergeCell ref="C791:D791"/>
    <mergeCell ref="A792:B792"/>
    <mergeCell ref="C792:D792"/>
    <mergeCell ref="A793:B793"/>
    <mergeCell ref="C793:D793"/>
    <mergeCell ref="C813:D813"/>
    <mergeCell ref="A815:B815"/>
    <mergeCell ref="C815:D815"/>
    <mergeCell ref="A816:B816"/>
    <mergeCell ref="C816:D816"/>
    <mergeCell ref="A817:B817"/>
    <mergeCell ref="C817:D817"/>
    <mergeCell ref="A808:D808"/>
    <mergeCell ref="A809:D809"/>
    <mergeCell ref="A810:D810"/>
    <mergeCell ref="A811:D811"/>
    <mergeCell ref="A812:B812"/>
    <mergeCell ref="C812:D812"/>
    <mergeCell ref="A805:B805"/>
    <mergeCell ref="C805:D805"/>
    <mergeCell ref="A806:B806"/>
    <mergeCell ref="C806:D806"/>
    <mergeCell ref="A807:B807"/>
    <mergeCell ref="C807:D807"/>
    <mergeCell ref="C827:D827"/>
    <mergeCell ref="A829:B829"/>
    <mergeCell ref="C829:D829"/>
    <mergeCell ref="A830:B830"/>
    <mergeCell ref="C830:D830"/>
    <mergeCell ref="A831:B831"/>
    <mergeCell ref="C831:D831"/>
    <mergeCell ref="A821:D821"/>
    <mergeCell ref="A822:D822"/>
    <mergeCell ref="A823:D823"/>
    <mergeCell ref="A824:D824"/>
    <mergeCell ref="A825:D825"/>
    <mergeCell ref="A826:B826"/>
    <mergeCell ref="C826:D826"/>
    <mergeCell ref="A818:B818"/>
    <mergeCell ref="C818:D818"/>
    <mergeCell ref="A819:B819"/>
    <mergeCell ref="C819:D819"/>
    <mergeCell ref="A820:B820"/>
    <mergeCell ref="C820:D820"/>
    <mergeCell ref="C840:D840"/>
    <mergeCell ref="A842:B842"/>
    <mergeCell ref="C842:D842"/>
    <mergeCell ref="A843:B843"/>
    <mergeCell ref="C843:D843"/>
    <mergeCell ref="A844:B844"/>
    <mergeCell ref="C844:D844"/>
    <mergeCell ref="A835:D835"/>
    <mergeCell ref="A836:D836"/>
    <mergeCell ref="A837:D837"/>
    <mergeCell ref="A838:D838"/>
    <mergeCell ref="A839:B839"/>
    <mergeCell ref="C839:D839"/>
    <mergeCell ref="A832:B832"/>
    <mergeCell ref="C832:D832"/>
    <mergeCell ref="A833:B833"/>
    <mergeCell ref="C833:D833"/>
    <mergeCell ref="A834:B834"/>
    <mergeCell ref="C834:D834"/>
    <mergeCell ref="C854:D854"/>
    <mergeCell ref="A856:B856"/>
    <mergeCell ref="C856:D856"/>
    <mergeCell ref="A857:B857"/>
    <mergeCell ref="C857:D857"/>
    <mergeCell ref="A858:B858"/>
    <mergeCell ref="C858:D858"/>
    <mergeCell ref="A848:D848"/>
    <mergeCell ref="A849:D849"/>
    <mergeCell ref="A850:D850"/>
    <mergeCell ref="A851:D851"/>
    <mergeCell ref="A852:D852"/>
    <mergeCell ref="A853:B853"/>
    <mergeCell ref="C853:D853"/>
    <mergeCell ref="A845:B845"/>
    <mergeCell ref="C845:D845"/>
    <mergeCell ref="A846:B846"/>
    <mergeCell ref="C846:D846"/>
    <mergeCell ref="A847:B847"/>
    <mergeCell ref="C847:D847"/>
    <mergeCell ref="C867:D867"/>
    <mergeCell ref="A869:B869"/>
    <mergeCell ref="C869:D869"/>
    <mergeCell ref="A870:B870"/>
    <mergeCell ref="C870:D870"/>
    <mergeCell ref="A871:B871"/>
    <mergeCell ref="C871:D871"/>
    <mergeCell ref="A862:D862"/>
    <mergeCell ref="A863:D863"/>
    <mergeCell ref="A864:D864"/>
    <mergeCell ref="A865:D865"/>
    <mergeCell ref="A866:B866"/>
    <mergeCell ref="C866:D866"/>
    <mergeCell ref="A859:B859"/>
    <mergeCell ref="C859:D859"/>
    <mergeCell ref="A860:B860"/>
    <mergeCell ref="C860:D860"/>
    <mergeCell ref="A861:B861"/>
    <mergeCell ref="C861:D861"/>
    <mergeCell ref="C881:D881"/>
    <mergeCell ref="A883:B883"/>
    <mergeCell ref="C883:D883"/>
    <mergeCell ref="A884:B884"/>
    <mergeCell ref="C884:D884"/>
    <mergeCell ref="A885:B885"/>
    <mergeCell ref="C885:D885"/>
    <mergeCell ref="A875:D875"/>
    <mergeCell ref="A876:D876"/>
    <mergeCell ref="A877:D877"/>
    <mergeCell ref="A878:D878"/>
    <mergeCell ref="A879:D879"/>
    <mergeCell ref="A880:B880"/>
    <mergeCell ref="C880:D880"/>
    <mergeCell ref="A872:B872"/>
    <mergeCell ref="C872:D872"/>
    <mergeCell ref="A873:B873"/>
    <mergeCell ref="C873:D873"/>
    <mergeCell ref="A874:B874"/>
    <mergeCell ref="C874:D874"/>
    <mergeCell ref="C894:D894"/>
    <mergeCell ref="A896:B896"/>
    <mergeCell ref="C896:D896"/>
    <mergeCell ref="A897:B897"/>
    <mergeCell ref="C897:D897"/>
    <mergeCell ref="A898:B898"/>
    <mergeCell ref="C898:D898"/>
    <mergeCell ref="A889:D889"/>
    <mergeCell ref="A890:D890"/>
    <mergeCell ref="A891:D891"/>
    <mergeCell ref="A892:D892"/>
    <mergeCell ref="A893:B893"/>
    <mergeCell ref="C893:D893"/>
    <mergeCell ref="A886:B886"/>
    <mergeCell ref="C886:D886"/>
    <mergeCell ref="A887:B887"/>
    <mergeCell ref="C887:D887"/>
    <mergeCell ref="A888:B888"/>
    <mergeCell ref="C888:D888"/>
    <mergeCell ref="C908:D908"/>
    <mergeCell ref="A910:B910"/>
    <mergeCell ref="C910:D910"/>
    <mergeCell ref="A911:B911"/>
    <mergeCell ref="C911:D911"/>
    <mergeCell ref="A912:B912"/>
    <mergeCell ref="C912:D912"/>
    <mergeCell ref="A902:D902"/>
    <mergeCell ref="A903:D903"/>
    <mergeCell ref="A904:D904"/>
    <mergeCell ref="A905:D905"/>
    <mergeCell ref="A906:D906"/>
    <mergeCell ref="A907:B907"/>
    <mergeCell ref="C907:D907"/>
    <mergeCell ref="A899:B899"/>
    <mergeCell ref="C899:D899"/>
    <mergeCell ref="A900:B900"/>
    <mergeCell ref="C900:D900"/>
    <mergeCell ref="A901:B901"/>
    <mergeCell ref="C901:D901"/>
    <mergeCell ref="C921:D921"/>
    <mergeCell ref="A923:B923"/>
    <mergeCell ref="C923:D923"/>
    <mergeCell ref="A924:B924"/>
    <mergeCell ref="C924:D924"/>
    <mergeCell ref="A925:B925"/>
    <mergeCell ref="C925:D925"/>
    <mergeCell ref="A916:D916"/>
    <mergeCell ref="A917:D917"/>
    <mergeCell ref="A918:D918"/>
    <mergeCell ref="A919:D919"/>
    <mergeCell ref="A920:B920"/>
    <mergeCell ref="C920:D920"/>
    <mergeCell ref="A913:B913"/>
    <mergeCell ref="C913:D913"/>
    <mergeCell ref="A914:B914"/>
    <mergeCell ref="C914:D914"/>
    <mergeCell ref="A915:B915"/>
    <mergeCell ref="C915:D915"/>
    <mergeCell ref="C935:D935"/>
    <mergeCell ref="A937:B937"/>
    <mergeCell ref="C937:D937"/>
    <mergeCell ref="A938:B938"/>
    <mergeCell ref="C938:D938"/>
    <mergeCell ref="A939:B939"/>
    <mergeCell ref="C939:D939"/>
    <mergeCell ref="A929:D929"/>
    <mergeCell ref="A930:D930"/>
    <mergeCell ref="A931:D931"/>
    <mergeCell ref="A932:D932"/>
    <mergeCell ref="A933:D933"/>
    <mergeCell ref="A934:B934"/>
    <mergeCell ref="C934:D934"/>
    <mergeCell ref="A926:B926"/>
    <mergeCell ref="C926:D926"/>
    <mergeCell ref="A927:B927"/>
    <mergeCell ref="C927:D927"/>
    <mergeCell ref="A928:B928"/>
    <mergeCell ref="C928:D928"/>
    <mergeCell ref="C955:D955"/>
    <mergeCell ref="C948:D948"/>
    <mergeCell ref="A950:B950"/>
    <mergeCell ref="C950:D950"/>
    <mergeCell ref="A951:B951"/>
    <mergeCell ref="C951:D951"/>
    <mergeCell ref="A952:B952"/>
    <mergeCell ref="C952:D952"/>
    <mergeCell ref="A943:D943"/>
    <mergeCell ref="A944:D944"/>
    <mergeCell ref="A945:D945"/>
    <mergeCell ref="A946:D946"/>
    <mergeCell ref="A947:B947"/>
    <mergeCell ref="C947:D947"/>
    <mergeCell ref="A940:B940"/>
    <mergeCell ref="C940:D940"/>
    <mergeCell ref="A941:B941"/>
    <mergeCell ref="C941:D941"/>
    <mergeCell ref="A942:B942"/>
    <mergeCell ref="C942:D942"/>
    <mergeCell ref="A1000:D1000"/>
    <mergeCell ref="A1001:B1001"/>
    <mergeCell ref="C1001:D1001"/>
    <mergeCell ref="C978:D978"/>
    <mergeCell ref="A979:B979"/>
    <mergeCell ref="C979:D979"/>
    <mergeCell ref="A980:B980"/>
    <mergeCell ref="A967:B967"/>
    <mergeCell ref="C967:D967"/>
    <mergeCell ref="A968:B968"/>
    <mergeCell ref="C968:D968"/>
    <mergeCell ref="A969:B969"/>
    <mergeCell ref="C969:D969"/>
    <mergeCell ref="C962:D962"/>
    <mergeCell ref="A964:B964"/>
    <mergeCell ref="C964:D964"/>
    <mergeCell ref="A965:B965"/>
    <mergeCell ref="C965:D965"/>
    <mergeCell ref="A966:B966"/>
    <mergeCell ref="C966:D966"/>
    <mergeCell ref="A987:D987"/>
    <mergeCell ref="A988:B988"/>
    <mergeCell ref="C988:D988"/>
    <mergeCell ref="C980:D980"/>
    <mergeCell ref="A981:B981"/>
    <mergeCell ref="C981:D981"/>
    <mergeCell ref="A982:B982"/>
    <mergeCell ref="C982:D982"/>
    <mergeCell ref="A983:D983"/>
    <mergeCell ref="A996:B996"/>
    <mergeCell ref="C996:D996"/>
    <mergeCell ref="C989:D989"/>
    <mergeCell ref="A1010:D1010"/>
    <mergeCell ref="A1011:D1011"/>
    <mergeCell ref="A1012:D1012"/>
    <mergeCell ref="A1013:D1013"/>
    <mergeCell ref="A1014:D1014"/>
    <mergeCell ref="A1015:B1015"/>
    <mergeCell ref="C1015:D1015"/>
    <mergeCell ref="A1007:B1007"/>
    <mergeCell ref="C1007:D1007"/>
    <mergeCell ref="A1008:B1008"/>
    <mergeCell ref="C1008:D1008"/>
    <mergeCell ref="A1009:B1009"/>
    <mergeCell ref="C1009:D1009"/>
    <mergeCell ref="C1002:D1002"/>
    <mergeCell ref="A1004:B1004"/>
    <mergeCell ref="C1004:D1004"/>
    <mergeCell ref="A1005:B1005"/>
    <mergeCell ref="C1005:D1005"/>
    <mergeCell ref="A1006:B1006"/>
    <mergeCell ref="C1006:D1006"/>
    <mergeCell ref="A1024:D1024"/>
    <mergeCell ref="A1025:D1025"/>
    <mergeCell ref="A1026:D1026"/>
    <mergeCell ref="A1027:D1027"/>
    <mergeCell ref="A1028:B1028"/>
    <mergeCell ref="C1028:D1028"/>
    <mergeCell ref="A1021:B1021"/>
    <mergeCell ref="C1021:D1021"/>
    <mergeCell ref="A1022:B1022"/>
    <mergeCell ref="C1022:D1022"/>
    <mergeCell ref="A1023:B1023"/>
    <mergeCell ref="C1023:D1023"/>
    <mergeCell ref="C1016:D1016"/>
    <mergeCell ref="A1018:B1018"/>
    <mergeCell ref="C1018:D1018"/>
    <mergeCell ref="A1019:B1019"/>
    <mergeCell ref="C1019:D1019"/>
    <mergeCell ref="A1020:B1020"/>
    <mergeCell ref="C1020:D1020"/>
    <mergeCell ref="A1037:D1037"/>
    <mergeCell ref="A1038:D1038"/>
    <mergeCell ref="A1039:D1039"/>
    <mergeCell ref="A1040:D1040"/>
    <mergeCell ref="A1041:D1041"/>
    <mergeCell ref="A1042:B1042"/>
    <mergeCell ref="C1042:D1042"/>
    <mergeCell ref="A1034:B1034"/>
    <mergeCell ref="C1034:D1034"/>
    <mergeCell ref="A1035:B1035"/>
    <mergeCell ref="C1035:D1035"/>
    <mergeCell ref="A1036:B1036"/>
    <mergeCell ref="C1036:D1036"/>
    <mergeCell ref="C1029:D1029"/>
    <mergeCell ref="A1031:B1031"/>
    <mergeCell ref="C1031:D1031"/>
    <mergeCell ref="A1032:B1032"/>
    <mergeCell ref="C1032:D1032"/>
    <mergeCell ref="A1033:B1033"/>
    <mergeCell ref="C1033:D1033"/>
    <mergeCell ref="A1051:D1051"/>
    <mergeCell ref="A1052:D1052"/>
    <mergeCell ref="A1053:D1053"/>
    <mergeCell ref="A1054:D1054"/>
    <mergeCell ref="A1055:B1055"/>
    <mergeCell ref="C1055:D1055"/>
    <mergeCell ref="A1048:B1048"/>
    <mergeCell ref="C1048:D1048"/>
    <mergeCell ref="A1049:B1049"/>
    <mergeCell ref="C1049:D1049"/>
    <mergeCell ref="A1050:B1050"/>
    <mergeCell ref="C1050:D1050"/>
    <mergeCell ref="C1043:D1043"/>
    <mergeCell ref="A1045:B1045"/>
    <mergeCell ref="C1045:D1045"/>
    <mergeCell ref="A1046:B1046"/>
    <mergeCell ref="C1046:D1046"/>
    <mergeCell ref="A1047:B1047"/>
    <mergeCell ref="C1047:D1047"/>
    <mergeCell ref="A1064:D1064"/>
    <mergeCell ref="A1065:D1065"/>
    <mergeCell ref="A1066:D1066"/>
    <mergeCell ref="A1067:D1067"/>
    <mergeCell ref="A1068:D1068"/>
    <mergeCell ref="A1069:B1069"/>
    <mergeCell ref="C1069:D1069"/>
    <mergeCell ref="A1061:B1061"/>
    <mergeCell ref="C1061:D1061"/>
    <mergeCell ref="A1062:B1062"/>
    <mergeCell ref="C1062:D1062"/>
    <mergeCell ref="A1063:B1063"/>
    <mergeCell ref="C1063:D1063"/>
    <mergeCell ref="C1056:D1056"/>
    <mergeCell ref="A1058:B1058"/>
    <mergeCell ref="C1058:D1058"/>
    <mergeCell ref="A1059:B1059"/>
    <mergeCell ref="C1059:D1059"/>
    <mergeCell ref="A1060:B1060"/>
    <mergeCell ref="C1060:D1060"/>
    <mergeCell ref="A1078:D1078"/>
    <mergeCell ref="A1079:D1079"/>
    <mergeCell ref="A1080:D1080"/>
    <mergeCell ref="A1081:D1081"/>
    <mergeCell ref="A1082:B1082"/>
    <mergeCell ref="C1082:D1082"/>
    <mergeCell ref="A1075:B1075"/>
    <mergeCell ref="C1075:D1075"/>
    <mergeCell ref="A1076:B1076"/>
    <mergeCell ref="C1076:D1076"/>
    <mergeCell ref="A1077:B1077"/>
    <mergeCell ref="C1077:D1077"/>
    <mergeCell ref="C1070:D1070"/>
    <mergeCell ref="A1072:B1072"/>
    <mergeCell ref="C1072:D1072"/>
    <mergeCell ref="A1073:B1073"/>
    <mergeCell ref="C1073:D1073"/>
    <mergeCell ref="A1074:B1074"/>
    <mergeCell ref="C1074:D1074"/>
    <mergeCell ref="A1091:D1091"/>
    <mergeCell ref="A1092:D1092"/>
    <mergeCell ref="A1093:D1093"/>
    <mergeCell ref="A1094:D1094"/>
    <mergeCell ref="A1095:D1095"/>
    <mergeCell ref="A1096:B1096"/>
    <mergeCell ref="C1096:D1096"/>
    <mergeCell ref="A1088:B1088"/>
    <mergeCell ref="C1088:D1088"/>
    <mergeCell ref="A1089:B1089"/>
    <mergeCell ref="C1089:D1089"/>
    <mergeCell ref="A1090:B1090"/>
    <mergeCell ref="C1090:D1090"/>
    <mergeCell ref="C1083:D1083"/>
    <mergeCell ref="A1085:B1085"/>
    <mergeCell ref="C1085:D1085"/>
    <mergeCell ref="A1086:B1086"/>
    <mergeCell ref="C1086:D1086"/>
    <mergeCell ref="A1087:B1087"/>
    <mergeCell ref="C1087:D1087"/>
    <mergeCell ref="A1105:D1105"/>
    <mergeCell ref="A1106:D1106"/>
    <mergeCell ref="A1107:D1107"/>
    <mergeCell ref="A1108:D1108"/>
    <mergeCell ref="A1109:B1109"/>
    <mergeCell ref="C1109:D1109"/>
    <mergeCell ref="A1102:B1102"/>
    <mergeCell ref="C1102:D1102"/>
    <mergeCell ref="A1103:B1103"/>
    <mergeCell ref="C1103:D1103"/>
    <mergeCell ref="A1104:B1104"/>
    <mergeCell ref="C1104:D1104"/>
    <mergeCell ref="C1097:D1097"/>
    <mergeCell ref="A1099:B1099"/>
    <mergeCell ref="C1099:D1099"/>
    <mergeCell ref="A1100:B1100"/>
    <mergeCell ref="C1100:D1100"/>
    <mergeCell ref="A1101:B1101"/>
    <mergeCell ref="C1101:D1101"/>
    <mergeCell ref="A1118:D1118"/>
    <mergeCell ref="A1119:D1119"/>
    <mergeCell ref="A1120:D1120"/>
    <mergeCell ref="A1121:D1121"/>
    <mergeCell ref="A1122:D1122"/>
    <mergeCell ref="A1123:B1123"/>
    <mergeCell ref="C1123:D1123"/>
    <mergeCell ref="A1115:B1115"/>
    <mergeCell ref="C1115:D1115"/>
    <mergeCell ref="A1116:B1116"/>
    <mergeCell ref="C1116:D1116"/>
    <mergeCell ref="A1117:B1117"/>
    <mergeCell ref="C1117:D1117"/>
    <mergeCell ref="C1110:D1110"/>
    <mergeCell ref="A1112:B1112"/>
    <mergeCell ref="C1112:D1112"/>
    <mergeCell ref="A1113:B1113"/>
    <mergeCell ref="C1113:D1113"/>
    <mergeCell ref="A1114:B1114"/>
    <mergeCell ref="C1114:D1114"/>
    <mergeCell ref="A1132:D1132"/>
    <mergeCell ref="A1133:D1133"/>
    <mergeCell ref="A1134:D1134"/>
    <mergeCell ref="A1135:D1135"/>
    <mergeCell ref="A1136:B1136"/>
    <mergeCell ref="C1136:D1136"/>
    <mergeCell ref="A1129:B1129"/>
    <mergeCell ref="C1129:D1129"/>
    <mergeCell ref="A1130:B1130"/>
    <mergeCell ref="C1130:D1130"/>
    <mergeCell ref="A1131:B1131"/>
    <mergeCell ref="C1131:D1131"/>
    <mergeCell ref="C1124:D1124"/>
    <mergeCell ref="A1126:B1126"/>
    <mergeCell ref="C1126:D1126"/>
    <mergeCell ref="A1127:B1127"/>
    <mergeCell ref="C1127:D1127"/>
    <mergeCell ref="A1128:B1128"/>
    <mergeCell ref="C1128:D1128"/>
    <mergeCell ref="A1145:D1145"/>
    <mergeCell ref="A1146:D1146"/>
    <mergeCell ref="A1147:D1147"/>
    <mergeCell ref="A1148:D1148"/>
    <mergeCell ref="A1149:D1149"/>
    <mergeCell ref="A1150:B1150"/>
    <mergeCell ref="C1150:D1150"/>
    <mergeCell ref="A1142:B1142"/>
    <mergeCell ref="C1142:D1142"/>
    <mergeCell ref="A1143:B1143"/>
    <mergeCell ref="C1143:D1143"/>
    <mergeCell ref="A1144:B1144"/>
    <mergeCell ref="C1144:D1144"/>
    <mergeCell ref="C1137:D1137"/>
    <mergeCell ref="A1139:B1139"/>
    <mergeCell ref="C1139:D1139"/>
    <mergeCell ref="A1140:B1140"/>
    <mergeCell ref="C1140:D1140"/>
    <mergeCell ref="A1141:B1141"/>
    <mergeCell ref="C1141:D1141"/>
    <mergeCell ref="A1162:D1162"/>
    <mergeCell ref="A1163:B1163"/>
    <mergeCell ref="C1163:D1163"/>
    <mergeCell ref="A1159:D1159"/>
    <mergeCell ref="A1160:D1160"/>
    <mergeCell ref="A1161:D1161"/>
    <mergeCell ref="A1156:B1156"/>
    <mergeCell ref="C1156:D1156"/>
    <mergeCell ref="A1157:B1157"/>
    <mergeCell ref="C1157:D1157"/>
    <mergeCell ref="A1158:B1158"/>
    <mergeCell ref="C1158:D1158"/>
    <mergeCell ref="C1151:D1151"/>
    <mergeCell ref="A1153:B1153"/>
    <mergeCell ref="C1153:D1153"/>
    <mergeCell ref="A1154:B1154"/>
    <mergeCell ref="C1154:D1154"/>
    <mergeCell ref="A1155:B1155"/>
    <mergeCell ref="C1155:D1155"/>
    <mergeCell ref="A1172:D1172"/>
    <mergeCell ref="A1173:D1173"/>
    <mergeCell ref="A1174:D1174"/>
    <mergeCell ref="A1175:D1175"/>
    <mergeCell ref="A1176:D1176"/>
    <mergeCell ref="A1177:B1177"/>
    <mergeCell ref="C1177:D1177"/>
    <mergeCell ref="A1169:B1169"/>
    <mergeCell ref="C1169:D1169"/>
    <mergeCell ref="A1170:B1170"/>
    <mergeCell ref="C1170:D1170"/>
    <mergeCell ref="A1171:B1171"/>
    <mergeCell ref="C1171:D1171"/>
    <mergeCell ref="C1164:D1164"/>
    <mergeCell ref="A1166:B1166"/>
    <mergeCell ref="C1166:D1166"/>
    <mergeCell ref="A1167:B1167"/>
    <mergeCell ref="C1167:D1167"/>
    <mergeCell ref="A1168:B1168"/>
    <mergeCell ref="C1168:D1168"/>
    <mergeCell ref="A1186:D1186"/>
    <mergeCell ref="A1187:D1187"/>
    <mergeCell ref="A1188:D1188"/>
    <mergeCell ref="A1189:D1189"/>
    <mergeCell ref="A1190:B1190"/>
    <mergeCell ref="C1190:D1190"/>
    <mergeCell ref="A1183:B1183"/>
    <mergeCell ref="C1183:D1183"/>
    <mergeCell ref="A1184:B1184"/>
    <mergeCell ref="C1184:D1184"/>
    <mergeCell ref="A1185:B1185"/>
    <mergeCell ref="C1185:D1185"/>
    <mergeCell ref="C1178:D1178"/>
    <mergeCell ref="A1180:B1180"/>
    <mergeCell ref="C1180:D1180"/>
    <mergeCell ref="A1181:B1181"/>
    <mergeCell ref="C1181:D1181"/>
    <mergeCell ref="A1182:B1182"/>
    <mergeCell ref="C1182:D1182"/>
    <mergeCell ref="A1199:D1199"/>
    <mergeCell ref="A1200:D1200"/>
    <mergeCell ref="A1201:D1201"/>
    <mergeCell ref="A1202:D1202"/>
    <mergeCell ref="A1203:D1203"/>
    <mergeCell ref="A1204:B1204"/>
    <mergeCell ref="C1204:D1204"/>
    <mergeCell ref="A1196:B1196"/>
    <mergeCell ref="C1196:D1196"/>
    <mergeCell ref="A1197:B1197"/>
    <mergeCell ref="C1197:D1197"/>
    <mergeCell ref="A1198:B1198"/>
    <mergeCell ref="C1198:D1198"/>
    <mergeCell ref="C1191:D1191"/>
    <mergeCell ref="A1193:B1193"/>
    <mergeCell ref="C1193:D1193"/>
    <mergeCell ref="A1194:B1194"/>
    <mergeCell ref="C1194:D1194"/>
    <mergeCell ref="A1195:B1195"/>
    <mergeCell ref="C1195:D1195"/>
    <mergeCell ref="A1213:D1213"/>
    <mergeCell ref="A1214:D1214"/>
    <mergeCell ref="A1215:D1215"/>
    <mergeCell ref="A1216:D1216"/>
    <mergeCell ref="A1217:B1217"/>
    <mergeCell ref="C1217:D1217"/>
    <mergeCell ref="A1210:B1210"/>
    <mergeCell ref="C1210:D1210"/>
    <mergeCell ref="A1211:B1211"/>
    <mergeCell ref="C1211:D1211"/>
    <mergeCell ref="A1212:B1212"/>
    <mergeCell ref="C1212:D1212"/>
    <mergeCell ref="C1205:D1205"/>
    <mergeCell ref="A1207:B1207"/>
    <mergeCell ref="C1207:D1207"/>
    <mergeCell ref="A1208:B1208"/>
    <mergeCell ref="C1208:D1208"/>
    <mergeCell ref="A1209:B1209"/>
    <mergeCell ref="C1209:D1209"/>
    <mergeCell ref="A1226:D1226"/>
    <mergeCell ref="A1227:D1227"/>
    <mergeCell ref="A1228:D1228"/>
    <mergeCell ref="A1229:D1229"/>
    <mergeCell ref="A1230:D1230"/>
    <mergeCell ref="A1231:B1231"/>
    <mergeCell ref="C1231:D1231"/>
    <mergeCell ref="A1223:B1223"/>
    <mergeCell ref="C1223:D1223"/>
    <mergeCell ref="A1224:B1224"/>
    <mergeCell ref="C1224:D1224"/>
    <mergeCell ref="A1225:B1225"/>
    <mergeCell ref="C1225:D1225"/>
    <mergeCell ref="C1218:D1218"/>
    <mergeCell ref="A1220:B1220"/>
    <mergeCell ref="C1220:D1220"/>
    <mergeCell ref="A1221:B1221"/>
    <mergeCell ref="C1221:D1221"/>
    <mergeCell ref="A1222:B1222"/>
    <mergeCell ref="C1222:D1222"/>
    <mergeCell ref="A1240:D1240"/>
    <mergeCell ref="A1241:D1241"/>
    <mergeCell ref="A1242:D1242"/>
    <mergeCell ref="A1243:D1243"/>
    <mergeCell ref="A1244:B1244"/>
    <mergeCell ref="C1244:D1244"/>
    <mergeCell ref="A1237:B1237"/>
    <mergeCell ref="C1237:D1237"/>
    <mergeCell ref="A1238:B1238"/>
    <mergeCell ref="C1238:D1238"/>
    <mergeCell ref="A1239:B1239"/>
    <mergeCell ref="C1239:D1239"/>
    <mergeCell ref="C1232:D1232"/>
    <mergeCell ref="A1234:B1234"/>
    <mergeCell ref="C1234:D1234"/>
    <mergeCell ref="A1235:B1235"/>
    <mergeCell ref="C1235:D1235"/>
    <mergeCell ref="A1236:B1236"/>
    <mergeCell ref="C1236:D1236"/>
    <mergeCell ref="A1253:D1253"/>
    <mergeCell ref="A1254:D1254"/>
    <mergeCell ref="A1255:D1255"/>
    <mergeCell ref="A1256:D1256"/>
    <mergeCell ref="A1257:D1257"/>
    <mergeCell ref="A1258:B1258"/>
    <mergeCell ref="C1258:D1258"/>
    <mergeCell ref="A1250:B1250"/>
    <mergeCell ref="C1250:D1250"/>
    <mergeCell ref="A1251:B1251"/>
    <mergeCell ref="C1251:D1251"/>
    <mergeCell ref="A1252:B1252"/>
    <mergeCell ref="C1252:D1252"/>
    <mergeCell ref="C1245:D1245"/>
    <mergeCell ref="A1247:B1247"/>
    <mergeCell ref="C1247:D1247"/>
    <mergeCell ref="A1248:B1248"/>
    <mergeCell ref="C1248:D1248"/>
    <mergeCell ref="A1249:B1249"/>
    <mergeCell ref="C1249:D1249"/>
    <mergeCell ref="A1267:D1267"/>
    <mergeCell ref="A1268:D1268"/>
    <mergeCell ref="A1269:D1269"/>
    <mergeCell ref="A1270:D1270"/>
    <mergeCell ref="A1271:B1271"/>
    <mergeCell ref="C1271:D1271"/>
    <mergeCell ref="A1264:B1264"/>
    <mergeCell ref="C1264:D1264"/>
    <mergeCell ref="A1265:B1265"/>
    <mergeCell ref="C1265:D1265"/>
    <mergeCell ref="A1266:B1266"/>
    <mergeCell ref="C1266:D1266"/>
    <mergeCell ref="C1259:D1259"/>
    <mergeCell ref="A1261:B1261"/>
    <mergeCell ref="C1261:D1261"/>
    <mergeCell ref="A1262:B1262"/>
    <mergeCell ref="C1262:D1262"/>
    <mergeCell ref="A1263:B1263"/>
    <mergeCell ref="C1263:D1263"/>
    <mergeCell ref="A1280:D1280"/>
    <mergeCell ref="A1281:D1281"/>
    <mergeCell ref="A1282:D1282"/>
    <mergeCell ref="A1283:D1283"/>
    <mergeCell ref="A1284:D1284"/>
    <mergeCell ref="A1285:B1285"/>
    <mergeCell ref="C1285:D1285"/>
    <mergeCell ref="A1277:B1277"/>
    <mergeCell ref="C1277:D1277"/>
    <mergeCell ref="A1278:B1278"/>
    <mergeCell ref="C1278:D1278"/>
    <mergeCell ref="A1279:B1279"/>
    <mergeCell ref="C1279:D1279"/>
    <mergeCell ref="C1272:D1272"/>
    <mergeCell ref="A1274:B1274"/>
    <mergeCell ref="C1274:D1274"/>
    <mergeCell ref="A1275:B1275"/>
    <mergeCell ref="C1275:D1275"/>
    <mergeCell ref="A1276:B1276"/>
    <mergeCell ref="C1276:D1276"/>
    <mergeCell ref="A1294:D1294"/>
    <mergeCell ref="A1295:D1295"/>
    <mergeCell ref="A1296:D1296"/>
    <mergeCell ref="A1297:D1297"/>
    <mergeCell ref="A1298:B1298"/>
    <mergeCell ref="C1298:D1298"/>
    <mergeCell ref="A1291:B1291"/>
    <mergeCell ref="C1291:D1291"/>
    <mergeCell ref="A1292:B1292"/>
    <mergeCell ref="C1292:D1292"/>
    <mergeCell ref="A1293:B1293"/>
    <mergeCell ref="C1293:D1293"/>
    <mergeCell ref="C1286:D1286"/>
    <mergeCell ref="A1288:B1288"/>
    <mergeCell ref="C1288:D1288"/>
    <mergeCell ref="A1289:B1289"/>
    <mergeCell ref="C1289:D1289"/>
    <mergeCell ref="A1290:B1290"/>
    <mergeCell ref="C1290:D1290"/>
    <mergeCell ref="A1307:D1307"/>
    <mergeCell ref="A1308:D1308"/>
    <mergeCell ref="A1309:D1309"/>
    <mergeCell ref="A1310:D1310"/>
    <mergeCell ref="A1311:D1311"/>
    <mergeCell ref="A1312:B1312"/>
    <mergeCell ref="C1312:D1312"/>
    <mergeCell ref="A1304:B1304"/>
    <mergeCell ref="C1304:D1304"/>
    <mergeCell ref="A1305:B1305"/>
    <mergeCell ref="C1305:D1305"/>
    <mergeCell ref="A1306:B1306"/>
    <mergeCell ref="C1306:D1306"/>
    <mergeCell ref="C1299:D1299"/>
    <mergeCell ref="A1301:B1301"/>
    <mergeCell ref="C1301:D1301"/>
    <mergeCell ref="A1302:B1302"/>
    <mergeCell ref="C1302:D1302"/>
    <mergeCell ref="A1303:B1303"/>
    <mergeCell ref="C1303:D1303"/>
    <mergeCell ref="A1321:D1321"/>
    <mergeCell ref="A1322:D1322"/>
    <mergeCell ref="A1323:D1323"/>
    <mergeCell ref="A1324:D1324"/>
    <mergeCell ref="A1325:B1325"/>
    <mergeCell ref="C1325:D1325"/>
    <mergeCell ref="A1318:B1318"/>
    <mergeCell ref="C1318:D1318"/>
    <mergeCell ref="A1319:B1319"/>
    <mergeCell ref="C1319:D1319"/>
    <mergeCell ref="A1320:B1320"/>
    <mergeCell ref="C1320:D1320"/>
    <mergeCell ref="C1313:D1313"/>
    <mergeCell ref="A1315:B1315"/>
    <mergeCell ref="C1315:D1315"/>
    <mergeCell ref="A1316:B1316"/>
    <mergeCell ref="C1316:D1316"/>
    <mergeCell ref="A1317:B1317"/>
    <mergeCell ref="C1317:D1317"/>
    <mergeCell ref="A1334:D1334"/>
    <mergeCell ref="A1335:D1335"/>
    <mergeCell ref="A1336:D1336"/>
    <mergeCell ref="A1337:D1337"/>
    <mergeCell ref="A1338:D1338"/>
    <mergeCell ref="A1339:B1339"/>
    <mergeCell ref="C1339:D1339"/>
    <mergeCell ref="A1331:B1331"/>
    <mergeCell ref="C1331:D1331"/>
    <mergeCell ref="A1332:B1332"/>
    <mergeCell ref="C1332:D1332"/>
    <mergeCell ref="A1333:B1333"/>
    <mergeCell ref="C1333:D1333"/>
    <mergeCell ref="C1326:D1326"/>
    <mergeCell ref="A1328:B1328"/>
    <mergeCell ref="C1328:D1328"/>
    <mergeCell ref="A1329:B1329"/>
    <mergeCell ref="C1329:D1329"/>
    <mergeCell ref="A1330:B1330"/>
    <mergeCell ref="C1330:D1330"/>
    <mergeCell ref="A1348:D1348"/>
    <mergeCell ref="A1349:D1349"/>
    <mergeCell ref="A1350:D1350"/>
    <mergeCell ref="A1351:D1351"/>
    <mergeCell ref="A1352:B1352"/>
    <mergeCell ref="C1352:D1352"/>
    <mergeCell ref="A1345:B1345"/>
    <mergeCell ref="C1345:D1345"/>
    <mergeCell ref="A1346:B1346"/>
    <mergeCell ref="C1346:D1346"/>
    <mergeCell ref="A1347:B1347"/>
    <mergeCell ref="C1347:D1347"/>
    <mergeCell ref="C1340:D1340"/>
    <mergeCell ref="A1342:B1342"/>
    <mergeCell ref="C1342:D1342"/>
    <mergeCell ref="A1343:B1343"/>
    <mergeCell ref="C1343:D1343"/>
    <mergeCell ref="A1344:B1344"/>
    <mergeCell ref="C1344:D1344"/>
    <mergeCell ref="A1361:D1361"/>
    <mergeCell ref="A1362:D1362"/>
    <mergeCell ref="A1363:D1363"/>
    <mergeCell ref="A1364:D1364"/>
    <mergeCell ref="A1365:D1365"/>
    <mergeCell ref="A1366:B1366"/>
    <mergeCell ref="C1366:D1366"/>
    <mergeCell ref="A1358:B1358"/>
    <mergeCell ref="C1358:D1358"/>
    <mergeCell ref="A1359:B1359"/>
    <mergeCell ref="C1359:D1359"/>
    <mergeCell ref="A1360:B1360"/>
    <mergeCell ref="C1360:D1360"/>
    <mergeCell ref="C1353:D1353"/>
    <mergeCell ref="A1355:B1355"/>
    <mergeCell ref="C1355:D1355"/>
    <mergeCell ref="A1356:B1356"/>
    <mergeCell ref="C1356:D1356"/>
    <mergeCell ref="A1357:B1357"/>
    <mergeCell ref="C1357:D1357"/>
    <mergeCell ref="A1375:D1375"/>
    <mergeCell ref="A1376:D1376"/>
    <mergeCell ref="A1377:D1377"/>
    <mergeCell ref="A1378:D1378"/>
    <mergeCell ref="A1379:B1379"/>
    <mergeCell ref="C1379:D1379"/>
    <mergeCell ref="A1372:B1372"/>
    <mergeCell ref="C1372:D1372"/>
    <mergeCell ref="A1373:B1373"/>
    <mergeCell ref="C1373:D1373"/>
    <mergeCell ref="A1374:B1374"/>
    <mergeCell ref="C1374:D1374"/>
    <mergeCell ref="C1367:D1367"/>
    <mergeCell ref="A1369:B1369"/>
    <mergeCell ref="C1369:D1369"/>
    <mergeCell ref="A1370:B1370"/>
    <mergeCell ref="C1370:D1370"/>
    <mergeCell ref="A1371:B1371"/>
    <mergeCell ref="C1371:D1371"/>
    <mergeCell ref="A1388:D1388"/>
    <mergeCell ref="A1389:D1389"/>
    <mergeCell ref="A1390:D1390"/>
    <mergeCell ref="A1391:D1391"/>
    <mergeCell ref="A1392:D1392"/>
    <mergeCell ref="A1393:B1393"/>
    <mergeCell ref="C1393:D1393"/>
    <mergeCell ref="A1385:B1385"/>
    <mergeCell ref="C1385:D1385"/>
    <mergeCell ref="A1386:B1386"/>
    <mergeCell ref="C1386:D1386"/>
    <mergeCell ref="A1387:B1387"/>
    <mergeCell ref="C1387:D1387"/>
    <mergeCell ref="C1380:D1380"/>
    <mergeCell ref="A1382:B1382"/>
    <mergeCell ref="C1382:D1382"/>
    <mergeCell ref="A1383:B1383"/>
    <mergeCell ref="C1383:D1383"/>
    <mergeCell ref="A1384:B1384"/>
    <mergeCell ref="C1384:D1384"/>
    <mergeCell ref="A1405:D1405"/>
    <mergeCell ref="A1406:B1406"/>
    <mergeCell ref="C1406:D1406"/>
    <mergeCell ref="A1402:D1402"/>
    <mergeCell ref="A1403:D1403"/>
    <mergeCell ref="A1404:D1404"/>
    <mergeCell ref="A1399:B1399"/>
    <mergeCell ref="C1399:D1399"/>
    <mergeCell ref="A1400:B1400"/>
    <mergeCell ref="C1400:D1400"/>
    <mergeCell ref="A1401:B1401"/>
    <mergeCell ref="C1401:D1401"/>
    <mergeCell ref="C1394:D1394"/>
    <mergeCell ref="A1396:B1396"/>
    <mergeCell ref="C1396:D1396"/>
    <mergeCell ref="A1397:B1397"/>
    <mergeCell ref="C1397:D1397"/>
    <mergeCell ref="A1398:B1398"/>
    <mergeCell ref="C1398:D1398"/>
    <mergeCell ref="A1415:D1415"/>
    <mergeCell ref="A1416:D1416"/>
    <mergeCell ref="A1417:D1417"/>
    <mergeCell ref="A1418:D1418"/>
    <mergeCell ref="A1419:D1419"/>
    <mergeCell ref="A1420:B1420"/>
    <mergeCell ref="C1420:D1420"/>
    <mergeCell ref="A1412:B1412"/>
    <mergeCell ref="C1412:D1412"/>
    <mergeCell ref="A1413:B1413"/>
    <mergeCell ref="C1413:D1413"/>
    <mergeCell ref="A1414:B1414"/>
    <mergeCell ref="C1414:D1414"/>
    <mergeCell ref="C1407:D1407"/>
    <mergeCell ref="A1409:B1409"/>
    <mergeCell ref="C1409:D1409"/>
    <mergeCell ref="A1410:B1410"/>
    <mergeCell ref="C1410:D1410"/>
    <mergeCell ref="A1411:B1411"/>
    <mergeCell ref="C1411:D1411"/>
    <mergeCell ref="A1429:D1429"/>
    <mergeCell ref="A1430:D1430"/>
    <mergeCell ref="A1431:D1431"/>
    <mergeCell ref="A1432:D1432"/>
    <mergeCell ref="A1433:B1433"/>
    <mergeCell ref="C1433:D1433"/>
    <mergeCell ref="A1426:B1426"/>
    <mergeCell ref="C1426:D1426"/>
    <mergeCell ref="A1427:B1427"/>
    <mergeCell ref="C1427:D1427"/>
    <mergeCell ref="A1428:B1428"/>
    <mergeCell ref="C1428:D1428"/>
    <mergeCell ref="C1421:D1421"/>
    <mergeCell ref="A1423:B1423"/>
    <mergeCell ref="C1423:D1423"/>
    <mergeCell ref="A1424:B1424"/>
    <mergeCell ref="C1424:D1424"/>
    <mergeCell ref="A1425:B1425"/>
    <mergeCell ref="C1425:D1425"/>
    <mergeCell ref="A1442:D1442"/>
    <mergeCell ref="A1443:D1443"/>
    <mergeCell ref="A1444:D1444"/>
    <mergeCell ref="A1445:D1445"/>
    <mergeCell ref="A1446:D1446"/>
    <mergeCell ref="A1447:B1447"/>
    <mergeCell ref="C1447:D1447"/>
    <mergeCell ref="A1439:B1439"/>
    <mergeCell ref="C1439:D1439"/>
    <mergeCell ref="A1440:B1440"/>
    <mergeCell ref="C1440:D1440"/>
    <mergeCell ref="A1441:B1441"/>
    <mergeCell ref="C1441:D1441"/>
    <mergeCell ref="C1434:D1434"/>
    <mergeCell ref="A1436:B1436"/>
    <mergeCell ref="C1436:D1436"/>
    <mergeCell ref="A1437:B1437"/>
    <mergeCell ref="C1437:D1437"/>
    <mergeCell ref="A1438:B1438"/>
    <mergeCell ref="C1438:D1438"/>
    <mergeCell ref="A1456:D1456"/>
    <mergeCell ref="A1457:D1457"/>
    <mergeCell ref="A1458:D1458"/>
    <mergeCell ref="A1459:D1459"/>
    <mergeCell ref="A1460:B1460"/>
    <mergeCell ref="C1460:D1460"/>
    <mergeCell ref="A1453:B1453"/>
    <mergeCell ref="C1453:D1453"/>
    <mergeCell ref="A1454:B1454"/>
    <mergeCell ref="C1454:D1454"/>
    <mergeCell ref="A1455:B1455"/>
    <mergeCell ref="C1455:D1455"/>
    <mergeCell ref="C1448:D1448"/>
    <mergeCell ref="A1450:B1450"/>
    <mergeCell ref="C1450:D1450"/>
    <mergeCell ref="A1451:B1451"/>
    <mergeCell ref="C1451:D1451"/>
    <mergeCell ref="A1452:B1452"/>
    <mergeCell ref="C1452:D1452"/>
    <mergeCell ref="A1469:D1469"/>
    <mergeCell ref="A1470:D1470"/>
    <mergeCell ref="A1471:D1471"/>
    <mergeCell ref="A1472:D1472"/>
    <mergeCell ref="A1473:D1473"/>
    <mergeCell ref="A1474:B1474"/>
    <mergeCell ref="C1474:D1474"/>
    <mergeCell ref="A1466:B1466"/>
    <mergeCell ref="C1466:D1466"/>
    <mergeCell ref="A1467:B1467"/>
    <mergeCell ref="C1467:D1467"/>
    <mergeCell ref="A1468:B1468"/>
    <mergeCell ref="C1468:D1468"/>
    <mergeCell ref="C1461:D1461"/>
    <mergeCell ref="A1463:B1463"/>
    <mergeCell ref="C1463:D1463"/>
    <mergeCell ref="A1464:B1464"/>
    <mergeCell ref="C1464:D1464"/>
    <mergeCell ref="A1465:B1465"/>
    <mergeCell ref="C1465:D1465"/>
    <mergeCell ref="A1483:D1483"/>
    <mergeCell ref="A1484:D1484"/>
    <mergeCell ref="A1485:D1485"/>
    <mergeCell ref="A1480:B1480"/>
    <mergeCell ref="C1480:D1480"/>
    <mergeCell ref="A1481:B1481"/>
    <mergeCell ref="C1481:D1481"/>
    <mergeCell ref="A1482:B1482"/>
    <mergeCell ref="C1482:D1482"/>
    <mergeCell ref="C1475:D1475"/>
    <mergeCell ref="A1477:B1477"/>
    <mergeCell ref="C1477:D1477"/>
    <mergeCell ref="A1478:B1478"/>
    <mergeCell ref="C1478:D1478"/>
    <mergeCell ref="A1479:B1479"/>
    <mergeCell ref="C1479:D1479"/>
    <mergeCell ref="A1500:D1500"/>
    <mergeCell ref="A1491:B1491"/>
    <mergeCell ref="C1491:D1491"/>
    <mergeCell ref="A1492:B1492"/>
    <mergeCell ref="C1492:D1492"/>
    <mergeCell ref="A1501:B1501"/>
    <mergeCell ref="C1501:D1501"/>
    <mergeCell ref="A1510:D1510"/>
    <mergeCell ref="A1486:D1486"/>
    <mergeCell ref="A1487:B1487"/>
    <mergeCell ref="C1487:D1487"/>
    <mergeCell ref="A1507:B1507"/>
    <mergeCell ref="C1507:D1507"/>
    <mergeCell ref="A1508:B1508"/>
    <mergeCell ref="C1508:D1508"/>
    <mergeCell ref="A1509:B1509"/>
    <mergeCell ref="C1509:D1509"/>
    <mergeCell ref="C1502:D1502"/>
    <mergeCell ref="A1504:B1504"/>
    <mergeCell ref="C1504:D1504"/>
    <mergeCell ref="A1505:B1505"/>
    <mergeCell ref="C1505:D1505"/>
    <mergeCell ref="A1506:B1506"/>
    <mergeCell ref="C1506:D1506"/>
    <mergeCell ref="A1496:D1496"/>
    <mergeCell ref="A1497:D1497"/>
    <mergeCell ref="A1498:D1498"/>
    <mergeCell ref="A1499:D1499"/>
    <mergeCell ref="A1493:B1493"/>
    <mergeCell ref="C1493:D1493"/>
    <mergeCell ref="A1494:B1494"/>
    <mergeCell ref="C1494:D1494"/>
    <mergeCell ref="A1495:B1495"/>
    <mergeCell ref="C1495:D1495"/>
    <mergeCell ref="C1488:D1488"/>
    <mergeCell ref="A1490:B1490"/>
    <mergeCell ref="C1490:D1490"/>
    <mergeCell ref="A1511:D1511"/>
    <mergeCell ref="A1512:D1512"/>
    <mergeCell ref="A1513:D1513"/>
    <mergeCell ref="A1514:B1514"/>
    <mergeCell ref="C1514:D1514"/>
    <mergeCell ref="A1523:D1523"/>
    <mergeCell ref="A1524:D1524"/>
    <mergeCell ref="A1525:D1525"/>
    <mergeCell ref="A1526:D1526"/>
    <mergeCell ref="A1527:D1527"/>
    <mergeCell ref="A1528:B1528"/>
    <mergeCell ref="C1528:D1528"/>
    <mergeCell ref="A1520:B1520"/>
    <mergeCell ref="C1520:D1520"/>
    <mergeCell ref="A1521:B1521"/>
    <mergeCell ref="C1521:D1521"/>
    <mergeCell ref="A1522:B1522"/>
    <mergeCell ref="C1522:D1522"/>
    <mergeCell ref="C1515:D1515"/>
    <mergeCell ref="A1517:B1517"/>
    <mergeCell ref="C1517:D1517"/>
    <mergeCell ref="A1518:B1518"/>
    <mergeCell ref="C1518:D1518"/>
    <mergeCell ref="A1519:B1519"/>
    <mergeCell ref="C1519:D1519"/>
    <mergeCell ref="A1537:D1537"/>
    <mergeCell ref="A1538:D1538"/>
    <mergeCell ref="A1539:D1539"/>
    <mergeCell ref="A1540:D1540"/>
    <mergeCell ref="A1541:B1541"/>
    <mergeCell ref="C1541:D1541"/>
    <mergeCell ref="A1534:B1534"/>
    <mergeCell ref="C1534:D1534"/>
    <mergeCell ref="A1535:B1535"/>
    <mergeCell ref="C1535:D1535"/>
    <mergeCell ref="A1536:B1536"/>
    <mergeCell ref="C1536:D1536"/>
    <mergeCell ref="C1529:D1529"/>
    <mergeCell ref="A1531:B1531"/>
    <mergeCell ref="C1531:D1531"/>
    <mergeCell ref="A1532:B1532"/>
    <mergeCell ref="C1532:D1532"/>
    <mergeCell ref="A1533:B1533"/>
    <mergeCell ref="C1533:D1533"/>
    <mergeCell ref="A1550:D1550"/>
    <mergeCell ref="A1551:D1551"/>
    <mergeCell ref="A1552:D1552"/>
    <mergeCell ref="A1553:D1553"/>
    <mergeCell ref="A1554:D1554"/>
    <mergeCell ref="A1555:B1555"/>
    <mergeCell ref="C1555:D1555"/>
    <mergeCell ref="A1547:B1547"/>
    <mergeCell ref="C1547:D1547"/>
    <mergeCell ref="A1548:B1548"/>
    <mergeCell ref="C1548:D1548"/>
    <mergeCell ref="A1549:B1549"/>
    <mergeCell ref="C1549:D1549"/>
    <mergeCell ref="C1542:D1542"/>
    <mergeCell ref="A1544:B1544"/>
    <mergeCell ref="C1544:D1544"/>
    <mergeCell ref="A1545:B1545"/>
    <mergeCell ref="C1545:D1545"/>
    <mergeCell ref="A1546:B1546"/>
    <mergeCell ref="C1546:D1546"/>
    <mergeCell ref="A1564:D1564"/>
    <mergeCell ref="A1565:D1565"/>
    <mergeCell ref="A1566:D1566"/>
    <mergeCell ref="A1567:D1567"/>
    <mergeCell ref="A1568:B1568"/>
    <mergeCell ref="C1568:D1568"/>
    <mergeCell ref="A1561:B1561"/>
    <mergeCell ref="C1561:D1561"/>
    <mergeCell ref="A1562:B1562"/>
    <mergeCell ref="C1562:D1562"/>
    <mergeCell ref="A1563:B1563"/>
    <mergeCell ref="C1563:D1563"/>
    <mergeCell ref="C1556:D1556"/>
    <mergeCell ref="A1558:B1558"/>
    <mergeCell ref="C1558:D1558"/>
    <mergeCell ref="A1559:B1559"/>
    <mergeCell ref="C1559:D1559"/>
    <mergeCell ref="A1560:B1560"/>
    <mergeCell ref="C1560:D1560"/>
    <mergeCell ref="A1581:D1581"/>
    <mergeCell ref="A1582:B1582"/>
    <mergeCell ref="C1582:D1582"/>
    <mergeCell ref="A1592:D1592"/>
    <mergeCell ref="A1593:D1593"/>
    <mergeCell ref="A1577:D1577"/>
    <mergeCell ref="A1578:D1578"/>
    <mergeCell ref="A1579:D1579"/>
    <mergeCell ref="A1580:D1580"/>
    <mergeCell ref="A1574:B1574"/>
    <mergeCell ref="C1574:D1574"/>
    <mergeCell ref="A1575:B1575"/>
    <mergeCell ref="C1575:D1575"/>
    <mergeCell ref="A1576:B1576"/>
    <mergeCell ref="C1576:D1576"/>
    <mergeCell ref="C1569:D1569"/>
    <mergeCell ref="A1571:B1571"/>
    <mergeCell ref="C1571:D1571"/>
    <mergeCell ref="A1572:B1572"/>
    <mergeCell ref="C1572:D1572"/>
    <mergeCell ref="A1573:B1573"/>
    <mergeCell ref="C1573:D1573"/>
    <mergeCell ref="A1591:D1591"/>
    <mergeCell ref="A1594:D1594"/>
    <mergeCell ref="A1595:B1595"/>
    <mergeCell ref="C1595:D1595"/>
    <mergeCell ref="A1588:B1588"/>
    <mergeCell ref="C1588:D1588"/>
    <mergeCell ref="A1589:B1589"/>
    <mergeCell ref="C1589:D1589"/>
    <mergeCell ref="A1590:B1590"/>
    <mergeCell ref="C1590:D1590"/>
    <mergeCell ref="C1583:D1583"/>
    <mergeCell ref="A1585:B1585"/>
    <mergeCell ref="C1585:D1585"/>
    <mergeCell ref="A1586:B1586"/>
    <mergeCell ref="C1586:D1586"/>
    <mergeCell ref="A1587:B1587"/>
    <mergeCell ref="C1587:D1587"/>
    <mergeCell ref="A1604:D1604"/>
    <mergeCell ref="A1605:D1605"/>
    <mergeCell ref="A1606:D1606"/>
    <mergeCell ref="A1607:D1607"/>
    <mergeCell ref="A1608:D1608"/>
    <mergeCell ref="A1609:B1609"/>
    <mergeCell ref="C1609:D1609"/>
    <mergeCell ref="A1601:B1601"/>
    <mergeCell ref="C1601:D1601"/>
    <mergeCell ref="A1602:B1602"/>
    <mergeCell ref="C1602:D1602"/>
    <mergeCell ref="A1603:B1603"/>
    <mergeCell ref="C1603:D1603"/>
    <mergeCell ref="C1596:D1596"/>
    <mergeCell ref="A1598:B1598"/>
    <mergeCell ref="C1598:D1598"/>
    <mergeCell ref="A1599:B1599"/>
    <mergeCell ref="C1599:D1599"/>
    <mergeCell ref="A1600:B1600"/>
    <mergeCell ref="C1600:D1600"/>
    <mergeCell ref="A1618:D1618"/>
    <mergeCell ref="A1619:D1619"/>
    <mergeCell ref="A1620:D1620"/>
    <mergeCell ref="A1621:D1621"/>
    <mergeCell ref="A1622:B1622"/>
    <mergeCell ref="C1622:D1622"/>
    <mergeCell ref="A1615:B1615"/>
    <mergeCell ref="C1615:D1615"/>
    <mergeCell ref="A1616:B1616"/>
    <mergeCell ref="C1616:D1616"/>
    <mergeCell ref="A1617:B1617"/>
    <mergeCell ref="C1617:D1617"/>
    <mergeCell ref="C1610:D1610"/>
    <mergeCell ref="A1612:B1612"/>
    <mergeCell ref="C1612:D1612"/>
    <mergeCell ref="A1613:B1613"/>
    <mergeCell ref="C1613:D1613"/>
    <mergeCell ref="A1614:B1614"/>
    <mergeCell ref="C1614:D1614"/>
    <mergeCell ref="A1631:D1631"/>
    <mergeCell ref="A1632:D1632"/>
    <mergeCell ref="A1633:D1633"/>
    <mergeCell ref="A1634:D1634"/>
    <mergeCell ref="A1635:D1635"/>
    <mergeCell ref="A1636:B1636"/>
    <mergeCell ref="C1636:D1636"/>
    <mergeCell ref="A1628:B1628"/>
    <mergeCell ref="C1628:D1628"/>
    <mergeCell ref="A1629:B1629"/>
    <mergeCell ref="C1629:D1629"/>
    <mergeCell ref="A1630:B1630"/>
    <mergeCell ref="C1630:D1630"/>
    <mergeCell ref="C1623:D1623"/>
    <mergeCell ref="A1625:B1625"/>
    <mergeCell ref="C1625:D1625"/>
    <mergeCell ref="A1626:B1626"/>
    <mergeCell ref="C1626:D1626"/>
    <mergeCell ref="A1627:B1627"/>
    <mergeCell ref="C1627:D1627"/>
    <mergeCell ref="A1645:D1645"/>
    <mergeCell ref="A1646:D1646"/>
    <mergeCell ref="A1647:D1647"/>
    <mergeCell ref="A1648:D1648"/>
    <mergeCell ref="A1649:B1649"/>
    <mergeCell ref="C1649:D1649"/>
    <mergeCell ref="A1642:B1642"/>
    <mergeCell ref="C1642:D1642"/>
    <mergeCell ref="A1643:B1643"/>
    <mergeCell ref="C1643:D1643"/>
    <mergeCell ref="A1644:B1644"/>
    <mergeCell ref="C1644:D1644"/>
    <mergeCell ref="C1637:D1637"/>
    <mergeCell ref="A1639:B1639"/>
    <mergeCell ref="C1639:D1639"/>
    <mergeCell ref="A1640:B1640"/>
    <mergeCell ref="C1640:D1640"/>
    <mergeCell ref="A1641:B1641"/>
    <mergeCell ref="C1641:D1641"/>
    <mergeCell ref="A1662:D1662"/>
    <mergeCell ref="A1663:B1663"/>
    <mergeCell ref="C1663:D1663"/>
    <mergeCell ref="A1673:D1673"/>
    <mergeCell ref="A1674:D1674"/>
    <mergeCell ref="A1658:D1658"/>
    <mergeCell ref="A1659:D1659"/>
    <mergeCell ref="A1660:D1660"/>
    <mergeCell ref="A1661:D1661"/>
    <mergeCell ref="A1655:B1655"/>
    <mergeCell ref="C1655:D1655"/>
    <mergeCell ref="A1656:B1656"/>
    <mergeCell ref="C1656:D1656"/>
    <mergeCell ref="A1657:B1657"/>
    <mergeCell ref="C1657:D1657"/>
    <mergeCell ref="C1650:D1650"/>
    <mergeCell ref="A1652:B1652"/>
    <mergeCell ref="C1652:D1652"/>
    <mergeCell ref="A1653:B1653"/>
    <mergeCell ref="C1653:D1653"/>
    <mergeCell ref="A1654:B1654"/>
    <mergeCell ref="C1654:D1654"/>
    <mergeCell ref="A1672:D1672"/>
    <mergeCell ref="C1677:D1677"/>
    <mergeCell ref="A1679:B1679"/>
    <mergeCell ref="C1679:D1679"/>
    <mergeCell ref="A1680:B1680"/>
    <mergeCell ref="C1680:D1680"/>
    <mergeCell ref="A1681:B1681"/>
    <mergeCell ref="C1681:D1681"/>
    <mergeCell ref="A1675:D1675"/>
    <mergeCell ref="A1676:B1676"/>
    <mergeCell ref="C1676:D1676"/>
    <mergeCell ref="A1669:B1669"/>
    <mergeCell ref="C1669:D1669"/>
    <mergeCell ref="A1670:B1670"/>
    <mergeCell ref="C1670:D1670"/>
    <mergeCell ref="A1671:B1671"/>
    <mergeCell ref="C1671:D1671"/>
    <mergeCell ref="C1664:D1664"/>
    <mergeCell ref="A1666:B1666"/>
    <mergeCell ref="C1666:D1666"/>
    <mergeCell ref="A1667:B1667"/>
    <mergeCell ref="C1667:D1667"/>
    <mergeCell ref="A1668:B1668"/>
    <mergeCell ref="C1668:D1668"/>
    <mergeCell ref="C1691:D1691"/>
    <mergeCell ref="A1693:B1693"/>
    <mergeCell ref="C1693:D1693"/>
    <mergeCell ref="A1694:B1694"/>
    <mergeCell ref="C1694:D1694"/>
    <mergeCell ref="A1695:B1695"/>
    <mergeCell ref="C1695:D1695"/>
    <mergeCell ref="A1686:D1686"/>
    <mergeCell ref="A1687:D1687"/>
    <mergeCell ref="A1688:D1688"/>
    <mergeCell ref="A1689:D1689"/>
    <mergeCell ref="A1690:B1690"/>
    <mergeCell ref="C1690:D1690"/>
    <mergeCell ref="A1682:B1682"/>
    <mergeCell ref="C1682:D1682"/>
    <mergeCell ref="A1683:B1683"/>
    <mergeCell ref="C1683:D1683"/>
    <mergeCell ref="A1684:B1684"/>
    <mergeCell ref="C1684:D1684"/>
    <mergeCell ref="A1685:D1685"/>
    <mergeCell ref="C1704:D1704"/>
    <mergeCell ref="A1706:B1706"/>
    <mergeCell ref="C1706:D1706"/>
    <mergeCell ref="A1707:B1707"/>
    <mergeCell ref="C1707:D1707"/>
    <mergeCell ref="A1708:B1708"/>
    <mergeCell ref="C1708:D1708"/>
    <mergeCell ref="A1699:D1699"/>
    <mergeCell ref="A1700:D1700"/>
    <mergeCell ref="A1701:D1701"/>
    <mergeCell ref="A1702:D1702"/>
    <mergeCell ref="A1703:B1703"/>
    <mergeCell ref="C1703:D1703"/>
    <mergeCell ref="A1696:B1696"/>
    <mergeCell ref="C1696:D1696"/>
    <mergeCell ref="A1697:B1697"/>
    <mergeCell ref="C1697:D1697"/>
    <mergeCell ref="A1698:B1698"/>
    <mergeCell ref="C1698:D1698"/>
    <mergeCell ref="C1718:D1718"/>
    <mergeCell ref="A1720:B1720"/>
    <mergeCell ref="C1720:D1720"/>
    <mergeCell ref="A1721:B1721"/>
    <mergeCell ref="C1721:D1721"/>
    <mergeCell ref="A1722:B1722"/>
    <mergeCell ref="C1722:D1722"/>
    <mergeCell ref="A1712:D1712"/>
    <mergeCell ref="A1713:D1713"/>
    <mergeCell ref="A1714:D1714"/>
    <mergeCell ref="A1715:D1715"/>
    <mergeCell ref="A1716:D1716"/>
    <mergeCell ref="A1717:B1717"/>
    <mergeCell ref="C1717:D1717"/>
    <mergeCell ref="A1709:B1709"/>
    <mergeCell ref="C1709:D1709"/>
    <mergeCell ref="A1710:B1710"/>
    <mergeCell ref="C1710:D1710"/>
    <mergeCell ref="A1711:B1711"/>
    <mergeCell ref="C1711:D1711"/>
    <mergeCell ref="C1731:D1731"/>
    <mergeCell ref="A1733:B1733"/>
    <mergeCell ref="C1733:D1733"/>
    <mergeCell ref="A1734:B1734"/>
    <mergeCell ref="C1734:D1734"/>
    <mergeCell ref="A1735:B1735"/>
    <mergeCell ref="C1735:D1735"/>
    <mergeCell ref="A1729:D1729"/>
    <mergeCell ref="A1730:B1730"/>
    <mergeCell ref="C1730:D1730"/>
    <mergeCell ref="A1726:D1726"/>
    <mergeCell ref="A1727:D1727"/>
    <mergeCell ref="A1728:D1728"/>
    <mergeCell ref="A1723:B1723"/>
    <mergeCell ref="C1723:D1723"/>
    <mergeCell ref="A1724:B1724"/>
    <mergeCell ref="C1724:D1724"/>
    <mergeCell ref="A1725:B1725"/>
    <mergeCell ref="C1725:D1725"/>
    <mergeCell ref="C1745:D1745"/>
    <mergeCell ref="A1747:B1747"/>
    <mergeCell ref="C1747:D1747"/>
    <mergeCell ref="A1748:B1748"/>
    <mergeCell ref="C1748:D1748"/>
    <mergeCell ref="A1749:B1749"/>
    <mergeCell ref="C1749:D1749"/>
    <mergeCell ref="A1739:D1739"/>
    <mergeCell ref="A1740:D1740"/>
    <mergeCell ref="A1741:D1741"/>
    <mergeCell ref="A1742:D1742"/>
    <mergeCell ref="A1743:D1743"/>
    <mergeCell ref="A1744:B1744"/>
    <mergeCell ref="C1744:D1744"/>
    <mergeCell ref="A1736:B1736"/>
    <mergeCell ref="C1736:D1736"/>
    <mergeCell ref="A1737:B1737"/>
    <mergeCell ref="C1737:D1737"/>
    <mergeCell ref="A1738:B1738"/>
    <mergeCell ref="C1738:D1738"/>
    <mergeCell ref="C1758:D1758"/>
    <mergeCell ref="A1760:B1760"/>
    <mergeCell ref="C1760:D1760"/>
    <mergeCell ref="A1761:B1761"/>
    <mergeCell ref="C1761:D1761"/>
    <mergeCell ref="A1762:B1762"/>
    <mergeCell ref="C1762:D1762"/>
    <mergeCell ref="A1753:D1753"/>
    <mergeCell ref="A1754:D1754"/>
    <mergeCell ref="A1755:D1755"/>
    <mergeCell ref="A1756:D1756"/>
    <mergeCell ref="A1757:B1757"/>
    <mergeCell ref="C1757:D1757"/>
    <mergeCell ref="A1750:B1750"/>
    <mergeCell ref="C1750:D1750"/>
    <mergeCell ref="A1751:B1751"/>
    <mergeCell ref="C1751:D1751"/>
    <mergeCell ref="A1752:B1752"/>
    <mergeCell ref="C1752:D1752"/>
    <mergeCell ref="C1772:D1772"/>
    <mergeCell ref="A1774:B1774"/>
    <mergeCell ref="C1774:D1774"/>
    <mergeCell ref="A1775:B1775"/>
    <mergeCell ref="C1775:D1775"/>
    <mergeCell ref="A1776:B1776"/>
    <mergeCell ref="C1776:D1776"/>
    <mergeCell ref="A1766:D1766"/>
    <mergeCell ref="A1767:D1767"/>
    <mergeCell ref="A1768:D1768"/>
    <mergeCell ref="A1769:D1769"/>
    <mergeCell ref="A1770:D1770"/>
    <mergeCell ref="A1771:B1771"/>
    <mergeCell ref="C1771:D1771"/>
    <mergeCell ref="A1763:B1763"/>
    <mergeCell ref="C1763:D1763"/>
    <mergeCell ref="A1764:B1764"/>
    <mergeCell ref="C1764:D1764"/>
    <mergeCell ref="A1765:B1765"/>
    <mergeCell ref="C1765:D1765"/>
    <mergeCell ref="C1785:D1785"/>
    <mergeCell ref="A1787:B1787"/>
    <mergeCell ref="C1787:D1787"/>
    <mergeCell ref="A1788:B1788"/>
    <mergeCell ref="C1788:D1788"/>
    <mergeCell ref="A1789:B1789"/>
    <mergeCell ref="C1789:D1789"/>
    <mergeCell ref="A1783:D1783"/>
    <mergeCell ref="A1784:B1784"/>
    <mergeCell ref="C1784:D1784"/>
    <mergeCell ref="A1780:D1780"/>
    <mergeCell ref="A1781:D1781"/>
    <mergeCell ref="A1782:D1782"/>
    <mergeCell ref="A1777:B1777"/>
    <mergeCell ref="C1777:D1777"/>
    <mergeCell ref="A1778:B1778"/>
    <mergeCell ref="C1778:D1778"/>
    <mergeCell ref="A1779:B1779"/>
    <mergeCell ref="C1779:D1779"/>
    <mergeCell ref="C1799:D1799"/>
    <mergeCell ref="A1801:B1801"/>
    <mergeCell ref="C1801:D1801"/>
    <mergeCell ref="A1802:B1802"/>
    <mergeCell ref="C1802:D1802"/>
    <mergeCell ref="A1803:B1803"/>
    <mergeCell ref="C1803:D1803"/>
    <mergeCell ref="A1793:D1793"/>
    <mergeCell ref="A1794:D1794"/>
    <mergeCell ref="A1795:D1795"/>
    <mergeCell ref="A1796:D1796"/>
    <mergeCell ref="A1797:D1797"/>
    <mergeCell ref="A1798:B1798"/>
    <mergeCell ref="C1798:D1798"/>
    <mergeCell ref="A1790:B1790"/>
    <mergeCell ref="C1790:D1790"/>
    <mergeCell ref="A1791:B1791"/>
    <mergeCell ref="C1791:D1791"/>
    <mergeCell ref="A1792:B1792"/>
    <mergeCell ref="C1792:D1792"/>
    <mergeCell ref="A1814:B1814"/>
    <mergeCell ref="C1814:D1814"/>
    <mergeCell ref="A1815:B1815"/>
    <mergeCell ref="C1815:D1815"/>
    <mergeCell ref="A1816:B1816"/>
    <mergeCell ref="C1816:D1816"/>
    <mergeCell ref="A1807:D1807"/>
    <mergeCell ref="A1808:D1808"/>
    <mergeCell ref="A1809:D1809"/>
    <mergeCell ref="A1810:D1810"/>
    <mergeCell ref="A1811:B1811"/>
    <mergeCell ref="C1811:D1811"/>
    <mergeCell ref="A1804:B1804"/>
    <mergeCell ref="C1804:D1804"/>
    <mergeCell ref="A1805:B1805"/>
    <mergeCell ref="C1805:D1805"/>
    <mergeCell ref="A1806:B1806"/>
    <mergeCell ref="C1806:D1806"/>
    <mergeCell ref="A1862:D1862"/>
    <mergeCell ref="A1863:D1863"/>
    <mergeCell ref="A1858:B1858"/>
    <mergeCell ref="C1858:D1858"/>
    <mergeCell ref="A1859:B1859"/>
    <mergeCell ref="C1859:D1859"/>
    <mergeCell ref="A1860:B1860"/>
    <mergeCell ref="C1860:D1860"/>
    <mergeCell ref="C1853:D1853"/>
    <mergeCell ref="A1855:B1855"/>
    <mergeCell ref="C1855:D1855"/>
    <mergeCell ref="A1856:B1856"/>
    <mergeCell ref="C1856:D1856"/>
    <mergeCell ref="A1857:B1857"/>
    <mergeCell ref="C1857:D1857"/>
    <mergeCell ref="A1847:D1847"/>
    <mergeCell ref="A1848:D1848"/>
    <mergeCell ref="A1849:D1849"/>
    <mergeCell ref="A1850:D1850"/>
    <mergeCell ref="A1851:D1851"/>
    <mergeCell ref="A1852:B1852"/>
    <mergeCell ref="C1852:D1852"/>
    <mergeCell ref="A1861:D1861"/>
    <mergeCell ref="A1845:B1845"/>
    <mergeCell ref="C1845:D1845"/>
    <mergeCell ref="A1846:B1846"/>
    <mergeCell ref="C1846:D1846"/>
    <mergeCell ref="C1839:D1839"/>
    <mergeCell ref="A1841:B1841"/>
    <mergeCell ref="C1841:D1841"/>
    <mergeCell ref="A1842:B1842"/>
    <mergeCell ref="C1842:D1842"/>
    <mergeCell ref="A1843:B1843"/>
    <mergeCell ref="C1843:D1843"/>
    <mergeCell ref="A1834:D1834"/>
    <mergeCell ref="A1835:D1835"/>
    <mergeCell ref="A997:D997"/>
    <mergeCell ref="A998:D998"/>
    <mergeCell ref="A999:D999"/>
    <mergeCell ref="A1836:D1836"/>
    <mergeCell ref="A1837:D1837"/>
    <mergeCell ref="A1838:B1838"/>
    <mergeCell ref="C1838:D1838"/>
    <mergeCell ref="A1831:B1831"/>
    <mergeCell ref="C1831:D1831"/>
    <mergeCell ref="A1832:B1832"/>
    <mergeCell ref="C1832:D1832"/>
    <mergeCell ref="A1833:B1833"/>
    <mergeCell ref="C1833:D1833"/>
    <mergeCell ref="C1826:D1826"/>
    <mergeCell ref="A1828:B1828"/>
    <mergeCell ref="C1828:D1828"/>
    <mergeCell ref="A1829:B1829"/>
    <mergeCell ref="C1829:D1829"/>
    <mergeCell ref="A1830:B1830"/>
    <mergeCell ref="A752:B752"/>
    <mergeCell ref="C752:D752"/>
    <mergeCell ref="A753:B753"/>
    <mergeCell ref="C753:D753"/>
    <mergeCell ref="A973:D973"/>
    <mergeCell ref="A974:B974"/>
    <mergeCell ref="C974:D974"/>
    <mergeCell ref="C975:D975"/>
    <mergeCell ref="A977:B977"/>
    <mergeCell ref="C977:D977"/>
    <mergeCell ref="A978:B978"/>
    <mergeCell ref="A970:D970"/>
    <mergeCell ref="A971:D971"/>
    <mergeCell ref="A972:D972"/>
    <mergeCell ref="A956:D956"/>
    <mergeCell ref="A1844:B1844"/>
    <mergeCell ref="C1844:D1844"/>
    <mergeCell ref="C1830:D1830"/>
    <mergeCell ref="A1820:D1820"/>
    <mergeCell ref="A1821:D1821"/>
    <mergeCell ref="A1822:D1822"/>
    <mergeCell ref="A1823:D1823"/>
    <mergeCell ref="A1824:D1824"/>
    <mergeCell ref="A1825:B1825"/>
    <mergeCell ref="C1825:D1825"/>
    <mergeCell ref="A1817:B1817"/>
    <mergeCell ref="C1817:D1817"/>
    <mergeCell ref="A1818:B1818"/>
    <mergeCell ref="C1818:D1818"/>
    <mergeCell ref="A1819:B1819"/>
    <mergeCell ref="C1819:D1819"/>
    <mergeCell ref="C1812:D1812"/>
    <mergeCell ref="A994:B994"/>
    <mergeCell ref="C994:D994"/>
    <mergeCell ref="A995:B995"/>
    <mergeCell ref="C995:D995"/>
    <mergeCell ref="C746:D746"/>
    <mergeCell ref="A748:B748"/>
    <mergeCell ref="C748:D748"/>
    <mergeCell ref="A957:D957"/>
    <mergeCell ref="A958:D958"/>
    <mergeCell ref="A959:D959"/>
    <mergeCell ref="A960:D960"/>
    <mergeCell ref="A961:B961"/>
    <mergeCell ref="C961:D961"/>
    <mergeCell ref="A953:B953"/>
    <mergeCell ref="C953:D953"/>
    <mergeCell ref="A954:B954"/>
    <mergeCell ref="C954:D954"/>
    <mergeCell ref="A955:B955"/>
    <mergeCell ref="A991:B991"/>
    <mergeCell ref="C991:D991"/>
    <mergeCell ref="A992:B992"/>
    <mergeCell ref="C992:D992"/>
    <mergeCell ref="A993:B993"/>
    <mergeCell ref="C993:D993"/>
    <mergeCell ref="A984:D984"/>
    <mergeCell ref="A985:D985"/>
    <mergeCell ref="A986:D986"/>
    <mergeCell ref="A754:D754"/>
    <mergeCell ref="A755:D755"/>
    <mergeCell ref="A756:D756"/>
    <mergeCell ref="A751:B751"/>
    <mergeCell ref="C751:D751"/>
    <mergeCell ref="A1864:D1864"/>
    <mergeCell ref="A1865:B1865"/>
    <mergeCell ref="C1865:D1865"/>
    <mergeCell ref="C1866:D1866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D1874"/>
    <mergeCell ref="A1887:B1887"/>
    <mergeCell ref="C1887:D1887"/>
    <mergeCell ref="A1888:D1888"/>
    <mergeCell ref="A1889:D1889"/>
    <mergeCell ref="A1890:D1890"/>
    <mergeCell ref="A1875:D1875"/>
    <mergeCell ref="A1876:D1876"/>
    <mergeCell ref="A1877:D1877"/>
    <mergeCell ref="A1878:D1878"/>
    <mergeCell ref="A1879:B1879"/>
    <mergeCell ref="C1879:D1879"/>
    <mergeCell ref="C1880:D1880"/>
    <mergeCell ref="A1882:B1882"/>
    <mergeCell ref="C1882:D1882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945:D1945"/>
    <mergeCell ref="A1946:B1946"/>
    <mergeCell ref="C1946:D1946"/>
    <mergeCell ref="C1947:D1947"/>
    <mergeCell ref="A1949:B1949"/>
    <mergeCell ref="C1949:D1949"/>
    <mergeCell ref="A1950:B1950"/>
    <mergeCell ref="C1950:D1950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D1955"/>
    <mergeCell ref="A1956:D1956"/>
    <mergeCell ref="A1957:D1957"/>
    <mergeCell ref="A1958:D1958"/>
    <mergeCell ref="A1959:D1959"/>
    <mergeCell ref="A1960:B1960"/>
    <mergeCell ref="C1960:D1960"/>
    <mergeCell ref="C1961:D1961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68:B1968"/>
    <mergeCell ref="C1968:D1968"/>
    <mergeCell ref="A1969:D1969"/>
    <mergeCell ref="A1970:D1970"/>
    <mergeCell ref="A1971:D1971"/>
    <mergeCell ref="A1972:D1972"/>
    <mergeCell ref="A1973:B1973"/>
    <mergeCell ref="C1973:D1973"/>
    <mergeCell ref="C1974:D1974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93:B1993"/>
    <mergeCell ref="C1993:D1993"/>
    <mergeCell ref="A1994:B1994"/>
    <mergeCell ref="C1994:D1994"/>
    <mergeCell ref="A1995:B1995"/>
    <mergeCell ref="C1995:D1995"/>
    <mergeCell ref="A1996:D1996"/>
    <mergeCell ref="A1997:D1997"/>
    <mergeCell ref="A1998:D1998"/>
    <mergeCell ref="A1980:B1980"/>
    <mergeCell ref="C1980:D1980"/>
    <mergeCell ref="A1981:B1981"/>
    <mergeCell ref="C1981:D1981"/>
    <mergeCell ref="A1982:D1982"/>
    <mergeCell ref="A1983:D1983"/>
    <mergeCell ref="A1984:D1984"/>
    <mergeCell ref="A1985:D1985"/>
    <mergeCell ref="A1986:D1986"/>
    <mergeCell ref="A1987:B1987"/>
    <mergeCell ref="C1987:D1987"/>
    <mergeCell ref="C1988:D1988"/>
    <mergeCell ref="A1990:B1990"/>
    <mergeCell ref="C1990:D1990"/>
    <mergeCell ref="A1991:B1991"/>
    <mergeCell ref="C1991:D1991"/>
    <mergeCell ref="A1992:B1992"/>
    <mergeCell ref="C1992:D1992"/>
    <mergeCell ref="A1999:D1999"/>
    <mergeCell ref="A2000:B2000"/>
    <mergeCell ref="C2000:D2000"/>
    <mergeCell ref="C2001:D2001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D2009"/>
    <mergeCell ref="A2022:B2022"/>
    <mergeCell ref="C2022:D2022"/>
    <mergeCell ref="A2023:D2023"/>
    <mergeCell ref="A2024:D2024"/>
    <mergeCell ref="A2025:D2025"/>
    <mergeCell ref="A2010:D2010"/>
    <mergeCell ref="A2011:D2011"/>
    <mergeCell ref="A2012:D2012"/>
    <mergeCell ref="A2013:D2013"/>
    <mergeCell ref="A2014:B2014"/>
    <mergeCell ref="C2014:D2014"/>
    <mergeCell ref="C2015:D2015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</mergeCells>
  <printOptions horizontalCentered="1" verticalCentered="1"/>
  <pageMargins left="2.2799999999999998" right="2.204724409448819" top="0.11811023622047245" bottom="0.15748031496062992" header="0.11811023622047245" footer="0.15748031496062992"/>
  <pageSetup scale="68" orientation="portrait" r:id="rId1"/>
  <headerFooter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1917"/>
  <sheetViews>
    <sheetView tabSelected="1" showRuler="0" view="pageLayout" topLeftCell="A1593" zoomScale="54" zoomScaleNormal="70" zoomScalePageLayoutView="54" workbookViewId="0">
      <selection activeCell="A1599" sqref="A1599:B1599"/>
    </sheetView>
  </sheetViews>
  <sheetFormatPr defaultColWidth="10.7109375" defaultRowHeight="42.75" customHeight="1"/>
  <cols>
    <col min="1" max="1" width="14.7109375" style="23" customWidth="1"/>
    <col min="2" max="2" width="16.28515625" style="24" customWidth="1"/>
    <col min="3" max="3" width="21.42578125" style="24" customWidth="1"/>
    <col min="4" max="4" width="19.28515625" style="25" customWidth="1"/>
    <col min="5" max="5" width="24.85546875" style="7" customWidth="1"/>
    <col min="6" max="6" width="25.28515625" style="7" customWidth="1"/>
    <col min="7" max="7" width="12" style="7" customWidth="1"/>
    <col min="8" max="8" width="13.28515625" style="7" customWidth="1"/>
    <col min="9" max="9" width="31.28515625" style="7" customWidth="1"/>
    <col min="10" max="10" width="13.5703125" style="8" customWidth="1"/>
    <col min="11" max="11" width="14" style="8" customWidth="1"/>
    <col min="12" max="12" width="22.7109375" style="8" customWidth="1"/>
    <col min="13" max="16384" width="10.7109375" style="8"/>
  </cols>
  <sheetData>
    <row r="1" spans="1:16" ht="42.75" customHeight="1" thickBot="1">
      <c r="A1" s="126" t="s">
        <v>19</v>
      </c>
      <c r="B1" s="127"/>
      <c r="C1" s="127"/>
      <c r="D1" s="128"/>
      <c r="E1" s="6"/>
      <c r="K1" s="9"/>
      <c r="L1" s="10"/>
      <c r="M1" s="10"/>
      <c r="N1" s="10"/>
      <c r="O1" s="10"/>
      <c r="P1" s="11"/>
    </row>
    <row r="2" spans="1:16" ht="42.75" customHeight="1" thickBot="1">
      <c r="A2" s="123" t="s">
        <v>11</v>
      </c>
      <c r="B2" s="124"/>
      <c r="C2" s="125" t="s">
        <v>603</v>
      </c>
      <c r="D2" s="124"/>
      <c r="E2" s="12"/>
      <c r="K2" s="9"/>
      <c r="L2" s="10"/>
      <c r="M2" s="10"/>
      <c r="N2" s="10"/>
      <c r="O2" s="10"/>
      <c r="P2" s="11"/>
    </row>
    <row r="3" spans="1:16" ht="42.75" customHeight="1" thickBot="1">
      <c r="A3" s="1" t="s">
        <v>686</v>
      </c>
      <c r="B3" s="26" t="s">
        <v>1</v>
      </c>
      <c r="C3" s="90" t="s">
        <v>352</v>
      </c>
      <c r="D3" s="91"/>
      <c r="E3" s="13"/>
      <c r="F3" s="14"/>
      <c r="G3" s="14"/>
      <c r="H3" s="14"/>
      <c r="K3" s="9"/>
      <c r="L3" s="10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10"/>
      <c r="N3" s="10"/>
      <c r="O3" s="10"/>
      <c r="P3" s="11"/>
    </row>
    <row r="4" spans="1:16" ht="42.75" customHeight="1" thickBot="1">
      <c r="A4" s="26"/>
      <c r="B4" s="26" t="s">
        <v>0</v>
      </c>
      <c r="C4" s="5" t="s">
        <v>687</v>
      </c>
      <c r="D4" s="4" t="s">
        <v>2</v>
      </c>
      <c r="E4" s="15">
        <f>SUM(A10+A37+A64+A91+A118+A145+A172+A199+A226+A253+A280+A307+A334+A361+A388+A415+A442+A469+A1198+A496+A523+A550+A577+A604+A631+A658+A685+A712+A739+A766+A793+A820+A847+A874+A901+A928+A955+A982+A1009+A1036+A1063+A1090+A1117+A1144+A1171+A1225+A1252+A1279+A1306+A1333+A1360+A1387+A1414+A1441+A1468+A1495+A1522+A1549+A1576+A1603+A1630+A1657+A1684+A1711+A1738+A1765+A1792+A1819+A1846+A1873+A1900)</f>
        <v>168360</v>
      </c>
      <c r="K4" s="9"/>
      <c r="L4" s="10"/>
      <c r="M4" s="10"/>
      <c r="N4" s="10"/>
      <c r="O4" s="10"/>
      <c r="P4" s="11"/>
    </row>
    <row r="5" spans="1:16" ht="42.75" customHeight="1" thickBot="1">
      <c r="A5" s="92">
        <v>3250</v>
      </c>
      <c r="B5" s="93"/>
      <c r="C5" s="94" t="s">
        <v>3</v>
      </c>
      <c r="D5" s="95"/>
      <c r="E5" s="16"/>
      <c r="K5" s="17"/>
      <c r="L5" s="18"/>
      <c r="M5" s="18"/>
      <c r="N5" s="18"/>
      <c r="O5" s="18"/>
      <c r="P5" s="19"/>
    </row>
    <row r="6" spans="1:16" ht="42.75" customHeight="1" thickBot="1">
      <c r="A6" s="92">
        <v>3380</v>
      </c>
      <c r="B6" s="93"/>
      <c r="C6" s="96" t="s">
        <v>4</v>
      </c>
      <c r="D6" s="97"/>
      <c r="E6" s="16"/>
    </row>
    <row r="7" spans="1:16" ht="42.75" customHeight="1" thickBot="1">
      <c r="A7" s="98">
        <f>A6-A5</f>
        <v>130</v>
      </c>
      <c r="B7" s="99"/>
      <c r="C7" s="100" t="s">
        <v>5</v>
      </c>
      <c r="D7" s="97"/>
      <c r="E7" s="20"/>
    </row>
    <row r="8" spans="1:16" ht="42.75" customHeight="1" thickBot="1">
      <c r="A8" s="101">
        <v>40</v>
      </c>
      <c r="B8" s="102"/>
      <c r="C8" s="96" t="s">
        <v>6</v>
      </c>
      <c r="D8" s="97"/>
      <c r="E8" s="20"/>
    </row>
    <row r="9" spans="1:16" ht="42.75" customHeight="1" thickBot="1">
      <c r="A9" s="103"/>
      <c r="B9" s="104"/>
      <c r="C9" s="96" t="s">
        <v>21</v>
      </c>
      <c r="D9" s="97"/>
      <c r="E9" s="20">
        <f>SUM(A7+A34+A61+A88+A115+A142+A169+A196+A223+A250+A277+A304+A331+A358+A385+A412+A439+A466+A493+A520+A547+A574+A601+A628+A655+A682+A709+A736+A763+A790+A817+A844+A871+A898+A925+A952+A979+A1006+A1033+A1060+A1087+A1114+A1141+A1168+A1222+A1249+A1276+A1303+A1330+A1357+A1384+A1411+A1438+A1465+A1492+A1519+A1546+A1573+A1600+A1627+A1654+A1681+A1708+A1735+A1762+A1789+A1816+A1843+A1870+A1897)</f>
        <v>3720</v>
      </c>
    </row>
    <row r="10" spans="1:16" ht="42.75" customHeight="1" thickBot="1">
      <c r="A10" s="105">
        <f>A8*A7</f>
        <v>5200</v>
      </c>
      <c r="B10" s="106"/>
      <c r="C10" s="96" t="s">
        <v>7</v>
      </c>
      <c r="D10" s="97"/>
      <c r="E10" s="20"/>
    </row>
    <row r="11" spans="1:16" ht="42.75" customHeight="1" thickBot="1">
      <c r="A11" s="107" t="s">
        <v>17</v>
      </c>
      <c r="B11" s="108"/>
      <c r="C11" s="108"/>
      <c r="D11" s="109"/>
      <c r="E11" s="20"/>
    </row>
    <row r="12" spans="1:16" ht="42.75" customHeight="1" thickBot="1">
      <c r="A12" s="116" t="s">
        <v>20</v>
      </c>
      <c r="B12" s="117"/>
      <c r="C12" s="117"/>
      <c r="D12" s="118"/>
      <c r="E12" s="20"/>
    </row>
    <row r="13" spans="1:16" ht="42.75" customHeight="1" thickBot="1">
      <c r="A13" s="113" t="s">
        <v>18</v>
      </c>
      <c r="B13" s="114"/>
      <c r="C13" s="114"/>
      <c r="D13" s="115"/>
      <c r="E13" s="20"/>
    </row>
    <row r="14" spans="1:16" ht="42.75" customHeight="1" thickBot="1">
      <c r="A14" s="119"/>
      <c r="B14" s="119"/>
      <c r="C14" s="119"/>
      <c r="D14" s="119"/>
      <c r="E14" s="20"/>
    </row>
    <row r="15" spans="1:16" ht="42.75" customHeight="1" thickBot="1">
      <c r="A15" s="126" t="s">
        <v>19</v>
      </c>
      <c r="B15" s="127"/>
      <c r="C15" s="127"/>
      <c r="D15" s="128"/>
      <c r="E15" s="20"/>
    </row>
    <row r="16" spans="1:16" s="7" customFormat="1" ht="42.75" customHeight="1" thickBot="1">
      <c r="A16" s="123" t="s">
        <v>11</v>
      </c>
      <c r="B16" s="124"/>
      <c r="C16" s="125" t="s">
        <v>603</v>
      </c>
      <c r="D16" s="124"/>
      <c r="E16" s="6"/>
      <c r="J16" s="8"/>
      <c r="K16" s="8"/>
      <c r="L16" s="8"/>
      <c r="M16" s="8"/>
      <c r="N16" s="8"/>
      <c r="O16" s="8"/>
      <c r="P16" s="8"/>
    </row>
    <row r="17" spans="1:16" s="7" customFormat="1" ht="42.75" customHeight="1" thickBot="1">
      <c r="A17" s="1" t="s">
        <v>686</v>
      </c>
      <c r="B17" s="26" t="s">
        <v>1</v>
      </c>
      <c r="C17" s="90" t="s">
        <v>352</v>
      </c>
      <c r="D17" s="91"/>
      <c r="E17" s="6"/>
      <c r="J17" s="8"/>
      <c r="K17" s="8"/>
      <c r="L17" s="8"/>
      <c r="M17" s="8"/>
      <c r="N17" s="8"/>
      <c r="O17" s="8"/>
      <c r="P17" s="8"/>
    </row>
    <row r="18" spans="1:16" s="7" customFormat="1" ht="42.75" customHeight="1" thickBot="1">
      <c r="A18" s="26"/>
      <c r="B18" s="26" t="s">
        <v>0</v>
      </c>
      <c r="C18" s="5" t="s">
        <v>687</v>
      </c>
      <c r="D18" s="4" t="s">
        <v>2</v>
      </c>
      <c r="E18" s="21"/>
      <c r="J18" s="8"/>
      <c r="K18" s="8"/>
      <c r="L18" s="8"/>
      <c r="M18" s="8"/>
      <c r="N18" s="8"/>
      <c r="O18" s="8"/>
      <c r="P18" s="8"/>
    </row>
    <row r="19" spans="1:16" s="7" customFormat="1" ht="42.75" customHeight="1" thickBot="1">
      <c r="A19" s="92">
        <v>3250</v>
      </c>
      <c r="B19" s="93"/>
      <c r="C19" s="94" t="s">
        <v>3</v>
      </c>
      <c r="D19" s="95"/>
      <c r="E19" s="21"/>
      <c r="J19" s="8"/>
      <c r="K19" s="8"/>
      <c r="L19" s="8"/>
      <c r="M19" s="8"/>
      <c r="N19" s="8"/>
      <c r="O19" s="8"/>
      <c r="P19" s="8"/>
    </row>
    <row r="20" spans="1:16" s="7" customFormat="1" ht="42.75" customHeight="1" thickBot="1">
      <c r="A20" s="92">
        <v>3380</v>
      </c>
      <c r="B20" s="93"/>
      <c r="C20" s="96" t="s">
        <v>4</v>
      </c>
      <c r="D20" s="97"/>
      <c r="E20" s="22"/>
      <c r="J20" s="8"/>
      <c r="K20" s="8"/>
      <c r="L20" s="8"/>
      <c r="M20" s="8"/>
      <c r="N20" s="8"/>
      <c r="O20" s="8"/>
      <c r="P20" s="8"/>
    </row>
    <row r="21" spans="1:16" s="7" customFormat="1" ht="42.75" customHeight="1" thickBot="1">
      <c r="A21" s="98">
        <f>A20-A19</f>
        <v>130</v>
      </c>
      <c r="B21" s="99"/>
      <c r="C21" s="100" t="s">
        <v>5</v>
      </c>
      <c r="D21" s="97"/>
      <c r="E21" s="20"/>
      <c r="J21" s="8"/>
      <c r="K21" s="8"/>
      <c r="L21" s="8"/>
      <c r="M21" s="8"/>
      <c r="N21" s="8"/>
      <c r="O21" s="8"/>
      <c r="P21" s="8"/>
    </row>
    <row r="22" spans="1:16" s="7" customFormat="1" ht="42.75" customHeight="1" thickBot="1">
      <c r="A22" s="101">
        <v>40</v>
      </c>
      <c r="B22" s="102"/>
      <c r="C22" s="96" t="s">
        <v>6</v>
      </c>
      <c r="D22" s="97"/>
      <c r="E22" s="20"/>
      <c r="J22" s="8"/>
      <c r="K22" s="8"/>
      <c r="L22" s="8"/>
      <c r="M22" s="8"/>
      <c r="N22" s="8"/>
      <c r="O22" s="8"/>
      <c r="P22" s="8"/>
    </row>
    <row r="23" spans="1:16" s="7" customFormat="1" ht="42.75" customHeight="1" thickBot="1">
      <c r="A23" s="103"/>
      <c r="B23" s="104"/>
      <c r="C23" s="96" t="s">
        <v>21</v>
      </c>
      <c r="D23" s="97"/>
      <c r="E23" s="20"/>
      <c r="J23" s="8"/>
      <c r="K23" s="8"/>
      <c r="L23" s="8"/>
      <c r="M23" s="8"/>
      <c r="N23" s="8"/>
      <c r="O23" s="8"/>
      <c r="P23" s="8"/>
    </row>
    <row r="24" spans="1:16" s="7" customFormat="1" ht="42.75" customHeight="1" thickBot="1">
      <c r="A24" s="105">
        <f>A22*A21</f>
        <v>5200</v>
      </c>
      <c r="B24" s="106"/>
      <c r="C24" s="96" t="s">
        <v>7</v>
      </c>
      <c r="D24" s="97"/>
      <c r="E24" s="20"/>
      <c r="J24" s="8"/>
      <c r="K24" s="8"/>
      <c r="L24" s="8"/>
      <c r="M24" s="8"/>
      <c r="N24" s="8"/>
      <c r="O24" s="8"/>
      <c r="P24" s="8"/>
    </row>
    <row r="25" spans="1:16" s="7" customFormat="1" ht="42.75" customHeight="1" thickBot="1">
      <c r="A25" s="107" t="s">
        <v>17</v>
      </c>
      <c r="B25" s="108"/>
      <c r="C25" s="108"/>
      <c r="D25" s="109"/>
      <c r="E25" s="20"/>
      <c r="J25" s="8"/>
      <c r="K25" s="8"/>
      <c r="L25" s="8"/>
      <c r="M25" s="8"/>
      <c r="N25" s="8"/>
      <c r="O25" s="8"/>
      <c r="P25" s="8"/>
    </row>
    <row r="26" spans="1:16" s="7" customFormat="1" ht="42.75" customHeight="1" thickBot="1">
      <c r="A26" s="110" t="s">
        <v>20</v>
      </c>
      <c r="B26" s="111"/>
      <c r="C26" s="111"/>
      <c r="D26" s="112"/>
      <c r="E26" s="20"/>
      <c r="J26" s="8"/>
      <c r="K26" s="8"/>
      <c r="L26" s="8"/>
      <c r="M26" s="8"/>
      <c r="N26" s="8"/>
      <c r="O26" s="8"/>
      <c r="P26" s="8"/>
    </row>
    <row r="27" spans="1:16" s="7" customFormat="1" ht="42.75" customHeight="1" thickBot="1">
      <c r="A27" s="113" t="s">
        <v>18</v>
      </c>
      <c r="B27" s="114"/>
      <c r="C27" s="114"/>
      <c r="D27" s="115"/>
      <c r="E27" s="20" t="s">
        <v>10</v>
      </c>
      <c r="J27" s="8"/>
      <c r="K27" s="8"/>
      <c r="L27" s="8"/>
      <c r="M27" s="8"/>
      <c r="N27" s="8"/>
      <c r="O27" s="8"/>
      <c r="P27" s="8"/>
    </row>
    <row r="28" spans="1:16" s="7" customFormat="1" ht="42.75" customHeight="1" thickBot="1">
      <c r="A28" s="126" t="s">
        <v>19</v>
      </c>
      <c r="B28" s="127"/>
      <c r="C28" s="127"/>
      <c r="D28" s="128"/>
      <c r="E28" s="20"/>
      <c r="J28" s="8"/>
      <c r="K28" s="8"/>
      <c r="L28" s="8"/>
      <c r="M28" s="8"/>
      <c r="N28" s="8"/>
      <c r="O28" s="8"/>
      <c r="P28" s="8"/>
    </row>
    <row r="29" spans="1:16" s="7" customFormat="1" ht="42.75" customHeight="1" thickBot="1">
      <c r="A29" s="123" t="s">
        <v>11</v>
      </c>
      <c r="B29" s="124"/>
      <c r="C29" s="125" t="s">
        <v>603</v>
      </c>
      <c r="D29" s="124"/>
      <c r="E29" s="20"/>
      <c r="J29" s="8"/>
      <c r="K29" s="8"/>
      <c r="L29" s="8"/>
      <c r="M29" s="8"/>
      <c r="N29" s="8"/>
      <c r="O29" s="8"/>
      <c r="P29" s="8"/>
    </row>
    <row r="30" spans="1:16" s="7" customFormat="1" ht="42.75" customHeight="1" thickBot="1">
      <c r="A30" s="1" t="s">
        <v>686</v>
      </c>
      <c r="B30" s="26" t="s">
        <v>1</v>
      </c>
      <c r="C30" s="90" t="s">
        <v>353</v>
      </c>
      <c r="D30" s="91"/>
      <c r="E30" s="6"/>
      <c r="J30" s="8"/>
      <c r="K30" s="8"/>
      <c r="L30" s="8"/>
      <c r="M30" s="8"/>
      <c r="N30" s="8"/>
      <c r="O30" s="8"/>
      <c r="P30" s="8"/>
    </row>
    <row r="31" spans="1:16" s="7" customFormat="1" ht="42.75" customHeight="1" thickBot="1">
      <c r="A31" s="26"/>
      <c r="B31" s="26" t="s">
        <v>0</v>
      </c>
      <c r="C31" s="5" t="s">
        <v>687</v>
      </c>
      <c r="D31" s="4" t="s">
        <v>2</v>
      </c>
      <c r="E31" s="6"/>
      <c r="J31" s="8"/>
      <c r="K31" s="8"/>
      <c r="L31" s="8"/>
      <c r="M31" s="8"/>
      <c r="N31" s="8"/>
      <c r="O31" s="8"/>
      <c r="P31" s="8"/>
    </row>
    <row r="32" spans="1:16" s="7" customFormat="1" ht="42.75" customHeight="1" thickBot="1">
      <c r="A32" s="92">
        <v>3930</v>
      </c>
      <c r="B32" s="93"/>
      <c r="C32" s="94" t="s">
        <v>3</v>
      </c>
      <c r="D32" s="95"/>
      <c r="E32" s="21"/>
      <c r="J32" s="8"/>
      <c r="K32" s="8"/>
      <c r="L32" s="8"/>
      <c r="M32" s="8"/>
      <c r="N32" s="8"/>
      <c r="O32" s="8"/>
      <c r="P32" s="8"/>
    </row>
    <row r="33" spans="1:16" s="7" customFormat="1" ht="42.75" customHeight="1" thickBot="1">
      <c r="A33" s="92">
        <v>3940</v>
      </c>
      <c r="B33" s="93"/>
      <c r="C33" s="96" t="s">
        <v>4</v>
      </c>
      <c r="D33" s="97"/>
      <c r="E33" s="21"/>
      <c r="J33" s="8"/>
      <c r="K33" s="8"/>
      <c r="L33" s="8"/>
      <c r="M33" s="8"/>
      <c r="N33" s="8"/>
      <c r="O33" s="8"/>
      <c r="P33" s="8"/>
    </row>
    <row r="34" spans="1:16" s="7" customFormat="1" ht="42.75" customHeight="1" thickBot="1">
      <c r="A34" s="98">
        <f>A33-A32</f>
        <v>10</v>
      </c>
      <c r="B34" s="99"/>
      <c r="C34" s="100" t="s">
        <v>5</v>
      </c>
      <c r="D34" s="97"/>
      <c r="E34" s="22"/>
      <c r="J34" s="8"/>
      <c r="K34" s="8"/>
      <c r="L34" s="8"/>
      <c r="M34" s="8"/>
      <c r="N34" s="8"/>
      <c r="O34" s="8"/>
      <c r="P34" s="8"/>
    </row>
    <row r="35" spans="1:16" s="7" customFormat="1" ht="42.75" customHeight="1" thickBot="1">
      <c r="A35" s="101">
        <v>40</v>
      </c>
      <c r="B35" s="102"/>
      <c r="C35" s="96" t="s">
        <v>6</v>
      </c>
      <c r="D35" s="97"/>
      <c r="E35" s="20"/>
      <c r="J35" s="8"/>
      <c r="K35" s="8"/>
      <c r="L35" s="8"/>
      <c r="M35" s="8"/>
      <c r="N35" s="8"/>
      <c r="O35" s="8"/>
      <c r="P35" s="8"/>
    </row>
    <row r="36" spans="1:16" s="7" customFormat="1" ht="42.75" customHeight="1" thickBot="1">
      <c r="A36" s="103"/>
      <c r="B36" s="104"/>
      <c r="C36" s="96" t="s">
        <v>21</v>
      </c>
      <c r="D36" s="97"/>
      <c r="E36" s="20"/>
      <c r="J36" s="8"/>
      <c r="K36" s="8"/>
      <c r="L36" s="8"/>
      <c r="M36" s="8"/>
      <c r="N36" s="8"/>
      <c r="O36" s="8"/>
      <c r="P36" s="8"/>
    </row>
    <row r="37" spans="1:16" s="7" customFormat="1" ht="42.75" customHeight="1" thickBot="1">
      <c r="A37" s="105">
        <f>A35*A34</f>
        <v>400</v>
      </c>
      <c r="B37" s="106"/>
      <c r="C37" s="96" t="s">
        <v>7</v>
      </c>
      <c r="D37" s="97"/>
      <c r="E37" s="20"/>
      <c r="J37" s="8"/>
      <c r="K37" s="8"/>
      <c r="L37" s="8"/>
      <c r="M37" s="8"/>
      <c r="N37" s="8"/>
      <c r="O37" s="8"/>
      <c r="P37" s="8"/>
    </row>
    <row r="38" spans="1:16" s="7" customFormat="1" ht="42.75" customHeight="1" thickBot="1">
      <c r="A38" s="107" t="s">
        <v>17</v>
      </c>
      <c r="B38" s="108"/>
      <c r="C38" s="108"/>
      <c r="D38" s="109"/>
      <c r="E38" s="20"/>
      <c r="J38" s="8"/>
      <c r="K38" s="8"/>
      <c r="L38" s="8"/>
      <c r="M38" s="8"/>
      <c r="N38" s="8"/>
      <c r="O38" s="8"/>
      <c r="P38" s="8"/>
    </row>
    <row r="39" spans="1:16" s="7" customFormat="1" ht="42.75" customHeight="1" thickBot="1">
      <c r="A39" s="116" t="s">
        <v>20</v>
      </c>
      <c r="B39" s="117"/>
      <c r="C39" s="117"/>
      <c r="D39" s="118"/>
      <c r="E39" s="20"/>
      <c r="J39" s="8"/>
      <c r="K39" s="8"/>
      <c r="L39" s="8"/>
      <c r="M39" s="8"/>
      <c r="N39" s="8"/>
      <c r="O39" s="8"/>
      <c r="P39" s="8"/>
    </row>
    <row r="40" spans="1:16" s="7" customFormat="1" ht="42.75" customHeight="1" thickBot="1">
      <c r="A40" s="113" t="s">
        <v>18</v>
      </c>
      <c r="B40" s="114"/>
      <c r="C40" s="114"/>
      <c r="D40" s="115"/>
      <c r="E40" s="20"/>
      <c r="J40" s="8"/>
      <c r="K40" s="8"/>
      <c r="L40" s="8"/>
      <c r="M40" s="8"/>
      <c r="N40" s="8"/>
      <c r="O40" s="8"/>
      <c r="P40" s="8"/>
    </row>
    <row r="41" spans="1:16" s="7" customFormat="1" ht="42.75" customHeight="1" thickBot="1">
      <c r="A41" s="119"/>
      <c r="B41" s="119"/>
      <c r="C41" s="119"/>
      <c r="D41" s="119"/>
      <c r="E41" s="20"/>
      <c r="J41" s="8"/>
      <c r="K41" s="8"/>
      <c r="L41" s="8"/>
      <c r="M41" s="8"/>
      <c r="N41" s="8"/>
      <c r="O41" s="8"/>
      <c r="P41" s="8"/>
    </row>
    <row r="42" spans="1:16" s="7" customFormat="1" ht="42.75" customHeight="1" thickBot="1">
      <c r="A42" s="126" t="s">
        <v>19</v>
      </c>
      <c r="B42" s="127"/>
      <c r="C42" s="127"/>
      <c r="D42" s="128"/>
      <c r="E42" s="20"/>
      <c r="J42" s="8"/>
      <c r="K42" s="8"/>
      <c r="L42" s="8"/>
      <c r="M42" s="8"/>
      <c r="N42" s="8"/>
      <c r="O42" s="8"/>
      <c r="P42" s="8"/>
    </row>
    <row r="43" spans="1:16" s="7" customFormat="1" ht="42.75" customHeight="1" thickBot="1">
      <c r="A43" s="123" t="s">
        <v>11</v>
      </c>
      <c r="B43" s="124"/>
      <c r="C43" s="125" t="s">
        <v>603</v>
      </c>
      <c r="D43" s="124"/>
      <c r="E43" s="20"/>
      <c r="J43" s="8"/>
      <c r="K43" s="8"/>
      <c r="L43" s="8"/>
      <c r="M43" s="8"/>
      <c r="N43" s="8"/>
      <c r="O43" s="8"/>
      <c r="P43" s="8"/>
    </row>
    <row r="44" spans="1:16" s="7" customFormat="1" ht="42.75" customHeight="1" thickBot="1">
      <c r="A44" s="1" t="s">
        <v>686</v>
      </c>
      <c r="B44" s="26" t="s">
        <v>1</v>
      </c>
      <c r="C44" s="90" t="s">
        <v>353</v>
      </c>
      <c r="D44" s="91"/>
      <c r="E44" s="20"/>
      <c r="J44" s="8"/>
      <c r="K44" s="8"/>
      <c r="L44" s="8"/>
      <c r="M44" s="8"/>
      <c r="N44" s="8"/>
      <c r="O44" s="8"/>
      <c r="P44" s="8"/>
    </row>
    <row r="45" spans="1:16" s="7" customFormat="1" ht="42.75" customHeight="1" thickBot="1">
      <c r="A45" s="26"/>
      <c r="B45" s="26" t="s">
        <v>0</v>
      </c>
      <c r="C45" s="5" t="s">
        <v>687</v>
      </c>
      <c r="D45" s="4" t="s">
        <v>2</v>
      </c>
      <c r="E45" s="20"/>
      <c r="J45" s="8"/>
      <c r="K45" s="8"/>
      <c r="L45" s="8"/>
      <c r="M45" s="8"/>
      <c r="N45" s="8"/>
      <c r="O45" s="8"/>
      <c r="P45" s="8"/>
    </row>
    <row r="46" spans="1:16" s="7" customFormat="1" ht="42.75" customHeight="1" thickBot="1">
      <c r="A46" s="92">
        <v>3930</v>
      </c>
      <c r="B46" s="93"/>
      <c r="C46" s="94" t="s">
        <v>3</v>
      </c>
      <c r="D46" s="95"/>
      <c r="E46" s="6"/>
      <c r="J46" s="8"/>
      <c r="K46" s="8"/>
      <c r="L46" s="8"/>
      <c r="M46" s="8"/>
      <c r="N46" s="8"/>
      <c r="O46" s="8"/>
      <c r="P46" s="8"/>
    </row>
    <row r="47" spans="1:16" s="7" customFormat="1" ht="42.75" customHeight="1" thickBot="1">
      <c r="A47" s="92">
        <v>3940</v>
      </c>
      <c r="B47" s="93"/>
      <c r="C47" s="96" t="s">
        <v>4</v>
      </c>
      <c r="D47" s="97"/>
      <c r="E47" s="6"/>
      <c r="J47" s="8"/>
      <c r="K47" s="8"/>
      <c r="L47" s="8"/>
      <c r="M47" s="8"/>
      <c r="N47" s="8"/>
      <c r="O47" s="8"/>
      <c r="P47" s="8"/>
    </row>
    <row r="48" spans="1:16" s="7" customFormat="1" ht="42.75" customHeight="1" thickBot="1">
      <c r="A48" s="98">
        <f>A47-A46</f>
        <v>10</v>
      </c>
      <c r="B48" s="99"/>
      <c r="C48" s="100" t="s">
        <v>5</v>
      </c>
      <c r="D48" s="97"/>
      <c r="E48" s="21"/>
      <c r="J48" s="8"/>
      <c r="K48" s="8"/>
      <c r="L48" s="8"/>
      <c r="M48" s="8"/>
      <c r="N48" s="8"/>
      <c r="O48" s="8"/>
      <c r="P48" s="8"/>
    </row>
    <row r="49" spans="1:16" s="7" customFormat="1" ht="42.75" customHeight="1" thickBot="1">
      <c r="A49" s="101">
        <v>40</v>
      </c>
      <c r="B49" s="102"/>
      <c r="C49" s="96" t="s">
        <v>6</v>
      </c>
      <c r="D49" s="97"/>
      <c r="E49" s="21"/>
      <c r="J49" s="8"/>
      <c r="K49" s="8"/>
      <c r="L49" s="8"/>
      <c r="M49" s="8"/>
      <c r="N49" s="8"/>
      <c r="O49" s="8"/>
      <c r="P49" s="8"/>
    </row>
    <row r="50" spans="1:16" s="7" customFormat="1" ht="42.75" customHeight="1" thickBot="1">
      <c r="A50" s="103"/>
      <c r="B50" s="104"/>
      <c r="C50" s="96" t="s">
        <v>21</v>
      </c>
      <c r="D50" s="97"/>
      <c r="E50" s="22"/>
      <c r="J50" s="8"/>
      <c r="K50" s="8"/>
      <c r="L50" s="8"/>
      <c r="M50" s="8"/>
      <c r="N50" s="8"/>
      <c r="O50" s="8"/>
      <c r="P50" s="8"/>
    </row>
    <row r="51" spans="1:16" s="7" customFormat="1" ht="42.75" customHeight="1" thickBot="1">
      <c r="A51" s="105">
        <f>A49*A48</f>
        <v>400</v>
      </c>
      <c r="B51" s="106"/>
      <c r="C51" s="96" t="s">
        <v>7</v>
      </c>
      <c r="D51" s="97"/>
      <c r="E51" s="20"/>
      <c r="J51" s="8"/>
      <c r="K51" s="8"/>
      <c r="L51" s="8"/>
      <c r="M51" s="8"/>
      <c r="N51" s="8"/>
      <c r="O51" s="8"/>
      <c r="P51" s="8"/>
    </row>
    <row r="52" spans="1:16" s="7" customFormat="1" ht="42.75" customHeight="1" thickBot="1">
      <c r="A52" s="107" t="s">
        <v>17</v>
      </c>
      <c r="B52" s="108"/>
      <c r="C52" s="108"/>
      <c r="D52" s="109"/>
      <c r="E52" s="20"/>
      <c r="J52" s="8"/>
      <c r="K52" s="8"/>
      <c r="L52" s="8"/>
      <c r="M52" s="8"/>
      <c r="N52" s="8"/>
      <c r="O52" s="8"/>
      <c r="P52" s="8"/>
    </row>
    <row r="53" spans="1:16" s="7" customFormat="1" ht="42.75" customHeight="1" thickBot="1">
      <c r="A53" s="110" t="s">
        <v>20</v>
      </c>
      <c r="B53" s="111"/>
      <c r="C53" s="111"/>
      <c r="D53" s="112"/>
      <c r="E53" s="20"/>
      <c r="J53" s="8"/>
      <c r="K53" s="8"/>
      <c r="L53" s="8"/>
      <c r="M53" s="8"/>
      <c r="N53" s="8"/>
      <c r="O53" s="8"/>
      <c r="P53" s="8"/>
    </row>
    <row r="54" spans="1:16" s="7" customFormat="1" ht="42.75" customHeight="1" thickBot="1">
      <c r="A54" s="113" t="s">
        <v>18</v>
      </c>
      <c r="B54" s="114"/>
      <c r="C54" s="114"/>
      <c r="D54" s="115"/>
      <c r="E54" s="20"/>
      <c r="J54" s="8"/>
      <c r="K54" s="8"/>
      <c r="L54" s="8"/>
      <c r="M54" s="8"/>
      <c r="N54" s="8"/>
      <c r="O54" s="8"/>
      <c r="P54" s="8"/>
    </row>
    <row r="55" spans="1:16" s="7" customFormat="1" ht="42.75" customHeight="1" thickBot="1">
      <c r="A55" s="126" t="s">
        <v>19</v>
      </c>
      <c r="B55" s="127"/>
      <c r="C55" s="127"/>
      <c r="D55" s="128"/>
      <c r="E55" s="20"/>
      <c r="J55" s="8"/>
      <c r="K55" s="8"/>
      <c r="L55" s="8"/>
      <c r="M55" s="8"/>
      <c r="N55" s="8"/>
      <c r="O55" s="8"/>
      <c r="P55" s="8"/>
    </row>
    <row r="56" spans="1:16" s="7" customFormat="1" ht="42.75" customHeight="1" thickBot="1">
      <c r="A56" s="123" t="s">
        <v>11</v>
      </c>
      <c r="B56" s="124"/>
      <c r="C56" s="125" t="s">
        <v>603</v>
      </c>
      <c r="D56" s="124"/>
      <c r="E56" s="20"/>
      <c r="J56" s="8"/>
      <c r="K56" s="8"/>
      <c r="L56" s="8"/>
      <c r="M56" s="8"/>
      <c r="N56" s="8"/>
      <c r="O56" s="8"/>
      <c r="P56" s="8"/>
    </row>
    <row r="57" spans="1:16" s="7" customFormat="1" ht="42.75" customHeight="1" thickBot="1">
      <c r="A57" s="1" t="s">
        <v>686</v>
      </c>
      <c r="B57" s="26" t="s">
        <v>1</v>
      </c>
      <c r="C57" s="90" t="s">
        <v>354</v>
      </c>
      <c r="D57" s="91"/>
      <c r="E57" s="20"/>
      <c r="J57" s="8"/>
      <c r="K57" s="8"/>
      <c r="L57" s="8"/>
      <c r="M57" s="8"/>
      <c r="N57" s="8"/>
      <c r="O57" s="8"/>
      <c r="P57" s="8"/>
    </row>
    <row r="58" spans="1:16" s="7" customFormat="1" ht="42.75" customHeight="1" thickBot="1">
      <c r="A58" s="26"/>
      <c r="B58" s="26" t="s">
        <v>0</v>
      </c>
      <c r="C58" s="5" t="s">
        <v>687</v>
      </c>
      <c r="D58" s="4" t="s">
        <v>2</v>
      </c>
      <c r="E58" s="20"/>
      <c r="J58" s="8"/>
      <c r="K58" s="8"/>
      <c r="L58" s="8"/>
      <c r="M58" s="8"/>
      <c r="N58" s="8"/>
      <c r="O58" s="8"/>
      <c r="P58" s="8"/>
    </row>
    <row r="59" spans="1:16" s="7" customFormat="1" ht="42.75" customHeight="1" thickBot="1">
      <c r="A59" s="92">
        <v>1325</v>
      </c>
      <c r="B59" s="93"/>
      <c r="C59" s="94" t="s">
        <v>3</v>
      </c>
      <c r="D59" s="95"/>
      <c r="E59" s="20"/>
      <c r="J59" s="8"/>
      <c r="K59" s="8"/>
      <c r="L59" s="8"/>
      <c r="M59" s="8"/>
      <c r="N59" s="8"/>
      <c r="O59" s="8"/>
      <c r="P59" s="8"/>
    </row>
    <row r="60" spans="1:16" s="7" customFormat="1" ht="42.75" customHeight="1" thickBot="1">
      <c r="A60" s="92">
        <v>1450</v>
      </c>
      <c r="B60" s="93"/>
      <c r="C60" s="96" t="s">
        <v>4</v>
      </c>
      <c r="D60" s="97"/>
      <c r="E60" s="20"/>
      <c r="J60" s="8"/>
      <c r="K60" s="8"/>
      <c r="L60" s="8"/>
      <c r="M60" s="8"/>
      <c r="N60" s="8"/>
      <c r="O60" s="8"/>
      <c r="P60" s="8"/>
    </row>
    <row r="61" spans="1:16" s="7" customFormat="1" ht="42.75" customHeight="1" thickBot="1">
      <c r="A61" s="98">
        <f>A60-A59</f>
        <v>125</v>
      </c>
      <c r="B61" s="99"/>
      <c r="C61" s="100" t="s">
        <v>5</v>
      </c>
      <c r="D61" s="97"/>
      <c r="E61" s="6"/>
      <c r="J61" s="8"/>
      <c r="K61" s="8"/>
      <c r="L61" s="8"/>
      <c r="M61" s="8"/>
      <c r="N61" s="8"/>
      <c r="O61" s="8"/>
      <c r="P61" s="8"/>
    </row>
    <row r="62" spans="1:16" s="7" customFormat="1" ht="42.75" customHeight="1" thickBot="1">
      <c r="A62" s="101">
        <v>40</v>
      </c>
      <c r="B62" s="102"/>
      <c r="C62" s="96" t="s">
        <v>6</v>
      </c>
      <c r="D62" s="97"/>
      <c r="E62" s="6"/>
      <c r="J62" s="8"/>
      <c r="K62" s="8"/>
      <c r="L62" s="8"/>
      <c r="M62" s="8"/>
      <c r="N62" s="8"/>
      <c r="O62" s="8"/>
      <c r="P62" s="8"/>
    </row>
    <row r="63" spans="1:16" s="7" customFormat="1" ht="42.75" customHeight="1" thickBot="1">
      <c r="A63" s="103"/>
      <c r="B63" s="104"/>
      <c r="C63" s="96" t="s">
        <v>21</v>
      </c>
      <c r="D63" s="97"/>
      <c r="E63" s="21"/>
      <c r="J63" s="8"/>
      <c r="K63" s="8"/>
      <c r="L63" s="8"/>
      <c r="M63" s="8"/>
      <c r="N63" s="8"/>
      <c r="O63" s="8"/>
      <c r="P63" s="8"/>
    </row>
    <row r="64" spans="1:16" s="7" customFormat="1" ht="42.75" customHeight="1" thickBot="1">
      <c r="A64" s="105">
        <f>A62*A61</f>
        <v>5000</v>
      </c>
      <c r="B64" s="106"/>
      <c r="C64" s="96" t="s">
        <v>7</v>
      </c>
      <c r="D64" s="97"/>
      <c r="E64" s="21"/>
      <c r="J64" s="8"/>
      <c r="K64" s="8"/>
      <c r="L64" s="8"/>
      <c r="M64" s="8"/>
      <c r="N64" s="8"/>
      <c r="O64" s="8"/>
      <c r="P64" s="8"/>
    </row>
    <row r="65" spans="1:16" s="7" customFormat="1" ht="42.75" customHeight="1" thickBot="1">
      <c r="A65" s="107" t="s">
        <v>17</v>
      </c>
      <c r="B65" s="108"/>
      <c r="C65" s="108"/>
      <c r="D65" s="109"/>
      <c r="E65" s="22"/>
      <c r="J65" s="8"/>
      <c r="K65" s="8"/>
      <c r="L65" s="8"/>
      <c r="M65" s="8"/>
      <c r="N65" s="8"/>
      <c r="O65" s="8"/>
      <c r="P65" s="8"/>
    </row>
    <row r="66" spans="1:16" s="7" customFormat="1" ht="42.75" customHeight="1" thickBot="1">
      <c r="A66" s="116" t="s">
        <v>20</v>
      </c>
      <c r="B66" s="117"/>
      <c r="C66" s="117"/>
      <c r="D66" s="118"/>
      <c r="E66" s="20"/>
      <c r="J66" s="8"/>
      <c r="K66" s="8"/>
      <c r="L66" s="8"/>
      <c r="M66" s="8"/>
      <c r="N66" s="8"/>
      <c r="O66" s="8"/>
      <c r="P66" s="8"/>
    </row>
    <row r="67" spans="1:16" s="7" customFormat="1" ht="42.75" customHeight="1" thickBot="1">
      <c r="A67" s="113" t="s">
        <v>18</v>
      </c>
      <c r="B67" s="114"/>
      <c r="C67" s="114"/>
      <c r="D67" s="115"/>
      <c r="E67" s="20"/>
      <c r="J67" s="8"/>
      <c r="K67" s="8"/>
      <c r="L67" s="8"/>
      <c r="M67" s="8"/>
      <c r="N67" s="8"/>
      <c r="O67" s="8"/>
      <c r="P67" s="8"/>
    </row>
    <row r="68" spans="1:16" s="7" customFormat="1" ht="42.75" customHeight="1" thickBot="1">
      <c r="A68" s="119"/>
      <c r="B68" s="119"/>
      <c r="C68" s="119"/>
      <c r="D68" s="119"/>
      <c r="E68" s="20"/>
      <c r="J68" s="8"/>
      <c r="K68" s="8"/>
      <c r="L68" s="8"/>
      <c r="M68" s="8"/>
      <c r="N68" s="8"/>
      <c r="O68" s="8"/>
      <c r="P68" s="8"/>
    </row>
    <row r="69" spans="1:16" s="7" customFormat="1" ht="42.75" customHeight="1" thickBot="1">
      <c r="A69" s="126" t="s">
        <v>19</v>
      </c>
      <c r="B69" s="127"/>
      <c r="C69" s="127"/>
      <c r="D69" s="128"/>
      <c r="E69" s="20"/>
      <c r="J69" s="8"/>
      <c r="K69" s="8"/>
      <c r="L69" s="8"/>
      <c r="M69" s="8"/>
      <c r="N69" s="8"/>
      <c r="O69" s="8"/>
      <c r="P69" s="8"/>
    </row>
    <row r="70" spans="1:16" s="7" customFormat="1" ht="42.75" customHeight="1" thickBot="1">
      <c r="A70" s="123" t="s">
        <v>11</v>
      </c>
      <c r="B70" s="124"/>
      <c r="C70" s="125" t="s">
        <v>603</v>
      </c>
      <c r="D70" s="124"/>
      <c r="E70" s="20"/>
      <c r="J70" s="8"/>
      <c r="K70" s="8"/>
      <c r="L70" s="8"/>
      <c r="M70" s="8"/>
      <c r="N70" s="8"/>
      <c r="O70" s="8"/>
      <c r="P70" s="8"/>
    </row>
    <row r="71" spans="1:16" s="7" customFormat="1" ht="42.75" customHeight="1" thickBot="1">
      <c r="A71" s="1" t="s">
        <v>686</v>
      </c>
      <c r="B71" s="26" t="s">
        <v>1</v>
      </c>
      <c r="C71" s="90" t="s">
        <v>354</v>
      </c>
      <c r="D71" s="91"/>
      <c r="E71" s="20"/>
      <c r="J71" s="8"/>
      <c r="K71" s="8"/>
      <c r="L71" s="8"/>
      <c r="M71" s="8"/>
      <c r="N71" s="8"/>
      <c r="O71" s="8"/>
      <c r="P71" s="8"/>
    </row>
    <row r="72" spans="1:16" s="7" customFormat="1" ht="42.75" customHeight="1" thickBot="1">
      <c r="A72" s="26"/>
      <c r="B72" s="26" t="s">
        <v>0</v>
      </c>
      <c r="C72" s="5" t="s">
        <v>687</v>
      </c>
      <c r="D72" s="4" t="s">
        <v>2</v>
      </c>
      <c r="E72" s="20"/>
      <c r="J72" s="8"/>
      <c r="K72" s="8"/>
      <c r="L72" s="8"/>
      <c r="M72" s="8"/>
      <c r="N72" s="8"/>
      <c r="O72" s="8"/>
      <c r="P72" s="8"/>
    </row>
    <row r="73" spans="1:16" s="7" customFormat="1" ht="42.75" customHeight="1" thickBot="1">
      <c r="A73" s="92">
        <v>1325</v>
      </c>
      <c r="B73" s="93"/>
      <c r="C73" s="94" t="s">
        <v>3</v>
      </c>
      <c r="D73" s="95"/>
      <c r="E73" s="20"/>
      <c r="J73" s="8"/>
      <c r="K73" s="8"/>
      <c r="L73" s="8"/>
      <c r="M73" s="8"/>
      <c r="N73" s="8"/>
      <c r="O73" s="8"/>
      <c r="P73" s="8"/>
    </row>
    <row r="74" spans="1:16" s="7" customFormat="1" ht="42.75" customHeight="1" thickBot="1">
      <c r="A74" s="92">
        <v>1450</v>
      </c>
      <c r="B74" s="93"/>
      <c r="C74" s="96" t="s">
        <v>4</v>
      </c>
      <c r="D74" s="97"/>
      <c r="E74" s="20"/>
      <c r="J74" s="8"/>
      <c r="K74" s="8"/>
      <c r="L74" s="8"/>
      <c r="M74" s="8"/>
      <c r="N74" s="8"/>
      <c r="O74" s="8"/>
      <c r="P74" s="8"/>
    </row>
    <row r="75" spans="1:16" s="7" customFormat="1" ht="42.75" customHeight="1" thickBot="1">
      <c r="A75" s="98">
        <f>A74-A73</f>
        <v>125</v>
      </c>
      <c r="B75" s="99"/>
      <c r="C75" s="100" t="s">
        <v>5</v>
      </c>
      <c r="D75" s="97"/>
      <c r="E75" s="20"/>
      <c r="J75" s="8"/>
      <c r="K75" s="8"/>
      <c r="L75" s="8"/>
      <c r="M75" s="8"/>
      <c r="N75" s="8"/>
      <c r="O75" s="8"/>
      <c r="P75" s="8"/>
    </row>
    <row r="76" spans="1:16" s="7" customFormat="1" ht="42.75" customHeight="1" thickBot="1">
      <c r="A76" s="101">
        <v>40</v>
      </c>
      <c r="B76" s="102"/>
      <c r="C76" s="96" t="s">
        <v>6</v>
      </c>
      <c r="D76" s="97"/>
      <c r="E76" s="20"/>
      <c r="J76" s="8"/>
      <c r="K76" s="8"/>
      <c r="L76" s="8"/>
      <c r="M76" s="8"/>
      <c r="N76" s="8"/>
      <c r="O76" s="8"/>
      <c r="P76" s="8"/>
    </row>
    <row r="77" spans="1:16" s="7" customFormat="1" ht="42.75" customHeight="1" thickBot="1">
      <c r="A77" s="103"/>
      <c r="B77" s="104"/>
      <c r="C77" s="96" t="s">
        <v>21</v>
      </c>
      <c r="D77" s="97"/>
      <c r="E77" s="6"/>
      <c r="J77" s="8"/>
      <c r="K77" s="8"/>
      <c r="L77" s="8"/>
      <c r="M77" s="8"/>
      <c r="N77" s="8"/>
      <c r="O77" s="8"/>
      <c r="P77" s="8"/>
    </row>
    <row r="78" spans="1:16" s="7" customFormat="1" ht="42.75" customHeight="1" thickBot="1">
      <c r="A78" s="105">
        <f>A76*A75</f>
        <v>5000</v>
      </c>
      <c r="B78" s="106"/>
      <c r="C78" s="96" t="s">
        <v>7</v>
      </c>
      <c r="D78" s="97"/>
      <c r="E78" s="6"/>
      <c r="J78" s="8"/>
      <c r="K78" s="8"/>
      <c r="L78" s="8"/>
      <c r="M78" s="8"/>
      <c r="N78" s="8"/>
      <c r="O78" s="8"/>
      <c r="P78" s="8"/>
    </row>
    <row r="79" spans="1:16" s="7" customFormat="1" ht="42.75" customHeight="1" thickBot="1">
      <c r="A79" s="107" t="s">
        <v>17</v>
      </c>
      <c r="B79" s="108"/>
      <c r="C79" s="108"/>
      <c r="D79" s="109"/>
      <c r="E79" s="21"/>
      <c r="J79" s="8"/>
      <c r="K79" s="8"/>
      <c r="L79" s="8"/>
      <c r="M79" s="8"/>
      <c r="N79" s="8"/>
      <c r="O79" s="8"/>
      <c r="P79" s="8"/>
    </row>
    <row r="80" spans="1:16" s="7" customFormat="1" ht="42.75" customHeight="1" thickBot="1">
      <c r="A80" s="110" t="s">
        <v>20</v>
      </c>
      <c r="B80" s="111"/>
      <c r="C80" s="111"/>
      <c r="D80" s="112"/>
      <c r="E80" s="21"/>
      <c r="J80" s="8"/>
      <c r="K80" s="8"/>
      <c r="L80" s="8"/>
      <c r="M80" s="8"/>
      <c r="N80" s="8"/>
      <c r="O80" s="8"/>
      <c r="P80" s="8"/>
    </row>
    <row r="81" spans="1:16" s="7" customFormat="1" ht="42.75" customHeight="1" thickBot="1">
      <c r="A81" s="113" t="s">
        <v>18</v>
      </c>
      <c r="B81" s="114"/>
      <c r="C81" s="114"/>
      <c r="D81" s="115"/>
      <c r="E81" s="22"/>
      <c r="J81" s="8"/>
      <c r="K81" s="8"/>
      <c r="L81" s="8"/>
      <c r="M81" s="8"/>
      <c r="N81" s="8"/>
      <c r="O81" s="8"/>
      <c r="P81" s="8"/>
    </row>
    <row r="82" spans="1:16" ht="42.75" customHeight="1" thickBot="1">
      <c r="A82" s="126" t="s">
        <v>19</v>
      </c>
      <c r="B82" s="127"/>
      <c r="C82" s="127"/>
      <c r="D82" s="128"/>
    </row>
    <row r="83" spans="1:16" ht="42.75" customHeight="1" thickBot="1">
      <c r="A83" s="123" t="s">
        <v>11</v>
      </c>
      <c r="B83" s="124"/>
      <c r="C83" s="125" t="s">
        <v>603</v>
      </c>
      <c r="D83" s="124"/>
    </row>
    <row r="84" spans="1:16" ht="42.75" customHeight="1" thickBot="1">
      <c r="A84" s="1" t="s">
        <v>686</v>
      </c>
      <c r="B84" s="26" t="s">
        <v>1</v>
      </c>
      <c r="C84" s="90" t="s">
        <v>355</v>
      </c>
      <c r="D84" s="91"/>
    </row>
    <row r="85" spans="1:16" ht="42.75" customHeight="1" thickBot="1">
      <c r="A85" s="26"/>
      <c r="B85" s="26" t="s">
        <v>0</v>
      </c>
      <c r="C85" s="5" t="s">
        <v>687</v>
      </c>
      <c r="D85" s="4" t="s">
        <v>2</v>
      </c>
    </row>
    <row r="86" spans="1:16" ht="42.75" customHeight="1" thickBot="1">
      <c r="A86" s="92">
        <v>4005</v>
      </c>
      <c r="B86" s="93"/>
      <c r="C86" s="94" t="s">
        <v>3</v>
      </c>
      <c r="D86" s="95"/>
    </row>
    <row r="87" spans="1:16" ht="42.75" customHeight="1" thickBot="1">
      <c r="A87" s="92">
        <v>4080</v>
      </c>
      <c r="B87" s="93"/>
      <c r="C87" s="96" t="s">
        <v>4</v>
      </c>
      <c r="D87" s="97"/>
    </row>
    <row r="88" spans="1:16" ht="42.75" customHeight="1" thickBot="1">
      <c r="A88" s="98">
        <f>A87-A86</f>
        <v>75</v>
      </c>
      <c r="B88" s="99"/>
      <c r="C88" s="100" t="s">
        <v>5</v>
      </c>
      <c r="D88" s="97"/>
    </row>
    <row r="89" spans="1:16" ht="42.75" customHeight="1" thickBot="1">
      <c r="A89" s="101">
        <v>40</v>
      </c>
      <c r="B89" s="102"/>
      <c r="C89" s="96" t="s">
        <v>6</v>
      </c>
      <c r="D89" s="97"/>
    </row>
    <row r="90" spans="1:16" ht="42.75" customHeight="1" thickBot="1">
      <c r="A90" s="103"/>
      <c r="B90" s="104"/>
      <c r="C90" s="96" t="s">
        <v>21</v>
      </c>
      <c r="D90" s="97"/>
    </row>
    <row r="91" spans="1:16" ht="42.75" customHeight="1" thickBot="1">
      <c r="A91" s="105">
        <f>A89*A88</f>
        <v>3000</v>
      </c>
      <c r="B91" s="106"/>
      <c r="C91" s="96" t="s">
        <v>7</v>
      </c>
      <c r="D91" s="97"/>
    </row>
    <row r="92" spans="1:16" ht="42.75" customHeight="1" thickBot="1">
      <c r="A92" s="107" t="s">
        <v>17</v>
      </c>
      <c r="B92" s="108"/>
      <c r="C92" s="108"/>
      <c r="D92" s="109"/>
    </row>
    <row r="93" spans="1:16" ht="42.75" customHeight="1" thickBot="1">
      <c r="A93" s="116" t="s">
        <v>20</v>
      </c>
      <c r="B93" s="117"/>
      <c r="C93" s="117"/>
      <c r="D93" s="118"/>
    </row>
    <row r="94" spans="1:16" ht="42.75" customHeight="1" thickBot="1">
      <c r="A94" s="113" t="s">
        <v>18</v>
      </c>
      <c r="B94" s="114"/>
      <c r="C94" s="114"/>
      <c r="D94" s="115"/>
    </row>
    <row r="95" spans="1:16" ht="42.75" customHeight="1" thickBot="1">
      <c r="A95" s="119"/>
      <c r="B95" s="119"/>
      <c r="C95" s="119"/>
      <c r="D95" s="119"/>
    </row>
    <row r="96" spans="1:16" ht="42.75" customHeight="1" thickBot="1">
      <c r="A96" s="126" t="s">
        <v>19</v>
      </c>
      <c r="B96" s="127"/>
      <c r="C96" s="127"/>
      <c r="D96" s="128"/>
    </row>
    <row r="97" spans="1:4" ht="42.75" customHeight="1" thickBot="1">
      <c r="A97" s="123" t="s">
        <v>11</v>
      </c>
      <c r="B97" s="124"/>
      <c r="C97" s="125" t="s">
        <v>603</v>
      </c>
      <c r="D97" s="124"/>
    </row>
    <row r="98" spans="1:4" ht="42.75" customHeight="1" thickBot="1">
      <c r="A98" s="1" t="s">
        <v>686</v>
      </c>
      <c r="B98" s="26" t="s">
        <v>1</v>
      </c>
      <c r="C98" s="90" t="s">
        <v>355</v>
      </c>
      <c r="D98" s="91"/>
    </row>
    <row r="99" spans="1:4" ht="42.75" customHeight="1" thickBot="1">
      <c r="A99" s="26"/>
      <c r="B99" s="26" t="s">
        <v>0</v>
      </c>
      <c r="C99" s="5" t="s">
        <v>687</v>
      </c>
      <c r="D99" s="4" t="s">
        <v>2</v>
      </c>
    </row>
    <row r="100" spans="1:4" ht="42.75" customHeight="1" thickBot="1">
      <c r="A100" s="92">
        <v>4005</v>
      </c>
      <c r="B100" s="93"/>
      <c r="C100" s="94" t="s">
        <v>3</v>
      </c>
      <c r="D100" s="95"/>
    </row>
    <row r="101" spans="1:4" ht="42.75" customHeight="1" thickBot="1">
      <c r="A101" s="92">
        <v>4080</v>
      </c>
      <c r="B101" s="93"/>
      <c r="C101" s="96" t="s">
        <v>4</v>
      </c>
      <c r="D101" s="97"/>
    </row>
    <row r="102" spans="1:4" ht="42.75" customHeight="1" thickBot="1">
      <c r="A102" s="98">
        <f>A101-A100</f>
        <v>75</v>
      </c>
      <c r="B102" s="99"/>
      <c r="C102" s="100" t="s">
        <v>5</v>
      </c>
      <c r="D102" s="97"/>
    </row>
    <row r="103" spans="1:4" ht="42.75" customHeight="1" thickBot="1">
      <c r="A103" s="101">
        <v>40</v>
      </c>
      <c r="B103" s="102"/>
      <c r="C103" s="96" t="s">
        <v>6</v>
      </c>
      <c r="D103" s="97"/>
    </row>
    <row r="104" spans="1:4" ht="42.75" customHeight="1" thickBot="1">
      <c r="A104" s="103"/>
      <c r="B104" s="104"/>
      <c r="C104" s="96" t="s">
        <v>21</v>
      </c>
      <c r="D104" s="97"/>
    </row>
    <row r="105" spans="1:4" ht="42.75" customHeight="1" thickBot="1">
      <c r="A105" s="105">
        <f>A103*A102</f>
        <v>3000</v>
      </c>
      <c r="B105" s="106"/>
      <c r="C105" s="96" t="s">
        <v>7</v>
      </c>
      <c r="D105" s="97"/>
    </row>
    <row r="106" spans="1:4" ht="42.75" customHeight="1" thickBot="1">
      <c r="A106" s="107" t="s">
        <v>17</v>
      </c>
      <c r="B106" s="108"/>
      <c r="C106" s="108"/>
      <c r="D106" s="109"/>
    </row>
    <row r="107" spans="1:4" ht="42.75" customHeight="1" thickBot="1">
      <c r="A107" s="110" t="s">
        <v>20</v>
      </c>
      <c r="B107" s="111"/>
      <c r="C107" s="111"/>
      <c r="D107" s="112"/>
    </row>
    <row r="108" spans="1:4" ht="42.75" customHeight="1" thickBot="1">
      <c r="A108" s="113" t="s">
        <v>18</v>
      </c>
      <c r="B108" s="114"/>
      <c r="C108" s="114"/>
      <c r="D108" s="115"/>
    </row>
    <row r="109" spans="1:4" ht="42.75" customHeight="1" thickBot="1">
      <c r="A109" s="126" t="s">
        <v>19</v>
      </c>
      <c r="B109" s="127"/>
      <c r="C109" s="127"/>
      <c r="D109" s="128"/>
    </row>
    <row r="110" spans="1:4" ht="42.75" customHeight="1" thickBot="1">
      <c r="A110" s="123" t="s">
        <v>11</v>
      </c>
      <c r="B110" s="124"/>
      <c r="C110" s="125" t="s">
        <v>603</v>
      </c>
      <c r="D110" s="124"/>
    </row>
    <row r="111" spans="1:4" ht="42.75" customHeight="1" thickBot="1">
      <c r="A111" s="1" t="s">
        <v>686</v>
      </c>
      <c r="B111" s="26" t="s">
        <v>1</v>
      </c>
      <c r="C111" s="90" t="s">
        <v>87</v>
      </c>
      <c r="D111" s="91"/>
    </row>
    <row r="112" spans="1:4" ht="42.75" customHeight="1" thickBot="1">
      <c r="A112" s="26"/>
      <c r="B112" s="26" t="s">
        <v>0</v>
      </c>
      <c r="C112" s="5" t="s">
        <v>687</v>
      </c>
      <c r="D112" s="4" t="s">
        <v>2</v>
      </c>
    </row>
    <row r="113" spans="1:4" ht="42.75" customHeight="1" thickBot="1">
      <c r="A113" s="92">
        <v>2102</v>
      </c>
      <c r="B113" s="93"/>
      <c r="C113" s="94" t="s">
        <v>3</v>
      </c>
      <c r="D113" s="95"/>
    </row>
    <row r="114" spans="1:4" ht="42.75" customHeight="1" thickBot="1">
      <c r="A114" s="92">
        <v>2120</v>
      </c>
      <c r="B114" s="93"/>
      <c r="C114" s="96" t="s">
        <v>4</v>
      </c>
      <c r="D114" s="97"/>
    </row>
    <row r="115" spans="1:4" ht="42.75" customHeight="1" thickBot="1">
      <c r="A115" s="98">
        <f>A114-A113</f>
        <v>18</v>
      </c>
      <c r="B115" s="99"/>
      <c r="C115" s="100" t="s">
        <v>5</v>
      </c>
      <c r="D115" s="97"/>
    </row>
    <row r="116" spans="1:4" ht="42.75" customHeight="1" thickBot="1">
      <c r="A116" s="101">
        <v>40</v>
      </c>
      <c r="B116" s="102"/>
      <c r="C116" s="96" t="s">
        <v>6</v>
      </c>
      <c r="D116" s="97"/>
    </row>
    <row r="117" spans="1:4" ht="42.75" customHeight="1" thickBot="1">
      <c r="A117" s="103"/>
      <c r="B117" s="104"/>
      <c r="C117" s="96" t="s">
        <v>21</v>
      </c>
      <c r="D117" s="97"/>
    </row>
    <row r="118" spans="1:4" ht="42.75" customHeight="1" thickBot="1">
      <c r="A118" s="105">
        <v>700</v>
      </c>
      <c r="B118" s="106"/>
      <c r="C118" s="96" t="s">
        <v>7</v>
      </c>
      <c r="D118" s="97"/>
    </row>
    <row r="119" spans="1:4" ht="42.75" customHeight="1" thickBot="1">
      <c r="A119" s="107" t="s">
        <v>17</v>
      </c>
      <c r="B119" s="108"/>
      <c r="C119" s="108"/>
      <c r="D119" s="109"/>
    </row>
    <row r="120" spans="1:4" ht="42.75" customHeight="1" thickBot="1">
      <c r="A120" s="116" t="s">
        <v>20</v>
      </c>
      <c r="B120" s="117"/>
      <c r="C120" s="117"/>
      <c r="D120" s="118"/>
    </row>
    <row r="121" spans="1:4" ht="42.75" customHeight="1" thickBot="1">
      <c r="A121" s="113" t="s">
        <v>18</v>
      </c>
      <c r="B121" s="114"/>
      <c r="C121" s="114"/>
      <c r="D121" s="115"/>
    </row>
    <row r="122" spans="1:4" ht="42.75" customHeight="1" thickBot="1">
      <c r="A122" s="119"/>
      <c r="B122" s="119"/>
      <c r="C122" s="119"/>
      <c r="D122" s="119"/>
    </row>
    <row r="123" spans="1:4" ht="42.75" customHeight="1" thickBot="1">
      <c r="A123" s="126" t="s">
        <v>19</v>
      </c>
      <c r="B123" s="127"/>
      <c r="C123" s="127"/>
      <c r="D123" s="128"/>
    </row>
    <row r="124" spans="1:4" ht="42.75" customHeight="1" thickBot="1">
      <c r="A124" s="123" t="s">
        <v>11</v>
      </c>
      <c r="B124" s="124"/>
      <c r="C124" s="125" t="s">
        <v>603</v>
      </c>
      <c r="D124" s="124"/>
    </row>
    <row r="125" spans="1:4" ht="42.75" customHeight="1" thickBot="1">
      <c r="A125" s="1" t="s">
        <v>686</v>
      </c>
      <c r="B125" s="26" t="s">
        <v>1</v>
      </c>
      <c r="C125" s="90" t="s">
        <v>87</v>
      </c>
      <c r="D125" s="91"/>
    </row>
    <row r="126" spans="1:4" ht="42.75" customHeight="1" thickBot="1">
      <c r="A126" s="26"/>
      <c r="B126" s="26" t="s">
        <v>0</v>
      </c>
      <c r="C126" s="5" t="s">
        <v>687</v>
      </c>
      <c r="D126" s="4" t="s">
        <v>2</v>
      </c>
    </row>
    <row r="127" spans="1:4" ht="42.75" customHeight="1" thickBot="1">
      <c r="A127" s="92">
        <v>2102</v>
      </c>
      <c r="B127" s="93"/>
      <c r="C127" s="94" t="s">
        <v>3</v>
      </c>
      <c r="D127" s="95"/>
    </row>
    <row r="128" spans="1:4" ht="42.75" customHeight="1" thickBot="1">
      <c r="A128" s="92">
        <v>2120</v>
      </c>
      <c r="B128" s="93"/>
      <c r="C128" s="96" t="s">
        <v>4</v>
      </c>
      <c r="D128" s="97"/>
    </row>
    <row r="129" spans="1:4" ht="42.75" customHeight="1" thickBot="1">
      <c r="A129" s="98">
        <f>A128-A127</f>
        <v>18</v>
      </c>
      <c r="B129" s="99"/>
      <c r="C129" s="100" t="s">
        <v>5</v>
      </c>
      <c r="D129" s="97"/>
    </row>
    <row r="130" spans="1:4" ht="42.75" customHeight="1" thickBot="1">
      <c r="A130" s="101">
        <v>40</v>
      </c>
      <c r="B130" s="102"/>
      <c r="C130" s="96" t="s">
        <v>6</v>
      </c>
      <c r="D130" s="97"/>
    </row>
    <row r="131" spans="1:4" ht="42.75" customHeight="1" thickBot="1">
      <c r="A131" s="103"/>
      <c r="B131" s="104"/>
      <c r="C131" s="96" t="s">
        <v>21</v>
      </c>
      <c r="D131" s="97"/>
    </row>
    <row r="132" spans="1:4" ht="42.75" customHeight="1" thickBot="1">
      <c r="A132" s="105">
        <v>700</v>
      </c>
      <c r="B132" s="106"/>
      <c r="C132" s="96" t="s">
        <v>7</v>
      </c>
      <c r="D132" s="97"/>
    </row>
    <row r="133" spans="1:4" ht="42.75" customHeight="1" thickBot="1">
      <c r="A133" s="107" t="s">
        <v>17</v>
      </c>
      <c r="B133" s="108"/>
      <c r="C133" s="108"/>
      <c r="D133" s="109"/>
    </row>
    <row r="134" spans="1:4" ht="42.75" customHeight="1" thickBot="1">
      <c r="A134" s="110" t="s">
        <v>20</v>
      </c>
      <c r="B134" s="111"/>
      <c r="C134" s="111"/>
      <c r="D134" s="112"/>
    </row>
    <row r="135" spans="1:4" ht="42.75" customHeight="1" thickBot="1">
      <c r="A135" s="113" t="s">
        <v>18</v>
      </c>
      <c r="B135" s="114"/>
      <c r="C135" s="114"/>
      <c r="D135" s="115"/>
    </row>
    <row r="136" spans="1:4" ht="42.75" customHeight="1" thickBot="1">
      <c r="A136" s="126" t="s">
        <v>19</v>
      </c>
      <c r="B136" s="127"/>
      <c r="C136" s="127"/>
      <c r="D136" s="128"/>
    </row>
    <row r="137" spans="1:4" ht="42.75" customHeight="1" thickBot="1">
      <c r="A137" s="123" t="s">
        <v>11</v>
      </c>
      <c r="B137" s="124"/>
      <c r="C137" s="125" t="s">
        <v>603</v>
      </c>
      <c r="D137" s="124"/>
    </row>
    <row r="138" spans="1:4" ht="42.75" customHeight="1" thickBot="1">
      <c r="A138" s="1" t="s">
        <v>686</v>
      </c>
      <c r="B138" s="26" t="s">
        <v>1</v>
      </c>
      <c r="C138" s="90" t="s">
        <v>173</v>
      </c>
      <c r="D138" s="91"/>
    </row>
    <row r="139" spans="1:4" ht="42.75" customHeight="1" thickBot="1">
      <c r="A139" s="26"/>
      <c r="B139" s="26" t="s">
        <v>0</v>
      </c>
      <c r="C139" s="5" t="s">
        <v>687</v>
      </c>
      <c r="D139" s="4" t="s">
        <v>2</v>
      </c>
    </row>
    <row r="140" spans="1:4" ht="42.75" customHeight="1" thickBot="1">
      <c r="A140" s="92">
        <v>1155</v>
      </c>
      <c r="B140" s="93"/>
      <c r="C140" s="94" t="s">
        <v>3</v>
      </c>
      <c r="D140" s="95"/>
    </row>
    <row r="141" spans="1:4" ht="42.75" customHeight="1" thickBot="1">
      <c r="A141" s="92">
        <v>1170</v>
      </c>
      <c r="B141" s="93"/>
      <c r="C141" s="96" t="s">
        <v>4</v>
      </c>
      <c r="D141" s="97"/>
    </row>
    <row r="142" spans="1:4" ht="42.75" customHeight="1" thickBot="1">
      <c r="A142" s="98">
        <f>A141-A140</f>
        <v>15</v>
      </c>
      <c r="B142" s="99"/>
      <c r="C142" s="100" t="s">
        <v>5</v>
      </c>
      <c r="D142" s="97"/>
    </row>
    <row r="143" spans="1:4" ht="42.75" customHeight="1" thickBot="1">
      <c r="A143" s="101">
        <v>40</v>
      </c>
      <c r="B143" s="102"/>
      <c r="C143" s="96" t="s">
        <v>6</v>
      </c>
      <c r="D143" s="97"/>
    </row>
    <row r="144" spans="1:4" ht="42.75" customHeight="1" thickBot="1">
      <c r="A144" s="103"/>
      <c r="B144" s="104"/>
      <c r="C144" s="96" t="s">
        <v>21</v>
      </c>
      <c r="D144" s="97"/>
    </row>
    <row r="145" spans="1:4" ht="42.75" customHeight="1" thickBot="1">
      <c r="A145" s="105">
        <f>A143*A142</f>
        <v>600</v>
      </c>
      <c r="B145" s="106"/>
      <c r="C145" s="96" t="s">
        <v>7</v>
      </c>
      <c r="D145" s="97"/>
    </row>
    <row r="146" spans="1:4" ht="42.75" customHeight="1" thickBot="1">
      <c r="A146" s="107" t="s">
        <v>17</v>
      </c>
      <c r="B146" s="108"/>
      <c r="C146" s="108"/>
      <c r="D146" s="109"/>
    </row>
    <row r="147" spans="1:4" ht="42.75" customHeight="1" thickBot="1">
      <c r="A147" s="116" t="s">
        <v>20</v>
      </c>
      <c r="B147" s="117"/>
      <c r="C147" s="117"/>
      <c r="D147" s="118"/>
    </row>
    <row r="148" spans="1:4" ht="42.75" customHeight="1" thickBot="1">
      <c r="A148" s="113" t="s">
        <v>18</v>
      </c>
      <c r="B148" s="114"/>
      <c r="C148" s="114"/>
      <c r="D148" s="115"/>
    </row>
    <row r="149" spans="1:4" ht="42.75" customHeight="1" thickBot="1">
      <c r="A149" s="119"/>
      <c r="B149" s="119"/>
      <c r="C149" s="119"/>
      <c r="D149" s="119"/>
    </row>
    <row r="150" spans="1:4" ht="42.75" customHeight="1" thickBot="1">
      <c r="A150" s="126" t="s">
        <v>19</v>
      </c>
      <c r="B150" s="127"/>
      <c r="C150" s="127"/>
      <c r="D150" s="128"/>
    </row>
    <row r="151" spans="1:4" ht="42.75" customHeight="1" thickBot="1">
      <c r="A151" s="123" t="s">
        <v>11</v>
      </c>
      <c r="B151" s="124"/>
      <c r="C151" s="125" t="s">
        <v>603</v>
      </c>
      <c r="D151" s="124"/>
    </row>
    <row r="152" spans="1:4" ht="42.75" customHeight="1" thickBot="1">
      <c r="A152" s="1" t="s">
        <v>686</v>
      </c>
      <c r="B152" s="26" t="s">
        <v>1</v>
      </c>
      <c r="C152" s="90" t="s">
        <v>173</v>
      </c>
      <c r="D152" s="91"/>
    </row>
    <row r="153" spans="1:4" ht="42.75" customHeight="1" thickBot="1">
      <c r="A153" s="26"/>
      <c r="B153" s="26" t="s">
        <v>0</v>
      </c>
      <c r="C153" s="5" t="s">
        <v>687</v>
      </c>
      <c r="D153" s="4" t="s">
        <v>2</v>
      </c>
    </row>
    <row r="154" spans="1:4" ht="42.75" customHeight="1" thickBot="1">
      <c r="A154" s="92">
        <v>1155</v>
      </c>
      <c r="B154" s="93"/>
      <c r="C154" s="94" t="s">
        <v>3</v>
      </c>
      <c r="D154" s="95"/>
    </row>
    <row r="155" spans="1:4" ht="42.75" customHeight="1" thickBot="1">
      <c r="A155" s="92">
        <v>1170</v>
      </c>
      <c r="B155" s="93"/>
      <c r="C155" s="96" t="s">
        <v>4</v>
      </c>
      <c r="D155" s="97"/>
    </row>
    <row r="156" spans="1:4" ht="42.75" customHeight="1" thickBot="1">
      <c r="A156" s="98">
        <f>A155-A154</f>
        <v>15</v>
      </c>
      <c r="B156" s="99"/>
      <c r="C156" s="100" t="s">
        <v>5</v>
      </c>
      <c r="D156" s="97"/>
    </row>
    <row r="157" spans="1:4" ht="42.75" customHeight="1" thickBot="1">
      <c r="A157" s="101">
        <v>40</v>
      </c>
      <c r="B157" s="102"/>
      <c r="C157" s="96" t="s">
        <v>6</v>
      </c>
      <c r="D157" s="97"/>
    </row>
    <row r="158" spans="1:4" ht="42.75" customHeight="1" thickBot="1">
      <c r="A158" s="103"/>
      <c r="B158" s="104"/>
      <c r="C158" s="96" t="s">
        <v>21</v>
      </c>
      <c r="D158" s="97"/>
    </row>
    <row r="159" spans="1:4" ht="42.75" customHeight="1" thickBot="1">
      <c r="A159" s="105">
        <f>A157*A156</f>
        <v>600</v>
      </c>
      <c r="B159" s="106"/>
      <c r="C159" s="96" t="s">
        <v>7</v>
      </c>
      <c r="D159" s="97"/>
    </row>
    <row r="160" spans="1:4" ht="42.75" customHeight="1" thickBot="1">
      <c r="A160" s="107" t="s">
        <v>17</v>
      </c>
      <c r="B160" s="108"/>
      <c r="C160" s="108"/>
      <c r="D160" s="109"/>
    </row>
    <row r="161" spans="1:4" ht="42.75" customHeight="1" thickBot="1">
      <c r="A161" s="110" t="s">
        <v>20</v>
      </c>
      <c r="B161" s="111"/>
      <c r="C161" s="111"/>
      <c r="D161" s="112"/>
    </row>
    <row r="162" spans="1:4" ht="42.75" customHeight="1" thickBot="1">
      <c r="A162" s="113" t="s">
        <v>18</v>
      </c>
      <c r="B162" s="114"/>
      <c r="C162" s="114"/>
      <c r="D162" s="115"/>
    </row>
    <row r="163" spans="1:4" ht="42.75" customHeight="1" thickBot="1">
      <c r="A163" s="126" t="s">
        <v>19</v>
      </c>
      <c r="B163" s="127"/>
      <c r="C163" s="127"/>
      <c r="D163" s="128"/>
    </row>
    <row r="164" spans="1:4" ht="42.75" customHeight="1" thickBot="1">
      <c r="A164" s="123" t="s">
        <v>11</v>
      </c>
      <c r="B164" s="124"/>
      <c r="C164" s="125" t="s">
        <v>603</v>
      </c>
      <c r="D164" s="124"/>
    </row>
    <row r="165" spans="1:4" ht="42.75" customHeight="1" thickBot="1">
      <c r="A165" s="1" t="s">
        <v>686</v>
      </c>
      <c r="B165" s="26" t="s">
        <v>1</v>
      </c>
      <c r="C165" s="90" t="s">
        <v>356</v>
      </c>
      <c r="D165" s="91"/>
    </row>
    <row r="166" spans="1:4" ht="42.75" customHeight="1" thickBot="1">
      <c r="A166" s="26"/>
      <c r="B166" s="26" t="s">
        <v>0</v>
      </c>
      <c r="C166" s="5" t="s">
        <v>687</v>
      </c>
      <c r="D166" s="4" t="s">
        <v>2</v>
      </c>
    </row>
    <row r="167" spans="1:4" ht="42.75" customHeight="1" thickBot="1">
      <c r="A167" s="92">
        <v>374</v>
      </c>
      <c r="B167" s="93"/>
      <c r="C167" s="94" t="s">
        <v>3</v>
      </c>
      <c r="D167" s="95"/>
    </row>
    <row r="168" spans="1:4" ht="42.75" customHeight="1" thickBot="1">
      <c r="A168" s="92">
        <v>376</v>
      </c>
      <c r="B168" s="93"/>
      <c r="C168" s="96" t="s">
        <v>4</v>
      </c>
      <c r="D168" s="97"/>
    </row>
    <row r="169" spans="1:4" ht="42.75" customHeight="1" thickBot="1">
      <c r="A169" s="98">
        <v>8</v>
      </c>
      <c r="B169" s="99"/>
      <c r="C169" s="100" t="s">
        <v>5</v>
      </c>
      <c r="D169" s="97"/>
    </row>
    <row r="170" spans="1:4" ht="42.75" customHeight="1" thickBot="1">
      <c r="A170" s="101">
        <v>40</v>
      </c>
      <c r="B170" s="102"/>
      <c r="C170" s="96" t="s">
        <v>6</v>
      </c>
      <c r="D170" s="97"/>
    </row>
    <row r="171" spans="1:4" ht="42.75" customHeight="1" thickBot="1">
      <c r="A171" s="103"/>
      <c r="B171" s="104"/>
      <c r="C171" s="96" t="s">
        <v>21</v>
      </c>
      <c r="D171" s="97"/>
    </row>
    <row r="172" spans="1:4" ht="42.75" customHeight="1" thickBot="1">
      <c r="A172" s="105">
        <v>300</v>
      </c>
      <c r="B172" s="106"/>
      <c r="C172" s="96" t="s">
        <v>7</v>
      </c>
      <c r="D172" s="97"/>
    </row>
    <row r="173" spans="1:4" ht="42.75" customHeight="1" thickBot="1">
      <c r="A173" s="107" t="s">
        <v>17</v>
      </c>
      <c r="B173" s="108"/>
      <c r="C173" s="108"/>
      <c r="D173" s="109"/>
    </row>
    <row r="174" spans="1:4" ht="42.75" customHeight="1" thickBot="1">
      <c r="A174" s="116" t="s">
        <v>20</v>
      </c>
      <c r="B174" s="117"/>
      <c r="C174" s="117"/>
      <c r="D174" s="118"/>
    </row>
    <row r="175" spans="1:4" ht="42.75" customHeight="1" thickBot="1">
      <c r="A175" s="113" t="s">
        <v>18</v>
      </c>
      <c r="B175" s="114"/>
      <c r="C175" s="114"/>
      <c r="D175" s="115"/>
    </row>
    <row r="176" spans="1:4" ht="42.75" customHeight="1" thickBot="1">
      <c r="A176" s="119"/>
      <c r="B176" s="119"/>
      <c r="C176" s="119"/>
      <c r="D176" s="119"/>
    </row>
    <row r="177" spans="1:4" ht="42.75" customHeight="1" thickBot="1">
      <c r="A177" s="126" t="s">
        <v>19</v>
      </c>
      <c r="B177" s="127"/>
      <c r="C177" s="127"/>
      <c r="D177" s="128"/>
    </row>
    <row r="178" spans="1:4" ht="42.75" customHeight="1" thickBot="1">
      <c r="A178" s="123" t="s">
        <v>11</v>
      </c>
      <c r="B178" s="124"/>
      <c r="C178" s="125" t="s">
        <v>603</v>
      </c>
      <c r="D178" s="124"/>
    </row>
    <row r="179" spans="1:4" ht="42.75" customHeight="1" thickBot="1">
      <c r="A179" s="1" t="s">
        <v>686</v>
      </c>
      <c r="B179" s="26" t="s">
        <v>1</v>
      </c>
      <c r="C179" s="90" t="s">
        <v>356</v>
      </c>
      <c r="D179" s="91"/>
    </row>
    <row r="180" spans="1:4" ht="42.75" customHeight="1" thickBot="1">
      <c r="A180" s="26"/>
      <c r="B180" s="26" t="s">
        <v>0</v>
      </c>
      <c r="C180" s="5" t="s">
        <v>687</v>
      </c>
      <c r="D180" s="4" t="s">
        <v>2</v>
      </c>
    </row>
    <row r="181" spans="1:4" ht="42.75" customHeight="1" thickBot="1">
      <c r="A181" s="92">
        <v>374</v>
      </c>
      <c r="B181" s="93"/>
      <c r="C181" s="94" t="s">
        <v>3</v>
      </c>
      <c r="D181" s="95"/>
    </row>
    <row r="182" spans="1:4" ht="42.75" customHeight="1" thickBot="1">
      <c r="A182" s="92">
        <v>376</v>
      </c>
      <c r="B182" s="93"/>
      <c r="C182" s="96" t="s">
        <v>4</v>
      </c>
      <c r="D182" s="97"/>
    </row>
    <row r="183" spans="1:4" ht="42.75" customHeight="1" thickBot="1">
      <c r="A183" s="98">
        <v>8</v>
      </c>
      <c r="B183" s="99"/>
      <c r="C183" s="100" t="s">
        <v>5</v>
      </c>
      <c r="D183" s="97"/>
    </row>
    <row r="184" spans="1:4" ht="42.75" customHeight="1" thickBot="1">
      <c r="A184" s="101">
        <v>40</v>
      </c>
      <c r="B184" s="102"/>
      <c r="C184" s="96" t="s">
        <v>6</v>
      </c>
      <c r="D184" s="97"/>
    </row>
    <row r="185" spans="1:4" ht="42.75" customHeight="1" thickBot="1">
      <c r="A185" s="103"/>
      <c r="B185" s="104"/>
      <c r="C185" s="96" t="s">
        <v>21</v>
      </c>
      <c r="D185" s="97"/>
    </row>
    <row r="186" spans="1:4" ht="42.75" customHeight="1" thickBot="1">
      <c r="A186" s="105">
        <v>300</v>
      </c>
      <c r="B186" s="106"/>
      <c r="C186" s="96" t="s">
        <v>7</v>
      </c>
      <c r="D186" s="97"/>
    </row>
    <row r="187" spans="1:4" ht="42.75" customHeight="1" thickBot="1">
      <c r="A187" s="107" t="s">
        <v>17</v>
      </c>
      <c r="B187" s="108"/>
      <c r="C187" s="108"/>
      <c r="D187" s="109"/>
    </row>
    <row r="188" spans="1:4" ht="42.75" customHeight="1" thickBot="1">
      <c r="A188" s="110" t="s">
        <v>20</v>
      </c>
      <c r="B188" s="111"/>
      <c r="C188" s="111"/>
      <c r="D188" s="112"/>
    </row>
    <row r="189" spans="1:4" ht="42.75" customHeight="1" thickBot="1">
      <c r="A189" s="113" t="s">
        <v>18</v>
      </c>
      <c r="B189" s="114"/>
      <c r="C189" s="114"/>
      <c r="D189" s="115"/>
    </row>
    <row r="190" spans="1:4" ht="42.75" customHeight="1" thickBot="1">
      <c r="A190" s="126" t="s">
        <v>19</v>
      </c>
      <c r="B190" s="127"/>
      <c r="C190" s="127"/>
      <c r="D190" s="128"/>
    </row>
    <row r="191" spans="1:4" ht="42.75" customHeight="1" thickBot="1">
      <c r="A191" s="123" t="s">
        <v>11</v>
      </c>
      <c r="B191" s="124"/>
      <c r="C191" s="125" t="s">
        <v>603</v>
      </c>
      <c r="D191" s="124"/>
    </row>
    <row r="192" spans="1:4" ht="42.75" customHeight="1" thickBot="1">
      <c r="A192" s="1" t="s">
        <v>686</v>
      </c>
      <c r="B192" s="26" t="s">
        <v>1</v>
      </c>
      <c r="C192" s="90" t="s">
        <v>357</v>
      </c>
      <c r="D192" s="91"/>
    </row>
    <row r="193" spans="1:4" ht="42.75" customHeight="1" thickBot="1">
      <c r="A193" s="26"/>
      <c r="B193" s="26" t="s">
        <v>0</v>
      </c>
      <c r="C193" s="5" t="s">
        <v>687</v>
      </c>
      <c r="D193" s="4" t="s">
        <v>2</v>
      </c>
    </row>
    <row r="194" spans="1:4" ht="42.75" customHeight="1" thickBot="1">
      <c r="A194" s="92">
        <v>3810</v>
      </c>
      <c r="B194" s="93"/>
      <c r="C194" s="94" t="s">
        <v>3</v>
      </c>
      <c r="D194" s="95"/>
    </row>
    <row r="195" spans="1:4" ht="42.75" customHeight="1" thickBot="1">
      <c r="A195" s="92">
        <v>3895</v>
      </c>
      <c r="B195" s="93"/>
      <c r="C195" s="96" t="s">
        <v>4</v>
      </c>
      <c r="D195" s="97"/>
    </row>
    <row r="196" spans="1:4" ht="42.75" customHeight="1" thickBot="1">
      <c r="A196" s="98">
        <f>A195-A194</f>
        <v>85</v>
      </c>
      <c r="B196" s="99"/>
      <c r="C196" s="100" t="s">
        <v>5</v>
      </c>
      <c r="D196" s="97"/>
    </row>
    <row r="197" spans="1:4" ht="42.75" customHeight="1" thickBot="1">
      <c r="A197" s="101">
        <v>40</v>
      </c>
      <c r="B197" s="102"/>
      <c r="C197" s="96" t="s">
        <v>6</v>
      </c>
      <c r="D197" s="97"/>
    </row>
    <row r="198" spans="1:4" ht="42.75" customHeight="1" thickBot="1">
      <c r="A198" s="103"/>
      <c r="B198" s="104"/>
      <c r="C198" s="96" t="s">
        <v>21</v>
      </c>
      <c r="D198" s="97"/>
    </row>
    <row r="199" spans="1:4" ht="42.75" customHeight="1" thickBot="1">
      <c r="A199" s="105">
        <f>A197*A196</f>
        <v>3400</v>
      </c>
      <c r="B199" s="106"/>
      <c r="C199" s="96" t="s">
        <v>7</v>
      </c>
      <c r="D199" s="97"/>
    </row>
    <row r="200" spans="1:4" ht="42.75" customHeight="1" thickBot="1">
      <c r="A200" s="107" t="s">
        <v>17</v>
      </c>
      <c r="B200" s="108"/>
      <c r="C200" s="108"/>
      <c r="D200" s="109"/>
    </row>
    <row r="201" spans="1:4" ht="42.75" customHeight="1" thickBot="1">
      <c r="A201" s="116" t="s">
        <v>20</v>
      </c>
      <c r="B201" s="117"/>
      <c r="C201" s="117"/>
      <c r="D201" s="118"/>
    </row>
    <row r="202" spans="1:4" ht="42.75" customHeight="1" thickBot="1">
      <c r="A202" s="113" t="s">
        <v>18</v>
      </c>
      <c r="B202" s="114"/>
      <c r="C202" s="114"/>
      <c r="D202" s="115"/>
    </row>
    <row r="203" spans="1:4" ht="42.75" customHeight="1" thickBot="1">
      <c r="A203" s="119"/>
      <c r="B203" s="119"/>
      <c r="C203" s="119"/>
      <c r="D203" s="119"/>
    </row>
    <row r="204" spans="1:4" ht="42.75" customHeight="1" thickBot="1">
      <c r="A204" s="126" t="s">
        <v>19</v>
      </c>
      <c r="B204" s="127"/>
      <c r="C204" s="127"/>
      <c r="D204" s="128"/>
    </row>
    <row r="205" spans="1:4" ht="42.75" customHeight="1" thickBot="1">
      <c r="A205" s="123" t="s">
        <v>11</v>
      </c>
      <c r="B205" s="124"/>
      <c r="C205" s="125" t="s">
        <v>603</v>
      </c>
      <c r="D205" s="124"/>
    </row>
    <row r="206" spans="1:4" ht="42.75" customHeight="1" thickBot="1">
      <c r="A206" s="1" t="s">
        <v>686</v>
      </c>
      <c r="B206" s="26" t="s">
        <v>1</v>
      </c>
      <c r="C206" s="90" t="s">
        <v>357</v>
      </c>
      <c r="D206" s="91"/>
    </row>
    <row r="207" spans="1:4" ht="42.75" customHeight="1" thickBot="1">
      <c r="A207" s="26"/>
      <c r="B207" s="26" t="s">
        <v>0</v>
      </c>
      <c r="C207" s="5" t="s">
        <v>687</v>
      </c>
      <c r="D207" s="4" t="s">
        <v>2</v>
      </c>
    </row>
    <row r="208" spans="1:4" ht="42.75" customHeight="1" thickBot="1">
      <c r="A208" s="92">
        <v>3810</v>
      </c>
      <c r="B208" s="93"/>
      <c r="C208" s="94" t="s">
        <v>3</v>
      </c>
      <c r="D208" s="95"/>
    </row>
    <row r="209" spans="1:4" ht="42.75" customHeight="1" thickBot="1">
      <c r="A209" s="92">
        <v>3895</v>
      </c>
      <c r="B209" s="93"/>
      <c r="C209" s="96" t="s">
        <v>4</v>
      </c>
      <c r="D209" s="97"/>
    </row>
    <row r="210" spans="1:4" ht="42.75" customHeight="1" thickBot="1">
      <c r="A210" s="98">
        <f>A209-A208</f>
        <v>85</v>
      </c>
      <c r="B210" s="99"/>
      <c r="C210" s="100" t="s">
        <v>5</v>
      </c>
      <c r="D210" s="97"/>
    </row>
    <row r="211" spans="1:4" ht="42.75" customHeight="1" thickBot="1">
      <c r="A211" s="101">
        <v>40</v>
      </c>
      <c r="B211" s="102"/>
      <c r="C211" s="96" t="s">
        <v>6</v>
      </c>
      <c r="D211" s="97"/>
    </row>
    <row r="212" spans="1:4" ht="42.75" customHeight="1" thickBot="1">
      <c r="A212" s="103"/>
      <c r="B212" s="104"/>
      <c r="C212" s="96" t="s">
        <v>21</v>
      </c>
      <c r="D212" s="97"/>
    </row>
    <row r="213" spans="1:4" ht="42.75" customHeight="1" thickBot="1">
      <c r="A213" s="105">
        <f>A211*A210</f>
        <v>3400</v>
      </c>
      <c r="B213" s="106"/>
      <c r="C213" s="96" t="s">
        <v>7</v>
      </c>
      <c r="D213" s="97"/>
    </row>
    <row r="214" spans="1:4" ht="42.75" customHeight="1" thickBot="1">
      <c r="A214" s="107" t="s">
        <v>17</v>
      </c>
      <c r="B214" s="108"/>
      <c r="C214" s="108"/>
      <c r="D214" s="109"/>
    </row>
    <row r="215" spans="1:4" ht="42.75" customHeight="1" thickBot="1">
      <c r="A215" s="110" t="s">
        <v>20</v>
      </c>
      <c r="B215" s="111"/>
      <c r="C215" s="111"/>
      <c r="D215" s="112"/>
    </row>
    <row r="216" spans="1:4" ht="42.75" customHeight="1" thickBot="1">
      <c r="A216" s="113" t="s">
        <v>18</v>
      </c>
      <c r="B216" s="114"/>
      <c r="C216" s="114"/>
      <c r="D216" s="115"/>
    </row>
    <row r="217" spans="1:4" ht="42.75" customHeight="1" thickBot="1">
      <c r="A217" s="126" t="s">
        <v>19</v>
      </c>
      <c r="B217" s="127"/>
      <c r="C217" s="127"/>
      <c r="D217" s="128"/>
    </row>
    <row r="218" spans="1:4" ht="42.75" customHeight="1" thickBot="1">
      <c r="A218" s="123" t="s">
        <v>11</v>
      </c>
      <c r="B218" s="124"/>
      <c r="C218" s="125" t="s">
        <v>603</v>
      </c>
      <c r="D218" s="124"/>
    </row>
    <row r="219" spans="1:4" ht="42.75" customHeight="1" thickBot="1">
      <c r="A219" s="1" t="s">
        <v>686</v>
      </c>
      <c r="B219" s="26" t="s">
        <v>1</v>
      </c>
      <c r="C219" s="90" t="s">
        <v>358</v>
      </c>
      <c r="D219" s="91"/>
    </row>
    <row r="220" spans="1:4" ht="42.75" customHeight="1" thickBot="1">
      <c r="A220" s="26"/>
      <c r="B220" s="26" t="s">
        <v>0</v>
      </c>
      <c r="C220" s="5" t="s">
        <v>687</v>
      </c>
      <c r="D220" s="4" t="s">
        <v>2</v>
      </c>
    </row>
    <row r="221" spans="1:4" ht="42.75" customHeight="1" thickBot="1">
      <c r="A221" s="92">
        <v>3665</v>
      </c>
      <c r="B221" s="93"/>
      <c r="C221" s="94" t="s">
        <v>3</v>
      </c>
      <c r="D221" s="95"/>
    </row>
    <row r="222" spans="1:4" ht="42.75" customHeight="1" thickBot="1">
      <c r="A222" s="92">
        <v>3765</v>
      </c>
      <c r="B222" s="93"/>
      <c r="C222" s="96" t="s">
        <v>4</v>
      </c>
      <c r="D222" s="97"/>
    </row>
    <row r="223" spans="1:4" ht="42.75" customHeight="1" thickBot="1">
      <c r="A223" s="98">
        <f>A222-A221</f>
        <v>100</v>
      </c>
      <c r="B223" s="99"/>
      <c r="C223" s="100" t="s">
        <v>5</v>
      </c>
      <c r="D223" s="97"/>
    </row>
    <row r="224" spans="1:4" ht="42.75" customHeight="1" thickBot="1">
      <c r="A224" s="101">
        <v>40</v>
      </c>
      <c r="B224" s="102"/>
      <c r="C224" s="96" t="s">
        <v>6</v>
      </c>
      <c r="D224" s="97"/>
    </row>
    <row r="225" spans="1:4" ht="42.75" customHeight="1" thickBot="1">
      <c r="A225" s="103"/>
      <c r="B225" s="104"/>
      <c r="C225" s="96" t="s">
        <v>21</v>
      </c>
      <c r="D225" s="97"/>
    </row>
    <row r="226" spans="1:4" ht="42.75" customHeight="1" thickBot="1">
      <c r="A226" s="105">
        <f>A224*A223</f>
        <v>4000</v>
      </c>
      <c r="B226" s="106"/>
      <c r="C226" s="96" t="s">
        <v>7</v>
      </c>
      <c r="D226" s="97"/>
    </row>
    <row r="227" spans="1:4" ht="42.75" customHeight="1" thickBot="1">
      <c r="A227" s="107" t="s">
        <v>17</v>
      </c>
      <c r="B227" s="108"/>
      <c r="C227" s="108"/>
      <c r="D227" s="109"/>
    </row>
    <row r="228" spans="1:4" ht="42.75" customHeight="1" thickBot="1">
      <c r="A228" s="116" t="s">
        <v>20</v>
      </c>
      <c r="B228" s="117"/>
      <c r="C228" s="117"/>
      <c r="D228" s="118"/>
    </row>
    <row r="229" spans="1:4" ht="42.75" customHeight="1" thickBot="1">
      <c r="A229" s="113" t="s">
        <v>18</v>
      </c>
      <c r="B229" s="114"/>
      <c r="C229" s="114"/>
      <c r="D229" s="115"/>
    </row>
    <row r="230" spans="1:4" ht="42.75" customHeight="1" thickBot="1">
      <c r="A230" s="119"/>
      <c r="B230" s="119"/>
      <c r="C230" s="119"/>
      <c r="D230" s="119"/>
    </row>
    <row r="231" spans="1:4" ht="42.75" customHeight="1" thickBot="1">
      <c r="A231" s="126" t="s">
        <v>19</v>
      </c>
      <c r="B231" s="127"/>
      <c r="C231" s="127"/>
      <c r="D231" s="128"/>
    </row>
    <row r="232" spans="1:4" ht="42.75" customHeight="1" thickBot="1">
      <c r="A232" s="123" t="s">
        <v>11</v>
      </c>
      <c r="B232" s="124"/>
      <c r="C232" s="125" t="s">
        <v>603</v>
      </c>
      <c r="D232" s="124"/>
    </row>
    <row r="233" spans="1:4" ht="42.75" customHeight="1" thickBot="1">
      <c r="A233" s="1" t="s">
        <v>686</v>
      </c>
      <c r="B233" s="26" t="s">
        <v>1</v>
      </c>
      <c r="C233" s="90" t="s">
        <v>358</v>
      </c>
      <c r="D233" s="91"/>
    </row>
    <row r="234" spans="1:4" ht="42.75" customHeight="1" thickBot="1">
      <c r="A234" s="26"/>
      <c r="B234" s="26" t="s">
        <v>0</v>
      </c>
      <c r="C234" s="5" t="s">
        <v>687</v>
      </c>
      <c r="D234" s="4" t="s">
        <v>2</v>
      </c>
    </row>
    <row r="235" spans="1:4" ht="42.75" customHeight="1" thickBot="1">
      <c r="A235" s="92">
        <v>3665</v>
      </c>
      <c r="B235" s="93"/>
      <c r="C235" s="94" t="s">
        <v>3</v>
      </c>
      <c r="D235" s="95"/>
    </row>
    <row r="236" spans="1:4" ht="42.75" customHeight="1" thickBot="1">
      <c r="A236" s="92">
        <v>3765</v>
      </c>
      <c r="B236" s="93"/>
      <c r="C236" s="96" t="s">
        <v>4</v>
      </c>
      <c r="D236" s="97"/>
    </row>
    <row r="237" spans="1:4" ht="42.75" customHeight="1" thickBot="1">
      <c r="A237" s="98">
        <f>A236-A235</f>
        <v>100</v>
      </c>
      <c r="B237" s="99"/>
      <c r="C237" s="100" t="s">
        <v>5</v>
      </c>
      <c r="D237" s="97"/>
    </row>
    <row r="238" spans="1:4" ht="42.75" customHeight="1" thickBot="1">
      <c r="A238" s="101">
        <v>40</v>
      </c>
      <c r="B238" s="102"/>
      <c r="C238" s="96" t="s">
        <v>6</v>
      </c>
      <c r="D238" s="97"/>
    </row>
    <row r="239" spans="1:4" ht="42.75" customHeight="1" thickBot="1">
      <c r="A239" s="103"/>
      <c r="B239" s="104"/>
      <c r="C239" s="96" t="s">
        <v>21</v>
      </c>
      <c r="D239" s="97"/>
    </row>
    <row r="240" spans="1:4" ht="42.75" customHeight="1" thickBot="1">
      <c r="A240" s="105">
        <f>A238*A237</f>
        <v>4000</v>
      </c>
      <c r="B240" s="106"/>
      <c r="C240" s="96" t="s">
        <v>7</v>
      </c>
      <c r="D240" s="97"/>
    </row>
    <row r="241" spans="1:4" ht="42.75" customHeight="1" thickBot="1">
      <c r="A241" s="107" t="s">
        <v>17</v>
      </c>
      <c r="B241" s="108"/>
      <c r="C241" s="108"/>
      <c r="D241" s="109"/>
    </row>
    <row r="242" spans="1:4" ht="42.75" customHeight="1" thickBot="1">
      <c r="A242" s="110" t="s">
        <v>20</v>
      </c>
      <c r="B242" s="111"/>
      <c r="C242" s="111"/>
      <c r="D242" s="112"/>
    </row>
    <row r="243" spans="1:4" ht="42.75" customHeight="1" thickBot="1">
      <c r="A243" s="113" t="s">
        <v>18</v>
      </c>
      <c r="B243" s="114"/>
      <c r="C243" s="114"/>
      <c r="D243" s="115"/>
    </row>
    <row r="244" spans="1:4" ht="42.75" customHeight="1" thickBot="1">
      <c r="A244" s="126" t="s">
        <v>19</v>
      </c>
      <c r="B244" s="127"/>
      <c r="C244" s="127"/>
      <c r="D244" s="128"/>
    </row>
    <row r="245" spans="1:4" ht="42.75" customHeight="1" thickBot="1">
      <c r="A245" s="123" t="s">
        <v>11</v>
      </c>
      <c r="B245" s="124"/>
      <c r="C245" s="125" t="s">
        <v>603</v>
      </c>
      <c r="D245" s="124"/>
    </row>
    <row r="246" spans="1:4" ht="42.75" customHeight="1" thickBot="1">
      <c r="A246" s="1" t="s">
        <v>686</v>
      </c>
      <c r="B246" s="26" t="s">
        <v>1</v>
      </c>
      <c r="C246" s="90" t="s">
        <v>540</v>
      </c>
      <c r="D246" s="91"/>
    </row>
    <row r="247" spans="1:4" ht="42.75" customHeight="1" thickBot="1">
      <c r="A247" s="26"/>
      <c r="B247" s="26" t="s">
        <v>0</v>
      </c>
      <c r="C247" s="5" t="s">
        <v>687</v>
      </c>
      <c r="D247" s="4" t="s">
        <v>2</v>
      </c>
    </row>
    <row r="248" spans="1:4" ht="42.75" customHeight="1" thickBot="1">
      <c r="A248" s="92">
        <v>2787</v>
      </c>
      <c r="B248" s="93"/>
      <c r="C248" s="94" t="s">
        <v>3</v>
      </c>
      <c r="D248" s="95"/>
    </row>
    <row r="249" spans="1:4" ht="42.75" customHeight="1" thickBot="1">
      <c r="A249" s="92">
        <v>2805</v>
      </c>
      <c r="B249" s="93"/>
      <c r="C249" s="96" t="s">
        <v>4</v>
      </c>
      <c r="D249" s="97"/>
    </row>
    <row r="250" spans="1:4" ht="42.75" customHeight="1" thickBot="1">
      <c r="A250" s="98">
        <f>A249-A248</f>
        <v>18</v>
      </c>
      <c r="B250" s="99"/>
      <c r="C250" s="100" t="s">
        <v>5</v>
      </c>
      <c r="D250" s="97"/>
    </row>
    <row r="251" spans="1:4" ht="42.75" customHeight="1" thickBot="1">
      <c r="A251" s="101">
        <v>62</v>
      </c>
      <c r="B251" s="102"/>
      <c r="C251" s="96" t="s">
        <v>6</v>
      </c>
      <c r="D251" s="97"/>
    </row>
    <row r="252" spans="1:4" ht="42.75" customHeight="1" thickBot="1">
      <c r="A252" s="103"/>
      <c r="B252" s="104"/>
      <c r="C252" s="96" t="s">
        <v>21</v>
      </c>
      <c r="D252" s="97"/>
    </row>
    <row r="253" spans="1:4" ht="42.75" customHeight="1" thickBot="1">
      <c r="A253" s="105">
        <v>1100</v>
      </c>
      <c r="B253" s="106"/>
      <c r="C253" s="96" t="s">
        <v>7</v>
      </c>
      <c r="D253" s="97"/>
    </row>
    <row r="254" spans="1:4" ht="42.75" customHeight="1" thickBot="1">
      <c r="A254" s="107" t="s">
        <v>17</v>
      </c>
      <c r="B254" s="108"/>
      <c r="C254" s="108"/>
      <c r="D254" s="109"/>
    </row>
    <row r="255" spans="1:4" ht="42.75" customHeight="1" thickBot="1">
      <c r="A255" s="116" t="s">
        <v>20</v>
      </c>
      <c r="B255" s="117"/>
      <c r="C255" s="117"/>
      <c r="D255" s="118"/>
    </row>
    <row r="256" spans="1:4" ht="42.75" customHeight="1" thickBot="1">
      <c r="A256" s="113" t="s">
        <v>18</v>
      </c>
      <c r="B256" s="114"/>
      <c r="C256" s="114"/>
      <c r="D256" s="115"/>
    </row>
    <row r="257" spans="1:4" ht="42.75" customHeight="1" thickBot="1">
      <c r="A257" s="119"/>
      <c r="B257" s="119"/>
      <c r="C257" s="119"/>
      <c r="D257" s="119"/>
    </row>
    <row r="258" spans="1:4" ht="42.75" customHeight="1" thickBot="1">
      <c r="A258" s="126" t="s">
        <v>19</v>
      </c>
      <c r="B258" s="127"/>
      <c r="C258" s="127"/>
      <c r="D258" s="128"/>
    </row>
    <row r="259" spans="1:4" ht="42.75" customHeight="1" thickBot="1">
      <c r="A259" s="123" t="s">
        <v>11</v>
      </c>
      <c r="B259" s="124"/>
      <c r="C259" s="125" t="s">
        <v>603</v>
      </c>
      <c r="D259" s="124"/>
    </row>
    <row r="260" spans="1:4" ht="42.75" customHeight="1" thickBot="1">
      <c r="A260" s="1" t="s">
        <v>686</v>
      </c>
      <c r="B260" s="26" t="s">
        <v>1</v>
      </c>
      <c r="C260" s="90" t="s">
        <v>540</v>
      </c>
      <c r="D260" s="91"/>
    </row>
    <row r="261" spans="1:4" ht="42.75" customHeight="1" thickBot="1">
      <c r="A261" s="26"/>
      <c r="B261" s="26" t="s">
        <v>0</v>
      </c>
      <c r="C261" s="5" t="s">
        <v>687</v>
      </c>
      <c r="D261" s="4" t="s">
        <v>2</v>
      </c>
    </row>
    <row r="262" spans="1:4" ht="42.75" customHeight="1" thickBot="1">
      <c r="A262" s="92">
        <v>2787</v>
      </c>
      <c r="B262" s="93"/>
      <c r="C262" s="94" t="s">
        <v>3</v>
      </c>
      <c r="D262" s="95"/>
    </row>
    <row r="263" spans="1:4" ht="42.75" customHeight="1" thickBot="1">
      <c r="A263" s="92">
        <v>2805</v>
      </c>
      <c r="B263" s="93"/>
      <c r="C263" s="96" t="s">
        <v>4</v>
      </c>
      <c r="D263" s="97"/>
    </row>
    <row r="264" spans="1:4" ht="42.75" customHeight="1" thickBot="1">
      <c r="A264" s="98">
        <f>A263-A262</f>
        <v>18</v>
      </c>
      <c r="B264" s="99"/>
      <c r="C264" s="100" t="s">
        <v>5</v>
      </c>
      <c r="D264" s="97"/>
    </row>
    <row r="265" spans="1:4" ht="42.75" customHeight="1" thickBot="1">
      <c r="A265" s="101">
        <v>62</v>
      </c>
      <c r="B265" s="102"/>
      <c r="C265" s="96" t="s">
        <v>6</v>
      </c>
      <c r="D265" s="97"/>
    </row>
    <row r="266" spans="1:4" ht="42.75" customHeight="1" thickBot="1">
      <c r="A266" s="103"/>
      <c r="B266" s="104"/>
      <c r="C266" s="96" t="s">
        <v>21</v>
      </c>
      <c r="D266" s="97"/>
    </row>
    <row r="267" spans="1:4" ht="42.75" customHeight="1" thickBot="1">
      <c r="A267" s="105">
        <v>1100</v>
      </c>
      <c r="B267" s="106"/>
      <c r="C267" s="96" t="s">
        <v>7</v>
      </c>
      <c r="D267" s="97"/>
    </row>
    <row r="268" spans="1:4" ht="42.75" customHeight="1" thickBot="1">
      <c r="A268" s="107" t="s">
        <v>17</v>
      </c>
      <c r="B268" s="108"/>
      <c r="C268" s="108"/>
      <c r="D268" s="109"/>
    </row>
    <row r="269" spans="1:4" ht="42.75" customHeight="1" thickBot="1">
      <c r="A269" s="110" t="s">
        <v>20</v>
      </c>
      <c r="B269" s="111"/>
      <c r="C269" s="111"/>
      <c r="D269" s="112"/>
    </row>
    <row r="270" spans="1:4" ht="42.75" customHeight="1" thickBot="1">
      <c r="A270" s="113" t="s">
        <v>18</v>
      </c>
      <c r="B270" s="114"/>
      <c r="C270" s="114"/>
      <c r="D270" s="115"/>
    </row>
    <row r="271" spans="1:4" ht="42.75" customHeight="1" thickBot="1">
      <c r="A271" s="126" t="s">
        <v>19</v>
      </c>
      <c r="B271" s="127"/>
      <c r="C271" s="127"/>
      <c r="D271" s="128"/>
    </row>
    <row r="272" spans="1:4" ht="42.75" customHeight="1" thickBot="1">
      <c r="A272" s="123" t="s">
        <v>11</v>
      </c>
      <c r="B272" s="124"/>
      <c r="C272" s="125" t="s">
        <v>603</v>
      </c>
      <c r="D272" s="124"/>
    </row>
    <row r="273" spans="1:4" ht="42.75" customHeight="1" thickBot="1">
      <c r="A273" s="1" t="s">
        <v>686</v>
      </c>
      <c r="B273" s="26" t="s">
        <v>1</v>
      </c>
      <c r="C273" s="90" t="s">
        <v>359</v>
      </c>
      <c r="D273" s="91"/>
    </row>
    <row r="274" spans="1:4" ht="42.75" customHeight="1" thickBot="1">
      <c r="A274" s="26"/>
      <c r="B274" s="26" t="s">
        <v>0</v>
      </c>
      <c r="C274" s="5" t="s">
        <v>687</v>
      </c>
      <c r="D274" s="4" t="s">
        <v>2</v>
      </c>
    </row>
    <row r="275" spans="1:4" ht="42.75" customHeight="1" thickBot="1">
      <c r="A275" s="92">
        <v>3240</v>
      </c>
      <c r="B275" s="93"/>
      <c r="C275" s="94" t="s">
        <v>3</v>
      </c>
      <c r="D275" s="95"/>
    </row>
    <row r="276" spans="1:4" ht="42.75" customHeight="1" thickBot="1">
      <c r="A276" s="92">
        <v>3240</v>
      </c>
      <c r="B276" s="93"/>
      <c r="C276" s="96" t="s">
        <v>4</v>
      </c>
      <c r="D276" s="97"/>
    </row>
    <row r="277" spans="1:4" ht="42.75" customHeight="1" thickBot="1">
      <c r="A277" s="98">
        <f>A276-A275</f>
        <v>0</v>
      </c>
      <c r="B277" s="99"/>
      <c r="C277" s="100" t="s">
        <v>5</v>
      </c>
      <c r="D277" s="97"/>
    </row>
    <row r="278" spans="1:4" ht="42.75" customHeight="1" thickBot="1">
      <c r="A278" s="101">
        <v>40</v>
      </c>
      <c r="B278" s="102"/>
      <c r="C278" s="96" t="s">
        <v>6</v>
      </c>
      <c r="D278" s="97"/>
    </row>
    <row r="279" spans="1:4" ht="42.75" customHeight="1" thickBot="1">
      <c r="A279" s="103"/>
      <c r="B279" s="104"/>
      <c r="C279" s="96" t="s">
        <v>21</v>
      </c>
      <c r="D279" s="97"/>
    </row>
    <row r="280" spans="1:4" ht="42.75" customHeight="1" thickBot="1">
      <c r="A280" s="105">
        <f>A278*A277</f>
        <v>0</v>
      </c>
      <c r="B280" s="106"/>
      <c r="C280" s="96" t="s">
        <v>7</v>
      </c>
      <c r="D280" s="97"/>
    </row>
    <row r="281" spans="1:4" ht="42.75" customHeight="1" thickBot="1">
      <c r="A281" s="107" t="s">
        <v>17</v>
      </c>
      <c r="B281" s="108"/>
      <c r="C281" s="108"/>
      <c r="D281" s="109"/>
    </row>
    <row r="282" spans="1:4" ht="42.75" customHeight="1" thickBot="1">
      <c r="A282" s="116" t="s">
        <v>20</v>
      </c>
      <c r="B282" s="117"/>
      <c r="C282" s="117"/>
      <c r="D282" s="118"/>
    </row>
    <row r="283" spans="1:4" ht="42.75" customHeight="1" thickBot="1">
      <c r="A283" s="113" t="s">
        <v>18</v>
      </c>
      <c r="B283" s="114"/>
      <c r="C283" s="114"/>
      <c r="D283" s="115"/>
    </row>
    <row r="284" spans="1:4" ht="42.75" customHeight="1" thickBot="1">
      <c r="A284" s="119"/>
      <c r="B284" s="119"/>
      <c r="C284" s="119"/>
      <c r="D284" s="119"/>
    </row>
    <row r="285" spans="1:4" ht="42.75" customHeight="1" thickBot="1">
      <c r="A285" s="132" t="s">
        <v>19</v>
      </c>
      <c r="B285" s="133"/>
      <c r="C285" s="133"/>
      <c r="D285" s="134"/>
    </row>
    <row r="286" spans="1:4" ht="42.75" customHeight="1" thickBot="1">
      <c r="A286" s="123" t="s">
        <v>11</v>
      </c>
      <c r="B286" s="124"/>
      <c r="C286" s="125" t="s">
        <v>603</v>
      </c>
      <c r="D286" s="124"/>
    </row>
    <row r="287" spans="1:4" ht="42.75" customHeight="1" thickBot="1">
      <c r="A287" s="1" t="s">
        <v>686</v>
      </c>
      <c r="B287" s="2" t="s">
        <v>1</v>
      </c>
      <c r="C287" s="90" t="s">
        <v>16</v>
      </c>
      <c r="D287" s="91"/>
    </row>
    <row r="288" spans="1:4" ht="42.75" customHeight="1" thickBot="1">
      <c r="A288" s="3"/>
      <c r="B288" s="4" t="s">
        <v>0</v>
      </c>
      <c r="C288" s="5" t="s">
        <v>687</v>
      </c>
      <c r="D288" s="4" t="s">
        <v>2</v>
      </c>
    </row>
    <row r="289" spans="1:4" ht="42.75" customHeight="1" thickBot="1">
      <c r="A289" s="92">
        <v>3240</v>
      </c>
      <c r="B289" s="93"/>
      <c r="C289" s="94" t="s">
        <v>3</v>
      </c>
      <c r="D289" s="95"/>
    </row>
    <row r="290" spans="1:4" ht="42.75" customHeight="1" thickBot="1">
      <c r="A290" s="92">
        <v>3240</v>
      </c>
      <c r="B290" s="93"/>
      <c r="C290" s="96" t="s">
        <v>4</v>
      </c>
      <c r="D290" s="97"/>
    </row>
    <row r="291" spans="1:4" ht="42.75" customHeight="1" thickBot="1">
      <c r="A291" s="98">
        <f>A289-A289</f>
        <v>0</v>
      </c>
      <c r="B291" s="99"/>
      <c r="C291" s="100" t="s">
        <v>5</v>
      </c>
      <c r="D291" s="97"/>
    </row>
    <row r="292" spans="1:4" ht="42.75" customHeight="1" thickBot="1">
      <c r="A292" s="101">
        <v>40</v>
      </c>
      <c r="B292" s="102"/>
      <c r="C292" s="96" t="s">
        <v>6</v>
      </c>
      <c r="D292" s="97"/>
    </row>
    <row r="293" spans="1:4" ht="42.75" customHeight="1" thickBot="1">
      <c r="A293" s="103"/>
      <c r="B293" s="104"/>
      <c r="C293" s="96" t="s">
        <v>21</v>
      </c>
      <c r="D293" s="97"/>
    </row>
    <row r="294" spans="1:4" ht="42.75" customHeight="1" thickBot="1">
      <c r="A294" s="105">
        <f>A292*A291</f>
        <v>0</v>
      </c>
      <c r="B294" s="106"/>
      <c r="C294" s="96" t="s">
        <v>7</v>
      </c>
      <c r="D294" s="97"/>
    </row>
    <row r="295" spans="1:4" ht="42.75" customHeight="1" thickBot="1">
      <c r="A295" s="107" t="s">
        <v>17</v>
      </c>
      <c r="B295" s="108"/>
      <c r="C295" s="108"/>
      <c r="D295" s="109"/>
    </row>
    <row r="296" spans="1:4" ht="42.75" customHeight="1" thickBot="1">
      <c r="A296" s="110" t="s">
        <v>20</v>
      </c>
      <c r="B296" s="111"/>
      <c r="C296" s="111"/>
      <c r="D296" s="112"/>
    </row>
    <row r="297" spans="1:4" ht="42.75" customHeight="1" thickBot="1">
      <c r="A297" s="113" t="s">
        <v>18</v>
      </c>
      <c r="B297" s="114"/>
      <c r="C297" s="114"/>
      <c r="D297" s="115"/>
    </row>
    <row r="298" spans="1:4" ht="42.75" customHeight="1" thickBot="1">
      <c r="A298" s="126" t="s">
        <v>19</v>
      </c>
      <c r="B298" s="127"/>
      <c r="C298" s="127"/>
      <c r="D298" s="128"/>
    </row>
    <row r="299" spans="1:4" ht="42.75" customHeight="1" thickBot="1">
      <c r="A299" s="123" t="s">
        <v>11</v>
      </c>
      <c r="B299" s="124"/>
      <c r="C299" s="125" t="s">
        <v>603</v>
      </c>
      <c r="D299" s="124"/>
    </row>
    <row r="300" spans="1:4" ht="42.75" customHeight="1" thickBot="1">
      <c r="A300" s="1" t="s">
        <v>686</v>
      </c>
      <c r="B300" s="26" t="s">
        <v>1</v>
      </c>
      <c r="C300" s="90" t="s">
        <v>88</v>
      </c>
      <c r="D300" s="91"/>
    </row>
    <row r="301" spans="1:4" ht="42.75" customHeight="1" thickBot="1">
      <c r="A301" s="26"/>
      <c r="B301" s="26" t="s">
        <v>0</v>
      </c>
      <c r="C301" s="5" t="s">
        <v>687</v>
      </c>
      <c r="D301" s="4" t="s">
        <v>2</v>
      </c>
    </row>
    <row r="302" spans="1:4" ht="42.75" customHeight="1" thickBot="1">
      <c r="A302" s="92">
        <v>2440</v>
      </c>
      <c r="B302" s="93"/>
      <c r="C302" s="94" t="s">
        <v>3</v>
      </c>
      <c r="D302" s="95"/>
    </row>
    <row r="303" spans="1:4" ht="42.75" customHeight="1" thickBot="1">
      <c r="A303" s="92">
        <v>2455</v>
      </c>
      <c r="B303" s="93"/>
      <c r="C303" s="96" t="s">
        <v>4</v>
      </c>
      <c r="D303" s="97"/>
    </row>
    <row r="304" spans="1:4" ht="42.75" customHeight="1" thickBot="1">
      <c r="A304" s="98">
        <f>A303-A302</f>
        <v>15</v>
      </c>
      <c r="B304" s="99"/>
      <c r="C304" s="100" t="s">
        <v>5</v>
      </c>
      <c r="D304" s="97"/>
    </row>
    <row r="305" spans="1:4" ht="42.75" customHeight="1" thickBot="1">
      <c r="A305" s="101">
        <v>40</v>
      </c>
      <c r="B305" s="102"/>
      <c r="C305" s="96" t="s">
        <v>6</v>
      </c>
      <c r="D305" s="97"/>
    </row>
    <row r="306" spans="1:4" ht="42.75" customHeight="1" thickBot="1">
      <c r="A306" s="103"/>
      <c r="B306" s="104"/>
      <c r="C306" s="96" t="s">
        <v>21</v>
      </c>
      <c r="D306" s="97"/>
    </row>
    <row r="307" spans="1:4" ht="42.75" customHeight="1" thickBot="1">
      <c r="A307" s="105">
        <f>A305*A304</f>
        <v>600</v>
      </c>
      <c r="B307" s="106"/>
      <c r="C307" s="96" t="s">
        <v>7</v>
      </c>
      <c r="D307" s="97"/>
    </row>
    <row r="308" spans="1:4" ht="42.75" customHeight="1" thickBot="1">
      <c r="A308" s="107" t="s">
        <v>17</v>
      </c>
      <c r="B308" s="108"/>
      <c r="C308" s="108"/>
      <c r="D308" s="109"/>
    </row>
    <row r="309" spans="1:4" ht="42.75" customHeight="1" thickBot="1">
      <c r="A309" s="116" t="s">
        <v>20</v>
      </c>
      <c r="B309" s="117"/>
      <c r="C309" s="117"/>
      <c r="D309" s="118"/>
    </row>
    <row r="310" spans="1:4" ht="42.75" customHeight="1" thickBot="1">
      <c r="A310" s="113" t="s">
        <v>18</v>
      </c>
      <c r="B310" s="114"/>
      <c r="C310" s="114"/>
      <c r="D310" s="115"/>
    </row>
    <row r="311" spans="1:4" ht="42.75" customHeight="1" thickBot="1">
      <c r="A311" s="119"/>
      <c r="B311" s="119"/>
      <c r="C311" s="119"/>
      <c r="D311" s="119"/>
    </row>
    <row r="312" spans="1:4" ht="42.75" customHeight="1" thickBot="1">
      <c r="A312" s="126" t="s">
        <v>19</v>
      </c>
      <c r="B312" s="127"/>
      <c r="C312" s="127"/>
      <c r="D312" s="128"/>
    </row>
    <row r="313" spans="1:4" ht="42.75" customHeight="1" thickBot="1">
      <c r="A313" s="123" t="s">
        <v>11</v>
      </c>
      <c r="B313" s="124"/>
      <c r="C313" s="125" t="s">
        <v>603</v>
      </c>
      <c r="D313" s="124"/>
    </row>
    <row r="314" spans="1:4" ht="42.75" customHeight="1" thickBot="1">
      <c r="A314" s="1" t="s">
        <v>686</v>
      </c>
      <c r="B314" s="26" t="s">
        <v>1</v>
      </c>
      <c r="C314" s="90" t="s">
        <v>88</v>
      </c>
      <c r="D314" s="91"/>
    </row>
    <row r="315" spans="1:4" ht="42.75" customHeight="1" thickBot="1">
      <c r="A315" s="26"/>
      <c r="B315" s="26" t="s">
        <v>0</v>
      </c>
      <c r="C315" s="5" t="s">
        <v>687</v>
      </c>
      <c r="D315" s="4" t="s">
        <v>2</v>
      </c>
    </row>
    <row r="316" spans="1:4" ht="42.75" customHeight="1" thickBot="1">
      <c r="A316" s="92">
        <v>2440</v>
      </c>
      <c r="B316" s="93"/>
      <c r="C316" s="94" t="s">
        <v>3</v>
      </c>
      <c r="D316" s="95"/>
    </row>
    <row r="317" spans="1:4" ht="42.75" customHeight="1" thickBot="1">
      <c r="A317" s="92">
        <v>2455</v>
      </c>
      <c r="B317" s="93"/>
      <c r="C317" s="96" t="s">
        <v>4</v>
      </c>
      <c r="D317" s="97"/>
    </row>
    <row r="318" spans="1:4" ht="42.75" customHeight="1" thickBot="1">
      <c r="A318" s="98">
        <f>A317-A316</f>
        <v>15</v>
      </c>
      <c r="B318" s="99"/>
      <c r="C318" s="100" t="s">
        <v>5</v>
      </c>
      <c r="D318" s="97"/>
    </row>
    <row r="319" spans="1:4" ht="42.75" customHeight="1" thickBot="1">
      <c r="A319" s="101">
        <v>40</v>
      </c>
      <c r="B319" s="102"/>
      <c r="C319" s="96" t="s">
        <v>6</v>
      </c>
      <c r="D319" s="97"/>
    </row>
    <row r="320" spans="1:4" ht="42.75" customHeight="1" thickBot="1">
      <c r="A320" s="103"/>
      <c r="B320" s="104"/>
      <c r="C320" s="96" t="s">
        <v>21</v>
      </c>
      <c r="D320" s="97"/>
    </row>
    <row r="321" spans="1:4" ht="42.75" customHeight="1" thickBot="1">
      <c r="A321" s="105">
        <f>A319*A318</f>
        <v>600</v>
      </c>
      <c r="B321" s="106"/>
      <c r="C321" s="96" t="s">
        <v>7</v>
      </c>
      <c r="D321" s="97"/>
    </row>
    <row r="322" spans="1:4" ht="42.75" customHeight="1" thickBot="1">
      <c r="A322" s="107" t="s">
        <v>17</v>
      </c>
      <c r="B322" s="108"/>
      <c r="C322" s="108"/>
      <c r="D322" s="109"/>
    </row>
    <row r="323" spans="1:4" ht="42.75" customHeight="1" thickBot="1">
      <c r="A323" s="110" t="s">
        <v>20</v>
      </c>
      <c r="B323" s="111"/>
      <c r="C323" s="111"/>
      <c r="D323" s="112"/>
    </row>
    <row r="324" spans="1:4" ht="42.75" customHeight="1" thickBot="1">
      <c r="A324" s="113" t="s">
        <v>18</v>
      </c>
      <c r="B324" s="114"/>
      <c r="C324" s="114"/>
      <c r="D324" s="115"/>
    </row>
    <row r="325" spans="1:4" ht="42.75" customHeight="1" thickBot="1">
      <c r="A325" s="126" t="s">
        <v>19</v>
      </c>
      <c r="B325" s="127"/>
      <c r="C325" s="127"/>
      <c r="D325" s="128"/>
    </row>
    <row r="326" spans="1:4" ht="42.75" customHeight="1" thickBot="1">
      <c r="A326" s="123" t="s">
        <v>11</v>
      </c>
      <c r="B326" s="124"/>
      <c r="C326" s="125" t="s">
        <v>603</v>
      </c>
      <c r="D326" s="124"/>
    </row>
    <row r="327" spans="1:4" ht="42.75" customHeight="1" thickBot="1">
      <c r="A327" s="1" t="s">
        <v>686</v>
      </c>
      <c r="B327" s="26" t="s">
        <v>1</v>
      </c>
      <c r="C327" s="90" t="s">
        <v>227</v>
      </c>
      <c r="D327" s="91"/>
    </row>
    <row r="328" spans="1:4" ht="42.75" customHeight="1" thickBot="1">
      <c r="A328" s="26"/>
      <c r="B328" s="26" t="s">
        <v>0</v>
      </c>
      <c r="C328" s="5" t="s">
        <v>687</v>
      </c>
      <c r="D328" s="4" t="s">
        <v>2</v>
      </c>
    </row>
    <row r="329" spans="1:4" ht="42.75" customHeight="1" thickBot="1">
      <c r="A329" s="92">
        <v>772</v>
      </c>
      <c r="B329" s="93"/>
      <c r="C329" s="94" t="s">
        <v>3</v>
      </c>
      <c r="D329" s="95"/>
    </row>
    <row r="330" spans="1:4" ht="42.75" customHeight="1" thickBot="1">
      <c r="A330" s="92">
        <v>785</v>
      </c>
      <c r="B330" s="93"/>
      <c r="C330" s="96" t="s">
        <v>4</v>
      </c>
      <c r="D330" s="97"/>
    </row>
    <row r="331" spans="1:4" ht="42.75" customHeight="1" thickBot="1">
      <c r="A331" s="98">
        <f>A330-A329</f>
        <v>13</v>
      </c>
      <c r="B331" s="99"/>
      <c r="C331" s="100" t="s">
        <v>5</v>
      </c>
      <c r="D331" s="97"/>
    </row>
    <row r="332" spans="1:4" ht="42.75" customHeight="1" thickBot="1">
      <c r="A332" s="101">
        <v>40</v>
      </c>
      <c r="B332" s="102"/>
      <c r="C332" s="96" t="s">
        <v>6</v>
      </c>
      <c r="D332" s="97"/>
    </row>
    <row r="333" spans="1:4" ht="42.75" customHeight="1" thickBot="1">
      <c r="A333" s="103"/>
      <c r="B333" s="104"/>
      <c r="C333" s="96" t="s">
        <v>21</v>
      </c>
      <c r="D333" s="97"/>
    </row>
    <row r="334" spans="1:4" ht="42.75" customHeight="1" thickBot="1">
      <c r="A334" s="105">
        <v>500</v>
      </c>
      <c r="B334" s="106"/>
      <c r="C334" s="96" t="s">
        <v>7</v>
      </c>
      <c r="D334" s="97"/>
    </row>
    <row r="335" spans="1:4" ht="42.75" customHeight="1" thickBot="1">
      <c r="A335" s="107" t="s">
        <v>17</v>
      </c>
      <c r="B335" s="108"/>
      <c r="C335" s="108"/>
      <c r="D335" s="109"/>
    </row>
    <row r="336" spans="1:4" ht="42.75" customHeight="1" thickBot="1">
      <c r="A336" s="116" t="s">
        <v>20</v>
      </c>
      <c r="B336" s="117"/>
      <c r="C336" s="117"/>
      <c r="D336" s="118"/>
    </row>
    <row r="337" spans="1:4" ht="42.75" customHeight="1" thickBot="1">
      <c r="A337" s="113" t="s">
        <v>18</v>
      </c>
      <c r="B337" s="114"/>
      <c r="C337" s="114"/>
      <c r="D337" s="115"/>
    </row>
    <row r="338" spans="1:4" ht="42.75" customHeight="1" thickBot="1">
      <c r="A338" s="119"/>
      <c r="B338" s="119"/>
      <c r="C338" s="119"/>
      <c r="D338" s="119"/>
    </row>
    <row r="339" spans="1:4" ht="42.75" customHeight="1" thickBot="1">
      <c r="A339" s="126" t="s">
        <v>19</v>
      </c>
      <c r="B339" s="127"/>
      <c r="C339" s="127"/>
      <c r="D339" s="128"/>
    </row>
    <row r="340" spans="1:4" ht="42.75" customHeight="1" thickBot="1">
      <c r="A340" s="123" t="s">
        <v>11</v>
      </c>
      <c r="B340" s="124"/>
      <c r="C340" s="125" t="s">
        <v>603</v>
      </c>
      <c r="D340" s="124"/>
    </row>
    <row r="341" spans="1:4" ht="42.75" customHeight="1" thickBot="1">
      <c r="A341" s="1" t="s">
        <v>686</v>
      </c>
      <c r="B341" s="26" t="s">
        <v>1</v>
      </c>
      <c r="C341" s="90" t="s">
        <v>227</v>
      </c>
      <c r="D341" s="91"/>
    </row>
    <row r="342" spans="1:4" ht="42.75" customHeight="1" thickBot="1">
      <c r="A342" s="26"/>
      <c r="B342" s="26" t="s">
        <v>0</v>
      </c>
      <c r="C342" s="5" t="s">
        <v>687</v>
      </c>
      <c r="D342" s="4" t="s">
        <v>2</v>
      </c>
    </row>
    <row r="343" spans="1:4" ht="42.75" customHeight="1" thickBot="1">
      <c r="A343" s="92">
        <v>772</v>
      </c>
      <c r="B343" s="93"/>
      <c r="C343" s="94" t="s">
        <v>3</v>
      </c>
      <c r="D343" s="95"/>
    </row>
    <row r="344" spans="1:4" ht="42.75" customHeight="1" thickBot="1">
      <c r="A344" s="92">
        <v>785</v>
      </c>
      <c r="B344" s="93"/>
      <c r="C344" s="96" t="s">
        <v>4</v>
      </c>
      <c r="D344" s="97"/>
    </row>
    <row r="345" spans="1:4" ht="42.75" customHeight="1" thickBot="1">
      <c r="A345" s="98">
        <f>A344-A343</f>
        <v>13</v>
      </c>
      <c r="B345" s="99"/>
      <c r="C345" s="100" t="s">
        <v>5</v>
      </c>
      <c r="D345" s="97"/>
    </row>
    <row r="346" spans="1:4" ht="42.75" customHeight="1" thickBot="1">
      <c r="A346" s="101">
        <v>40</v>
      </c>
      <c r="B346" s="102"/>
      <c r="C346" s="96" t="s">
        <v>6</v>
      </c>
      <c r="D346" s="97"/>
    </row>
    <row r="347" spans="1:4" ht="42.75" customHeight="1" thickBot="1">
      <c r="A347" s="103"/>
      <c r="B347" s="104"/>
      <c r="C347" s="96" t="s">
        <v>21</v>
      </c>
      <c r="D347" s="97"/>
    </row>
    <row r="348" spans="1:4" ht="42.75" customHeight="1" thickBot="1">
      <c r="A348" s="105">
        <v>500</v>
      </c>
      <c r="B348" s="106"/>
      <c r="C348" s="96" t="s">
        <v>7</v>
      </c>
      <c r="D348" s="97"/>
    </row>
    <row r="349" spans="1:4" ht="42.75" customHeight="1" thickBot="1">
      <c r="A349" s="107" t="s">
        <v>17</v>
      </c>
      <c r="B349" s="108"/>
      <c r="C349" s="108"/>
      <c r="D349" s="109"/>
    </row>
    <row r="350" spans="1:4" ht="42.75" customHeight="1" thickBot="1">
      <c r="A350" s="110" t="s">
        <v>20</v>
      </c>
      <c r="B350" s="111"/>
      <c r="C350" s="111"/>
      <c r="D350" s="112"/>
    </row>
    <row r="351" spans="1:4" ht="42.75" customHeight="1" thickBot="1">
      <c r="A351" s="113" t="s">
        <v>18</v>
      </c>
      <c r="B351" s="114"/>
      <c r="C351" s="114"/>
      <c r="D351" s="115"/>
    </row>
    <row r="352" spans="1:4" ht="42.75" customHeight="1" thickBot="1">
      <c r="A352" s="126" t="s">
        <v>19</v>
      </c>
      <c r="B352" s="127"/>
      <c r="C352" s="127"/>
      <c r="D352" s="128"/>
    </row>
    <row r="353" spans="1:4" ht="42.75" customHeight="1" thickBot="1">
      <c r="A353" s="123" t="s">
        <v>11</v>
      </c>
      <c r="B353" s="124"/>
      <c r="C353" s="125" t="s">
        <v>603</v>
      </c>
      <c r="D353" s="124"/>
    </row>
    <row r="354" spans="1:4" ht="42.75" customHeight="1" thickBot="1">
      <c r="A354" s="1" t="s">
        <v>686</v>
      </c>
      <c r="B354" s="26" t="s">
        <v>1</v>
      </c>
      <c r="C354" s="90" t="s">
        <v>360</v>
      </c>
      <c r="D354" s="91"/>
    </row>
    <row r="355" spans="1:4" ht="42.75" customHeight="1" thickBot="1">
      <c r="A355" s="26"/>
      <c r="B355" s="26" t="s">
        <v>0</v>
      </c>
      <c r="C355" s="5" t="s">
        <v>687</v>
      </c>
      <c r="D355" s="4" t="s">
        <v>2</v>
      </c>
    </row>
    <row r="356" spans="1:4" ht="42.75" customHeight="1" thickBot="1">
      <c r="A356" s="92">
        <v>1585</v>
      </c>
      <c r="B356" s="93"/>
      <c r="C356" s="94" t="s">
        <v>3</v>
      </c>
      <c r="D356" s="95"/>
    </row>
    <row r="357" spans="1:4" ht="42.75" customHeight="1" thickBot="1">
      <c r="A357" s="92">
        <v>1610</v>
      </c>
      <c r="B357" s="93"/>
      <c r="C357" s="96" t="s">
        <v>4</v>
      </c>
      <c r="D357" s="97"/>
    </row>
    <row r="358" spans="1:4" ht="42.75" customHeight="1" thickBot="1">
      <c r="A358" s="98">
        <f>A357-A356</f>
        <v>25</v>
      </c>
      <c r="B358" s="99"/>
      <c r="C358" s="100" t="s">
        <v>5</v>
      </c>
      <c r="D358" s="97"/>
    </row>
    <row r="359" spans="1:4" ht="42.75" customHeight="1" thickBot="1">
      <c r="A359" s="101">
        <v>40</v>
      </c>
      <c r="B359" s="102"/>
      <c r="C359" s="96" t="s">
        <v>6</v>
      </c>
      <c r="D359" s="97"/>
    </row>
    <row r="360" spans="1:4" ht="42.75" customHeight="1" thickBot="1">
      <c r="A360" s="103"/>
      <c r="B360" s="104"/>
      <c r="C360" s="96" t="s">
        <v>21</v>
      </c>
      <c r="D360" s="97"/>
    </row>
    <row r="361" spans="1:4" ht="42.75" customHeight="1" thickBot="1">
      <c r="A361" s="105">
        <f>A359*A358</f>
        <v>1000</v>
      </c>
      <c r="B361" s="106"/>
      <c r="C361" s="96" t="s">
        <v>7</v>
      </c>
      <c r="D361" s="97"/>
    </row>
    <row r="362" spans="1:4" ht="42.75" customHeight="1" thickBot="1">
      <c r="A362" s="107" t="s">
        <v>17</v>
      </c>
      <c r="B362" s="108"/>
      <c r="C362" s="108"/>
      <c r="D362" s="109"/>
    </row>
    <row r="363" spans="1:4" ht="42.75" customHeight="1" thickBot="1">
      <c r="A363" s="116" t="s">
        <v>20</v>
      </c>
      <c r="B363" s="117"/>
      <c r="C363" s="117"/>
      <c r="D363" s="118"/>
    </row>
    <row r="364" spans="1:4" ht="42.75" customHeight="1" thickBot="1">
      <c r="A364" s="113" t="s">
        <v>18</v>
      </c>
      <c r="B364" s="114"/>
      <c r="C364" s="114"/>
      <c r="D364" s="115"/>
    </row>
    <row r="365" spans="1:4" ht="42.75" customHeight="1" thickBot="1">
      <c r="A365" s="119"/>
      <c r="B365" s="119"/>
      <c r="C365" s="119"/>
      <c r="D365" s="119"/>
    </row>
    <row r="366" spans="1:4" ht="42.75" customHeight="1" thickBot="1">
      <c r="A366" s="126" t="s">
        <v>19</v>
      </c>
      <c r="B366" s="127"/>
      <c r="C366" s="127"/>
      <c r="D366" s="128"/>
    </row>
    <row r="367" spans="1:4" ht="42.75" customHeight="1" thickBot="1">
      <c r="A367" s="123" t="s">
        <v>11</v>
      </c>
      <c r="B367" s="124"/>
      <c r="C367" s="125" t="s">
        <v>603</v>
      </c>
      <c r="D367" s="124"/>
    </row>
    <row r="368" spans="1:4" ht="42.75" customHeight="1" thickBot="1">
      <c r="A368" s="1" t="s">
        <v>686</v>
      </c>
      <c r="B368" s="26" t="s">
        <v>1</v>
      </c>
      <c r="C368" s="90" t="s">
        <v>360</v>
      </c>
      <c r="D368" s="91"/>
    </row>
    <row r="369" spans="1:4" ht="42.75" customHeight="1" thickBot="1">
      <c r="A369" s="26"/>
      <c r="B369" s="26" t="s">
        <v>0</v>
      </c>
      <c r="C369" s="5" t="s">
        <v>687</v>
      </c>
      <c r="D369" s="4" t="s">
        <v>2</v>
      </c>
    </row>
    <row r="370" spans="1:4" ht="42.75" customHeight="1" thickBot="1">
      <c r="A370" s="92">
        <v>1585</v>
      </c>
      <c r="B370" s="93"/>
      <c r="C370" s="94" t="s">
        <v>3</v>
      </c>
      <c r="D370" s="95"/>
    </row>
    <row r="371" spans="1:4" ht="42.75" customHeight="1" thickBot="1">
      <c r="A371" s="92">
        <v>1610</v>
      </c>
      <c r="B371" s="93"/>
      <c r="C371" s="96" t="s">
        <v>4</v>
      </c>
      <c r="D371" s="97"/>
    </row>
    <row r="372" spans="1:4" ht="42.75" customHeight="1" thickBot="1">
      <c r="A372" s="98">
        <f>A371-A370</f>
        <v>25</v>
      </c>
      <c r="B372" s="99"/>
      <c r="C372" s="100" t="s">
        <v>5</v>
      </c>
      <c r="D372" s="97"/>
    </row>
    <row r="373" spans="1:4" ht="42.75" customHeight="1" thickBot="1">
      <c r="A373" s="101">
        <v>40</v>
      </c>
      <c r="B373" s="102"/>
      <c r="C373" s="96" t="s">
        <v>6</v>
      </c>
      <c r="D373" s="97"/>
    </row>
    <row r="374" spans="1:4" ht="42.75" customHeight="1" thickBot="1">
      <c r="A374" s="103"/>
      <c r="B374" s="104"/>
      <c r="C374" s="96" t="s">
        <v>21</v>
      </c>
      <c r="D374" s="97"/>
    </row>
    <row r="375" spans="1:4" ht="42.75" customHeight="1" thickBot="1">
      <c r="A375" s="105">
        <f>A373*A372</f>
        <v>1000</v>
      </c>
      <c r="B375" s="106"/>
      <c r="C375" s="96" t="s">
        <v>7</v>
      </c>
      <c r="D375" s="97"/>
    </row>
    <row r="376" spans="1:4" ht="42.75" customHeight="1" thickBot="1">
      <c r="A376" s="107" t="s">
        <v>17</v>
      </c>
      <c r="B376" s="108"/>
      <c r="C376" s="108"/>
      <c r="D376" s="109"/>
    </row>
    <row r="377" spans="1:4" ht="42.75" customHeight="1" thickBot="1">
      <c r="A377" s="110" t="s">
        <v>20</v>
      </c>
      <c r="B377" s="111"/>
      <c r="C377" s="111"/>
      <c r="D377" s="112"/>
    </row>
    <row r="378" spans="1:4" ht="42.75" customHeight="1" thickBot="1">
      <c r="A378" s="113" t="s">
        <v>18</v>
      </c>
      <c r="B378" s="114"/>
      <c r="C378" s="114"/>
      <c r="D378" s="115"/>
    </row>
    <row r="379" spans="1:4" ht="42.75" customHeight="1" thickBot="1">
      <c r="A379" s="126" t="s">
        <v>19</v>
      </c>
      <c r="B379" s="127"/>
      <c r="C379" s="127"/>
      <c r="D379" s="128"/>
    </row>
    <row r="380" spans="1:4" ht="42.75" customHeight="1" thickBot="1">
      <c r="A380" s="123" t="s">
        <v>11</v>
      </c>
      <c r="B380" s="124"/>
      <c r="C380" s="125" t="s">
        <v>603</v>
      </c>
      <c r="D380" s="124"/>
    </row>
    <row r="381" spans="1:4" ht="42.75" customHeight="1" thickBot="1">
      <c r="A381" s="1" t="s">
        <v>686</v>
      </c>
      <c r="B381" s="26" t="s">
        <v>1</v>
      </c>
      <c r="C381" s="90" t="s">
        <v>295</v>
      </c>
      <c r="D381" s="91"/>
    </row>
    <row r="382" spans="1:4" ht="42.75" customHeight="1" thickBot="1">
      <c r="A382" s="26"/>
      <c r="B382" s="26" t="s">
        <v>0</v>
      </c>
      <c r="C382" s="5" t="s">
        <v>687</v>
      </c>
      <c r="D382" s="4" t="s">
        <v>2</v>
      </c>
    </row>
    <row r="383" spans="1:4" ht="42.75" customHeight="1" thickBot="1">
      <c r="A383" s="92">
        <v>3240</v>
      </c>
      <c r="B383" s="93"/>
      <c r="C383" s="94" t="s">
        <v>3</v>
      </c>
      <c r="D383" s="95"/>
    </row>
    <row r="384" spans="1:4" ht="42.75" customHeight="1" thickBot="1">
      <c r="A384" s="92">
        <v>3240</v>
      </c>
      <c r="B384" s="93"/>
      <c r="C384" s="96" t="s">
        <v>4</v>
      </c>
      <c r="D384" s="97"/>
    </row>
    <row r="385" spans="1:4" ht="42.75" customHeight="1" thickBot="1">
      <c r="A385" s="98">
        <f>A384-A383</f>
        <v>0</v>
      </c>
      <c r="B385" s="99"/>
      <c r="C385" s="100" t="s">
        <v>5</v>
      </c>
      <c r="D385" s="97"/>
    </row>
    <row r="386" spans="1:4" ht="42.75" customHeight="1" thickBot="1">
      <c r="A386" s="101">
        <v>40</v>
      </c>
      <c r="B386" s="102"/>
      <c r="C386" s="96" t="s">
        <v>6</v>
      </c>
      <c r="D386" s="97"/>
    </row>
    <row r="387" spans="1:4" ht="42.75" customHeight="1" thickBot="1">
      <c r="A387" s="103"/>
      <c r="B387" s="104"/>
      <c r="C387" s="96" t="s">
        <v>21</v>
      </c>
      <c r="D387" s="97"/>
    </row>
    <row r="388" spans="1:4" ht="42.75" customHeight="1" thickBot="1">
      <c r="A388" s="105">
        <f>A386*A385</f>
        <v>0</v>
      </c>
      <c r="B388" s="106"/>
      <c r="C388" s="96" t="s">
        <v>7</v>
      </c>
      <c r="D388" s="97"/>
    </row>
    <row r="389" spans="1:4" ht="42.75" customHeight="1" thickBot="1">
      <c r="A389" s="107" t="s">
        <v>17</v>
      </c>
      <c r="B389" s="108"/>
      <c r="C389" s="108"/>
      <c r="D389" s="109"/>
    </row>
    <row r="390" spans="1:4" ht="42.75" customHeight="1" thickBot="1">
      <c r="A390" s="116" t="s">
        <v>20</v>
      </c>
      <c r="B390" s="117"/>
      <c r="C390" s="117"/>
      <c r="D390" s="118"/>
    </row>
    <row r="391" spans="1:4" ht="42.75" customHeight="1" thickBot="1">
      <c r="A391" s="113" t="s">
        <v>18</v>
      </c>
      <c r="B391" s="114"/>
      <c r="C391" s="114"/>
      <c r="D391" s="115"/>
    </row>
    <row r="392" spans="1:4" ht="42.75" customHeight="1" thickBot="1">
      <c r="A392" s="119"/>
      <c r="B392" s="119"/>
      <c r="C392" s="119"/>
      <c r="D392" s="119"/>
    </row>
    <row r="393" spans="1:4" ht="42.75" customHeight="1" thickBot="1">
      <c r="A393" s="132" t="s">
        <v>19</v>
      </c>
      <c r="B393" s="133"/>
      <c r="C393" s="133"/>
      <c r="D393" s="134"/>
    </row>
    <row r="394" spans="1:4" ht="42.75" customHeight="1" thickBot="1">
      <c r="A394" s="123" t="s">
        <v>11</v>
      </c>
      <c r="B394" s="124"/>
      <c r="C394" s="125" t="s">
        <v>603</v>
      </c>
      <c r="D394" s="124"/>
    </row>
    <row r="395" spans="1:4" ht="42.75" customHeight="1" thickBot="1">
      <c r="A395" s="1" t="s">
        <v>686</v>
      </c>
      <c r="B395" s="2" t="s">
        <v>1</v>
      </c>
      <c r="C395" s="90" t="s">
        <v>16</v>
      </c>
      <c r="D395" s="91"/>
    </row>
    <row r="396" spans="1:4" ht="42.75" customHeight="1" thickBot="1">
      <c r="A396" s="3"/>
      <c r="B396" s="4" t="s">
        <v>0</v>
      </c>
      <c r="C396" s="5" t="s">
        <v>687</v>
      </c>
      <c r="D396" s="4" t="s">
        <v>2</v>
      </c>
    </row>
    <row r="397" spans="1:4" ht="42.75" customHeight="1" thickBot="1">
      <c r="A397" s="92">
        <v>3240</v>
      </c>
      <c r="B397" s="93"/>
      <c r="C397" s="94" t="s">
        <v>3</v>
      </c>
      <c r="D397" s="95"/>
    </row>
    <row r="398" spans="1:4" ht="42.75" customHeight="1" thickBot="1">
      <c r="A398" s="92">
        <v>3240</v>
      </c>
      <c r="B398" s="93"/>
      <c r="C398" s="96" t="s">
        <v>4</v>
      </c>
      <c r="D398" s="97"/>
    </row>
    <row r="399" spans="1:4" ht="42.75" customHeight="1" thickBot="1">
      <c r="A399" s="98">
        <f>A397-A397</f>
        <v>0</v>
      </c>
      <c r="B399" s="99"/>
      <c r="C399" s="100" t="s">
        <v>5</v>
      </c>
      <c r="D399" s="97"/>
    </row>
    <row r="400" spans="1:4" ht="42.75" customHeight="1" thickBot="1">
      <c r="A400" s="101">
        <v>40</v>
      </c>
      <c r="B400" s="102"/>
      <c r="C400" s="96" t="s">
        <v>6</v>
      </c>
      <c r="D400" s="97"/>
    </row>
    <row r="401" spans="1:4" ht="42.75" customHeight="1" thickBot="1">
      <c r="A401" s="103"/>
      <c r="B401" s="104"/>
      <c r="C401" s="96" t="s">
        <v>21</v>
      </c>
      <c r="D401" s="97"/>
    </row>
    <row r="402" spans="1:4" ht="42.75" customHeight="1" thickBot="1">
      <c r="A402" s="105">
        <f>A400*A399</f>
        <v>0</v>
      </c>
      <c r="B402" s="106"/>
      <c r="C402" s="96" t="s">
        <v>7</v>
      </c>
      <c r="D402" s="97"/>
    </row>
    <row r="403" spans="1:4" ht="42.75" customHeight="1" thickBot="1">
      <c r="A403" s="107" t="s">
        <v>17</v>
      </c>
      <c r="B403" s="108"/>
      <c r="C403" s="108"/>
      <c r="D403" s="109"/>
    </row>
    <row r="404" spans="1:4" ht="42.75" customHeight="1" thickBot="1">
      <c r="A404" s="110" t="s">
        <v>20</v>
      </c>
      <c r="B404" s="111"/>
      <c r="C404" s="111"/>
      <c r="D404" s="112"/>
    </row>
    <row r="405" spans="1:4" ht="42.75" customHeight="1" thickBot="1">
      <c r="A405" s="113" t="s">
        <v>18</v>
      </c>
      <c r="B405" s="114"/>
      <c r="C405" s="114"/>
      <c r="D405" s="115"/>
    </row>
    <row r="406" spans="1:4" ht="42.75" customHeight="1" thickBot="1">
      <c r="A406" s="126" t="s">
        <v>19</v>
      </c>
      <c r="B406" s="127"/>
      <c r="C406" s="127"/>
      <c r="D406" s="128"/>
    </row>
    <row r="407" spans="1:4" ht="42.75" customHeight="1" thickBot="1">
      <c r="A407" s="123" t="s">
        <v>11</v>
      </c>
      <c r="B407" s="124"/>
      <c r="C407" s="125" t="s">
        <v>603</v>
      </c>
      <c r="D407" s="124"/>
    </row>
    <row r="408" spans="1:4" ht="42.75" customHeight="1" thickBot="1">
      <c r="A408" s="1" t="s">
        <v>686</v>
      </c>
      <c r="B408" s="26" t="s">
        <v>1</v>
      </c>
      <c r="C408" s="90" t="s">
        <v>361</v>
      </c>
      <c r="D408" s="91"/>
    </row>
    <row r="409" spans="1:4" ht="42.75" customHeight="1" thickBot="1">
      <c r="A409" s="26"/>
      <c r="B409" s="26" t="s">
        <v>0</v>
      </c>
      <c r="C409" s="5" t="s">
        <v>687</v>
      </c>
      <c r="D409" s="4" t="s">
        <v>2</v>
      </c>
    </row>
    <row r="410" spans="1:4" ht="42.75" customHeight="1" thickBot="1">
      <c r="A410" s="92">
        <v>5975</v>
      </c>
      <c r="B410" s="93"/>
      <c r="C410" s="94" t="s">
        <v>3</v>
      </c>
      <c r="D410" s="95"/>
    </row>
    <row r="411" spans="1:4" ht="42.75" customHeight="1" thickBot="1">
      <c r="A411" s="92">
        <v>6025</v>
      </c>
      <c r="B411" s="93"/>
      <c r="C411" s="96" t="s">
        <v>4</v>
      </c>
      <c r="D411" s="97"/>
    </row>
    <row r="412" spans="1:4" ht="42.75" customHeight="1" thickBot="1">
      <c r="A412" s="98">
        <f>A411-A410</f>
        <v>50</v>
      </c>
      <c r="B412" s="99"/>
      <c r="C412" s="100" t="s">
        <v>5</v>
      </c>
      <c r="D412" s="97"/>
    </row>
    <row r="413" spans="1:4" ht="42.75" customHeight="1" thickBot="1">
      <c r="A413" s="101">
        <v>40</v>
      </c>
      <c r="B413" s="102"/>
      <c r="C413" s="96" t="s">
        <v>6</v>
      </c>
      <c r="D413" s="97"/>
    </row>
    <row r="414" spans="1:4" ht="42.75" customHeight="1" thickBot="1">
      <c r="A414" s="103"/>
      <c r="B414" s="104"/>
      <c r="C414" s="96" t="s">
        <v>21</v>
      </c>
      <c r="D414" s="97"/>
    </row>
    <row r="415" spans="1:4" ht="42.75" customHeight="1" thickBot="1">
      <c r="A415" s="105">
        <f>A413*A412</f>
        <v>2000</v>
      </c>
      <c r="B415" s="106"/>
      <c r="C415" s="96" t="s">
        <v>7</v>
      </c>
      <c r="D415" s="97"/>
    </row>
    <row r="416" spans="1:4" ht="42.75" customHeight="1" thickBot="1">
      <c r="A416" s="107" t="s">
        <v>17</v>
      </c>
      <c r="B416" s="108"/>
      <c r="C416" s="108"/>
      <c r="D416" s="109"/>
    </row>
    <row r="417" spans="1:4" ht="42.75" customHeight="1" thickBot="1">
      <c r="A417" s="116" t="s">
        <v>20</v>
      </c>
      <c r="B417" s="117"/>
      <c r="C417" s="117"/>
      <c r="D417" s="118"/>
    </row>
    <row r="418" spans="1:4" ht="42.75" customHeight="1" thickBot="1">
      <c r="A418" s="113" t="s">
        <v>18</v>
      </c>
      <c r="B418" s="114"/>
      <c r="C418" s="114"/>
      <c r="D418" s="115"/>
    </row>
    <row r="419" spans="1:4" ht="42.75" customHeight="1" thickBot="1">
      <c r="A419" s="119"/>
      <c r="B419" s="119"/>
      <c r="C419" s="119"/>
      <c r="D419" s="119"/>
    </row>
    <row r="420" spans="1:4" ht="42.75" customHeight="1" thickBot="1">
      <c r="A420" s="126" t="s">
        <v>19</v>
      </c>
      <c r="B420" s="127"/>
      <c r="C420" s="127"/>
      <c r="D420" s="128"/>
    </row>
    <row r="421" spans="1:4" ht="42.75" customHeight="1" thickBot="1">
      <c r="A421" s="123" t="s">
        <v>11</v>
      </c>
      <c r="B421" s="124"/>
      <c r="C421" s="125" t="s">
        <v>603</v>
      </c>
      <c r="D421" s="124"/>
    </row>
    <row r="422" spans="1:4" ht="42.75" customHeight="1" thickBot="1">
      <c r="A422" s="1" t="s">
        <v>686</v>
      </c>
      <c r="B422" s="26" t="s">
        <v>1</v>
      </c>
      <c r="C422" s="90" t="s">
        <v>361</v>
      </c>
      <c r="D422" s="91"/>
    </row>
    <row r="423" spans="1:4" ht="42.75" customHeight="1" thickBot="1">
      <c r="A423" s="26"/>
      <c r="B423" s="26" t="s">
        <v>0</v>
      </c>
      <c r="C423" s="5" t="s">
        <v>687</v>
      </c>
      <c r="D423" s="4" t="s">
        <v>2</v>
      </c>
    </row>
    <row r="424" spans="1:4" ht="42.75" customHeight="1" thickBot="1">
      <c r="A424" s="92">
        <v>5975</v>
      </c>
      <c r="B424" s="93"/>
      <c r="C424" s="94" t="s">
        <v>3</v>
      </c>
      <c r="D424" s="95"/>
    </row>
    <row r="425" spans="1:4" ht="42.75" customHeight="1" thickBot="1">
      <c r="A425" s="92">
        <v>6025</v>
      </c>
      <c r="B425" s="93"/>
      <c r="C425" s="96" t="s">
        <v>4</v>
      </c>
      <c r="D425" s="97"/>
    </row>
    <row r="426" spans="1:4" ht="42.75" customHeight="1" thickBot="1">
      <c r="A426" s="98">
        <f>A425-A424</f>
        <v>50</v>
      </c>
      <c r="B426" s="99"/>
      <c r="C426" s="100" t="s">
        <v>5</v>
      </c>
      <c r="D426" s="97"/>
    </row>
    <row r="427" spans="1:4" ht="42.75" customHeight="1" thickBot="1">
      <c r="A427" s="101">
        <v>40</v>
      </c>
      <c r="B427" s="102"/>
      <c r="C427" s="96" t="s">
        <v>6</v>
      </c>
      <c r="D427" s="97"/>
    </row>
    <row r="428" spans="1:4" ht="42.75" customHeight="1" thickBot="1">
      <c r="A428" s="103"/>
      <c r="B428" s="104"/>
      <c r="C428" s="96" t="s">
        <v>21</v>
      </c>
      <c r="D428" s="97"/>
    </row>
    <row r="429" spans="1:4" ht="42.75" customHeight="1" thickBot="1">
      <c r="A429" s="105">
        <f>A427*A426</f>
        <v>2000</v>
      </c>
      <c r="B429" s="106"/>
      <c r="C429" s="96" t="s">
        <v>7</v>
      </c>
      <c r="D429" s="97"/>
    </row>
    <row r="430" spans="1:4" ht="42.75" customHeight="1" thickBot="1">
      <c r="A430" s="107" t="s">
        <v>17</v>
      </c>
      <c r="B430" s="108"/>
      <c r="C430" s="108"/>
      <c r="D430" s="109"/>
    </row>
    <row r="431" spans="1:4" ht="42.75" customHeight="1" thickBot="1">
      <c r="A431" s="110" t="s">
        <v>20</v>
      </c>
      <c r="B431" s="111"/>
      <c r="C431" s="111"/>
      <c r="D431" s="112"/>
    </row>
    <row r="432" spans="1:4" ht="42.75" customHeight="1" thickBot="1">
      <c r="A432" s="113" t="s">
        <v>18</v>
      </c>
      <c r="B432" s="114"/>
      <c r="C432" s="114"/>
      <c r="D432" s="115"/>
    </row>
    <row r="433" spans="1:4" ht="42.75" customHeight="1" thickBot="1">
      <c r="A433" s="126" t="s">
        <v>19</v>
      </c>
      <c r="B433" s="127"/>
      <c r="C433" s="127"/>
      <c r="D433" s="128"/>
    </row>
    <row r="434" spans="1:4" ht="42.75" customHeight="1" thickBot="1">
      <c r="A434" s="123" t="s">
        <v>11</v>
      </c>
      <c r="B434" s="124"/>
      <c r="C434" s="125" t="s">
        <v>603</v>
      </c>
      <c r="D434" s="124"/>
    </row>
    <row r="435" spans="1:4" ht="42.75" customHeight="1" thickBot="1">
      <c r="A435" s="1" t="s">
        <v>686</v>
      </c>
      <c r="B435" s="26" t="s">
        <v>1</v>
      </c>
      <c r="C435" s="90" t="s">
        <v>541</v>
      </c>
      <c r="D435" s="91"/>
    </row>
    <row r="436" spans="1:4" ht="42.75" customHeight="1" thickBot="1">
      <c r="A436" s="26"/>
      <c r="B436" s="26" t="s">
        <v>0</v>
      </c>
      <c r="C436" s="5" t="s">
        <v>687</v>
      </c>
      <c r="D436" s="4" t="s">
        <v>2</v>
      </c>
    </row>
    <row r="437" spans="1:4" ht="42.75" customHeight="1" thickBot="1">
      <c r="A437" s="92">
        <v>1140</v>
      </c>
      <c r="B437" s="93"/>
      <c r="C437" s="94" t="s">
        <v>3</v>
      </c>
      <c r="D437" s="95"/>
    </row>
    <row r="438" spans="1:4" ht="42.75" customHeight="1" thickBot="1">
      <c r="A438" s="92">
        <v>1140</v>
      </c>
      <c r="B438" s="93"/>
      <c r="C438" s="96" t="s">
        <v>4</v>
      </c>
      <c r="D438" s="97"/>
    </row>
    <row r="439" spans="1:4" ht="42.75" customHeight="1" thickBot="1">
      <c r="A439" s="98">
        <f>A438-A437</f>
        <v>0</v>
      </c>
      <c r="B439" s="99"/>
      <c r="C439" s="100" t="s">
        <v>5</v>
      </c>
      <c r="D439" s="97"/>
    </row>
    <row r="440" spans="1:4" ht="42.75" customHeight="1" thickBot="1">
      <c r="A440" s="101">
        <v>40</v>
      </c>
      <c r="B440" s="102"/>
      <c r="C440" s="96" t="s">
        <v>6</v>
      </c>
      <c r="D440" s="97"/>
    </row>
    <row r="441" spans="1:4" ht="42.75" customHeight="1" thickBot="1">
      <c r="A441" s="103"/>
      <c r="B441" s="104"/>
      <c r="C441" s="96" t="s">
        <v>21</v>
      </c>
      <c r="D441" s="97"/>
    </row>
    <row r="442" spans="1:4" ht="42.75" customHeight="1" thickBot="1">
      <c r="A442" s="105">
        <f>A440*A439</f>
        <v>0</v>
      </c>
      <c r="B442" s="106"/>
      <c r="C442" s="96" t="s">
        <v>7</v>
      </c>
      <c r="D442" s="97"/>
    </row>
    <row r="443" spans="1:4" ht="42.75" customHeight="1" thickBot="1">
      <c r="A443" s="107" t="s">
        <v>17</v>
      </c>
      <c r="B443" s="108"/>
      <c r="C443" s="108"/>
      <c r="D443" s="109"/>
    </row>
    <row r="444" spans="1:4" ht="42.75" customHeight="1" thickBot="1">
      <c r="A444" s="116" t="s">
        <v>20</v>
      </c>
      <c r="B444" s="117"/>
      <c r="C444" s="117"/>
      <c r="D444" s="118"/>
    </row>
    <row r="445" spans="1:4" ht="42.75" customHeight="1" thickBot="1">
      <c r="A445" s="113" t="s">
        <v>18</v>
      </c>
      <c r="B445" s="114"/>
      <c r="C445" s="114"/>
      <c r="D445" s="115"/>
    </row>
    <row r="446" spans="1:4" ht="42.75" customHeight="1" thickBot="1">
      <c r="A446" s="119"/>
      <c r="B446" s="119"/>
      <c r="C446" s="119"/>
      <c r="D446" s="119"/>
    </row>
    <row r="447" spans="1:4" ht="42.75" customHeight="1" thickBot="1">
      <c r="A447" s="126" t="s">
        <v>19</v>
      </c>
      <c r="B447" s="127"/>
      <c r="C447" s="127"/>
      <c r="D447" s="128"/>
    </row>
    <row r="448" spans="1:4" ht="42.75" customHeight="1" thickBot="1">
      <c r="A448" s="123" t="s">
        <v>11</v>
      </c>
      <c r="B448" s="124"/>
      <c r="C448" s="125" t="s">
        <v>603</v>
      </c>
      <c r="D448" s="124"/>
    </row>
    <row r="449" spans="1:4" ht="42.75" customHeight="1" thickBot="1">
      <c r="A449" s="1" t="s">
        <v>686</v>
      </c>
      <c r="B449" s="26" t="s">
        <v>1</v>
      </c>
      <c r="C449" s="90" t="s">
        <v>541</v>
      </c>
      <c r="D449" s="91"/>
    </row>
    <row r="450" spans="1:4" ht="42.75" customHeight="1" thickBot="1">
      <c r="A450" s="26"/>
      <c r="B450" s="26" t="s">
        <v>0</v>
      </c>
      <c r="C450" s="5" t="s">
        <v>687</v>
      </c>
      <c r="D450" s="4" t="s">
        <v>2</v>
      </c>
    </row>
    <row r="451" spans="1:4" ht="42.75" customHeight="1" thickBot="1">
      <c r="A451" s="92">
        <v>1135</v>
      </c>
      <c r="B451" s="93"/>
      <c r="C451" s="94" t="s">
        <v>3</v>
      </c>
      <c r="D451" s="95"/>
    </row>
    <row r="452" spans="1:4" ht="42.75" customHeight="1" thickBot="1">
      <c r="A452" s="92">
        <v>1140</v>
      </c>
      <c r="B452" s="93"/>
      <c r="C452" s="96" t="s">
        <v>4</v>
      </c>
      <c r="D452" s="97"/>
    </row>
    <row r="453" spans="1:4" ht="42.75" customHeight="1" thickBot="1">
      <c r="A453" s="98">
        <v>10</v>
      </c>
      <c r="B453" s="99"/>
      <c r="C453" s="100" t="s">
        <v>5</v>
      </c>
      <c r="D453" s="97"/>
    </row>
    <row r="454" spans="1:4" ht="42.75" customHeight="1" thickBot="1">
      <c r="A454" s="101">
        <v>40</v>
      </c>
      <c r="B454" s="102"/>
      <c r="C454" s="96" t="s">
        <v>6</v>
      </c>
      <c r="D454" s="97"/>
    </row>
    <row r="455" spans="1:4" ht="42.75" customHeight="1" thickBot="1">
      <c r="A455" s="103"/>
      <c r="B455" s="104"/>
      <c r="C455" s="96" t="s">
        <v>21</v>
      </c>
      <c r="D455" s="97"/>
    </row>
    <row r="456" spans="1:4" ht="42.75" customHeight="1" thickBot="1">
      <c r="A456" s="105">
        <v>0</v>
      </c>
      <c r="B456" s="106"/>
      <c r="C456" s="96" t="s">
        <v>7</v>
      </c>
      <c r="D456" s="97"/>
    </row>
    <row r="457" spans="1:4" ht="42.75" customHeight="1" thickBot="1">
      <c r="A457" s="107" t="s">
        <v>17</v>
      </c>
      <c r="B457" s="108"/>
      <c r="C457" s="108"/>
      <c r="D457" s="109"/>
    </row>
    <row r="458" spans="1:4" ht="42.75" customHeight="1" thickBot="1">
      <c r="A458" s="110" t="s">
        <v>20</v>
      </c>
      <c r="B458" s="111"/>
      <c r="C458" s="111"/>
      <c r="D458" s="112"/>
    </row>
    <row r="459" spans="1:4" ht="42.75" customHeight="1" thickBot="1">
      <c r="A459" s="113" t="s">
        <v>18</v>
      </c>
      <c r="B459" s="114"/>
      <c r="C459" s="114"/>
      <c r="D459" s="115"/>
    </row>
    <row r="460" spans="1:4" ht="42.75" customHeight="1" thickBot="1">
      <c r="A460" s="126" t="s">
        <v>19</v>
      </c>
      <c r="B460" s="127"/>
      <c r="C460" s="127"/>
      <c r="D460" s="128"/>
    </row>
    <row r="461" spans="1:4" ht="42.75" customHeight="1" thickBot="1">
      <c r="A461" s="123" t="s">
        <v>11</v>
      </c>
      <c r="B461" s="124"/>
      <c r="C461" s="125" t="s">
        <v>603</v>
      </c>
      <c r="D461" s="124"/>
    </row>
    <row r="462" spans="1:4" ht="42.75" customHeight="1" thickBot="1">
      <c r="A462" s="1" t="s">
        <v>686</v>
      </c>
      <c r="B462" s="26" t="s">
        <v>1</v>
      </c>
      <c r="C462" s="90" t="s">
        <v>362</v>
      </c>
      <c r="D462" s="91"/>
    </row>
    <row r="463" spans="1:4" ht="42.75" customHeight="1" thickBot="1">
      <c r="A463" s="26"/>
      <c r="B463" s="26" t="s">
        <v>0</v>
      </c>
      <c r="C463" s="5" t="s">
        <v>687</v>
      </c>
      <c r="D463" s="4" t="s">
        <v>2</v>
      </c>
    </row>
    <row r="464" spans="1:4" ht="42.75" customHeight="1" thickBot="1">
      <c r="A464" s="92">
        <v>1685</v>
      </c>
      <c r="B464" s="93"/>
      <c r="C464" s="94" t="s">
        <v>3</v>
      </c>
      <c r="D464" s="95"/>
    </row>
    <row r="465" spans="1:4" ht="42.75" customHeight="1" thickBot="1">
      <c r="A465" s="92">
        <v>1727</v>
      </c>
      <c r="B465" s="93"/>
      <c r="C465" s="96" t="s">
        <v>4</v>
      </c>
      <c r="D465" s="97"/>
    </row>
    <row r="466" spans="1:4" ht="42.75" customHeight="1" thickBot="1">
      <c r="A466" s="98">
        <f>A465-A464</f>
        <v>42</v>
      </c>
      <c r="B466" s="99"/>
      <c r="C466" s="100" t="s">
        <v>5</v>
      </c>
      <c r="D466" s="97"/>
    </row>
    <row r="467" spans="1:4" ht="42.75" customHeight="1" thickBot="1">
      <c r="A467" s="101">
        <v>50</v>
      </c>
      <c r="B467" s="102"/>
      <c r="C467" s="96" t="s">
        <v>6</v>
      </c>
      <c r="D467" s="97"/>
    </row>
    <row r="468" spans="1:4" ht="42.75" customHeight="1" thickBot="1">
      <c r="A468" s="103"/>
      <c r="B468" s="104"/>
      <c r="C468" s="96" t="s">
        <v>21</v>
      </c>
      <c r="D468" s="97"/>
    </row>
    <row r="469" spans="1:4" ht="42.75" customHeight="1" thickBot="1">
      <c r="A469" s="105">
        <f>A467*A466</f>
        <v>2100</v>
      </c>
      <c r="B469" s="106"/>
      <c r="C469" s="96" t="s">
        <v>7</v>
      </c>
      <c r="D469" s="97"/>
    </row>
    <row r="470" spans="1:4" ht="42.75" customHeight="1" thickBot="1">
      <c r="A470" s="107" t="s">
        <v>17</v>
      </c>
      <c r="B470" s="108"/>
      <c r="C470" s="108"/>
      <c r="D470" s="109"/>
    </row>
    <row r="471" spans="1:4" ht="42.75" customHeight="1" thickBot="1">
      <c r="A471" s="116" t="s">
        <v>20</v>
      </c>
      <c r="B471" s="117"/>
      <c r="C471" s="117"/>
      <c r="D471" s="118"/>
    </row>
    <row r="472" spans="1:4" ht="42.75" customHeight="1" thickBot="1">
      <c r="A472" s="113" t="s">
        <v>18</v>
      </c>
      <c r="B472" s="114"/>
      <c r="C472" s="114"/>
      <c r="D472" s="115"/>
    </row>
    <row r="473" spans="1:4" ht="42.75" customHeight="1" thickBot="1">
      <c r="A473" s="119"/>
      <c r="B473" s="119"/>
      <c r="C473" s="119"/>
      <c r="D473" s="119"/>
    </row>
    <row r="474" spans="1:4" ht="42.75" customHeight="1" thickBot="1">
      <c r="A474" s="126" t="s">
        <v>19</v>
      </c>
      <c r="B474" s="127"/>
      <c r="C474" s="127"/>
      <c r="D474" s="128"/>
    </row>
    <row r="475" spans="1:4" ht="42.75" customHeight="1" thickBot="1">
      <c r="A475" s="123" t="s">
        <v>11</v>
      </c>
      <c r="B475" s="124"/>
      <c r="C475" s="125" t="s">
        <v>603</v>
      </c>
      <c r="D475" s="124"/>
    </row>
    <row r="476" spans="1:4" ht="42.75" customHeight="1" thickBot="1">
      <c r="A476" s="1" t="s">
        <v>686</v>
      </c>
      <c r="B476" s="26" t="s">
        <v>1</v>
      </c>
      <c r="C476" s="90" t="s">
        <v>362</v>
      </c>
      <c r="D476" s="91"/>
    </row>
    <row r="477" spans="1:4" ht="42.75" customHeight="1" thickBot="1">
      <c r="A477" s="26"/>
      <c r="B477" s="26" t="s">
        <v>0</v>
      </c>
      <c r="C477" s="5" t="s">
        <v>687</v>
      </c>
      <c r="D477" s="4" t="s">
        <v>2</v>
      </c>
    </row>
    <row r="478" spans="1:4" ht="42.75" customHeight="1" thickBot="1">
      <c r="A478" s="92">
        <v>1685</v>
      </c>
      <c r="B478" s="93"/>
      <c r="C478" s="94" t="s">
        <v>3</v>
      </c>
      <c r="D478" s="95"/>
    </row>
    <row r="479" spans="1:4" ht="42.75" customHeight="1" thickBot="1">
      <c r="A479" s="92">
        <v>1727</v>
      </c>
      <c r="B479" s="93"/>
      <c r="C479" s="96" t="s">
        <v>4</v>
      </c>
      <c r="D479" s="97"/>
    </row>
    <row r="480" spans="1:4" ht="42.75" customHeight="1" thickBot="1">
      <c r="A480" s="98">
        <f>A479-A478</f>
        <v>42</v>
      </c>
      <c r="B480" s="99"/>
      <c r="C480" s="100" t="s">
        <v>5</v>
      </c>
      <c r="D480" s="97"/>
    </row>
    <row r="481" spans="1:4" ht="42.75" customHeight="1" thickBot="1">
      <c r="A481" s="101">
        <v>62</v>
      </c>
      <c r="B481" s="102"/>
      <c r="C481" s="96" t="s">
        <v>6</v>
      </c>
      <c r="D481" s="97"/>
    </row>
    <row r="482" spans="1:4" ht="42.75" customHeight="1" thickBot="1">
      <c r="A482" s="103"/>
      <c r="B482" s="104"/>
      <c r="C482" s="96" t="s">
        <v>21</v>
      </c>
      <c r="D482" s="97"/>
    </row>
    <row r="483" spans="1:4" ht="42.75" customHeight="1" thickBot="1">
      <c r="A483" s="105">
        <f>A481*A480</f>
        <v>2604</v>
      </c>
      <c r="B483" s="106"/>
      <c r="C483" s="96" t="s">
        <v>7</v>
      </c>
      <c r="D483" s="97"/>
    </row>
    <row r="484" spans="1:4" ht="42.75" customHeight="1" thickBot="1">
      <c r="A484" s="107" t="s">
        <v>17</v>
      </c>
      <c r="B484" s="108"/>
      <c r="C484" s="108"/>
      <c r="D484" s="109"/>
    </row>
    <row r="485" spans="1:4" ht="42.75" customHeight="1" thickBot="1">
      <c r="A485" s="110" t="s">
        <v>20</v>
      </c>
      <c r="B485" s="111"/>
      <c r="C485" s="111"/>
      <c r="D485" s="112"/>
    </row>
    <row r="486" spans="1:4" ht="42.75" customHeight="1" thickBot="1">
      <c r="A486" s="113" t="s">
        <v>18</v>
      </c>
      <c r="B486" s="114"/>
      <c r="C486" s="114"/>
      <c r="D486" s="115"/>
    </row>
    <row r="487" spans="1:4" ht="42.75" customHeight="1" thickBot="1">
      <c r="A487" s="126" t="s">
        <v>19</v>
      </c>
      <c r="B487" s="127"/>
      <c r="C487" s="127"/>
      <c r="D487" s="128"/>
    </row>
    <row r="488" spans="1:4" ht="42.75" customHeight="1" thickBot="1">
      <c r="A488" s="123" t="s">
        <v>11</v>
      </c>
      <c r="B488" s="124"/>
      <c r="C488" s="125" t="s">
        <v>603</v>
      </c>
      <c r="D488" s="124"/>
    </row>
    <row r="489" spans="1:4" ht="42.75" customHeight="1" thickBot="1">
      <c r="A489" s="1" t="s">
        <v>686</v>
      </c>
      <c r="B489" s="26" t="s">
        <v>1</v>
      </c>
      <c r="C489" s="90" t="s">
        <v>311</v>
      </c>
      <c r="D489" s="91"/>
    </row>
    <row r="490" spans="1:4" ht="42.75" customHeight="1" thickBot="1">
      <c r="A490" s="26"/>
      <c r="B490" s="26" t="s">
        <v>0</v>
      </c>
      <c r="C490" s="5" t="s">
        <v>687</v>
      </c>
      <c r="D490" s="4" t="s">
        <v>2</v>
      </c>
    </row>
    <row r="491" spans="1:4" ht="42.75" customHeight="1" thickBot="1">
      <c r="A491" s="92">
        <v>1243</v>
      </c>
      <c r="B491" s="93"/>
      <c r="C491" s="94" t="s">
        <v>3</v>
      </c>
      <c r="D491" s="95"/>
    </row>
    <row r="492" spans="1:4" ht="42.75" customHeight="1" thickBot="1">
      <c r="A492" s="92">
        <v>1273</v>
      </c>
      <c r="B492" s="93"/>
      <c r="C492" s="96" t="s">
        <v>4</v>
      </c>
      <c r="D492" s="97"/>
    </row>
    <row r="493" spans="1:4" ht="42.75" customHeight="1" thickBot="1">
      <c r="A493" s="98">
        <f>A492-A491</f>
        <v>30</v>
      </c>
      <c r="B493" s="99"/>
      <c r="C493" s="100" t="s">
        <v>5</v>
      </c>
      <c r="D493" s="97"/>
    </row>
    <row r="494" spans="1:4" ht="42.75" customHeight="1" thickBot="1">
      <c r="A494" s="101">
        <v>40</v>
      </c>
      <c r="B494" s="102"/>
      <c r="C494" s="96" t="s">
        <v>6</v>
      </c>
      <c r="D494" s="97"/>
    </row>
    <row r="495" spans="1:4" ht="42.75" customHeight="1" thickBot="1">
      <c r="A495" s="103"/>
      <c r="B495" s="104"/>
      <c r="C495" s="96" t="s">
        <v>21</v>
      </c>
      <c r="D495" s="97"/>
    </row>
    <row r="496" spans="1:4" ht="42.75" customHeight="1" thickBot="1">
      <c r="A496" s="105">
        <f>A494*A493</f>
        <v>1200</v>
      </c>
      <c r="B496" s="106"/>
      <c r="C496" s="96" t="s">
        <v>7</v>
      </c>
      <c r="D496" s="97"/>
    </row>
    <row r="497" spans="1:4" ht="42.75" customHeight="1" thickBot="1">
      <c r="A497" s="107" t="s">
        <v>17</v>
      </c>
      <c r="B497" s="108"/>
      <c r="C497" s="108"/>
      <c r="D497" s="109"/>
    </row>
    <row r="498" spans="1:4" ht="42.75" customHeight="1" thickBot="1">
      <c r="A498" s="116" t="s">
        <v>20</v>
      </c>
      <c r="B498" s="117"/>
      <c r="C498" s="117"/>
      <c r="D498" s="118"/>
    </row>
    <row r="499" spans="1:4" ht="42.75" customHeight="1" thickBot="1">
      <c r="A499" s="113" t="s">
        <v>18</v>
      </c>
      <c r="B499" s="114"/>
      <c r="C499" s="114"/>
      <c r="D499" s="115"/>
    </row>
    <row r="500" spans="1:4" ht="42.75" customHeight="1" thickBot="1">
      <c r="A500" s="119"/>
      <c r="B500" s="119"/>
      <c r="C500" s="119"/>
      <c r="D500" s="119"/>
    </row>
    <row r="501" spans="1:4" ht="42.75" customHeight="1" thickBot="1">
      <c r="A501" s="126" t="s">
        <v>19</v>
      </c>
      <c r="B501" s="127"/>
      <c r="C501" s="127"/>
      <c r="D501" s="128"/>
    </row>
    <row r="502" spans="1:4" ht="42.75" customHeight="1" thickBot="1">
      <c r="A502" s="123" t="s">
        <v>11</v>
      </c>
      <c r="B502" s="124"/>
      <c r="C502" s="125" t="s">
        <v>603</v>
      </c>
      <c r="D502" s="124"/>
    </row>
    <row r="503" spans="1:4" ht="42.75" customHeight="1" thickBot="1">
      <c r="A503" s="1" t="s">
        <v>686</v>
      </c>
      <c r="B503" s="26" t="s">
        <v>1</v>
      </c>
      <c r="C503" s="90" t="s">
        <v>311</v>
      </c>
      <c r="D503" s="91"/>
    </row>
    <row r="504" spans="1:4" ht="42.75" customHeight="1" thickBot="1">
      <c r="A504" s="26"/>
      <c r="B504" s="26" t="s">
        <v>0</v>
      </c>
      <c r="C504" s="5" t="s">
        <v>687</v>
      </c>
      <c r="D504" s="4" t="s">
        <v>2</v>
      </c>
    </row>
    <row r="505" spans="1:4" ht="42.75" customHeight="1" thickBot="1">
      <c r="A505" s="92">
        <v>1243</v>
      </c>
      <c r="B505" s="93"/>
      <c r="C505" s="94" t="s">
        <v>3</v>
      </c>
      <c r="D505" s="95"/>
    </row>
    <row r="506" spans="1:4" ht="42.75" customHeight="1" thickBot="1">
      <c r="A506" s="92">
        <v>1273</v>
      </c>
      <c r="B506" s="93"/>
      <c r="C506" s="96" t="s">
        <v>4</v>
      </c>
      <c r="D506" s="97"/>
    </row>
    <row r="507" spans="1:4" ht="42.75" customHeight="1" thickBot="1">
      <c r="A507" s="98">
        <f>A506-A505</f>
        <v>30</v>
      </c>
      <c r="B507" s="99"/>
      <c r="C507" s="100" t="s">
        <v>5</v>
      </c>
      <c r="D507" s="97"/>
    </row>
    <row r="508" spans="1:4" ht="42.75" customHeight="1" thickBot="1">
      <c r="A508" s="101">
        <v>40</v>
      </c>
      <c r="B508" s="102"/>
      <c r="C508" s="96" t="s">
        <v>6</v>
      </c>
      <c r="D508" s="97"/>
    </row>
    <row r="509" spans="1:4" ht="42.75" customHeight="1" thickBot="1">
      <c r="A509" s="103"/>
      <c r="B509" s="104"/>
      <c r="C509" s="96" t="s">
        <v>21</v>
      </c>
      <c r="D509" s="97"/>
    </row>
    <row r="510" spans="1:4" ht="42.75" customHeight="1" thickBot="1">
      <c r="A510" s="105">
        <f>A508*A507</f>
        <v>1200</v>
      </c>
      <c r="B510" s="106"/>
      <c r="C510" s="96" t="s">
        <v>7</v>
      </c>
      <c r="D510" s="97"/>
    </row>
    <row r="511" spans="1:4" ht="42.75" customHeight="1" thickBot="1">
      <c r="A511" s="107" t="s">
        <v>17</v>
      </c>
      <c r="B511" s="108"/>
      <c r="C511" s="108"/>
      <c r="D511" s="109"/>
    </row>
    <row r="512" spans="1:4" ht="42.75" customHeight="1" thickBot="1">
      <c r="A512" s="110" t="s">
        <v>20</v>
      </c>
      <c r="B512" s="111"/>
      <c r="C512" s="111"/>
      <c r="D512" s="112"/>
    </row>
    <row r="513" spans="1:4" ht="42.75" customHeight="1" thickBot="1">
      <c r="A513" s="113" t="s">
        <v>18</v>
      </c>
      <c r="B513" s="114"/>
      <c r="C513" s="114"/>
      <c r="D513" s="115"/>
    </row>
    <row r="514" spans="1:4" ht="42.75" customHeight="1" thickBot="1">
      <c r="A514" s="126" t="s">
        <v>19</v>
      </c>
      <c r="B514" s="127"/>
      <c r="C514" s="127"/>
      <c r="D514" s="128"/>
    </row>
    <row r="515" spans="1:4" ht="42.75" customHeight="1" thickBot="1">
      <c r="A515" s="123" t="s">
        <v>11</v>
      </c>
      <c r="B515" s="124"/>
      <c r="C515" s="125" t="s">
        <v>603</v>
      </c>
      <c r="D515" s="124"/>
    </row>
    <row r="516" spans="1:4" ht="42.75" customHeight="1" thickBot="1">
      <c r="A516" s="1" t="s">
        <v>686</v>
      </c>
      <c r="B516" s="26" t="s">
        <v>1</v>
      </c>
      <c r="C516" s="90" t="s">
        <v>363</v>
      </c>
      <c r="D516" s="91"/>
    </row>
    <row r="517" spans="1:4" ht="42.75" customHeight="1" thickBot="1">
      <c r="A517" s="26"/>
      <c r="B517" s="26" t="s">
        <v>0</v>
      </c>
      <c r="C517" s="5" t="s">
        <v>687</v>
      </c>
      <c r="D517" s="4" t="s">
        <v>2</v>
      </c>
    </row>
    <row r="518" spans="1:4" ht="42.75" customHeight="1" thickBot="1">
      <c r="A518" s="92">
        <v>2630</v>
      </c>
      <c r="B518" s="93"/>
      <c r="C518" s="94" t="s">
        <v>3</v>
      </c>
      <c r="D518" s="95"/>
    </row>
    <row r="519" spans="1:4" ht="42.75" customHeight="1" thickBot="1">
      <c r="A519" s="92">
        <v>2665</v>
      </c>
      <c r="B519" s="93"/>
      <c r="C519" s="96" t="s">
        <v>4</v>
      </c>
      <c r="D519" s="97"/>
    </row>
    <row r="520" spans="1:4" ht="42.75" customHeight="1" thickBot="1">
      <c r="A520" s="98">
        <f>A519-A518</f>
        <v>35</v>
      </c>
      <c r="B520" s="99"/>
      <c r="C520" s="100" t="s">
        <v>5</v>
      </c>
      <c r="D520" s="97"/>
    </row>
    <row r="521" spans="1:4" ht="42.75" customHeight="1" thickBot="1">
      <c r="A521" s="101">
        <v>62</v>
      </c>
      <c r="B521" s="102"/>
      <c r="C521" s="96" t="s">
        <v>6</v>
      </c>
      <c r="D521" s="97"/>
    </row>
    <row r="522" spans="1:4" ht="42.75" customHeight="1" thickBot="1">
      <c r="A522" s="103"/>
      <c r="B522" s="104"/>
      <c r="C522" s="96" t="s">
        <v>21</v>
      </c>
      <c r="D522" s="97"/>
    </row>
    <row r="523" spans="1:4" ht="42.75" customHeight="1" thickBot="1">
      <c r="A523" s="105">
        <v>2200</v>
      </c>
      <c r="B523" s="106"/>
      <c r="C523" s="96" t="s">
        <v>7</v>
      </c>
      <c r="D523" s="97"/>
    </row>
    <row r="524" spans="1:4" ht="42.75" customHeight="1" thickBot="1">
      <c r="A524" s="107" t="s">
        <v>17</v>
      </c>
      <c r="B524" s="108"/>
      <c r="C524" s="108"/>
      <c r="D524" s="109"/>
    </row>
    <row r="525" spans="1:4" ht="42.75" customHeight="1" thickBot="1">
      <c r="A525" s="116" t="s">
        <v>20</v>
      </c>
      <c r="B525" s="117"/>
      <c r="C525" s="117"/>
      <c r="D525" s="118"/>
    </row>
    <row r="526" spans="1:4" ht="42.75" customHeight="1" thickBot="1">
      <c r="A526" s="113" t="s">
        <v>18</v>
      </c>
      <c r="B526" s="114"/>
      <c r="C526" s="114"/>
      <c r="D526" s="115"/>
    </row>
    <row r="527" spans="1:4" ht="42.75" customHeight="1" thickBot="1">
      <c r="A527" s="119"/>
      <c r="B527" s="119"/>
      <c r="C527" s="119"/>
      <c r="D527" s="119"/>
    </row>
    <row r="528" spans="1:4" ht="42.75" customHeight="1" thickBot="1">
      <c r="A528" s="126" t="s">
        <v>19</v>
      </c>
      <c r="B528" s="127"/>
      <c r="C528" s="127"/>
      <c r="D528" s="128"/>
    </row>
    <row r="529" spans="1:4" ht="42.75" customHeight="1" thickBot="1">
      <c r="A529" s="123" t="s">
        <v>11</v>
      </c>
      <c r="B529" s="124"/>
      <c r="C529" s="125" t="s">
        <v>603</v>
      </c>
      <c r="D529" s="124"/>
    </row>
    <row r="530" spans="1:4" ht="42.75" customHeight="1" thickBot="1">
      <c r="A530" s="1" t="s">
        <v>686</v>
      </c>
      <c r="B530" s="26" t="s">
        <v>1</v>
      </c>
      <c r="C530" s="90" t="s">
        <v>363</v>
      </c>
      <c r="D530" s="91"/>
    </row>
    <row r="531" spans="1:4" ht="42.75" customHeight="1" thickBot="1">
      <c r="A531" s="26"/>
      <c r="B531" s="26" t="s">
        <v>0</v>
      </c>
      <c r="C531" s="5" t="s">
        <v>687</v>
      </c>
      <c r="D531" s="4" t="s">
        <v>2</v>
      </c>
    </row>
    <row r="532" spans="1:4" ht="42.75" customHeight="1" thickBot="1">
      <c r="A532" s="92">
        <v>2630</v>
      </c>
      <c r="B532" s="93"/>
      <c r="C532" s="94" t="s">
        <v>3</v>
      </c>
      <c r="D532" s="95"/>
    </row>
    <row r="533" spans="1:4" ht="42.75" customHeight="1" thickBot="1">
      <c r="A533" s="92">
        <v>2665</v>
      </c>
      <c r="B533" s="93"/>
      <c r="C533" s="96" t="s">
        <v>4</v>
      </c>
      <c r="D533" s="97"/>
    </row>
    <row r="534" spans="1:4" ht="42.75" customHeight="1" thickBot="1">
      <c r="A534" s="98">
        <f>A533-A532</f>
        <v>35</v>
      </c>
      <c r="B534" s="99"/>
      <c r="C534" s="100" t="s">
        <v>5</v>
      </c>
      <c r="D534" s="97"/>
    </row>
    <row r="535" spans="1:4" ht="42.75" customHeight="1" thickBot="1">
      <c r="A535" s="101">
        <v>62</v>
      </c>
      <c r="B535" s="102"/>
      <c r="C535" s="96" t="s">
        <v>6</v>
      </c>
      <c r="D535" s="97"/>
    </row>
    <row r="536" spans="1:4" ht="42.75" customHeight="1" thickBot="1">
      <c r="A536" s="103"/>
      <c r="B536" s="104"/>
      <c r="C536" s="96" t="s">
        <v>21</v>
      </c>
      <c r="D536" s="97"/>
    </row>
    <row r="537" spans="1:4" ht="42.75" customHeight="1" thickBot="1">
      <c r="A537" s="105">
        <v>2200</v>
      </c>
      <c r="B537" s="106"/>
      <c r="C537" s="96" t="s">
        <v>7</v>
      </c>
      <c r="D537" s="97"/>
    </row>
    <row r="538" spans="1:4" ht="42.75" customHeight="1" thickBot="1">
      <c r="A538" s="107" t="s">
        <v>17</v>
      </c>
      <c r="B538" s="108"/>
      <c r="C538" s="108"/>
      <c r="D538" s="109"/>
    </row>
    <row r="539" spans="1:4" ht="42.75" customHeight="1" thickBot="1">
      <c r="A539" s="110" t="s">
        <v>20</v>
      </c>
      <c r="B539" s="111"/>
      <c r="C539" s="111"/>
      <c r="D539" s="112"/>
    </row>
    <row r="540" spans="1:4" ht="42.75" customHeight="1" thickBot="1">
      <c r="A540" s="113" t="s">
        <v>18</v>
      </c>
      <c r="B540" s="114"/>
      <c r="C540" s="114"/>
      <c r="D540" s="115"/>
    </row>
    <row r="541" spans="1:4" ht="42.75" customHeight="1" thickBot="1">
      <c r="A541" s="126" t="s">
        <v>19</v>
      </c>
      <c r="B541" s="127"/>
      <c r="C541" s="127"/>
      <c r="D541" s="128"/>
    </row>
    <row r="542" spans="1:4" ht="42.75" customHeight="1" thickBot="1">
      <c r="A542" s="123" t="s">
        <v>11</v>
      </c>
      <c r="B542" s="124"/>
      <c r="C542" s="125" t="s">
        <v>603</v>
      </c>
      <c r="D542" s="124"/>
    </row>
    <row r="543" spans="1:4" ht="42.75" customHeight="1" thickBot="1">
      <c r="A543" s="1" t="s">
        <v>686</v>
      </c>
      <c r="B543" s="26" t="s">
        <v>1</v>
      </c>
      <c r="C543" s="90" t="s">
        <v>281</v>
      </c>
      <c r="D543" s="91"/>
    </row>
    <row r="544" spans="1:4" ht="42.75" customHeight="1" thickBot="1">
      <c r="A544" s="26"/>
      <c r="B544" s="26" t="s">
        <v>0</v>
      </c>
      <c r="C544" s="5" t="s">
        <v>687</v>
      </c>
      <c r="D544" s="4" t="s">
        <v>2</v>
      </c>
    </row>
    <row r="545" spans="1:4" ht="42.75" customHeight="1" thickBot="1">
      <c r="A545" s="92">
        <v>2735</v>
      </c>
      <c r="B545" s="93"/>
      <c r="C545" s="94" t="s">
        <v>3</v>
      </c>
      <c r="D545" s="95"/>
    </row>
    <row r="546" spans="1:4" ht="42.75" customHeight="1" thickBot="1">
      <c r="A546" s="92">
        <v>2835</v>
      </c>
      <c r="B546" s="93"/>
      <c r="C546" s="96" t="s">
        <v>4</v>
      </c>
      <c r="D546" s="97"/>
    </row>
    <row r="547" spans="1:4" ht="42.75" customHeight="1" thickBot="1">
      <c r="A547" s="98">
        <f>A546-A545</f>
        <v>100</v>
      </c>
      <c r="B547" s="99"/>
      <c r="C547" s="100" t="s">
        <v>5</v>
      </c>
      <c r="D547" s="97"/>
    </row>
    <row r="548" spans="1:4" ht="42.75" customHeight="1" thickBot="1">
      <c r="A548" s="101">
        <v>40</v>
      </c>
      <c r="B548" s="102"/>
      <c r="C548" s="96" t="s">
        <v>6</v>
      </c>
      <c r="D548" s="97"/>
    </row>
    <row r="549" spans="1:4" ht="42.75" customHeight="1" thickBot="1">
      <c r="A549" s="103"/>
      <c r="B549" s="104"/>
      <c r="C549" s="96" t="s">
        <v>21</v>
      </c>
      <c r="D549" s="97"/>
    </row>
    <row r="550" spans="1:4" ht="42.75" customHeight="1" thickBot="1">
      <c r="A550" s="105">
        <f>A548*A547</f>
        <v>4000</v>
      </c>
      <c r="B550" s="106"/>
      <c r="C550" s="96" t="s">
        <v>7</v>
      </c>
      <c r="D550" s="97"/>
    </row>
    <row r="551" spans="1:4" ht="42.75" customHeight="1" thickBot="1">
      <c r="A551" s="107" t="s">
        <v>17</v>
      </c>
      <c r="B551" s="108"/>
      <c r="C551" s="108"/>
      <c r="D551" s="109"/>
    </row>
    <row r="552" spans="1:4" ht="42.75" customHeight="1" thickBot="1">
      <c r="A552" s="116" t="s">
        <v>20</v>
      </c>
      <c r="B552" s="117"/>
      <c r="C552" s="117"/>
      <c r="D552" s="118"/>
    </row>
    <row r="553" spans="1:4" ht="42.75" customHeight="1" thickBot="1">
      <c r="A553" s="113" t="s">
        <v>18</v>
      </c>
      <c r="B553" s="114"/>
      <c r="C553" s="114"/>
      <c r="D553" s="115"/>
    </row>
    <row r="554" spans="1:4" ht="42.75" customHeight="1" thickBot="1">
      <c r="A554" s="119"/>
      <c r="B554" s="119"/>
      <c r="C554" s="119"/>
      <c r="D554" s="119"/>
    </row>
    <row r="555" spans="1:4" ht="42.75" customHeight="1" thickBot="1">
      <c r="A555" s="126" t="s">
        <v>19</v>
      </c>
      <c r="B555" s="127"/>
      <c r="C555" s="127"/>
      <c r="D555" s="128"/>
    </row>
    <row r="556" spans="1:4" ht="42.75" customHeight="1" thickBot="1">
      <c r="A556" s="123" t="s">
        <v>11</v>
      </c>
      <c r="B556" s="124"/>
      <c r="C556" s="125" t="s">
        <v>603</v>
      </c>
      <c r="D556" s="124"/>
    </row>
    <row r="557" spans="1:4" ht="42.75" customHeight="1" thickBot="1">
      <c r="A557" s="1" t="s">
        <v>686</v>
      </c>
      <c r="B557" s="26" t="s">
        <v>1</v>
      </c>
      <c r="C557" s="90" t="s">
        <v>281</v>
      </c>
      <c r="D557" s="91"/>
    </row>
    <row r="558" spans="1:4" ht="42.75" customHeight="1" thickBot="1">
      <c r="A558" s="26"/>
      <c r="B558" s="26" t="s">
        <v>0</v>
      </c>
      <c r="C558" s="5" t="s">
        <v>687</v>
      </c>
      <c r="D558" s="4" t="s">
        <v>2</v>
      </c>
    </row>
    <row r="559" spans="1:4" ht="42.75" customHeight="1" thickBot="1">
      <c r="A559" s="92">
        <v>2735</v>
      </c>
      <c r="B559" s="93"/>
      <c r="C559" s="94" t="s">
        <v>3</v>
      </c>
      <c r="D559" s="95"/>
    </row>
    <row r="560" spans="1:4" ht="42.75" customHeight="1" thickBot="1">
      <c r="A560" s="92">
        <v>2835</v>
      </c>
      <c r="B560" s="93"/>
      <c r="C560" s="96" t="s">
        <v>4</v>
      </c>
      <c r="D560" s="97"/>
    </row>
    <row r="561" spans="1:4" ht="42.75" customHeight="1" thickBot="1">
      <c r="A561" s="98">
        <f>A560-A559</f>
        <v>100</v>
      </c>
      <c r="B561" s="99"/>
      <c r="C561" s="100" t="s">
        <v>5</v>
      </c>
      <c r="D561" s="97"/>
    </row>
    <row r="562" spans="1:4" ht="42.75" customHeight="1" thickBot="1">
      <c r="A562" s="101">
        <v>40</v>
      </c>
      <c r="B562" s="102"/>
      <c r="C562" s="96" t="s">
        <v>6</v>
      </c>
      <c r="D562" s="97"/>
    </row>
    <row r="563" spans="1:4" ht="42.75" customHeight="1" thickBot="1">
      <c r="A563" s="103"/>
      <c r="B563" s="104"/>
      <c r="C563" s="96" t="s">
        <v>21</v>
      </c>
      <c r="D563" s="97"/>
    </row>
    <row r="564" spans="1:4" ht="42.75" customHeight="1" thickBot="1">
      <c r="A564" s="105">
        <f>A562*A561</f>
        <v>4000</v>
      </c>
      <c r="B564" s="106"/>
      <c r="C564" s="96" t="s">
        <v>7</v>
      </c>
      <c r="D564" s="97"/>
    </row>
    <row r="565" spans="1:4" ht="42.75" customHeight="1" thickBot="1">
      <c r="A565" s="107" t="s">
        <v>17</v>
      </c>
      <c r="B565" s="108"/>
      <c r="C565" s="108"/>
      <c r="D565" s="109"/>
    </row>
    <row r="566" spans="1:4" ht="42.75" customHeight="1" thickBot="1">
      <c r="A566" s="110" t="s">
        <v>20</v>
      </c>
      <c r="B566" s="111"/>
      <c r="C566" s="111"/>
      <c r="D566" s="112"/>
    </row>
    <row r="567" spans="1:4" ht="42.75" customHeight="1" thickBot="1">
      <c r="A567" s="113" t="s">
        <v>18</v>
      </c>
      <c r="B567" s="114"/>
      <c r="C567" s="114"/>
      <c r="D567" s="115"/>
    </row>
    <row r="568" spans="1:4" ht="42.75" customHeight="1" thickBot="1">
      <c r="A568" s="126" t="s">
        <v>19</v>
      </c>
      <c r="B568" s="127"/>
      <c r="C568" s="127"/>
      <c r="D568" s="128"/>
    </row>
    <row r="569" spans="1:4" ht="42.75" customHeight="1" thickBot="1">
      <c r="A569" s="123" t="s">
        <v>11</v>
      </c>
      <c r="B569" s="124"/>
      <c r="C569" s="125" t="s">
        <v>603</v>
      </c>
      <c r="D569" s="124"/>
    </row>
    <row r="570" spans="1:4" ht="42.75" customHeight="1" thickBot="1">
      <c r="A570" s="1" t="s">
        <v>686</v>
      </c>
      <c r="B570" s="26" t="s">
        <v>1</v>
      </c>
      <c r="C570" s="90" t="s">
        <v>365</v>
      </c>
      <c r="D570" s="91"/>
    </row>
    <row r="571" spans="1:4" ht="42.75" customHeight="1" thickBot="1">
      <c r="A571" s="26"/>
      <c r="B571" s="26" t="s">
        <v>0</v>
      </c>
      <c r="C571" s="5" t="s">
        <v>687</v>
      </c>
      <c r="D571" s="4" t="s">
        <v>2</v>
      </c>
    </row>
    <row r="572" spans="1:4" ht="42.75" customHeight="1" thickBot="1">
      <c r="A572" s="92">
        <v>4280</v>
      </c>
      <c r="B572" s="93"/>
      <c r="C572" s="94" t="s">
        <v>3</v>
      </c>
      <c r="D572" s="95"/>
    </row>
    <row r="573" spans="1:4" ht="42.75" customHeight="1" thickBot="1">
      <c r="A573" s="92">
        <v>4385</v>
      </c>
      <c r="B573" s="93"/>
      <c r="C573" s="96" t="s">
        <v>4</v>
      </c>
      <c r="D573" s="97"/>
    </row>
    <row r="574" spans="1:4" ht="42.75" customHeight="1" thickBot="1">
      <c r="A574" s="98">
        <f>A573-A572</f>
        <v>105</v>
      </c>
      <c r="B574" s="99"/>
      <c r="C574" s="100" t="s">
        <v>5</v>
      </c>
      <c r="D574" s="97"/>
    </row>
    <row r="575" spans="1:4" ht="42.75" customHeight="1" thickBot="1">
      <c r="A575" s="101">
        <v>62</v>
      </c>
      <c r="B575" s="102"/>
      <c r="C575" s="96" t="s">
        <v>6</v>
      </c>
      <c r="D575" s="97"/>
    </row>
    <row r="576" spans="1:4" ht="42.75" customHeight="1" thickBot="1">
      <c r="A576" s="103"/>
      <c r="B576" s="104"/>
      <c r="C576" s="96" t="s">
        <v>21</v>
      </c>
      <c r="D576" s="97"/>
    </row>
    <row r="577" spans="1:4" ht="42.75" customHeight="1" thickBot="1">
      <c r="A577" s="105">
        <f>A575*A574</f>
        <v>6510</v>
      </c>
      <c r="B577" s="106"/>
      <c r="C577" s="96" t="s">
        <v>7</v>
      </c>
      <c r="D577" s="97"/>
    </row>
    <row r="578" spans="1:4" ht="42.75" customHeight="1" thickBot="1">
      <c r="A578" s="107" t="s">
        <v>17</v>
      </c>
      <c r="B578" s="108"/>
      <c r="C578" s="108"/>
      <c r="D578" s="109"/>
    </row>
    <row r="579" spans="1:4" ht="42.75" customHeight="1" thickBot="1">
      <c r="A579" s="116" t="s">
        <v>20</v>
      </c>
      <c r="B579" s="117"/>
      <c r="C579" s="117"/>
      <c r="D579" s="118"/>
    </row>
    <row r="580" spans="1:4" ht="42.75" customHeight="1" thickBot="1">
      <c r="A580" s="113" t="s">
        <v>18</v>
      </c>
      <c r="B580" s="114"/>
      <c r="C580" s="114"/>
      <c r="D580" s="115"/>
    </row>
    <row r="581" spans="1:4" ht="42.75" customHeight="1" thickBot="1">
      <c r="A581" s="119"/>
      <c r="B581" s="119"/>
      <c r="C581" s="119"/>
      <c r="D581" s="119"/>
    </row>
    <row r="582" spans="1:4" ht="42.75" customHeight="1" thickBot="1">
      <c r="A582" s="126" t="s">
        <v>19</v>
      </c>
      <c r="B582" s="127"/>
      <c r="C582" s="127"/>
      <c r="D582" s="128"/>
    </row>
    <row r="583" spans="1:4" ht="42.75" customHeight="1" thickBot="1">
      <c r="A583" s="123" t="s">
        <v>11</v>
      </c>
      <c r="B583" s="124"/>
      <c r="C583" s="125" t="s">
        <v>603</v>
      </c>
      <c r="D583" s="124"/>
    </row>
    <row r="584" spans="1:4" ht="42.75" customHeight="1" thickBot="1">
      <c r="A584" s="1" t="s">
        <v>686</v>
      </c>
      <c r="B584" s="26" t="s">
        <v>1</v>
      </c>
      <c r="C584" s="90" t="s">
        <v>365</v>
      </c>
      <c r="D584" s="91"/>
    </row>
    <row r="585" spans="1:4" ht="42.75" customHeight="1" thickBot="1">
      <c r="A585" s="26"/>
      <c r="B585" s="26" t="s">
        <v>0</v>
      </c>
      <c r="C585" s="5" t="s">
        <v>687</v>
      </c>
      <c r="D585" s="4" t="s">
        <v>2</v>
      </c>
    </row>
    <row r="586" spans="1:4" ht="42.75" customHeight="1" thickBot="1">
      <c r="A586" s="92">
        <v>4280</v>
      </c>
      <c r="B586" s="93"/>
      <c r="C586" s="94" t="s">
        <v>3</v>
      </c>
      <c r="D586" s="95"/>
    </row>
    <row r="587" spans="1:4" ht="42.75" customHeight="1" thickBot="1">
      <c r="A587" s="92">
        <v>4385</v>
      </c>
      <c r="B587" s="93"/>
      <c r="C587" s="96" t="s">
        <v>4</v>
      </c>
      <c r="D587" s="97"/>
    </row>
    <row r="588" spans="1:4" ht="42.75" customHeight="1" thickBot="1">
      <c r="A588" s="98">
        <f>A587-A586</f>
        <v>105</v>
      </c>
      <c r="B588" s="99"/>
      <c r="C588" s="100" t="s">
        <v>5</v>
      </c>
      <c r="D588" s="97"/>
    </row>
    <row r="589" spans="1:4" ht="42.75" customHeight="1" thickBot="1">
      <c r="A589" s="101">
        <v>62</v>
      </c>
      <c r="B589" s="102"/>
      <c r="C589" s="96" t="s">
        <v>6</v>
      </c>
      <c r="D589" s="97"/>
    </row>
    <row r="590" spans="1:4" ht="42.75" customHeight="1" thickBot="1">
      <c r="A590" s="103"/>
      <c r="B590" s="104"/>
      <c r="C590" s="96" t="s">
        <v>21</v>
      </c>
      <c r="D590" s="97"/>
    </row>
    <row r="591" spans="1:4" ht="42.75" customHeight="1" thickBot="1">
      <c r="A591" s="105">
        <f>A589*A588</f>
        <v>6510</v>
      </c>
      <c r="B591" s="106"/>
      <c r="C591" s="96" t="s">
        <v>7</v>
      </c>
      <c r="D591" s="97"/>
    </row>
    <row r="592" spans="1:4" ht="42.75" customHeight="1" thickBot="1">
      <c r="A592" s="107" t="s">
        <v>17</v>
      </c>
      <c r="B592" s="108"/>
      <c r="C592" s="108"/>
      <c r="D592" s="109"/>
    </row>
    <row r="593" spans="1:4" ht="42.75" customHeight="1" thickBot="1">
      <c r="A593" s="110" t="s">
        <v>20</v>
      </c>
      <c r="B593" s="111"/>
      <c r="C593" s="111"/>
      <c r="D593" s="112"/>
    </row>
    <row r="594" spans="1:4" ht="42.75" customHeight="1" thickBot="1">
      <c r="A594" s="113" t="s">
        <v>18</v>
      </c>
      <c r="B594" s="114"/>
      <c r="C594" s="114"/>
      <c r="D594" s="115"/>
    </row>
    <row r="595" spans="1:4" ht="42.75" customHeight="1" thickBot="1">
      <c r="A595" s="126" t="s">
        <v>19</v>
      </c>
      <c r="B595" s="127"/>
      <c r="C595" s="127"/>
      <c r="D595" s="128"/>
    </row>
    <row r="596" spans="1:4" ht="42.75" customHeight="1" thickBot="1">
      <c r="A596" s="123" t="s">
        <v>11</v>
      </c>
      <c r="B596" s="124"/>
      <c r="C596" s="125" t="s">
        <v>603</v>
      </c>
      <c r="D596" s="124"/>
    </row>
    <row r="597" spans="1:4" ht="42.75" customHeight="1" thickBot="1">
      <c r="A597" s="1" t="s">
        <v>686</v>
      </c>
      <c r="B597" s="26" t="s">
        <v>1</v>
      </c>
      <c r="C597" s="90" t="s">
        <v>366</v>
      </c>
      <c r="D597" s="91"/>
    </row>
    <row r="598" spans="1:4" ht="42.75" customHeight="1" thickBot="1">
      <c r="A598" s="26"/>
      <c r="B598" s="26" t="s">
        <v>0</v>
      </c>
      <c r="C598" s="5" t="s">
        <v>687</v>
      </c>
      <c r="D598" s="4" t="s">
        <v>2</v>
      </c>
    </row>
    <row r="599" spans="1:4" ht="42.75" customHeight="1" thickBot="1">
      <c r="A599" s="92">
        <v>1725</v>
      </c>
      <c r="B599" s="93"/>
      <c r="C599" s="94" t="s">
        <v>3</v>
      </c>
      <c r="D599" s="95"/>
    </row>
    <row r="600" spans="1:4" ht="42.75" customHeight="1" thickBot="1">
      <c r="A600" s="92">
        <v>1755</v>
      </c>
      <c r="B600" s="93"/>
      <c r="C600" s="96" t="s">
        <v>4</v>
      </c>
      <c r="D600" s="97"/>
    </row>
    <row r="601" spans="1:4" ht="42.75" customHeight="1" thickBot="1">
      <c r="A601" s="98">
        <f>A600-A599</f>
        <v>30</v>
      </c>
      <c r="B601" s="99"/>
      <c r="C601" s="100" t="s">
        <v>5</v>
      </c>
      <c r="D601" s="97"/>
    </row>
    <row r="602" spans="1:4" ht="42.75" customHeight="1" thickBot="1">
      <c r="A602" s="101">
        <v>40</v>
      </c>
      <c r="B602" s="102"/>
      <c r="C602" s="96" t="s">
        <v>6</v>
      </c>
      <c r="D602" s="97"/>
    </row>
    <row r="603" spans="1:4" ht="42.75" customHeight="1" thickBot="1">
      <c r="A603" s="103"/>
      <c r="B603" s="104"/>
      <c r="C603" s="96" t="s">
        <v>21</v>
      </c>
      <c r="D603" s="97"/>
    </row>
    <row r="604" spans="1:4" ht="42.75" customHeight="1" thickBot="1">
      <c r="A604" s="105">
        <f>A602*A601</f>
        <v>1200</v>
      </c>
      <c r="B604" s="106"/>
      <c r="C604" s="96" t="s">
        <v>7</v>
      </c>
      <c r="D604" s="97"/>
    </row>
    <row r="605" spans="1:4" ht="42.75" customHeight="1" thickBot="1">
      <c r="A605" s="107" t="s">
        <v>17</v>
      </c>
      <c r="B605" s="108"/>
      <c r="C605" s="108"/>
      <c r="D605" s="109"/>
    </row>
    <row r="606" spans="1:4" ht="42.75" customHeight="1" thickBot="1">
      <c r="A606" s="116" t="s">
        <v>20</v>
      </c>
      <c r="B606" s="117"/>
      <c r="C606" s="117"/>
      <c r="D606" s="118"/>
    </row>
    <row r="607" spans="1:4" ht="42.75" customHeight="1" thickBot="1">
      <c r="A607" s="113" t="s">
        <v>18</v>
      </c>
      <c r="B607" s="114"/>
      <c r="C607" s="114"/>
      <c r="D607" s="115"/>
    </row>
    <row r="608" spans="1:4" ht="42.75" customHeight="1" thickBot="1">
      <c r="A608" s="119"/>
      <c r="B608" s="119"/>
      <c r="C608" s="119"/>
      <c r="D608" s="119"/>
    </row>
    <row r="609" spans="1:4" ht="42.75" customHeight="1" thickBot="1">
      <c r="A609" s="126" t="s">
        <v>19</v>
      </c>
      <c r="B609" s="127"/>
      <c r="C609" s="127"/>
      <c r="D609" s="128"/>
    </row>
    <row r="610" spans="1:4" ht="42.75" customHeight="1" thickBot="1">
      <c r="A610" s="123" t="s">
        <v>11</v>
      </c>
      <c r="B610" s="124"/>
      <c r="C610" s="125" t="s">
        <v>603</v>
      </c>
      <c r="D610" s="124"/>
    </row>
    <row r="611" spans="1:4" ht="42.75" customHeight="1" thickBot="1">
      <c r="A611" s="1" t="s">
        <v>686</v>
      </c>
      <c r="B611" s="26" t="s">
        <v>1</v>
      </c>
      <c r="C611" s="90" t="s">
        <v>366</v>
      </c>
      <c r="D611" s="91"/>
    </row>
    <row r="612" spans="1:4" ht="42.75" customHeight="1" thickBot="1">
      <c r="A612" s="26"/>
      <c r="B612" s="26" t="s">
        <v>0</v>
      </c>
      <c r="C612" s="5" t="s">
        <v>687</v>
      </c>
      <c r="D612" s="4" t="s">
        <v>2</v>
      </c>
    </row>
    <row r="613" spans="1:4" ht="42.75" customHeight="1" thickBot="1">
      <c r="A613" s="92">
        <v>1725</v>
      </c>
      <c r="B613" s="93"/>
      <c r="C613" s="94" t="s">
        <v>3</v>
      </c>
      <c r="D613" s="95"/>
    </row>
    <row r="614" spans="1:4" ht="42.75" customHeight="1" thickBot="1">
      <c r="A614" s="92">
        <v>1755</v>
      </c>
      <c r="B614" s="93"/>
      <c r="C614" s="96" t="s">
        <v>4</v>
      </c>
      <c r="D614" s="97"/>
    </row>
    <row r="615" spans="1:4" ht="42.75" customHeight="1" thickBot="1">
      <c r="A615" s="98">
        <f>A614-A613</f>
        <v>30</v>
      </c>
      <c r="B615" s="99"/>
      <c r="C615" s="100" t="s">
        <v>5</v>
      </c>
      <c r="D615" s="97"/>
    </row>
    <row r="616" spans="1:4" ht="42.75" customHeight="1" thickBot="1">
      <c r="A616" s="101">
        <v>40</v>
      </c>
      <c r="B616" s="102"/>
      <c r="C616" s="96" t="s">
        <v>6</v>
      </c>
      <c r="D616" s="97"/>
    </row>
    <row r="617" spans="1:4" ht="42.75" customHeight="1" thickBot="1">
      <c r="A617" s="103"/>
      <c r="B617" s="104"/>
      <c r="C617" s="96" t="s">
        <v>21</v>
      </c>
      <c r="D617" s="97"/>
    </row>
    <row r="618" spans="1:4" ht="42.75" customHeight="1" thickBot="1">
      <c r="A618" s="105">
        <f>A616*A615</f>
        <v>1200</v>
      </c>
      <c r="B618" s="106"/>
      <c r="C618" s="96" t="s">
        <v>7</v>
      </c>
      <c r="D618" s="97"/>
    </row>
    <row r="619" spans="1:4" ht="42.75" customHeight="1" thickBot="1">
      <c r="A619" s="107" t="s">
        <v>17</v>
      </c>
      <c r="B619" s="108"/>
      <c r="C619" s="108"/>
      <c r="D619" s="109"/>
    </row>
    <row r="620" spans="1:4" ht="42.75" customHeight="1" thickBot="1">
      <c r="A620" s="110" t="s">
        <v>20</v>
      </c>
      <c r="B620" s="111"/>
      <c r="C620" s="111"/>
      <c r="D620" s="112"/>
    </row>
    <row r="621" spans="1:4" ht="42.75" customHeight="1" thickBot="1">
      <c r="A621" s="113" t="s">
        <v>18</v>
      </c>
      <c r="B621" s="114"/>
      <c r="C621" s="114"/>
      <c r="D621" s="115"/>
    </row>
    <row r="622" spans="1:4" ht="42.75" customHeight="1" thickBot="1">
      <c r="A622" s="126" t="s">
        <v>19</v>
      </c>
      <c r="B622" s="127"/>
      <c r="C622" s="127"/>
      <c r="D622" s="128"/>
    </row>
    <row r="623" spans="1:4" ht="42.75" customHeight="1" thickBot="1">
      <c r="A623" s="123" t="s">
        <v>11</v>
      </c>
      <c r="B623" s="124"/>
      <c r="C623" s="125" t="s">
        <v>603</v>
      </c>
      <c r="D623" s="124"/>
    </row>
    <row r="624" spans="1:4" ht="42.75" customHeight="1" thickBot="1">
      <c r="A624" s="1" t="s">
        <v>686</v>
      </c>
      <c r="B624" s="26" t="s">
        <v>1</v>
      </c>
      <c r="C624" s="90" t="s">
        <v>367</v>
      </c>
      <c r="D624" s="91"/>
    </row>
    <row r="625" spans="1:4" ht="42.75" customHeight="1" thickBot="1">
      <c r="A625" s="26"/>
      <c r="B625" s="26" t="s">
        <v>0</v>
      </c>
      <c r="C625" s="5" t="s">
        <v>687</v>
      </c>
      <c r="D625" s="4" t="s">
        <v>2</v>
      </c>
    </row>
    <row r="626" spans="1:4" ht="42.75" customHeight="1" thickBot="1">
      <c r="A626" s="92">
        <v>2327</v>
      </c>
      <c r="B626" s="93"/>
      <c r="C626" s="94" t="s">
        <v>3</v>
      </c>
      <c r="D626" s="95"/>
    </row>
    <row r="627" spans="1:4" ht="42.75" customHeight="1" thickBot="1">
      <c r="A627" s="92">
        <v>2385</v>
      </c>
      <c r="B627" s="93"/>
      <c r="C627" s="96" t="s">
        <v>4</v>
      </c>
      <c r="D627" s="97"/>
    </row>
    <row r="628" spans="1:4" ht="42.75" customHeight="1" thickBot="1">
      <c r="A628" s="98">
        <f>A627-A626</f>
        <v>58</v>
      </c>
      <c r="B628" s="99"/>
      <c r="C628" s="100" t="s">
        <v>5</v>
      </c>
      <c r="D628" s="97"/>
    </row>
    <row r="629" spans="1:4" ht="42.75" customHeight="1" thickBot="1">
      <c r="A629" s="101">
        <v>40</v>
      </c>
      <c r="B629" s="102"/>
      <c r="C629" s="96" t="s">
        <v>6</v>
      </c>
      <c r="D629" s="97"/>
    </row>
    <row r="630" spans="1:4" ht="42.75" customHeight="1" thickBot="1">
      <c r="A630" s="103"/>
      <c r="B630" s="104"/>
      <c r="C630" s="96" t="s">
        <v>21</v>
      </c>
      <c r="D630" s="97"/>
    </row>
    <row r="631" spans="1:4" ht="42.75" customHeight="1" thickBot="1">
      <c r="A631" s="105">
        <v>2300</v>
      </c>
      <c r="B631" s="106"/>
      <c r="C631" s="96" t="s">
        <v>7</v>
      </c>
      <c r="D631" s="97"/>
    </row>
    <row r="632" spans="1:4" ht="42.75" customHeight="1" thickBot="1">
      <c r="A632" s="107" t="s">
        <v>17</v>
      </c>
      <c r="B632" s="108"/>
      <c r="C632" s="108"/>
      <c r="D632" s="109"/>
    </row>
    <row r="633" spans="1:4" ht="42.75" customHeight="1" thickBot="1">
      <c r="A633" s="116" t="s">
        <v>20</v>
      </c>
      <c r="B633" s="117"/>
      <c r="C633" s="117"/>
      <c r="D633" s="118"/>
    </row>
    <row r="634" spans="1:4" ht="42.75" customHeight="1" thickBot="1">
      <c r="A634" s="113" t="s">
        <v>18</v>
      </c>
      <c r="B634" s="114"/>
      <c r="C634" s="114"/>
      <c r="D634" s="115"/>
    </row>
    <row r="635" spans="1:4" ht="42.75" customHeight="1" thickBot="1">
      <c r="A635" s="119"/>
      <c r="B635" s="119"/>
      <c r="C635" s="119"/>
      <c r="D635" s="119"/>
    </row>
    <row r="636" spans="1:4" ht="42.75" customHeight="1" thickBot="1">
      <c r="A636" s="126" t="s">
        <v>19</v>
      </c>
      <c r="B636" s="127"/>
      <c r="C636" s="127"/>
      <c r="D636" s="128"/>
    </row>
    <row r="637" spans="1:4" ht="42.75" customHeight="1" thickBot="1">
      <c r="A637" s="123" t="s">
        <v>11</v>
      </c>
      <c r="B637" s="124"/>
      <c r="C637" s="125" t="s">
        <v>603</v>
      </c>
      <c r="D637" s="124"/>
    </row>
    <row r="638" spans="1:4" ht="42.75" customHeight="1" thickBot="1">
      <c r="A638" s="1" t="s">
        <v>686</v>
      </c>
      <c r="B638" s="26" t="s">
        <v>1</v>
      </c>
      <c r="C638" s="90" t="s">
        <v>367</v>
      </c>
      <c r="D638" s="91"/>
    </row>
    <row r="639" spans="1:4" ht="42.75" customHeight="1" thickBot="1">
      <c r="A639" s="26"/>
      <c r="B639" s="26" t="s">
        <v>0</v>
      </c>
      <c r="C639" s="5" t="s">
        <v>687</v>
      </c>
      <c r="D639" s="4" t="s">
        <v>2</v>
      </c>
    </row>
    <row r="640" spans="1:4" ht="42.75" customHeight="1" thickBot="1">
      <c r="A640" s="92">
        <v>2327</v>
      </c>
      <c r="B640" s="93"/>
      <c r="C640" s="94" t="s">
        <v>3</v>
      </c>
      <c r="D640" s="95"/>
    </row>
    <row r="641" spans="1:4" ht="42.75" customHeight="1" thickBot="1">
      <c r="A641" s="92">
        <v>2385</v>
      </c>
      <c r="B641" s="93"/>
      <c r="C641" s="96" t="s">
        <v>4</v>
      </c>
      <c r="D641" s="97"/>
    </row>
    <row r="642" spans="1:4" ht="42.75" customHeight="1" thickBot="1">
      <c r="A642" s="98">
        <f>A641-A640</f>
        <v>58</v>
      </c>
      <c r="B642" s="99"/>
      <c r="C642" s="100" t="s">
        <v>5</v>
      </c>
      <c r="D642" s="97"/>
    </row>
    <row r="643" spans="1:4" ht="42.75" customHeight="1" thickBot="1">
      <c r="A643" s="101">
        <v>40</v>
      </c>
      <c r="B643" s="102"/>
      <c r="C643" s="96" t="s">
        <v>6</v>
      </c>
      <c r="D643" s="97"/>
    </row>
    <row r="644" spans="1:4" ht="42.75" customHeight="1" thickBot="1">
      <c r="A644" s="103"/>
      <c r="B644" s="104"/>
      <c r="C644" s="96" t="s">
        <v>21</v>
      </c>
      <c r="D644" s="97"/>
    </row>
    <row r="645" spans="1:4" ht="42.75" customHeight="1" thickBot="1">
      <c r="A645" s="105">
        <v>2300</v>
      </c>
      <c r="B645" s="106"/>
      <c r="C645" s="96" t="s">
        <v>7</v>
      </c>
      <c r="D645" s="97"/>
    </row>
    <row r="646" spans="1:4" ht="42.75" customHeight="1" thickBot="1">
      <c r="A646" s="107" t="s">
        <v>17</v>
      </c>
      <c r="B646" s="108"/>
      <c r="C646" s="108"/>
      <c r="D646" s="109"/>
    </row>
    <row r="647" spans="1:4" ht="42.75" customHeight="1" thickBot="1">
      <c r="A647" s="110" t="s">
        <v>20</v>
      </c>
      <c r="B647" s="111"/>
      <c r="C647" s="111"/>
      <c r="D647" s="112"/>
    </row>
    <row r="648" spans="1:4" ht="42.75" customHeight="1" thickBot="1">
      <c r="A648" s="113" t="s">
        <v>18</v>
      </c>
      <c r="B648" s="114"/>
      <c r="C648" s="114"/>
      <c r="D648" s="115"/>
    </row>
    <row r="649" spans="1:4" ht="42.75" customHeight="1" thickBot="1">
      <c r="A649" s="126" t="s">
        <v>19</v>
      </c>
      <c r="B649" s="127"/>
      <c r="C649" s="127"/>
      <c r="D649" s="128"/>
    </row>
    <row r="650" spans="1:4" ht="42.75" customHeight="1" thickBot="1">
      <c r="A650" s="123" t="s">
        <v>11</v>
      </c>
      <c r="B650" s="124"/>
      <c r="C650" s="125" t="s">
        <v>603</v>
      </c>
      <c r="D650" s="124"/>
    </row>
    <row r="651" spans="1:4" ht="42.75" customHeight="1" thickBot="1">
      <c r="A651" s="1" t="s">
        <v>686</v>
      </c>
      <c r="B651" s="26" t="s">
        <v>1</v>
      </c>
      <c r="C651" s="90" t="s">
        <v>368</v>
      </c>
      <c r="D651" s="91"/>
    </row>
    <row r="652" spans="1:4" ht="42.75" customHeight="1" thickBot="1">
      <c r="A652" s="26"/>
      <c r="B652" s="26" t="s">
        <v>0</v>
      </c>
      <c r="C652" s="5" t="s">
        <v>687</v>
      </c>
      <c r="D652" s="4" t="s">
        <v>2</v>
      </c>
    </row>
    <row r="653" spans="1:4" ht="42.75" customHeight="1" thickBot="1">
      <c r="A653" s="92">
        <v>2385</v>
      </c>
      <c r="B653" s="93"/>
      <c r="C653" s="94" t="s">
        <v>3</v>
      </c>
      <c r="D653" s="95"/>
    </row>
    <row r="654" spans="1:4" ht="42.75" customHeight="1" thickBot="1">
      <c r="A654" s="92">
        <v>2410</v>
      </c>
      <c r="B654" s="93"/>
      <c r="C654" s="96" t="s">
        <v>4</v>
      </c>
      <c r="D654" s="97"/>
    </row>
    <row r="655" spans="1:4" ht="42.75" customHeight="1" thickBot="1">
      <c r="A655" s="98">
        <f>A654-A653</f>
        <v>25</v>
      </c>
      <c r="B655" s="99"/>
      <c r="C655" s="100" t="s">
        <v>5</v>
      </c>
      <c r="D655" s="97"/>
    </row>
    <row r="656" spans="1:4" ht="42.75" customHeight="1" thickBot="1">
      <c r="A656" s="101">
        <v>62</v>
      </c>
      <c r="B656" s="102"/>
      <c r="C656" s="96" t="s">
        <v>6</v>
      </c>
      <c r="D656" s="97"/>
    </row>
    <row r="657" spans="1:4" ht="42.75" customHeight="1" thickBot="1">
      <c r="A657" s="103"/>
      <c r="B657" s="104"/>
      <c r="C657" s="96" t="s">
        <v>21</v>
      </c>
      <c r="D657" s="97"/>
    </row>
    <row r="658" spans="1:4" ht="42.75" customHeight="1" thickBot="1">
      <c r="A658" s="105">
        <f>A656*A655</f>
        <v>1550</v>
      </c>
      <c r="B658" s="106"/>
      <c r="C658" s="96" t="s">
        <v>7</v>
      </c>
      <c r="D658" s="97"/>
    </row>
    <row r="659" spans="1:4" ht="42.75" customHeight="1" thickBot="1">
      <c r="A659" s="107" t="s">
        <v>17</v>
      </c>
      <c r="B659" s="108"/>
      <c r="C659" s="108"/>
      <c r="D659" s="109"/>
    </row>
    <row r="660" spans="1:4" ht="42.75" customHeight="1" thickBot="1">
      <c r="A660" s="116" t="s">
        <v>20</v>
      </c>
      <c r="B660" s="117"/>
      <c r="C660" s="117"/>
      <c r="D660" s="118"/>
    </row>
    <row r="661" spans="1:4" ht="42.75" customHeight="1" thickBot="1">
      <c r="A661" s="113" t="s">
        <v>18</v>
      </c>
      <c r="B661" s="114"/>
      <c r="C661" s="114"/>
      <c r="D661" s="115"/>
    </row>
    <row r="662" spans="1:4" ht="42.75" customHeight="1" thickBot="1">
      <c r="A662" s="119"/>
      <c r="B662" s="119"/>
      <c r="C662" s="119"/>
      <c r="D662" s="119"/>
    </row>
    <row r="663" spans="1:4" ht="42.75" customHeight="1" thickBot="1">
      <c r="A663" s="126" t="s">
        <v>19</v>
      </c>
      <c r="B663" s="127"/>
      <c r="C663" s="127"/>
      <c r="D663" s="128"/>
    </row>
    <row r="664" spans="1:4" ht="42.75" customHeight="1" thickBot="1">
      <c r="A664" s="123" t="s">
        <v>11</v>
      </c>
      <c r="B664" s="124"/>
      <c r="C664" s="125" t="s">
        <v>603</v>
      </c>
      <c r="D664" s="124"/>
    </row>
    <row r="665" spans="1:4" ht="42.75" customHeight="1" thickBot="1">
      <c r="A665" s="1" t="s">
        <v>686</v>
      </c>
      <c r="B665" s="26" t="s">
        <v>1</v>
      </c>
      <c r="C665" s="90" t="s">
        <v>368</v>
      </c>
      <c r="D665" s="91"/>
    </row>
    <row r="666" spans="1:4" ht="42.75" customHeight="1" thickBot="1">
      <c r="A666" s="26"/>
      <c r="B666" s="26" t="s">
        <v>0</v>
      </c>
      <c r="C666" s="5" t="s">
        <v>687</v>
      </c>
      <c r="D666" s="4" t="s">
        <v>2</v>
      </c>
    </row>
    <row r="667" spans="1:4" ht="42.75" customHeight="1" thickBot="1">
      <c r="A667" s="92">
        <v>2385</v>
      </c>
      <c r="B667" s="93"/>
      <c r="C667" s="94" t="s">
        <v>3</v>
      </c>
      <c r="D667" s="95"/>
    </row>
    <row r="668" spans="1:4" ht="42.75" customHeight="1" thickBot="1">
      <c r="A668" s="92">
        <v>2410</v>
      </c>
      <c r="B668" s="93"/>
      <c r="C668" s="96" t="s">
        <v>4</v>
      </c>
      <c r="D668" s="97"/>
    </row>
    <row r="669" spans="1:4" ht="42.75" customHeight="1" thickBot="1">
      <c r="A669" s="98">
        <f>A668-A667</f>
        <v>25</v>
      </c>
      <c r="B669" s="99"/>
      <c r="C669" s="100" t="s">
        <v>5</v>
      </c>
      <c r="D669" s="97"/>
    </row>
    <row r="670" spans="1:4" ht="42.75" customHeight="1" thickBot="1">
      <c r="A670" s="101">
        <v>62</v>
      </c>
      <c r="B670" s="102"/>
      <c r="C670" s="96" t="s">
        <v>6</v>
      </c>
      <c r="D670" s="97"/>
    </row>
    <row r="671" spans="1:4" ht="42.75" customHeight="1" thickBot="1">
      <c r="A671" s="103"/>
      <c r="B671" s="104"/>
      <c r="C671" s="96" t="s">
        <v>21</v>
      </c>
      <c r="D671" s="97"/>
    </row>
    <row r="672" spans="1:4" ht="42.75" customHeight="1" thickBot="1">
      <c r="A672" s="105">
        <f>A670*A669</f>
        <v>1550</v>
      </c>
      <c r="B672" s="106"/>
      <c r="C672" s="96" t="s">
        <v>7</v>
      </c>
      <c r="D672" s="97"/>
    </row>
    <row r="673" spans="1:4" ht="42.75" customHeight="1" thickBot="1">
      <c r="A673" s="107" t="s">
        <v>17</v>
      </c>
      <c r="B673" s="108"/>
      <c r="C673" s="108"/>
      <c r="D673" s="109"/>
    </row>
    <row r="674" spans="1:4" ht="42.75" customHeight="1" thickBot="1">
      <c r="A674" s="110" t="s">
        <v>20</v>
      </c>
      <c r="B674" s="111"/>
      <c r="C674" s="111"/>
      <c r="D674" s="112"/>
    </row>
    <row r="675" spans="1:4" ht="42.75" customHeight="1" thickBot="1">
      <c r="A675" s="113" t="s">
        <v>18</v>
      </c>
      <c r="B675" s="114"/>
      <c r="C675" s="114"/>
      <c r="D675" s="115"/>
    </row>
    <row r="676" spans="1:4" ht="42.75" customHeight="1" thickBot="1">
      <c r="A676" s="126" t="s">
        <v>19</v>
      </c>
      <c r="B676" s="127"/>
      <c r="C676" s="127"/>
      <c r="D676" s="128"/>
    </row>
    <row r="677" spans="1:4" ht="42.75" customHeight="1" thickBot="1">
      <c r="A677" s="123" t="s">
        <v>11</v>
      </c>
      <c r="B677" s="124"/>
      <c r="C677" s="125" t="s">
        <v>603</v>
      </c>
      <c r="D677" s="124"/>
    </row>
    <row r="678" spans="1:4" ht="42.75" customHeight="1" thickBot="1">
      <c r="A678" s="1" t="s">
        <v>686</v>
      </c>
      <c r="B678" s="26" t="s">
        <v>1</v>
      </c>
      <c r="C678" s="90" t="s">
        <v>369</v>
      </c>
      <c r="D678" s="91"/>
    </row>
    <row r="679" spans="1:4" ht="42.75" customHeight="1" thickBot="1">
      <c r="A679" s="26"/>
      <c r="B679" s="26" t="s">
        <v>0</v>
      </c>
      <c r="C679" s="5" t="s">
        <v>687</v>
      </c>
      <c r="D679" s="4" t="s">
        <v>2</v>
      </c>
    </row>
    <row r="680" spans="1:4" ht="42.75" customHeight="1" thickBot="1">
      <c r="A680" s="92">
        <v>3005</v>
      </c>
      <c r="B680" s="93"/>
      <c r="C680" s="94" t="s">
        <v>3</v>
      </c>
      <c r="D680" s="95"/>
    </row>
    <row r="681" spans="1:4" ht="42.75" customHeight="1" thickBot="1">
      <c r="A681" s="92">
        <v>3065</v>
      </c>
      <c r="B681" s="93"/>
      <c r="C681" s="96" t="s">
        <v>4</v>
      </c>
      <c r="D681" s="97"/>
    </row>
    <row r="682" spans="1:4" ht="42.75" customHeight="1" thickBot="1">
      <c r="A682" s="98">
        <f>A681-A680</f>
        <v>60</v>
      </c>
      <c r="B682" s="99"/>
      <c r="C682" s="100" t="s">
        <v>5</v>
      </c>
      <c r="D682" s="97"/>
    </row>
    <row r="683" spans="1:4" ht="42.75" customHeight="1" thickBot="1">
      <c r="A683" s="101">
        <v>62</v>
      </c>
      <c r="B683" s="102"/>
      <c r="C683" s="96" t="s">
        <v>6</v>
      </c>
      <c r="D683" s="97"/>
    </row>
    <row r="684" spans="1:4" ht="42.75" customHeight="1" thickBot="1">
      <c r="A684" s="103"/>
      <c r="B684" s="104"/>
      <c r="C684" s="96" t="s">
        <v>21</v>
      </c>
      <c r="D684" s="97"/>
    </row>
    <row r="685" spans="1:4" ht="42.75" customHeight="1" thickBot="1">
      <c r="A685" s="105">
        <v>3700</v>
      </c>
      <c r="B685" s="106"/>
      <c r="C685" s="96" t="s">
        <v>7</v>
      </c>
      <c r="D685" s="97"/>
    </row>
    <row r="686" spans="1:4" ht="42.75" customHeight="1" thickBot="1">
      <c r="A686" s="107" t="s">
        <v>17</v>
      </c>
      <c r="B686" s="108"/>
      <c r="C686" s="108"/>
      <c r="D686" s="109"/>
    </row>
    <row r="687" spans="1:4" ht="42.75" customHeight="1" thickBot="1">
      <c r="A687" s="116" t="s">
        <v>20</v>
      </c>
      <c r="B687" s="117"/>
      <c r="C687" s="117"/>
      <c r="D687" s="118"/>
    </row>
    <row r="688" spans="1:4" ht="42.75" customHeight="1" thickBot="1">
      <c r="A688" s="113" t="s">
        <v>18</v>
      </c>
      <c r="B688" s="114"/>
      <c r="C688" s="114"/>
      <c r="D688" s="115"/>
    </row>
    <row r="689" spans="1:4" ht="42.75" customHeight="1" thickBot="1">
      <c r="A689" s="119"/>
      <c r="B689" s="119"/>
      <c r="C689" s="119"/>
      <c r="D689" s="119"/>
    </row>
    <row r="690" spans="1:4" ht="42.75" customHeight="1" thickBot="1">
      <c r="A690" s="126" t="s">
        <v>19</v>
      </c>
      <c r="B690" s="127"/>
      <c r="C690" s="127"/>
      <c r="D690" s="128"/>
    </row>
    <row r="691" spans="1:4" ht="42.75" customHeight="1" thickBot="1">
      <c r="A691" s="123" t="s">
        <v>11</v>
      </c>
      <c r="B691" s="124"/>
      <c r="C691" s="125" t="s">
        <v>603</v>
      </c>
      <c r="D691" s="124"/>
    </row>
    <row r="692" spans="1:4" ht="42.75" customHeight="1" thickBot="1">
      <c r="A692" s="1" t="s">
        <v>686</v>
      </c>
      <c r="B692" s="26" t="s">
        <v>1</v>
      </c>
      <c r="C692" s="90" t="s">
        <v>369</v>
      </c>
      <c r="D692" s="91"/>
    </row>
    <row r="693" spans="1:4" ht="42.75" customHeight="1" thickBot="1">
      <c r="A693" s="26"/>
      <c r="B693" s="26" t="s">
        <v>0</v>
      </c>
      <c r="C693" s="5" t="s">
        <v>687</v>
      </c>
      <c r="D693" s="4" t="s">
        <v>2</v>
      </c>
    </row>
    <row r="694" spans="1:4" ht="42.75" customHeight="1" thickBot="1">
      <c r="A694" s="92">
        <v>3005</v>
      </c>
      <c r="B694" s="93"/>
      <c r="C694" s="94" t="s">
        <v>3</v>
      </c>
      <c r="D694" s="95"/>
    </row>
    <row r="695" spans="1:4" ht="42.75" customHeight="1" thickBot="1">
      <c r="A695" s="92">
        <v>3065</v>
      </c>
      <c r="B695" s="93"/>
      <c r="C695" s="96" t="s">
        <v>4</v>
      </c>
      <c r="D695" s="97"/>
    </row>
    <row r="696" spans="1:4" ht="42.75" customHeight="1" thickBot="1">
      <c r="A696" s="98">
        <f>A695-A694</f>
        <v>60</v>
      </c>
      <c r="B696" s="99"/>
      <c r="C696" s="100" t="s">
        <v>5</v>
      </c>
      <c r="D696" s="97"/>
    </row>
    <row r="697" spans="1:4" ht="42.75" customHeight="1" thickBot="1">
      <c r="A697" s="101">
        <v>62</v>
      </c>
      <c r="B697" s="102"/>
      <c r="C697" s="96" t="s">
        <v>6</v>
      </c>
      <c r="D697" s="97"/>
    </row>
    <row r="698" spans="1:4" ht="42.75" customHeight="1" thickBot="1">
      <c r="A698" s="103"/>
      <c r="B698" s="104"/>
      <c r="C698" s="96" t="s">
        <v>21</v>
      </c>
      <c r="D698" s="97"/>
    </row>
    <row r="699" spans="1:4" ht="42.75" customHeight="1" thickBot="1">
      <c r="A699" s="105">
        <v>3700</v>
      </c>
      <c r="B699" s="106"/>
      <c r="C699" s="96" t="s">
        <v>7</v>
      </c>
      <c r="D699" s="97"/>
    </row>
    <row r="700" spans="1:4" ht="42.75" customHeight="1" thickBot="1">
      <c r="A700" s="107" t="s">
        <v>17</v>
      </c>
      <c r="B700" s="108"/>
      <c r="C700" s="108"/>
      <c r="D700" s="109"/>
    </row>
    <row r="701" spans="1:4" ht="42.75" customHeight="1" thickBot="1">
      <c r="A701" s="110" t="s">
        <v>20</v>
      </c>
      <c r="B701" s="111"/>
      <c r="C701" s="111"/>
      <c r="D701" s="112"/>
    </row>
    <row r="702" spans="1:4" ht="42.75" customHeight="1" thickBot="1">
      <c r="A702" s="113" t="s">
        <v>18</v>
      </c>
      <c r="B702" s="114"/>
      <c r="C702" s="114"/>
      <c r="D702" s="115"/>
    </row>
    <row r="703" spans="1:4" ht="42.75" customHeight="1" thickBot="1">
      <c r="A703" s="126" t="s">
        <v>19</v>
      </c>
      <c r="B703" s="127"/>
      <c r="C703" s="127"/>
      <c r="D703" s="128"/>
    </row>
    <row r="704" spans="1:4" ht="42.75" customHeight="1" thickBot="1">
      <c r="A704" s="123" t="s">
        <v>11</v>
      </c>
      <c r="B704" s="124"/>
      <c r="C704" s="125" t="s">
        <v>603</v>
      </c>
      <c r="D704" s="124"/>
    </row>
    <row r="705" spans="1:4" ht="42.75" customHeight="1" thickBot="1">
      <c r="A705" s="1" t="s">
        <v>686</v>
      </c>
      <c r="B705" s="26" t="s">
        <v>1</v>
      </c>
      <c r="C705" s="90" t="s">
        <v>642</v>
      </c>
      <c r="D705" s="91"/>
    </row>
    <row r="706" spans="1:4" ht="42.75" customHeight="1" thickBot="1">
      <c r="A706" s="26"/>
      <c r="B706" s="26" t="s">
        <v>0</v>
      </c>
      <c r="C706" s="5" t="s">
        <v>687</v>
      </c>
      <c r="D706" s="4" t="s">
        <v>2</v>
      </c>
    </row>
    <row r="707" spans="1:4" ht="42.75" customHeight="1" thickBot="1">
      <c r="A707" s="92">
        <v>34</v>
      </c>
      <c r="B707" s="93"/>
      <c r="C707" s="94" t="s">
        <v>3</v>
      </c>
      <c r="D707" s="95"/>
    </row>
    <row r="708" spans="1:4" ht="42.75" customHeight="1" thickBot="1">
      <c r="A708" s="92">
        <v>34</v>
      </c>
      <c r="B708" s="93"/>
      <c r="C708" s="96" t="s">
        <v>4</v>
      </c>
      <c r="D708" s="97"/>
    </row>
    <row r="709" spans="1:4" ht="42.75" customHeight="1" thickBot="1">
      <c r="A709" s="98">
        <f>A708-A707</f>
        <v>0</v>
      </c>
      <c r="B709" s="99"/>
      <c r="C709" s="100" t="s">
        <v>5</v>
      </c>
      <c r="D709" s="97"/>
    </row>
    <row r="710" spans="1:4" ht="42.75" customHeight="1" thickBot="1">
      <c r="A710" s="101">
        <v>40</v>
      </c>
      <c r="B710" s="102"/>
      <c r="C710" s="96" t="s">
        <v>6</v>
      </c>
      <c r="D710" s="97"/>
    </row>
    <row r="711" spans="1:4" ht="42.75" customHeight="1" thickBot="1">
      <c r="A711" s="103"/>
      <c r="B711" s="104"/>
      <c r="C711" s="96" t="s">
        <v>21</v>
      </c>
      <c r="D711" s="97"/>
    </row>
    <row r="712" spans="1:4" ht="42.75" customHeight="1" thickBot="1">
      <c r="A712" s="105">
        <f>A710*A709</f>
        <v>0</v>
      </c>
      <c r="B712" s="106"/>
      <c r="C712" s="96" t="s">
        <v>7</v>
      </c>
      <c r="D712" s="97"/>
    </row>
    <row r="713" spans="1:4" ht="42.75" customHeight="1" thickBot="1">
      <c r="A713" s="107" t="s">
        <v>17</v>
      </c>
      <c r="B713" s="108"/>
      <c r="C713" s="108"/>
      <c r="D713" s="109"/>
    </row>
    <row r="714" spans="1:4" ht="42.75" customHeight="1" thickBot="1">
      <c r="A714" s="116" t="s">
        <v>20</v>
      </c>
      <c r="B714" s="117"/>
      <c r="C714" s="117"/>
      <c r="D714" s="118"/>
    </row>
    <row r="715" spans="1:4" ht="42.75" customHeight="1" thickBot="1">
      <c r="A715" s="113" t="s">
        <v>18</v>
      </c>
      <c r="B715" s="114"/>
      <c r="C715" s="114"/>
      <c r="D715" s="115"/>
    </row>
    <row r="716" spans="1:4" ht="42.75" customHeight="1" thickBot="1">
      <c r="A716" s="119"/>
      <c r="B716" s="119"/>
      <c r="C716" s="119"/>
      <c r="D716" s="119"/>
    </row>
    <row r="717" spans="1:4" ht="42.75" customHeight="1" thickBot="1">
      <c r="A717" s="126" t="s">
        <v>19</v>
      </c>
      <c r="B717" s="127"/>
      <c r="C717" s="127"/>
      <c r="D717" s="128"/>
    </row>
    <row r="718" spans="1:4" ht="42.75" customHeight="1" thickBot="1">
      <c r="A718" s="123" t="s">
        <v>11</v>
      </c>
      <c r="B718" s="124"/>
      <c r="C718" s="125" t="s">
        <v>603</v>
      </c>
      <c r="D718" s="124"/>
    </row>
    <row r="719" spans="1:4" ht="42.75" customHeight="1" thickBot="1">
      <c r="A719" s="1" t="s">
        <v>686</v>
      </c>
      <c r="B719" s="26" t="s">
        <v>1</v>
      </c>
      <c r="C719" s="90" t="s">
        <v>642</v>
      </c>
      <c r="D719" s="91"/>
    </row>
    <row r="720" spans="1:4" ht="42.75" customHeight="1" thickBot="1">
      <c r="A720" s="26"/>
      <c r="B720" s="26" t="s">
        <v>0</v>
      </c>
      <c r="C720" s="5" t="s">
        <v>687</v>
      </c>
      <c r="D720" s="4" t="s">
        <v>2</v>
      </c>
    </row>
    <row r="721" spans="1:4" ht="42.75" customHeight="1" thickBot="1">
      <c r="A721" s="92">
        <v>22</v>
      </c>
      <c r="B721" s="93"/>
      <c r="C721" s="94" t="s">
        <v>3</v>
      </c>
      <c r="D721" s="95"/>
    </row>
    <row r="722" spans="1:4" ht="42.75" customHeight="1" thickBot="1">
      <c r="A722" s="92">
        <v>34</v>
      </c>
      <c r="B722" s="93"/>
      <c r="C722" s="96" t="s">
        <v>4</v>
      </c>
      <c r="D722" s="97"/>
    </row>
    <row r="723" spans="1:4" ht="42.75" customHeight="1" thickBot="1">
      <c r="A723" s="98">
        <f>A722-A721</f>
        <v>12</v>
      </c>
      <c r="B723" s="99"/>
      <c r="C723" s="100" t="s">
        <v>5</v>
      </c>
      <c r="D723" s="97"/>
    </row>
    <row r="724" spans="1:4" ht="42.75" customHeight="1" thickBot="1">
      <c r="A724" s="101">
        <v>40</v>
      </c>
      <c r="B724" s="102"/>
      <c r="C724" s="96" t="s">
        <v>6</v>
      </c>
      <c r="D724" s="97"/>
    </row>
    <row r="725" spans="1:4" ht="42.75" customHeight="1" thickBot="1">
      <c r="A725" s="103"/>
      <c r="B725" s="104"/>
      <c r="C725" s="96" t="s">
        <v>21</v>
      </c>
      <c r="D725" s="97"/>
    </row>
    <row r="726" spans="1:4" ht="42.75" customHeight="1" thickBot="1">
      <c r="A726" s="105">
        <v>500</v>
      </c>
      <c r="B726" s="106"/>
      <c r="C726" s="96" t="s">
        <v>7</v>
      </c>
      <c r="D726" s="97"/>
    </row>
    <row r="727" spans="1:4" ht="42.75" customHeight="1" thickBot="1">
      <c r="A727" s="107" t="s">
        <v>17</v>
      </c>
      <c r="B727" s="108"/>
      <c r="C727" s="108"/>
      <c r="D727" s="109"/>
    </row>
    <row r="728" spans="1:4" ht="42.75" customHeight="1" thickBot="1">
      <c r="A728" s="110" t="s">
        <v>20</v>
      </c>
      <c r="B728" s="111"/>
      <c r="C728" s="111"/>
      <c r="D728" s="112"/>
    </row>
    <row r="729" spans="1:4" ht="42.75" customHeight="1" thickBot="1">
      <c r="A729" s="113" t="s">
        <v>18</v>
      </c>
      <c r="B729" s="114"/>
      <c r="C729" s="114"/>
      <c r="D729" s="115"/>
    </row>
    <row r="730" spans="1:4" ht="42.75" customHeight="1" thickBot="1">
      <c r="A730" s="126" t="s">
        <v>19</v>
      </c>
      <c r="B730" s="127"/>
      <c r="C730" s="127"/>
      <c r="D730" s="128"/>
    </row>
    <row r="731" spans="1:4" ht="42.75" customHeight="1" thickBot="1">
      <c r="A731" s="123" t="s">
        <v>11</v>
      </c>
      <c r="B731" s="124"/>
      <c r="C731" s="125" t="s">
        <v>603</v>
      </c>
      <c r="D731" s="124"/>
    </row>
    <row r="732" spans="1:4" ht="42.75" customHeight="1" thickBot="1">
      <c r="A732" s="1" t="s">
        <v>686</v>
      </c>
      <c r="B732" s="26" t="s">
        <v>1</v>
      </c>
      <c r="C732" s="90" t="s">
        <v>69</v>
      </c>
      <c r="D732" s="91"/>
    </row>
    <row r="733" spans="1:4" ht="42.75" customHeight="1" thickBot="1">
      <c r="A733" s="26"/>
      <c r="B733" s="26" t="s">
        <v>0</v>
      </c>
      <c r="C733" s="5" t="s">
        <v>687</v>
      </c>
      <c r="D733" s="4" t="s">
        <v>2</v>
      </c>
    </row>
    <row r="734" spans="1:4" ht="42.75" customHeight="1" thickBot="1">
      <c r="A734" s="92">
        <v>2565</v>
      </c>
      <c r="B734" s="93"/>
      <c r="C734" s="94" t="s">
        <v>3</v>
      </c>
      <c r="D734" s="95"/>
    </row>
    <row r="735" spans="1:4" ht="42.75" customHeight="1" thickBot="1">
      <c r="A735" s="92">
        <v>2605</v>
      </c>
      <c r="B735" s="93"/>
      <c r="C735" s="96" t="s">
        <v>4</v>
      </c>
      <c r="D735" s="97"/>
    </row>
    <row r="736" spans="1:4" ht="42.75" customHeight="1" thickBot="1">
      <c r="A736" s="98">
        <f>A735-A734</f>
        <v>40</v>
      </c>
      <c r="B736" s="99"/>
      <c r="C736" s="100" t="s">
        <v>5</v>
      </c>
      <c r="D736" s="97"/>
    </row>
    <row r="737" spans="1:4" ht="42.75" customHeight="1" thickBot="1">
      <c r="A737" s="101">
        <v>62</v>
      </c>
      <c r="B737" s="102"/>
      <c r="C737" s="96" t="s">
        <v>6</v>
      </c>
      <c r="D737" s="97"/>
    </row>
    <row r="738" spans="1:4" ht="42.75" customHeight="1" thickBot="1">
      <c r="A738" s="103"/>
      <c r="B738" s="104"/>
      <c r="C738" s="96" t="s">
        <v>21</v>
      </c>
      <c r="D738" s="97"/>
    </row>
    <row r="739" spans="1:4" ht="42.75" customHeight="1" thickBot="1">
      <c r="A739" s="105">
        <v>2500</v>
      </c>
      <c r="B739" s="106"/>
      <c r="C739" s="96" t="s">
        <v>7</v>
      </c>
      <c r="D739" s="97"/>
    </row>
    <row r="740" spans="1:4" ht="42.75" customHeight="1" thickBot="1">
      <c r="A740" s="107" t="s">
        <v>17</v>
      </c>
      <c r="B740" s="108"/>
      <c r="C740" s="108"/>
      <c r="D740" s="109"/>
    </row>
    <row r="741" spans="1:4" ht="42.75" customHeight="1" thickBot="1">
      <c r="A741" s="116" t="s">
        <v>20</v>
      </c>
      <c r="B741" s="117"/>
      <c r="C741" s="117"/>
      <c r="D741" s="118"/>
    </row>
    <row r="742" spans="1:4" ht="42.75" customHeight="1" thickBot="1">
      <c r="A742" s="113" t="s">
        <v>18</v>
      </c>
      <c r="B742" s="114"/>
      <c r="C742" s="114"/>
      <c r="D742" s="115"/>
    </row>
    <row r="743" spans="1:4" ht="42.75" customHeight="1" thickBot="1">
      <c r="A743" s="119"/>
      <c r="B743" s="119"/>
      <c r="C743" s="119"/>
      <c r="D743" s="119"/>
    </row>
    <row r="744" spans="1:4" ht="42.75" customHeight="1" thickBot="1">
      <c r="A744" s="126" t="s">
        <v>19</v>
      </c>
      <c r="B744" s="127"/>
      <c r="C744" s="127"/>
      <c r="D744" s="128"/>
    </row>
    <row r="745" spans="1:4" ht="42.75" customHeight="1" thickBot="1">
      <c r="A745" s="123" t="s">
        <v>11</v>
      </c>
      <c r="B745" s="124"/>
      <c r="C745" s="125" t="s">
        <v>603</v>
      </c>
      <c r="D745" s="124"/>
    </row>
    <row r="746" spans="1:4" ht="42.75" customHeight="1" thickBot="1">
      <c r="A746" s="1" t="s">
        <v>686</v>
      </c>
      <c r="B746" s="26" t="s">
        <v>1</v>
      </c>
      <c r="C746" s="90" t="s">
        <v>69</v>
      </c>
      <c r="D746" s="91"/>
    </row>
    <row r="747" spans="1:4" ht="42.75" customHeight="1" thickBot="1">
      <c r="A747" s="26"/>
      <c r="B747" s="26" t="s">
        <v>0</v>
      </c>
      <c r="C747" s="5" t="s">
        <v>687</v>
      </c>
      <c r="D747" s="4" t="s">
        <v>2</v>
      </c>
    </row>
    <row r="748" spans="1:4" ht="42.75" customHeight="1" thickBot="1">
      <c r="A748" s="92">
        <v>2565</v>
      </c>
      <c r="B748" s="93"/>
      <c r="C748" s="94" t="s">
        <v>3</v>
      </c>
      <c r="D748" s="95"/>
    </row>
    <row r="749" spans="1:4" ht="42.75" customHeight="1" thickBot="1">
      <c r="A749" s="92">
        <v>2605</v>
      </c>
      <c r="B749" s="93"/>
      <c r="C749" s="96" t="s">
        <v>4</v>
      </c>
      <c r="D749" s="97"/>
    </row>
    <row r="750" spans="1:4" ht="42.75" customHeight="1" thickBot="1">
      <c r="A750" s="98">
        <f>A749-A748</f>
        <v>40</v>
      </c>
      <c r="B750" s="99"/>
      <c r="C750" s="100" t="s">
        <v>5</v>
      </c>
      <c r="D750" s="97"/>
    </row>
    <row r="751" spans="1:4" ht="42.75" customHeight="1" thickBot="1">
      <c r="A751" s="101">
        <v>62</v>
      </c>
      <c r="B751" s="102"/>
      <c r="C751" s="96" t="s">
        <v>6</v>
      </c>
      <c r="D751" s="97"/>
    </row>
    <row r="752" spans="1:4" ht="42.75" customHeight="1" thickBot="1">
      <c r="A752" s="103"/>
      <c r="B752" s="104"/>
      <c r="C752" s="96" t="s">
        <v>21</v>
      </c>
      <c r="D752" s="97"/>
    </row>
    <row r="753" spans="1:4" ht="42.75" customHeight="1" thickBot="1">
      <c r="A753" s="105">
        <v>2500</v>
      </c>
      <c r="B753" s="106"/>
      <c r="C753" s="96" t="s">
        <v>7</v>
      </c>
      <c r="D753" s="97"/>
    </row>
    <row r="754" spans="1:4" ht="42.75" customHeight="1" thickBot="1">
      <c r="A754" s="107" t="s">
        <v>17</v>
      </c>
      <c r="B754" s="108"/>
      <c r="C754" s="108"/>
      <c r="D754" s="109"/>
    </row>
    <row r="755" spans="1:4" ht="42.75" customHeight="1" thickBot="1">
      <c r="A755" s="110" t="s">
        <v>20</v>
      </c>
      <c r="B755" s="111"/>
      <c r="C755" s="111"/>
      <c r="D755" s="112"/>
    </row>
    <row r="756" spans="1:4" ht="42.75" customHeight="1" thickBot="1">
      <c r="A756" s="113" t="s">
        <v>18</v>
      </c>
      <c r="B756" s="114"/>
      <c r="C756" s="114"/>
      <c r="D756" s="115"/>
    </row>
    <row r="757" spans="1:4" ht="42.75" customHeight="1" thickBot="1">
      <c r="A757" s="126" t="s">
        <v>19</v>
      </c>
      <c r="B757" s="127"/>
      <c r="C757" s="127"/>
      <c r="D757" s="128"/>
    </row>
    <row r="758" spans="1:4" ht="42.75" customHeight="1" thickBot="1">
      <c r="A758" s="123" t="s">
        <v>11</v>
      </c>
      <c r="B758" s="124"/>
      <c r="C758" s="125" t="s">
        <v>603</v>
      </c>
      <c r="D758" s="124"/>
    </row>
    <row r="759" spans="1:4" ht="42.75" customHeight="1" thickBot="1">
      <c r="A759" s="1" t="s">
        <v>686</v>
      </c>
      <c r="B759" s="26" t="s">
        <v>1</v>
      </c>
      <c r="C759" s="90" t="s">
        <v>542</v>
      </c>
      <c r="D759" s="91"/>
    </row>
    <row r="760" spans="1:4" ht="42.75" customHeight="1" thickBot="1">
      <c r="A760" s="26"/>
      <c r="B760" s="26" t="s">
        <v>0</v>
      </c>
      <c r="C760" s="5" t="s">
        <v>687</v>
      </c>
      <c r="D760" s="4" t="s">
        <v>2</v>
      </c>
    </row>
    <row r="761" spans="1:4" ht="42.75" customHeight="1" thickBot="1">
      <c r="A761" s="92">
        <v>805</v>
      </c>
      <c r="B761" s="93"/>
      <c r="C761" s="94" t="s">
        <v>3</v>
      </c>
      <c r="D761" s="95"/>
    </row>
    <row r="762" spans="1:4" ht="42.75" customHeight="1" thickBot="1">
      <c r="A762" s="92">
        <v>820</v>
      </c>
      <c r="B762" s="93"/>
      <c r="C762" s="96" t="s">
        <v>4</v>
      </c>
      <c r="D762" s="97"/>
    </row>
    <row r="763" spans="1:4" ht="42.75" customHeight="1" thickBot="1">
      <c r="A763" s="98">
        <f>A762-A761</f>
        <v>15</v>
      </c>
      <c r="B763" s="99"/>
      <c r="C763" s="100" t="s">
        <v>5</v>
      </c>
      <c r="D763" s="97"/>
    </row>
    <row r="764" spans="1:4" ht="42.75" customHeight="1" thickBot="1">
      <c r="A764" s="101">
        <v>40</v>
      </c>
      <c r="B764" s="102"/>
      <c r="C764" s="96" t="s">
        <v>6</v>
      </c>
      <c r="D764" s="97"/>
    </row>
    <row r="765" spans="1:4" ht="42.75" customHeight="1" thickBot="1">
      <c r="A765" s="103"/>
      <c r="B765" s="104"/>
      <c r="C765" s="96" t="s">
        <v>21</v>
      </c>
      <c r="D765" s="97"/>
    </row>
    <row r="766" spans="1:4" ht="42.75" customHeight="1" thickBot="1">
      <c r="A766" s="105">
        <f>A764*A763</f>
        <v>600</v>
      </c>
      <c r="B766" s="106"/>
      <c r="C766" s="96" t="s">
        <v>7</v>
      </c>
      <c r="D766" s="97"/>
    </row>
    <row r="767" spans="1:4" ht="42.75" customHeight="1" thickBot="1">
      <c r="A767" s="107" t="s">
        <v>17</v>
      </c>
      <c r="B767" s="108"/>
      <c r="C767" s="108"/>
      <c r="D767" s="109"/>
    </row>
    <row r="768" spans="1:4" ht="42.75" customHeight="1" thickBot="1">
      <c r="A768" s="116" t="s">
        <v>20</v>
      </c>
      <c r="B768" s="117"/>
      <c r="C768" s="117"/>
      <c r="D768" s="118"/>
    </row>
    <row r="769" spans="1:4" ht="42.75" customHeight="1" thickBot="1">
      <c r="A769" s="113" t="s">
        <v>18</v>
      </c>
      <c r="B769" s="114"/>
      <c r="C769" s="114"/>
      <c r="D769" s="115"/>
    </row>
    <row r="770" spans="1:4" ht="42.75" customHeight="1" thickBot="1">
      <c r="A770" s="119"/>
      <c r="B770" s="119"/>
      <c r="C770" s="119"/>
      <c r="D770" s="119"/>
    </row>
    <row r="771" spans="1:4" ht="42.75" customHeight="1" thickBot="1">
      <c r="A771" s="126" t="s">
        <v>19</v>
      </c>
      <c r="B771" s="127"/>
      <c r="C771" s="127"/>
      <c r="D771" s="128"/>
    </row>
    <row r="772" spans="1:4" ht="42.75" customHeight="1" thickBot="1">
      <c r="A772" s="123" t="s">
        <v>11</v>
      </c>
      <c r="B772" s="124"/>
      <c r="C772" s="125" t="s">
        <v>603</v>
      </c>
      <c r="D772" s="124"/>
    </row>
    <row r="773" spans="1:4" ht="42.75" customHeight="1" thickBot="1">
      <c r="A773" s="1" t="s">
        <v>686</v>
      </c>
      <c r="B773" s="26" t="s">
        <v>1</v>
      </c>
      <c r="C773" s="90" t="s">
        <v>542</v>
      </c>
      <c r="D773" s="91"/>
    </row>
    <row r="774" spans="1:4" ht="42.75" customHeight="1" thickBot="1">
      <c r="A774" s="26"/>
      <c r="B774" s="26" t="s">
        <v>0</v>
      </c>
      <c r="C774" s="5" t="s">
        <v>687</v>
      </c>
      <c r="D774" s="4" t="s">
        <v>2</v>
      </c>
    </row>
    <row r="775" spans="1:4" ht="42.75" customHeight="1" thickBot="1">
      <c r="A775" s="92">
        <v>805</v>
      </c>
      <c r="B775" s="93"/>
      <c r="C775" s="94" t="s">
        <v>3</v>
      </c>
      <c r="D775" s="95"/>
    </row>
    <row r="776" spans="1:4" ht="42.75" customHeight="1" thickBot="1">
      <c r="A776" s="92">
        <v>820</v>
      </c>
      <c r="B776" s="93"/>
      <c r="C776" s="96" t="s">
        <v>4</v>
      </c>
      <c r="D776" s="97"/>
    </row>
    <row r="777" spans="1:4" ht="42.75" customHeight="1" thickBot="1">
      <c r="A777" s="98">
        <f>A776-A775</f>
        <v>15</v>
      </c>
      <c r="B777" s="99"/>
      <c r="C777" s="100" t="s">
        <v>5</v>
      </c>
      <c r="D777" s="97"/>
    </row>
    <row r="778" spans="1:4" ht="42.75" customHeight="1" thickBot="1">
      <c r="A778" s="101">
        <v>40</v>
      </c>
      <c r="B778" s="102"/>
      <c r="C778" s="96" t="s">
        <v>6</v>
      </c>
      <c r="D778" s="97"/>
    </row>
    <row r="779" spans="1:4" ht="42.75" customHeight="1" thickBot="1">
      <c r="A779" s="103"/>
      <c r="B779" s="104"/>
      <c r="C779" s="96" t="s">
        <v>21</v>
      </c>
      <c r="D779" s="97"/>
    </row>
    <row r="780" spans="1:4" ht="42.75" customHeight="1" thickBot="1">
      <c r="A780" s="105">
        <f>A778*A777</f>
        <v>600</v>
      </c>
      <c r="B780" s="106"/>
      <c r="C780" s="96" t="s">
        <v>7</v>
      </c>
      <c r="D780" s="97"/>
    </row>
    <row r="781" spans="1:4" ht="42.75" customHeight="1" thickBot="1">
      <c r="A781" s="107" t="s">
        <v>17</v>
      </c>
      <c r="B781" s="108"/>
      <c r="C781" s="108"/>
      <c r="D781" s="109"/>
    </row>
    <row r="782" spans="1:4" ht="42.75" customHeight="1" thickBot="1">
      <c r="A782" s="110" t="s">
        <v>20</v>
      </c>
      <c r="B782" s="111"/>
      <c r="C782" s="111"/>
      <c r="D782" s="112"/>
    </row>
    <row r="783" spans="1:4" ht="42.75" customHeight="1" thickBot="1">
      <c r="A783" s="113" t="s">
        <v>18</v>
      </c>
      <c r="B783" s="114"/>
      <c r="C783" s="114"/>
      <c r="D783" s="115"/>
    </row>
    <row r="784" spans="1:4" ht="42.75" customHeight="1" thickBot="1">
      <c r="A784" s="126" t="s">
        <v>19</v>
      </c>
      <c r="B784" s="127"/>
      <c r="C784" s="127"/>
      <c r="D784" s="128"/>
    </row>
    <row r="785" spans="1:4" ht="42.75" customHeight="1" thickBot="1">
      <c r="A785" s="123" t="s">
        <v>11</v>
      </c>
      <c r="B785" s="124"/>
      <c r="C785" s="125" t="s">
        <v>603</v>
      </c>
      <c r="D785" s="124"/>
    </row>
    <row r="786" spans="1:4" ht="42.75" customHeight="1" thickBot="1">
      <c r="A786" s="1" t="s">
        <v>686</v>
      </c>
      <c r="B786" s="26" t="s">
        <v>1</v>
      </c>
      <c r="C786" s="90" t="s">
        <v>370</v>
      </c>
      <c r="D786" s="91"/>
    </row>
    <row r="787" spans="1:4" ht="42.75" customHeight="1" thickBot="1">
      <c r="A787" s="26"/>
      <c r="B787" s="26" t="s">
        <v>0</v>
      </c>
      <c r="C787" s="5" t="s">
        <v>687</v>
      </c>
      <c r="D787" s="4" t="s">
        <v>2</v>
      </c>
    </row>
    <row r="788" spans="1:4" ht="42.75" customHeight="1" thickBot="1">
      <c r="A788" s="92">
        <v>1830</v>
      </c>
      <c r="B788" s="93"/>
      <c r="C788" s="94" t="s">
        <v>3</v>
      </c>
      <c r="D788" s="95"/>
    </row>
    <row r="789" spans="1:4" ht="42.75" customHeight="1" thickBot="1">
      <c r="A789" s="92">
        <v>1930</v>
      </c>
      <c r="B789" s="93"/>
      <c r="C789" s="96" t="s">
        <v>4</v>
      </c>
      <c r="D789" s="97"/>
    </row>
    <row r="790" spans="1:4" ht="42.75" customHeight="1" thickBot="1">
      <c r="A790" s="98">
        <f>A789-A788</f>
        <v>100</v>
      </c>
      <c r="B790" s="99"/>
      <c r="C790" s="100" t="s">
        <v>5</v>
      </c>
      <c r="D790" s="97"/>
    </row>
    <row r="791" spans="1:4" ht="42.75" customHeight="1" thickBot="1">
      <c r="A791" s="101">
        <v>40</v>
      </c>
      <c r="B791" s="102"/>
      <c r="C791" s="96" t="s">
        <v>6</v>
      </c>
      <c r="D791" s="97"/>
    </row>
    <row r="792" spans="1:4" ht="42.75" customHeight="1" thickBot="1">
      <c r="A792" s="103"/>
      <c r="B792" s="104"/>
      <c r="C792" s="96" t="s">
        <v>21</v>
      </c>
      <c r="D792" s="97"/>
    </row>
    <row r="793" spans="1:4" ht="42.75" customHeight="1" thickBot="1">
      <c r="A793" s="105">
        <f>A791*A790</f>
        <v>4000</v>
      </c>
      <c r="B793" s="106"/>
      <c r="C793" s="96" t="s">
        <v>7</v>
      </c>
      <c r="D793" s="97"/>
    </row>
    <row r="794" spans="1:4" ht="42.75" customHeight="1" thickBot="1">
      <c r="A794" s="107" t="s">
        <v>17</v>
      </c>
      <c r="B794" s="108"/>
      <c r="C794" s="108"/>
      <c r="D794" s="109"/>
    </row>
    <row r="795" spans="1:4" ht="42.75" customHeight="1" thickBot="1">
      <c r="A795" s="116" t="s">
        <v>20</v>
      </c>
      <c r="B795" s="117"/>
      <c r="C795" s="117"/>
      <c r="D795" s="118"/>
    </row>
    <row r="796" spans="1:4" ht="42.75" customHeight="1" thickBot="1">
      <c r="A796" s="113" t="s">
        <v>18</v>
      </c>
      <c r="B796" s="114"/>
      <c r="C796" s="114"/>
      <c r="D796" s="115"/>
    </row>
    <row r="797" spans="1:4" ht="42.75" customHeight="1" thickBot="1">
      <c r="A797" s="119"/>
      <c r="B797" s="119"/>
      <c r="C797" s="119"/>
      <c r="D797" s="119"/>
    </row>
    <row r="798" spans="1:4" ht="42.75" customHeight="1" thickBot="1">
      <c r="A798" s="126" t="s">
        <v>19</v>
      </c>
      <c r="B798" s="127"/>
      <c r="C798" s="127"/>
      <c r="D798" s="128"/>
    </row>
    <row r="799" spans="1:4" ht="42.75" customHeight="1" thickBot="1">
      <c r="A799" s="123" t="s">
        <v>11</v>
      </c>
      <c r="B799" s="124"/>
      <c r="C799" s="125" t="s">
        <v>603</v>
      </c>
      <c r="D799" s="124"/>
    </row>
    <row r="800" spans="1:4" ht="42.75" customHeight="1" thickBot="1">
      <c r="A800" s="1" t="s">
        <v>686</v>
      </c>
      <c r="B800" s="26" t="s">
        <v>1</v>
      </c>
      <c r="C800" s="90" t="s">
        <v>370</v>
      </c>
      <c r="D800" s="91"/>
    </row>
    <row r="801" spans="1:4" ht="42.75" customHeight="1" thickBot="1">
      <c r="A801" s="26"/>
      <c r="B801" s="26" t="s">
        <v>0</v>
      </c>
      <c r="C801" s="5" t="s">
        <v>687</v>
      </c>
      <c r="D801" s="4" t="s">
        <v>2</v>
      </c>
    </row>
    <row r="802" spans="1:4" ht="42.75" customHeight="1" thickBot="1">
      <c r="A802" s="92">
        <v>1830</v>
      </c>
      <c r="B802" s="93"/>
      <c r="C802" s="94" t="s">
        <v>3</v>
      </c>
      <c r="D802" s="95"/>
    </row>
    <row r="803" spans="1:4" ht="42.75" customHeight="1" thickBot="1">
      <c r="A803" s="92">
        <v>1930</v>
      </c>
      <c r="B803" s="93"/>
      <c r="C803" s="96" t="s">
        <v>4</v>
      </c>
      <c r="D803" s="97"/>
    </row>
    <row r="804" spans="1:4" ht="42.75" customHeight="1" thickBot="1">
      <c r="A804" s="98">
        <f>A803-A802</f>
        <v>100</v>
      </c>
      <c r="B804" s="99"/>
      <c r="C804" s="100" t="s">
        <v>5</v>
      </c>
      <c r="D804" s="97"/>
    </row>
    <row r="805" spans="1:4" ht="42.75" customHeight="1" thickBot="1">
      <c r="A805" s="101">
        <v>40</v>
      </c>
      <c r="B805" s="102"/>
      <c r="C805" s="96" t="s">
        <v>6</v>
      </c>
      <c r="D805" s="97"/>
    </row>
    <row r="806" spans="1:4" ht="42.75" customHeight="1" thickBot="1">
      <c r="A806" s="103"/>
      <c r="B806" s="104"/>
      <c r="C806" s="96" t="s">
        <v>21</v>
      </c>
      <c r="D806" s="97"/>
    </row>
    <row r="807" spans="1:4" ht="42.75" customHeight="1" thickBot="1">
      <c r="A807" s="105">
        <f>A805*A804</f>
        <v>4000</v>
      </c>
      <c r="B807" s="106"/>
      <c r="C807" s="96" t="s">
        <v>7</v>
      </c>
      <c r="D807" s="97"/>
    </row>
    <row r="808" spans="1:4" ht="42.75" customHeight="1" thickBot="1">
      <c r="A808" s="107" t="s">
        <v>17</v>
      </c>
      <c r="B808" s="108"/>
      <c r="C808" s="108"/>
      <c r="D808" s="109"/>
    </row>
    <row r="809" spans="1:4" ht="42.75" customHeight="1" thickBot="1">
      <c r="A809" s="110" t="s">
        <v>20</v>
      </c>
      <c r="B809" s="111"/>
      <c r="C809" s="111"/>
      <c r="D809" s="112"/>
    </row>
    <row r="810" spans="1:4" ht="42.75" customHeight="1" thickBot="1">
      <c r="A810" s="113" t="s">
        <v>18</v>
      </c>
      <c r="B810" s="114"/>
      <c r="C810" s="114"/>
      <c r="D810" s="115"/>
    </row>
    <row r="811" spans="1:4" ht="42.75" customHeight="1" thickBot="1">
      <c r="A811" s="126" t="s">
        <v>19</v>
      </c>
      <c r="B811" s="127"/>
      <c r="C811" s="127"/>
      <c r="D811" s="128"/>
    </row>
    <row r="812" spans="1:4" ht="42.75" customHeight="1" thickBot="1">
      <c r="A812" s="123" t="s">
        <v>11</v>
      </c>
      <c r="B812" s="124"/>
      <c r="C812" s="125" t="s">
        <v>603</v>
      </c>
      <c r="D812" s="124"/>
    </row>
    <row r="813" spans="1:4" ht="42.75" customHeight="1" thickBot="1">
      <c r="A813" s="1" t="s">
        <v>686</v>
      </c>
      <c r="B813" s="26" t="s">
        <v>1</v>
      </c>
      <c r="C813" s="90" t="s">
        <v>371</v>
      </c>
      <c r="D813" s="91"/>
    </row>
    <row r="814" spans="1:4" ht="42.75" customHeight="1" thickBot="1">
      <c r="A814" s="26"/>
      <c r="B814" s="26" t="s">
        <v>0</v>
      </c>
      <c r="C814" s="5" t="s">
        <v>687</v>
      </c>
      <c r="D814" s="4" t="s">
        <v>2</v>
      </c>
    </row>
    <row r="815" spans="1:4" ht="42.75" customHeight="1" thickBot="1">
      <c r="A815" s="92">
        <v>3173</v>
      </c>
      <c r="B815" s="93"/>
      <c r="C815" s="94" t="s">
        <v>3</v>
      </c>
      <c r="D815" s="95"/>
    </row>
    <row r="816" spans="1:4" ht="42.75" customHeight="1" thickBot="1">
      <c r="A816" s="92">
        <v>3222</v>
      </c>
      <c r="B816" s="93"/>
      <c r="C816" s="96" t="s">
        <v>4</v>
      </c>
      <c r="D816" s="97"/>
    </row>
    <row r="817" spans="1:4" ht="42.75" customHeight="1" thickBot="1">
      <c r="A817" s="98">
        <f>A816-A815</f>
        <v>49</v>
      </c>
      <c r="B817" s="99"/>
      <c r="C817" s="100" t="s">
        <v>5</v>
      </c>
      <c r="D817" s="97"/>
    </row>
    <row r="818" spans="1:4" ht="42.75" customHeight="1" thickBot="1">
      <c r="A818" s="101">
        <v>40</v>
      </c>
      <c r="B818" s="102"/>
      <c r="C818" s="96" t="s">
        <v>6</v>
      </c>
      <c r="D818" s="97"/>
    </row>
    <row r="819" spans="1:4" ht="42.75" customHeight="1" thickBot="1">
      <c r="A819" s="103"/>
      <c r="B819" s="104"/>
      <c r="C819" s="96" t="s">
        <v>21</v>
      </c>
      <c r="D819" s="97"/>
    </row>
    <row r="820" spans="1:4" ht="42.75" customHeight="1" thickBot="1">
      <c r="A820" s="105">
        <v>1950</v>
      </c>
      <c r="B820" s="106"/>
      <c r="C820" s="96" t="s">
        <v>7</v>
      </c>
      <c r="D820" s="97"/>
    </row>
    <row r="821" spans="1:4" ht="42.75" customHeight="1" thickBot="1">
      <c r="A821" s="107" t="s">
        <v>17</v>
      </c>
      <c r="B821" s="108"/>
      <c r="C821" s="108"/>
      <c r="D821" s="109"/>
    </row>
    <row r="822" spans="1:4" ht="42.75" customHeight="1" thickBot="1">
      <c r="A822" s="116" t="s">
        <v>20</v>
      </c>
      <c r="B822" s="117"/>
      <c r="C822" s="117"/>
      <c r="D822" s="118"/>
    </row>
    <row r="823" spans="1:4" ht="42.75" customHeight="1" thickBot="1">
      <c r="A823" s="113" t="s">
        <v>18</v>
      </c>
      <c r="B823" s="114"/>
      <c r="C823" s="114"/>
      <c r="D823" s="115"/>
    </row>
    <row r="824" spans="1:4" ht="42.75" customHeight="1" thickBot="1">
      <c r="A824" s="119"/>
      <c r="B824" s="119"/>
      <c r="C824" s="119"/>
      <c r="D824" s="119"/>
    </row>
    <row r="825" spans="1:4" ht="42.75" customHeight="1" thickBot="1">
      <c r="A825" s="126" t="s">
        <v>19</v>
      </c>
      <c r="B825" s="127"/>
      <c r="C825" s="127"/>
      <c r="D825" s="128"/>
    </row>
    <row r="826" spans="1:4" ht="42.75" customHeight="1" thickBot="1">
      <c r="A826" s="123" t="s">
        <v>11</v>
      </c>
      <c r="B826" s="124"/>
      <c r="C826" s="125" t="s">
        <v>603</v>
      </c>
      <c r="D826" s="124"/>
    </row>
    <row r="827" spans="1:4" ht="42.75" customHeight="1" thickBot="1">
      <c r="A827" s="1" t="s">
        <v>686</v>
      </c>
      <c r="B827" s="26" t="s">
        <v>1</v>
      </c>
      <c r="C827" s="90" t="s">
        <v>371</v>
      </c>
      <c r="D827" s="91"/>
    </row>
    <row r="828" spans="1:4" ht="42.75" customHeight="1" thickBot="1">
      <c r="A828" s="26"/>
      <c r="B828" s="26" t="s">
        <v>0</v>
      </c>
      <c r="C828" s="5" t="s">
        <v>687</v>
      </c>
      <c r="D828" s="4" t="s">
        <v>2</v>
      </c>
    </row>
    <row r="829" spans="1:4" ht="42.75" customHeight="1" thickBot="1">
      <c r="A829" s="92">
        <v>3173</v>
      </c>
      <c r="B829" s="93"/>
      <c r="C829" s="94" t="s">
        <v>3</v>
      </c>
      <c r="D829" s="95"/>
    </row>
    <row r="830" spans="1:4" ht="42.75" customHeight="1" thickBot="1">
      <c r="A830" s="92">
        <v>3222</v>
      </c>
      <c r="B830" s="93"/>
      <c r="C830" s="96" t="s">
        <v>4</v>
      </c>
      <c r="D830" s="97"/>
    </row>
    <row r="831" spans="1:4" ht="42.75" customHeight="1" thickBot="1">
      <c r="A831" s="98">
        <f>A830-A829</f>
        <v>49</v>
      </c>
      <c r="B831" s="99"/>
      <c r="C831" s="100" t="s">
        <v>5</v>
      </c>
      <c r="D831" s="97"/>
    </row>
    <row r="832" spans="1:4" ht="42.75" customHeight="1" thickBot="1">
      <c r="A832" s="101">
        <v>40</v>
      </c>
      <c r="B832" s="102"/>
      <c r="C832" s="96" t="s">
        <v>6</v>
      </c>
      <c r="D832" s="97"/>
    </row>
    <row r="833" spans="1:4" ht="42.75" customHeight="1" thickBot="1">
      <c r="A833" s="103"/>
      <c r="B833" s="104"/>
      <c r="C833" s="96" t="s">
        <v>21</v>
      </c>
      <c r="D833" s="97"/>
    </row>
    <row r="834" spans="1:4" ht="42.75" customHeight="1" thickBot="1">
      <c r="A834" s="105">
        <v>1950</v>
      </c>
      <c r="B834" s="106"/>
      <c r="C834" s="96" t="s">
        <v>7</v>
      </c>
      <c r="D834" s="97"/>
    </row>
    <row r="835" spans="1:4" ht="42.75" customHeight="1" thickBot="1">
      <c r="A835" s="107" t="s">
        <v>17</v>
      </c>
      <c r="B835" s="108"/>
      <c r="C835" s="108"/>
      <c r="D835" s="109"/>
    </row>
    <row r="836" spans="1:4" ht="42.75" customHeight="1" thickBot="1">
      <c r="A836" s="110" t="s">
        <v>20</v>
      </c>
      <c r="B836" s="111"/>
      <c r="C836" s="111"/>
      <c r="D836" s="112"/>
    </row>
    <row r="837" spans="1:4" ht="42.75" customHeight="1" thickBot="1">
      <c r="A837" s="113" t="s">
        <v>18</v>
      </c>
      <c r="B837" s="114"/>
      <c r="C837" s="114"/>
      <c r="D837" s="115"/>
    </row>
    <row r="838" spans="1:4" ht="42.75" customHeight="1" thickBot="1">
      <c r="A838" s="126" t="s">
        <v>19</v>
      </c>
      <c r="B838" s="127"/>
      <c r="C838" s="127"/>
      <c r="D838" s="128"/>
    </row>
    <row r="839" spans="1:4" ht="42.75" customHeight="1" thickBot="1">
      <c r="A839" s="123" t="s">
        <v>11</v>
      </c>
      <c r="B839" s="124"/>
      <c r="C839" s="125" t="s">
        <v>603</v>
      </c>
      <c r="D839" s="124"/>
    </row>
    <row r="840" spans="1:4" ht="42.75" customHeight="1" thickBot="1">
      <c r="A840" s="1" t="s">
        <v>686</v>
      </c>
      <c r="B840" s="26" t="s">
        <v>1</v>
      </c>
      <c r="C840" s="90" t="s">
        <v>372</v>
      </c>
      <c r="D840" s="91"/>
    </row>
    <row r="841" spans="1:4" ht="42.75" customHeight="1" thickBot="1">
      <c r="A841" s="26"/>
      <c r="B841" s="26" t="s">
        <v>0</v>
      </c>
      <c r="C841" s="5" t="s">
        <v>687</v>
      </c>
      <c r="D841" s="4" t="s">
        <v>2</v>
      </c>
    </row>
    <row r="842" spans="1:4" ht="42.75" customHeight="1" thickBot="1">
      <c r="A842" s="92">
        <v>230</v>
      </c>
      <c r="B842" s="93"/>
      <c r="C842" s="94" t="s">
        <v>3</v>
      </c>
      <c r="D842" s="95"/>
    </row>
    <row r="843" spans="1:4" ht="42.75" customHeight="1" thickBot="1">
      <c r="A843" s="92">
        <v>242</v>
      </c>
      <c r="B843" s="93"/>
      <c r="C843" s="96" t="s">
        <v>4</v>
      </c>
      <c r="D843" s="97"/>
    </row>
    <row r="844" spans="1:4" ht="42.75" customHeight="1" thickBot="1">
      <c r="A844" s="98">
        <f>A843-A842</f>
        <v>12</v>
      </c>
      <c r="B844" s="99"/>
      <c r="C844" s="100" t="s">
        <v>5</v>
      </c>
      <c r="D844" s="97"/>
    </row>
    <row r="845" spans="1:4" ht="42.75" customHeight="1" thickBot="1">
      <c r="A845" s="101">
        <v>40</v>
      </c>
      <c r="B845" s="102"/>
      <c r="C845" s="96" t="s">
        <v>6</v>
      </c>
      <c r="D845" s="97"/>
    </row>
    <row r="846" spans="1:4" ht="42.75" customHeight="1" thickBot="1">
      <c r="A846" s="103"/>
      <c r="B846" s="104"/>
      <c r="C846" s="96" t="s">
        <v>21</v>
      </c>
      <c r="D846" s="97"/>
    </row>
    <row r="847" spans="1:4" ht="42.75" customHeight="1" thickBot="1">
      <c r="A847" s="105">
        <v>500</v>
      </c>
      <c r="B847" s="106"/>
      <c r="C847" s="96" t="s">
        <v>7</v>
      </c>
      <c r="D847" s="97"/>
    </row>
    <row r="848" spans="1:4" ht="42.75" customHeight="1" thickBot="1">
      <c r="A848" s="107" t="s">
        <v>17</v>
      </c>
      <c r="B848" s="108"/>
      <c r="C848" s="108"/>
      <c r="D848" s="109"/>
    </row>
    <row r="849" spans="1:4" ht="42.75" customHeight="1" thickBot="1">
      <c r="A849" s="116" t="s">
        <v>20</v>
      </c>
      <c r="B849" s="117"/>
      <c r="C849" s="117"/>
      <c r="D849" s="118"/>
    </row>
    <row r="850" spans="1:4" ht="42.75" customHeight="1" thickBot="1">
      <c r="A850" s="113" t="s">
        <v>18</v>
      </c>
      <c r="B850" s="114"/>
      <c r="C850" s="114"/>
      <c r="D850" s="115"/>
    </row>
    <row r="851" spans="1:4" ht="42.75" customHeight="1" thickBot="1">
      <c r="A851" s="119"/>
      <c r="B851" s="119"/>
      <c r="C851" s="119"/>
      <c r="D851" s="119"/>
    </row>
    <row r="852" spans="1:4" ht="42.75" customHeight="1" thickBot="1">
      <c r="A852" s="126" t="s">
        <v>19</v>
      </c>
      <c r="B852" s="127"/>
      <c r="C852" s="127"/>
      <c r="D852" s="128"/>
    </row>
    <row r="853" spans="1:4" ht="42.75" customHeight="1" thickBot="1">
      <c r="A853" s="123" t="s">
        <v>11</v>
      </c>
      <c r="B853" s="124"/>
      <c r="C853" s="125" t="s">
        <v>603</v>
      </c>
      <c r="D853" s="124"/>
    </row>
    <row r="854" spans="1:4" ht="42.75" customHeight="1" thickBot="1">
      <c r="A854" s="1" t="s">
        <v>686</v>
      </c>
      <c r="B854" s="26" t="s">
        <v>1</v>
      </c>
      <c r="C854" s="90" t="s">
        <v>372</v>
      </c>
      <c r="D854" s="91"/>
    </row>
    <row r="855" spans="1:4" ht="42.75" customHeight="1" thickBot="1">
      <c r="A855" s="26"/>
      <c r="B855" s="26" t="s">
        <v>0</v>
      </c>
      <c r="C855" s="5" t="s">
        <v>687</v>
      </c>
      <c r="D855" s="4" t="s">
        <v>2</v>
      </c>
    </row>
    <row r="856" spans="1:4" ht="42.75" customHeight="1" thickBot="1">
      <c r="A856" s="92">
        <v>230</v>
      </c>
      <c r="B856" s="93"/>
      <c r="C856" s="94" t="s">
        <v>3</v>
      </c>
      <c r="D856" s="95"/>
    </row>
    <row r="857" spans="1:4" ht="42.75" customHeight="1" thickBot="1">
      <c r="A857" s="92">
        <v>242</v>
      </c>
      <c r="B857" s="93"/>
      <c r="C857" s="96" t="s">
        <v>4</v>
      </c>
      <c r="D857" s="97"/>
    </row>
    <row r="858" spans="1:4" ht="42.75" customHeight="1" thickBot="1">
      <c r="A858" s="98">
        <f>A857-A856</f>
        <v>12</v>
      </c>
      <c r="B858" s="99"/>
      <c r="C858" s="100" t="s">
        <v>5</v>
      </c>
      <c r="D858" s="97"/>
    </row>
    <row r="859" spans="1:4" ht="42.75" customHeight="1" thickBot="1">
      <c r="A859" s="101">
        <v>40</v>
      </c>
      <c r="B859" s="102"/>
      <c r="C859" s="96" t="s">
        <v>6</v>
      </c>
      <c r="D859" s="97"/>
    </row>
    <row r="860" spans="1:4" ht="42.75" customHeight="1" thickBot="1">
      <c r="A860" s="103"/>
      <c r="B860" s="104"/>
      <c r="C860" s="96" t="s">
        <v>21</v>
      </c>
      <c r="D860" s="97"/>
    </row>
    <row r="861" spans="1:4" ht="42.75" customHeight="1" thickBot="1">
      <c r="A861" s="105">
        <v>500</v>
      </c>
      <c r="B861" s="106"/>
      <c r="C861" s="96" t="s">
        <v>7</v>
      </c>
      <c r="D861" s="97"/>
    </row>
    <row r="862" spans="1:4" ht="42.75" customHeight="1" thickBot="1">
      <c r="A862" s="107" t="s">
        <v>17</v>
      </c>
      <c r="B862" s="108"/>
      <c r="C862" s="108"/>
      <c r="D862" s="109"/>
    </row>
    <row r="863" spans="1:4" ht="42.75" customHeight="1" thickBot="1">
      <c r="A863" s="110" t="s">
        <v>20</v>
      </c>
      <c r="B863" s="111"/>
      <c r="C863" s="111"/>
      <c r="D863" s="112"/>
    </row>
    <row r="864" spans="1:4" ht="42.75" customHeight="1" thickBot="1">
      <c r="A864" s="113" t="s">
        <v>18</v>
      </c>
      <c r="B864" s="114"/>
      <c r="C864" s="114"/>
      <c r="D864" s="115"/>
    </row>
    <row r="865" spans="1:4" ht="42.75" customHeight="1" thickBot="1">
      <c r="A865" s="126" t="s">
        <v>19</v>
      </c>
      <c r="B865" s="127"/>
      <c r="C865" s="127"/>
      <c r="D865" s="128"/>
    </row>
    <row r="866" spans="1:4" ht="42.75" customHeight="1" thickBot="1">
      <c r="A866" s="123" t="s">
        <v>11</v>
      </c>
      <c r="B866" s="124"/>
      <c r="C866" s="125" t="s">
        <v>603</v>
      </c>
      <c r="D866" s="124"/>
    </row>
    <row r="867" spans="1:4" ht="42.75" customHeight="1" thickBot="1">
      <c r="A867" s="1" t="s">
        <v>686</v>
      </c>
      <c r="B867" s="26" t="s">
        <v>1</v>
      </c>
      <c r="C867" s="90" t="s">
        <v>274</v>
      </c>
      <c r="D867" s="91"/>
    </row>
    <row r="868" spans="1:4" ht="42.75" customHeight="1" thickBot="1">
      <c r="A868" s="26"/>
      <c r="B868" s="26" t="s">
        <v>0</v>
      </c>
      <c r="C868" s="5" t="s">
        <v>687</v>
      </c>
      <c r="D868" s="4" t="s">
        <v>2</v>
      </c>
    </row>
    <row r="869" spans="1:4" ht="42.75" customHeight="1" thickBot="1">
      <c r="A869" s="92">
        <v>1430</v>
      </c>
      <c r="B869" s="93"/>
      <c r="C869" s="94" t="s">
        <v>3</v>
      </c>
      <c r="D869" s="95"/>
    </row>
    <row r="870" spans="1:4" ht="42.75" customHeight="1" thickBot="1">
      <c r="A870" s="92">
        <v>1473</v>
      </c>
      <c r="B870" s="93"/>
      <c r="C870" s="96" t="s">
        <v>4</v>
      </c>
      <c r="D870" s="97"/>
    </row>
    <row r="871" spans="1:4" ht="42.75" customHeight="1" thickBot="1">
      <c r="A871" s="98">
        <f>A870-A869</f>
        <v>43</v>
      </c>
      <c r="B871" s="99"/>
      <c r="C871" s="100" t="s">
        <v>5</v>
      </c>
      <c r="D871" s="97"/>
    </row>
    <row r="872" spans="1:4" ht="42.75" customHeight="1" thickBot="1">
      <c r="A872" s="101">
        <v>62</v>
      </c>
      <c r="B872" s="102"/>
      <c r="C872" s="96" t="s">
        <v>6</v>
      </c>
      <c r="D872" s="97"/>
    </row>
    <row r="873" spans="1:4" ht="42.75" customHeight="1" thickBot="1">
      <c r="A873" s="103"/>
      <c r="B873" s="104"/>
      <c r="C873" s="96" t="s">
        <v>21</v>
      </c>
      <c r="D873" s="97"/>
    </row>
    <row r="874" spans="1:4" ht="42.75" customHeight="1" thickBot="1">
      <c r="A874" s="105">
        <v>2650</v>
      </c>
      <c r="B874" s="106"/>
      <c r="C874" s="96" t="s">
        <v>7</v>
      </c>
      <c r="D874" s="97"/>
    </row>
    <row r="875" spans="1:4" ht="42.75" customHeight="1" thickBot="1">
      <c r="A875" s="107" t="s">
        <v>17</v>
      </c>
      <c r="B875" s="108"/>
      <c r="C875" s="108"/>
      <c r="D875" s="109"/>
    </row>
    <row r="876" spans="1:4" ht="42.75" customHeight="1" thickBot="1">
      <c r="A876" s="116" t="s">
        <v>20</v>
      </c>
      <c r="B876" s="117"/>
      <c r="C876" s="117"/>
      <c r="D876" s="118"/>
    </row>
    <row r="877" spans="1:4" ht="42.75" customHeight="1" thickBot="1">
      <c r="A877" s="113" t="s">
        <v>18</v>
      </c>
      <c r="B877" s="114"/>
      <c r="C877" s="114"/>
      <c r="D877" s="115"/>
    </row>
    <row r="878" spans="1:4" ht="42.75" customHeight="1" thickBot="1">
      <c r="A878" s="119"/>
      <c r="B878" s="119"/>
      <c r="C878" s="119"/>
      <c r="D878" s="119"/>
    </row>
    <row r="879" spans="1:4" ht="42.75" customHeight="1" thickBot="1">
      <c r="A879" s="126" t="s">
        <v>19</v>
      </c>
      <c r="B879" s="127"/>
      <c r="C879" s="127"/>
      <c r="D879" s="128"/>
    </row>
    <row r="880" spans="1:4" ht="42.75" customHeight="1" thickBot="1">
      <c r="A880" s="123" t="s">
        <v>11</v>
      </c>
      <c r="B880" s="124"/>
      <c r="C880" s="125" t="s">
        <v>603</v>
      </c>
      <c r="D880" s="124"/>
    </row>
    <row r="881" spans="1:4" ht="42.75" customHeight="1" thickBot="1">
      <c r="A881" s="1" t="s">
        <v>686</v>
      </c>
      <c r="B881" s="26" t="s">
        <v>1</v>
      </c>
      <c r="C881" s="90" t="s">
        <v>274</v>
      </c>
      <c r="D881" s="91"/>
    </row>
    <row r="882" spans="1:4" ht="42.75" customHeight="1" thickBot="1">
      <c r="A882" s="26"/>
      <c r="B882" s="26" t="s">
        <v>0</v>
      </c>
      <c r="C882" s="5" t="s">
        <v>687</v>
      </c>
      <c r="D882" s="4" t="s">
        <v>2</v>
      </c>
    </row>
    <row r="883" spans="1:4" ht="42.75" customHeight="1" thickBot="1">
      <c r="A883" s="92">
        <v>1430</v>
      </c>
      <c r="B883" s="93"/>
      <c r="C883" s="94" t="s">
        <v>3</v>
      </c>
      <c r="D883" s="95"/>
    </row>
    <row r="884" spans="1:4" ht="42.75" customHeight="1" thickBot="1">
      <c r="A884" s="92">
        <v>1473</v>
      </c>
      <c r="B884" s="93"/>
      <c r="C884" s="96" t="s">
        <v>4</v>
      </c>
      <c r="D884" s="97"/>
    </row>
    <row r="885" spans="1:4" ht="42.75" customHeight="1" thickBot="1">
      <c r="A885" s="98">
        <f>A884-A883</f>
        <v>43</v>
      </c>
      <c r="B885" s="99"/>
      <c r="C885" s="100" t="s">
        <v>5</v>
      </c>
      <c r="D885" s="97"/>
    </row>
    <row r="886" spans="1:4" ht="42.75" customHeight="1" thickBot="1">
      <c r="A886" s="101">
        <v>62</v>
      </c>
      <c r="B886" s="102"/>
      <c r="C886" s="96" t="s">
        <v>6</v>
      </c>
      <c r="D886" s="97"/>
    </row>
    <row r="887" spans="1:4" ht="42.75" customHeight="1" thickBot="1">
      <c r="A887" s="103"/>
      <c r="B887" s="104"/>
      <c r="C887" s="96" t="s">
        <v>21</v>
      </c>
      <c r="D887" s="97"/>
    </row>
    <row r="888" spans="1:4" ht="42.75" customHeight="1" thickBot="1">
      <c r="A888" s="105">
        <v>2650</v>
      </c>
      <c r="B888" s="106"/>
      <c r="C888" s="96" t="s">
        <v>7</v>
      </c>
      <c r="D888" s="97"/>
    </row>
    <row r="889" spans="1:4" ht="42.75" customHeight="1" thickBot="1">
      <c r="A889" s="107" t="s">
        <v>17</v>
      </c>
      <c r="B889" s="108"/>
      <c r="C889" s="108"/>
      <c r="D889" s="109"/>
    </row>
    <row r="890" spans="1:4" ht="42.75" customHeight="1" thickBot="1">
      <c r="A890" s="110" t="s">
        <v>20</v>
      </c>
      <c r="B890" s="111"/>
      <c r="C890" s="111"/>
      <c r="D890" s="112"/>
    </row>
    <row r="891" spans="1:4" ht="42.75" customHeight="1" thickBot="1">
      <c r="A891" s="113" t="s">
        <v>18</v>
      </c>
      <c r="B891" s="114"/>
      <c r="C891" s="114"/>
      <c r="D891" s="115"/>
    </row>
    <row r="892" spans="1:4" ht="42.75" customHeight="1" thickBot="1">
      <c r="A892" s="126" t="s">
        <v>19</v>
      </c>
      <c r="B892" s="127"/>
      <c r="C892" s="127"/>
      <c r="D892" s="128"/>
    </row>
    <row r="893" spans="1:4" ht="42.75" customHeight="1" thickBot="1">
      <c r="A893" s="123" t="s">
        <v>11</v>
      </c>
      <c r="B893" s="124"/>
      <c r="C893" s="125" t="s">
        <v>603</v>
      </c>
      <c r="D893" s="124"/>
    </row>
    <row r="894" spans="1:4" ht="42.75" customHeight="1" thickBot="1">
      <c r="A894" s="1" t="s">
        <v>686</v>
      </c>
      <c r="B894" s="26" t="s">
        <v>1</v>
      </c>
      <c r="C894" s="90" t="s">
        <v>373</v>
      </c>
      <c r="D894" s="91"/>
    </row>
    <row r="895" spans="1:4" ht="42.75" customHeight="1" thickBot="1">
      <c r="A895" s="26"/>
      <c r="B895" s="26" t="s">
        <v>0</v>
      </c>
      <c r="C895" s="5" t="s">
        <v>687</v>
      </c>
      <c r="D895" s="4" t="s">
        <v>2</v>
      </c>
    </row>
    <row r="896" spans="1:4" ht="42.75" customHeight="1" thickBot="1">
      <c r="A896" s="92">
        <v>4730</v>
      </c>
      <c r="B896" s="93"/>
      <c r="C896" s="94" t="s">
        <v>3</v>
      </c>
      <c r="D896" s="95"/>
    </row>
    <row r="897" spans="1:4" ht="42.75" customHeight="1" thickBot="1">
      <c r="A897" s="92">
        <v>4830</v>
      </c>
      <c r="B897" s="93"/>
      <c r="C897" s="96" t="s">
        <v>4</v>
      </c>
      <c r="D897" s="97"/>
    </row>
    <row r="898" spans="1:4" ht="42.75" customHeight="1" thickBot="1">
      <c r="A898" s="98">
        <f>A897-A896</f>
        <v>100</v>
      </c>
      <c r="B898" s="99"/>
      <c r="C898" s="100" t="s">
        <v>5</v>
      </c>
      <c r="D898" s="97"/>
    </row>
    <row r="899" spans="1:4" ht="42.75" customHeight="1" thickBot="1">
      <c r="A899" s="101">
        <v>62</v>
      </c>
      <c r="B899" s="102"/>
      <c r="C899" s="96" t="s">
        <v>6</v>
      </c>
      <c r="D899" s="97"/>
    </row>
    <row r="900" spans="1:4" ht="42.75" customHeight="1" thickBot="1">
      <c r="A900" s="103"/>
      <c r="B900" s="104"/>
      <c r="C900" s="96" t="s">
        <v>21</v>
      </c>
      <c r="D900" s="97"/>
    </row>
    <row r="901" spans="1:4" ht="42.75" customHeight="1" thickBot="1">
      <c r="A901" s="105">
        <f>A899*A898</f>
        <v>6200</v>
      </c>
      <c r="B901" s="106"/>
      <c r="C901" s="96" t="s">
        <v>7</v>
      </c>
      <c r="D901" s="97"/>
    </row>
    <row r="902" spans="1:4" ht="42.75" customHeight="1" thickBot="1">
      <c r="A902" s="107" t="s">
        <v>17</v>
      </c>
      <c r="B902" s="108"/>
      <c r="C902" s="108"/>
      <c r="D902" s="109"/>
    </row>
    <row r="903" spans="1:4" ht="42.75" customHeight="1" thickBot="1">
      <c r="A903" s="116" t="s">
        <v>20</v>
      </c>
      <c r="B903" s="117"/>
      <c r="C903" s="117"/>
      <c r="D903" s="118"/>
    </row>
    <row r="904" spans="1:4" ht="42.75" customHeight="1" thickBot="1">
      <c r="A904" s="113" t="s">
        <v>18</v>
      </c>
      <c r="B904" s="114"/>
      <c r="C904" s="114"/>
      <c r="D904" s="115"/>
    </row>
    <row r="905" spans="1:4" ht="42.75" customHeight="1" thickBot="1">
      <c r="A905" s="119"/>
      <c r="B905" s="119"/>
      <c r="C905" s="119"/>
      <c r="D905" s="119"/>
    </row>
    <row r="906" spans="1:4" ht="42.75" customHeight="1" thickBot="1">
      <c r="A906" s="126" t="s">
        <v>19</v>
      </c>
      <c r="B906" s="127"/>
      <c r="C906" s="127"/>
      <c r="D906" s="128"/>
    </row>
    <row r="907" spans="1:4" ht="42.75" customHeight="1" thickBot="1">
      <c r="A907" s="123" t="s">
        <v>11</v>
      </c>
      <c r="B907" s="124"/>
      <c r="C907" s="125" t="s">
        <v>603</v>
      </c>
      <c r="D907" s="124"/>
    </row>
    <row r="908" spans="1:4" ht="42.75" customHeight="1" thickBot="1">
      <c r="A908" s="1" t="s">
        <v>686</v>
      </c>
      <c r="B908" s="26" t="s">
        <v>1</v>
      </c>
      <c r="C908" s="90" t="s">
        <v>373</v>
      </c>
      <c r="D908" s="91"/>
    </row>
    <row r="909" spans="1:4" ht="42.75" customHeight="1" thickBot="1">
      <c r="A909" s="26"/>
      <c r="B909" s="26" t="s">
        <v>0</v>
      </c>
      <c r="C909" s="5" t="s">
        <v>687</v>
      </c>
      <c r="D909" s="4" t="s">
        <v>2</v>
      </c>
    </row>
    <row r="910" spans="1:4" ht="42.75" customHeight="1" thickBot="1">
      <c r="A910" s="92">
        <v>4730</v>
      </c>
      <c r="B910" s="93"/>
      <c r="C910" s="94" t="s">
        <v>3</v>
      </c>
      <c r="D910" s="95"/>
    </row>
    <row r="911" spans="1:4" ht="42.75" customHeight="1" thickBot="1">
      <c r="A911" s="92">
        <v>4830</v>
      </c>
      <c r="B911" s="93"/>
      <c r="C911" s="96" t="s">
        <v>4</v>
      </c>
      <c r="D911" s="97"/>
    </row>
    <row r="912" spans="1:4" ht="42.75" customHeight="1" thickBot="1">
      <c r="A912" s="98">
        <f>A911-A910</f>
        <v>100</v>
      </c>
      <c r="B912" s="99"/>
      <c r="C912" s="100" t="s">
        <v>5</v>
      </c>
      <c r="D912" s="97"/>
    </row>
    <row r="913" spans="1:4" ht="42.75" customHeight="1" thickBot="1">
      <c r="A913" s="101">
        <v>62</v>
      </c>
      <c r="B913" s="102"/>
      <c r="C913" s="96" t="s">
        <v>6</v>
      </c>
      <c r="D913" s="97"/>
    </row>
    <row r="914" spans="1:4" ht="42.75" customHeight="1" thickBot="1">
      <c r="A914" s="103"/>
      <c r="B914" s="104"/>
      <c r="C914" s="96" t="s">
        <v>21</v>
      </c>
      <c r="D914" s="97"/>
    </row>
    <row r="915" spans="1:4" ht="42.75" customHeight="1" thickBot="1">
      <c r="A915" s="105">
        <f>A913*A912</f>
        <v>6200</v>
      </c>
      <c r="B915" s="106"/>
      <c r="C915" s="96" t="s">
        <v>7</v>
      </c>
      <c r="D915" s="97"/>
    </row>
    <row r="916" spans="1:4" ht="42.75" customHeight="1" thickBot="1">
      <c r="A916" s="107" t="s">
        <v>17</v>
      </c>
      <c r="B916" s="108"/>
      <c r="C916" s="108"/>
      <c r="D916" s="109"/>
    </row>
    <row r="917" spans="1:4" ht="42.75" customHeight="1" thickBot="1">
      <c r="A917" s="110" t="s">
        <v>20</v>
      </c>
      <c r="B917" s="111"/>
      <c r="C917" s="111"/>
      <c r="D917" s="112"/>
    </row>
    <row r="918" spans="1:4" ht="42.75" customHeight="1" thickBot="1">
      <c r="A918" s="113" t="s">
        <v>18</v>
      </c>
      <c r="B918" s="114"/>
      <c r="C918" s="114"/>
      <c r="D918" s="115"/>
    </row>
    <row r="919" spans="1:4" ht="42.75" customHeight="1" thickBot="1">
      <c r="A919" s="126" t="s">
        <v>19</v>
      </c>
      <c r="B919" s="127"/>
      <c r="C919" s="127"/>
      <c r="D919" s="128"/>
    </row>
    <row r="920" spans="1:4" ht="42.75" customHeight="1" thickBot="1">
      <c r="A920" s="123" t="s">
        <v>11</v>
      </c>
      <c r="B920" s="124"/>
      <c r="C920" s="125" t="s">
        <v>603</v>
      </c>
      <c r="D920" s="124"/>
    </row>
    <row r="921" spans="1:4" ht="42.75" customHeight="1" thickBot="1">
      <c r="A921" s="1" t="s">
        <v>686</v>
      </c>
      <c r="B921" s="26" t="s">
        <v>1</v>
      </c>
      <c r="C921" s="90" t="s">
        <v>374</v>
      </c>
      <c r="D921" s="91"/>
    </row>
    <row r="922" spans="1:4" ht="42.75" customHeight="1" thickBot="1">
      <c r="A922" s="26"/>
      <c r="B922" s="26" t="s">
        <v>0</v>
      </c>
      <c r="C922" s="5" t="s">
        <v>687</v>
      </c>
      <c r="D922" s="4" t="s">
        <v>2</v>
      </c>
    </row>
    <row r="923" spans="1:4" ht="42.75" customHeight="1" thickBot="1">
      <c r="A923" s="92">
        <v>1110</v>
      </c>
      <c r="B923" s="93"/>
      <c r="C923" s="94" t="s">
        <v>3</v>
      </c>
      <c r="D923" s="95"/>
    </row>
    <row r="924" spans="1:4" ht="42.75" customHeight="1" thickBot="1">
      <c r="A924" s="92">
        <v>1145</v>
      </c>
      <c r="B924" s="93"/>
      <c r="C924" s="96" t="s">
        <v>4</v>
      </c>
      <c r="D924" s="97"/>
    </row>
    <row r="925" spans="1:4" ht="42.75" customHeight="1" thickBot="1">
      <c r="A925" s="98">
        <f>A924-A923</f>
        <v>35</v>
      </c>
      <c r="B925" s="99"/>
      <c r="C925" s="100" t="s">
        <v>5</v>
      </c>
      <c r="D925" s="97"/>
    </row>
    <row r="926" spans="1:4" ht="42.75" customHeight="1" thickBot="1">
      <c r="A926" s="101">
        <v>62</v>
      </c>
      <c r="B926" s="102"/>
      <c r="C926" s="96" t="s">
        <v>6</v>
      </c>
      <c r="D926" s="97"/>
    </row>
    <row r="927" spans="1:4" ht="42.75" customHeight="1" thickBot="1">
      <c r="A927" s="103"/>
      <c r="B927" s="104"/>
      <c r="C927" s="96" t="s">
        <v>21</v>
      </c>
      <c r="D927" s="97"/>
    </row>
    <row r="928" spans="1:4" ht="42.75" customHeight="1" thickBot="1">
      <c r="A928" s="105">
        <v>2150</v>
      </c>
      <c r="B928" s="106"/>
      <c r="C928" s="96" t="s">
        <v>7</v>
      </c>
      <c r="D928" s="97"/>
    </row>
    <row r="929" spans="1:4" ht="42.75" customHeight="1" thickBot="1">
      <c r="A929" s="107" t="s">
        <v>17</v>
      </c>
      <c r="B929" s="108"/>
      <c r="C929" s="108"/>
      <c r="D929" s="109"/>
    </row>
    <row r="930" spans="1:4" ht="42.75" customHeight="1" thickBot="1">
      <c r="A930" s="116" t="s">
        <v>20</v>
      </c>
      <c r="B930" s="117"/>
      <c r="C930" s="117"/>
      <c r="D930" s="118"/>
    </row>
    <row r="931" spans="1:4" ht="42.75" customHeight="1" thickBot="1">
      <c r="A931" s="113" t="s">
        <v>18</v>
      </c>
      <c r="B931" s="114"/>
      <c r="C931" s="114"/>
      <c r="D931" s="115"/>
    </row>
    <row r="932" spans="1:4" ht="42.75" customHeight="1" thickBot="1">
      <c r="A932" s="119"/>
      <c r="B932" s="119"/>
      <c r="C932" s="119"/>
      <c r="D932" s="119"/>
    </row>
    <row r="933" spans="1:4" ht="42.75" customHeight="1" thickBot="1">
      <c r="A933" s="126" t="s">
        <v>19</v>
      </c>
      <c r="B933" s="127"/>
      <c r="C933" s="127"/>
      <c r="D933" s="128"/>
    </row>
    <row r="934" spans="1:4" ht="42.75" customHeight="1" thickBot="1">
      <c r="A934" s="123" t="s">
        <v>11</v>
      </c>
      <c r="B934" s="124"/>
      <c r="C934" s="125" t="s">
        <v>603</v>
      </c>
      <c r="D934" s="124"/>
    </row>
    <row r="935" spans="1:4" ht="42.75" customHeight="1" thickBot="1">
      <c r="A935" s="1" t="s">
        <v>686</v>
      </c>
      <c r="B935" s="26" t="s">
        <v>1</v>
      </c>
      <c r="C935" s="90" t="s">
        <v>374</v>
      </c>
      <c r="D935" s="91"/>
    </row>
    <row r="936" spans="1:4" ht="42.75" customHeight="1" thickBot="1">
      <c r="A936" s="26"/>
      <c r="B936" s="26" t="s">
        <v>0</v>
      </c>
      <c r="C936" s="5" t="s">
        <v>687</v>
      </c>
      <c r="D936" s="4" t="s">
        <v>2</v>
      </c>
    </row>
    <row r="937" spans="1:4" ht="42.75" customHeight="1" thickBot="1">
      <c r="A937" s="92">
        <v>1110</v>
      </c>
      <c r="B937" s="93"/>
      <c r="C937" s="94" t="s">
        <v>3</v>
      </c>
      <c r="D937" s="95"/>
    </row>
    <row r="938" spans="1:4" ht="42.75" customHeight="1" thickBot="1">
      <c r="A938" s="92">
        <v>1145</v>
      </c>
      <c r="B938" s="93"/>
      <c r="C938" s="96" t="s">
        <v>4</v>
      </c>
      <c r="D938" s="97"/>
    </row>
    <row r="939" spans="1:4" ht="42.75" customHeight="1" thickBot="1">
      <c r="A939" s="98">
        <f>A938-A937</f>
        <v>35</v>
      </c>
      <c r="B939" s="99"/>
      <c r="C939" s="100" t="s">
        <v>5</v>
      </c>
      <c r="D939" s="97"/>
    </row>
    <row r="940" spans="1:4" ht="42.75" customHeight="1" thickBot="1">
      <c r="A940" s="101">
        <v>62</v>
      </c>
      <c r="B940" s="102"/>
      <c r="C940" s="96" t="s">
        <v>6</v>
      </c>
      <c r="D940" s="97"/>
    </row>
    <row r="941" spans="1:4" ht="42.75" customHeight="1" thickBot="1">
      <c r="A941" s="103"/>
      <c r="B941" s="104"/>
      <c r="C941" s="96" t="s">
        <v>21</v>
      </c>
      <c r="D941" s="97"/>
    </row>
    <row r="942" spans="1:4" ht="42.75" customHeight="1" thickBot="1">
      <c r="A942" s="105">
        <v>2150</v>
      </c>
      <c r="B942" s="106"/>
      <c r="C942" s="96" t="s">
        <v>7</v>
      </c>
      <c r="D942" s="97"/>
    </row>
    <row r="943" spans="1:4" ht="42.75" customHeight="1" thickBot="1">
      <c r="A943" s="107" t="s">
        <v>17</v>
      </c>
      <c r="B943" s="108"/>
      <c r="C943" s="108"/>
      <c r="D943" s="109"/>
    </row>
    <row r="944" spans="1:4" ht="42.75" customHeight="1" thickBot="1">
      <c r="A944" s="110" t="s">
        <v>20</v>
      </c>
      <c r="B944" s="111"/>
      <c r="C944" s="111"/>
      <c r="D944" s="112"/>
    </row>
    <row r="945" spans="1:4" ht="42.75" customHeight="1" thickBot="1">
      <c r="A945" s="113" t="s">
        <v>18</v>
      </c>
      <c r="B945" s="114"/>
      <c r="C945" s="114"/>
      <c r="D945" s="115"/>
    </row>
    <row r="946" spans="1:4" ht="42.75" customHeight="1" thickBot="1">
      <c r="A946" s="126" t="s">
        <v>19</v>
      </c>
      <c r="B946" s="127"/>
      <c r="C946" s="127"/>
      <c r="D946" s="128"/>
    </row>
    <row r="947" spans="1:4" ht="42.75" customHeight="1" thickBot="1">
      <c r="A947" s="123" t="s">
        <v>11</v>
      </c>
      <c r="B947" s="124"/>
      <c r="C947" s="125" t="s">
        <v>603</v>
      </c>
      <c r="D947" s="124"/>
    </row>
    <row r="948" spans="1:4" ht="42.75" customHeight="1" thickBot="1">
      <c r="A948" s="1" t="s">
        <v>686</v>
      </c>
      <c r="B948" s="26" t="s">
        <v>1</v>
      </c>
      <c r="C948" s="90" t="s">
        <v>543</v>
      </c>
      <c r="D948" s="91"/>
    </row>
    <row r="949" spans="1:4" ht="42.75" customHeight="1" thickBot="1">
      <c r="A949" s="26"/>
      <c r="B949" s="26" t="s">
        <v>0</v>
      </c>
      <c r="C949" s="5" t="s">
        <v>687</v>
      </c>
      <c r="D949" s="4" t="s">
        <v>2</v>
      </c>
    </row>
    <row r="950" spans="1:4" ht="42.75" customHeight="1" thickBot="1">
      <c r="A950" s="92">
        <v>695</v>
      </c>
      <c r="B950" s="93"/>
      <c r="C950" s="94" t="s">
        <v>3</v>
      </c>
      <c r="D950" s="95"/>
    </row>
    <row r="951" spans="1:4" ht="42.75" customHeight="1" thickBot="1">
      <c r="A951" s="92">
        <v>717</v>
      </c>
      <c r="B951" s="93"/>
      <c r="C951" s="96" t="s">
        <v>4</v>
      </c>
      <c r="D951" s="97"/>
    </row>
    <row r="952" spans="1:4" ht="42.75" customHeight="1" thickBot="1">
      <c r="A952" s="98">
        <f>A951-A950</f>
        <v>22</v>
      </c>
      <c r="B952" s="99"/>
      <c r="C952" s="100" t="s">
        <v>5</v>
      </c>
      <c r="D952" s="97"/>
    </row>
    <row r="953" spans="1:4" ht="42.75" customHeight="1" thickBot="1">
      <c r="A953" s="101">
        <v>40</v>
      </c>
      <c r="B953" s="102"/>
      <c r="C953" s="96" t="s">
        <v>6</v>
      </c>
      <c r="D953" s="97"/>
    </row>
    <row r="954" spans="1:4" ht="42.75" customHeight="1" thickBot="1">
      <c r="A954" s="103"/>
      <c r="B954" s="104"/>
      <c r="C954" s="96" t="s">
        <v>21</v>
      </c>
      <c r="D954" s="97"/>
    </row>
    <row r="955" spans="1:4" ht="42.75" customHeight="1" thickBot="1">
      <c r="A955" s="105">
        <v>900</v>
      </c>
      <c r="B955" s="106"/>
      <c r="C955" s="96" t="s">
        <v>7</v>
      </c>
      <c r="D955" s="97"/>
    </row>
    <row r="956" spans="1:4" ht="42.75" customHeight="1" thickBot="1">
      <c r="A956" s="107" t="s">
        <v>17</v>
      </c>
      <c r="B956" s="108"/>
      <c r="C956" s="108"/>
      <c r="D956" s="109"/>
    </row>
    <row r="957" spans="1:4" ht="42.75" customHeight="1" thickBot="1">
      <c r="A957" s="116" t="s">
        <v>20</v>
      </c>
      <c r="B957" s="117"/>
      <c r="C957" s="117"/>
      <c r="D957" s="118"/>
    </row>
    <row r="958" spans="1:4" ht="42.75" customHeight="1" thickBot="1">
      <c r="A958" s="113" t="s">
        <v>18</v>
      </c>
      <c r="B958" s="114"/>
      <c r="C958" s="114"/>
      <c r="D958" s="115"/>
    </row>
    <row r="959" spans="1:4" ht="42.75" customHeight="1" thickBot="1">
      <c r="A959" s="119"/>
      <c r="B959" s="119"/>
      <c r="C959" s="119"/>
      <c r="D959" s="119"/>
    </row>
    <row r="960" spans="1:4" ht="42.75" customHeight="1" thickBot="1">
      <c r="A960" s="126" t="s">
        <v>19</v>
      </c>
      <c r="B960" s="127"/>
      <c r="C960" s="127"/>
      <c r="D960" s="128"/>
    </row>
    <row r="961" spans="1:4" ht="42.75" customHeight="1" thickBot="1">
      <c r="A961" s="123" t="s">
        <v>11</v>
      </c>
      <c r="B961" s="124"/>
      <c r="C961" s="125" t="s">
        <v>603</v>
      </c>
      <c r="D961" s="124"/>
    </row>
    <row r="962" spans="1:4" ht="42.75" customHeight="1" thickBot="1">
      <c r="A962" s="1" t="s">
        <v>686</v>
      </c>
      <c r="B962" s="26" t="s">
        <v>1</v>
      </c>
      <c r="C962" s="90" t="s">
        <v>543</v>
      </c>
      <c r="D962" s="91"/>
    </row>
    <row r="963" spans="1:4" ht="42.75" customHeight="1" thickBot="1">
      <c r="A963" s="26"/>
      <c r="B963" s="26" t="s">
        <v>0</v>
      </c>
      <c r="C963" s="5" t="s">
        <v>687</v>
      </c>
      <c r="D963" s="4" t="s">
        <v>2</v>
      </c>
    </row>
    <row r="964" spans="1:4" ht="42.75" customHeight="1" thickBot="1">
      <c r="A964" s="92">
        <v>695</v>
      </c>
      <c r="B964" s="93"/>
      <c r="C964" s="94" t="s">
        <v>3</v>
      </c>
      <c r="D964" s="95"/>
    </row>
    <row r="965" spans="1:4" ht="42.75" customHeight="1" thickBot="1">
      <c r="A965" s="92">
        <v>717</v>
      </c>
      <c r="B965" s="93"/>
      <c r="C965" s="96" t="s">
        <v>4</v>
      </c>
      <c r="D965" s="97"/>
    </row>
    <row r="966" spans="1:4" ht="42.75" customHeight="1" thickBot="1">
      <c r="A966" s="98">
        <f>A965-A964</f>
        <v>22</v>
      </c>
      <c r="B966" s="99"/>
      <c r="C966" s="100" t="s">
        <v>5</v>
      </c>
      <c r="D966" s="97"/>
    </row>
    <row r="967" spans="1:4" ht="42.75" customHeight="1" thickBot="1">
      <c r="A967" s="101">
        <v>40</v>
      </c>
      <c r="B967" s="102"/>
      <c r="C967" s="96" t="s">
        <v>6</v>
      </c>
      <c r="D967" s="97"/>
    </row>
    <row r="968" spans="1:4" ht="42.75" customHeight="1" thickBot="1">
      <c r="A968" s="103"/>
      <c r="B968" s="104"/>
      <c r="C968" s="96" t="s">
        <v>21</v>
      </c>
      <c r="D968" s="97"/>
    </row>
    <row r="969" spans="1:4" ht="42.75" customHeight="1" thickBot="1">
      <c r="A969" s="105">
        <v>900</v>
      </c>
      <c r="B969" s="106"/>
      <c r="C969" s="96" t="s">
        <v>7</v>
      </c>
      <c r="D969" s="97"/>
    </row>
    <row r="970" spans="1:4" ht="42.75" customHeight="1" thickBot="1">
      <c r="A970" s="107" t="s">
        <v>17</v>
      </c>
      <c r="B970" s="108"/>
      <c r="C970" s="108"/>
      <c r="D970" s="109"/>
    </row>
    <row r="971" spans="1:4" ht="42.75" customHeight="1" thickBot="1">
      <c r="A971" s="110" t="s">
        <v>20</v>
      </c>
      <c r="B971" s="111"/>
      <c r="C971" s="111"/>
      <c r="D971" s="112"/>
    </row>
    <row r="972" spans="1:4" ht="42.75" customHeight="1" thickBot="1">
      <c r="A972" s="113" t="s">
        <v>18</v>
      </c>
      <c r="B972" s="114"/>
      <c r="C972" s="114"/>
      <c r="D972" s="115"/>
    </row>
    <row r="973" spans="1:4" ht="42.75" customHeight="1" thickBot="1">
      <c r="A973" s="126" t="s">
        <v>19</v>
      </c>
      <c r="B973" s="127"/>
      <c r="C973" s="127"/>
      <c r="D973" s="128"/>
    </row>
    <row r="974" spans="1:4" ht="42.75" customHeight="1" thickBot="1">
      <c r="A974" s="123" t="s">
        <v>11</v>
      </c>
      <c r="B974" s="124"/>
      <c r="C974" s="125" t="s">
        <v>603</v>
      </c>
      <c r="D974" s="124"/>
    </row>
    <row r="975" spans="1:4" ht="42.75" customHeight="1" thickBot="1">
      <c r="A975" s="1" t="s">
        <v>686</v>
      </c>
      <c r="B975" s="26" t="s">
        <v>1</v>
      </c>
      <c r="C975" s="90" t="s">
        <v>375</v>
      </c>
      <c r="D975" s="91"/>
    </row>
    <row r="976" spans="1:4" ht="42.75" customHeight="1" thickBot="1">
      <c r="A976" s="26"/>
      <c r="B976" s="26" t="s">
        <v>0</v>
      </c>
      <c r="C976" s="5" t="s">
        <v>687</v>
      </c>
      <c r="D976" s="4" t="s">
        <v>2</v>
      </c>
    </row>
    <row r="977" spans="1:4" ht="42.75" customHeight="1" thickBot="1">
      <c r="A977" s="92">
        <v>2775</v>
      </c>
      <c r="B977" s="93"/>
      <c r="C977" s="94" t="s">
        <v>3</v>
      </c>
      <c r="D977" s="95"/>
    </row>
    <row r="978" spans="1:4" ht="42.75" customHeight="1" thickBot="1">
      <c r="A978" s="92">
        <v>2825</v>
      </c>
      <c r="B978" s="93"/>
      <c r="C978" s="96" t="s">
        <v>4</v>
      </c>
      <c r="D978" s="97"/>
    </row>
    <row r="979" spans="1:4" ht="42.75" customHeight="1" thickBot="1">
      <c r="A979" s="98">
        <f>A978-A977</f>
        <v>50</v>
      </c>
      <c r="B979" s="99"/>
      <c r="C979" s="100" t="s">
        <v>5</v>
      </c>
      <c r="D979" s="97"/>
    </row>
    <row r="980" spans="1:4" ht="42.75" customHeight="1" thickBot="1">
      <c r="A980" s="101">
        <v>55</v>
      </c>
      <c r="B980" s="102"/>
      <c r="C980" s="96" t="s">
        <v>6</v>
      </c>
      <c r="D980" s="97"/>
    </row>
    <row r="981" spans="1:4" ht="42.75" customHeight="1" thickBot="1">
      <c r="A981" s="103"/>
      <c r="B981" s="104"/>
      <c r="C981" s="96" t="s">
        <v>21</v>
      </c>
      <c r="D981" s="97"/>
    </row>
    <row r="982" spans="1:4" ht="42.75" customHeight="1" thickBot="1">
      <c r="A982" s="105">
        <f>A980*A979</f>
        <v>2750</v>
      </c>
      <c r="B982" s="106"/>
      <c r="C982" s="96" t="s">
        <v>7</v>
      </c>
      <c r="D982" s="97"/>
    </row>
    <row r="983" spans="1:4" ht="42.75" customHeight="1" thickBot="1">
      <c r="A983" s="107" t="s">
        <v>17</v>
      </c>
      <c r="B983" s="108"/>
      <c r="C983" s="108"/>
      <c r="D983" s="109"/>
    </row>
    <row r="984" spans="1:4" ht="42.75" customHeight="1" thickBot="1">
      <c r="A984" s="116" t="s">
        <v>20</v>
      </c>
      <c r="B984" s="117"/>
      <c r="C984" s="117"/>
      <c r="D984" s="118"/>
    </row>
    <row r="985" spans="1:4" ht="42.75" customHeight="1" thickBot="1">
      <c r="A985" s="113" t="s">
        <v>18</v>
      </c>
      <c r="B985" s="114"/>
      <c r="C985" s="114"/>
      <c r="D985" s="115"/>
    </row>
    <row r="986" spans="1:4" ht="42.75" customHeight="1" thickBot="1">
      <c r="A986" s="119"/>
      <c r="B986" s="119"/>
      <c r="C986" s="119"/>
      <c r="D986" s="119"/>
    </row>
    <row r="987" spans="1:4" ht="42.75" customHeight="1" thickBot="1">
      <c r="A987" s="126" t="s">
        <v>19</v>
      </c>
      <c r="B987" s="127"/>
      <c r="C987" s="127"/>
      <c r="D987" s="128"/>
    </row>
    <row r="988" spans="1:4" ht="42.75" customHeight="1" thickBot="1">
      <c r="A988" s="123" t="s">
        <v>11</v>
      </c>
      <c r="B988" s="124"/>
      <c r="C988" s="125" t="s">
        <v>603</v>
      </c>
      <c r="D988" s="124"/>
    </row>
    <row r="989" spans="1:4" ht="42.75" customHeight="1" thickBot="1">
      <c r="A989" s="1" t="s">
        <v>686</v>
      </c>
      <c r="B989" s="26" t="s">
        <v>1</v>
      </c>
      <c r="C989" s="90" t="s">
        <v>375</v>
      </c>
      <c r="D989" s="91"/>
    </row>
    <row r="990" spans="1:4" ht="42.75" customHeight="1" thickBot="1">
      <c r="A990" s="26"/>
      <c r="B990" s="26" t="s">
        <v>0</v>
      </c>
      <c r="C990" s="5" t="s">
        <v>687</v>
      </c>
      <c r="D990" s="4" t="s">
        <v>2</v>
      </c>
    </row>
    <row r="991" spans="1:4" ht="42.75" customHeight="1" thickBot="1">
      <c r="A991" s="92">
        <v>2775</v>
      </c>
      <c r="B991" s="93"/>
      <c r="C991" s="94" t="s">
        <v>3</v>
      </c>
      <c r="D991" s="95"/>
    </row>
    <row r="992" spans="1:4" ht="42.75" customHeight="1" thickBot="1">
      <c r="A992" s="92">
        <v>2825</v>
      </c>
      <c r="B992" s="93"/>
      <c r="C992" s="96" t="s">
        <v>4</v>
      </c>
      <c r="D992" s="97"/>
    </row>
    <row r="993" spans="1:4" ht="42.75" customHeight="1" thickBot="1">
      <c r="A993" s="98">
        <f>A992-A991</f>
        <v>50</v>
      </c>
      <c r="B993" s="99"/>
      <c r="C993" s="100" t="s">
        <v>5</v>
      </c>
      <c r="D993" s="97"/>
    </row>
    <row r="994" spans="1:4" ht="42.75" customHeight="1" thickBot="1">
      <c r="A994" s="101">
        <v>62</v>
      </c>
      <c r="B994" s="102"/>
      <c r="C994" s="96" t="s">
        <v>6</v>
      </c>
      <c r="D994" s="97"/>
    </row>
    <row r="995" spans="1:4" ht="42.75" customHeight="1" thickBot="1">
      <c r="A995" s="103"/>
      <c r="B995" s="104"/>
      <c r="C995" s="96" t="s">
        <v>21</v>
      </c>
      <c r="D995" s="97"/>
    </row>
    <row r="996" spans="1:4" ht="42.75" customHeight="1" thickBot="1">
      <c r="A996" s="105">
        <f>A994*A993</f>
        <v>3100</v>
      </c>
      <c r="B996" s="106"/>
      <c r="C996" s="96" t="s">
        <v>7</v>
      </c>
      <c r="D996" s="97"/>
    </row>
    <row r="997" spans="1:4" ht="42.75" customHeight="1" thickBot="1">
      <c r="A997" s="107" t="s">
        <v>17</v>
      </c>
      <c r="B997" s="108"/>
      <c r="C997" s="108"/>
      <c r="D997" s="109"/>
    </row>
    <row r="998" spans="1:4" ht="42.75" customHeight="1" thickBot="1">
      <c r="A998" s="110" t="s">
        <v>20</v>
      </c>
      <c r="B998" s="111"/>
      <c r="C998" s="111"/>
      <c r="D998" s="112"/>
    </row>
    <row r="999" spans="1:4" ht="42.75" customHeight="1" thickBot="1">
      <c r="A999" s="113" t="s">
        <v>18</v>
      </c>
      <c r="B999" s="114"/>
      <c r="C999" s="114"/>
      <c r="D999" s="115"/>
    </row>
    <row r="1000" spans="1:4" ht="42.75" customHeight="1" thickBot="1">
      <c r="A1000" s="126" t="s">
        <v>19</v>
      </c>
      <c r="B1000" s="127"/>
      <c r="C1000" s="127"/>
      <c r="D1000" s="128"/>
    </row>
    <row r="1001" spans="1:4" ht="42.75" customHeight="1" thickBot="1">
      <c r="A1001" s="123" t="s">
        <v>11</v>
      </c>
      <c r="B1001" s="124"/>
      <c r="C1001" s="125" t="s">
        <v>603</v>
      </c>
      <c r="D1001" s="124"/>
    </row>
    <row r="1002" spans="1:4" ht="42.75" customHeight="1" thickBot="1">
      <c r="A1002" s="1" t="s">
        <v>686</v>
      </c>
      <c r="B1002" s="26" t="s">
        <v>1</v>
      </c>
      <c r="C1002" s="90" t="s">
        <v>376</v>
      </c>
      <c r="D1002" s="91"/>
    </row>
    <row r="1003" spans="1:4" ht="42.75" customHeight="1" thickBot="1">
      <c r="A1003" s="26"/>
      <c r="B1003" s="26" t="s">
        <v>0</v>
      </c>
      <c r="C1003" s="5" t="s">
        <v>687</v>
      </c>
      <c r="D1003" s="4" t="s">
        <v>2</v>
      </c>
    </row>
    <row r="1004" spans="1:4" ht="42.75" customHeight="1" thickBot="1">
      <c r="A1004" s="92">
        <v>780</v>
      </c>
      <c r="B1004" s="93"/>
      <c r="C1004" s="94" t="s">
        <v>3</v>
      </c>
      <c r="D1004" s="95"/>
    </row>
    <row r="1005" spans="1:4" ht="42.75" customHeight="1" thickBot="1">
      <c r="A1005" s="92">
        <v>790</v>
      </c>
      <c r="B1005" s="93"/>
      <c r="C1005" s="96" t="s">
        <v>4</v>
      </c>
      <c r="D1005" s="97"/>
    </row>
    <row r="1006" spans="1:4" ht="42.75" customHeight="1" thickBot="1">
      <c r="A1006" s="98">
        <f>A1005-A1004</f>
        <v>10</v>
      </c>
      <c r="B1006" s="99"/>
      <c r="C1006" s="100" t="s">
        <v>5</v>
      </c>
      <c r="D1006" s="97"/>
    </row>
    <row r="1007" spans="1:4" ht="42.75" customHeight="1" thickBot="1">
      <c r="A1007" s="101">
        <v>62</v>
      </c>
      <c r="B1007" s="102"/>
      <c r="C1007" s="96" t="s">
        <v>6</v>
      </c>
      <c r="D1007" s="97"/>
    </row>
    <row r="1008" spans="1:4" ht="42.75" customHeight="1" thickBot="1">
      <c r="A1008" s="103"/>
      <c r="B1008" s="104"/>
      <c r="C1008" s="96" t="s">
        <v>21</v>
      </c>
      <c r="D1008" s="97"/>
    </row>
    <row r="1009" spans="1:4" ht="42.75" customHeight="1" thickBot="1">
      <c r="A1009" s="105">
        <v>600</v>
      </c>
      <c r="B1009" s="106"/>
      <c r="C1009" s="96" t="s">
        <v>7</v>
      </c>
      <c r="D1009" s="97"/>
    </row>
    <row r="1010" spans="1:4" ht="42.75" customHeight="1" thickBot="1">
      <c r="A1010" s="107" t="s">
        <v>17</v>
      </c>
      <c r="B1010" s="108"/>
      <c r="C1010" s="108"/>
      <c r="D1010" s="109"/>
    </row>
    <row r="1011" spans="1:4" ht="42.75" customHeight="1" thickBot="1">
      <c r="A1011" s="116" t="s">
        <v>20</v>
      </c>
      <c r="B1011" s="117"/>
      <c r="C1011" s="117"/>
      <c r="D1011" s="118"/>
    </row>
    <row r="1012" spans="1:4" ht="42.75" customHeight="1" thickBot="1">
      <c r="A1012" s="113" t="s">
        <v>18</v>
      </c>
      <c r="B1012" s="114"/>
      <c r="C1012" s="114"/>
      <c r="D1012" s="115"/>
    </row>
    <row r="1013" spans="1:4" ht="42.75" customHeight="1" thickBot="1">
      <c r="A1013" s="119"/>
      <c r="B1013" s="119"/>
      <c r="C1013" s="119"/>
      <c r="D1013" s="119"/>
    </row>
    <row r="1014" spans="1:4" ht="42.75" customHeight="1" thickBot="1">
      <c r="A1014" s="126" t="s">
        <v>19</v>
      </c>
      <c r="B1014" s="127"/>
      <c r="C1014" s="127"/>
      <c r="D1014" s="128"/>
    </row>
    <row r="1015" spans="1:4" ht="42.75" customHeight="1" thickBot="1">
      <c r="A1015" s="123" t="s">
        <v>11</v>
      </c>
      <c r="B1015" s="124"/>
      <c r="C1015" s="125" t="s">
        <v>603</v>
      </c>
      <c r="D1015" s="124"/>
    </row>
    <row r="1016" spans="1:4" ht="42.75" customHeight="1" thickBot="1">
      <c r="A1016" s="1" t="s">
        <v>686</v>
      </c>
      <c r="B1016" s="26" t="s">
        <v>1</v>
      </c>
      <c r="C1016" s="90" t="s">
        <v>376</v>
      </c>
      <c r="D1016" s="91"/>
    </row>
    <row r="1017" spans="1:4" ht="42.75" customHeight="1" thickBot="1">
      <c r="A1017" s="26"/>
      <c r="B1017" s="26" t="s">
        <v>0</v>
      </c>
      <c r="C1017" s="5" t="s">
        <v>687</v>
      </c>
      <c r="D1017" s="4" t="s">
        <v>2</v>
      </c>
    </row>
    <row r="1018" spans="1:4" ht="42.75" customHeight="1" thickBot="1">
      <c r="A1018" s="92">
        <v>780</v>
      </c>
      <c r="B1018" s="93"/>
      <c r="C1018" s="94" t="s">
        <v>3</v>
      </c>
      <c r="D1018" s="95"/>
    </row>
    <row r="1019" spans="1:4" ht="42.75" customHeight="1" thickBot="1">
      <c r="A1019" s="92">
        <v>790</v>
      </c>
      <c r="B1019" s="93"/>
      <c r="C1019" s="96" t="s">
        <v>4</v>
      </c>
      <c r="D1019" s="97"/>
    </row>
    <row r="1020" spans="1:4" ht="42.75" customHeight="1" thickBot="1">
      <c r="A1020" s="98">
        <f>A1019-A1018</f>
        <v>10</v>
      </c>
      <c r="B1020" s="99"/>
      <c r="C1020" s="100" t="s">
        <v>5</v>
      </c>
      <c r="D1020" s="97"/>
    </row>
    <row r="1021" spans="1:4" ht="42.75" customHeight="1" thickBot="1">
      <c r="A1021" s="101">
        <v>62</v>
      </c>
      <c r="B1021" s="102"/>
      <c r="C1021" s="96" t="s">
        <v>6</v>
      </c>
      <c r="D1021" s="97"/>
    </row>
    <row r="1022" spans="1:4" ht="42.75" customHeight="1" thickBot="1">
      <c r="A1022" s="103"/>
      <c r="B1022" s="104"/>
      <c r="C1022" s="96" t="s">
        <v>21</v>
      </c>
      <c r="D1022" s="97"/>
    </row>
    <row r="1023" spans="1:4" ht="42.75" customHeight="1" thickBot="1">
      <c r="A1023" s="105">
        <v>600</v>
      </c>
      <c r="B1023" s="106"/>
      <c r="C1023" s="96" t="s">
        <v>7</v>
      </c>
      <c r="D1023" s="97"/>
    </row>
    <row r="1024" spans="1:4" ht="42.75" customHeight="1" thickBot="1">
      <c r="A1024" s="107" t="s">
        <v>17</v>
      </c>
      <c r="B1024" s="108"/>
      <c r="C1024" s="108"/>
      <c r="D1024" s="109"/>
    </row>
    <row r="1025" spans="1:4" ht="42.75" customHeight="1" thickBot="1">
      <c r="A1025" s="110" t="s">
        <v>20</v>
      </c>
      <c r="B1025" s="111"/>
      <c r="C1025" s="111"/>
      <c r="D1025" s="112"/>
    </row>
    <row r="1026" spans="1:4" ht="42.75" customHeight="1" thickBot="1">
      <c r="A1026" s="113" t="s">
        <v>18</v>
      </c>
      <c r="B1026" s="114"/>
      <c r="C1026" s="114"/>
      <c r="D1026" s="115"/>
    </row>
    <row r="1027" spans="1:4" ht="42.75" customHeight="1" thickBot="1">
      <c r="A1027" s="126" t="s">
        <v>19</v>
      </c>
      <c r="B1027" s="127"/>
      <c r="C1027" s="127"/>
      <c r="D1027" s="128"/>
    </row>
    <row r="1028" spans="1:4" ht="42.75" customHeight="1" thickBot="1">
      <c r="A1028" s="123" t="s">
        <v>11</v>
      </c>
      <c r="B1028" s="124"/>
      <c r="C1028" s="125" t="s">
        <v>603</v>
      </c>
      <c r="D1028" s="124"/>
    </row>
    <row r="1029" spans="1:4" ht="42.75" customHeight="1" thickBot="1">
      <c r="A1029" s="1" t="s">
        <v>686</v>
      </c>
      <c r="B1029" s="26" t="s">
        <v>1</v>
      </c>
      <c r="C1029" s="90" t="s">
        <v>377</v>
      </c>
      <c r="D1029" s="91"/>
    </row>
    <row r="1030" spans="1:4" ht="42.75" customHeight="1" thickBot="1">
      <c r="A1030" s="26"/>
      <c r="B1030" s="26" t="s">
        <v>0</v>
      </c>
      <c r="C1030" s="5" t="s">
        <v>687</v>
      </c>
      <c r="D1030" s="4" t="s">
        <v>2</v>
      </c>
    </row>
    <row r="1031" spans="1:4" ht="42.75" customHeight="1" thickBot="1">
      <c r="A1031" s="92">
        <v>15960</v>
      </c>
      <c r="B1031" s="93"/>
      <c r="C1031" s="94" t="s">
        <v>3</v>
      </c>
      <c r="D1031" s="95"/>
    </row>
    <row r="1032" spans="1:4" ht="42.75" customHeight="1" thickBot="1">
      <c r="A1032" s="92">
        <v>16160</v>
      </c>
      <c r="B1032" s="93"/>
      <c r="C1032" s="96" t="s">
        <v>4</v>
      </c>
      <c r="D1032" s="97"/>
    </row>
    <row r="1033" spans="1:4" ht="42.75" customHeight="1" thickBot="1">
      <c r="A1033" s="98">
        <f>A1032-A1031</f>
        <v>200</v>
      </c>
      <c r="B1033" s="99"/>
      <c r="C1033" s="100" t="s">
        <v>5</v>
      </c>
      <c r="D1033" s="97"/>
    </row>
    <row r="1034" spans="1:4" ht="42.75" customHeight="1" thickBot="1">
      <c r="A1034" s="101">
        <v>62</v>
      </c>
      <c r="B1034" s="102"/>
      <c r="C1034" s="96" t="s">
        <v>6</v>
      </c>
      <c r="D1034" s="97"/>
    </row>
    <row r="1035" spans="1:4" ht="42.75" customHeight="1" thickBot="1">
      <c r="A1035" s="103"/>
      <c r="B1035" s="104"/>
      <c r="C1035" s="96" t="s">
        <v>21</v>
      </c>
      <c r="D1035" s="97"/>
    </row>
    <row r="1036" spans="1:4" ht="42.75" customHeight="1" thickBot="1">
      <c r="A1036" s="105">
        <f>A1034*A1033</f>
        <v>12400</v>
      </c>
      <c r="B1036" s="106"/>
      <c r="C1036" s="96" t="s">
        <v>7</v>
      </c>
      <c r="D1036" s="97"/>
    </row>
    <row r="1037" spans="1:4" ht="42.75" customHeight="1" thickBot="1">
      <c r="A1037" s="107" t="s">
        <v>17</v>
      </c>
      <c r="B1037" s="108"/>
      <c r="C1037" s="108"/>
      <c r="D1037" s="109"/>
    </row>
    <row r="1038" spans="1:4" ht="42.75" customHeight="1" thickBot="1">
      <c r="A1038" s="116" t="s">
        <v>20</v>
      </c>
      <c r="B1038" s="117"/>
      <c r="C1038" s="117"/>
      <c r="D1038" s="118"/>
    </row>
    <row r="1039" spans="1:4" ht="42.75" customHeight="1" thickBot="1">
      <c r="A1039" s="113" t="s">
        <v>18</v>
      </c>
      <c r="B1039" s="114"/>
      <c r="C1039" s="114"/>
      <c r="D1039" s="115"/>
    </row>
    <row r="1040" spans="1:4" ht="42.75" customHeight="1" thickBot="1">
      <c r="A1040" s="119"/>
      <c r="B1040" s="119"/>
      <c r="C1040" s="119"/>
      <c r="D1040" s="119"/>
    </row>
    <row r="1041" spans="1:4" ht="42.75" customHeight="1" thickBot="1">
      <c r="A1041" s="126" t="s">
        <v>19</v>
      </c>
      <c r="B1041" s="127"/>
      <c r="C1041" s="127"/>
      <c r="D1041" s="128"/>
    </row>
    <row r="1042" spans="1:4" ht="42.75" customHeight="1" thickBot="1">
      <c r="A1042" s="123" t="s">
        <v>11</v>
      </c>
      <c r="B1042" s="124"/>
      <c r="C1042" s="125" t="s">
        <v>603</v>
      </c>
      <c r="D1042" s="124"/>
    </row>
    <row r="1043" spans="1:4" ht="42.75" customHeight="1" thickBot="1">
      <c r="A1043" s="1" t="s">
        <v>686</v>
      </c>
      <c r="B1043" s="26" t="s">
        <v>1</v>
      </c>
      <c r="C1043" s="90" t="s">
        <v>377</v>
      </c>
      <c r="D1043" s="91"/>
    </row>
    <row r="1044" spans="1:4" ht="42.75" customHeight="1" thickBot="1">
      <c r="A1044" s="26"/>
      <c r="B1044" s="26" t="s">
        <v>0</v>
      </c>
      <c r="C1044" s="5" t="s">
        <v>687</v>
      </c>
      <c r="D1044" s="4" t="s">
        <v>2</v>
      </c>
    </row>
    <row r="1045" spans="1:4" ht="42.75" customHeight="1" thickBot="1">
      <c r="A1045" s="92">
        <v>15960</v>
      </c>
      <c r="B1045" s="93"/>
      <c r="C1045" s="94" t="s">
        <v>3</v>
      </c>
      <c r="D1045" s="95"/>
    </row>
    <row r="1046" spans="1:4" ht="42.75" customHeight="1" thickBot="1">
      <c r="A1046" s="92">
        <v>16160</v>
      </c>
      <c r="B1046" s="93"/>
      <c r="C1046" s="96" t="s">
        <v>4</v>
      </c>
      <c r="D1046" s="97"/>
    </row>
    <row r="1047" spans="1:4" ht="42.75" customHeight="1" thickBot="1">
      <c r="A1047" s="98">
        <f>A1046-A1045</f>
        <v>200</v>
      </c>
      <c r="B1047" s="99"/>
      <c r="C1047" s="100" t="s">
        <v>5</v>
      </c>
      <c r="D1047" s="97"/>
    </row>
    <row r="1048" spans="1:4" ht="42.75" customHeight="1" thickBot="1">
      <c r="A1048" s="101">
        <v>62</v>
      </c>
      <c r="B1048" s="102"/>
      <c r="C1048" s="96" t="s">
        <v>6</v>
      </c>
      <c r="D1048" s="97"/>
    </row>
    <row r="1049" spans="1:4" ht="42.75" customHeight="1" thickBot="1">
      <c r="A1049" s="103"/>
      <c r="B1049" s="104"/>
      <c r="C1049" s="96" t="s">
        <v>21</v>
      </c>
      <c r="D1049" s="97"/>
    </row>
    <row r="1050" spans="1:4" ht="42.75" customHeight="1" thickBot="1">
      <c r="A1050" s="105">
        <f>A1048*A1047</f>
        <v>12400</v>
      </c>
      <c r="B1050" s="106"/>
      <c r="C1050" s="96" t="s">
        <v>7</v>
      </c>
      <c r="D1050" s="97"/>
    </row>
    <row r="1051" spans="1:4" ht="42.75" customHeight="1" thickBot="1">
      <c r="A1051" s="107" t="s">
        <v>17</v>
      </c>
      <c r="B1051" s="108"/>
      <c r="C1051" s="108"/>
      <c r="D1051" s="109"/>
    </row>
    <row r="1052" spans="1:4" ht="42.75" customHeight="1" thickBot="1">
      <c r="A1052" s="110" t="s">
        <v>20</v>
      </c>
      <c r="B1052" s="111"/>
      <c r="C1052" s="111"/>
      <c r="D1052" s="112"/>
    </row>
    <row r="1053" spans="1:4" ht="42.75" customHeight="1" thickBot="1">
      <c r="A1053" s="113" t="s">
        <v>18</v>
      </c>
      <c r="B1053" s="114"/>
      <c r="C1053" s="114"/>
      <c r="D1053" s="115"/>
    </row>
    <row r="1054" spans="1:4" ht="42.75" customHeight="1" thickBot="1">
      <c r="A1054" s="126" t="s">
        <v>19</v>
      </c>
      <c r="B1054" s="127"/>
      <c r="C1054" s="127"/>
      <c r="D1054" s="128"/>
    </row>
    <row r="1055" spans="1:4" ht="42.75" customHeight="1" thickBot="1">
      <c r="A1055" s="123" t="s">
        <v>11</v>
      </c>
      <c r="B1055" s="124"/>
      <c r="C1055" s="125" t="s">
        <v>603</v>
      </c>
      <c r="D1055" s="124"/>
    </row>
    <row r="1056" spans="1:4" ht="42.75" customHeight="1" thickBot="1">
      <c r="A1056" s="1" t="s">
        <v>686</v>
      </c>
      <c r="B1056" s="26" t="s">
        <v>1</v>
      </c>
      <c r="C1056" s="90" t="s">
        <v>378</v>
      </c>
      <c r="D1056" s="91"/>
    </row>
    <row r="1057" spans="1:4" ht="42.75" customHeight="1" thickBot="1">
      <c r="A1057" s="26"/>
      <c r="B1057" s="26" t="s">
        <v>0</v>
      </c>
      <c r="C1057" s="5" t="s">
        <v>687</v>
      </c>
      <c r="D1057" s="4" t="s">
        <v>2</v>
      </c>
    </row>
    <row r="1058" spans="1:4" ht="42.75" customHeight="1" thickBot="1">
      <c r="A1058" s="92">
        <v>2625</v>
      </c>
      <c r="B1058" s="93"/>
      <c r="C1058" s="94" t="s">
        <v>3</v>
      </c>
      <c r="D1058" s="95"/>
    </row>
    <row r="1059" spans="1:4" ht="42.75" customHeight="1" thickBot="1">
      <c r="A1059" s="92">
        <v>2633</v>
      </c>
      <c r="B1059" s="93"/>
      <c r="C1059" s="96" t="s">
        <v>4</v>
      </c>
      <c r="D1059" s="97"/>
    </row>
    <row r="1060" spans="1:4" ht="42.75" customHeight="1" thickBot="1">
      <c r="A1060" s="98">
        <f>A1059-A1058</f>
        <v>8</v>
      </c>
      <c r="B1060" s="99"/>
      <c r="C1060" s="100" t="s">
        <v>5</v>
      </c>
      <c r="D1060" s="97"/>
    </row>
    <row r="1061" spans="1:4" ht="42.75" customHeight="1" thickBot="1">
      <c r="A1061" s="101">
        <v>62</v>
      </c>
      <c r="B1061" s="102"/>
      <c r="C1061" s="96" t="s">
        <v>6</v>
      </c>
      <c r="D1061" s="97"/>
    </row>
    <row r="1062" spans="1:4" ht="42.75" customHeight="1" thickBot="1">
      <c r="A1062" s="103"/>
      <c r="B1062" s="104"/>
      <c r="C1062" s="96" t="s">
        <v>21</v>
      </c>
      <c r="D1062" s="97"/>
    </row>
    <row r="1063" spans="1:4" ht="42.75" customHeight="1" thickBot="1">
      <c r="A1063" s="105">
        <v>500</v>
      </c>
      <c r="B1063" s="106"/>
      <c r="C1063" s="96" t="s">
        <v>7</v>
      </c>
      <c r="D1063" s="97"/>
    </row>
    <row r="1064" spans="1:4" ht="42.75" customHeight="1" thickBot="1">
      <c r="A1064" s="107" t="s">
        <v>17</v>
      </c>
      <c r="B1064" s="108"/>
      <c r="C1064" s="108"/>
      <c r="D1064" s="109"/>
    </row>
    <row r="1065" spans="1:4" ht="42.75" customHeight="1" thickBot="1">
      <c r="A1065" s="116" t="s">
        <v>20</v>
      </c>
      <c r="B1065" s="117"/>
      <c r="C1065" s="117"/>
      <c r="D1065" s="118"/>
    </row>
    <row r="1066" spans="1:4" ht="42.75" customHeight="1" thickBot="1">
      <c r="A1066" s="113" t="s">
        <v>18</v>
      </c>
      <c r="B1066" s="114"/>
      <c r="C1066" s="114"/>
      <c r="D1066" s="115"/>
    </row>
    <row r="1067" spans="1:4" ht="42.75" customHeight="1" thickBot="1">
      <c r="A1067" s="119"/>
      <c r="B1067" s="119"/>
      <c r="C1067" s="119"/>
      <c r="D1067" s="119"/>
    </row>
    <row r="1068" spans="1:4" ht="42.75" customHeight="1" thickBot="1">
      <c r="A1068" s="126" t="s">
        <v>19</v>
      </c>
      <c r="B1068" s="127"/>
      <c r="C1068" s="127"/>
      <c r="D1068" s="128"/>
    </row>
    <row r="1069" spans="1:4" ht="42.75" customHeight="1" thickBot="1">
      <c r="A1069" s="123" t="s">
        <v>11</v>
      </c>
      <c r="B1069" s="124"/>
      <c r="C1069" s="125" t="s">
        <v>603</v>
      </c>
      <c r="D1069" s="124"/>
    </row>
    <row r="1070" spans="1:4" ht="42.75" customHeight="1" thickBot="1">
      <c r="A1070" s="1" t="s">
        <v>686</v>
      </c>
      <c r="B1070" s="26" t="s">
        <v>1</v>
      </c>
      <c r="C1070" s="90" t="s">
        <v>378</v>
      </c>
      <c r="D1070" s="91"/>
    </row>
    <row r="1071" spans="1:4" ht="42.75" customHeight="1" thickBot="1">
      <c r="A1071" s="26"/>
      <c r="B1071" s="26" t="s">
        <v>0</v>
      </c>
      <c r="C1071" s="5" t="s">
        <v>687</v>
      </c>
      <c r="D1071" s="4" t="s">
        <v>2</v>
      </c>
    </row>
    <row r="1072" spans="1:4" ht="42.75" customHeight="1" thickBot="1">
      <c r="A1072" s="92">
        <v>2625</v>
      </c>
      <c r="B1072" s="93"/>
      <c r="C1072" s="94" t="s">
        <v>3</v>
      </c>
      <c r="D1072" s="95"/>
    </row>
    <row r="1073" spans="1:4" ht="42.75" customHeight="1" thickBot="1">
      <c r="A1073" s="92">
        <v>2633</v>
      </c>
      <c r="B1073" s="93"/>
      <c r="C1073" s="96" t="s">
        <v>4</v>
      </c>
      <c r="D1073" s="97"/>
    </row>
    <row r="1074" spans="1:4" ht="42.75" customHeight="1" thickBot="1">
      <c r="A1074" s="98">
        <f>A1073-A1072</f>
        <v>8</v>
      </c>
      <c r="B1074" s="99"/>
      <c r="C1074" s="100" t="s">
        <v>5</v>
      </c>
      <c r="D1074" s="97"/>
    </row>
    <row r="1075" spans="1:4" ht="42.75" customHeight="1" thickBot="1">
      <c r="A1075" s="101">
        <v>62</v>
      </c>
      <c r="B1075" s="102"/>
      <c r="C1075" s="96" t="s">
        <v>6</v>
      </c>
      <c r="D1075" s="97"/>
    </row>
    <row r="1076" spans="1:4" ht="42.75" customHeight="1" thickBot="1">
      <c r="A1076" s="103"/>
      <c r="B1076" s="104"/>
      <c r="C1076" s="96" t="s">
        <v>21</v>
      </c>
      <c r="D1076" s="97"/>
    </row>
    <row r="1077" spans="1:4" ht="42.75" customHeight="1" thickBot="1">
      <c r="A1077" s="105">
        <v>500</v>
      </c>
      <c r="B1077" s="106"/>
      <c r="C1077" s="96" t="s">
        <v>7</v>
      </c>
      <c r="D1077" s="97"/>
    </row>
    <row r="1078" spans="1:4" ht="42.75" customHeight="1" thickBot="1">
      <c r="A1078" s="107" t="s">
        <v>17</v>
      </c>
      <c r="B1078" s="108"/>
      <c r="C1078" s="108"/>
      <c r="D1078" s="109"/>
    </row>
    <row r="1079" spans="1:4" ht="42.75" customHeight="1" thickBot="1">
      <c r="A1079" s="110" t="s">
        <v>20</v>
      </c>
      <c r="B1079" s="111"/>
      <c r="C1079" s="111"/>
      <c r="D1079" s="112"/>
    </row>
    <row r="1080" spans="1:4" ht="42.75" customHeight="1" thickBot="1">
      <c r="A1080" s="113" t="s">
        <v>18</v>
      </c>
      <c r="B1080" s="114"/>
      <c r="C1080" s="114"/>
      <c r="D1080" s="115"/>
    </row>
    <row r="1081" spans="1:4" ht="42.75" customHeight="1" thickBot="1">
      <c r="A1081" s="126" t="s">
        <v>19</v>
      </c>
      <c r="B1081" s="127"/>
      <c r="C1081" s="127"/>
      <c r="D1081" s="128"/>
    </row>
    <row r="1082" spans="1:4" ht="42.75" customHeight="1" thickBot="1">
      <c r="A1082" s="123" t="s">
        <v>11</v>
      </c>
      <c r="B1082" s="124"/>
      <c r="C1082" s="125" t="s">
        <v>603</v>
      </c>
      <c r="D1082" s="124"/>
    </row>
    <row r="1083" spans="1:4" ht="42.75" customHeight="1" thickBot="1">
      <c r="A1083" s="1" t="s">
        <v>686</v>
      </c>
      <c r="B1083" s="26" t="s">
        <v>1</v>
      </c>
      <c r="C1083" s="90" t="s">
        <v>119</v>
      </c>
      <c r="D1083" s="91"/>
    </row>
    <row r="1084" spans="1:4" ht="42.75" customHeight="1" thickBot="1">
      <c r="A1084" s="26"/>
      <c r="B1084" s="26" t="s">
        <v>0</v>
      </c>
      <c r="C1084" s="5" t="s">
        <v>687</v>
      </c>
      <c r="D1084" s="4" t="s">
        <v>2</v>
      </c>
    </row>
    <row r="1085" spans="1:4" ht="42.75" customHeight="1" thickBot="1">
      <c r="A1085" s="92">
        <v>1000</v>
      </c>
      <c r="B1085" s="93"/>
      <c r="C1085" s="94" t="s">
        <v>3</v>
      </c>
      <c r="D1085" s="95"/>
    </row>
    <row r="1086" spans="1:4" ht="42.75" customHeight="1" thickBot="1">
      <c r="A1086" s="92">
        <v>1007</v>
      </c>
      <c r="B1086" s="93"/>
      <c r="C1086" s="96" t="s">
        <v>4</v>
      </c>
      <c r="D1086" s="97"/>
    </row>
    <row r="1087" spans="1:4" ht="42.75" customHeight="1" thickBot="1">
      <c r="A1087" s="98">
        <v>10</v>
      </c>
      <c r="B1087" s="99"/>
      <c r="C1087" s="100" t="s">
        <v>5</v>
      </c>
      <c r="D1087" s="97"/>
    </row>
    <row r="1088" spans="1:4" ht="42.75" customHeight="1" thickBot="1">
      <c r="A1088" s="101">
        <v>62</v>
      </c>
      <c r="B1088" s="102"/>
      <c r="C1088" s="96" t="s">
        <v>6</v>
      </c>
      <c r="D1088" s="97"/>
    </row>
    <row r="1089" spans="1:4" ht="42.75" customHeight="1" thickBot="1">
      <c r="A1089" s="103"/>
      <c r="B1089" s="104"/>
      <c r="C1089" s="96" t="s">
        <v>21</v>
      </c>
      <c r="D1089" s="97"/>
    </row>
    <row r="1090" spans="1:4" ht="42.75" customHeight="1" thickBot="1">
      <c r="A1090" s="105">
        <v>600</v>
      </c>
      <c r="B1090" s="106"/>
      <c r="C1090" s="96" t="s">
        <v>7</v>
      </c>
      <c r="D1090" s="97"/>
    </row>
    <row r="1091" spans="1:4" ht="42.75" customHeight="1" thickBot="1">
      <c r="A1091" s="107" t="s">
        <v>17</v>
      </c>
      <c r="B1091" s="108"/>
      <c r="C1091" s="108"/>
      <c r="D1091" s="109"/>
    </row>
    <row r="1092" spans="1:4" ht="42.75" customHeight="1" thickBot="1">
      <c r="A1092" s="116" t="s">
        <v>20</v>
      </c>
      <c r="B1092" s="117"/>
      <c r="C1092" s="117"/>
      <c r="D1092" s="118"/>
    </row>
    <row r="1093" spans="1:4" ht="42.75" customHeight="1" thickBot="1">
      <c r="A1093" s="113" t="s">
        <v>18</v>
      </c>
      <c r="B1093" s="114"/>
      <c r="C1093" s="114"/>
      <c r="D1093" s="115"/>
    </row>
    <row r="1094" spans="1:4" ht="42.75" customHeight="1" thickBot="1">
      <c r="A1094" s="119"/>
      <c r="B1094" s="119"/>
      <c r="C1094" s="119"/>
      <c r="D1094" s="119"/>
    </row>
    <row r="1095" spans="1:4" ht="42.75" customHeight="1" thickBot="1">
      <c r="A1095" s="126" t="s">
        <v>19</v>
      </c>
      <c r="B1095" s="127"/>
      <c r="C1095" s="127"/>
      <c r="D1095" s="128"/>
    </row>
    <row r="1096" spans="1:4" ht="42.75" customHeight="1" thickBot="1">
      <c r="A1096" s="123" t="s">
        <v>11</v>
      </c>
      <c r="B1096" s="124"/>
      <c r="C1096" s="125" t="s">
        <v>603</v>
      </c>
      <c r="D1096" s="124"/>
    </row>
    <row r="1097" spans="1:4" ht="42.75" customHeight="1" thickBot="1">
      <c r="A1097" s="1" t="s">
        <v>686</v>
      </c>
      <c r="B1097" s="26" t="s">
        <v>1</v>
      </c>
      <c r="C1097" s="90" t="s">
        <v>119</v>
      </c>
      <c r="D1097" s="91"/>
    </row>
    <row r="1098" spans="1:4" ht="42.75" customHeight="1" thickBot="1">
      <c r="A1098" s="26"/>
      <c r="B1098" s="26" t="s">
        <v>0</v>
      </c>
      <c r="C1098" s="5" t="s">
        <v>687</v>
      </c>
      <c r="D1098" s="4" t="s">
        <v>2</v>
      </c>
    </row>
    <row r="1099" spans="1:4" ht="42.75" customHeight="1" thickBot="1">
      <c r="A1099" s="92">
        <v>1000</v>
      </c>
      <c r="B1099" s="93"/>
      <c r="C1099" s="94" t="s">
        <v>3</v>
      </c>
      <c r="D1099" s="95"/>
    </row>
    <row r="1100" spans="1:4" ht="42.75" customHeight="1" thickBot="1">
      <c r="A1100" s="92">
        <v>1007</v>
      </c>
      <c r="B1100" s="93"/>
      <c r="C1100" s="96" t="s">
        <v>4</v>
      </c>
      <c r="D1100" s="97"/>
    </row>
    <row r="1101" spans="1:4" ht="42.75" customHeight="1" thickBot="1">
      <c r="A1101" s="98">
        <v>10</v>
      </c>
      <c r="B1101" s="99"/>
      <c r="C1101" s="100" t="s">
        <v>5</v>
      </c>
      <c r="D1101" s="97"/>
    </row>
    <row r="1102" spans="1:4" ht="42.75" customHeight="1" thickBot="1">
      <c r="A1102" s="101">
        <v>62</v>
      </c>
      <c r="B1102" s="102"/>
      <c r="C1102" s="96" t="s">
        <v>6</v>
      </c>
      <c r="D1102" s="97"/>
    </row>
    <row r="1103" spans="1:4" ht="42.75" customHeight="1" thickBot="1">
      <c r="A1103" s="103"/>
      <c r="B1103" s="104"/>
      <c r="C1103" s="96" t="s">
        <v>21</v>
      </c>
      <c r="D1103" s="97"/>
    </row>
    <row r="1104" spans="1:4" ht="42.75" customHeight="1" thickBot="1">
      <c r="A1104" s="105">
        <v>600</v>
      </c>
      <c r="B1104" s="106"/>
      <c r="C1104" s="96" t="s">
        <v>7</v>
      </c>
      <c r="D1104" s="97"/>
    </row>
    <row r="1105" spans="1:4" ht="42.75" customHeight="1" thickBot="1">
      <c r="A1105" s="107" t="s">
        <v>17</v>
      </c>
      <c r="B1105" s="108"/>
      <c r="C1105" s="108"/>
      <c r="D1105" s="109"/>
    </row>
    <row r="1106" spans="1:4" ht="42.75" customHeight="1" thickBot="1">
      <c r="A1106" s="110" t="s">
        <v>20</v>
      </c>
      <c r="B1106" s="111"/>
      <c r="C1106" s="111"/>
      <c r="D1106" s="112"/>
    </row>
    <row r="1107" spans="1:4" ht="42.75" customHeight="1" thickBot="1">
      <c r="A1107" s="113" t="s">
        <v>18</v>
      </c>
      <c r="B1107" s="114"/>
      <c r="C1107" s="114"/>
      <c r="D1107" s="115"/>
    </row>
    <row r="1108" spans="1:4" ht="42.75" customHeight="1" thickBot="1">
      <c r="A1108" s="126" t="s">
        <v>19</v>
      </c>
      <c r="B1108" s="127"/>
      <c r="C1108" s="127"/>
      <c r="D1108" s="128"/>
    </row>
    <row r="1109" spans="1:4" ht="42.75" customHeight="1" thickBot="1">
      <c r="A1109" s="123" t="s">
        <v>11</v>
      </c>
      <c r="B1109" s="124"/>
      <c r="C1109" s="125" t="s">
        <v>603</v>
      </c>
      <c r="D1109" s="124"/>
    </row>
    <row r="1110" spans="1:4" ht="42.75" customHeight="1" thickBot="1">
      <c r="A1110" s="1" t="s">
        <v>686</v>
      </c>
      <c r="B1110" s="26" t="s">
        <v>1</v>
      </c>
      <c r="C1110" s="90" t="s">
        <v>129</v>
      </c>
      <c r="D1110" s="91"/>
    </row>
    <row r="1111" spans="1:4" ht="42.75" customHeight="1" thickBot="1">
      <c r="A1111" s="26"/>
      <c r="B1111" s="26" t="s">
        <v>0</v>
      </c>
      <c r="C1111" s="5" t="s">
        <v>687</v>
      </c>
      <c r="D1111" s="4" t="s">
        <v>2</v>
      </c>
    </row>
    <row r="1112" spans="1:4" ht="42.75" customHeight="1" thickBot="1">
      <c r="A1112" s="92">
        <v>1065</v>
      </c>
      <c r="B1112" s="93"/>
      <c r="C1112" s="94" t="s">
        <v>3</v>
      </c>
      <c r="D1112" s="95"/>
    </row>
    <row r="1113" spans="1:4" ht="42.75" customHeight="1" thickBot="1">
      <c r="A1113" s="92">
        <v>1090</v>
      </c>
      <c r="B1113" s="93"/>
      <c r="C1113" s="96" t="s">
        <v>4</v>
      </c>
      <c r="D1113" s="97"/>
    </row>
    <row r="1114" spans="1:4" ht="42.75" customHeight="1" thickBot="1">
      <c r="A1114" s="98">
        <f>A1113-A1112</f>
        <v>25</v>
      </c>
      <c r="B1114" s="99"/>
      <c r="C1114" s="100" t="s">
        <v>5</v>
      </c>
      <c r="D1114" s="97"/>
    </row>
    <row r="1115" spans="1:4" ht="42.75" customHeight="1" thickBot="1">
      <c r="A1115" s="101">
        <v>62</v>
      </c>
      <c r="B1115" s="102"/>
      <c r="C1115" s="96" t="s">
        <v>6</v>
      </c>
      <c r="D1115" s="97"/>
    </row>
    <row r="1116" spans="1:4" ht="42.75" customHeight="1" thickBot="1">
      <c r="A1116" s="103"/>
      <c r="B1116" s="104"/>
      <c r="C1116" s="96" t="s">
        <v>21</v>
      </c>
      <c r="D1116" s="97"/>
    </row>
    <row r="1117" spans="1:4" ht="42.75" customHeight="1" thickBot="1">
      <c r="A1117" s="105">
        <f>A1115*A1114</f>
        <v>1550</v>
      </c>
      <c r="B1117" s="106"/>
      <c r="C1117" s="96" t="s">
        <v>7</v>
      </c>
      <c r="D1117" s="97"/>
    </row>
    <row r="1118" spans="1:4" ht="42.75" customHeight="1" thickBot="1">
      <c r="A1118" s="107" t="s">
        <v>17</v>
      </c>
      <c r="B1118" s="108"/>
      <c r="C1118" s="108"/>
      <c r="D1118" s="109"/>
    </row>
    <row r="1119" spans="1:4" ht="42.75" customHeight="1" thickBot="1">
      <c r="A1119" s="116" t="s">
        <v>20</v>
      </c>
      <c r="B1119" s="117"/>
      <c r="C1119" s="117"/>
      <c r="D1119" s="118"/>
    </row>
    <row r="1120" spans="1:4" ht="42.75" customHeight="1" thickBot="1">
      <c r="A1120" s="113" t="s">
        <v>18</v>
      </c>
      <c r="B1120" s="114"/>
      <c r="C1120" s="114"/>
      <c r="D1120" s="115"/>
    </row>
    <row r="1121" spans="1:4" ht="42.75" customHeight="1" thickBot="1">
      <c r="A1121" s="119"/>
      <c r="B1121" s="119"/>
      <c r="C1121" s="119"/>
      <c r="D1121" s="119"/>
    </row>
    <row r="1122" spans="1:4" ht="42.75" customHeight="1" thickBot="1">
      <c r="A1122" s="126" t="s">
        <v>19</v>
      </c>
      <c r="B1122" s="127"/>
      <c r="C1122" s="127"/>
      <c r="D1122" s="128"/>
    </row>
    <row r="1123" spans="1:4" ht="42.75" customHeight="1" thickBot="1">
      <c r="A1123" s="123" t="s">
        <v>11</v>
      </c>
      <c r="B1123" s="124"/>
      <c r="C1123" s="125" t="s">
        <v>603</v>
      </c>
      <c r="D1123" s="124"/>
    </row>
    <row r="1124" spans="1:4" ht="42.75" customHeight="1" thickBot="1">
      <c r="A1124" s="1" t="s">
        <v>686</v>
      </c>
      <c r="B1124" s="26" t="s">
        <v>1</v>
      </c>
      <c r="C1124" s="90" t="s">
        <v>129</v>
      </c>
      <c r="D1124" s="91"/>
    </row>
    <row r="1125" spans="1:4" ht="42.75" customHeight="1" thickBot="1">
      <c r="A1125" s="26"/>
      <c r="B1125" s="26" t="s">
        <v>0</v>
      </c>
      <c r="C1125" s="5" t="s">
        <v>687</v>
      </c>
      <c r="D1125" s="4" t="s">
        <v>2</v>
      </c>
    </row>
    <row r="1126" spans="1:4" ht="42.75" customHeight="1" thickBot="1">
      <c r="A1126" s="92">
        <v>1065</v>
      </c>
      <c r="B1126" s="93"/>
      <c r="C1126" s="94" t="s">
        <v>3</v>
      </c>
      <c r="D1126" s="95"/>
    </row>
    <row r="1127" spans="1:4" ht="42.75" customHeight="1" thickBot="1">
      <c r="A1127" s="92">
        <v>1090</v>
      </c>
      <c r="B1127" s="93"/>
      <c r="C1127" s="96" t="s">
        <v>4</v>
      </c>
      <c r="D1127" s="97"/>
    </row>
    <row r="1128" spans="1:4" ht="42.75" customHeight="1" thickBot="1">
      <c r="A1128" s="98">
        <f>A1127-A1126</f>
        <v>25</v>
      </c>
      <c r="B1128" s="99"/>
      <c r="C1128" s="100" t="s">
        <v>5</v>
      </c>
      <c r="D1128" s="97"/>
    </row>
    <row r="1129" spans="1:4" ht="42.75" customHeight="1" thickBot="1">
      <c r="A1129" s="101">
        <v>62</v>
      </c>
      <c r="B1129" s="102"/>
      <c r="C1129" s="96" t="s">
        <v>6</v>
      </c>
      <c r="D1129" s="97"/>
    </row>
    <row r="1130" spans="1:4" ht="42.75" customHeight="1" thickBot="1">
      <c r="A1130" s="103"/>
      <c r="B1130" s="104"/>
      <c r="C1130" s="96" t="s">
        <v>21</v>
      </c>
      <c r="D1130" s="97"/>
    </row>
    <row r="1131" spans="1:4" ht="42.75" customHeight="1" thickBot="1">
      <c r="A1131" s="105">
        <f>A1129*A1128</f>
        <v>1550</v>
      </c>
      <c r="B1131" s="106"/>
      <c r="C1131" s="96" t="s">
        <v>7</v>
      </c>
      <c r="D1131" s="97"/>
    </row>
    <row r="1132" spans="1:4" ht="42.75" customHeight="1" thickBot="1">
      <c r="A1132" s="107" t="s">
        <v>17</v>
      </c>
      <c r="B1132" s="108"/>
      <c r="C1132" s="108"/>
      <c r="D1132" s="109"/>
    </row>
    <row r="1133" spans="1:4" ht="42.75" customHeight="1" thickBot="1">
      <c r="A1133" s="110" t="s">
        <v>20</v>
      </c>
      <c r="B1133" s="111"/>
      <c r="C1133" s="111"/>
      <c r="D1133" s="112"/>
    </row>
    <row r="1134" spans="1:4" ht="42.75" customHeight="1" thickBot="1">
      <c r="A1134" s="113" t="s">
        <v>18</v>
      </c>
      <c r="B1134" s="114"/>
      <c r="C1134" s="114"/>
      <c r="D1134" s="115"/>
    </row>
    <row r="1135" spans="1:4" ht="42.75" customHeight="1" thickBot="1">
      <c r="A1135" s="126" t="s">
        <v>19</v>
      </c>
      <c r="B1135" s="127"/>
      <c r="C1135" s="127"/>
      <c r="D1135" s="128"/>
    </row>
    <row r="1136" spans="1:4" ht="42.75" customHeight="1" thickBot="1">
      <c r="A1136" s="123" t="s">
        <v>11</v>
      </c>
      <c r="B1136" s="124"/>
      <c r="C1136" s="125" t="s">
        <v>603</v>
      </c>
      <c r="D1136" s="124"/>
    </row>
    <row r="1137" spans="1:4" ht="42.75" customHeight="1" thickBot="1">
      <c r="A1137" s="1" t="s">
        <v>686</v>
      </c>
      <c r="B1137" s="26" t="s">
        <v>1</v>
      </c>
      <c r="C1137" s="90" t="s">
        <v>544</v>
      </c>
      <c r="D1137" s="91"/>
    </row>
    <row r="1138" spans="1:4" ht="42.75" customHeight="1" thickBot="1">
      <c r="A1138" s="26"/>
      <c r="B1138" s="26" t="s">
        <v>0</v>
      </c>
      <c r="C1138" s="5" t="s">
        <v>687</v>
      </c>
      <c r="D1138" s="4" t="s">
        <v>2</v>
      </c>
    </row>
    <row r="1139" spans="1:4" ht="42.75" customHeight="1" thickBot="1">
      <c r="A1139" s="92">
        <v>2465</v>
      </c>
      <c r="B1139" s="93"/>
      <c r="C1139" s="94" t="s">
        <v>3</v>
      </c>
      <c r="D1139" s="95"/>
    </row>
    <row r="1140" spans="1:4" ht="42.75" customHeight="1" thickBot="1">
      <c r="A1140" s="92">
        <v>2490</v>
      </c>
      <c r="B1140" s="93"/>
      <c r="C1140" s="96" t="s">
        <v>4</v>
      </c>
      <c r="D1140" s="97"/>
    </row>
    <row r="1141" spans="1:4" ht="42.75" customHeight="1" thickBot="1">
      <c r="A1141" s="98">
        <f>A1140-A1139</f>
        <v>25</v>
      </c>
      <c r="B1141" s="99"/>
      <c r="C1141" s="100" t="s">
        <v>5</v>
      </c>
      <c r="D1141" s="97"/>
    </row>
    <row r="1142" spans="1:4" ht="42.75" customHeight="1" thickBot="1">
      <c r="A1142" s="101">
        <v>55</v>
      </c>
      <c r="B1142" s="102"/>
      <c r="C1142" s="96" t="s">
        <v>6</v>
      </c>
      <c r="D1142" s="97"/>
    </row>
    <row r="1143" spans="1:4" ht="42.75" customHeight="1" thickBot="1">
      <c r="A1143" s="103"/>
      <c r="B1143" s="104"/>
      <c r="C1143" s="96" t="s">
        <v>21</v>
      </c>
      <c r="D1143" s="97"/>
    </row>
    <row r="1144" spans="1:4" ht="42.75" customHeight="1" thickBot="1">
      <c r="A1144" s="105">
        <v>1400</v>
      </c>
      <c r="B1144" s="106"/>
      <c r="C1144" s="96" t="s">
        <v>7</v>
      </c>
      <c r="D1144" s="97"/>
    </row>
    <row r="1145" spans="1:4" ht="42.75" customHeight="1" thickBot="1">
      <c r="A1145" s="107" t="s">
        <v>17</v>
      </c>
      <c r="B1145" s="108"/>
      <c r="C1145" s="108"/>
      <c r="D1145" s="109"/>
    </row>
    <row r="1146" spans="1:4" ht="42.75" customHeight="1" thickBot="1">
      <c r="A1146" s="116" t="s">
        <v>20</v>
      </c>
      <c r="B1146" s="117"/>
      <c r="C1146" s="117"/>
      <c r="D1146" s="118"/>
    </row>
    <row r="1147" spans="1:4" ht="42.75" customHeight="1" thickBot="1">
      <c r="A1147" s="113" t="s">
        <v>18</v>
      </c>
      <c r="B1147" s="114"/>
      <c r="C1147" s="114"/>
      <c r="D1147" s="115"/>
    </row>
    <row r="1148" spans="1:4" ht="42.75" customHeight="1" thickBot="1">
      <c r="A1148" s="119"/>
      <c r="B1148" s="119"/>
      <c r="C1148" s="119"/>
      <c r="D1148" s="119"/>
    </row>
    <row r="1149" spans="1:4" ht="42.75" customHeight="1" thickBot="1">
      <c r="A1149" s="126" t="s">
        <v>19</v>
      </c>
      <c r="B1149" s="127"/>
      <c r="C1149" s="127"/>
      <c r="D1149" s="128"/>
    </row>
    <row r="1150" spans="1:4" ht="42.75" customHeight="1" thickBot="1">
      <c r="A1150" s="123" t="s">
        <v>11</v>
      </c>
      <c r="B1150" s="124"/>
      <c r="C1150" s="125" t="s">
        <v>603</v>
      </c>
      <c r="D1150" s="124"/>
    </row>
    <row r="1151" spans="1:4" ht="42.75" customHeight="1" thickBot="1">
      <c r="A1151" s="1" t="s">
        <v>686</v>
      </c>
      <c r="B1151" s="26" t="s">
        <v>1</v>
      </c>
      <c r="C1151" s="90" t="s">
        <v>544</v>
      </c>
      <c r="D1151" s="91"/>
    </row>
    <row r="1152" spans="1:4" ht="42.75" customHeight="1" thickBot="1">
      <c r="A1152" s="26"/>
      <c r="B1152" s="26" t="s">
        <v>0</v>
      </c>
      <c r="C1152" s="5" t="s">
        <v>687</v>
      </c>
      <c r="D1152" s="4" t="s">
        <v>2</v>
      </c>
    </row>
    <row r="1153" spans="1:4" ht="42.75" customHeight="1" thickBot="1">
      <c r="A1153" s="92">
        <v>2465</v>
      </c>
      <c r="B1153" s="93"/>
      <c r="C1153" s="94" t="s">
        <v>3</v>
      </c>
      <c r="D1153" s="95"/>
    </row>
    <row r="1154" spans="1:4" ht="42.75" customHeight="1" thickBot="1">
      <c r="A1154" s="92">
        <v>2490</v>
      </c>
      <c r="B1154" s="93"/>
      <c r="C1154" s="96" t="s">
        <v>4</v>
      </c>
      <c r="D1154" s="97"/>
    </row>
    <row r="1155" spans="1:4" ht="42.75" customHeight="1" thickBot="1">
      <c r="A1155" s="98">
        <f>A1154-A1153</f>
        <v>25</v>
      </c>
      <c r="B1155" s="99"/>
      <c r="C1155" s="100" t="s">
        <v>5</v>
      </c>
      <c r="D1155" s="97"/>
    </row>
    <row r="1156" spans="1:4" ht="42.75" customHeight="1" thickBot="1">
      <c r="A1156" s="101">
        <v>62</v>
      </c>
      <c r="B1156" s="102"/>
      <c r="C1156" s="96" t="s">
        <v>6</v>
      </c>
      <c r="D1156" s="97"/>
    </row>
    <row r="1157" spans="1:4" ht="42.75" customHeight="1" thickBot="1">
      <c r="A1157" s="103"/>
      <c r="B1157" s="104"/>
      <c r="C1157" s="96" t="s">
        <v>21</v>
      </c>
      <c r="D1157" s="97"/>
    </row>
    <row r="1158" spans="1:4" ht="42.75" customHeight="1" thickBot="1">
      <c r="A1158" s="105">
        <f>A1156*A1155</f>
        <v>1550</v>
      </c>
      <c r="B1158" s="106"/>
      <c r="C1158" s="96" t="s">
        <v>7</v>
      </c>
      <c r="D1158" s="97"/>
    </row>
    <row r="1159" spans="1:4" ht="42.75" customHeight="1" thickBot="1">
      <c r="A1159" s="107" t="s">
        <v>17</v>
      </c>
      <c r="B1159" s="108"/>
      <c r="C1159" s="108"/>
      <c r="D1159" s="109"/>
    </row>
    <row r="1160" spans="1:4" ht="42.75" customHeight="1" thickBot="1">
      <c r="A1160" s="110" t="s">
        <v>20</v>
      </c>
      <c r="B1160" s="111"/>
      <c r="C1160" s="111"/>
      <c r="D1160" s="112"/>
    </row>
    <row r="1161" spans="1:4" ht="42.75" customHeight="1" thickBot="1">
      <c r="A1161" s="113" t="s">
        <v>18</v>
      </c>
      <c r="B1161" s="114"/>
      <c r="C1161" s="114"/>
      <c r="D1161" s="115"/>
    </row>
    <row r="1162" spans="1:4" ht="42.75" customHeight="1" thickBot="1">
      <c r="A1162" s="126" t="s">
        <v>19</v>
      </c>
      <c r="B1162" s="127"/>
      <c r="C1162" s="127"/>
      <c r="D1162" s="128"/>
    </row>
    <row r="1163" spans="1:4" ht="42.75" customHeight="1" thickBot="1">
      <c r="A1163" s="123" t="s">
        <v>11</v>
      </c>
      <c r="B1163" s="124"/>
      <c r="C1163" s="125" t="s">
        <v>603</v>
      </c>
      <c r="D1163" s="124"/>
    </row>
    <row r="1164" spans="1:4" ht="42.75" customHeight="1" thickBot="1">
      <c r="A1164" s="1" t="s">
        <v>686</v>
      </c>
      <c r="B1164" s="26" t="s">
        <v>1</v>
      </c>
      <c r="C1164" s="90" t="s">
        <v>545</v>
      </c>
      <c r="D1164" s="91"/>
    </row>
    <row r="1165" spans="1:4" ht="42.75" customHeight="1" thickBot="1">
      <c r="A1165" s="26"/>
      <c r="B1165" s="26" t="s">
        <v>0</v>
      </c>
      <c r="C1165" s="5" t="s">
        <v>687</v>
      </c>
      <c r="D1165" s="4" t="s">
        <v>2</v>
      </c>
    </row>
    <row r="1166" spans="1:4" ht="42.75" customHeight="1" thickBot="1">
      <c r="A1166" s="92">
        <v>695</v>
      </c>
      <c r="B1166" s="93"/>
      <c r="C1166" s="94" t="s">
        <v>3</v>
      </c>
      <c r="D1166" s="95"/>
    </row>
    <row r="1167" spans="1:4" ht="42.75" customHeight="1" thickBot="1">
      <c r="A1167" s="92">
        <v>701</v>
      </c>
      <c r="B1167" s="93"/>
      <c r="C1167" s="96" t="s">
        <v>4</v>
      </c>
      <c r="D1167" s="97"/>
    </row>
    <row r="1168" spans="1:4" ht="42.75" customHeight="1" thickBot="1">
      <c r="A1168" s="98">
        <v>10</v>
      </c>
      <c r="B1168" s="99"/>
      <c r="C1168" s="100" t="s">
        <v>5</v>
      </c>
      <c r="D1168" s="97"/>
    </row>
    <row r="1169" spans="1:4" ht="42.75" customHeight="1" thickBot="1">
      <c r="A1169" s="101">
        <v>62</v>
      </c>
      <c r="B1169" s="102"/>
      <c r="C1169" s="96" t="s">
        <v>6</v>
      </c>
      <c r="D1169" s="97"/>
    </row>
    <row r="1170" spans="1:4" ht="42.75" customHeight="1" thickBot="1">
      <c r="A1170" s="103"/>
      <c r="B1170" s="104"/>
      <c r="C1170" s="96" t="s">
        <v>21</v>
      </c>
      <c r="D1170" s="97"/>
    </row>
    <row r="1171" spans="1:4" ht="42.75" customHeight="1" thickBot="1">
      <c r="A1171" s="105">
        <v>600</v>
      </c>
      <c r="B1171" s="106"/>
      <c r="C1171" s="96" t="s">
        <v>7</v>
      </c>
      <c r="D1171" s="97"/>
    </row>
    <row r="1172" spans="1:4" ht="42.75" customHeight="1" thickBot="1">
      <c r="A1172" s="107" t="s">
        <v>17</v>
      </c>
      <c r="B1172" s="108"/>
      <c r="C1172" s="108"/>
      <c r="D1172" s="109"/>
    </row>
    <row r="1173" spans="1:4" ht="42.75" customHeight="1" thickBot="1">
      <c r="A1173" s="116" t="s">
        <v>20</v>
      </c>
      <c r="B1173" s="117"/>
      <c r="C1173" s="117"/>
      <c r="D1173" s="118"/>
    </row>
    <row r="1174" spans="1:4" ht="42.75" customHeight="1" thickBot="1">
      <c r="A1174" s="113" t="s">
        <v>18</v>
      </c>
      <c r="B1174" s="114"/>
      <c r="C1174" s="114"/>
      <c r="D1174" s="115"/>
    </row>
    <row r="1175" spans="1:4" ht="42.75" customHeight="1" thickBot="1">
      <c r="A1175" s="119"/>
      <c r="B1175" s="119"/>
      <c r="C1175" s="119"/>
      <c r="D1175" s="119"/>
    </row>
    <row r="1176" spans="1:4" ht="42.75" customHeight="1" thickBot="1">
      <c r="A1176" s="126" t="s">
        <v>19</v>
      </c>
      <c r="B1176" s="127"/>
      <c r="C1176" s="127"/>
      <c r="D1176" s="128"/>
    </row>
    <row r="1177" spans="1:4" ht="42.75" customHeight="1" thickBot="1">
      <c r="A1177" s="123" t="s">
        <v>11</v>
      </c>
      <c r="B1177" s="124"/>
      <c r="C1177" s="125" t="s">
        <v>603</v>
      </c>
      <c r="D1177" s="124"/>
    </row>
    <row r="1178" spans="1:4" ht="42.75" customHeight="1" thickBot="1">
      <c r="A1178" s="1" t="s">
        <v>686</v>
      </c>
      <c r="B1178" s="26" t="s">
        <v>1</v>
      </c>
      <c r="C1178" s="90" t="s">
        <v>545</v>
      </c>
      <c r="D1178" s="91"/>
    </row>
    <row r="1179" spans="1:4" ht="42.75" customHeight="1" thickBot="1">
      <c r="A1179" s="26"/>
      <c r="B1179" s="26" t="s">
        <v>0</v>
      </c>
      <c r="C1179" s="5" t="s">
        <v>687</v>
      </c>
      <c r="D1179" s="4" t="s">
        <v>2</v>
      </c>
    </row>
    <row r="1180" spans="1:4" ht="42.75" customHeight="1" thickBot="1">
      <c r="A1180" s="92">
        <v>695</v>
      </c>
      <c r="B1180" s="93"/>
      <c r="C1180" s="94" t="s">
        <v>3</v>
      </c>
      <c r="D1180" s="95"/>
    </row>
    <row r="1181" spans="1:4" ht="42.75" customHeight="1" thickBot="1">
      <c r="A1181" s="92">
        <v>701</v>
      </c>
      <c r="B1181" s="93"/>
      <c r="C1181" s="96" t="s">
        <v>4</v>
      </c>
      <c r="D1181" s="97"/>
    </row>
    <row r="1182" spans="1:4" ht="42.75" customHeight="1" thickBot="1">
      <c r="A1182" s="98">
        <v>10</v>
      </c>
      <c r="B1182" s="99"/>
      <c r="C1182" s="100" t="s">
        <v>5</v>
      </c>
      <c r="D1182" s="97"/>
    </row>
    <row r="1183" spans="1:4" ht="42.75" customHeight="1" thickBot="1">
      <c r="A1183" s="101">
        <v>62</v>
      </c>
      <c r="B1183" s="102"/>
      <c r="C1183" s="96" t="s">
        <v>6</v>
      </c>
      <c r="D1183" s="97"/>
    </row>
    <row r="1184" spans="1:4" ht="42.75" customHeight="1" thickBot="1">
      <c r="A1184" s="103"/>
      <c r="B1184" s="104"/>
      <c r="C1184" s="96" t="s">
        <v>21</v>
      </c>
      <c r="D1184" s="97"/>
    </row>
    <row r="1185" spans="1:4" ht="42.75" customHeight="1" thickBot="1">
      <c r="A1185" s="105">
        <v>600</v>
      </c>
      <c r="B1185" s="106"/>
      <c r="C1185" s="96" t="s">
        <v>7</v>
      </c>
      <c r="D1185" s="97"/>
    </row>
    <row r="1186" spans="1:4" ht="42.75" customHeight="1" thickBot="1">
      <c r="A1186" s="107" t="s">
        <v>17</v>
      </c>
      <c r="B1186" s="108"/>
      <c r="C1186" s="108"/>
      <c r="D1186" s="109"/>
    </row>
    <row r="1187" spans="1:4" ht="42.75" customHeight="1" thickBot="1">
      <c r="A1187" s="110" t="s">
        <v>20</v>
      </c>
      <c r="B1187" s="111"/>
      <c r="C1187" s="111"/>
      <c r="D1187" s="112"/>
    </row>
    <row r="1188" spans="1:4" ht="42.75" customHeight="1" thickBot="1">
      <c r="A1188" s="113" t="s">
        <v>18</v>
      </c>
      <c r="B1188" s="114"/>
      <c r="C1188" s="114"/>
      <c r="D1188" s="115"/>
    </row>
    <row r="1189" spans="1:4" ht="42.75" customHeight="1" thickBot="1">
      <c r="A1189" s="126" t="s">
        <v>19</v>
      </c>
      <c r="B1189" s="127"/>
      <c r="C1189" s="127"/>
      <c r="D1189" s="128"/>
    </row>
    <row r="1190" spans="1:4" ht="42.75" customHeight="1" thickBot="1">
      <c r="A1190" s="123" t="s">
        <v>11</v>
      </c>
      <c r="B1190" s="124"/>
      <c r="C1190" s="125" t="s">
        <v>603</v>
      </c>
      <c r="D1190" s="124"/>
    </row>
    <row r="1191" spans="1:4" ht="42.75" customHeight="1" thickBot="1">
      <c r="A1191" s="1" t="s">
        <v>686</v>
      </c>
      <c r="B1191" s="26" t="s">
        <v>1</v>
      </c>
      <c r="C1191" s="90" t="s">
        <v>286</v>
      </c>
      <c r="D1191" s="91"/>
    </row>
    <row r="1192" spans="1:4" ht="42.75" customHeight="1" thickBot="1">
      <c r="A1192" s="26"/>
      <c r="B1192" s="26" t="s">
        <v>0</v>
      </c>
      <c r="C1192" s="5" t="s">
        <v>687</v>
      </c>
      <c r="D1192" s="4" t="s">
        <v>2</v>
      </c>
    </row>
    <row r="1193" spans="1:4" ht="42.75" customHeight="1" thickBot="1">
      <c r="A1193" s="92">
        <v>885</v>
      </c>
      <c r="B1193" s="93"/>
      <c r="C1193" s="94" t="s">
        <v>3</v>
      </c>
      <c r="D1193" s="95"/>
    </row>
    <row r="1194" spans="1:4" ht="42.75" customHeight="1" thickBot="1">
      <c r="A1194" s="92">
        <v>915</v>
      </c>
      <c r="B1194" s="93"/>
      <c r="C1194" s="96" t="s">
        <v>4</v>
      </c>
      <c r="D1194" s="97"/>
    </row>
    <row r="1195" spans="1:4" ht="42.75" customHeight="1" thickBot="1">
      <c r="A1195" s="98">
        <f>A1194-A1193</f>
        <v>30</v>
      </c>
      <c r="B1195" s="99"/>
      <c r="C1195" s="100" t="s">
        <v>5</v>
      </c>
      <c r="D1195" s="97"/>
    </row>
    <row r="1196" spans="1:4" ht="42.75" customHeight="1" thickBot="1">
      <c r="A1196" s="101">
        <v>62</v>
      </c>
      <c r="B1196" s="102"/>
      <c r="C1196" s="96" t="s">
        <v>6</v>
      </c>
      <c r="D1196" s="97"/>
    </row>
    <row r="1197" spans="1:4" ht="42.75" customHeight="1" thickBot="1">
      <c r="A1197" s="103"/>
      <c r="B1197" s="104"/>
      <c r="C1197" s="96" t="s">
        <v>21</v>
      </c>
      <c r="D1197" s="97"/>
    </row>
    <row r="1198" spans="1:4" ht="42.75" customHeight="1" thickBot="1">
      <c r="A1198" s="105">
        <v>1850</v>
      </c>
      <c r="B1198" s="106"/>
      <c r="C1198" s="96" t="s">
        <v>7</v>
      </c>
      <c r="D1198" s="97"/>
    </row>
    <row r="1199" spans="1:4" ht="42.75" customHeight="1" thickBot="1">
      <c r="A1199" s="107" t="s">
        <v>17</v>
      </c>
      <c r="B1199" s="108"/>
      <c r="C1199" s="108"/>
      <c r="D1199" s="109"/>
    </row>
    <row r="1200" spans="1:4" ht="42.75" customHeight="1" thickBot="1">
      <c r="A1200" s="116" t="s">
        <v>20</v>
      </c>
      <c r="B1200" s="117"/>
      <c r="C1200" s="117"/>
      <c r="D1200" s="118"/>
    </row>
    <row r="1201" spans="1:4" ht="42.75" customHeight="1" thickBot="1">
      <c r="A1201" s="113" t="s">
        <v>18</v>
      </c>
      <c r="B1201" s="114"/>
      <c r="C1201" s="114"/>
      <c r="D1201" s="115"/>
    </row>
    <row r="1202" spans="1:4" ht="42.75" customHeight="1" thickBot="1">
      <c r="A1202" s="119"/>
      <c r="B1202" s="119"/>
      <c r="C1202" s="119"/>
      <c r="D1202" s="119"/>
    </row>
    <row r="1203" spans="1:4" ht="42.75" customHeight="1" thickBot="1">
      <c r="A1203" s="126" t="s">
        <v>19</v>
      </c>
      <c r="B1203" s="127"/>
      <c r="C1203" s="127"/>
      <c r="D1203" s="128"/>
    </row>
    <row r="1204" spans="1:4" ht="42.75" customHeight="1" thickBot="1">
      <c r="A1204" s="123" t="s">
        <v>11</v>
      </c>
      <c r="B1204" s="124"/>
      <c r="C1204" s="125" t="s">
        <v>603</v>
      </c>
      <c r="D1204" s="124"/>
    </row>
    <row r="1205" spans="1:4" ht="42.75" customHeight="1" thickBot="1">
      <c r="A1205" s="1" t="s">
        <v>686</v>
      </c>
      <c r="B1205" s="26" t="s">
        <v>1</v>
      </c>
      <c r="C1205" s="90" t="s">
        <v>286</v>
      </c>
      <c r="D1205" s="91"/>
    </row>
    <row r="1206" spans="1:4" ht="42.75" customHeight="1" thickBot="1">
      <c r="A1206" s="26"/>
      <c r="B1206" s="26" t="s">
        <v>0</v>
      </c>
      <c r="C1206" s="5" t="s">
        <v>687</v>
      </c>
      <c r="D1206" s="4" t="s">
        <v>2</v>
      </c>
    </row>
    <row r="1207" spans="1:4" ht="42.75" customHeight="1" thickBot="1">
      <c r="A1207" s="92">
        <v>885</v>
      </c>
      <c r="B1207" s="93"/>
      <c r="C1207" s="94" t="s">
        <v>3</v>
      </c>
      <c r="D1207" s="95"/>
    </row>
    <row r="1208" spans="1:4" ht="42.75" customHeight="1" thickBot="1">
      <c r="A1208" s="92">
        <v>915</v>
      </c>
      <c r="B1208" s="93"/>
      <c r="C1208" s="96" t="s">
        <v>4</v>
      </c>
      <c r="D1208" s="97"/>
    </row>
    <row r="1209" spans="1:4" ht="42.75" customHeight="1" thickBot="1">
      <c r="A1209" s="98">
        <f>A1208-A1207</f>
        <v>30</v>
      </c>
      <c r="B1209" s="99"/>
      <c r="C1209" s="100" t="s">
        <v>5</v>
      </c>
      <c r="D1209" s="97"/>
    </row>
    <row r="1210" spans="1:4" ht="42.75" customHeight="1" thickBot="1">
      <c r="A1210" s="101">
        <v>62</v>
      </c>
      <c r="B1210" s="102"/>
      <c r="C1210" s="96" t="s">
        <v>6</v>
      </c>
      <c r="D1210" s="97"/>
    </row>
    <row r="1211" spans="1:4" ht="42.75" customHeight="1" thickBot="1">
      <c r="A1211" s="103"/>
      <c r="B1211" s="104"/>
      <c r="C1211" s="96" t="s">
        <v>21</v>
      </c>
      <c r="D1211" s="97"/>
    </row>
    <row r="1212" spans="1:4" ht="42.75" customHeight="1" thickBot="1">
      <c r="A1212" s="105">
        <v>1850</v>
      </c>
      <c r="B1212" s="106"/>
      <c r="C1212" s="96" t="s">
        <v>7</v>
      </c>
      <c r="D1212" s="97"/>
    </row>
    <row r="1213" spans="1:4" ht="42.75" customHeight="1" thickBot="1">
      <c r="A1213" s="107" t="s">
        <v>17</v>
      </c>
      <c r="B1213" s="108"/>
      <c r="C1213" s="108"/>
      <c r="D1213" s="109"/>
    </row>
    <row r="1214" spans="1:4" ht="42.75" customHeight="1" thickBot="1">
      <c r="A1214" s="110" t="s">
        <v>20</v>
      </c>
      <c r="B1214" s="111"/>
      <c r="C1214" s="111"/>
      <c r="D1214" s="112"/>
    </row>
    <row r="1215" spans="1:4" ht="42.75" customHeight="1" thickBot="1">
      <c r="A1215" s="113" t="s">
        <v>18</v>
      </c>
      <c r="B1215" s="114"/>
      <c r="C1215" s="114"/>
      <c r="D1215" s="115"/>
    </row>
    <row r="1216" spans="1:4" ht="42.75" customHeight="1" thickBot="1">
      <c r="A1216" s="126" t="s">
        <v>19</v>
      </c>
      <c r="B1216" s="127"/>
      <c r="C1216" s="127"/>
      <c r="D1216" s="128"/>
    </row>
    <row r="1217" spans="1:4" ht="42.75" customHeight="1" thickBot="1">
      <c r="A1217" s="123" t="s">
        <v>11</v>
      </c>
      <c r="B1217" s="124"/>
      <c r="C1217" s="125" t="s">
        <v>603</v>
      </c>
      <c r="D1217" s="124"/>
    </row>
    <row r="1218" spans="1:4" ht="42.75" customHeight="1" thickBot="1">
      <c r="A1218" s="1" t="s">
        <v>686</v>
      </c>
      <c r="B1218" s="26" t="s">
        <v>1</v>
      </c>
      <c r="C1218" s="90" t="s">
        <v>379</v>
      </c>
      <c r="D1218" s="91"/>
    </row>
    <row r="1219" spans="1:4" ht="42.75" customHeight="1" thickBot="1">
      <c r="A1219" s="26"/>
      <c r="B1219" s="26" t="s">
        <v>0</v>
      </c>
      <c r="C1219" s="5" t="s">
        <v>687</v>
      </c>
      <c r="D1219" s="4" t="s">
        <v>2</v>
      </c>
    </row>
    <row r="1220" spans="1:4" ht="42.75" customHeight="1" thickBot="1">
      <c r="A1220" s="92">
        <v>7480</v>
      </c>
      <c r="B1220" s="93"/>
      <c r="C1220" s="94" t="s">
        <v>3</v>
      </c>
      <c r="D1220" s="95"/>
    </row>
    <row r="1221" spans="1:4" ht="42.75" customHeight="1" thickBot="1">
      <c r="A1221" s="92">
        <v>7870</v>
      </c>
      <c r="B1221" s="93"/>
      <c r="C1221" s="96" t="s">
        <v>4</v>
      </c>
      <c r="D1221" s="97"/>
    </row>
    <row r="1222" spans="1:4" ht="42.75" customHeight="1" thickBot="1">
      <c r="A1222" s="98">
        <f>A1221-A1220</f>
        <v>390</v>
      </c>
      <c r="B1222" s="99"/>
      <c r="C1222" s="100" t="s">
        <v>5</v>
      </c>
      <c r="D1222" s="97"/>
    </row>
    <row r="1223" spans="1:4" ht="42.75" customHeight="1" thickBot="1">
      <c r="A1223" s="101">
        <v>50</v>
      </c>
      <c r="B1223" s="102"/>
      <c r="C1223" s="96" t="s">
        <v>6</v>
      </c>
      <c r="D1223" s="97"/>
    </row>
    <row r="1224" spans="1:4" ht="42.75" customHeight="1" thickBot="1">
      <c r="A1224" s="103"/>
      <c r="B1224" s="104"/>
      <c r="C1224" s="96" t="s">
        <v>21</v>
      </c>
      <c r="D1224" s="97"/>
    </row>
    <row r="1225" spans="1:4" ht="42.75" customHeight="1" thickBot="1">
      <c r="A1225" s="105">
        <f>A1223*A1222</f>
        <v>19500</v>
      </c>
      <c r="B1225" s="106"/>
      <c r="C1225" s="96" t="s">
        <v>7</v>
      </c>
      <c r="D1225" s="97"/>
    </row>
    <row r="1226" spans="1:4" ht="42.75" customHeight="1" thickBot="1">
      <c r="A1226" s="107" t="s">
        <v>17</v>
      </c>
      <c r="B1226" s="108"/>
      <c r="C1226" s="108"/>
      <c r="D1226" s="109"/>
    </row>
    <row r="1227" spans="1:4" ht="42.75" customHeight="1" thickBot="1">
      <c r="A1227" s="116" t="s">
        <v>20</v>
      </c>
      <c r="B1227" s="117"/>
      <c r="C1227" s="117"/>
      <c r="D1227" s="118"/>
    </row>
    <row r="1228" spans="1:4" ht="42.75" customHeight="1" thickBot="1">
      <c r="A1228" s="113" t="s">
        <v>18</v>
      </c>
      <c r="B1228" s="114"/>
      <c r="C1228" s="114"/>
      <c r="D1228" s="115"/>
    </row>
    <row r="1229" spans="1:4" ht="42.75" customHeight="1" thickBot="1">
      <c r="A1229" s="119"/>
      <c r="B1229" s="119"/>
      <c r="C1229" s="119"/>
      <c r="D1229" s="119"/>
    </row>
    <row r="1230" spans="1:4" ht="42.75" customHeight="1" thickBot="1">
      <c r="A1230" s="126" t="s">
        <v>19</v>
      </c>
      <c r="B1230" s="127"/>
      <c r="C1230" s="127"/>
      <c r="D1230" s="128"/>
    </row>
    <row r="1231" spans="1:4" ht="42.75" customHeight="1" thickBot="1">
      <c r="A1231" s="123" t="s">
        <v>11</v>
      </c>
      <c r="B1231" s="124"/>
      <c r="C1231" s="125" t="s">
        <v>603</v>
      </c>
      <c r="D1231" s="124"/>
    </row>
    <row r="1232" spans="1:4" ht="42.75" customHeight="1" thickBot="1">
      <c r="A1232" s="1" t="s">
        <v>686</v>
      </c>
      <c r="B1232" s="26" t="s">
        <v>1</v>
      </c>
      <c r="C1232" s="90" t="s">
        <v>379</v>
      </c>
      <c r="D1232" s="91"/>
    </row>
    <row r="1233" spans="1:4" ht="42.75" customHeight="1" thickBot="1">
      <c r="A1233" s="26"/>
      <c r="B1233" s="26" t="s">
        <v>0</v>
      </c>
      <c r="C1233" s="5" t="s">
        <v>687</v>
      </c>
      <c r="D1233" s="4" t="s">
        <v>2</v>
      </c>
    </row>
    <row r="1234" spans="1:4" ht="42.75" customHeight="1" thickBot="1">
      <c r="A1234" s="92">
        <v>7480</v>
      </c>
      <c r="B1234" s="93"/>
      <c r="C1234" s="94" t="s">
        <v>3</v>
      </c>
      <c r="D1234" s="95"/>
    </row>
    <row r="1235" spans="1:4" ht="42.75" customHeight="1" thickBot="1">
      <c r="A1235" s="92">
        <v>7870</v>
      </c>
      <c r="B1235" s="93"/>
      <c r="C1235" s="96" t="s">
        <v>4</v>
      </c>
      <c r="D1235" s="97"/>
    </row>
    <row r="1236" spans="1:4" ht="42.75" customHeight="1" thickBot="1">
      <c r="A1236" s="98">
        <f>A1235-A1234</f>
        <v>390</v>
      </c>
      <c r="B1236" s="99"/>
      <c r="C1236" s="100" t="s">
        <v>5</v>
      </c>
      <c r="D1236" s="97"/>
    </row>
    <row r="1237" spans="1:4" ht="42.75" customHeight="1" thickBot="1">
      <c r="A1237" s="101">
        <v>62</v>
      </c>
      <c r="B1237" s="102"/>
      <c r="C1237" s="96" t="s">
        <v>6</v>
      </c>
      <c r="D1237" s="97"/>
    </row>
    <row r="1238" spans="1:4" ht="42.75" customHeight="1" thickBot="1">
      <c r="A1238" s="103"/>
      <c r="B1238" s="104"/>
      <c r="C1238" s="96" t="s">
        <v>21</v>
      </c>
      <c r="D1238" s="97"/>
    </row>
    <row r="1239" spans="1:4" ht="42.75" customHeight="1" thickBot="1">
      <c r="A1239" s="105">
        <f>A1237*A1236</f>
        <v>24180</v>
      </c>
      <c r="B1239" s="106"/>
      <c r="C1239" s="96" t="s">
        <v>7</v>
      </c>
      <c r="D1239" s="97"/>
    </row>
    <row r="1240" spans="1:4" ht="42.75" customHeight="1" thickBot="1">
      <c r="A1240" s="107" t="s">
        <v>17</v>
      </c>
      <c r="B1240" s="108"/>
      <c r="C1240" s="108"/>
      <c r="D1240" s="109"/>
    </row>
    <row r="1241" spans="1:4" ht="42.75" customHeight="1" thickBot="1">
      <c r="A1241" s="110" t="s">
        <v>20</v>
      </c>
      <c r="B1241" s="111"/>
      <c r="C1241" s="111"/>
      <c r="D1241" s="112"/>
    </row>
    <row r="1242" spans="1:4" ht="42.75" customHeight="1" thickBot="1">
      <c r="A1242" s="113" t="s">
        <v>18</v>
      </c>
      <c r="B1242" s="114"/>
      <c r="C1242" s="114"/>
      <c r="D1242" s="115"/>
    </row>
    <row r="1243" spans="1:4" ht="42.75" customHeight="1" thickBot="1">
      <c r="A1243" s="126" t="s">
        <v>19</v>
      </c>
      <c r="B1243" s="127"/>
      <c r="C1243" s="127"/>
      <c r="D1243" s="128"/>
    </row>
    <row r="1244" spans="1:4" ht="42.75" customHeight="1" thickBot="1">
      <c r="A1244" s="123" t="s">
        <v>11</v>
      </c>
      <c r="B1244" s="124"/>
      <c r="C1244" s="125" t="s">
        <v>603</v>
      </c>
      <c r="D1244" s="124"/>
    </row>
    <row r="1245" spans="1:4" ht="42.75" customHeight="1" thickBot="1">
      <c r="A1245" s="1" t="s">
        <v>686</v>
      </c>
      <c r="B1245" s="26" t="s">
        <v>1</v>
      </c>
      <c r="C1245" s="90" t="s">
        <v>380</v>
      </c>
      <c r="D1245" s="91"/>
    </row>
    <row r="1246" spans="1:4" ht="42.75" customHeight="1" thickBot="1">
      <c r="A1246" s="26"/>
      <c r="B1246" s="26" t="s">
        <v>0</v>
      </c>
      <c r="C1246" s="5" t="s">
        <v>687</v>
      </c>
      <c r="D1246" s="4" t="s">
        <v>2</v>
      </c>
    </row>
    <row r="1247" spans="1:4" ht="42.75" customHeight="1" thickBot="1">
      <c r="A1247" s="92">
        <v>495</v>
      </c>
      <c r="B1247" s="93"/>
      <c r="C1247" s="94" t="s">
        <v>3</v>
      </c>
      <c r="D1247" s="95"/>
    </row>
    <row r="1248" spans="1:4" ht="42.75" customHeight="1" thickBot="1">
      <c r="A1248" s="92">
        <v>515</v>
      </c>
      <c r="B1248" s="93"/>
      <c r="C1248" s="96" t="s">
        <v>4</v>
      </c>
      <c r="D1248" s="97"/>
    </row>
    <row r="1249" spans="1:4" ht="42.75" customHeight="1" thickBot="1">
      <c r="A1249" s="98">
        <f>A1248-A1247</f>
        <v>20</v>
      </c>
      <c r="B1249" s="99"/>
      <c r="C1249" s="100" t="s">
        <v>5</v>
      </c>
      <c r="D1249" s="97"/>
    </row>
    <row r="1250" spans="1:4" ht="42.75" customHeight="1" thickBot="1">
      <c r="A1250" s="101">
        <v>62</v>
      </c>
      <c r="B1250" s="102"/>
      <c r="C1250" s="96" t="s">
        <v>6</v>
      </c>
      <c r="D1250" s="97"/>
    </row>
    <row r="1251" spans="1:4" ht="42.75" customHeight="1" thickBot="1">
      <c r="A1251" s="103"/>
      <c r="B1251" s="104"/>
      <c r="C1251" s="96" t="s">
        <v>21</v>
      </c>
      <c r="D1251" s="97"/>
    </row>
    <row r="1252" spans="1:4" ht="42.75" customHeight="1" thickBot="1">
      <c r="A1252" s="105">
        <v>1250</v>
      </c>
      <c r="B1252" s="106"/>
      <c r="C1252" s="96" t="s">
        <v>7</v>
      </c>
      <c r="D1252" s="97"/>
    </row>
    <row r="1253" spans="1:4" ht="42.75" customHeight="1" thickBot="1">
      <c r="A1253" s="107" t="s">
        <v>17</v>
      </c>
      <c r="B1253" s="108"/>
      <c r="C1253" s="108"/>
      <c r="D1253" s="109"/>
    </row>
    <row r="1254" spans="1:4" ht="42.75" customHeight="1" thickBot="1">
      <c r="A1254" s="116" t="s">
        <v>20</v>
      </c>
      <c r="B1254" s="117"/>
      <c r="C1254" s="117"/>
      <c r="D1254" s="118"/>
    </row>
    <row r="1255" spans="1:4" ht="42.75" customHeight="1" thickBot="1">
      <c r="A1255" s="113" t="s">
        <v>18</v>
      </c>
      <c r="B1255" s="114"/>
      <c r="C1255" s="114"/>
      <c r="D1255" s="115"/>
    </row>
    <row r="1256" spans="1:4" ht="42.75" customHeight="1" thickBot="1">
      <c r="A1256" s="119"/>
      <c r="B1256" s="119"/>
      <c r="C1256" s="119"/>
      <c r="D1256" s="119"/>
    </row>
    <row r="1257" spans="1:4" ht="42.75" customHeight="1" thickBot="1">
      <c r="A1257" s="126" t="s">
        <v>19</v>
      </c>
      <c r="B1257" s="127"/>
      <c r="C1257" s="127"/>
      <c r="D1257" s="128"/>
    </row>
    <row r="1258" spans="1:4" ht="42.75" customHeight="1" thickBot="1">
      <c r="A1258" s="123" t="s">
        <v>11</v>
      </c>
      <c r="B1258" s="124"/>
      <c r="C1258" s="125" t="s">
        <v>603</v>
      </c>
      <c r="D1258" s="124"/>
    </row>
    <row r="1259" spans="1:4" ht="42.75" customHeight="1" thickBot="1">
      <c r="A1259" s="1" t="s">
        <v>686</v>
      </c>
      <c r="B1259" s="26" t="s">
        <v>1</v>
      </c>
      <c r="C1259" s="90" t="s">
        <v>380</v>
      </c>
      <c r="D1259" s="91"/>
    </row>
    <row r="1260" spans="1:4" ht="42.75" customHeight="1" thickBot="1">
      <c r="A1260" s="26"/>
      <c r="B1260" s="26" t="s">
        <v>0</v>
      </c>
      <c r="C1260" s="5" t="s">
        <v>687</v>
      </c>
      <c r="D1260" s="4" t="s">
        <v>2</v>
      </c>
    </row>
    <row r="1261" spans="1:4" ht="42.75" customHeight="1" thickBot="1">
      <c r="A1261" s="92">
        <v>495</v>
      </c>
      <c r="B1261" s="93"/>
      <c r="C1261" s="94" t="s">
        <v>3</v>
      </c>
      <c r="D1261" s="95"/>
    </row>
    <row r="1262" spans="1:4" ht="42.75" customHeight="1" thickBot="1">
      <c r="A1262" s="92">
        <v>515</v>
      </c>
      <c r="B1262" s="93"/>
      <c r="C1262" s="96" t="s">
        <v>4</v>
      </c>
      <c r="D1262" s="97"/>
    </row>
    <row r="1263" spans="1:4" ht="42.75" customHeight="1" thickBot="1">
      <c r="A1263" s="98">
        <f>A1262-A1261</f>
        <v>20</v>
      </c>
      <c r="B1263" s="99"/>
      <c r="C1263" s="100" t="s">
        <v>5</v>
      </c>
      <c r="D1263" s="97"/>
    </row>
    <row r="1264" spans="1:4" ht="42.75" customHeight="1" thickBot="1">
      <c r="A1264" s="101">
        <v>62</v>
      </c>
      <c r="B1264" s="102"/>
      <c r="C1264" s="96" t="s">
        <v>6</v>
      </c>
      <c r="D1264" s="97"/>
    </row>
    <row r="1265" spans="1:4" ht="42.75" customHeight="1" thickBot="1">
      <c r="A1265" s="103"/>
      <c r="B1265" s="104"/>
      <c r="C1265" s="96" t="s">
        <v>21</v>
      </c>
      <c r="D1265" s="97"/>
    </row>
    <row r="1266" spans="1:4" ht="42.75" customHeight="1" thickBot="1">
      <c r="A1266" s="105">
        <v>1250</v>
      </c>
      <c r="B1266" s="106"/>
      <c r="C1266" s="96" t="s">
        <v>7</v>
      </c>
      <c r="D1266" s="97"/>
    </row>
    <row r="1267" spans="1:4" ht="42.75" customHeight="1" thickBot="1">
      <c r="A1267" s="107" t="s">
        <v>17</v>
      </c>
      <c r="B1267" s="108"/>
      <c r="C1267" s="108"/>
      <c r="D1267" s="109"/>
    </row>
    <row r="1268" spans="1:4" ht="42.75" customHeight="1" thickBot="1">
      <c r="A1268" s="110" t="s">
        <v>20</v>
      </c>
      <c r="B1268" s="111"/>
      <c r="C1268" s="111"/>
      <c r="D1268" s="112"/>
    </row>
    <row r="1269" spans="1:4" ht="42.75" customHeight="1" thickBot="1">
      <c r="A1269" s="113" t="s">
        <v>18</v>
      </c>
      <c r="B1269" s="114"/>
      <c r="C1269" s="114"/>
      <c r="D1269" s="115"/>
    </row>
    <row r="1270" spans="1:4" ht="42.75" customHeight="1" thickBot="1">
      <c r="A1270" s="126" t="s">
        <v>19</v>
      </c>
      <c r="B1270" s="127"/>
      <c r="C1270" s="127"/>
      <c r="D1270" s="128"/>
    </row>
    <row r="1271" spans="1:4" ht="42.75" customHeight="1" thickBot="1">
      <c r="A1271" s="123" t="s">
        <v>11</v>
      </c>
      <c r="B1271" s="124"/>
      <c r="C1271" s="125" t="s">
        <v>603</v>
      </c>
      <c r="D1271" s="124"/>
    </row>
    <row r="1272" spans="1:4" ht="42.75" customHeight="1" thickBot="1">
      <c r="A1272" s="1" t="s">
        <v>686</v>
      </c>
      <c r="B1272" s="26" t="s">
        <v>1</v>
      </c>
      <c r="C1272" s="90" t="s">
        <v>381</v>
      </c>
      <c r="D1272" s="91"/>
    </row>
    <row r="1273" spans="1:4" ht="42.75" customHeight="1" thickBot="1">
      <c r="A1273" s="26"/>
      <c r="B1273" s="26" t="s">
        <v>0</v>
      </c>
      <c r="C1273" s="5" t="s">
        <v>687</v>
      </c>
      <c r="D1273" s="4" t="s">
        <v>2</v>
      </c>
    </row>
    <row r="1274" spans="1:4" ht="42.75" customHeight="1" thickBot="1">
      <c r="A1274" s="92">
        <v>1765</v>
      </c>
      <c r="B1274" s="93"/>
      <c r="C1274" s="94" t="s">
        <v>3</v>
      </c>
      <c r="D1274" s="95"/>
    </row>
    <row r="1275" spans="1:4" ht="42.75" customHeight="1" thickBot="1">
      <c r="A1275" s="92">
        <v>1800</v>
      </c>
      <c r="B1275" s="93"/>
      <c r="C1275" s="96" t="s">
        <v>4</v>
      </c>
      <c r="D1275" s="97"/>
    </row>
    <row r="1276" spans="1:4" ht="42.75" customHeight="1" thickBot="1">
      <c r="A1276" s="98">
        <f>A1275-A1274</f>
        <v>35</v>
      </c>
      <c r="B1276" s="99"/>
      <c r="C1276" s="100" t="s">
        <v>5</v>
      </c>
      <c r="D1276" s="97"/>
    </row>
    <row r="1277" spans="1:4" ht="42.75" customHeight="1" thickBot="1">
      <c r="A1277" s="101">
        <v>50</v>
      </c>
      <c r="B1277" s="102"/>
      <c r="C1277" s="96" t="s">
        <v>6</v>
      </c>
      <c r="D1277" s="97"/>
    </row>
    <row r="1278" spans="1:4" ht="42.75" customHeight="1" thickBot="1">
      <c r="A1278" s="103"/>
      <c r="B1278" s="104"/>
      <c r="C1278" s="96" t="s">
        <v>21</v>
      </c>
      <c r="D1278" s="97"/>
    </row>
    <row r="1279" spans="1:4" ht="42.75" customHeight="1" thickBot="1">
      <c r="A1279" s="105">
        <f>A1277*A1276</f>
        <v>1750</v>
      </c>
      <c r="B1279" s="106"/>
      <c r="C1279" s="96" t="s">
        <v>7</v>
      </c>
      <c r="D1279" s="97"/>
    </row>
    <row r="1280" spans="1:4" ht="42.75" customHeight="1" thickBot="1">
      <c r="A1280" s="107" t="s">
        <v>17</v>
      </c>
      <c r="B1280" s="108"/>
      <c r="C1280" s="108"/>
      <c r="D1280" s="109"/>
    </row>
    <row r="1281" spans="1:4" ht="42.75" customHeight="1" thickBot="1">
      <c r="A1281" s="116" t="s">
        <v>20</v>
      </c>
      <c r="B1281" s="117"/>
      <c r="C1281" s="117"/>
      <c r="D1281" s="118"/>
    </row>
    <row r="1282" spans="1:4" ht="42.75" customHeight="1" thickBot="1">
      <c r="A1282" s="113" t="s">
        <v>18</v>
      </c>
      <c r="B1282" s="114"/>
      <c r="C1282" s="114"/>
      <c r="D1282" s="115"/>
    </row>
    <row r="1283" spans="1:4" ht="42.75" customHeight="1" thickBot="1">
      <c r="A1283" s="119"/>
      <c r="B1283" s="119"/>
      <c r="C1283" s="119"/>
      <c r="D1283" s="119"/>
    </row>
    <row r="1284" spans="1:4" ht="42.75" customHeight="1" thickBot="1">
      <c r="A1284" s="126" t="s">
        <v>19</v>
      </c>
      <c r="B1284" s="127"/>
      <c r="C1284" s="127"/>
      <c r="D1284" s="128"/>
    </row>
    <row r="1285" spans="1:4" ht="42.75" customHeight="1" thickBot="1">
      <c r="A1285" s="123" t="s">
        <v>11</v>
      </c>
      <c r="B1285" s="124"/>
      <c r="C1285" s="125" t="s">
        <v>603</v>
      </c>
      <c r="D1285" s="124"/>
    </row>
    <row r="1286" spans="1:4" ht="42.75" customHeight="1" thickBot="1">
      <c r="A1286" s="1" t="s">
        <v>686</v>
      </c>
      <c r="B1286" s="26" t="s">
        <v>1</v>
      </c>
      <c r="C1286" s="90" t="s">
        <v>381</v>
      </c>
      <c r="D1286" s="91"/>
    </row>
    <row r="1287" spans="1:4" ht="42.75" customHeight="1" thickBot="1">
      <c r="A1287" s="26"/>
      <c r="B1287" s="26" t="s">
        <v>0</v>
      </c>
      <c r="C1287" s="5" t="s">
        <v>687</v>
      </c>
      <c r="D1287" s="4" t="s">
        <v>2</v>
      </c>
    </row>
    <row r="1288" spans="1:4" ht="42.75" customHeight="1" thickBot="1">
      <c r="A1288" s="92">
        <v>1765</v>
      </c>
      <c r="B1288" s="93"/>
      <c r="C1288" s="94" t="s">
        <v>3</v>
      </c>
      <c r="D1288" s="95"/>
    </row>
    <row r="1289" spans="1:4" ht="42.75" customHeight="1" thickBot="1">
      <c r="A1289" s="92">
        <v>1800</v>
      </c>
      <c r="B1289" s="93"/>
      <c r="C1289" s="96" t="s">
        <v>4</v>
      </c>
      <c r="D1289" s="97"/>
    </row>
    <row r="1290" spans="1:4" ht="42.75" customHeight="1" thickBot="1">
      <c r="A1290" s="98">
        <f>A1289-A1288</f>
        <v>35</v>
      </c>
      <c r="B1290" s="99"/>
      <c r="C1290" s="100" t="s">
        <v>5</v>
      </c>
      <c r="D1290" s="97"/>
    </row>
    <row r="1291" spans="1:4" ht="42.75" customHeight="1" thickBot="1">
      <c r="A1291" s="101">
        <v>62</v>
      </c>
      <c r="B1291" s="102"/>
      <c r="C1291" s="96" t="s">
        <v>6</v>
      </c>
      <c r="D1291" s="97"/>
    </row>
    <row r="1292" spans="1:4" ht="42.75" customHeight="1" thickBot="1">
      <c r="A1292" s="103"/>
      <c r="B1292" s="104"/>
      <c r="C1292" s="96" t="s">
        <v>21</v>
      </c>
      <c r="D1292" s="97"/>
    </row>
    <row r="1293" spans="1:4" ht="42.75" customHeight="1" thickBot="1">
      <c r="A1293" s="105">
        <f>A1291*A1290</f>
        <v>2170</v>
      </c>
      <c r="B1293" s="106"/>
      <c r="C1293" s="96" t="s">
        <v>7</v>
      </c>
      <c r="D1293" s="97"/>
    </row>
    <row r="1294" spans="1:4" ht="42.75" customHeight="1" thickBot="1">
      <c r="A1294" s="107" t="s">
        <v>17</v>
      </c>
      <c r="B1294" s="108"/>
      <c r="C1294" s="108"/>
      <c r="D1294" s="109"/>
    </row>
    <row r="1295" spans="1:4" ht="42.75" customHeight="1" thickBot="1">
      <c r="A1295" s="110" t="s">
        <v>20</v>
      </c>
      <c r="B1295" s="111"/>
      <c r="C1295" s="111"/>
      <c r="D1295" s="112"/>
    </row>
    <row r="1296" spans="1:4" ht="42.75" customHeight="1" thickBot="1">
      <c r="A1296" s="113" t="s">
        <v>18</v>
      </c>
      <c r="B1296" s="114"/>
      <c r="C1296" s="114"/>
      <c r="D1296" s="115"/>
    </row>
    <row r="1297" spans="1:4" ht="42.75" customHeight="1" thickBot="1">
      <c r="A1297" s="126" t="s">
        <v>19</v>
      </c>
      <c r="B1297" s="127"/>
      <c r="C1297" s="127"/>
      <c r="D1297" s="128"/>
    </row>
    <row r="1298" spans="1:4" ht="42.75" customHeight="1" thickBot="1">
      <c r="A1298" s="123" t="s">
        <v>11</v>
      </c>
      <c r="B1298" s="124"/>
      <c r="C1298" s="125" t="s">
        <v>603</v>
      </c>
      <c r="D1298" s="124"/>
    </row>
    <row r="1299" spans="1:4" ht="42.75" customHeight="1" thickBot="1">
      <c r="A1299" s="1" t="s">
        <v>686</v>
      </c>
      <c r="B1299" s="26" t="s">
        <v>1</v>
      </c>
      <c r="C1299" s="90" t="s">
        <v>382</v>
      </c>
      <c r="D1299" s="91"/>
    </row>
    <row r="1300" spans="1:4" ht="42.75" customHeight="1" thickBot="1">
      <c r="A1300" s="26"/>
      <c r="B1300" s="26" t="s">
        <v>0</v>
      </c>
      <c r="C1300" s="5" t="s">
        <v>687</v>
      </c>
      <c r="D1300" s="4" t="s">
        <v>2</v>
      </c>
    </row>
    <row r="1301" spans="1:4" ht="42.75" customHeight="1" thickBot="1">
      <c r="A1301" s="92">
        <v>835</v>
      </c>
      <c r="B1301" s="93"/>
      <c r="C1301" s="94" t="s">
        <v>3</v>
      </c>
      <c r="D1301" s="95"/>
    </row>
    <row r="1302" spans="1:4" ht="42.75" customHeight="1" thickBot="1">
      <c r="A1302" s="92">
        <v>865</v>
      </c>
      <c r="B1302" s="93"/>
      <c r="C1302" s="96" t="s">
        <v>4</v>
      </c>
      <c r="D1302" s="97"/>
    </row>
    <row r="1303" spans="1:4" ht="42.75" customHeight="1" thickBot="1">
      <c r="A1303" s="98">
        <f>A1302-A1301</f>
        <v>30</v>
      </c>
      <c r="B1303" s="99"/>
      <c r="C1303" s="100" t="s">
        <v>5</v>
      </c>
      <c r="D1303" s="97"/>
    </row>
    <row r="1304" spans="1:4" ht="42.75" customHeight="1" thickBot="1">
      <c r="A1304" s="101">
        <v>62</v>
      </c>
      <c r="B1304" s="102"/>
      <c r="C1304" s="96" t="s">
        <v>6</v>
      </c>
      <c r="D1304" s="97"/>
    </row>
    <row r="1305" spans="1:4" ht="42.75" customHeight="1" thickBot="1">
      <c r="A1305" s="103"/>
      <c r="B1305" s="104"/>
      <c r="C1305" s="96" t="s">
        <v>21</v>
      </c>
      <c r="D1305" s="97"/>
    </row>
    <row r="1306" spans="1:4" ht="42.75" customHeight="1" thickBot="1">
      <c r="A1306" s="105">
        <v>1850</v>
      </c>
      <c r="B1306" s="106"/>
      <c r="C1306" s="96" t="s">
        <v>7</v>
      </c>
      <c r="D1306" s="97"/>
    </row>
    <row r="1307" spans="1:4" ht="42.75" customHeight="1" thickBot="1">
      <c r="A1307" s="107" t="s">
        <v>17</v>
      </c>
      <c r="B1307" s="108"/>
      <c r="C1307" s="108"/>
      <c r="D1307" s="109"/>
    </row>
    <row r="1308" spans="1:4" ht="42.75" customHeight="1" thickBot="1">
      <c r="A1308" s="116" t="s">
        <v>20</v>
      </c>
      <c r="B1308" s="117"/>
      <c r="C1308" s="117"/>
      <c r="D1308" s="118"/>
    </row>
    <row r="1309" spans="1:4" ht="42.75" customHeight="1" thickBot="1">
      <c r="A1309" s="113" t="s">
        <v>18</v>
      </c>
      <c r="B1309" s="114"/>
      <c r="C1309" s="114"/>
      <c r="D1309" s="115"/>
    </row>
    <row r="1310" spans="1:4" ht="42.75" customHeight="1" thickBot="1">
      <c r="A1310" s="119"/>
      <c r="B1310" s="119"/>
      <c r="C1310" s="119"/>
      <c r="D1310" s="119"/>
    </row>
    <row r="1311" spans="1:4" ht="42.75" customHeight="1" thickBot="1">
      <c r="A1311" s="126" t="s">
        <v>19</v>
      </c>
      <c r="B1311" s="127"/>
      <c r="C1311" s="127"/>
      <c r="D1311" s="128"/>
    </row>
    <row r="1312" spans="1:4" ht="42.75" customHeight="1" thickBot="1">
      <c r="A1312" s="123" t="s">
        <v>11</v>
      </c>
      <c r="B1312" s="124"/>
      <c r="C1312" s="125" t="s">
        <v>603</v>
      </c>
      <c r="D1312" s="124"/>
    </row>
    <row r="1313" spans="1:4" ht="42.75" customHeight="1" thickBot="1">
      <c r="A1313" s="1" t="s">
        <v>686</v>
      </c>
      <c r="B1313" s="26" t="s">
        <v>1</v>
      </c>
      <c r="C1313" s="90" t="s">
        <v>382</v>
      </c>
      <c r="D1313" s="91"/>
    </row>
    <row r="1314" spans="1:4" ht="42.75" customHeight="1" thickBot="1">
      <c r="A1314" s="26"/>
      <c r="B1314" s="26" t="s">
        <v>0</v>
      </c>
      <c r="C1314" s="5" t="s">
        <v>687</v>
      </c>
      <c r="D1314" s="4" t="s">
        <v>2</v>
      </c>
    </row>
    <row r="1315" spans="1:4" ht="42.75" customHeight="1" thickBot="1">
      <c r="A1315" s="92">
        <v>835</v>
      </c>
      <c r="B1315" s="93"/>
      <c r="C1315" s="94" t="s">
        <v>3</v>
      </c>
      <c r="D1315" s="95"/>
    </row>
    <row r="1316" spans="1:4" ht="42.75" customHeight="1" thickBot="1">
      <c r="A1316" s="92">
        <v>865</v>
      </c>
      <c r="B1316" s="93"/>
      <c r="C1316" s="96" t="s">
        <v>4</v>
      </c>
      <c r="D1316" s="97"/>
    </row>
    <row r="1317" spans="1:4" ht="42.75" customHeight="1" thickBot="1">
      <c r="A1317" s="98">
        <f>A1316-A1315</f>
        <v>30</v>
      </c>
      <c r="B1317" s="99"/>
      <c r="C1317" s="100" t="s">
        <v>5</v>
      </c>
      <c r="D1317" s="97"/>
    </row>
    <row r="1318" spans="1:4" ht="42.75" customHeight="1" thickBot="1">
      <c r="A1318" s="101">
        <v>62</v>
      </c>
      <c r="B1318" s="102"/>
      <c r="C1318" s="96" t="s">
        <v>6</v>
      </c>
      <c r="D1318" s="97"/>
    </row>
    <row r="1319" spans="1:4" ht="42.75" customHeight="1" thickBot="1">
      <c r="A1319" s="103"/>
      <c r="B1319" s="104"/>
      <c r="C1319" s="96" t="s">
        <v>21</v>
      </c>
      <c r="D1319" s="97"/>
    </row>
    <row r="1320" spans="1:4" ht="42.75" customHeight="1" thickBot="1">
      <c r="A1320" s="105">
        <v>1850</v>
      </c>
      <c r="B1320" s="106"/>
      <c r="C1320" s="96" t="s">
        <v>7</v>
      </c>
      <c r="D1320" s="97"/>
    </row>
    <row r="1321" spans="1:4" ht="42.75" customHeight="1" thickBot="1">
      <c r="A1321" s="107" t="s">
        <v>17</v>
      </c>
      <c r="B1321" s="108"/>
      <c r="C1321" s="108"/>
      <c r="D1321" s="109"/>
    </row>
    <row r="1322" spans="1:4" ht="42.75" customHeight="1" thickBot="1">
      <c r="A1322" s="110" t="s">
        <v>20</v>
      </c>
      <c r="B1322" s="111"/>
      <c r="C1322" s="111"/>
      <c r="D1322" s="112"/>
    </row>
    <row r="1323" spans="1:4" ht="42.75" customHeight="1" thickBot="1">
      <c r="A1323" s="113" t="s">
        <v>18</v>
      </c>
      <c r="B1323" s="114"/>
      <c r="C1323" s="114"/>
      <c r="D1323" s="115"/>
    </row>
    <row r="1324" spans="1:4" ht="42.75" customHeight="1" thickBot="1">
      <c r="A1324" s="126" t="s">
        <v>19</v>
      </c>
      <c r="B1324" s="127"/>
      <c r="C1324" s="127"/>
      <c r="D1324" s="128"/>
    </row>
    <row r="1325" spans="1:4" ht="42.75" customHeight="1" thickBot="1">
      <c r="A1325" s="123" t="s">
        <v>11</v>
      </c>
      <c r="B1325" s="124"/>
      <c r="C1325" s="125" t="s">
        <v>603</v>
      </c>
      <c r="D1325" s="124"/>
    </row>
    <row r="1326" spans="1:4" ht="42.75" customHeight="1" thickBot="1">
      <c r="A1326" s="1" t="s">
        <v>686</v>
      </c>
      <c r="B1326" s="26" t="s">
        <v>1</v>
      </c>
      <c r="C1326" s="90" t="s">
        <v>383</v>
      </c>
      <c r="D1326" s="91"/>
    </row>
    <row r="1327" spans="1:4" ht="42.75" customHeight="1" thickBot="1">
      <c r="A1327" s="26"/>
      <c r="B1327" s="26" t="s">
        <v>0</v>
      </c>
      <c r="C1327" s="5" t="s">
        <v>687</v>
      </c>
      <c r="D1327" s="4" t="s">
        <v>2</v>
      </c>
    </row>
    <row r="1328" spans="1:4" ht="42.75" customHeight="1" thickBot="1">
      <c r="A1328" s="92">
        <v>2640</v>
      </c>
      <c r="B1328" s="93"/>
      <c r="C1328" s="94" t="s">
        <v>3</v>
      </c>
      <c r="D1328" s="95"/>
    </row>
    <row r="1329" spans="1:4" ht="42.75" customHeight="1" thickBot="1">
      <c r="A1329" s="92">
        <v>2715</v>
      </c>
      <c r="B1329" s="93"/>
      <c r="C1329" s="96" t="s">
        <v>4</v>
      </c>
      <c r="D1329" s="97"/>
    </row>
    <row r="1330" spans="1:4" ht="42.75" customHeight="1" thickBot="1">
      <c r="A1330" s="98">
        <f>A1329-A1328</f>
        <v>75</v>
      </c>
      <c r="B1330" s="99"/>
      <c r="C1330" s="100" t="s">
        <v>5</v>
      </c>
      <c r="D1330" s="97"/>
    </row>
    <row r="1331" spans="1:4" ht="42.75" customHeight="1" thickBot="1">
      <c r="A1331" s="101">
        <v>62</v>
      </c>
      <c r="B1331" s="102"/>
      <c r="C1331" s="96" t="s">
        <v>6</v>
      </c>
      <c r="D1331" s="97"/>
    </row>
    <row r="1332" spans="1:4" ht="42.75" customHeight="1" thickBot="1">
      <c r="A1332" s="103"/>
      <c r="B1332" s="104"/>
      <c r="C1332" s="96" t="s">
        <v>21</v>
      </c>
      <c r="D1332" s="97"/>
    </row>
    <row r="1333" spans="1:4" ht="42.75" customHeight="1" thickBot="1">
      <c r="A1333" s="105">
        <f>A1331*A1330</f>
        <v>4650</v>
      </c>
      <c r="B1333" s="106"/>
      <c r="C1333" s="96" t="s">
        <v>7</v>
      </c>
      <c r="D1333" s="97"/>
    </row>
    <row r="1334" spans="1:4" ht="42.75" customHeight="1" thickBot="1">
      <c r="A1334" s="107" t="s">
        <v>17</v>
      </c>
      <c r="B1334" s="108"/>
      <c r="C1334" s="108"/>
      <c r="D1334" s="109"/>
    </row>
    <row r="1335" spans="1:4" ht="42.75" customHeight="1" thickBot="1">
      <c r="A1335" s="116" t="s">
        <v>20</v>
      </c>
      <c r="B1335" s="117"/>
      <c r="C1335" s="117"/>
      <c r="D1335" s="118"/>
    </row>
    <row r="1336" spans="1:4" ht="42.75" customHeight="1" thickBot="1">
      <c r="A1336" s="113" t="s">
        <v>18</v>
      </c>
      <c r="B1336" s="114"/>
      <c r="C1336" s="114"/>
      <c r="D1336" s="115"/>
    </row>
    <row r="1337" spans="1:4" ht="42.75" customHeight="1" thickBot="1">
      <c r="A1337" s="119"/>
      <c r="B1337" s="119"/>
      <c r="C1337" s="119"/>
      <c r="D1337" s="119"/>
    </row>
    <row r="1338" spans="1:4" ht="42.75" customHeight="1" thickBot="1">
      <c r="A1338" s="126" t="s">
        <v>19</v>
      </c>
      <c r="B1338" s="127"/>
      <c r="C1338" s="127"/>
      <c r="D1338" s="128"/>
    </row>
    <row r="1339" spans="1:4" ht="42.75" customHeight="1" thickBot="1">
      <c r="A1339" s="123" t="s">
        <v>11</v>
      </c>
      <c r="B1339" s="124"/>
      <c r="C1339" s="125" t="s">
        <v>603</v>
      </c>
      <c r="D1339" s="124"/>
    </row>
    <row r="1340" spans="1:4" ht="42.75" customHeight="1" thickBot="1">
      <c r="A1340" s="1" t="s">
        <v>686</v>
      </c>
      <c r="B1340" s="26" t="s">
        <v>1</v>
      </c>
      <c r="C1340" s="90" t="s">
        <v>383</v>
      </c>
      <c r="D1340" s="91"/>
    </row>
    <row r="1341" spans="1:4" ht="42.75" customHeight="1" thickBot="1">
      <c r="A1341" s="26"/>
      <c r="B1341" s="26" t="s">
        <v>0</v>
      </c>
      <c r="C1341" s="5" t="s">
        <v>687</v>
      </c>
      <c r="D1341" s="4" t="s">
        <v>2</v>
      </c>
    </row>
    <row r="1342" spans="1:4" ht="42.75" customHeight="1" thickBot="1">
      <c r="A1342" s="92">
        <v>2640</v>
      </c>
      <c r="B1342" s="93"/>
      <c r="C1342" s="94" t="s">
        <v>3</v>
      </c>
      <c r="D1342" s="95"/>
    </row>
    <row r="1343" spans="1:4" ht="42.75" customHeight="1" thickBot="1">
      <c r="A1343" s="92">
        <v>2715</v>
      </c>
      <c r="B1343" s="93"/>
      <c r="C1343" s="96" t="s">
        <v>4</v>
      </c>
      <c r="D1343" s="97"/>
    </row>
    <row r="1344" spans="1:4" ht="42.75" customHeight="1" thickBot="1">
      <c r="A1344" s="98">
        <f>A1343-A1342</f>
        <v>75</v>
      </c>
      <c r="B1344" s="99"/>
      <c r="C1344" s="100" t="s">
        <v>5</v>
      </c>
      <c r="D1344" s="97"/>
    </row>
    <row r="1345" spans="1:4" ht="42.75" customHeight="1" thickBot="1">
      <c r="A1345" s="101">
        <v>62</v>
      </c>
      <c r="B1345" s="102"/>
      <c r="C1345" s="96" t="s">
        <v>6</v>
      </c>
      <c r="D1345" s="97"/>
    </row>
    <row r="1346" spans="1:4" ht="42.75" customHeight="1" thickBot="1">
      <c r="A1346" s="103"/>
      <c r="B1346" s="104"/>
      <c r="C1346" s="96" t="s">
        <v>21</v>
      </c>
      <c r="D1346" s="97"/>
    </row>
    <row r="1347" spans="1:4" ht="42.75" customHeight="1" thickBot="1">
      <c r="A1347" s="105">
        <f>A1345*A1344</f>
        <v>4650</v>
      </c>
      <c r="B1347" s="106"/>
      <c r="C1347" s="96" t="s">
        <v>7</v>
      </c>
      <c r="D1347" s="97"/>
    </row>
    <row r="1348" spans="1:4" ht="42.75" customHeight="1" thickBot="1">
      <c r="A1348" s="107" t="s">
        <v>17</v>
      </c>
      <c r="B1348" s="108"/>
      <c r="C1348" s="108"/>
      <c r="D1348" s="109"/>
    </row>
    <row r="1349" spans="1:4" ht="42.75" customHeight="1" thickBot="1">
      <c r="A1349" s="110" t="s">
        <v>20</v>
      </c>
      <c r="B1349" s="111"/>
      <c r="C1349" s="111"/>
      <c r="D1349" s="112"/>
    </row>
    <row r="1350" spans="1:4" ht="42.75" customHeight="1" thickBot="1">
      <c r="A1350" s="113" t="s">
        <v>18</v>
      </c>
      <c r="B1350" s="114"/>
      <c r="C1350" s="114"/>
      <c r="D1350" s="115"/>
    </row>
    <row r="1351" spans="1:4" ht="42.75" customHeight="1" thickBot="1">
      <c r="A1351" s="126" t="s">
        <v>19</v>
      </c>
      <c r="B1351" s="127"/>
      <c r="C1351" s="127"/>
      <c r="D1351" s="128"/>
    </row>
    <row r="1352" spans="1:4" ht="42.75" customHeight="1" thickBot="1">
      <c r="A1352" s="123" t="s">
        <v>11</v>
      </c>
      <c r="B1352" s="124"/>
      <c r="C1352" s="125" t="s">
        <v>603</v>
      </c>
      <c r="D1352" s="124"/>
    </row>
    <row r="1353" spans="1:4" ht="42.75" customHeight="1" thickBot="1">
      <c r="A1353" s="1" t="s">
        <v>686</v>
      </c>
      <c r="B1353" s="26" t="s">
        <v>1</v>
      </c>
      <c r="C1353" s="90" t="s">
        <v>384</v>
      </c>
      <c r="D1353" s="91"/>
    </row>
    <row r="1354" spans="1:4" ht="42.75" customHeight="1" thickBot="1">
      <c r="A1354" s="26"/>
      <c r="B1354" s="26" t="s">
        <v>0</v>
      </c>
      <c r="C1354" s="5" t="s">
        <v>687</v>
      </c>
      <c r="D1354" s="4" t="s">
        <v>2</v>
      </c>
    </row>
    <row r="1355" spans="1:4" ht="42.75" customHeight="1" thickBot="1">
      <c r="A1355" s="92">
        <v>2970</v>
      </c>
      <c r="B1355" s="93"/>
      <c r="C1355" s="94" t="s">
        <v>3</v>
      </c>
      <c r="D1355" s="95"/>
    </row>
    <row r="1356" spans="1:4" ht="42.75" customHeight="1" thickBot="1">
      <c r="A1356" s="92">
        <v>2997</v>
      </c>
      <c r="B1356" s="93"/>
      <c r="C1356" s="96" t="s">
        <v>4</v>
      </c>
      <c r="D1356" s="97"/>
    </row>
    <row r="1357" spans="1:4" ht="42.75" customHeight="1" thickBot="1">
      <c r="A1357" s="98">
        <f>A1356-A1355</f>
        <v>27</v>
      </c>
      <c r="B1357" s="99"/>
      <c r="C1357" s="100" t="s">
        <v>5</v>
      </c>
      <c r="D1357" s="97"/>
    </row>
    <row r="1358" spans="1:4" ht="42.75" customHeight="1" thickBot="1">
      <c r="A1358" s="101">
        <v>55</v>
      </c>
      <c r="B1358" s="102"/>
      <c r="C1358" s="96" t="s">
        <v>6</v>
      </c>
      <c r="D1358" s="97"/>
    </row>
    <row r="1359" spans="1:4" ht="42.75" customHeight="1" thickBot="1">
      <c r="A1359" s="103"/>
      <c r="B1359" s="104"/>
      <c r="C1359" s="96" t="s">
        <v>21</v>
      </c>
      <c r="D1359" s="97"/>
    </row>
    <row r="1360" spans="1:4" ht="42.75" customHeight="1" thickBot="1">
      <c r="A1360" s="105">
        <v>1500</v>
      </c>
      <c r="B1360" s="106"/>
      <c r="C1360" s="96" t="s">
        <v>7</v>
      </c>
      <c r="D1360" s="97"/>
    </row>
    <row r="1361" spans="1:4" ht="42.75" customHeight="1" thickBot="1">
      <c r="A1361" s="107" t="s">
        <v>17</v>
      </c>
      <c r="B1361" s="108"/>
      <c r="C1361" s="108"/>
      <c r="D1361" s="109"/>
    </row>
    <row r="1362" spans="1:4" ht="42.75" customHeight="1" thickBot="1">
      <c r="A1362" s="116" t="s">
        <v>20</v>
      </c>
      <c r="B1362" s="117"/>
      <c r="C1362" s="117"/>
      <c r="D1362" s="118"/>
    </row>
    <row r="1363" spans="1:4" ht="42.75" customHeight="1" thickBot="1">
      <c r="A1363" s="113" t="s">
        <v>18</v>
      </c>
      <c r="B1363" s="114"/>
      <c r="C1363" s="114"/>
      <c r="D1363" s="115"/>
    </row>
    <row r="1364" spans="1:4" ht="42.75" customHeight="1" thickBot="1">
      <c r="A1364" s="119"/>
      <c r="B1364" s="119"/>
      <c r="C1364" s="119"/>
      <c r="D1364" s="119"/>
    </row>
    <row r="1365" spans="1:4" ht="42.75" customHeight="1" thickBot="1">
      <c r="A1365" s="126" t="s">
        <v>19</v>
      </c>
      <c r="B1365" s="127"/>
      <c r="C1365" s="127"/>
      <c r="D1365" s="128"/>
    </row>
    <row r="1366" spans="1:4" ht="42.75" customHeight="1" thickBot="1">
      <c r="A1366" s="123" t="s">
        <v>11</v>
      </c>
      <c r="B1366" s="124"/>
      <c r="C1366" s="125" t="s">
        <v>603</v>
      </c>
      <c r="D1366" s="124"/>
    </row>
    <row r="1367" spans="1:4" ht="42.75" customHeight="1" thickBot="1">
      <c r="A1367" s="1" t="s">
        <v>686</v>
      </c>
      <c r="B1367" s="26" t="s">
        <v>1</v>
      </c>
      <c r="C1367" s="90" t="s">
        <v>384</v>
      </c>
      <c r="D1367" s="91"/>
    </row>
    <row r="1368" spans="1:4" ht="42.75" customHeight="1" thickBot="1">
      <c r="A1368" s="26"/>
      <c r="B1368" s="26" t="s">
        <v>0</v>
      </c>
      <c r="C1368" s="5" t="s">
        <v>687</v>
      </c>
      <c r="D1368" s="4" t="s">
        <v>2</v>
      </c>
    </row>
    <row r="1369" spans="1:4" ht="42.75" customHeight="1" thickBot="1">
      <c r="A1369" s="92">
        <v>2970</v>
      </c>
      <c r="B1369" s="93"/>
      <c r="C1369" s="94" t="s">
        <v>3</v>
      </c>
      <c r="D1369" s="95"/>
    </row>
    <row r="1370" spans="1:4" ht="42.75" customHeight="1" thickBot="1">
      <c r="A1370" s="92">
        <v>2997</v>
      </c>
      <c r="B1370" s="93"/>
      <c r="C1370" s="96" t="s">
        <v>4</v>
      </c>
      <c r="D1370" s="97"/>
    </row>
    <row r="1371" spans="1:4" ht="42.75" customHeight="1" thickBot="1">
      <c r="A1371" s="98">
        <f>A1370-A1369</f>
        <v>27</v>
      </c>
      <c r="B1371" s="99"/>
      <c r="C1371" s="100" t="s">
        <v>5</v>
      </c>
      <c r="D1371" s="97"/>
    </row>
    <row r="1372" spans="1:4" ht="42.75" customHeight="1" thickBot="1">
      <c r="A1372" s="101">
        <v>62</v>
      </c>
      <c r="B1372" s="102"/>
      <c r="C1372" s="96" t="s">
        <v>6</v>
      </c>
      <c r="D1372" s="97"/>
    </row>
    <row r="1373" spans="1:4" ht="42.75" customHeight="1" thickBot="1">
      <c r="A1373" s="103"/>
      <c r="B1373" s="104"/>
      <c r="C1373" s="96" t="s">
        <v>21</v>
      </c>
      <c r="D1373" s="97"/>
    </row>
    <row r="1374" spans="1:4" ht="42.75" customHeight="1" thickBot="1">
      <c r="A1374" s="105">
        <f>A1372*A1371</f>
        <v>1674</v>
      </c>
      <c r="B1374" s="106"/>
      <c r="C1374" s="96" t="s">
        <v>7</v>
      </c>
      <c r="D1374" s="97"/>
    </row>
    <row r="1375" spans="1:4" ht="42.75" customHeight="1" thickBot="1">
      <c r="A1375" s="107" t="s">
        <v>17</v>
      </c>
      <c r="B1375" s="108"/>
      <c r="C1375" s="108"/>
      <c r="D1375" s="109"/>
    </row>
    <row r="1376" spans="1:4" ht="42.75" customHeight="1" thickBot="1">
      <c r="A1376" s="110" t="s">
        <v>20</v>
      </c>
      <c r="B1376" s="111"/>
      <c r="C1376" s="111"/>
      <c r="D1376" s="112"/>
    </row>
    <row r="1377" spans="1:4" ht="42.75" customHeight="1" thickBot="1">
      <c r="A1377" s="113" t="s">
        <v>18</v>
      </c>
      <c r="B1377" s="114"/>
      <c r="C1377" s="114"/>
      <c r="D1377" s="115"/>
    </row>
    <row r="1378" spans="1:4" ht="42.75" customHeight="1" thickBot="1">
      <c r="A1378" s="126" t="s">
        <v>19</v>
      </c>
      <c r="B1378" s="127"/>
      <c r="C1378" s="127"/>
      <c r="D1378" s="128"/>
    </row>
    <row r="1379" spans="1:4" ht="42.75" customHeight="1" thickBot="1">
      <c r="A1379" s="123" t="s">
        <v>11</v>
      </c>
      <c r="B1379" s="124"/>
      <c r="C1379" s="125" t="s">
        <v>603</v>
      </c>
      <c r="D1379" s="124"/>
    </row>
    <row r="1380" spans="1:4" ht="42.75" customHeight="1" thickBot="1">
      <c r="A1380" s="1" t="s">
        <v>686</v>
      </c>
      <c r="B1380" s="26" t="s">
        <v>1</v>
      </c>
      <c r="C1380" s="90" t="s">
        <v>385</v>
      </c>
      <c r="D1380" s="91"/>
    </row>
    <row r="1381" spans="1:4" ht="42.75" customHeight="1" thickBot="1">
      <c r="A1381" s="26"/>
      <c r="B1381" s="26" t="s">
        <v>0</v>
      </c>
      <c r="C1381" s="5" t="s">
        <v>687</v>
      </c>
      <c r="D1381" s="4" t="s">
        <v>2</v>
      </c>
    </row>
    <row r="1382" spans="1:4" ht="42.75" customHeight="1" thickBot="1">
      <c r="A1382" s="92">
        <v>2570</v>
      </c>
      <c r="B1382" s="93"/>
      <c r="C1382" s="94" t="s">
        <v>3</v>
      </c>
      <c r="D1382" s="95"/>
    </row>
    <row r="1383" spans="1:4" ht="42.75" customHeight="1" thickBot="1">
      <c r="A1383" s="92">
        <v>2750</v>
      </c>
      <c r="B1383" s="93"/>
      <c r="C1383" s="96" t="s">
        <v>4</v>
      </c>
      <c r="D1383" s="97"/>
    </row>
    <row r="1384" spans="1:4" ht="42.75" customHeight="1" thickBot="1">
      <c r="A1384" s="98">
        <f>A1383-A1382</f>
        <v>180</v>
      </c>
      <c r="B1384" s="99"/>
      <c r="C1384" s="100" t="s">
        <v>5</v>
      </c>
      <c r="D1384" s="97"/>
    </row>
    <row r="1385" spans="1:4" ht="42.75" customHeight="1" thickBot="1">
      <c r="A1385" s="101">
        <v>50</v>
      </c>
      <c r="B1385" s="102"/>
      <c r="C1385" s="96" t="s">
        <v>6</v>
      </c>
      <c r="D1385" s="97"/>
    </row>
    <row r="1386" spans="1:4" ht="42.75" customHeight="1" thickBot="1">
      <c r="A1386" s="103"/>
      <c r="B1386" s="104"/>
      <c r="C1386" s="96" t="s">
        <v>21</v>
      </c>
      <c r="D1386" s="97"/>
    </row>
    <row r="1387" spans="1:4" ht="42.75" customHeight="1" thickBot="1">
      <c r="A1387" s="105">
        <f>A1385*A1384</f>
        <v>9000</v>
      </c>
      <c r="B1387" s="106"/>
      <c r="C1387" s="96" t="s">
        <v>7</v>
      </c>
      <c r="D1387" s="97"/>
    </row>
    <row r="1388" spans="1:4" ht="42.75" customHeight="1" thickBot="1">
      <c r="A1388" s="107" t="s">
        <v>17</v>
      </c>
      <c r="B1388" s="108"/>
      <c r="C1388" s="108"/>
      <c r="D1388" s="109"/>
    </row>
    <row r="1389" spans="1:4" ht="42.75" customHeight="1" thickBot="1">
      <c r="A1389" s="116" t="s">
        <v>20</v>
      </c>
      <c r="B1389" s="117"/>
      <c r="C1389" s="117"/>
      <c r="D1389" s="118"/>
    </row>
    <row r="1390" spans="1:4" ht="42.75" customHeight="1" thickBot="1">
      <c r="A1390" s="113" t="s">
        <v>18</v>
      </c>
      <c r="B1390" s="114"/>
      <c r="C1390" s="114"/>
      <c r="D1390" s="115"/>
    </row>
    <row r="1391" spans="1:4" ht="42.75" customHeight="1" thickBot="1">
      <c r="A1391" s="119"/>
      <c r="B1391" s="119"/>
      <c r="C1391" s="119"/>
      <c r="D1391" s="119"/>
    </row>
    <row r="1392" spans="1:4" ht="42.75" customHeight="1" thickBot="1">
      <c r="A1392" s="126" t="s">
        <v>19</v>
      </c>
      <c r="B1392" s="127"/>
      <c r="C1392" s="127"/>
      <c r="D1392" s="128"/>
    </row>
    <row r="1393" spans="1:4" ht="42.75" customHeight="1" thickBot="1">
      <c r="A1393" s="123" t="s">
        <v>11</v>
      </c>
      <c r="B1393" s="124"/>
      <c r="C1393" s="125" t="s">
        <v>603</v>
      </c>
      <c r="D1393" s="124"/>
    </row>
    <row r="1394" spans="1:4" ht="42.75" customHeight="1" thickBot="1">
      <c r="A1394" s="1" t="s">
        <v>686</v>
      </c>
      <c r="B1394" s="26" t="s">
        <v>1</v>
      </c>
      <c r="C1394" s="90" t="s">
        <v>385</v>
      </c>
      <c r="D1394" s="91"/>
    </row>
    <row r="1395" spans="1:4" ht="42.75" customHeight="1" thickBot="1">
      <c r="A1395" s="26"/>
      <c r="B1395" s="26" t="s">
        <v>0</v>
      </c>
      <c r="C1395" s="5" t="s">
        <v>687</v>
      </c>
      <c r="D1395" s="4" t="s">
        <v>2</v>
      </c>
    </row>
    <row r="1396" spans="1:4" ht="42.75" customHeight="1" thickBot="1">
      <c r="A1396" s="92">
        <v>2570</v>
      </c>
      <c r="B1396" s="93"/>
      <c r="C1396" s="94" t="s">
        <v>3</v>
      </c>
      <c r="D1396" s="95"/>
    </row>
    <row r="1397" spans="1:4" ht="42.75" customHeight="1" thickBot="1">
      <c r="A1397" s="92">
        <v>2750</v>
      </c>
      <c r="B1397" s="93"/>
      <c r="C1397" s="96" t="s">
        <v>4</v>
      </c>
      <c r="D1397" s="97"/>
    </row>
    <row r="1398" spans="1:4" ht="42.75" customHeight="1" thickBot="1">
      <c r="A1398" s="98">
        <f>A1397-A1396</f>
        <v>180</v>
      </c>
      <c r="B1398" s="99"/>
      <c r="C1398" s="100" t="s">
        <v>5</v>
      </c>
      <c r="D1398" s="97"/>
    </row>
    <row r="1399" spans="1:4" ht="42.75" customHeight="1" thickBot="1">
      <c r="A1399" s="101">
        <v>50</v>
      </c>
      <c r="B1399" s="102"/>
      <c r="C1399" s="96" t="s">
        <v>6</v>
      </c>
      <c r="D1399" s="97"/>
    </row>
    <row r="1400" spans="1:4" ht="42.75" customHeight="1" thickBot="1">
      <c r="A1400" s="103"/>
      <c r="B1400" s="104"/>
      <c r="C1400" s="96" t="s">
        <v>21</v>
      </c>
      <c r="D1400" s="97"/>
    </row>
    <row r="1401" spans="1:4" ht="42.75" customHeight="1" thickBot="1">
      <c r="A1401" s="105">
        <f>A1399*A1398</f>
        <v>9000</v>
      </c>
      <c r="B1401" s="106"/>
      <c r="C1401" s="96" t="s">
        <v>7</v>
      </c>
      <c r="D1401" s="97"/>
    </row>
    <row r="1402" spans="1:4" ht="42.75" customHeight="1" thickBot="1">
      <c r="A1402" s="107" t="s">
        <v>17</v>
      </c>
      <c r="B1402" s="108"/>
      <c r="C1402" s="108"/>
      <c r="D1402" s="109"/>
    </row>
    <row r="1403" spans="1:4" ht="42.75" customHeight="1" thickBot="1">
      <c r="A1403" s="110" t="s">
        <v>20</v>
      </c>
      <c r="B1403" s="111"/>
      <c r="C1403" s="111"/>
      <c r="D1403" s="112"/>
    </row>
    <row r="1404" spans="1:4" ht="42.75" customHeight="1" thickBot="1">
      <c r="A1404" s="113" t="s">
        <v>18</v>
      </c>
      <c r="B1404" s="114"/>
      <c r="C1404" s="114"/>
      <c r="D1404" s="115"/>
    </row>
    <row r="1405" spans="1:4" ht="42.75" customHeight="1" thickBot="1">
      <c r="A1405" s="126" t="s">
        <v>19</v>
      </c>
      <c r="B1405" s="127"/>
      <c r="C1405" s="127"/>
      <c r="D1405" s="128"/>
    </row>
    <row r="1406" spans="1:4" ht="42.75" customHeight="1" thickBot="1">
      <c r="A1406" s="123" t="s">
        <v>11</v>
      </c>
      <c r="B1406" s="124"/>
      <c r="C1406" s="125" t="s">
        <v>603</v>
      </c>
      <c r="D1406" s="124"/>
    </row>
    <row r="1407" spans="1:4" ht="42.75" customHeight="1" thickBot="1">
      <c r="A1407" s="1" t="s">
        <v>686</v>
      </c>
      <c r="B1407" s="26" t="s">
        <v>1</v>
      </c>
      <c r="C1407" s="90" t="s">
        <v>262</v>
      </c>
      <c r="D1407" s="91"/>
    </row>
    <row r="1408" spans="1:4" ht="42.75" customHeight="1" thickBot="1">
      <c r="A1408" s="26"/>
      <c r="B1408" s="26" t="s">
        <v>0</v>
      </c>
      <c r="C1408" s="5" t="s">
        <v>687</v>
      </c>
      <c r="D1408" s="4" t="s">
        <v>2</v>
      </c>
    </row>
    <row r="1409" spans="1:4" ht="42.75" customHeight="1" thickBot="1">
      <c r="A1409" s="92">
        <v>935</v>
      </c>
      <c r="B1409" s="93"/>
      <c r="C1409" s="94" t="s">
        <v>3</v>
      </c>
      <c r="D1409" s="95"/>
    </row>
    <row r="1410" spans="1:4" ht="42.75" customHeight="1" thickBot="1">
      <c r="A1410" s="92">
        <v>1000</v>
      </c>
      <c r="B1410" s="93"/>
      <c r="C1410" s="96" t="s">
        <v>4</v>
      </c>
      <c r="D1410" s="97"/>
    </row>
    <row r="1411" spans="1:4" ht="42.75" customHeight="1" thickBot="1">
      <c r="A1411" s="98">
        <f>A1410-A1409</f>
        <v>65</v>
      </c>
      <c r="B1411" s="99"/>
      <c r="C1411" s="100" t="s">
        <v>5</v>
      </c>
      <c r="D1411" s="97"/>
    </row>
    <row r="1412" spans="1:4" ht="42.75" customHeight="1" thickBot="1">
      <c r="A1412" s="101">
        <v>45</v>
      </c>
      <c r="B1412" s="102"/>
      <c r="C1412" s="96" t="s">
        <v>6</v>
      </c>
      <c r="D1412" s="97"/>
    </row>
    <row r="1413" spans="1:4" ht="42.75" customHeight="1" thickBot="1">
      <c r="A1413" s="103"/>
      <c r="B1413" s="104"/>
      <c r="C1413" s="96" t="s">
        <v>21</v>
      </c>
      <c r="D1413" s="97"/>
    </row>
    <row r="1414" spans="1:4" ht="42.75" customHeight="1" thickBot="1">
      <c r="A1414" s="105">
        <v>2900</v>
      </c>
      <c r="B1414" s="106"/>
      <c r="C1414" s="96" t="s">
        <v>7</v>
      </c>
      <c r="D1414" s="97"/>
    </row>
    <row r="1415" spans="1:4" ht="42.75" customHeight="1" thickBot="1">
      <c r="A1415" s="107" t="s">
        <v>17</v>
      </c>
      <c r="B1415" s="108"/>
      <c r="C1415" s="108"/>
      <c r="D1415" s="109"/>
    </row>
    <row r="1416" spans="1:4" ht="42.75" customHeight="1" thickBot="1">
      <c r="A1416" s="116" t="s">
        <v>20</v>
      </c>
      <c r="B1416" s="117"/>
      <c r="C1416" s="117"/>
      <c r="D1416" s="118"/>
    </row>
    <row r="1417" spans="1:4" ht="42.75" customHeight="1" thickBot="1">
      <c r="A1417" s="113" t="s">
        <v>18</v>
      </c>
      <c r="B1417" s="114"/>
      <c r="C1417" s="114"/>
      <c r="D1417" s="115"/>
    </row>
    <row r="1418" spans="1:4" ht="42.75" customHeight="1" thickBot="1">
      <c r="A1418" s="119"/>
      <c r="B1418" s="119"/>
      <c r="C1418" s="119"/>
      <c r="D1418" s="119"/>
    </row>
    <row r="1419" spans="1:4" ht="42.75" customHeight="1" thickBot="1">
      <c r="A1419" s="126" t="s">
        <v>19</v>
      </c>
      <c r="B1419" s="127"/>
      <c r="C1419" s="127"/>
      <c r="D1419" s="128"/>
    </row>
    <row r="1420" spans="1:4" ht="42.75" customHeight="1" thickBot="1">
      <c r="A1420" s="123" t="s">
        <v>11</v>
      </c>
      <c r="B1420" s="124"/>
      <c r="C1420" s="125" t="s">
        <v>603</v>
      </c>
      <c r="D1420" s="124"/>
    </row>
    <row r="1421" spans="1:4" ht="42.75" customHeight="1" thickBot="1">
      <c r="A1421" s="1" t="s">
        <v>686</v>
      </c>
      <c r="B1421" s="26" t="s">
        <v>1</v>
      </c>
      <c r="C1421" s="90" t="s">
        <v>262</v>
      </c>
      <c r="D1421" s="91"/>
    </row>
    <row r="1422" spans="1:4" ht="42.75" customHeight="1" thickBot="1">
      <c r="A1422" s="26"/>
      <c r="B1422" s="26" t="s">
        <v>0</v>
      </c>
      <c r="C1422" s="5" t="s">
        <v>687</v>
      </c>
      <c r="D1422" s="4" t="s">
        <v>2</v>
      </c>
    </row>
    <row r="1423" spans="1:4" ht="42.75" customHeight="1" thickBot="1">
      <c r="A1423" s="92">
        <v>935</v>
      </c>
      <c r="B1423" s="93"/>
      <c r="C1423" s="94" t="s">
        <v>3</v>
      </c>
      <c r="D1423" s="95"/>
    </row>
    <row r="1424" spans="1:4" ht="42.75" customHeight="1" thickBot="1">
      <c r="A1424" s="92">
        <v>1000</v>
      </c>
      <c r="B1424" s="93"/>
      <c r="C1424" s="96" t="s">
        <v>4</v>
      </c>
      <c r="D1424" s="97"/>
    </row>
    <row r="1425" spans="1:4" ht="42.75" customHeight="1" thickBot="1">
      <c r="A1425" s="98">
        <f>A1424-A1423</f>
        <v>65</v>
      </c>
      <c r="B1425" s="99"/>
      <c r="C1425" s="100" t="s">
        <v>5</v>
      </c>
      <c r="D1425" s="97"/>
    </row>
    <row r="1426" spans="1:4" ht="42.75" customHeight="1" thickBot="1">
      <c r="A1426" s="101">
        <v>45</v>
      </c>
      <c r="B1426" s="102"/>
      <c r="C1426" s="96" t="s">
        <v>6</v>
      </c>
      <c r="D1426" s="97"/>
    </row>
    <row r="1427" spans="1:4" ht="42.75" customHeight="1" thickBot="1">
      <c r="A1427" s="103"/>
      <c r="B1427" s="104"/>
      <c r="C1427" s="96" t="s">
        <v>21</v>
      </c>
      <c r="D1427" s="97"/>
    </row>
    <row r="1428" spans="1:4" ht="42.75" customHeight="1" thickBot="1">
      <c r="A1428" s="105">
        <v>2900</v>
      </c>
      <c r="B1428" s="106"/>
      <c r="C1428" s="96" t="s">
        <v>7</v>
      </c>
      <c r="D1428" s="97"/>
    </row>
    <row r="1429" spans="1:4" ht="42.75" customHeight="1" thickBot="1">
      <c r="A1429" s="107" t="s">
        <v>17</v>
      </c>
      <c r="B1429" s="108"/>
      <c r="C1429" s="108"/>
      <c r="D1429" s="109"/>
    </row>
    <row r="1430" spans="1:4" ht="42.75" customHeight="1" thickBot="1">
      <c r="A1430" s="110" t="s">
        <v>20</v>
      </c>
      <c r="B1430" s="111"/>
      <c r="C1430" s="111"/>
      <c r="D1430" s="112"/>
    </row>
    <row r="1431" spans="1:4" ht="42.75" customHeight="1" thickBot="1">
      <c r="A1431" s="113" t="s">
        <v>18</v>
      </c>
      <c r="B1431" s="114"/>
      <c r="C1431" s="114"/>
      <c r="D1431" s="115"/>
    </row>
    <row r="1432" spans="1:4" ht="42.75" customHeight="1" thickBot="1">
      <c r="A1432" s="126" t="s">
        <v>19</v>
      </c>
      <c r="B1432" s="127"/>
      <c r="C1432" s="127"/>
      <c r="D1432" s="128"/>
    </row>
    <row r="1433" spans="1:4" ht="42.75" customHeight="1" thickBot="1">
      <c r="A1433" s="123" t="s">
        <v>11</v>
      </c>
      <c r="B1433" s="124"/>
      <c r="C1433" s="125" t="s">
        <v>603</v>
      </c>
      <c r="D1433" s="124"/>
    </row>
    <row r="1434" spans="1:4" ht="42.75" customHeight="1" thickBot="1">
      <c r="A1434" s="1" t="s">
        <v>686</v>
      </c>
      <c r="B1434" s="26" t="s">
        <v>1</v>
      </c>
      <c r="C1434" s="90" t="s">
        <v>54</v>
      </c>
      <c r="D1434" s="91"/>
    </row>
    <row r="1435" spans="1:4" ht="42.75" customHeight="1" thickBot="1">
      <c r="A1435" s="26"/>
      <c r="B1435" s="26" t="s">
        <v>0</v>
      </c>
      <c r="C1435" s="5" t="s">
        <v>687</v>
      </c>
      <c r="D1435" s="4" t="s">
        <v>2</v>
      </c>
    </row>
    <row r="1436" spans="1:4" ht="42.75" customHeight="1" thickBot="1">
      <c r="A1436" s="92">
        <v>6895</v>
      </c>
      <c r="B1436" s="93"/>
      <c r="C1436" s="94" t="s">
        <v>3</v>
      </c>
      <c r="D1436" s="95"/>
    </row>
    <row r="1437" spans="1:4" ht="42.75" customHeight="1" thickBot="1">
      <c r="A1437" s="92">
        <v>6980</v>
      </c>
      <c r="B1437" s="93"/>
      <c r="C1437" s="96" t="s">
        <v>4</v>
      </c>
      <c r="D1437" s="97"/>
    </row>
    <row r="1438" spans="1:4" ht="42.75" customHeight="1" thickBot="1">
      <c r="A1438" s="98">
        <f>A1437-A1436</f>
        <v>85</v>
      </c>
      <c r="B1438" s="99"/>
      <c r="C1438" s="100" t="s">
        <v>5</v>
      </c>
      <c r="D1438" s="97"/>
    </row>
    <row r="1439" spans="1:4" ht="42.75" customHeight="1" thickBot="1">
      <c r="A1439" s="101">
        <v>62</v>
      </c>
      <c r="B1439" s="102"/>
      <c r="C1439" s="96" t="s">
        <v>6</v>
      </c>
      <c r="D1439" s="97"/>
    </row>
    <row r="1440" spans="1:4" ht="42.75" customHeight="1" thickBot="1">
      <c r="A1440" s="103"/>
      <c r="B1440" s="104"/>
      <c r="C1440" s="96" t="s">
        <v>21</v>
      </c>
      <c r="D1440" s="97"/>
    </row>
    <row r="1441" spans="1:4" ht="42.75" customHeight="1" thickBot="1">
      <c r="A1441" s="105">
        <v>5300</v>
      </c>
      <c r="B1441" s="106"/>
      <c r="C1441" s="96" t="s">
        <v>7</v>
      </c>
      <c r="D1441" s="97"/>
    </row>
    <row r="1442" spans="1:4" ht="42.75" customHeight="1" thickBot="1">
      <c r="A1442" s="107" t="s">
        <v>17</v>
      </c>
      <c r="B1442" s="108"/>
      <c r="C1442" s="108"/>
      <c r="D1442" s="109"/>
    </row>
    <row r="1443" spans="1:4" ht="42.75" customHeight="1" thickBot="1">
      <c r="A1443" s="116" t="s">
        <v>20</v>
      </c>
      <c r="B1443" s="117"/>
      <c r="C1443" s="117"/>
      <c r="D1443" s="118"/>
    </row>
    <row r="1444" spans="1:4" ht="42.75" customHeight="1" thickBot="1">
      <c r="A1444" s="113" t="s">
        <v>18</v>
      </c>
      <c r="B1444" s="114"/>
      <c r="C1444" s="114"/>
      <c r="D1444" s="115"/>
    </row>
    <row r="1445" spans="1:4" ht="42.75" customHeight="1" thickBot="1">
      <c r="A1445" s="119"/>
      <c r="B1445" s="119"/>
      <c r="C1445" s="119"/>
      <c r="D1445" s="119"/>
    </row>
    <row r="1446" spans="1:4" ht="42.75" customHeight="1" thickBot="1">
      <c r="A1446" s="126" t="s">
        <v>19</v>
      </c>
      <c r="B1446" s="127"/>
      <c r="C1446" s="127"/>
      <c r="D1446" s="128"/>
    </row>
    <row r="1447" spans="1:4" ht="42.75" customHeight="1" thickBot="1">
      <c r="A1447" s="123" t="s">
        <v>11</v>
      </c>
      <c r="B1447" s="124"/>
      <c r="C1447" s="125" t="s">
        <v>603</v>
      </c>
      <c r="D1447" s="124"/>
    </row>
    <row r="1448" spans="1:4" ht="42.75" customHeight="1" thickBot="1">
      <c r="A1448" s="1" t="s">
        <v>686</v>
      </c>
      <c r="B1448" s="26" t="s">
        <v>1</v>
      </c>
      <c r="C1448" s="90" t="s">
        <v>54</v>
      </c>
      <c r="D1448" s="91"/>
    </row>
    <row r="1449" spans="1:4" ht="42.75" customHeight="1" thickBot="1">
      <c r="A1449" s="26"/>
      <c r="B1449" s="26" t="s">
        <v>0</v>
      </c>
      <c r="C1449" s="5" t="s">
        <v>687</v>
      </c>
      <c r="D1449" s="4" t="s">
        <v>2</v>
      </c>
    </row>
    <row r="1450" spans="1:4" ht="42.75" customHeight="1" thickBot="1">
      <c r="A1450" s="92">
        <v>6895</v>
      </c>
      <c r="B1450" s="93"/>
      <c r="C1450" s="94" t="s">
        <v>3</v>
      </c>
      <c r="D1450" s="95"/>
    </row>
    <row r="1451" spans="1:4" ht="42.75" customHeight="1" thickBot="1">
      <c r="A1451" s="92">
        <v>6980</v>
      </c>
      <c r="B1451" s="93"/>
      <c r="C1451" s="96" t="s">
        <v>4</v>
      </c>
      <c r="D1451" s="97"/>
    </row>
    <row r="1452" spans="1:4" ht="42.75" customHeight="1" thickBot="1">
      <c r="A1452" s="98">
        <f>A1451-A1450</f>
        <v>85</v>
      </c>
      <c r="B1452" s="99"/>
      <c r="C1452" s="100" t="s">
        <v>5</v>
      </c>
      <c r="D1452" s="97"/>
    </row>
    <row r="1453" spans="1:4" ht="42.75" customHeight="1" thickBot="1">
      <c r="A1453" s="101">
        <v>62</v>
      </c>
      <c r="B1453" s="102"/>
      <c r="C1453" s="96" t="s">
        <v>6</v>
      </c>
      <c r="D1453" s="97"/>
    </row>
    <row r="1454" spans="1:4" ht="42.75" customHeight="1" thickBot="1">
      <c r="A1454" s="103"/>
      <c r="B1454" s="104"/>
      <c r="C1454" s="96" t="s">
        <v>21</v>
      </c>
      <c r="D1454" s="97"/>
    </row>
    <row r="1455" spans="1:4" ht="42.75" customHeight="1" thickBot="1">
      <c r="A1455" s="105">
        <v>5300</v>
      </c>
      <c r="B1455" s="106"/>
      <c r="C1455" s="96" t="s">
        <v>7</v>
      </c>
      <c r="D1455" s="97"/>
    </row>
    <row r="1456" spans="1:4" ht="42.75" customHeight="1" thickBot="1">
      <c r="A1456" s="107" t="s">
        <v>17</v>
      </c>
      <c r="B1456" s="108"/>
      <c r="C1456" s="108"/>
      <c r="D1456" s="109"/>
    </row>
    <row r="1457" spans="1:4" ht="42.75" customHeight="1" thickBot="1">
      <c r="A1457" s="110" t="s">
        <v>20</v>
      </c>
      <c r="B1457" s="111"/>
      <c r="C1457" s="111"/>
      <c r="D1457" s="112"/>
    </row>
    <row r="1458" spans="1:4" ht="42.75" customHeight="1" thickBot="1">
      <c r="A1458" s="113" t="s">
        <v>18</v>
      </c>
      <c r="B1458" s="114"/>
      <c r="C1458" s="114"/>
      <c r="D1458" s="115"/>
    </row>
    <row r="1459" spans="1:4" ht="42.75" customHeight="1" thickBot="1">
      <c r="A1459" s="126" t="s">
        <v>19</v>
      </c>
      <c r="B1459" s="127"/>
      <c r="C1459" s="127"/>
      <c r="D1459" s="128"/>
    </row>
    <row r="1460" spans="1:4" ht="42.75" customHeight="1" thickBot="1">
      <c r="A1460" s="123" t="s">
        <v>11</v>
      </c>
      <c r="B1460" s="124"/>
      <c r="C1460" s="125" t="s">
        <v>603</v>
      </c>
      <c r="D1460" s="124"/>
    </row>
    <row r="1461" spans="1:4" ht="42.75" customHeight="1" thickBot="1">
      <c r="A1461" s="1" t="s">
        <v>686</v>
      </c>
      <c r="B1461" s="26" t="s">
        <v>1</v>
      </c>
      <c r="C1461" s="90" t="s">
        <v>53</v>
      </c>
      <c r="D1461" s="91"/>
    </row>
    <row r="1462" spans="1:4" ht="42.75" customHeight="1" thickBot="1">
      <c r="A1462" s="26"/>
      <c r="B1462" s="26" t="s">
        <v>0</v>
      </c>
      <c r="C1462" s="5" t="s">
        <v>687</v>
      </c>
      <c r="D1462" s="4" t="s">
        <v>2</v>
      </c>
    </row>
    <row r="1463" spans="1:4" ht="42.75" customHeight="1" thickBot="1">
      <c r="A1463" s="92">
        <v>4285</v>
      </c>
      <c r="B1463" s="93"/>
      <c r="C1463" s="94" t="s">
        <v>3</v>
      </c>
      <c r="D1463" s="95"/>
    </row>
    <row r="1464" spans="1:4" ht="42.75" customHeight="1" thickBot="1">
      <c r="A1464" s="92">
        <v>4325</v>
      </c>
      <c r="B1464" s="93"/>
      <c r="C1464" s="96" t="s">
        <v>4</v>
      </c>
      <c r="D1464" s="97"/>
    </row>
    <row r="1465" spans="1:4" ht="42.75" customHeight="1" thickBot="1">
      <c r="A1465" s="98">
        <f>A1464-A1463</f>
        <v>40</v>
      </c>
      <c r="B1465" s="99"/>
      <c r="C1465" s="100" t="s">
        <v>5</v>
      </c>
      <c r="D1465" s="97"/>
    </row>
    <row r="1466" spans="1:4" ht="42.75" customHeight="1" thickBot="1">
      <c r="A1466" s="101">
        <v>62</v>
      </c>
      <c r="B1466" s="102"/>
      <c r="C1466" s="96" t="s">
        <v>6</v>
      </c>
      <c r="D1466" s="97"/>
    </row>
    <row r="1467" spans="1:4" ht="42.75" customHeight="1" thickBot="1">
      <c r="A1467" s="103"/>
      <c r="B1467" s="104"/>
      <c r="C1467" s="96" t="s">
        <v>21</v>
      </c>
      <c r="D1467" s="97"/>
    </row>
    <row r="1468" spans="1:4" ht="42.75" customHeight="1" thickBot="1">
      <c r="A1468" s="105">
        <v>2500</v>
      </c>
      <c r="B1468" s="106"/>
      <c r="C1468" s="96" t="s">
        <v>7</v>
      </c>
      <c r="D1468" s="97"/>
    </row>
    <row r="1469" spans="1:4" ht="42.75" customHeight="1" thickBot="1">
      <c r="A1469" s="107" t="s">
        <v>17</v>
      </c>
      <c r="B1469" s="108"/>
      <c r="C1469" s="108"/>
      <c r="D1469" s="109"/>
    </row>
    <row r="1470" spans="1:4" ht="42.75" customHeight="1" thickBot="1">
      <c r="A1470" s="116" t="s">
        <v>20</v>
      </c>
      <c r="B1470" s="117"/>
      <c r="C1470" s="117"/>
      <c r="D1470" s="118"/>
    </row>
    <row r="1471" spans="1:4" ht="42.75" customHeight="1" thickBot="1">
      <c r="A1471" s="113" t="s">
        <v>18</v>
      </c>
      <c r="B1471" s="114"/>
      <c r="C1471" s="114"/>
      <c r="D1471" s="115"/>
    </row>
    <row r="1472" spans="1:4" ht="42.75" customHeight="1" thickBot="1">
      <c r="A1472" s="119"/>
      <c r="B1472" s="119"/>
      <c r="C1472" s="119"/>
      <c r="D1472" s="119"/>
    </row>
    <row r="1473" spans="1:4" ht="42.75" customHeight="1" thickBot="1">
      <c r="A1473" s="126" t="s">
        <v>19</v>
      </c>
      <c r="B1473" s="127"/>
      <c r="C1473" s="127"/>
      <c r="D1473" s="128"/>
    </row>
    <row r="1474" spans="1:4" ht="42.75" customHeight="1" thickBot="1">
      <c r="A1474" s="123" t="s">
        <v>11</v>
      </c>
      <c r="B1474" s="124"/>
      <c r="C1474" s="125" t="s">
        <v>603</v>
      </c>
      <c r="D1474" s="124"/>
    </row>
    <row r="1475" spans="1:4" ht="42.75" customHeight="1" thickBot="1">
      <c r="A1475" s="1" t="s">
        <v>686</v>
      </c>
      <c r="B1475" s="26" t="s">
        <v>1</v>
      </c>
      <c r="C1475" s="90" t="s">
        <v>53</v>
      </c>
      <c r="D1475" s="91"/>
    </row>
    <row r="1476" spans="1:4" ht="42.75" customHeight="1" thickBot="1">
      <c r="A1476" s="26"/>
      <c r="B1476" s="26" t="s">
        <v>0</v>
      </c>
      <c r="C1476" s="5" t="s">
        <v>687</v>
      </c>
      <c r="D1476" s="4" t="s">
        <v>2</v>
      </c>
    </row>
    <row r="1477" spans="1:4" ht="42.75" customHeight="1" thickBot="1">
      <c r="A1477" s="92">
        <v>4285</v>
      </c>
      <c r="B1477" s="93"/>
      <c r="C1477" s="94" t="s">
        <v>3</v>
      </c>
      <c r="D1477" s="95"/>
    </row>
    <row r="1478" spans="1:4" ht="42.75" customHeight="1" thickBot="1">
      <c r="A1478" s="92">
        <v>4325</v>
      </c>
      <c r="B1478" s="93"/>
      <c r="C1478" s="96" t="s">
        <v>4</v>
      </c>
      <c r="D1478" s="97"/>
    </row>
    <row r="1479" spans="1:4" ht="42.75" customHeight="1" thickBot="1">
      <c r="A1479" s="98">
        <f>A1478-A1477</f>
        <v>40</v>
      </c>
      <c r="B1479" s="99"/>
      <c r="C1479" s="100" t="s">
        <v>5</v>
      </c>
      <c r="D1479" s="97"/>
    </row>
    <row r="1480" spans="1:4" ht="42.75" customHeight="1" thickBot="1">
      <c r="A1480" s="101">
        <v>62</v>
      </c>
      <c r="B1480" s="102"/>
      <c r="C1480" s="96" t="s">
        <v>6</v>
      </c>
      <c r="D1480" s="97"/>
    </row>
    <row r="1481" spans="1:4" ht="42.75" customHeight="1" thickBot="1">
      <c r="A1481" s="103"/>
      <c r="B1481" s="104"/>
      <c r="C1481" s="96" t="s">
        <v>21</v>
      </c>
      <c r="D1481" s="97"/>
    </row>
    <row r="1482" spans="1:4" ht="42.75" customHeight="1" thickBot="1">
      <c r="A1482" s="105">
        <v>2500</v>
      </c>
      <c r="B1482" s="106"/>
      <c r="C1482" s="96" t="s">
        <v>7</v>
      </c>
      <c r="D1482" s="97"/>
    </row>
    <row r="1483" spans="1:4" ht="42.75" customHeight="1" thickBot="1">
      <c r="A1483" s="107" t="s">
        <v>17</v>
      </c>
      <c r="B1483" s="108"/>
      <c r="C1483" s="108"/>
      <c r="D1483" s="109"/>
    </row>
    <row r="1484" spans="1:4" ht="42.75" customHeight="1" thickBot="1">
      <c r="A1484" s="110" t="s">
        <v>20</v>
      </c>
      <c r="B1484" s="111"/>
      <c r="C1484" s="111"/>
      <c r="D1484" s="112"/>
    </row>
    <row r="1485" spans="1:4" ht="42.75" customHeight="1" thickBot="1">
      <c r="A1485" s="113" t="s">
        <v>18</v>
      </c>
      <c r="B1485" s="114"/>
      <c r="C1485" s="114"/>
      <c r="D1485" s="115"/>
    </row>
    <row r="1486" spans="1:4" ht="42.75" customHeight="1" thickBot="1">
      <c r="A1486" s="126" t="s">
        <v>19</v>
      </c>
      <c r="B1486" s="127"/>
      <c r="C1486" s="127"/>
      <c r="D1486" s="128"/>
    </row>
    <row r="1487" spans="1:4" ht="42.75" customHeight="1" thickBot="1">
      <c r="A1487" s="123" t="s">
        <v>11</v>
      </c>
      <c r="B1487" s="124"/>
      <c r="C1487" s="125" t="s">
        <v>603</v>
      </c>
      <c r="D1487" s="124"/>
    </row>
    <row r="1488" spans="1:4" ht="42.75" customHeight="1" thickBot="1">
      <c r="A1488" s="1" t="s">
        <v>686</v>
      </c>
      <c r="B1488" s="26" t="s">
        <v>1</v>
      </c>
      <c r="C1488" s="90" t="s">
        <v>386</v>
      </c>
      <c r="D1488" s="91"/>
    </row>
    <row r="1489" spans="1:4" ht="42.75" customHeight="1" thickBot="1">
      <c r="A1489" s="26"/>
      <c r="B1489" s="26" t="s">
        <v>0</v>
      </c>
      <c r="C1489" s="5" t="s">
        <v>687</v>
      </c>
      <c r="D1489" s="4" t="s">
        <v>2</v>
      </c>
    </row>
    <row r="1490" spans="1:4" ht="42.75" customHeight="1" thickBot="1">
      <c r="A1490" s="92">
        <v>12700</v>
      </c>
      <c r="B1490" s="93"/>
      <c r="C1490" s="94" t="s">
        <v>3</v>
      </c>
      <c r="D1490" s="95"/>
    </row>
    <row r="1491" spans="1:4" ht="42.75" customHeight="1" thickBot="1">
      <c r="A1491" s="92">
        <v>13500</v>
      </c>
      <c r="B1491" s="93"/>
      <c r="C1491" s="96" t="s">
        <v>4</v>
      </c>
      <c r="D1491" s="97"/>
    </row>
    <row r="1492" spans="1:4" ht="42.75" customHeight="1" thickBot="1">
      <c r="A1492" s="98">
        <f>A1491-A1490</f>
        <v>800</v>
      </c>
      <c r="B1492" s="99"/>
      <c r="C1492" s="100" t="s">
        <v>5</v>
      </c>
      <c r="D1492" s="97"/>
    </row>
    <row r="1493" spans="1:4" ht="42.75" customHeight="1" thickBot="1">
      <c r="A1493" s="101">
        <v>25</v>
      </c>
      <c r="B1493" s="102"/>
      <c r="C1493" s="96" t="s">
        <v>6</v>
      </c>
      <c r="D1493" s="97"/>
    </row>
    <row r="1494" spans="1:4" ht="42.75" customHeight="1" thickBot="1">
      <c r="A1494" s="103"/>
      <c r="B1494" s="104"/>
      <c r="C1494" s="96" t="s">
        <v>21</v>
      </c>
      <c r="D1494" s="97"/>
    </row>
    <row r="1495" spans="1:4" ht="42.75" customHeight="1" thickBot="1">
      <c r="A1495" s="105">
        <f>A1493*A1492</f>
        <v>20000</v>
      </c>
      <c r="B1495" s="106"/>
      <c r="C1495" s="96" t="s">
        <v>7</v>
      </c>
      <c r="D1495" s="97"/>
    </row>
    <row r="1496" spans="1:4" ht="42.75" customHeight="1" thickBot="1">
      <c r="A1496" s="107" t="s">
        <v>17</v>
      </c>
      <c r="B1496" s="108"/>
      <c r="C1496" s="108"/>
      <c r="D1496" s="109"/>
    </row>
    <row r="1497" spans="1:4" ht="42.75" customHeight="1" thickBot="1">
      <c r="A1497" s="116" t="s">
        <v>20</v>
      </c>
      <c r="B1497" s="117"/>
      <c r="C1497" s="117"/>
      <c r="D1497" s="118"/>
    </row>
    <row r="1498" spans="1:4" ht="42.75" customHeight="1" thickBot="1">
      <c r="A1498" s="113" t="s">
        <v>18</v>
      </c>
      <c r="B1498" s="114"/>
      <c r="C1498" s="114"/>
      <c r="D1498" s="115"/>
    </row>
    <row r="1499" spans="1:4" ht="42.75" customHeight="1" thickBot="1">
      <c r="A1499" s="119"/>
      <c r="B1499" s="119"/>
      <c r="C1499" s="119"/>
      <c r="D1499" s="119"/>
    </row>
    <row r="1500" spans="1:4" ht="42.75" customHeight="1" thickBot="1">
      <c r="A1500" s="126" t="s">
        <v>19</v>
      </c>
      <c r="B1500" s="127"/>
      <c r="C1500" s="127"/>
      <c r="D1500" s="128"/>
    </row>
    <row r="1501" spans="1:4" ht="42.75" customHeight="1" thickBot="1">
      <c r="A1501" s="123" t="s">
        <v>11</v>
      </c>
      <c r="B1501" s="124"/>
      <c r="C1501" s="125" t="s">
        <v>603</v>
      </c>
      <c r="D1501" s="124"/>
    </row>
    <row r="1502" spans="1:4" ht="42.75" customHeight="1" thickBot="1">
      <c r="A1502" s="1" t="s">
        <v>686</v>
      </c>
      <c r="B1502" s="26" t="s">
        <v>1</v>
      </c>
      <c r="C1502" s="90" t="s">
        <v>386</v>
      </c>
      <c r="D1502" s="91"/>
    </row>
    <row r="1503" spans="1:4" ht="42.75" customHeight="1" thickBot="1">
      <c r="A1503" s="26"/>
      <c r="B1503" s="26" t="s">
        <v>0</v>
      </c>
      <c r="C1503" s="5" t="s">
        <v>687</v>
      </c>
      <c r="D1503" s="4" t="s">
        <v>2</v>
      </c>
    </row>
    <row r="1504" spans="1:4" ht="42.75" customHeight="1" thickBot="1">
      <c r="A1504" s="92">
        <v>12700</v>
      </c>
      <c r="B1504" s="93"/>
      <c r="C1504" s="94" t="s">
        <v>3</v>
      </c>
      <c r="D1504" s="95"/>
    </row>
    <row r="1505" spans="1:4" ht="42.75" customHeight="1" thickBot="1">
      <c r="A1505" s="92">
        <v>13500</v>
      </c>
      <c r="B1505" s="93"/>
      <c r="C1505" s="96" t="s">
        <v>4</v>
      </c>
      <c r="D1505" s="97"/>
    </row>
    <row r="1506" spans="1:4" ht="42.75" customHeight="1" thickBot="1">
      <c r="A1506" s="98">
        <f>A1505-A1504</f>
        <v>800</v>
      </c>
      <c r="B1506" s="99"/>
      <c r="C1506" s="100" t="s">
        <v>5</v>
      </c>
      <c r="D1506" s="97"/>
    </row>
    <row r="1507" spans="1:4" ht="42.75" customHeight="1" thickBot="1">
      <c r="A1507" s="101">
        <v>40</v>
      </c>
      <c r="B1507" s="102"/>
      <c r="C1507" s="96" t="s">
        <v>6</v>
      </c>
      <c r="D1507" s="97"/>
    </row>
    <row r="1508" spans="1:4" ht="42.75" customHeight="1" thickBot="1">
      <c r="A1508" s="103"/>
      <c r="B1508" s="104"/>
      <c r="C1508" s="96" t="s">
        <v>21</v>
      </c>
      <c r="D1508" s="97"/>
    </row>
    <row r="1509" spans="1:4" ht="42.75" customHeight="1" thickBot="1">
      <c r="A1509" s="105">
        <f>A1507*A1506</f>
        <v>32000</v>
      </c>
      <c r="B1509" s="106"/>
      <c r="C1509" s="96" t="s">
        <v>7</v>
      </c>
      <c r="D1509" s="97"/>
    </row>
    <row r="1510" spans="1:4" ht="42.75" customHeight="1" thickBot="1">
      <c r="A1510" s="107" t="s">
        <v>17</v>
      </c>
      <c r="B1510" s="108"/>
      <c r="C1510" s="108"/>
      <c r="D1510" s="109"/>
    </row>
    <row r="1511" spans="1:4" ht="42.75" customHeight="1" thickBot="1">
      <c r="A1511" s="110" t="s">
        <v>20</v>
      </c>
      <c r="B1511" s="111"/>
      <c r="C1511" s="111"/>
      <c r="D1511" s="112"/>
    </row>
    <row r="1512" spans="1:4" ht="42.75" customHeight="1" thickBot="1">
      <c r="A1512" s="113" t="s">
        <v>18</v>
      </c>
      <c r="B1512" s="114"/>
      <c r="C1512" s="114"/>
      <c r="D1512" s="115"/>
    </row>
    <row r="1513" spans="1:4" ht="42.75" customHeight="1" thickBot="1">
      <c r="A1513" s="126" t="s">
        <v>19</v>
      </c>
      <c r="B1513" s="127"/>
      <c r="C1513" s="127"/>
      <c r="D1513" s="128"/>
    </row>
    <row r="1514" spans="1:4" ht="42.75" customHeight="1" thickBot="1">
      <c r="A1514" s="123" t="s">
        <v>11</v>
      </c>
      <c r="B1514" s="124"/>
      <c r="C1514" s="125" t="s">
        <v>603</v>
      </c>
      <c r="D1514" s="124"/>
    </row>
    <row r="1515" spans="1:4" ht="42.75" customHeight="1" thickBot="1">
      <c r="A1515" s="1" t="s">
        <v>686</v>
      </c>
      <c r="B1515" s="26" t="s">
        <v>1</v>
      </c>
      <c r="C1515" s="90" t="s">
        <v>151</v>
      </c>
      <c r="D1515" s="91"/>
    </row>
    <row r="1516" spans="1:4" ht="42.75" customHeight="1" thickBot="1">
      <c r="A1516" s="26"/>
      <c r="B1516" s="26" t="s">
        <v>0</v>
      </c>
      <c r="C1516" s="5" t="s">
        <v>687</v>
      </c>
      <c r="D1516" s="4" t="s">
        <v>2</v>
      </c>
    </row>
    <row r="1517" spans="1:4" ht="42.75" customHeight="1" thickBot="1">
      <c r="A1517" s="92">
        <v>1870</v>
      </c>
      <c r="B1517" s="93"/>
      <c r="C1517" s="94" t="s">
        <v>3</v>
      </c>
      <c r="D1517" s="95"/>
    </row>
    <row r="1518" spans="1:4" ht="42.75" customHeight="1" thickBot="1">
      <c r="A1518" s="92">
        <v>1885</v>
      </c>
      <c r="B1518" s="93"/>
      <c r="C1518" s="96" t="s">
        <v>4</v>
      </c>
      <c r="D1518" s="97"/>
    </row>
    <row r="1519" spans="1:4" ht="42.75" customHeight="1" thickBot="1">
      <c r="A1519" s="98">
        <f>A1518-A1517</f>
        <v>15</v>
      </c>
      <c r="B1519" s="99"/>
      <c r="C1519" s="100" t="s">
        <v>5</v>
      </c>
      <c r="D1519" s="97"/>
    </row>
    <row r="1520" spans="1:4" ht="42.75" customHeight="1" thickBot="1">
      <c r="A1520" s="101">
        <v>40</v>
      </c>
      <c r="B1520" s="102"/>
      <c r="C1520" s="96" t="s">
        <v>6</v>
      </c>
      <c r="D1520" s="97"/>
    </row>
    <row r="1521" spans="1:4" ht="42.75" customHeight="1" thickBot="1">
      <c r="A1521" s="103"/>
      <c r="B1521" s="104"/>
      <c r="C1521" s="96" t="s">
        <v>21</v>
      </c>
      <c r="D1521" s="97"/>
    </row>
    <row r="1522" spans="1:4" ht="42.75" customHeight="1" thickBot="1">
      <c r="A1522" s="105">
        <f>A1520*A1519</f>
        <v>600</v>
      </c>
      <c r="B1522" s="106"/>
      <c r="C1522" s="96" t="s">
        <v>7</v>
      </c>
      <c r="D1522" s="97"/>
    </row>
    <row r="1523" spans="1:4" ht="42.75" customHeight="1" thickBot="1">
      <c r="A1523" s="107" t="s">
        <v>17</v>
      </c>
      <c r="B1523" s="108"/>
      <c r="C1523" s="108"/>
      <c r="D1523" s="109"/>
    </row>
    <row r="1524" spans="1:4" ht="42.75" customHeight="1" thickBot="1">
      <c r="A1524" s="116" t="s">
        <v>20</v>
      </c>
      <c r="B1524" s="117"/>
      <c r="C1524" s="117"/>
      <c r="D1524" s="118"/>
    </row>
    <row r="1525" spans="1:4" ht="42.75" customHeight="1" thickBot="1">
      <c r="A1525" s="113" t="s">
        <v>18</v>
      </c>
      <c r="B1525" s="114"/>
      <c r="C1525" s="114"/>
      <c r="D1525" s="115"/>
    </row>
    <row r="1526" spans="1:4" ht="42.75" customHeight="1" thickBot="1">
      <c r="A1526" s="119"/>
      <c r="B1526" s="119"/>
      <c r="C1526" s="119"/>
      <c r="D1526" s="119"/>
    </row>
    <row r="1527" spans="1:4" ht="42.75" customHeight="1" thickBot="1">
      <c r="A1527" s="126" t="s">
        <v>19</v>
      </c>
      <c r="B1527" s="127"/>
      <c r="C1527" s="127"/>
      <c r="D1527" s="128"/>
    </row>
    <row r="1528" spans="1:4" ht="42.75" customHeight="1" thickBot="1">
      <c r="A1528" s="123" t="s">
        <v>11</v>
      </c>
      <c r="B1528" s="124"/>
      <c r="C1528" s="125" t="s">
        <v>603</v>
      </c>
      <c r="D1528" s="124"/>
    </row>
    <row r="1529" spans="1:4" ht="42.75" customHeight="1" thickBot="1">
      <c r="A1529" s="1" t="s">
        <v>686</v>
      </c>
      <c r="B1529" s="26" t="s">
        <v>1</v>
      </c>
      <c r="C1529" s="90" t="s">
        <v>151</v>
      </c>
      <c r="D1529" s="91"/>
    </row>
    <row r="1530" spans="1:4" ht="42.75" customHeight="1" thickBot="1">
      <c r="A1530" s="26"/>
      <c r="B1530" s="26" t="s">
        <v>0</v>
      </c>
      <c r="C1530" s="5" t="s">
        <v>687</v>
      </c>
      <c r="D1530" s="4" t="s">
        <v>2</v>
      </c>
    </row>
    <row r="1531" spans="1:4" ht="42.75" customHeight="1" thickBot="1">
      <c r="A1531" s="92">
        <v>1870</v>
      </c>
      <c r="B1531" s="93"/>
      <c r="C1531" s="94" t="s">
        <v>3</v>
      </c>
      <c r="D1531" s="95"/>
    </row>
    <row r="1532" spans="1:4" ht="42.75" customHeight="1" thickBot="1">
      <c r="A1532" s="92">
        <v>1885</v>
      </c>
      <c r="B1532" s="93"/>
      <c r="C1532" s="96" t="s">
        <v>4</v>
      </c>
      <c r="D1532" s="97"/>
    </row>
    <row r="1533" spans="1:4" ht="42.75" customHeight="1" thickBot="1">
      <c r="A1533" s="98">
        <f>A1532-A1531</f>
        <v>15</v>
      </c>
      <c r="B1533" s="99"/>
      <c r="C1533" s="100" t="s">
        <v>5</v>
      </c>
      <c r="D1533" s="97"/>
    </row>
    <row r="1534" spans="1:4" ht="42.75" customHeight="1" thickBot="1">
      <c r="A1534" s="101">
        <v>40</v>
      </c>
      <c r="B1534" s="102"/>
      <c r="C1534" s="96" t="s">
        <v>6</v>
      </c>
      <c r="D1534" s="97"/>
    </row>
    <row r="1535" spans="1:4" ht="42.75" customHeight="1" thickBot="1">
      <c r="A1535" s="103"/>
      <c r="B1535" s="104"/>
      <c r="C1535" s="96" t="s">
        <v>21</v>
      </c>
      <c r="D1535" s="97"/>
    </row>
    <row r="1536" spans="1:4" ht="42.75" customHeight="1" thickBot="1">
      <c r="A1536" s="105">
        <f>A1534*A1533</f>
        <v>600</v>
      </c>
      <c r="B1536" s="106"/>
      <c r="C1536" s="96" t="s">
        <v>7</v>
      </c>
      <c r="D1536" s="97"/>
    </row>
    <row r="1537" spans="1:4" ht="42.75" customHeight="1" thickBot="1">
      <c r="A1537" s="107" t="s">
        <v>17</v>
      </c>
      <c r="B1537" s="108"/>
      <c r="C1537" s="108"/>
      <c r="D1537" s="109"/>
    </row>
    <row r="1538" spans="1:4" ht="42.75" customHeight="1" thickBot="1">
      <c r="A1538" s="110" t="s">
        <v>20</v>
      </c>
      <c r="B1538" s="111"/>
      <c r="C1538" s="111"/>
      <c r="D1538" s="112"/>
    </row>
    <row r="1539" spans="1:4" ht="42.75" customHeight="1" thickBot="1">
      <c r="A1539" s="113" t="s">
        <v>18</v>
      </c>
      <c r="B1539" s="114"/>
      <c r="C1539" s="114"/>
      <c r="D1539" s="115"/>
    </row>
    <row r="1540" spans="1:4" ht="42.75" customHeight="1" thickBot="1">
      <c r="A1540" s="126" t="s">
        <v>19</v>
      </c>
      <c r="B1540" s="127"/>
      <c r="C1540" s="127"/>
      <c r="D1540" s="128"/>
    </row>
    <row r="1541" spans="1:4" ht="42.75" customHeight="1" thickBot="1">
      <c r="A1541" s="123" t="s">
        <v>11</v>
      </c>
      <c r="B1541" s="124"/>
      <c r="C1541" s="125" t="s">
        <v>603</v>
      </c>
      <c r="D1541" s="124"/>
    </row>
    <row r="1542" spans="1:4" ht="42.75" customHeight="1" thickBot="1">
      <c r="A1542" s="1" t="s">
        <v>686</v>
      </c>
      <c r="B1542" s="26" t="s">
        <v>1</v>
      </c>
      <c r="C1542" s="90" t="s">
        <v>387</v>
      </c>
      <c r="D1542" s="91"/>
    </row>
    <row r="1543" spans="1:4" ht="42.75" customHeight="1" thickBot="1">
      <c r="A1543" s="26"/>
      <c r="B1543" s="26" t="s">
        <v>0</v>
      </c>
      <c r="C1543" s="5" t="s">
        <v>687</v>
      </c>
      <c r="D1543" s="4" t="s">
        <v>2</v>
      </c>
    </row>
    <row r="1544" spans="1:4" ht="42.75" customHeight="1" thickBot="1">
      <c r="A1544" s="92">
        <v>3093</v>
      </c>
      <c r="B1544" s="93"/>
      <c r="C1544" s="94" t="s">
        <v>3</v>
      </c>
      <c r="D1544" s="95"/>
    </row>
    <row r="1545" spans="1:4" ht="42.75" customHeight="1" thickBot="1">
      <c r="A1545" s="92">
        <v>3105</v>
      </c>
      <c r="B1545" s="93"/>
      <c r="C1545" s="96" t="s">
        <v>4</v>
      </c>
      <c r="D1545" s="97"/>
    </row>
    <row r="1546" spans="1:4" ht="42.75" customHeight="1" thickBot="1">
      <c r="A1546" s="98">
        <f>A1545-A1544</f>
        <v>12</v>
      </c>
      <c r="B1546" s="99"/>
      <c r="C1546" s="100" t="s">
        <v>5</v>
      </c>
      <c r="D1546" s="97"/>
    </row>
    <row r="1547" spans="1:4" ht="42.75" customHeight="1" thickBot="1">
      <c r="A1547" s="101">
        <v>40</v>
      </c>
      <c r="B1547" s="102"/>
      <c r="C1547" s="96" t="s">
        <v>6</v>
      </c>
      <c r="D1547" s="97"/>
    </row>
    <row r="1548" spans="1:4" ht="42.75" customHeight="1" thickBot="1">
      <c r="A1548" s="103"/>
      <c r="B1548" s="104"/>
      <c r="C1548" s="96" t="s">
        <v>21</v>
      </c>
      <c r="D1548" s="97"/>
    </row>
    <row r="1549" spans="1:4" ht="42.75" customHeight="1" thickBot="1">
      <c r="A1549" s="105">
        <v>500</v>
      </c>
      <c r="B1549" s="106"/>
      <c r="C1549" s="96" t="s">
        <v>7</v>
      </c>
      <c r="D1549" s="97"/>
    </row>
    <row r="1550" spans="1:4" ht="42.75" customHeight="1" thickBot="1">
      <c r="A1550" s="107" t="s">
        <v>17</v>
      </c>
      <c r="B1550" s="108"/>
      <c r="C1550" s="108"/>
      <c r="D1550" s="109"/>
    </row>
    <row r="1551" spans="1:4" ht="42.75" customHeight="1" thickBot="1">
      <c r="A1551" s="116" t="s">
        <v>20</v>
      </c>
      <c r="B1551" s="117"/>
      <c r="C1551" s="117"/>
      <c r="D1551" s="118"/>
    </row>
    <row r="1552" spans="1:4" ht="42.75" customHeight="1" thickBot="1">
      <c r="A1552" s="113" t="s">
        <v>18</v>
      </c>
      <c r="B1552" s="114"/>
      <c r="C1552" s="114"/>
      <c r="D1552" s="115"/>
    </row>
    <row r="1553" spans="1:4" ht="42.75" customHeight="1" thickBot="1">
      <c r="A1553" s="119"/>
      <c r="B1553" s="119"/>
      <c r="C1553" s="119"/>
      <c r="D1553" s="119"/>
    </row>
    <row r="1554" spans="1:4" ht="42.75" customHeight="1" thickBot="1">
      <c r="A1554" s="126" t="s">
        <v>19</v>
      </c>
      <c r="B1554" s="127"/>
      <c r="C1554" s="127"/>
      <c r="D1554" s="128"/>
    </row>
    <row r="1555" spans="1:4" ht="42.75" customHeight="1" thickBot="1">
      <c r="A1555" s="123" t="s">
        <v>11</v>
      </c>
      <c r="B1555" s="124"/>
      <c r="C1555" s="125" t="s">
        <v>603</v>
      </c>
      <c r="D1555" s="124"/>
    </row>
    <row r="1556" spans="1:4" ht="42.75" customHeight="1" thickBot="1">
      <c r="A1556" s="1" t="s">
        <v>686</v>
      </c>
      <c r="B1556" s="26" t="s">
        <v>1</v>
      </c>
      <c r="C1556" s="90" t="s">
        <v>387</v>
      </c>
      <c r="D1556" s="91"/>
    </row>
    <row r="1557" spans="1:4" ht="42.75" customHeight="1" thickBot="1">
      <c r="A1557" s="26"/>
      <c r="B1557" s="26" t="s">
        <v>0</v>
      </c>
      <c r="C1557" s="5" t="s">
        <v>687</v>
      </c>
      <c r="D1557" s="4" t="s">
        <v>2</v>
      </c>
    </row>
    <row r="1558" spans="1:4" ht="42.75" customHeight="1" thickBot="1">
      <c r="A1558" s="92">
        <v>3093</v>
      </c>
      <c r="B1558" s="93"/>
      <c r="C1558" s="94" t="s">
        <v>3</v>
      </c>
      <c r="D1558" s="95"/>
    </row>
    <row r="1559" spans="1:4" ht="42.75" customHeight="1" thickBot="1">
      <c r="A1559" s="92">
        <v>3105</v>
      </c>
      <c r="B1559" s="93"/>
      <c r="C1559" s="96" t="s">
        <v>4</v>
      </c>
      <c r="D1559" s="97"/>
    </row>
    <row r="1560" spans="1:4" ht="42.75" customHeight="1" thickBot="1">
      <c r="A1560" s="98">
        <f>A1559-A1558</f>
        <v>12</v>
      </c>
      <c r="B1560" s="99"/>
      <c r="C1560" s="100" t="s">
        <v>5</v>
      </c>
      <c r="D1560" s="97"/>
    </row>
    <row r="1561" spans="1:4" ht="42.75" customHeight="1" thickBot="1">
      <c r="A1561" s="101">
        <v>40</v>
      </c>
      <c r="B1561" s="102"/>
      <c r="C1561" s="96" t="s">
        <v>6</v>
      </c>
      <c r="D1561" s="97"/>
    </row>
    <row r="1562" spans="1:4" ht="42.75" customHeight="1" thickBot="1">
      <c r="A1562" s="103"/>
      <c r="B1562" s="104"/>
      <c r="C1562" s="96" t="s">
        <v>21</v>
      </c>
      <c r="D1562" s="97"/>
    </row>
    <row r="1563" spans="1:4" ht="42.75" customHeight="1" thickBot="1">
      <c r="A1563" s="105">
        <v>500</v>
      </c>
      <c r="B1563" s="106"/>
      <c r="C1563" s="96" t="s">
        <v>7</v>
      </c>
      <c r="D1563" s="97"/>
    </row>
    <row r="1564" spans="1:4" ht="42.75" customHeight="1" thickBot="1">
      <c r="A1564" s="107" t="s">
        <v>17</v>
      </c>
      <c r="B1564" s="108"/>
      <c r="C1564" s="108"/>
      <c r="D1564" s="109"/>
    </row>
    <row r="1565" spans="1:4" ht="42.75" customHeight="1" thickBot="1">
      <c r="A1565" s="110" t="s">
        <v>20</v>
      </c>
      <c r="B1565" s="111"/>
      <c r="C1565" s="111"/>
      <c r="D1565" s="112"/>
    </row>
    <row r="1566" spans="1:4" ht="42.75" customHeight="1" thickBot="1">
      <c r="A1566" s="113" t="s">
        <v>18</v>
      </c>
      <c r="B1566" s="114"/>
      <c r="C1566" s="114"/>
      <c r="D1566" s="115"/>
    </row>
    <row r="1567" spans="1:4" ht="42.75" customHeight="1" thickBot="1">
      <c r="A1567" s="126" t="s">
        <v>19</v>
      </c>
      <c r="B1567" s="127"/>
      <c r="C1567" s="127"/>
      <c r="D1567" s="128"/>
    </row>
    <row r="1568" spans="1:4" ht="42.75" customHeight="1" thickBot="1">
      <c r="A1568" s="123" t="s">
        <v>11</v>
      </c>
      <c r="B1568" s="124"/>
      <c r="C1568" s="125" t="s">
        <v>603</v>
      </c>
      <c r="D1568" s="124"/>
    </row>
    <row r="1569" spans="1:4" ht="42.75" customHeight="1" thickBot="1">
      <c r="A1569" s="1" t="s">
        <v>686</v>
      </c>
      <c r="B1569" s="26" t="s">
        <v>1</v>
      </c>
      <c r="C1569" s="90" t="s">
        <v>388</v>
      </c>
      <c r="D1569" s="91"/>
    </row>
    <row r="1570" spans="1:4" ht="42.75" customHeight="1" thickBot="1">
      <c r="A1570" s="26"/>
      <c r="B1570" s="26" t="s">
        <v>0</v>
      </c>
      <c r="C1570" s="5" t="s">
        <v>687</v>
      </c>
      <c r="D1570" s="4" t="s">
        <v>2</v>
      </c>
    </row>
    <row r="1571" spans="1:4" ht="42.75" customHeight="1" thickBot="1">
      <c r="A1571" s="92">
        <v>1135</v>
      </c>
      <c r="B1571" s="93"/>
      <c r="C1571" s="94" t="s">
        <v>3</v>
      </c>
      <c r="D1571" s="95"/>
    </row>
    <row r="1572" spans="1:4" ht="42.75" customHeight="1" thickBot="1">
      <c r="A1572" s="92">
        <v>1155</v>
      </c>
      <c r="B1572" s="93"/>
      <c r="C1572" s="96" t="s">
        <v>4</v>
      </c>
      <c r="D1572" s="97"/>
    </row>
    <row r="1573" spans="1:4" ht="42.75" customHeight="1" thickBot="1">
      <c r="A1573" s="98">
        <f>A1572-A1571</f>
        <v>20</v>
      </c>
      <c r="B1573" s="99"/>
      <c r="C1573" s="100" t="s">
        <v>5</v>
      </c>
      <c r="D1573" s="97"/>
    </row>
    <row r="1574" spans="1:4" ht="42.75" customHeight="1" thickBot="1">
      <c r="A1574" s="101">
        <v>40</v>
      </c>
      <c r="B1574" s="102"/>
      <c r="C1574" s="96" t="s">
        <v>6</v>
      </c>
      <c r="D1574" s="97"/>
    </row>
    <row r="1575" spans="1:4" ht="42.75" customHeight="1" thickBot="1">
      <c r="A1575" s="103"/>
      <c r="B1575" s="104"/>
      <c r="C1575" s="96" t="s">
        <v>21</v>
      </c>
      <c r="D1575" s="97"/>
    </row>
    <row r="1576" spans="1:4" ht="42.75" customHeight="1" thickBot="1">
      <c r="A1576" s="105">
        <f>A1574*A1573</f>
        <v>800</v>
      </c>
      <c r="B1576" s="106"/>
      <c r="C1576" s="96" t="s">
        <v>7</v>
      </c>
      <c r="D1576" s="97"/>
    </row>
    <row r="1577" spans="1:4" ht="42.75" customHeight="1" thickBot="1">
      <c r="A1577" s="107" t="s">
        <v>17</v>
      </c>
      <c r="B1577" s="108"/>
      <c r="C1577" s="108"/>
      <c r="D1577" s="109"/>
    </row>
    <row r="1578" spans="1:4" ht="42.75" customHeight="1" thickBot="1">
      <c r="A1578" s="116" t="s">
        <v>20</v>
      </c>
      <c r="B1578" s="117"/>
      <c r="C1578" s="117"/>
      <c r="D1578" s="118"/>
    </row>
    <row r="1579" spans="1:4" ht="42.75" customHeight="1" thickBot="1">
      <c r="A1579" s="113" t="s">
        <v>18</v>
      </c>
      <c r="B1579" s="114"/>
      <c r="C1579" s="114"/>
      <c r="D1579" s="115"/>
    </row>
    <row r="1580" spans="1:4" ht="42.75" customHeight="1" thickBot="1">
      <c r="A1580" s="119"/>
      <c r="B1580" s="119"/>
      <c r="C1580" s="119"/>
      <c r="D1580" s="119"/>
    </row>
    <row r="1581" spans="1:4" ht="42.75" customHeight="1" thickBot="1">
      <c r="A1581" s="126" t="s">
        <v>19</v>
      </c>
      <c r="B1581" s="127"/>
      <c r="C1581" s="127"/>
      <c r="D1581" s="128"/>
    </row>
    <row r="1582" spans="1:4" ht="42.75" customHeight="1" thickBot="1">
      <c r="A1582" s="123" t="s">
        <v>11</v>
      </c>
      <c r="B1582" s="124"/>
      <c r="C1582" s="125" t="s">
        <v>603</v>
      </c>
      <c r="D1582" s="124"/>
    </row>
    <row r="1583" spans="1:4" ht="42.75" customHeight="1" thickBot="1">
      <c r="A1583" s="1" t="s">
        <v>686</v>
      </c>
      <c r="B1583" s="26" t="s">
        <v>1</v>
      </c>
      <c r="C1583" s="90" t="s">
        <v>388</v>
      </c>
      <c r="D1583" s="91"/>
    </row>
    <row r="1584" spans="1:4" ht="42.75" customHeight="1" thickBot="1">
      <c r="A1584" s="26"/>
      <c r="B1584" s="26" t="s">
        <v>0</v>
      </c>
      <c r="C1584" s="5" t="s">
        <v>687</v>
      </c>
      <c r="D1584" s="4" t="s">
        <v>2</v>
      </c>
    </row>
    <row r="1585" spans="1:4" ht="42.75" customHeight="1" thickBot="1">
      <c r="A1585" s="92">
        <v>1135</v>
      </c>
      <c r="B1585" s="93"/>
      <c r="C1585" s="94" t="s">
        <v>3</v>
      </c>
      <c r="D1585" s="95"/>
    </row>
    <row r="1586" spans="1:4" ht="42.75" customHeight="1" thickBot="1">
      <c r="A1586" s="92">
        <v>1155</v>
      </c>
      <c r="B1586" s="93"/>
      <c r="C1586" s="96" t="s">
        <v>4</v>
      </c>
      <c r="D1586" s="97"/>
    </row>
    <row r="1587" spans="1:4" ht="42.75" customHeight="1" thickBot="1">
      <c r="A1587" s="98">
        <f>A1586-A1585</f>
        <v>20</v>
      </c>
      <c r="B1587" s="99"/>
      <c r="C1587" s="100" t="s">
        <v>5</v>
      </c>
      <c r="D1587" s="97"/>
    </row>
    <row r="1588" spans="1:4" ht="42.75" customHeight="1" thickBot="1">
      <c r="A1588" s="101">
        <v>40</v>
      </c>
      <c r="B1588" s="102"/>
      <c r="C1588" s="96" t="s">
        <v>6</v>
      </c>
      <c r="D1588" s="97"/>
    </row>
    <row r="1589" spans="1:4" ht="42.75" customHeight="1" thickBot="1">
      <c r="A1589" s="103"/>
      <c r="B1589" s="104"/>
      <c r="C1589" s="96" t="s">
        <v>21</v>
      </c>
      <c r="D1589" s="97"/>
    </row>
    <row r="1590" spans="1:4" ht="42.75" customHeight="1" thickBot="1">
      <c r="A1590" s="105">
        <f>A1588*A1587</f>
        <v>800</v>
      </c>
      <c r="B1590" s="106"/>
      <c r="C1590" s="96" t="s">
        <v>7</v>
      </c>
      <c r="D1590" s="97"/>
    </row>
    <row r="1591" spans="1:4" ht="42.75" customHeight="1" thickBot="1">
      <c r="A1591" s="107" t="s">
        <v>17</v>
      </c>
      <c r="B1591" s="108"/>
      <c r="C1591" s="108"/>
      <c r="D1591" s="109"/>
    </row>
    <row r="1592" spans="1:4" ht="42.75" customHeight="1" thickBot="1">
      <c r="A1592" s="110" t="s">
        <v>20</v>
      </c>
      <c r="B1592" s="111"/>
      <c r="C1592" s="111"/>
      <c r="D1592" s="112"/>
    </row>
    <row r="1593" spans="1:4" ht="42.75" customHeight="1" thickBot="1">
      <c r="A1593" s="113" t="s">
        <v>18</v>
      </c>
      <c r="B1593" s="114"/>
      <c r="C1593" s="114"/>
      <c r="D1593" s="115"/>
    </row>
    <row r="1594" spans="1:4" ht="42.75" customHeight="1" thickBot="1">
      <c r="A1594" s="126" t="s">
        <v>19</v>
      </c>
      <c r="B1594" s="127"/>
      <c r="C1594" s="127"/>
      <c r="D1594" s="128"/>
    </row>
    <row r="1595" spans="1:4" ht="42.75" customHeight="1" thickBot="1">
      <c r="A1595" s="123" t="s">
        <v>11</v>
      </c>
      <c r="B1595" s="124"/>
      <c r="C1595" s="125" t="s">
        <v>603</v>
      </c>
      <c r="D1595" s="124"/>
    </row>
    <row r="1596" spans="1:4" ht="42.75" customHeight="1" thickBot="1">
      <c r="A1596" s="1" t="s">
        <v>686</v>
      </c>
      <c r="B1596" s="26" t="s">
        <v>1</v>
      </c>
      <c r="C1596" s="90" t="s">
        <v>546</v>
      </c>
      <c r="D1596" s="91"/>
    </row>
    <row r="1597" spans="1:4" ht="42.75" customHeight="1" thickBot="1">
      <c r="A1597" s="26"/>
      <c r="B1597" s="26" t="s">
        <v>0</v>
      </c>
      <c r="C1597" s="5" t="s">
        <v>687</v>
      </c>
      <c r="D1597" s="4" t="s">
        <v>2</v>
      </c>
    </row>
    <row r="1598" spans="1:4" ht="42.75" customHeight="1" thickBot="1">
      <c r="A1598" s="92">
        <v>2487</v>
      </c>
      <c r="B1598" s="93"/>
      <c r="C1598" s="94" t="s">
        <v>3</v>
      </c>
      <c r="D1598" s="95"/>
    </row>
    <row r="1599" spans="1:4" ht="42.75" customHeight="1" thickBot="1">
      <c r="A1599" s="92">
        <v>2487</v>
      </c>
      <c r="B1599" s="93"/>
      <c r="C1599" s="96" t="s">
        <v>4</v>
      </c>
      <c r="D1599" s="97"/>
    </row>
    <row r="1600" spans="1:4" ht="42.75" customHeight="1" thickBot="1">
      <c r="A1600" s="98">
        <f>A1599-A1598</f>
        <v>0</v>
      </c>
      <c r="B1600" s="99"/>
      <c r="C1600" s="100" t="s">
        <v>5</v>
      </c>
      <c r="D1600" s="97"/>
    </row>
    <row r="1601" spans="1:4" ht="42.75" customHeight="1" thickBot="1">
      <c r="A1601" s="101">
        <v>40</v>
      </c>
      <c r="B1601" s="102"/>
      <c r="C1601" s="96" t="s">
        <v>6</v>
      </c>
      <c r="D1601" s="97"/>
    </row>
    <row r="1602" spans="1:4" ht="42.75" customHeight="1" thickBot="1">
      <c r="A1602" s="103"/>
      <c r="B1602" s="104"/>
      <c r="C1602" s="96" t="s">
        <v>21</v>
      </c>
      <c r="D1602" s="97"/>
    </row>
    <row r="1603" spans="1:4" ht="42.75" customHeight="1" thickBot="1">
      <c r="A1603" s="105">
        <f>A1601*A1600</f>
        <v>0</v>
      </c>
      <c r="B1603" s="106"/>
      <c r="C1603" s="96" t="s">
        <v>7</v>
      </c>
      <c r="D1603" s="97"/>
    </row>
    <row r="1604" spans="1:4" ht="42.75" customHeight="1" thickBot="1">
      <c r="A1604" s="107" t="s">
        <v>17</v>
      </c>
      <c r="B1604" s="108"/>
      <c r="C1604" s="108"/>
      <c r="D1604" s="109"/>
    </row>
    <row r="1605" spans="1:4" ht="42.75" customHeight="1" thickBot="1">
      <c r="A1605" s="116" t="s">
        <v>20</v>
      </c>
      <c r="B1605" s="117"/>
      <c r="C1605" s="117"/>
      <c r="D1605" s="118"/>
    </row>
    <row r="1606" spans="1:4" ht="42.75" customHeight="1" thickBot="1">
      <c r="A1606" s="113" t="s">
        <v>18</v>
      </c>
      <c r="B1606" s="114"/>
      <c r="C1606" s="114"/>
      <c r="D1606" s="115"/>
    </row>
    <row r="1607" spans="1:4" ht="42.75" customHeight="1" thickBot="1">
      <c r="A1607" s="119"/>
      <c r="B1607" s="119"/>
      <c r="C1607" s="119"/>
      <c r="D1607" s="119"/>
    </row>
    <row r="1608" spans="1:4" ht="42.75" customHeight="1" thickBot="1">
      <c r="A1608" s="126" t="s">
        <v>19</v>
      </c>
      <c r="B1608" s="127"/>
      <c r="C1608" s="127"/>
      <c r="D1608" s="128"/>
    </row>
    <row r="1609" spans="1:4" ht="42.75" customHeight="1" thickBot="1">
      <c r="A1609" s="123" t="s">
        <v>11</v>
      </c>
      <c r="B1609" s="124"/>
      <c r="C1609" s="125" t="s">
        <v>603</v>
      </c>
      <c r="D1609" s="124"/>
    </row>
    <row r="1610" spans="1:4" ht="42.75" customHeight="1" thickBot="1">
      <c r="A1610" s="1" t="s">
        <v>686</v>
      </c>
      <c r="B1610" s="26" t="s">
        <v>1</v>
      </c>
      <c r="C1610" s="90" t="s">
        <v>546</v>
      </c>
      <c r="D1610" s="91"/>
    </row>
    <row r="1611" spans="1:4" ht="42.75" customHeight="1" thickBot="1">
      <c r="A1611" s="26"/>
      <c r="B1611" s="26" t="s">
        <v>0</v>
      </c>
      <c r="C1611" s="5" t="s">
        <v>687</v>
      </c>
      <c r="D1611" s="4" t="s">
        <v>2</v>
      </c>
    </row>
    <row r="1612" spans="1:4" ht="42.75" customHeight="1" thickBot="1">
      <c r="A1612" s="92">
        <v>2453</v>
      </c>
      <c r="B1612" s="93"/>
      <c r="C1612" s="94" t="s">
        <v>3</v>
      </c>
      <c r="D1612" s="95"/>
    </row>
    <row r="1613" spans="1:4" ht="42.75" customHeight="1" thickBot="1">
      <c r="A1613" s="92">
        <v>2487</v>
      </c>
      <c r="B1613" s="93"/>
      <c r="C1613" s="96" t="s">
        <v>4</v>
      </c>
      <c r="D1613" s="97"/>
    </row>
    <row r="1614" spans="1:4" ht="42.75" customHeight="1" thickBot="1">
      <c r="A1614" s="98">
        <f>A1613-A1612</f>
        <v>34</v>
      </c>
      <c r="B1614" s="99"/>
      <c r="C1614" s="100" t="s">
        <v>5</v>
      </c>
      <c r="D1614" s="97"/>
    </row>
    <row r="1615" spans="1:4" ht="42.75" customHeight="1" thickBot="1">
      <c r="A1615" s="101">
        <v>40</v>
      </c>
      <c r="B1615" s="102"/>
      <c r="C1615" s="96" t="s">
        <v>6</v>
      </c>
      <c r="D1615" s="97"/>
    </row>
    <row r="1616" spans="1:4" ht="42.75" customHeight="1" thickBot="1">
      <c r="A1616" s="103"/>
      <c r="B1616" s="104"/>
      <c r="C1616" s="96" t="s">
        <v>21</v>
      </c>
      <c r="D1616" s="97"/>
    </row>
    <row r="1617" spans="1:4" ht="42.75" customHeight="1" thickBot="1">
      <c r="A1617" s="105">
        <f>A1615*A1614</f>
        <v>1360</v>
      </c>
      <c r="B1617" s="106"/>
      <c r="C1617" s="96" t="s">
        <v>7</v>
      </c>
      <c r="D1617" s="97"/>
    </row>
    <row r="1618" spans="1:4" ht="42.75" customHeight="1" thickBot="1">
      <c r="A1618" s="107" t="s">
        <v>17</v>
      </c>
      <c r="B1618" s="108"/>
      <c r="C1618" s="108"/>
      <c r="D1618" s="109"/>
    </row>
    <row r="1619" spans="1:4" ht="42.75" customHeight="1" thickBot="1">
      <c r="A1619" s="110" t="s">
        <v>20</v>
      </c>
      <c r="B1619" s="111"/>
      <c r="C1619" s="111"/>
      <c r="D1619" s="112"/>
    </row>
    <row r="1620" spans="1:4" ht="42.75" customHeight="1" thickBot="1">
      <c r="A1620" s="113" t="s">
        <v>18</v>
      </c>
      <c r="B1620" s="114"/>
      <c r="C1620" s="114"/>
      <c r="D1620" s="115"/>
    </row>
    <row r="1621" spans="1:4" ht="42.75" customHeight="1" thickBot="1">
      <c r="A1621" s="126" t="s">
        <v>19</v>
      </c>
      <c r="B1621" s="127"/>
      <c r="C1621" s="127"/>
      <c r="D1621" s="128"/>
    </row>
    <row r="1622" spans="1:4" ht="42.75" customHeight="1" thickBot="1">
      <c r="A1622" s="123" t="s">
        <v>11</v>
      </c>
      <c r="B1622" s="124"/>
      <c r="C1622" s="125" t="s">
        <v>603</v>
      </c>
      <c r="D1622" s="124"/>
    </row>
    <row r="1623" spans="1:4" ht="42.75" customHeight="1" thickBot="1">
      <c r="A1623" s="1" t="s">
        <v>686</v>
      </c>
      <c r="B1623" s="26" t="s">
        <v>1</v>
      </c>
      <c r="C1623" s="90" t="s">
        <v>390</v>
      </c>
      <c r="D1623" s="91"/>
    </row>
    <row r="1624" spans="1:4" ht="42.75" customHeight="1" thickBot="1">
      <c r="A1624" s="26"/>
      <c r="B1624" s="26" t="s">
        <v>0</v>
      </c>
      <c r="C1624" s="5" t="s">
        <v>687</v>
      </c>
      <c r="D1624" s="4" t="s">
        <v>2</v>
      </c>
    </row>
    <row r="1625" spans="1:4" ht="42.75" customHeight="1" thickBot="1">
      <c r="A1625" s="92">
        <v>1422</v>
      </c>
      <c r="B1625" s="93"/>
      <c r="C1625" s="94" t="s">
        <v>3</v>
      </c>
      <c r="D1625" s="95"/>
    </row>
    <row r="1626" spans="1:4" ht="42.75" customHeight="1" thickBot="1">
      <c r="A1626" s="92">
        <v>1422</v>
      </c>
      <c r="B1626" s="93"/>
      <c r="C1626" s="96" t="s">
        <v>4</v>
      </c>
      <c r="D1626" s="97"/>
    </row>
    <row r="1627" spans="1:4" ht="42.75" customHeight="1" thickBot="1">
      <c r="A1627" s="98">
        <f>A1626-A1625</f>
        <v>0</v>
      </c>
      <c r="B1627" s="99"/>
      <c r="C1627" s="100" t="s">
        <v>5</v>
      </c>
      <c r="D1627" s="97"/>
    </row>
    <row r="1628" spans="1:4" ht="42.75" customHeight="1" thickBot="1">
      <c r="A1628" s="101">
        <v>40</v>
      </c>
      <c r="B1628" s="102"/>
      <c r="C1628" s="96" t="s">
        <v>6</v>
      </c>
      <c r="D1628" s="97"/>
    </row>
    <row r="1629" spans="1:4" ht="42.75" customHeight="1" thickBot="1">
      <c r="A1629" s="103"/>
      <c r="B1629" s="104"/>
      <c r="C1629" s="96" t="s">
        <v>21</v>
      </c>
      <c r="D1629" s="97"/>
    </row>
    <row r="1630" spans="1:4" ht="42.75" customHeight="1" thickBot="1">
      <c r="A1630" s="105">
        <f>A1628*A1627</f>
        <v>0</v>
      </c>
      <c r="B1630" s="106"/>
      <c r="C1630" s="96" t="s">
        <v>7</v>
      </c>
      <c r="D1630" s="97"/>
    </row>
    <row r="1631" spans="1:4" ht="42.75" customHeight="1" thickBot="1">
      <c r="A1631" s="107" t="s">
        <v>17</v>
      </c>
      <c r="B1631" s="108"/>
      <c r="C1631" s="108"/>
      <c r="D1631" s="109"/>
    </row>
    <row r="1632" spans="1:4" ht="42.75" customHeight="1" thickBot="1">
      <c r="A1632" s="116" t="s">
        <v>20</v>
      </c>
      <c r="B1632" s="117"/>
      <c r="C1632" s="117"/>
      <c r="D1632" s="118"/>
    </row>
    <row r="1633" spans="1:4" ht="42.75" customHeight="1" thickBot="1">
      <c r="A1633" s="113" t="s">
        <v>18</v>
      </c>
      <c r="B1633" s="114"/>
      <c r="C1633" s="114"/>
      <c r="D1633" s="115"/>
    </row>
    <row r="1634" spans="1:4" ht="42.75" customHeight="1" thickBot="1">
      <c r="A1634" s="119"/>
      <c r="B1634" s="119"/>
      <c r="C1634" s="119"/>
      <c r="D1634" s="119"/>
    </row>
    <row r="1635" spans="1:4" ht="42.75" customHeight="1" thickBot="1">
      <c r="A1635" s="126" t="s">
        <v>19</v>
      </c>
      <c r="B1635" s="127"/>
      <c r="C1635" s="127"/>
      <c r="D1635" s="128"/>
    </row>
    <row r="1636" spans="1:4" ht="42.75" customHeight="1" thickBot="1">
      <c r="A1636" s="123" t="s">
        <v>11</v>
      </c>
      <c r="B1636" s="124"/>
      <c r="C1636" s="125" t="s">
        <v>603</v>
      </c>
      <c r="D1636" s="124"/>
    </row>
    <row r="1637" spans="1:4" ht="42.75" customHeight="1" thickBot="1">
      <c r="A1637" s="1" t="s">
        <v>686</v>
      </c>
      <c r="B1637" s="26" t="s">
        <v>1</v>
      </c>
      <c r="C1637" s="90" t="s">
        <v>390</v>
      </c>
      <c r="D1637" s="91"/>
    </row>
    <row r="1638" spans="1:4" ht="42.75" customHeight="1" thickBot="1">
      <c r="A1638" s="26"/>
      <c r="B1638" s="26" t="s">
        <v>0</v>
      </c>
      <c r="C1638" s="5" t="s">
        <v>687</v>
      </c>
      <c r="D1638" s="4" t="s">
        <v>2</v>
      </c>
    </row>
    <row r="1639" spans="1:4" ht="42.75" customHeight="1" thickBot="1">
      <c r="A1639" s="92">
        <v>1400</v>
      </c>
      <c r="B1639" s="93"/>
      <c r="C1639" s="94" t="s">
        <v>3</v>
      </c>
      <c r="D1639" s="95"/>
    </row>
    <row r="1640" spans="1:4" ht="42.75" customHeight="1" thickBot="1">
      <c r="A1640" s="92">
        <v>1422</v>
      </c>
      <c r="B1640" s="93"/>
      <c r="C1640" s="96" t="s">
        <v>4</v>
      </c>
      <c r="D1640" s="97"/>
    </row>
    <row r="1641" spans="1:4" ht="42.75" customHeight="1" thickBot="1">
      <c r="A1641" s="98">
        <f>A1640-A1639</f>
        <v>22</v>
      </c>
      <c r="B1641" s="99"/>
      <c r="C1641" s="100" t="s">
        <v>5</v>
      </c>
      <c r="D1641" s="97"/>
    </row>
    <row r="1642" spans="1:4" ht="42.75" customHeight="1" thickBot="1">
      <c r="A1642" s="101">
        <v>40</v>
      </c>
      <c r="B1642" s="102"/>
      <c r="C1642" s="96" t="s">
        <v>6</v>
      </c>
      <c r="D1642" s="97"/>
    </row>
    <row r="1643" spans="1:4" ht="42.75" customHeight="1" thickBot="1">
      <c r="A1643" s="103"/>
      <c r="B1643" s="104"/>
      <c r="C1643" s="96" t="s">
        <v>21</v>
      </c>
      <c r="D1643" s="97"/>
    </row>
    <row r="1644" spans="1:4" ht="42.75" customHeight="1" thickBot="1">
      <c r="A1644" s="105">
        <v>900</v>
      </c>
      <c r="B1644" s="106"/>
      <c r="C1644" s="96" t="s">
        <v>7</v>
      </c>
      <c r="D1644" s="97"/>
    </row>
    <row r="1645" spans="1:4" ht="42.75" customHeight="1" thickBot="1">
      <c r="A1645" s="107" t="s">
        <v>17</v>
      </c>
      <c r="B1645" s="108"/>
      <c r="C1645" s="108"/>
      <c r="D1645" s="109"/>
    </row>
    <row r="1646" spans="1:4" ht="42.75" customHeight="1" thickBot="1">
      <c r="A1646" s="110" t="s">
        <v>20</v>
      </c>
      <c r="B1646" s="111"/>
      <c r="C1646" s="111"/>
      <c r="D1646" s="112"/>
    </row>
    <row r="1647" spans="1:4" ht="42.75" customHeight="1" thickBot="1">
      <c r="A1647" s="113" t="s">
        <v>18</v>
      </c>
      <c r="B1647" s="114"/>
      <c r="C1647" s="114"/>
      <c r="D1647" s="115"/>
    </row>
    <row r="1648" spans="1:4" ht="42.75" customHeight="1" thickBot="1">
      <c r="A1648" s="126" t="s">
        <v>19</v>
      </c>
      <c r="B1648" s="127"/>
      <c r="C1648" s="127"/>
      <c r="D1648" s="128"/>
    </row>
    <row r="1649" spans="1:4" ht="42.75" customHeight="1" thickBot="1">
      <c r="A1649" s="123" t="s">
        <v>11</v>
      </c>
      <c r="B1649" s="124"/>
      <c r="C1649" s="125" t="s">
        <v>603</v>
      </c>
      <c r="D1649" s="124"/>
    </row>
    <row r="1650" spans="1:4" ht="42.75" customHeight="1" thickBot="1">
      <c r="A1650" s="1" t="s">
        <v>686</v>
      </c>
      <c r="B1650" s="26" t="s">
        <v>1</v>
      </c>
      <c r="C1650" s="90" t="s">
        <v>132</v>
      </c>
      <c r="D1650" s="91"/>
    </row>
    <row r="1651" spans="1:4" ht="42.75" customHeight="1" thickBot="1">
      <c r="A1651" s="26"/>
      <c r="B1651" s="26" t="s">
        <v>0</v>
      </c>
      <c r="C1651" s="5" t="s">
        <v>687</v>
      </c>
      <c r="D1651" s="4" t="s">
        <v>2</v>
      </c>
    </row>
    <row r="1652" spans="1:4" ht="42.75" customHeight="1" thickBot="1">
      <c r="A1652" s="92">
        <v>4450</v>
      </c>
      <c r="B1652" s="93"/>
      <c r="C1652" s="94" t="s">
        <v>3</v>
      </c>
      <c r="D1652" s="95"/>
    </row>
    <row r="1653" spans="1:4" ht="42.75" customHeight="1" thickBot="1">
      <c r="A1653" s="92">
        <v>4450</v>
      </c>
      <c r="B1653" s="93"/>
      <c r="C1653" s="96" t="s">
        <v>4</v>
      </c>
      <c r="D1653" s="97"/>
    </row>
    <row r="1654" spans="1:4" ht="42.75" customHeight="1" thickBot="1">
      <c r="A1654" s="98">
        <f>A1653-A1652</f>
        <v>0</v>
      </c>
      <c r="B1654" s="99"/>
      <c r="C1654" s="100" t="s">
        <v>5</v>
      </c>
      <c r="D1654" s="97"/>
    </row>
    <row r="1655" spans="1:4" ht="42.75" customHeight="1" thickBot="1">
      <c r="A1655" s="101">
        <v>40</v>
      </c>
      <c r="B1655" s="102"/>
      <c r="C1655" s="96" t="s">
        <v>6</v>
      </c>
      <c r="D1655" s="97"/>
    </row>
    <row r="1656" spans="1:4" ht="42.75" customHeight="1" thickBot="1">
      <c r="A1656" s="103"/>
      <c r="B1656" s="104"/>
      <c r="C1656" s="96" t="s">
        <v>21</v>
      </c>
      <c r="D1656" s="97"/>
    </row>
    <row r="1657" spans="1:4" ht="42.75" customHeight="1" thickBot="1">
      <c r="A1657" s="105">
        <f>A1655*A1654</f>
        <v>0</v>
      </c>
      <c r="B1657" s="106"/>
      <c r="C1657" s="96" t="s">
        <v>7</v>
      </c>
      <c r="D1657" s="97"/>
    </row>
    <row r="1658" spans="1:4" ht="42.75" customHeight="1" thickBot="1">
      <c r="A1658" s="107" t="s">
        <v>17</v>
      </c>
      <c r="B1658" s="108"/>
      <c r="C1658" s="108"/>
      <c r="D1658" s="109"/>
    </row>
    <row r="1659" spans="1:4" ht="42.75" customHeight="1" thickBot="1">
      <c r="A1659" s="116" t="s">
        <v>20</v>
      </c>
      <c r="B1659" s="117"/>
      <c r="C1659" s="117"/>
      <c r="D1659" s="118"/>
    </row>
    <row r="1660" spans="1:4" ht="42.75" customHeight="1" thickBot="1">
      <c r="A1660" s="113" t="s">
        <v>18</v>
      </c>
      <c r="B1660" s="114"/>
      <c r="C1660" s="114"/>
      <c r="D1660" s="115"/>
    </row>
    <row r="1661" spans="1:4" ht="42.75" customHeight="1" thickBot="1">
      <c r="A1661" s="119"/>
      <c r="B1661" s="119"/>
      <c r="C1661" s="119"/>
      <c r="D1661" s="119"/>
    </row>
    <row r="1662" spans="1:4" ht="42.75" customHeight="1" thickBot="1">
      <c r="A1662" s="126" t="s">
        <v>19</v>
      </c>
      <c r="B1662" s="127"/>
      <c r="C1662" s="127"/>
      <c r="D1662" s="128"/>
    </row>
    <row r="1663" spans="1:4" ht="42.75" customHeight="1" thickBot="1">
      <c r="A1663" s="123" t="s">
        <v>11</v>
      </c>
      <c r="B1663" s="124"/>
      <c r="C1663" s="125" t="s">
        <v>603</v>
      </c>
      <c r="D1663" s="124"/>
    </row>
    <row r="1664" spans="1:4" ht="42.75" customHeight="1" thickBot="1">
      <c r="A1664" s="1" t="s">
        <v>686</v>
      </c>
      <c r="B1664" s="26" t="s">
        <v>1</v>
      </c>
      <c r="C1664" s="90" t="s">
        <v>132</v>
      </c>
      <c r="D1664" s="91"/>
    </row>
    <row r="1665" spans="1:4" ht="42.75" customHeight="1" thickBot="1">
      <c r="A1665" s="26"/>
      <c r="B1665" s="26" t="s">
        <v>0</v>
      </c>
      <c r="C1665" s="5" t="s">
        <v>687</v>
      </c>
      <c r="D1665" s="4" t="s">
        <v>2</v>
      </c>
    </row>
    <row r="1666" spans="1:4" ht="42.75" customHeight="1" thickBot="1">
      <c r="A1666" s="92">
        <v>4373</v>
      </c>
      <c r="B1666" s="93"/>
      <c r="C1666" s="94" t="s">
        <v>3</v>
      </c>
      <c r="D1666" s="95"/>
    </row>
    <row r="1667" spans="1:4" ht="42.75" customHeight="1" thickBot="1">
      <c r="A1667" s="92">
        <v>4450</v>
      </c>
      <c r="B1667" s="93"/>
      <c r="C1667" s="96" t="s">
        <v>4</v>
      </c>
      <c r="D1667" s="97"/>
    </row>
    <row r="1668" spans="1:4" ht="42.75" customHeight="1" thickBot="1">
      <c r="A1668" s="98">
        <f>A1667-A1666</f>
        <v>77</v>
      </c>
      <c r="B1668" s="99"/>
      <c r="C1668" s="100" t="s">
        <v>5</v>
      </c>
      <c r="D1668" s="97"/>
    </row>
    <row r="1669" spans="1:4" ht="42.75" customHeight="1" thickBot="1">
      <c r="A1669" s="101">
        <v>40</v>
      </c>
      <c r="B1669" s="102"/>
      <c r="C1669" s="96" t="s">
        <v>6</v>
      </c>
      <c r="D1669" s="97"/>
    </row>
    <row r="1670" spans="1:4" ht="42.75" customHeight="1" thickBot="1">
      <c r="A1670" s="103"/>
      <c r="B1670" s="104"/>
      <c r="C1670" s="96" t="s">
        <v>21</v>
      </c>
      <c r="D1670" s="97"/>
    </row>
    <row r="1671" spans="1:4" ht="42.75" customHeight="1" thickBot="1">
      <c r="A1671" s="105">
        <v>3100</v>
      </c>
      <c r="B1671" s="106"/>
      <c r="C1671" s="96" t="s">
        <v>7</v>
      </c>
      <c r="D1671" s="97"/>
    </row>
    <row r="1672" spans="1:4" ht="42.75" customHeight="1" thickBot="1">
      <c r="A1672" s="107" t="s">
        <v>17</v>
      </c>
      <c r="B1672" s="108"/>
      <c r="C1672" s="108"/>
      <c r="D1672" s="109"/>
    </row>
    <row r="1673" spans="1:4" ht="42.75" customHeight="1" thickBot="1">
      <c r="A1673" s="110" t="s">
        <v>20</v>
      </c>
      <c r="B1673" s="111"/>
      <c r="C1673" s="111"/>
      <c r="D1673" s="112"/>
    </row>
    <row r="1674" spans="1:4" ht="42.75" customHeight="1" thickBot="1">
      <c r="A1674" s="113" t="s">
        <v>18</v>
      </c>
      <c r="B1674" s="114"/>
      <c r="C1674" s="114"/>
      <c r="D1674" s="115"/>
    </row>
    <row r="1675" spans="1:4" ht="42.75" customHeight="1" thickBot="1">
      <c r="A1675" s="126" t="s">
        <v>19</v>
      </c>
      <c r="B1675" s="127"/>
      <c r="C1675" s="127"/>
      <c r="D1675" s="128"/>
    </row>
    <row r="1676" spans="1:4" ht="42.75" customHeight="1" thickBot="1">
      <c r="A1676" s="123" t="s">
        <v>11</v>
      </c>
      <c r="B1676" s="124"/>
      <c r="C1676" s="125" t="s">
        <v>603</v>
      </c>
      <c r="D1676" s="124"/>
    </row>
    <row r="1677" spans="1:4" ht="42.75" customHeight="1" thickBot="1">
      <c r="A1677" s="1" t="s">
        <v>686</v>
      </c>
      <c r="B1677" s="26" t="s">
        <v>1</v>
      </c>
      <c r="C1677" s="90" t="s">
        <v>547</v>
      </c>
      <c r="D1677" s="91"/>
    </row>
    <row r="1678" spans="1:4" ht="42.75" customHeight="1" thickBot="1">
      <c r="A1678" s="26"/>
      <c r="B1678" s="26" t="s">
        <v>0</v>
      </c>
      <c r="C1678" s="5" t="s">
        <v>687</v>
      </c>
      <c r="D1678" s="4" t="s">
        <v>2</v>
      </c>
    </row>
    <row r="1679" spans="1:4" ht="42.75" customHeight="1" thickBot="1">
      <c r="A1679" s="92">
        <v>2015</v>
      </c>
      <c r="B1679" s="93"/>
      <c r="C1679" s="94" t="s">
        <v>3</v>
      </c>
      <c r="D1679" s="95"/>
    </row>
    <row r="1680" spans="1:4" ht="42.75" customHeight="1" thickBot="1">
      <c r="A1680" s="92">
        <v>2015</v>
      </c>
      <c r="B1680" s="93"/>
      <c r="C1680" s="96" t="s">
        <v>4</v>
      </c>
      <c r="D1680" s="97"/>
    </row>
    <row r="1681" spans="1:4" ht="42.75" customHeight="1" thickBot="1">
      <c r="A1681" s="98">
        <f>A1680-A1679</f>
        <v>0</v>
      </c>
      <c r="B1681" s="99"/>
      <c r="C1681" s="100" t="s">
        <v>5</v>
      </c>
      <c r="D1681" s="97"/>
    </row>
    <row r="1682" spans="1:4" ht="42.75" customHeight="1" thickBot="1">
      <c r="A1682" s="101">
        <v>40</v>
      </c>
      <c r="B1682" s="102"/>
      <c r="C1682" s="96" t="s">
        <v>6</v>
      </c>
      <c r="D1682" s="97"/>
    </row>
    <row r="1683" spans="1:4" ht="42.75" customHeight="1" thickBot="1">
      <c r="A1683" s="103"/>
      <c r="B1683" s="104"/>
      <c r="C1683" s="96" t="s">
        <v>21</v>
      </c>
      <c r="D1683" s="97"/>
    </row>
    <row r="1684" spans="1:4" ht="42.75" customHeight="1" thickBot="1">
      <c r="A1684" s="105">
        <f>A1682*A1681</f>
        <v>0</v>
      </c>
      <c r="B1684" s="106"/>
      <c r="C1684" s="96" t="s">
        <v>7</v>
      </c>
      <c r="D1684" s="97"/>
    </row>
    <row r="1685" spans="1:4" ht="42.75" customHeight="1" thickBot="1">
      <c r="A1685" s="107" t="s">
        <v>17</v>
      </c>
      <c r="B1685" s="108"/>
      <c r="C1685" s="108"/>
      <c r="D1685" s="109"/>
    </row>
    <row r="1686" spans="1:4" ht="42.75" customHeight="1" thickBot="1">
      <c r="A1686" s="116" t="s">
        <v>20</v>
      </c>
      <c r="B1686" s="117"/>
      <c r="C1686" s="117"/>
      <c r="D1686" s="118"/>
    </row>
    <row r="1687" spans="1:4" ht="42.75" customHeight="1" thickBot="1">
      <c r="A1687" s="113" t="s">
        <v>18</v>
      </c>
      <c r="B1687" s="114"/>
      <c r="C1687" s="114"/>
      <c r="D1687" s="115"/>
    </row>
    <row r="1688" spans="1:4" ht="42.75" customHeight="1" thickBot="1">
      <c r="A1688" s="119"/>
      <c r="B1688" s="119"/>
      <c r="C1688" s="119"/>
      <c r="D1688" s="119"/>
    </row>
    <row r="1689" spans="1:4" ht="42.75" customHeight="1" thickBot="1">
      <c r="A1689" s="126" t="s">
        <v>19</v>
      </c>
      <c r="B1689" s="127"/>
      <c r="C1689" s="127"/>
      <c r="D1689" s="128"/>
    </row>
    <row r="1690" spans="1:4" ht="42.75" customHeight="1" thickBot="1">
      <c r="A1690" s="123" t="s">
        <v>11</v>
      </c>
      <c r="B1690" s="124"/>
      <c r="C1690" s="125" t="s">
        <v>603</v>
      </c>
      <c r="D1690" s="124"/>
    </row>
    <row r="1691" spans="1:4" ht="42.75" customHeight="1" thickBot="1">
      <c r="A1691" s="1" t="s">
        <v>686</v>
      </c>
      <c r="B1691" s="26" t="s">
        <v>1</v>
      </c>
      <c r="C1691" s="90" t="s">
        <v>547</v>
      </c>
      <c r="D1691" s="91"/>
    </row>
    <row r="1692" spans="1:4" ht="42.75" customHeight="1" thickBot="1">
      <c r="A1692" s="26"/>
      <c r="B1692" s="26" t="s">
        <v>0</v>
      </c>
      <c r="C1692" s="5" t="s">
        <v>687</v>
      </c>
      <c r="D1692" s="4" t="s">
        <v>2</v>
      </c>
    </row>
    <row r="1693" spans="1:4" ht="42.75" customHeight="1" thickBot="1">
      <c r="A1693" s="92">
        <v>1995</v>
      </c>
      <c r="B1693" s="93"/>
      <c r="C1693" s="94" t="s">
        <v>3</v>
      </c>
      <c r="D1693" s="95"/>
    </row>
    <row r="1694" spans="1:4" ht="42.75" customHeight="1" thickBot="1">
      <c r="A1694" s="92">
        <v>2015</v>
      </c>
      <c r="B1694" s="93"/>
      <c r="C1694" s="96" t="s">
        <v>4</v>
      </c>
      <c r="D1694" s="97"/>
    </row>
    <row r="1695" spans="1:4" ht="42.75" customHeight="1" thickBot="1">
      <c r="A1695" s="98">
        <f>A1694-A1693</f>
        <v>20</v>
      </c>
      <c r="B1695" s="99"/>
      <c r="C1695" s="100" t="s">
        <v>5</v>
      </c>
      <c r="D1695" s="97"/>
    </row>
    <row r="1696" spans="1:4" ht="42.75" customHeight="1" thickBot="1">
      <c r="A1696" s="101">
        <v>40</v>
      </c>
      <c r="B1696" s="102"/>
      <c r="C1696" s="96" t="s">
        <v>6</v>
      </c>
      <c r="D1696" s="97"/>
    </row>
    <row r="1697" spans="1:4" ht="42.75" customHeight="1" thickBot="1">
      <c r="A1697" s="103"/>
      <c r="B1697" s="104"/>
      <c r="C1697" s="96" t="s">
        <v>21</v>
      </c>
      <c r="D1697" s="97"/>
    </row>
    <row r="1698" spans="1:4" ht="42.75" customHeight="1" thickBot="1">
      <c r="A1698" s="105">
        <f>A1696*A1695</f>
        <v>800</v>
      </c>
      <c r="B1698" s="106"/>
      <c r="C1698" s="96" t="s">
        <v>7</v>
      </c>
      <c r="D1698" s="97"/>
    </row>
    <row r="1699" spans="1:4" ht="42.75" customHeight="1" thickBot="1">
      <c r="A1699" s="107" t="s">
        <v>17</v>
      </c>
      <c r="B1699" s="108"/>
      <c r="C1699" s="108"/>
      <c r="D1699" s="109"/>
    </row>
    <row r="1700" spans="1:4" ht="42.75" customHeight="1" thickBot="1">
      <c r="A1700" s="110" t="s">
        <v>20</v>
      </c>
      <c r="B1700" s="111"/>
      <c r="C1700" s="111"/>
      <c r="D1700" s="112"/>
    </row>
    <row r="1701" spans="1:4" ht="42.75" customHeight="1" thickBot="1">
      <c r="A1701" s="113" t="s">
        <v>18</v>
      </c>
      <c r="B1701" s="114"/>
      <c r="C1701" s="114"/>
      <c r="D1701" s="115"/>
    </row>
    <row r="1702" spans="1:4" ht="42.75" customHeight="1" thickBot="1">
      <c r="A1702" s="126" t="s">
        <v>19</v>
      </c>
      <c r="B1702" s="127"/>
      <c r="C1702" s="127"/>
      <c r="D1702" s="128"/>
    </row>
    <row r="1703" spans="1:4" ht="42.75" customHeight="1" thickBot="1">
      <c r="A1703" s="123" t="s">
        <v>11</v>
      </c>
      <c r="B1703" s="124"/>
      <c r="C1703" s="125" t="s">
        <v>603</v>
      </c>
      <c r="D1703" s="124"/>
    </row>
    <row r="1704" spans="1:4" ht="42.75" customHeight="1" thickBot="1">
      <c r="A1704" s="1" t="s">
        <v>686</v>
      </c>
      <c r="B1704" s="26" t="s">
        <v>1</v>
      </c>
      <c r="C1704" s="90" t="s">
        <v>391</v>
      </c>
      <c r="D1704" s="91"/>
    </row>
    <row r="1705" spans="1:4" ht="42.75" customHeight="1" thickBot="1">
      <c r="A1705" s="26"/>
      <c r="B1705" s="26" t="s">
        <v>0</v>
      </c>
      <c r="C1705" s="5" t="s">
        <v>687</v>
      </c>
      <c r="D1705" s="4" t="s">
        <v>2</v>
      </c>
    </row>
    <row r="1706" spans="1:4" ht="42.75" customHeight="1" thickBot="1">
      <c r="A1706" s="92">
        <v>3263</v>
      </c>
      <c r="B1706" s="93"/>
      <c r="C1706" s="94" t="s">
        <v>3</v>
      </c>
      <c r="D1706" s="95"/>
    </row>
    <row r="1707" spans="1:4" ht="42.75" customHeight="1" thickBot="1">
      <c r="A1707" s="92">
        <v>3263</v>
      </c>
      <c r="B1707" s="93"/>
      <c r="C1707" s="96" t="s">
        <v>4</v>
      </c>
      <c r="D1707" s="97"/>
    </row>
    <row r="1708" spans="1:4" ht="42.75" customHeight="1" thickBot="1">
      <c r="A1708" s="98">
        <f>A1707-A1706</f>
        <v>0</v>
      </c>
      <c r="B1708" s="99"/>
      <c r="C1708" s="100" t="s">
        <v>5</v>
      </c>
      <c r="D1708" s="97"/>
    </row>
    <row r="1709" spans="1:4" ht="42.75" customHeight="1" thickBot="1">
      <c r="A1709" s="101">
        <v>40</v>
      </c>
      <c r="B1709" s="102"/>
      <c r="C1709" s="96" t="s">
        <v>6</v>
      </c>
      <c r="D1709" s="97"/>
    </row>
    <row r="1710" spans="1:4" ht="42.75" customHeight="1" thickBot="1">
      <c r="A1710" s="103"/>
      <c r="B1710" s="104"/>
      <c r="C1710" s="96" t="s">
        <v>21</v>
      </c>
      <c r="D1710" s="97"/>
    </row>
    <row r="1711" spans="1:4" ht="42.75" customHeight="1" thickBot="1">
      <c r="A1711" s="105">
        <f>A1709*A1708</f>
        <v>0</v>
      </c>
      <c r="B1711" s="106"/>
      <c r="C1711" s="96" t="s">
        <v>7</v>
      </c>
      <c r="D1711" s="97"/>
    </row>
    <row r="1712" spans="1:4" ht="42.75" customHeight="1" thickBot="1">
      <c r="A1712" s="107" t="s">
        <v>17</v>
      </c>
      <c r="B1712" s="108"/>
      <c r="C1712" s="108"/>
      <c r="D1712" s="109"/>
    </row>
    <row r="1713" spans="1:4" ht="42.75" customHeight="1" thickBot="1">
      <c r="A1713" s="116" t="s">
        <v>20</v>
      </c>
      <c r="B1713" s="117"/>
      <c r="C1713" s="117"/>
      <c r="D1713" s="118"/>
    </row>
    <row r="1714" spans="1:4" ht="42.75" customHeight="1" thickBot="1">
      <c r="A1714" s="113" t="s">
        <v>18</v>
      </c>
      <c r="B1714" s="114"/>
      <c r="C1714" s="114"/>
      <c r="D1714" s="115"/>
    </row>
    <row r="1715" spans="1:4" ht="42.75" customHeight="1" thickBot="1">
      <c r="A1715" s="119"/>
      <c r="B1715" s="119"/>
      <c r="C1715" s="119"/>
      <c r="D1715" s="119"/>
    </row>
    <row r="1716" spans="1:4" ht="42.75" customHeight="1" thickBot="1">
      <c r="A1716" s="126" t="s">
        <v>19</v>
      </c>
      <c r="B1716" s="127"/>
      <c r="C1716" s="127"/>
      <c r="D1716" s="128"/>
    </row>
    <row r="1717" spans="1:4" ht="42.75" customHeight="1" thickBot="1">
      <c r="A1717" s="123" t="s">
        <v>11</v>
      </c>
      <c r="B1717" s="124"/>
      <c r="C1717" s="125" t="s">
        <v>603</v>
      </c>
      <c r="D1717" s="124"/>
    </row>
    <row r="1718" spans="1:4" ht="42.75" customHeight="1" thickBot="1">
      <c r="A1718" s="1" t="s">
        <v>686</v>
      </c>
      <c r="B1718" s="26" t="s">
        <v>1</v>
      </c>
      <c r="C1718" s="90" t="s">
        <v>391</v>
      </c>
      <c r="D1718" s="91"/>
    </row>
    <row r="1719" spans="1:4" ht="42.75" customHeight="1" thickBot="1">
      <c r="A1719" s="26"/>
      <c r="B1719" s="26" t="s">
        <v>0</v>
      </c>
      <c r="C1719" s="5" t="s">
        <v>687</v>
      </c>
      <c r="D1719" s="4" t="s">
        <v>2</v>
      </c>
    </row>
    <row r="1720" spans="1:4" ht="42.75" customHeight="1" thickBot="1">
      <c r="A1720" s="92">
        <v>3230</v>
      </c>
      <c r="B1720" s="93"/>
      <c r="C1720" s="94" t="s">
        <v>3</v>
      </c>
      <c r="D1720" s="95"/>
    </row>
    <row r="1721" spans="1:4" ht="42.75" customHeight="1" thickBot="1">
      <c r="A1721" s="92">
        <v>3263</v>
      </c>
      <c r="B1721" s="93"/>
      <c r="C1721" s="96" t="s">
        <v>4</v>
      </c>
      <c r="D1721" s="97"/>
    </row>
    <row r="1722" spans="1:4" ht="42.75" customHeight="1" thickBot="1">
      <c r="A1722" s="98">
        <f>A1721-A1720</f>
        <v>33</v>
      </c>
      <c r="B1722" s="99"/>
      <c r="C1722" s="100" t="s">
        <v>5</v>
      </c>
      <c r="D1722" s="97"/>
    </row>
    <row r="1723" spans="1:4" ht="42.75" customHeight="1" thickBot="1">
      <c r="A1723" s="101">
        <v>40</v>
      </c>
      <c r="B1723" s="102"/>
      <c r="C1723" s="96" t="s">
        <v>6</v>
      </c>
      <c r="D1723" s="97"/>
    </row>
    <row r="1724" spans="1:4" ht="42.75" customHeight="1" thickBot="1">
      <c r="A1724" s="103"/>
      <c r="B1724" s="104"/>
      <c r="C1724" s="96" t="s">
        <v>21</v>
      </c>
      <c r="D1724" s="97"/>
    </row>
    <row r="1725" spans="1:4" ht="42.75" customHeight="1" thickBot="1">
      <c r="A1725" s="105">
        <v>1300</v>
      </c>
      <c r="B1725" s="106"/>
      <c r="C1725" s="96" t="s">
        <v>7</v>
      </c>
      <c r="D1725" s="97"/>
    </row>
    <row r="1726" spans="1:4" ht="42.75" customHeight="1" thickBot="1">
      <c r="A1726" s="107" t="s">
        <v>17</v>
      </c>
      <c r="B1726" s="108"/>
      <c r="C1726" s="108"/>
      <c r="D1726" s="109"/>
    </row>
    <row r="1727" spans="1:4" ht="42.75" customHeight="1" thickBot="1">
      <c r="A1727" s="110" t="s">
        <v>20</v>
      </c>
      <c r="B1727" s="111"/>
      <c r="C1727" s="111"/>
      <c r="D1727" s="112"/>
    </row>
    <row r="1728" spans="1:4" ht="42.75" customHeight="1" thickBot="1">
      <c r="A1728" s="113" t="s">
        <v>18</v>
      </c>
      <c r="B1728" s="114"/>
      <c r="C1728" s="114"/>
      <c r="D1728" s="115"/>
    </row>
    <row r="1729" spans="1:4" ht="42.75" customHeight="1" thickBot="1">
      <c r="A1729" s="126" t="s">
        <v>19</v>
      </c>
      <c r="B1729" s="127"/>
      <c r="C1729" s="127"/>
      <c r="D1729" s="128"/>
    </row>
    <row r="1730" spans="1:4" ht="42.75" customHeight="1" thickBot="1">
      <c r="A1730" s="123" t="s">
        <v>11</v>
      </c>
      <c r="B1730" s="124"/>
      <c r="C1730" s="125" t="s">
        <v>603</v>
      </c>
      <c r="D1730" s="124"/>
    </row>
    <row r="1731" spans="1:4" ht="42.75" customHeight="1" thickBot="1">
      <c r="A1731" s="1" t="s">
        <v>686</v>
      </c>
      <c r="B1731" s="26" t="s">
        <v>1</v>
      </c>
      <c r="C1731" s="90" t="s">
        <v>392</v>
      </c>
      <c r="D1731" s="91"/>
    </row>
    <row r="1732" spans="1:4" ht="42.75" customHeight="1" thickBot="1">
      <c r="A1732" s="26"/>
      <c r="B1732" s="26" t="s">
        <v>0</v>
      </c>
      <c r="C1732" s="5" t="s">
        <v>687</v>
      </c>
      <c r="D1732" s="4" t="s">
        <v>2</v>
      </c>
    </row>
    <row r="1733" spans="1:4" ht="42.75" customHeight="1" thickBot="1">
      <c r="A1733" s="92">
        <v>1403</v>
      </c>
      <c r="B1733" s="93"/>
      <c r="C1733" s="94" t="s">
        <v>3</v>
      </c>
      <c r="D1733" s="95"/>
    </row>
    <row r="1734" spans="1:4" ht="42.75" customHeight="1" thickBot="1">
      <c r="A1734" s="92">
        <v>1403</v>
      </c>
      <c r="B1734" s="93"/>
      <c r="C1734" s="96" t="s">
        <v>4</v>
      </c>
      <c r="D1734" s="97"/>
    </row>
    <row r="1735" spans="1:4" ht="42.75" customHeight="1" thickBot="1">
      <c r="A1735" s="98">
        <f>A1734-A1733</f>
        <v>0</v>
      </c>
      <c r="B1735" s="99"/>
      <c r="C1735" s="100" t="s">
        <v>5</v>
      </c>
      <c r="D1735" s="97"/>
    </row>
    <row r="1736" spans="1:4" ht="42.75" customHeight="1" thickBot="1">
      <c r="A1736" s="101">
        <v>40</v>
      </c>
      <c r="B1736" s="102"/>
      <c r="C1736" s="96" t="s">
        <v>6</v>
      </c>
      <c r="D1736" s="97"/>
    </row>
    <row r="1737" spans="1:4" ht="42.75" customHeight="1" thickBot="1">
      <c r="A1737" s="103"/>
      <c r="B1737" s="104"/>
      <c r="C1737" s="96" t="s">
        <v>21</v>
      </c>
      <c r="D1737" s="97"/>
    </row>
    <row r="1738" spans="1:4" ht="42.75" customHeight="1" thickBot="1">
      <c r="A1738" s="105">
        <f>A1736*A1735</f>
        <v>0</v>
      </c>
      <c r="B1738" s="106"/>
      <c r="C1738" s="96" t="s">
        <v>7</v>
      </c>
      <c r="D1738" s="97"/>
    </row>
    <row r="1739" spans="1:4" ht="42.75" customHeight="1" thickBot="1">
      <c r="A1739" s="107" t="s">
        <v>17</v>
      </c>
      <c r="B1739" s="108"/>
      <c r="C1739" s="108"/>
      <c r="D1739" s="109"/>
    </row>
    <row r="1740" spans="1:4" ht="42.75" customHeight="1" thickBot="1">
      <c r="A1740" s="116" t="s">
        <v>20</v>
      </c>
      <c r="B1740" s="117"/>
      <c r="C1740" s="117"/>
      <c r="D1740" s="118"/>
    </row>
    <row r="1741" spans="1:4" ht="42.75" customHeight="1" thickBot="1">
      <c r="A1741" s="113" t="s">
        <v>18</v>
      </c>
      <c r="B1741" s="114"/>
      <c r="C1741" s="114"/>
      <c r="D1741" s="115"/>
    </row>
    <row r="1742" spans="1:4" ht="42.75" customHeight="1" thickBot="1">
      <c r="A1742" s="119"/>
      <c r="B1742" s="119"/>
      <c r="C1742" s="119"/>
      <c r="D1742" s="119"/>
    </row>
    <row r="1743" spans="1:4" ht="42.75" customHeight="1" thickBot="1">
      <c r="A1743" s="126" t="s">
        <v>19</v>
      </c>
      <c r="B1743" s="127"/>
      <c r="C1743" s="127"/>
      <c r="D1743" s="128"/>
    </row>
    <row r="1744" spans="1:4" ht="42.75" customHeight="1" thickBot="1">
      <c r="A1744" s="123" t="s">
        <v>11</v>
      </c>
      <c r="B1744" s="124"/>
      <c r="C1744" s="125" t="s">
        <v>603</v>
      </c>
      <c r="D1744" s="124"/>
    </row>
    <row r="1745" spans="1:4" ht="42.75" customHeight="1" thickBot="1">
      <c r="A1745" s="1" t="s">
        <v>686</v>
      </c>
      <c r="B1745" s="26" t="s">
        <v>1</v>
      </c>
      <c r="C1745" s="90" t="s">
        <v>392</v>
      </c>
      <c r="D1745" s="91"/>
    </row>
    <row r="1746" spans="1:4" ht="42.75" customHeight="1" thickBot="1">
      <c r="A1746" s="26"/>
      <c r="B1746" s="26" t="s">
        <v>0</v>
      </c>
      <c r="C1746" s="5" t="s">
        <v>687</v>
      </c>
      <c r="D1746" s="4" t="s">
        <v>2</v>
      </c>
    </row>
    <row r="1747" spans="1:4" ht="42.75" customHeight="1" thickBot="1">
      <c r="A1747" s="92">
        <v>1397</v>
      </c>
      <c r="B1747" s="93"/>
      <c r="C1747" s="94" t="s">
        <v>3</v>
      </c>
      <c r="D1747" s="95"/>
    </row>
    <row r="1748" spans="1:4" ht="42.75" customHeight="1" thickBot="1">
      <c r="A1748" s="92">
        <v>1403</v>
      </c>
      <c r="B1748" s="93"/>
      <c r="C1748" s="96" t="s">
        <v>4</v>
      </c>
      <c r="D1748" s="97"/>
    </row>
    <row r="1749" spans="1:4" ht="42.75" customHeight="1" thickBot="1">
      <c r="A1749" s="98">
        <v>10</v>
      </c>
      <c r="B1749" s="99"/>
      <c r="C1749" s="100" t="s">
        <v>5</v>
      </c>
      <c r="D1749" s="97"/>
    </row>
    <row r="1750" spans="1:4" ht="42.75" customHeight="1" thickBot="1">
      <c r="A1750" s="101">
        <v>40</v>
      </c>
      <c r="B1750" s="102"/>
      <c r="C1750" s="96" t="s">
        <v>6</v>
      </c>
      <c r="D1750" s="97"/>
    </row>
    <row r="1751" spans="1:4" ht="42.75" customHeight="1" thickBot="1">
      <c r="A1751" s="103"/>
      <c r="B1751" s="104"/>
      <c r="C1751" s="96" t="s">
        <v>21</v>
      </c>
      <c r="D1751" s="97"/>
    </row>
    <row r="1752" spans="1:4" ht="42.75" customHeight="1" thickBot="1">
      <c r="A1752" s="105">
        <f>A1750*A1749</f>
        <v>400</v>
      </c>
      <c r="B1752" s="106"/>
      <c r="C1752" s="96" t="s">
        <v>7</v>
      </c>
      <c r="D1752" s="97"/>
    </row>
    <row r="1753" spans="1:4" ht="42.75" customHeight="1" thickBot="1">
      <c r="A1753" s="107" t="s">
        <v>17</v>
      </c>
      <c r="B1753" s="108"/>
      <c r="C1753" s="108"/>
      <c r="D1753" s="109"/>
    </row>
    <row r="1754" spans="1:4" ht="42.75" customHeight="1" thickBot="1">
      <c r="A1754" s="110" t="s">
        <v>20</v>
      </c>
      <c r="B1754" s="111"/>
      <c r="C1754" s="111"/>
      <c r="D1754" s="112"/>
    </row>
    <row r="1755" spans="1:4" ht="42.75" customHeight="1" thickBot="1">
      <c r="A1755" s="113" t="s">
        <v>18</v>
      </c>
      <c r="B1755" s="114"/>
      <c r="C1755" s="114"/>
      <c r="D1755" s="115"/>
    </row>
    <row r="1756" spans="1:4" ht="42.75" customHeight="1" thickBot="1">
      <c r="A1756" s="126" t="s">
        <v>19</v>
      </c>
      <c r="B1756" s="127"/>
      <c r="C1756" s="127"/>
      <c r="D1756" s="128"/>
    </row>
    <row r="1757" spans="1:4" ht="42.75" customHeight="1" thickBot="1">
      <c r="A1757" s="123" t="s">
        <v>11</v>
      </c>
      <c r="B1757" s="124"/>
      <c r="C1757" s="125" t="s">
        <v>603</v>
      </c>
      <c r="D1757" s="124"/>
    </row>
    <row r="1758" spans="1:4" ht="42.75" customHeight="1" thickBot="1">
      <c r="A1758" s="1" t="s">
        <v>686</v>
      </c>
      <c r="B1758" s="26" t="s">
        <v>1</v>
      </c>
      <c r="C1758" s="90" t="s">
        <v>393</v>
      </c>
      <c r="D1758" s="91"/>
    </row>
    <row r="1759" spans="1:4" ht="42.75" customHeight="1" thickBot="1">
      <c r="A1759" s="26"/>
      <c r="B1759" s="26" t="s">
        <v>0</v>
      </c>
      <c r="C1759" s="5" t="s">
        <v>687</v>
      </c>
      <c r="D1759" s="4" t="s">
        <v>2</v>
      </c>
    </row>
    <row r="1760" spans="1:4" ht="42.75" customHeight="1" thickBot="1">
      <c r="A1760" s="92">
        <v>2370</v>
      </c>
      <c r="B1760" s="93"/>
      <c r="C1760" s="94" t="s">
        <v>3</v>
      </c>
      <c r="D1760" s="95"/>
    </row>
    <row r="1761" spans="1:4" ht="42.75" customHeight="1" thickBot="1">
      <c r="A1761" s="92">
        <v>2370</v>
      </c>
      <c r="B1761" s="93"/>
      <c r="C1761" s="96" t="s">
        <v>4</v>
      </c>
      <c r="D1761" s="97"/>
    </row>
    <row r="1762" spans="1:4" ht="42.75" customHeight="1" thickBot="1">
      <c r="A1762" s="98">
        <f>A1761-A1760</f>
        <v>0</v>
      </c>
      <c r="B1762" s="99"/>
      <c r="C1762" s="100" t="s">
        <v>5</v>
      </c>
      <c r="D1762" s="97"/>
    </row>
    <row r="1763" spans="1:4" ht="42.75" customHeight="1" thickBot="1">
      <c r="A1763" s="101">
        <v>40</v>
      </c>
      <c r="B1763" s="102"/>
      <c r="C1763" s="96" t="s">
        <v>6</v>
      </c>
      <c r="D1763" s="97"/>
    </row>
    <row r="1764" spans="1:4" ht="42.75" customHeight="1" thickBot="1">
      <c r="A1764" s="103"/>
      <c r="B1764" s="104"/>
      <c r="C1764" s="96" t="s">
        <v>21</v>
      </c>
      <c r="D1764" s="97"/>
    </row>
    <row r="1765" spans="1:4" ht="42.75" customHeight="1" thickBot="1">
      <c r="A1765" s="105">
        <f>A1763*A1762</f>
        <v>0</v>
      </c>
      <c r="B1765" s="106"/>
      <c r="C1765" s="96" t="s">
        <v>7</v>
      </c>
      <c r="D1765" s="97"/>
    </row>
    <row r="1766" spans="1:4" ht="42.75" customHeight="1" thickBot="1">
      <c r="A1766" s="107" t="s">
        <v>17</v>
      </c>
      <c r="B1766" s="108"/>
      <c r="C1766" s="108"/>
      <c r="D1766" s="109"/>
    </row>
    <row r="1767" spans="1:4" ht="42.75" customHeight="1" thickBot="1">
      <c r="A1767" s="116" t="s">
        <v>20</v>
      </c>
      <c r="B1767" s="117"/>
      <c r="C1767" s="117"/>
      <c r="D1767" s="118"/>
    </row>
    <row r="1768" spans="1:4" ht="42.75" customHeight="1" thickBot="1">
      <c r="A1768" s="113" t="s">
        <v>18</v>
      </c>
      <c r="B1768" s="114"/>
      <c r="C1768" s="114"/>
      <c r="D1768" s="115"/>
    </row>
    <row r="1769" spans="1:4" ht="42.75" customHeight="1" thickBot="1">
      <c r="A1769" s="119"/>
      <c r="B1769" s="119"/>
      <c r="C1769" s="119"/>
      <c r="D1769" s="119"/>
    </row>
    <row r="1770" spans="1:4" ht="42.75" customHeight="1" thickBot="1">
      <c r="A1770" s="126" t="s">
        <v>19</v>
      </c>
      <c r="B1770" s="127"/>
      <c r="C1770" s="127"/>
      <c r="D1770" s="128"/>
    </row>
    <row r="1771" spans="1:4" ht="42.75" customHeight="1" thickBot="1">
      <c r="A1771" s="123" t="s">
        <v>11</v>
      </c>
      <c r="B1771" s="124"/>
      <c r="C1771" s="125" t="s">
        <v>603</v>
      </c>
      <c r="D1771" s="124"/>
    </row>
    <row r="1772" spans="1:4" ht="42.75" customHeight="1" thickBot="1">
      <c r="A1772" s="1" t="s">
        <v>686</v>
      </c>
      <c r="B1772" s="26" t="s">
        <v>1</v>
      </c>
      <c r="C1772" s="90" t="s">
        <v>393</v>
      </c>
      <c r="D1772" s="91"/>
    </row>
    <row r="1773" spans="1:4" ht="42.75" customHeight="1" thickBot="1">
      <c r="A1773" s="26"/>
      <c r="B1773" s="26" t="s">
        <v>0</v>
      </c>
      <c r="C1773" s="5" t="s">
        <v>687</v>
      </c>
      <c r="D1773" s="4" t="s">
        <v>2</v>
      </c>
    </row>
    <row r="1774" spans="1:4" ht="42.75" customHeight="1" thickBot="1">
      <c r="A1774" s="92">
        <v>2340</v>
      </c>
      <c r="B1774" s="93"/>
      <c r="C1774" s="94" t="s">
        <v>3</v>
      </c>
      <c r="D1774" s="95"/>
    </row>
    <row r="1775" spans="1:4" ht="42.75" customHeight="1" thickBot="1">
      <c r="A1775" s="92">
        <v>2370</v>
      </c>
      <c r="B1775" s="93"/>
      <c r="C1775" s="96" t="s">
        <v>4</v>
      </c>
      <c r="D1775" s="97"/>
    </row>
    <row r="1776" spans="1:4" ht="42.75" customHeight="1" thickBot="1">
      <c r="A1776" s="98">
        <f>A1775-A1774</f>
        <v>30</v>
      </c>
      <c r="B1776" s="99"/>
      <c r="C1776" s="100" t="s">
        <v>5</v>
      </c>
      <c r="D1776" s="97"/>
    </row>
    <row r="1777" spans="1:4" ht="42.75" customHeight="1" thickBot="1">
      <c r="A1777" s="101">
        <v>40</v>
      </c>
      <c r="B1777" s="102"/>
      <c r="C1777" s="96" t="s">
        <v>6</v>
      </c>
      <c r="D1777" s="97"/>
    </row>
    <row r="1778" spans="1:4" ht="42.75" customHeight="1" thickBot="1">
      <c r="A1778" s="103"/>
      <c r="B1778" s="104"/>
      <c r="C1778" s="96" t="s">
        <v>21</v>
      </c>
      <c r="D1778" s="97"/>
    </row>
    <row r="1779" spans="1:4" ht="42.75" customHeight="1" thickBot="1">
      <c r="A1779" s="105">
        <f>A1777*A1776</f>
        <v>1200</v>
      </c>
      <c r="B1779" s="106"/>
      <c r="C1779" s="96" t="s">
        <v>7</v>
      </c>
      <c r="D1779" s="97"/>
    </row>
    <row r="1780" spans="1:4" ht="42.75" customHeight="1" thickBot="1">
      <c r="A1780" s="107" t="s">
        <v>17</v>
      </c>
      <c r="B1780" s="108"/>
      <c r="C1780" s="108"/>
      <c r="D1780" s="109"/>
    </row>
    <row r="1781" spans="1:4" ht="42.75" customHeight="1" thickBot="1">
      <c r="A1781" s="110" t="s">
        <v>20</v>
      </c>
      <c r="B1781" s="111"/>
      <c r="C1781" s="111"/>
      <c r="D1781" s="112"/>
    </row>
    <row r="1782" spans="1:4" ht="42.75" customHeight="1" thickBot="1">
      <c r="A1782" s="113" t="s">
        <v>18</v>
      </c>
      <c r="B1782" s="114"/>
      <c r="C1782" s="114"/>
      <c r="D1782" s="115"/>
    </row>
    <row r="1783" spans="1:4" ht="42.75" customHeight="1" thickBot="1">
      <c r="A1783" s="126" t="s">
        <v>19</v>
      </c>
      <c r="B1783" s="127"/>
      <c r="C1783" s="127"/>
      <c r="D1783" s="128"/>
    </row>
    <row r="1784" spans="1:4" ht="42.75" customHeight="1" thickBot="1">
      <c r="A1784" s="123" t="s">
        <v>11</v>
      </c>
      <c r="B1784" s="124"/>
      <c r="C1784" s="125" t="s">
        <v>603</v>
      </c>
      <c r="D1784" s="124"/>
    </row>
    <row r="1785" spans="1:4" ht="42.75" customHeight="1" thickBot="1">
      <c r="A1785" s="1" t="s">
        <v>686</v>
      </c>
      <c r="B1785" s="26" t="s">
        <v>1</v>
      </c>
      <c r="C1785" s="90" t="s">
        <v>394</v>
      </c>
      <c r="D1785" s="91"/>
    </row>
    <row r="1786" spans="1:4" ht="42.75" customHeight="1" thickBot="1">
      <c r="A1786" s="26"/>
      <c r="B1786" s="26" t="s">
        <v>0</v>
      </c>
      <c r="C1786" s="5" t="s">
        <v>687</v>
      </c>
      <c r="D1786" s="4" t="s">
        <v>2</v>
      </c>
    </row>
    <row r="1787" spans="1:4" ht="42.75" customHeight="1" thickBot="1">
      <c r="A1787" s="92">
        <v>4195</v>
      </c>
      <c r="B1787" s="93"/>
      <c r="C1787" s="94" t="s">
        <v>3</v>
      </c>
      <c r="D1787" s="95"/>
    </row>
    <row r="1788" spans="1:4" ht="42.75" customHeight="1" thickBot="1">
      <c r="A1788" s="92">
        <v>4195</v>
      </c>
      <c r="B1788" s="93"/>
      <c r="C1788" s="96" t="s">
        <v>4</v>
      </c>
      <c r="D1788" s="97"/>
    </row>
    <row r="1789" spans="1:4" ht="42.75" customHeight="1" thickBot="1">
      <c r="A1789" s="98">
        <f>A1788-A1787</f>
        <v>0</v>
      </c>
      <c r="B1789" s="99"/>
      <c r="C1789" s="100" t="s">
        <v>5</v>
      </c>
      <c r="D1789" s="97"/>
    </row>
    <row r="1790" spans="1:4" ht="42.75" customHeight="1" thickBot="1">
      <c r="A1790" s="101">
        <v>40</v>
      </c>
      <c r="B1790" s="102"/>
      <c r="C1790" s="96" t="s">
        <v>6</v>
      </c>
      <c r="D1790" s="97"/>
    </row>
    <row r="1791" spans="1:4" ht="42.75" customHeight="1" thickBot="1">
      <c r="A1791" s="103"/>
      <c r="B1791" s="104"/>
      <c r="C1791" s="96" t="s">
        <v>21</v>
      </c>
      <c r="D1791" s="97"/>
    </row>
    <row r="1792" spans="1:4" ht="42.75" customHeight="1" thickBot="1">
      <c r="A1792" s="105">
        <f>A1790*A1789</f>
        <v>0</v>
      </c>
      <c r="B1792" s="106"/>
      <c r="C1792" s="96" t="s">
        <v>7</v>
      </c>
      <c r="D1792" s="97"/>
    </row>
    <row r="1793" spans="1:4" ht="42.75" customHeight="1" thickBot="1">
      <c r="A1793" s="107" t="s">
        <v>17</v>
      </c>
      <c r="B1793" s="108"/>
      <c r="C1793" s="108"/>
      <c r="D1793" s="109"/>
    </row>
    <row r="1794" spans="1:4" ht="42.75" customHeight="1" thickBot="1">
      <c r="A1794" s="116" t="s">
        <v>20</v>
      </c>
      <c r="B1794" s="117"/>
      <c r="C1794" s="117"/>
      <c r="D1794" s="118"/>
    </row>
    <row r="1795" spans="1:4" ht="42.75" customHeight="1" thickBot="1">
      <c r="A1795" s="113" t="s">
        <v>18</v>
      </c>
      <c r="B1795" s="114"/>
      <c r="C1795" s="114"/>
      <c r="D1795" s="115"/>
    </row>
    <row r="1796" spans="1:4" ht="42.75" customHeight="1" thickBot="1">
      <c r="A1796" s="119"/>
      <c r="B1796" s="119"/>
      <c r="C1796" s="119"/>
      <c r="D1796" s="119"/>
    </row>
    <row r="1797" spans="1:4" ht="42.75" customHeight="1" thickBot="1">
      <c r="A1797" s="126" t="s">
        <v>19</v>
      </c>
      <c r="B1797" s="127"/>
      <c r="C1797" s="127"/>
      <c r="D1797" s="128"/>
    </row>
    <row r="1798" spans="1:4" ht="42.75" customHeight="1" thickBot="1">
      <c r="A1798" s="123" t="s">
        <v>11</v>
      </c>
      <c r="B1798" s="124"/>
      <c r="C1798" s="125" t="s">
        <v>603</v>
      </c>
      <c r="D1798" s="124"/>
    </row>
    <row r="1799" spans="1:4" ht="42.75" customHeight="1" thickBot="1">
      <c r="A1799" s="1" t="s">
        <v>686</v>
      </c>
      <c r="B1799" s="26" t="s">
        <v>1</v>
      </c>
      <c r="C1799" s="90" t="s">
        <v>394</v>
      </c>
      <c r="D1799" s="91"/>
    </row>
    <row r="1800" spans="1:4" ht="42.75" customHeight="1" thickBot="1">
      <c r="A1800" s="26"/>
      <c r="B1800" s="26" t="s">
        <v>0</v>
      </c>
      <c r="C1800" s="5" t="s">
        <v>687</v>
      </c>
      <c r="D1800" s="4" t="s">
        <v>2</v>
      </c>
    </row>
    <row r="1801" spans="1:4" ht="42.75" customHeight="1" thickBot="1">
      <c r="A1801" s="92">
        <v>4093</v>
      </c>
      <c r="B1801" s="93"/>
      <c r="C1801" s="94" t="s">
        <v>3</v>
      </c>
      <c r="D1801" s="95"/>
    </row>
    <row r="1802" spans="1:4" ht="42.75" customHeight="1" thickBot="1">
      <c r="A1802" s="92">
        <v>4195</v>
      </c>
      <c r="B1802" s="93"/>
      <c r="C1802" s="96" t="s">
        <v>4</v>
      </c>
      <c r="D1802" s="97"/>
    </row>
    <row r="1803" spans="1:4" ht="42.75" customHeight="1" thickBot="1">
      <c r="A1803" s="98">
        <f>A1802-A1801</f>
        <v>102</v>
      </c>
      <c r="B1803" s="99"/>
      <c r="C1803" s="100" t="s">
        <v>5</v>
      </c>
      <c r="D1803" s="97"/>
    </row>
    <row r="1804" spans="1:4" ht="42.75" customHeight="1" thickBot="1">
      <c r="A1804" s="101">
        <v>40</v>
      </c>
      <c r="B1804" s="102"/>
      <c r="C1804" s="96" t="s">
        <v>6</v>
      </c>
      <c r="D1804" s="97"/>
    </row>
    <row r="1805" spans="1:4" ht="42.75" customHeight="1" thickBot="1">
      <c r="A1805" s="103"/>
      <c r="B1805" s="104"/>
      <c r="C1805" s="96" t="s">
        <v>21</v>
      </c>
      <c r="D1805" s="97"/>
    </row>
    <row r="1806" spans="1:4" ht="42.75" customHeight="1" thickBot="1">
      <c r="A1806" s="105">
        <v>4100</v>
      </c>
      <c r="B1806" s="106"/>
      <c r="C1806" s="96" t="s">
        <v>7</v>
      </c>
      <c r="D1806" s="97"/>
    </row>
    <row r="1807" spans="1:4" ht="42.75" customHeight="1" thickBot="1">
      <c r="A1807" s="107" t="s">
        <v>17</v>
      </c>
      <c r="B1807" s="108"/>
      <c r="C1807" s="108"/>
      <c r="D1807" s="109"/>
    </row>
    <row r="1808" spans="1:4" ht="42.75" customHeight="1" thickBot="1">
      <c r="A1808" s="110" t="s">
        <v>20</v>
      </c>
      <c r="B1808" s="111"/>
      <c r="C1808" s="111"/>
      <c r="D1808" s="112"/>
    </row>
    <row r="1809" spans="1:4" ht="42.75" customHeight="1" thickBot="1">
      <c r="A1809" s="113" t="s">
        <v>18</v>
      </c>
      <c r="B1809" s="114"/>
      <c r="C1809" s="114"/>
      <c r="D1809" s="115"/>
    </row>
    <row r="1810" spans="1:4" ht="42.75" customHeight="1" thickBot="1">
      <c r="A1810" s="126" t="s">
        <v>19</v>
      </c>
      <c r="B1810" s="127"/>
      <c r="C1810" s="127"/>
      <c r="D1810" s="128"/>
    </row>
    <row r="1811" spans="1:4" ht="42.75" customHeight="1" thickBot="1">
      <c r="A1811" s="123" t="s">
        <v>11</v>
      </c>
      <c r="B1811" s="124"/>
      <c r="C1811" s="125" t="s">
        <v>603</v>
      </c>
      <c r="D1811" s="124"/>
    </row>
    <row r="1812" spans="1:4" ht="42.75" customHeight="1" thickBot="1">
      <c r="A1812" s="1" t="s">
        <v>686</v>
      </c>
      <c r="B1812" s="26" t="s">
        <v>1</v>
      </c>
      <c r="C1812" s="90" t="s">
        <v>205</v>
      </c>
      <c r="D1812" s="91"/>
    </row>
    <row r="1813" spans="1:4" ht="42.75" customHeight="1" thickBot="1">
      <c r="A1813" s="26"/>
      <c r="B1813" s="26" t="s">
        <v>0</v>
      </c>
      <c r="C1813" s="5" t="s">
        <v>687</v>
      </c>
      <c r="D1813" s="4" t="s">
        <v>2</v>
      </c>
    </row>
    <row r="1814" spans="1:4" ht="42.75" customHeight="1" thickBot="1">
      <c r="A1814" s="92">
        <v>952</v>
      </c>
      <c r="B1814" s="93"/>
      <c r="C1814" s="94" t="s">
        <v>3</v>
      </c>
      <c r="D1814" s="95"/>
    </row>
    <row r="1815" spans="1:4" ht="42.75" customHeight="1" thickBot="1">
      <c r="A1815" s="92">
        <v>952</v>
      </c>
      <c r="B1815" s="93"/>
      <c r="C1815" s="96" t="s">
        <v>4</v>
      </c>
      <c r="D1815" s="97"/>
    </row>
    <row r="1816" spans="1:4" ht="42.75" customHeight="1" thickBot="1">
      <c r="A1816" s="98">
        <f>A1815-A1814</f>
        <v>0</v>
      </c>
      <c r="B1816" s="99"/>
      <c r="C1816" s="100" t="s">
        <v>5</v>
      </c>
      <c r="D1816" s="97"/>
    </row>
    <row r="1817" spans="1:4" ht="42.75" customHeight="1" thickBot="1">
      <c r="A1817" s="101">
        <v>40</v>
      </c>
      <c r="B1817" s="102"/>
      <c r="C1817" s="96" t="s">
        <v>6</v>
      </c>
      <c r="D1817" s="97"/>
    </row>
    <row r="1818" spans="1:4" ht="42.75" customHeight="1" thickBot="1">
      <c r="A1818" s="103"/>
      <c r="B1818" s="104"/>
      <c r="C1818" s="96" t="s">
        <v>21</v>
      </c>
      <c r="D1818" s="97"/>
    </row>
    <row r="1819" spans="1:4" ht="42.75" customHeight="1" thickBot="1">
      <c r="A1819" s="105">
        <f>A1817*A1816</f>
        <v>0</v>
      </c>
      <c r="B1819" s="106"/>
      <c r="C1819" s="96" t="s">
        <v>7</v>
      </c>
      <c r="D1819" s="97"/>
    </row>
    <row r="1820" spans="1:4" ht="42.75" customHeight="1" thickBot="1">
      <c r="A1820" s="107" t="s">
        <v>17</v>
      </c>
      <c r="B1820" s="108"/>
      <c r="C1820" s="108"/>
      <c r="D1820" s="109"/>
    </row>
    <row r="1821" spans="1:4" ht="42.75" customHeight="1" thickBot="1">
      <c r="A1821" s="116" t="s">
        <v>20</v>
      </c>
      <c r="B1821" s="117"/>
      <c r="C1821" s="117"/>
      <c r="D1821" s="118"/>
    </row>
    <row r="1822" spans="1:4" ht="42.75" customHeight="1" thickBot="1">
      <c r="A1822" s="113" t="s">
        <v>18</v>
      </c>
      <c r="B1822" s="114"/>
      <c r="C1822" s="114"/>
      <c r="D1822" s="115"/>
    </row>
    <row r="1823" spans="1:4" ht="42.75" customHeight="1" thickBot="1">
      <c r="A1823" s="119"/>
      <c r="B1823" s="119"/>
      <c r="C1823" s="119"/>
      <c r="D1823" s="119"/>
    </row>
    <row r="1824" spans="1:4" ht="42.75" customHeight="1" thickBot="1">
      <c r="A1824" s="126" t="s">
        <v>19</v>
      </c>
      <c r="B1824" s="127"/>
      <c r="C1824" s="127"/>
      <c r="D1824" s="128"/>
    </row>
    <row r="1825" spans="1:4" ht="42.75" customHeight="1" thickBot="1">
      <c r="A1825" s="123" t="s">
        <v>11</v>
      </c>
      <c r="B1825" s="124"/>
      <c r="C1825" s="125" t="s">
        <v>603</v>
      </c>
      <c r="D1825" s="124"/>
    </row>
    <row r="1826" spans="1:4" ht="42.75" customHeight="1" thickBot="1">
      <c r="A1826" s="1" t="s">
        <v>686</v>
      </c>
      <c r="B1826" s="26" t="s">
        <v>1</v>
      </c>
      <c r="C1826" s="90" t="s">
        <v>205</v>
      </c>
      <c r="D1826" s="91"/>
    </row>
    <row r="1827" spans="1:4" ht="42.75" customHeight="1" thickBot="1">
      <c r="A1827" s="26"/>
      <c r="B1827" s="26" t="s">
        <v>0</v>
      </c>
      <c r="C1827" s="5" t="s">
        <v>687</v>
      </c>
      <c r="D1827" s="4" t="s">
        <v>2</v>
      </c>
    </row>
    <row r="1828" spans="1:4" ht="42.75" customHeight="1" thickBot="1">
      <c r="A1828" s="92">
        <v>937</v>
      </c>
      <c r="B1828" s="93"/>
      <c r="C1828" s="94" t="s">
        <v>3</v>
      </c>
      <c r="D1828" s="95"/>
    </row>
    <row r="1829" spans="1:4" ht="42.75" customHeight="1" thickBot="1">
      <c r="A1829" s="92">
        <v>952</v>
      </c>
      <c r="B1829" s="93"/>
      <c r="C1829" s="96" t="s">
        <v>4</v>
      </c>
      <c r="D1829" s="97"/>
    </row>
    <row r="1830" spans="1:4" ht="42.75" customHeight="1" thickBot="1">
      <c r="A1830" s="98">
        <f>A1829-A1828</f>
        <v>15</v>
      </c>
      <c r="B1830" s="99"/>
      <c r="C1830" s="100" t="s">
        <v>5</v>
      </c>
      <c r="D1830" s="97"/>
    </row>
    <row r="1831" spans="1:4" ht="42.75" customHeight="1" thickBot="1">
      <c r="A1831" s="101">
        <v>40</v>
      </c>
      <c r="B1831" s="102"/>
      <c r="C1831" s="96" t="s">
        <v>6</v>
      </c>
      <c r="D1831" s="97"/>
    </row>
    <row r="1832" spans="1:4" ht="42.75" customHeight="1" thickBot="1">
      <c r="A1832" s="103"/>
      <c r="B1832" s="104"/>
      <c r="C1832" s="96" t="s">
        <v>21</v>
      </c>
      <c r="D1832" s="97"/>
    </row>
    <row r="1833" spans="1:4" ht="42.75" customHeight="1" thickBot="1">
      <c r="A1833" s="105">
        <f>A1831*A1830</f>
        <v>600</v>
      </c>
      <c r="B1833" s="106"/>
      <c r="C1833" s="96" t="s">
        <v>7</v>
      </c>
      <c r="D1833" s="97"/>
    </row>
    <row r="1834" spans="1:4" ht="42.75" customHeight="1" thickBot="1">
      <c r="A1834" s="107" t="s">
        <v>17</v>
      </c>
      <c r="B1834" s="108"/>
      <c r="C1834" s="108"/>
      <c r="D1834" s="109"/>
    </row>
    <row r="1835" spans="1:4" ht="42.75" customHeight="1" thickBot="1">
      <c r="A1835" s="110" t="s">
        <v>20</v>
      </c>
      <c r="B1835" s="111"/>
      <c r="C1835" s="111"/>
      <c r="D1835" s="112"/>
    </row>
    <row r="1836" spans="1:4" ht="42.75" customHeight="1" thickBot="1">
      <c r="A1836" s="113" t="s">
        <v>18</v>
      </c>
      <c r="B1836" s="114"/>
      <c r="C1836" s="114"/>
      <c r="D1836" s="115"/>
    </row>
    <row r="1837" spans="1:4" ht="42.75" customHeight="1" thickBot="1">
      <c r="A1837" s="126" t="s">
        <v>19</v>
      </c>
      <c r="B1837" s="127"/>
      <c r="C1837" s="127"/>
      <c r="D1837" s="128"/>
    </row>
    <row r="1838" spans="1:4" ht="42.75" customHeight="1" thickBot="1">
      <c r="A1838" s="123" t="s">
        <v>11</v>
      </c>
      <c r="B1838" s="124"/>
      <c r="C1838" s="125" t="s">
        <v>603</v>
      </c>
      <c r="D1838" s="124"/>
    </row>
    <row r="1839" spans="1:4" ht="42.75" customHeight="1" thickBot="1">
      <c r="A1839" s="1" t="s">
        <v>686</v>
      </c>
      <c r="B1839" s="26" t="s">
        <v>1</v>
      </c>
      <c r="C1839" s="90" t="s">
        <v>125</v>
      </c>
      <c r="D1839" s="91"/>
    </row>
    <row r="1840" spans="1:4" ht="42.75" customHeight="1" thickBot="1">
      <c r="A1840" s="26"/>
      <c r="B1840" s="26" t="s">
        <v>0</v>
      </c>
      <c r="C1840" s="5" t="s">
        <v>687</v>
      </c>
      <c r="D1840" s="4" t="s">
        <v>2</v>
      </c>
    </row>
    <row r="1841" spans="1:4" ht="42.75" customHeight="1" thickBot="1">
      <c r="A1841" s="92">
        <v>4075</v>
      </c>
      <c r="B1841" s="93"/>
      <c r="C1841" s="94" t="s">
        <v>3</v>
      </c>
      <c r="D1841" s="95"/>
    </row>
    <row r="1842" spans="1:4" ht="42.75" customHeight="1" thickBot="1">
      <c r="A1842" s="92">
        <v>4075</v>
      </c>
      <c r="B1842" s="93"/>
      <c r="C1842" s="96" t="s">
        <v>4</v>
      </c>
      <c r="D1842" s="97"/>
    </row>
    <row r="1843" spans="1:4" ht="42.75" customHeight="1" thickBot="1">
      <c r="A1843" s="98">
        <f>A1842-A1841</f>
        <v>0</v>
      </c>
      <c r="B1843" s="99"/>
      <c r="C1843" s="100" t="s">
        <v>5</v>
      </c>
      <c r="D1843" s="97"/>
    </row>
    <row r="1844" spans="1:4" ht="42.75" customHeight="1" thickBot="1">
      <c r="A1844" s="101">
        <v>40</v>
      </c>
      <c r="B1844" s="102"/>
      <c r="C1844" s="96" t="s">
        <v>6</v>
      </c>
      <c r="D1844" s="97"/>
    </row>
    <row r="1845" spans="1:4" ht="42.75" customHeight="1" thickBot="1">
      <c r="A1845" s="103"/>
      <c r="B1845" s="104"/>
      <c r="C1845" s="96" t="s">
        <v>21</v>
      </c>
      <c r="D1845" s="97"/>
    </row>
    <row r="1846" spans="1:4" ht="42.75" customHeight="1" thickBot="1">
      <c r="A1846" s="105">
        <f>A1844*A1843</f>
        <v>0</v>
      </c>
      <c r="B1846" s="106"/>
      <c r="C1846" s="96" t="s">
        <v>7</v>
      </c>
      <c r="D1846" s="97"/>
    </row>
    <row r="1847" spans="1:4" ht="42.75" customHeight="1" thickBot="1">
      <c r="A1847" s="107" t="s">
        <v>17</v>
      </c>
      <c r="B1847" s="108"/>
      <c r="C1847" s="108"/>
      <c r="D1847" s="109"/>
    </row>
    <row r="1848" spans="1:4" ht="42.75" customHeight="1" thickBot="1">
      <c r="A1848" s="116" t="s">
        <v>20</v>
      </c>
      <c r="B1848" s="117"/>
      <c r="C1848" s="117"/>
      <c r="D1848" s="118"/>
    </row>
    <row r="1849" spans="1:4" ht="42.75" customHeight="1" thickBot="1">
      <c r="A1849" s="113" t="s">
        <v>18</v>
      </c>
      <c r="B1849" s="114"/>
      <c r="C1849" s="114"/>
      <c r="D1849" s="115"/>
    </row>
    <row r="1850" spans="1:4" ht="42.75" customHeight="1" thickBot="1">
      <c r="A1850" s="119"/>
      <c r="B1850" s="119"/>
      <c r="C1850" s="119"/>
      <c r="D1850" s="119"/>
    </row>
    <row r="1851" spans="1:4" ht="42.75" customHeight="1" thickBot="1">
      <c r="A1851" s="126" t="s">
        <v>19</v>
      </c>
      <c r="B1851" s="127"/>
      <c r="C1851" s="127"/>
      <c r="D1851" s="128"/>
    </row>
    <row r="1852" spans="1:4" ht="42.75" customHeight="1" thickBot="1">
      <c r="A1852" s="123" t="s">
        <v>11</v>
      </c>
      <c r="B1852" s="124"/>
      <c r="C1852" s="125" t="s">
        <v>603</v>
      </c>
      <c r="D1852" s="124"/>
    </row>
    <row r="1853" spans="1:4" ht="42.75" customHeight="1" thickBot="1">
      <c r="A1853" s="1" t="s">
        <v>686</v>
      </c>
      <c r="B1853" s="26" t="s">
        <v>1</v>
      </c>
      <c r="C1853" s="90" t="s">
        <v>125</v>
      </c>
      <c r="D1853" s="91"/>
    </row>
    <row r="1854" spans="1:4" ht="42.75" customHeight="1" thickBot="1">
      <c r="A1854" s="26"/>
      <c r="B1854" s="26" t="s">
        <v>0</v>
      </c>
      <c r="C1854" s="5" t="s">
        <v>687</v>
      </c>
      <c r="D1854" s="4" t="s">
        <v>2</v>
      </c>
    </row>
    <row r="1855" spans="1:4" ht="42.75" customHeight="1" thickBot="1">
      <c r="A1855" s="92">
        <v>3985</v>
      </c>
      <c r="B1855" s="93"/>
      <c r="C1855" s="94" t="s">
        <v>3</v>
      </c>
      <c r="D1855" s="95"/>
    </row>
    <row r="1856" spans="1:4" ht="42.75" customHeight="1" thickBot="1">
      <c r="A1856" s="92">
        <v>4075</v>
      </c>
      <c r="B1856" s="93"/>
      <c r="C1856" s="96" t="s">
        <v>4</v>
      </c>
      <c r="D1856" s="97"/>
    </row>
    <row r="1857" spans="1:4" ht="42.75" customHeight="1" thickBot="1">
      <c r="A1857" s="98">
        <f>A1856-A1855</f>
        <v>90</v>
      </c>
      <c r="B1857" s="99"/>
      <c r="C1857" s="100" t="s">
        <v>5</v>
      </c>
      <c r="D1857" s="97"/>
    </row>
    <row r="1858" spans="1:4" ht="42.75" customHeight="1" thickBot="1">
      <c r="A1858" s="101">
        <v>40</v>
      </c>
      <c r="B1858" s="102"/>
      <c r="C1858" s="96" t="s">
        <v>6</v>
      </c>
      <c r="D1858" s="97"/>
    </row>
    <row r="1859" spans="1:4" ht="42.75" customHeight="1" thickBot="1">
      <c r="A1859" s="103"/>
      <c r="B1859" s="104"/>
      <c r="C1859" s="96" t="s">
        <v>21</v>
      </c>
      <c r="D1859" s="97"/>
    </row>
    <row r="1860" spans="1:4" ht="42.75" customHeight="1" thickBot="1">
      <c r="A1860" s="105">
        <f>A1858*A1857</f>
        <v>3600</v>
      </c>
      <c r="B1860" s="106"/>
      <c r="C1860" s="96" t="s">
        <v>7</v>
      </c>
      <c r="D1860" s="97"/>
    </row>
    <row r="1861" spans="1:4" ht="42.75" customHeight="1" thickBot="1">
      <c r="A1861" s="107" t="s">
        <v>17</v>
      </c>
      <c r="B1861" s="108"/>
      <c r="C1861" s="108"/>
      <c r="D1861" s="109"/>
    </row>
    <row r="1862" spans="1:4" ht="42.75" customHeight="1" thickBot="1">
      <c r="A1862" s="110" t="s">
        <v>20</v>
      </c>
      <c r="B1862" s="111"/>
      <c r="C1862" s="111"/>
      <c r="D1862" s="112"/>
    </row>
    <row r="1863" spans="1:4" ht="42.75" customHeight="1" thickBot="1">
      <c r="A1863" s="113" t="s">
        <v>18</v>
      </c>
      <c r="B1863" s="114"/>
      <c r="C1863" s="114"/>
      <c r="D1863" s="115"/>
    </row>
    <row r="1864" spans="1:4" ht="42.75" customHeight="1" thickBot="1">
      <c r="A1864" s="126" t="s">
        <v>19</v>
      </c>
      <c r="B1864" s="127"/>
      <c r="C1864" s="127"/>
      <c r="D1864" s="128"/>
    </row>
    <row r="1865" spans="1:4" ht="42.75" customHeight="1" thickBot="1">
      <c r="A1865" s="123" t="s">
        <v>11</v>
      </c>
      <c r="B1865" s="124"/>
      <c r="C1865" s="125" t="s">
        <v>603</v>
      </c>
      <c r="D1865" s="124"/>
    </row>
    <row r="1866" spans="1:4" ht="42.75" customHeight="1" thickBot="1">
      <c r="A1866" s="1" t="s">
        <v>686</v>
      </c>
      <c r="B1866" s="26" t="s">
        <v>1</v>
      </c>
      <c r="C1866" s="90" t="s">
        <v>307</v>
      </c>
      <c r="D1866" s="91"/>
    </row>
    <row r="1867" spans="1:4" ht="42.75" customHeight="1" thickBot="1">
      <c r="A1867" s="26"/>
      <c r="B1867" s="26" t="s">
        <v>0</v>
      </c>
      <c r="C1867" s="5" t="s">
        <v>687</v>
      </c>
      <c r="D1867" s="4" t="s">
        <v>2</v>
      </c>
    </row>
    <row r="1868" spans="1:4" ht="42.75" customHeight="1" thickBot="1">
      <c r="A1868" s="92">
        <v>1120</v>
      </c>
      <c r="B1868" s="93"/>
      <c r="C1868" s="94" t="s">
        <v>3</v>
      </c>
      <c r="D1868" s="95"/>
    </row>
    <row r="1869" spans="1:4" ht="42.75" customHeight="1" thickBot="1">
      <c r="A1869" s="92">
        <v>1120</v>
      </c>
      <c r="B1869" s="93"/>
      <c r="C1869" s="96" t="s">
        <v>4</v>
      </c>
      <c r="D1869" s="97"/>
    </row>
    <row r="1870" spans="1:4" ht="42.75" customHeight="1" thickBot="1">
      <c r="A1870" s="98">
        <f>A1869-A1868</f>
        <v>0</v>
      </c>
      <c r="B1870" s="99"/>
      <c r="C1870" s="100" t="s">
        <v>5</v>
      </c>
      <c r="D1870" s="97"/>
    </row>
    <row r="1871" spans="1:4" ht="42.75" customHeight="1" thickBot="1">
      <c r="A1871" s="101">
        <v>40</v>
      </c>
      <c r="B1871" s="102"/>
      <c r="C1871" s="96" t="s">
        <v>6</v>
      </c>
      <c r="D1871" s="97"/>
    </row>
    <row r="1872" spans="1:4" ht="42.75" customHeight="1" thickBot="1">
      <c r="A1872" s="103"/>
      <c r="B1872" s="104"/>
      <c r="C1872" s="96" t="s">
        <v>21</v>
      </c>
      <c r="D1872" s="97"/>
    </row>
    <row r="1873" spans="1:4" ht="42.75" customHeight="1" thickBot="1">
      <c r="A1873" s="105">
        <f>A1871*A1870</f>
        <v>0</v>
      </c>
      <c r="B1873" s="106"/>
      <c r="C1873" s="96" t="s">
        <v>7</v>
      </c>
      <c r="D1873" s="97"/>
    </row>
    <row r="1874" spans="1:4" ht="42.75" customHeight="1" thickBot="1">
      <c r="A1874" s="107" t="s">
        <v>17</v>
      </c>
      <c r="B1874" s="108"/>
      <c r="C1874" s="108"/>
      <c r="D1874" s="109"/>
    </row>
    <row r="1875" spans="1:4" ht="42.75" customHeight="1" thickBot="1">
      <c r="A1875" s="116" t="s">
        <v>20</v>
      </c>
      <c r="B1875" s="117"/>
      <c r="C1875" s="117"/>
      <c r="D1875" s="118"/>
    </row>
    <row r="1876" spans="1:4" ht="42.75" customHeight="1" thickBot="1">
      <c r="A1876" s="113" t="s">
        <v>18</v>
      </c>
      <c r="B1876" s="114"/>
      <c r="C1876" s="114"/>
      <c r="D1876" s="115"/>
    </row>
    <row r="1877" spans="1:4" ht="42.75" customHeight="1" thickBot="1">
      <c r="A1877" s="119"/>
      <c r="B1877" s="119"/>
      <c r="C1877" s="119"/>
      <c r="D1877" s="119"/>
    </row>
    <row r="1878" spans="1:4" ht="42.75" customHeight="1" thickBot="1">
      <c r="A1878" s="126" t="s">
        <v>19</v>
      </c>
      <c r="B1878" s="127"/>
      <c r="C1878" s="127"/>
      <c r="D1878" s="128"/>
    </row>
    <row r="1879" spans="1:4" ht="42.75" customHeight="1" thickBot="1">
      <c r="A1879" s="123" t="s">
        <v>11</v>
      </c>
      <c r="B1879" s="124"/>
      <c r="C1879" s="125" t="s">
        <v>603</v>
      </c>
      <c r="D1879" s="124"/>
    </row>
    <row r="1880" spans="1:4" ht="42.75" customHeight="1" thickBot="1">
      <c r="A1880" s="1" t="s">
        <v>686</v>
      </c>
      <c r="B1880" s="26" t="s">
        <v>1</v>
      </c>
      <c r="C1880" s="90" t="s">
        <v>307</v>
      </c>
      <c r="D1880" s="91"/>
    </row>
    <row r="1881" spans="1:4" ht="42.75" customHeight="1" thickBot="1">
      <c r="A1881" s="26"/>
      <c r="B1881" s="26" t="s">
        <v>0</v>
      </c>
      <c r="C1881" s="5" t="s">
        <v>687</v>
      </c>
      <c r="D1881" s="4" t="s">
        <v>2</v>
      </c>
    </row>
    <row r="1882" spans="1:4" ht="42.75" customHeight="1" thickBot="1">
      <c r="A1882" s="92">
        <v>1095</v>
      </c>
      <c r="B1882" s="93"/>
      <c r="C1882" s="94" t="s">
        <v>3</v>
      </c>
      <c r="D1882" s="95"/>
    </row>
    <row r="1883" spans="1:4" ht="42.75" customHeight="1" thickBot="1">
      <c r="A1883" s="92">
        <v>1120</v>
      </c>
      <c r="B1883" s="93"/>
      <c r="C1883" s="96" t="s">
        <v>4</v>
      </c>
      <c r="D1883" s="97"/>
    </row>
    <row r="1884" spans="1:4" ht="42.75" customHeight="1" thickBot="1">
      <c r="A1884" s="98">
        <f>A1883-A1882</f>
        <v>25</v>
      </c>
      <c r="B1884" s="99"/>
      <c r="C1884" s="100" t="s">
        <v>5</v>
      </c>
      <c r="D1884" s="97"/>
    </row>
    <row r="1885" spans="1:4" ht="42.75" customHeight="1" thickBot="1">
      <c r="A1885" s="101">
        <v>40</v>
      </c>
      <c r="B1885" s="102"/>
      <c r="C1885" s="96" t="s">
        <v>6</v>
      </c>
      <c r="D1885" s="97"/>
    </row>
    <row r="1886" spans="1:4" ht="42.75" customHeight="1" thickBot="1">
      <c r="A1886" s="103"/>
      <c r="B1886" s="104"/>
      <c r="C1886" s="96" t="s">
        <v>21</v>
      </c>
      <c r="D1886" s="97"/>
    </row>
    <row r="1887" spans="1:4" ht="42.75" customHeight="1" thickBot="1">
      <c r="A1887" s="105">
        <f>A1885*A1884</f>
        <v>1000</v>
      </c>
      <c r="B1887" s="106"/>
      <c r="C1887" s="96" t="s">
        <v>7</v>
      </c>
      <c r="D1887" s="97"/>
    </row>
    <row r="1888" spans="1:4" ht="42.75" customHeight="1" thickBot="1">
      <c r="A1888" s="107" t="s">
        <v>17</v>
      </c>
      <c r="B1888" s="108"/>
      <c r="C1888" s="108"/>
      <c r="D1888" s="109"/>
    </row>
    <row r="1889" spans="1:4" ht="42.75" customHeight="1" thickBot="1">
      <c r="A1889" s="110" t="s">
        <v>20</v>
      </c>
      <c r="B1889" s="111"/>
      <c r="C1889" s="111"/>
      <c r="D1889" s="112"/>
    </row>
    <row r="1890" spans="1:4" ht="42.75" customHeight="1" thickBot="1">
      <c r="A1890" s="113" t="s">
        <v>18</v>
      </c>
      <c r="B1890" s="114"/>
      <c r="C1890" s="114"/>
      <c r="D1890" s="115"/>
    </row>
    <row r="1891" spans="1:4" ht="42.75" customHeight="1" thickBot="1">
      <c r="A1891" s="126" t="s">
        <v>19</v>
      </c>
      <c r="B1891" s="127"/>
      <c r="C1891" s="127"/>
      <c r="D1891" s="128"/>
    </row>
    <row r="1892" spans="1:4" ht="42.75" customHeight="1" thickBot="1">
      <c r="A1892" s="123" t="s">
        <v>11</v>
      </c>
      <c r="B1892" s="124"/>
      <c r="C1892" s="125" t="s">
        <v>603</v>
      </c>
      <c r="D1892" s="124"/>
    </row>
    <row r="1893" spans="1:4" ht="42.75" customHeight="1" thickBot="1">
      <c r="A1893" s="1" t="s">
        <v>686</v>
      </c>
      <c r="B1893" s="26" t="s">
        <v>1</v>
      </c>
      <c r="C1893" s="90" t="s">
        <v>613</v>
      </c>
      <c r="D1893" s="91"/>
    </row>
    <row r="1894" spans="1:4" ht="42.75" customHeight="1" thickBot="1">
      <c r="A1894" s="26"/>
      <c r="B1894" s="26" t="s">
        <v>0</v>
      </c>
      <c r="C1894" s="5" t="s">
        <v>687</v>
      </c>
      <c r="D1894" s="4" t="s">
        <v>2</v>
      </c>
    </row>
    <row r="1895" spans="1:4" ht="42.75" customHeight="1" thickBot="1">
      <c r="A1895" s="92">
        <v>115</v>
      </c>
      <c r="B1895" s="93"/>
      <c r="C1895" s="94" t="s">
        <v>3</v>
      </c>
      <c r="D1895" s="95"/>
    </row>
    <row r="1896" spans="1:4" ht="42.75" customHeight="1" thickBot="1">
      <c r="A1896" s="92">
        <v>115</v>
      </c>
      <c r="B1896" s="93"/>
      <c r="C1896" s="96" t="s">
        <v>4</v>
      </c>
      <c r="D1896" s="97"/>
    </row>
    <row r="1897" spans="1:4" ht="42.75" customHeight="1" thickBot="1">
      <c r="A1897" s="98">
        <f>A1896-A1895</f>
        <v>0</v>
      </c>
      <c r="B1897" s="99"/>
      <c r="C1897" s="100" t="s">
        <v>5</v>
      </c>
      <c r="D1897" s="97"/>
    </row>
    <row r="1898" spans="1:4" ht="42.75" customHeight="1" thickBot="1">
      <c r="A1898" s="101">
        <v>40</v>
      </c>
      <c r="B1898" s="102"/>
      <c r="C1898" s="96" t="s">
        <v>6</v>
      </c>
      <c r="D1898" s="97"/>
    </row>
    <row r="1899" spans="1:4" ht="42.75" customHeight="1" thickBot="1">
      <c r="A1899" s="103"/>
      <c r="B1899" s="104"/>
      <c r="C1899" s="96" t="s">
        <v>21</v>
      </c>
      <c r="D1899" s="97"/>
    </row>
    <row r="1900" spans="1:4" ht="42.75" customHeight="1" thickBot="1">
      <c r="A1900" s="105">
        <f>A1898*A1897</f>
        <v>0</v>
      </c>
      <c r="B1900" s="106"/>
      <c r="C1900" s="96" t="s">
        <v>7</v>
      </c>
      <c r="D1900" s="97"/>
    </row>
    <row r="1901" spans="1:4" ht="42.75" customHeight="1" thickBot="1">
      <c r="A1901" s="107" t="s">
        <v>17</v>
      </c>
      <c r="B1901" s="108"/>
      <c r="C1901" s="108"/>
      <c r="D1901" s="109"/>
    </row>
    <row r="1902" spans="1:4" ht="42.75" customHeight="1" thickBot="1">
      <c r="A1902" s="116" t="s">
        <v>20</v>
      </c>
      <c r="B1902" s="117"/>
      <c r="C1902" s="117"/>
      <c r="D1902" s="118"/>
    </row>
    <row r="1903" spans="1:4" ht="42.75" customHeight="1" thickBot="1">
      <c r="A1903" s="113" t="s">
        <v>18</v>
      </c>
      <c r="B1903" s="114"/>
      <c r="C1903" s="114"/>
      <c r="D1903" s="115"/>
    </row>
    <row r="1904" spans="1:4" ht="42.75" customHeight="1" thickBot="1">
      <c r="A1904" s="119"/>
      <c r="B1904" s="119"/>
      <c r="C1904" s="119"/>
      <c r="D1904" s="119"/>
    </row>
    <row r="1905" spans="1:4" ht="42.75" customHeight="1" thickBot="1">
      <c r="A1905" s="126" t="s">
        <v>19</v>
      </c>
      <c r="B1905" s="127"/>
      <c r="C1905" s="127"/>
      <c r="D1905" s="128"/>
    </row>
    <row r="1906" spans="1:4" ht="42.75" customHeight="1" thickBot="1">
      <c r="A1906" s="123" t="s">
        <v>11</v>
      </c>
      <c r="B1906" s="124"/>
      <c r="C1906" s="125" t="s">
        <v>603</v>
      </c>
      <c r="D1906" s="124"/>
    </row>
    <row r="1907" spans="1:4" ht="42.75" customHeight="1" thickBot="1">
      <c r="A1907" s="1" t="s">
        <v>686</v>
      </c>
      <c r="B1907" s="26" t="s">
        <v>1</v>
      </c>
      <c r="C1907" s="90" t="s">
        <v>613</v>
      </c>
      <c r="D1907" s="91"/>
    </row>
    <row r="1908" spans="1:4" ht="42.75" customHeight="1" thickBot="1">
      <c r="A1908" s="26"/>
      <c r="B1908" s="26" t="s">
        <v>0</v>
      </c>
      <c r="C1908" s="5" t="s">
        <v>687</v>
      </c>
      <c r="D1908" s="4" t="s">
        <v>2</v>
      </c>
    </row>
    <row r="1909" spans="1:4" ht="42.75" customHeight="1" thickBot="1">
      <c r="A1909" s="92">
        <v>100</v>
      </c>
      <c r="B1909" s="93"/>
      <c r="C1909" s="94" t="s">
        <v>3</v>
      </c>
      <c r="D1909" s="95"/>
    </row>
    <row r="1910" spans="1:4" ht="42.75" customHeight="1" thickBot="1">
      <c r="A1910" s="92">
        <v>115</v>
      </c>
      <c r="B1910" s="93"/>
      <c r="C1910" s="96" t="s">
        <v>4</v>
      </c>
      <c r="D1910" s="97"/>
    </row>
    <row r="1911" spans="1:4" ht="42.75" customHeight="1" thickBot="1">
      <c r="A1911" s="98">
        <f>A1910-A1909</f>
        <v>15</v>
      </c>
      <c r="B1911" s="99"/>
      <c r="C1911" s="100" t="s">
        <v>5</v>
      </c>
      <c r="D1911" s="97"/>
    </row>
    <row r="1912" spans="1:4" ht="42.75" customHeight="1" thickBot="1">
      <c r="A1912" s="101">
        <v>40</v>
      </c>
      <c r="B1912" s="102"/>
      <c r="C1912" s="96" t="s">
        <v>6</v>
      </c>
      <c r="D1912" s="97"/>
    </row>
    <row r="1913" spans="1:4" ht="42.75" customHeight="1" thickBot="1">
      <c r="A1913" s="103"/>
      <c r="B1913" s="104"/>
      <c r="C1913" s="96" t="s">
        <v>21</v>
      </c>
      <c r="D1913" s="97"/>
    </row>
    <row r="1914" spans="1:4" ht="42.75" customHeight="1" thickBot="1">
      <c r="A1914" s="105">
        <f>A1912*A1911</f>
        <v>600</v>
      </c>
      <c r="B1914" s="106"/>
      <c r="C1914" s="96" t="s">
        <v>7</v>
      </c>
      <c r="D1914" s="97"/>
    </row>
    <row r="1915" spans="1:4" ht="42.75" customHeight="1" thickBot="1">
      <c r="A1915" s="107" t="s">
        <v>17</v>
      </c>
      <c r="B1915" s="108"/>
      <c r="C1915" s="108"/>
      <c r="D1915" s="109"/>
    </row>
    <row r="1916" spans="1:4" ht="42.75" customHeight="1" thickBot="1">
      <c r="A1916" s="110" t="s">
        <v>20</v>
      </c>
      <c r="B1916" s="111"/>
      <c r="C1916" s="111"/>
      <c r="D1916" s="112"/>
    </row>
    <row r="1917" spans="1:4" ht="42.75" customHeight="1" thickBot="1">
      <c r="A1917" s="113" t="s">
        <v>18</v>
      </c>
      <c r="B1917" s="114"/>
      <c r="C1917" s="114"/>
      <c r="D1917" s="115"/>
    </row>
  </sheetData>
  <mergeCells count="2769">
    <mergeCell ref="A1210:B1210"/>
    <mergeCell ref="C1210:D1210"/>
    <mergeCell ref="A1211:B1211"/>
    <mergeCell ref="C1211:D1211"/>
    <mergeCell ref="A1212:B1212"/>
    <mergeCell ref="C1212:D1212"/>
    <mergeCell ref="A1213:D1213"/>
    <mergeCell ref="A1214:D1214"/>
    <mergeCell ref="A1215:D1215"/>
    <mergeCell ref="C1197:D1197"/>
    <mergeCell ref="A1198:B1198"/>
    <mergeCell ref="C1198:D1198"/>
    <mergeCell ref="A1199:D1199"/>
    <mergeCell ref="A1200:D1200"/>
    <mergeCell ref="A1201:D1201"/>
    <mergeCell ref="A1202:D1202"/>
    <mergeCell ref="A1203:D1203"/>
    <mergeCell ref="A1204:B1204"/>
    <mergeCell ref="C1204:D1204"/>
    <mergeCell ref="C1205:D1205"/>
    <mergeCell ref="A1207:B1207"/>
    <mergeCell ref="C1207:D1207"/>
    <mergeCell ref="A1208:B1208"/>
    <mergeCell ref="C1208:D1208"/>
    <mergeCell ref="A1209:B1209"/>
    <mergeCell ref="C1209:D1209"/>
    <mergeCell ref="A9:B9"/>
    <mergeCell ref="C9:D9"/>
    <mergeCell ref="A10:B10"/>
    <mergeCell ref="C10:D10"/>
    <mergeCell ref="A11:D11"/>
    <mergeCell ref="A12:D12"/>
    <mergeCell ref="A6:B6"/>
    <mergeCell ref="C6:D6"/>
    <mergeCell ref="A7:B7"/>
    <mergeCell ref="C7:D7"/>
    <mergeCell ref="A8:B8"/>
    <mergeCell ref="C8:D8"/>
    <mergeCell ref="A1:D1"/>
    <mergeCell ref="A2:B2"/>
    <mergeCell ref="C2:D2"/>
    <mergeCell ref="C3:D3"/>
    <mergeCell ref="A5:B5"/>
    <mergeCell ref="C5:D5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3:D13"/>
    <mergeCell ref="A14:D14"/>
    <mergeCell ref="A15:D15"/>
    <mergeCell ref="A16:B16"/>
    <mergeCell ref="C16:D16"/>
    <mergeCell ref="C17:D17"/>
    <mergeCell ref="A35:B35"/>
    <mergeCell ref="C35:D35"/>
    <mergeCell ref="A36:B36"/>
    <mergeCell ref="C36:D36"/>
    <mergeCell ref="A37:B37"/>
    <mergeCell ref="C37:D37"/>
    <mergeCell ref="C30:D30"/>
    <mergeCell ref="A32:B32"/>
    <mergeCell ref="C32:D32"/>
    <mergeCell ref="A33:B33"/>
    <mergeCell ref="C33:D33"/>
    <mergeCell ref="A34:B34"/>
    <mergeCell ref="C34:D34"/>
    <mergeCell ref="A25:D25"/>
    <mergeCell ref="A26:D26"/>
    <mergeCell ref="A27:D27"/>
    <mergeCell ref="A28:D28"/>
    <mergeCell ref="A29:B29"/>
    <mergeCell ref="C29:D29"/>
    <mergeCell ref="A49:B49"/>
    <mergeCell ref="C49:D49"/>
    <mergeCell ref="A50:B50"/>
    <mergeCell ref="C50:D50"/>
    <mergeCell ref="A51:B51"/>
    <mergeCell ref="C51:D51"/>
    <mergeCell ref="C44:D44"/>
    <mergeCell ref="A46:B46"/>
    <mergeCell ref="C46:D46"/>
    <mergeCell ref="A47:B47"/>
    <mergeCell ref="C47:D47"/>
    <mergeCell ref="A48:B48"/>
    <mergeCell ref="C48:D48"/>
    <mergeCell ref="A38:D38"/>
    <mergeCell ref="A39:D39"/>
    <mergeCell ref="A40:D40"/>
    <mergeCell ref="A41:D41"/>
    <mergeCell ref="A42:D42"/>
    <mergeCell ref="A43:B43"/>
    <mergeCell ref="C43:D43"/>
    <mergeCell ref="A62:B62"/>
    <mergeCell ref="C62:D62"/>
    <mergeCell ref="A63:B63"/>
    <mergeCell ref="C63:D63"/>
    <mergeCell ref="A64:B64"/>
    <mergeCell ref="C64:D64"/>
    <mergeCell ref="C57:D57"/>
    <mergeCell ref="A59:B59"/>
    <mergeCell ref="C59:D59"/>
    <mergeCell ref="A60:B60"/>
    <mergeCell ref="C60:D60"/>
    <mergeCell ref="A61:B61"/>
    <mergeCell ref="C61:D61"/>
    <mergeCell ref="A52:D52"/>
    <mergeCell ref="A53:D53"/>
    <mergeCell ref="A54:D54"/>
    <mergeCell ref="A55:D55"/>
    <mergeCell ref="A56:B56"/>
    <mergeCell ref="C56:D56"/>
    <mergeCell ref="A76:B76"/>
    <mergeCell ref="C76:D76"/>
    <mergeCell ref="A77:B77"/>
    <mergeCell ref="C77:D77"/>
    <mergeCell ref="A78:B78"/>
    <mergeCell ref="C78:D78"/>
    <mergeCell ref="C71:D71"/>
    <mergeCell ref="A73:B73"/>
    <mergeCell ref="C73:D73"/>
    <mergeCell ref="A74:B74"/>
    <mergeCell ref="C74:D74"/>
    <mergeCell ref="A75:B75"/>
    <mergeCell ref="C75:D75"/>
    <mergeCell ref="A65:D65"/>
    <mergeCell ref="A66:D66"/>
    <mergeCell ref="A67:D67"/>
    <mergeCell ref="A68:D68"/>
    <mergeCell ref="A69:D69"/>
    <mergeCell ref="A70:B70"/>
    <mergeCell ref="C70:D70"/>
    <mergeCell ref="A89:B89"/>
    <mergeCell ref="C89:D89"/>
    <mergeCell ref="A90:B90"/>
    <mergeCell ref="C90:D90"/>
    <mergeCell ref="A91:B91"/>
    <mergeCell ref="C91:D91"/>
    <mergeCell ref="C84:D84"/>
    <mergeCell ref="A86:B86"/>
    <mergeCell ref="C86:D86"/>
    <mergeCell ref="A87:B87"/>
    <mergeCell ref="C87:D87"/>
    <mergeCell ref="A88:B88"/>
    <mergeCell ref="C88:D88"/>
    <mergeCell ref="A79:D79"/>
    <mergeCell ref="A80:D80"/>
    <mergeCell ref="A81:D81"/>
    <mergeCell ref="A82:D82"/>
    <mergeCell ref="A83:B83"/>
    <mergeCell ref="C83:D83"/>
    <mergeCell ref="A103:B103"/>
    <mergeCell ref="C103:D103"/>
    <mergeCell ref="A104:B104"/>
    <mergeCell ref="C104:D104"/>
    <mergeCell ref="A105:B105"/>
    <mergeCell ref="C105:D105"/>
    <mergeCell ref="C98:D98"/>
    <mergeCell ref="A100:B100"/>
    <mergeCell ref="C100:D100"/>
    <mergeCell ref="A101:B101"/>
    <mergeCell ref="C101:D101"/>
    <mergeCell ref="A102:B102"/>
    <mergeCell ref="C102:D102"/>
    <mergeCell ref="A92:D92"/>
    <mergeCell ref="A93:D93"/>
    <mergeCell ref="A94:D94"/>
    <mergeCell ref="A95:D95"/>
    <mergeCell ref="A96:D96"/>
    <mergeCell ref="A97:B97"/>
    <mergeCell ref="C97:D97"/>
    <mergeCell ref="A116:B116"/>
    <mergeCell ref="C116:D116"/>
    <mergeCell ref="A117:B117"/>
    <mergeCell ref="C117:D117"/>
    <mergeCell ref="A118:B118"/>
    <mergeCell ref="C118:D118"/>
    <mergeCell ref="C111:D111"/>
    <mergeCell ref="A113:B113"/>
    <mergeCell ref="C113:D113"/>
    <mergeCell ref="A114:B114"/>
    <mergeCell ref="C114:D114"/>
    <mergeCell ref="A115:B115"/>
    <mergeCell ref="C115:D115"/>
    <mergeCell ref="A106:D106"/>
    <mergeCell ref="A107:D107"/>
    <mergeCell ref="A108:D108"/>
    <mergeCell ref="A109:D109"/>
    <mergeCell ref="A110:B110"/>
    <mergeCell ref="C110:D110"/>
    <mergeCell ref="A130:B130"/>
    <mergeCell ref="C130:D130"/>
    <mergeCell ref="A131:B131"/>
    <mergeCell ref="C131:D131"/>
    <mergeCell ref="A132:B132"/>
    <mergeCell ref="C132:D132"/>
    <mergeCell ref="C125:D125"/>
    <mergeCell ref="A127:B127"/>
    <mergeCell ref="C127:D127"/>
    <mergeCell ref="A128:B128"/>
    <mergeCell ref="C128:D128"/>
    <mergeCell ref="A129:B129"/>
    <mergeCell ref="C129:D129"/>
    <mergeCell ref="A119:D119"/>
    <mergeCell ref="A120:D120"/>
    <mergeCell ref="A121:D121"/>
    <mergeCell ref="A122:D122"/>
    <mergeCell ref="A123:D123"/>
    <mergeCell ref="A124:B124"/>
    <mergeCell ref="C124:D124"/>
    <mergeCell ref="A143:B143"/>
    <mergeCell ref="C143:D143"/>
    <mergeCell ref="A144:B144"/>
    <mergeCell ref="C144:D144"/>
    <mergeCell ref="A145:B145"/>
    <mergeCell ref="C145:D145"/>
    <mergeCell ref="C138:D138"/>
    <mergeCell ref="A140:B140"/>
    <mergeCell ref="C140:D140"/>
    <mergeCell ref="A141:B141"/>
    <mergeCell ref="C141:D141"/>
    <mergeCell ref="A142:B142"/>
    <mergeCell ref="C142:D142"/>
    <mergeCell ref="A133:D133"/>
    <mergeCell ref="A134:D134"/>
    <mergeCell ref="A135:D135"/>
    <mergeCell ref="A136:D136"/>
    <mergeCell ref="A137:B137"/>
    <mergeCell ref="C137:D137"/>
    <mergeCell ref="A157:B157"/>
    <mergeCell ref="C157:D157"/>
    <mergeCell ref="A158:B158"/>
    <mergeCell ref="C158:D158"/>
    <mergeCell ref="A159:B159"/>
    <mergeCell ref="C159:D159"/>
    <mergeCell ref="C152:D152"/>
    <mergeCell ref="A154:B154"/>
    <mergeCell ref="C154:D154"/>
    <mergeCell ref="A155:B155"/>
    <mergeCell ref="C155:D155"/>
    <mergeCell ref="A156:B156"/>
    <mergeCell ref="C156:D156"/>
    <mergeCell ref="A146:D146"/>
    <mergeCell ref="A147:D147"/>
    <mergeCell ref="A148:D148"/>
    <mergeCell ref="A149:D149"/>
    <mergeCell ref="A150:D150"/>
    <mergeCell ref="A151:B151"/>
    <mergeCell ref="C151:D151"/>
    <mergeCell ref="A170:B170"/>
    <mergeCell ref="C170:D170"/>
    <mergeCell ref="A171:B171"/>
    <mergeCell ref="C171:D171"/>
    <mergeCell ref="A172:B172"/>
    <mergeCell ref="C172:D172"/>
    <mergeCell ref="C165:D165"/>
    <mergeCell ref="A167:B167"/>
    <mergeCell ref="C167:D167"/>
    <mergeCell ref="A168:B168"/>
    <mergeCell ref="C168:D168"/>
    <mergeCell ref="A169:B169"/>
    <mergeCell ref="C169:D169"/>
    <mergeCell ref="A160:D160"/>
    <mergeCell ref="A161:D161"/>
    <mergeCell ref="A162:D162"/>
    <mergeCell ref="A163:D163"/>
    <mergeCell ref="A164:B164"/>
    <mergeCell ref="C164:D164"/>
    <mergeCell ref="A184:B184"/>
    <mergeCell ref="C184:D184"/>
    <mergeCell ref="A185:B185"/>
    <mergeCell ref="C185:D185"/>
    <mergeCell ref="A186:B186"/>
    <mergeCell ref="C186:D186"/>
    <mergeCell ref="C179:D179"/>
    <mergeCell ref="A181:B181"/>
    <mergeCell ref="C181:D181"/>
    <mergeCell ref="A182:B182"/>
    <mergeCell ref="C182:D182"/>
    <mergeCell ref="A183:B183"/>
    <mergeCell ref="C183:D183"/>
    <mergeCell ref="A173:D173"/>
    <mergeCell ref="A174:D174"/>
    <mergeCell ref="A175:D175"/>
    <mergeCell ref="A176:D176"/>
    <mergeCell ref="A177:D177"/>
    <mergeCell ref="A178:B178"/>
    <mergeCell ref="C178:D178"/>
    <mergeCell ref="A197:B197"/>
    <mergeCell ref="C197:D197"/>
    <mergeCell ref="A198:B198"/>
    <mergeCell ref="C198:D198"/>
    <mergeCell ref="A199:B199"/>
    <mergeCell ref="C199:D199"/>
    <mergeCell ref="C192:D192"/>
    <mergeCell ref="A194:B194"/>
    <mergeCell ref="C194:D194"/>
    <mergeCell ref="A195:B195"/>
    <mergeCell ref="C195:D195"/>
    <mergeCell ref="A196:B196"/>
    <mergeCell ref="C196:D196"/>
    <mergeCell ref="A187:D187"/>
    <mergeCell ref="A188:D188"/>
    <mergeCell ref="A189:D189"/>
    <mergeCell ref="A190:D190"/>
    <mergeCell ref="A191:B191"/>
    <mergeCell ref="C191:D191"/>
    <mergeCell ref="A211:B211"/>
    <mergeCell ref="C211:D211"/>
    <mergeCell ref="A212:B212"/>
    <mergeCell ref="C212:D212"/>
    <mergeCell ref="A213:B213"/>
    <mergeCell ref="C213:D213"/>
    <mergeCell ref="C206:D206"/>
    <mergeCell ref="A208:B208"/>
    <mergeCell ref="C208:D208"/>
    <mergeCell ref="A209:B209"/>
    <mergeCell ref="C209:D209"/>
    <mergeCell ref="A210:B210"/>
    <mergeCell ref="C210:D210"/>
    <mergeCell ref="A200:D200"/>
    <mergeCell ref="A201:D201"/>
    <mergeCell ref="A202:D202"/>
    <mergeCell ref="A203:D203"/>
    <mergeCell ref="A204:D204"/>
    <mergeCell ref="A205:B205"/>
    <mergeCell ref="C205:D205"/>
    <mergeCell ref="A224:B224"/>
    <mergeCell ref="C224:D224"/>
    <mergeCell ref="A225:B225"/>
    <mergeCell ref="C225:D225"/>
    <mergeCell ref="A226:B226"/>
    <mergeCell ref="C226:D226"/>
    <mergeCell ref="C219:D219"/>
    <mergeCell ref="A221:B221"/>
    <mergeCell ref="C221:D221"/>
    <mergeCell ref="A222:B222"/>
    <mergeCell ref="C222:D222"/>
    <mergeCell ref="A223:B223"/>
    <mergeCell ref="C223:D223"/>
    <mergeCell ref="A214:D214"/>
    <mergeCell ref="A215:D215"/>
    <mergeCell ref="A216:D216"/>
    <mergeCell ref="A217:D217"/>
    <mergeCell ref="A218:B218"/>
    <mergeCell ref="C218:D218"/>
    <mergeCell ref="A238:B238"/>
    <mergeCell ref="C238:D238"/>
    <mergeCell ref="A239:B239"/>
    <mergeCell ref="C239:D239"/>
    <mergeCell ref="A240:B240"/>
    <mergeCell ref="C240:D240"/>
    <mergeCell ref="C233:D233"/>
    <mergeCell ref="A235:B235"/>
    <mergeCell ref="C235:D235"/>
    <mergeCell ref="A236:B236"/>
    <mergeCell ref="C236:D236"/>
    <mergeCell ref="A237:B237"/>
    <mergeCell ref="C237:D237"/>
    <mergeCell ref="A227:D227"/>
    <mergeCell ref="A228:D228"/>
    <mergeCell ref="A229:D229"/>
    <mergeCell ref="A230:D230"/>
    <mergeCell ref="A231:D231"/>
    <mergeCell ref="A232:B232"/>
    <mergeCell ref="C232:D232"/>
    <mergeCell ref="A251:B251"/>
    <mergeCell ref="C251:D251"/>
    <mergeCell ref="A252:B252"/>
    <mergeCell ref="C252:D252"/>
    <mergeCell ref="A253:B253"/>
    <mergeCell ref="C253:D253"/>
    <mergeCell ref="C246:D246"/>
    <mergeCell ref="A248:B248"/>
    <mergeCell ref="C248:D248"/>
    <mergeCell ref="A249:B249"/>
    <mergeCell ref="C249:D249"/>
    <mergeCell ref="A250:B250"/>
    <mergeCell ref="C250:D250"/>
    <mergeCell ref="A241:D241"/>
    <mergeCell ref="A242:D242"/>
    <mergeCell ref="A243:D243"/>
    <mergeCell ref="A244:D244"/>
    <mergeCell ref="A245:B245"/>
    <mergeCell ref="C245:D245"/>
    <mergeCell ref="A265:B265"/>
    <mergeCell ref="C265:D265"/>
    <mergeCell ref="A266:B266"/>
    <mergeCell ref="C266:D266"/>
    <mergeCell ref="A267:B267"/>
    <mergeCell ref="C267:D267"/>
    <mergeCell ref="C260:D260"/>
    <mergeCell ref="A262:B262"/>
    <mergeCell ref="C262:D262"/>
    <mergeCell ref="A263:B263"/>
    <mergeCell ref="C263:D263"/>
    <mergeCell ref="A264:B264"/>
    <mergeCell ref="C264:D264"/>
    <mergeCell ref="A254:D254"/>
    <mergeCell ref="A255:D255"/>
    <mergeCell ref="A256:D256"/>
    <mergeCell ref="A257:D257"/>
    <mergeCell ref="A258:D258"/>
    <mergeCell ref="A259:B259"/>
    <mergeCell ref="C259:D259"/>
    <mergeCell ref="A278:B278"/>
    <mergeCell ref="C278:D278"/>
    <mergeCell ref="A279:B279"/>
    <mergeCell ref="C279:D279"/>
    <mergeCell ref="A280:B280"/>
    <mergeCell ref="C280:D280"/>
    <mergeCell ref="C273:D273"/>
    <mergeCell ref="A275:B275"/>
    <mergeCell ref="C275:D275"/>
    <mergeCell ref="A276:B276"/>
    <mergeCell ref="C276:D276"/>
    <mergeCell ref="A277:B277"/>
    <mergeCell ref="C277:D277"/>
    <mergeCell ref="A268:D268"/>
    <mergeCell ref="A269:D269"/>
    <mergeCell ref="A270:D270"/>
    <mergeCell ref="A271:D271"/>
    <mergeCell ref="A272:B272"/>
    <mergeCell ref="C272:D272"/>
    <mergeCell ref="A292:B292"/>
    <mergeCell ref="C292:D292"/>
    <mergeCell ref="A293:B293"/>
    <mergeCell ref="C293:D293"/>
    <mergeCell ref="A294:B294"/>
    <mergeCell ref="C294:D294"/>
    <mergeCell ref="C287:D287"/>
    <mergeCell ref="A289:B289"/>
    <mergeCell ref="C289:D289"/>
    <mergeCell ref="A290:B290"/>
    <mergeCell ref="C290:D290"/>
    <mergeCell ref="A291:B291"/>
    <mergeCell ref="C291:D291"/>
    <mergeCell ref="A281:D281"/>
    <mergeCell ref="A282:D282"/>
    <mergeCell ref="A283:D283"/>
    <mergeCell ref="A284:D284"/>
    <mergeCell ref="A285:D285"/>
    <mergeCell ref="A286:B286"/>
    <mergeCell ref="C286:D286"/>
    <mergeCell ref="A305:B305"/>
    <mergeCell ref="C305:D305"/>
    <mergeCell ref="A306:B306"/>
    <mergeCell ref="C306:D306"/>
    <mergeCell ref="A307:B307"/>
    <mergeCell ref="C307:D307"/>
    <mergeCell ref="C300:D300"/>
    <mergeCell ref="A302:B302"/>
    <mergeCell ref="C302:D302"/>
    <mergeCell ref="A303:B303"/>
    <mergeCell ref="C303:D303"/>
    <mergeCell ref="A304:B304"/>
    <mergeCell ref="C304:D304"/>
    <mergeCell ref="A295:D295"/>
    <mergeCell ref="A296:D296"/>
    <mergeCell ref="A297:D297"/>
    <mergeCell ref="A298:D298"/>
    <mergeCell ref="A299:B299"/>
    <mergeCell ref="C299:D299"/>
    <mergeCell ref="A319:B319"/>
    <mergeCell ref="C319:D319"/>
    <mergeCell ref="A320:B320"/>
    <mergeCell ref="C320:D320"/>
    <mergeCell ref="A321:B321"/>
    <mergeCell ref="C321:D321"/>
    <mergeCell ref="C314:D314"/>
    <mergeCell ref="A316:B316"/>
    <mergeCell ref="C316:D316"/>
    <mergeCell ref="A317:B317"/>
    <mergeCell ref="C317:D317"/>
    <mergeCell ref="A318:B318"/>
    <mergeCell ref="C318:D318"/>
    <mergeCell ref="A308:D308"/>
    <mergeCell ref="A309:D309"/>
    <mergeCell ref="A310:D310"/>
    <mergeCell ref="A311:D311"/>
    <mergeCell ref="A312:D312"/>
    <mergeCell ref="A313:B313"/>
    <mergeCell ref="C313:D313"/>
    <mergeCell ref="A332:B332"/>
    <mergeCell ref="C332:D332"/>
    <mergeCell ref="A333:B333"/>
    <mergeCell ref="C333:D333"/>
    <mergeCell ref="A334:B334"/>
    <mergeCell ref="C334:D334"/>
    <mergeCell ref="C327:D327"/>
    <mergeCell ref="A329:B329"/>
    <mergeCell ref="C329:D329"/>
    <mergeCell ref="A330:B330"/>
    <mergeCell ref="C330:D330"/>
    <mergeCell ref="A331:B331"/>
    <mergeCell ref="C331:D331"/>
    <mergeCell ref="A322:D322"/>
    <mergeCell ref="A323:D323"/>
    <mergeCell ref="A324:D324"/>
    <mergeCell ref="A325:D325"/>
    <mergeCell ref="A326:B326"/>
    <mergeCell ref="C326:D326"/>
    <mergeCell ref="A346:B346"/>
    <mergeCell ref="C346:D346"/>
    <mergeCell ref="A347:B347"/>
    <mergeCell ref="C347:D347"/>
    <mergeCell ref="A348:B348"/>
    <mergeCell ref="C348:D348"/>
    <mergeCell ref="C341:D341"/>
    <mergeCell ref="A343:B343"/>
    <mergeCell ref="C343:D343"/>
    <mergeCell ref="A344:B344"/>
    <mergeCell ref="C344:D344"/>
    <mergeCell ref="A345:B345"/>
    <mergeCell ref="C345:D345"/>
    <mergeCell ref="A335:D335"/>
    <mergeCell ref="A336:D336"/>
    <mergeCell ref="A337:D337"/>
    <mergeCell ref="A338:D338"/>
    <mergeCell ref="A339:D339"/>
    <mergeCell ref="A340:B340"/>
    <mergeCell ref="C340:D340"/>
    <mergeCell ref="A359:B359"/>
    <mergeCell ref="C359:D359"/>
    <mergeCell ref="A360:B360"/>
    <mergeCell ref="C360:D360"/>
    <mergeCell ref="A361:B361"/>
    <mergeCell ref="C361:D361"/>
    <mergeCell ref="C354:D354"/>
    <mergeCell ref="A356:B356"/>
    <mergeCell ref="C356:D356"/>
    <mergeCell ref="A357:B357"/>
    <mergeCell ref="C357:D357"/>
    <mergeCell ref="A358:B358"/>
    <mergeCell ref="C358:D358"/>
    <mergeCell ref="A349:D349"/>
    <mergeCell ref="A350:D350"/>
    <mergeCell ref="A351:D351"/>
    <mergeCell ref="A352:D352"/>
    <mergeCell ref="A353:B353"/>
    <mergeCell ref="C353:D353"/>
    <mergeCell ref="A373:B373"/>
    <mergeCell ref="C373:D373"/>
    <mergeCell ref="A374:B374"/>
    <mergeCell ref="C374:D374"/>
    <mergeCell ref="A375:B375"/>
    <mergeCell ref="C375:D375"/>
    <mergeCell ref="C368:D368"/>
    <mergeCell ref="A370:B370"/>
    <mergeCell ref="C370:D370"/>
    <mergeCell ref="A371:B371"/>
    <mergeCell ref="C371:D371"/>
    <mergeCell ref="A372:B372"/>
    <mergeCell ref="C372:D372"/>
    <mergeCell ref="A362:D362"/>
    <mergeCell ref="A363:D363"/>
    <mergeCell ref="A364:D364"/>
    <mergeCell ref="A365:D365"/>
    <mergeCell ref="A366:D366"/>
    <mergeCell ref="A367:B367"/>
    <mergeCell ref="C367:D367"/>
    <mergeCell ref="A386:B386"/>
    <mergeCell ref="C386:D386"/>
    <mergeCell ref="A387:B387"/>
    <mergeCell ref="C387:D387"/>
    <mergeCell ref="A388:B388"/>
    <mergeCell ref="C388:D388"/>
    <mergeCell ref="C381:D381"/>
    <mergeCell ref="A383:B383"/>
    <mergeCell ref="C383:D383"/>
    <mergeCell ref="A384:B384"/>
    <mergeCell ref="C384:D384"/>
    <mergeCell ref="A385:B385"/>
    <mergeCell ref="C385:D385"/>
    <mergeCell ref="A376:D376"/>
    <mergeCell ref="A377:D377"/>
    <mergeCell ref="A378:D378"/>
    <mergeCell ref="A379:D379"/>
    <mergeCell ref="A380:B380"/>
    <mergeCell ref="C380:D380"/>
    <mergeCell ref="A400:B400"/>
    <mergeCell ref="C400:D400"/>
    <mergeCell ref="A401:B401"/>
    <mergeCell ref="C401:D401"/>
    <mergeCell ref="A402:B402"/>
    <mergeCell ref="C402:D402"/>
    <mergeCell ref="C395:D395"/>
    <mergeCell ref="A397:B397"/>
    <mergeCell ref="C397:D397"/>
    <mergeCell ref="A398:B398"/>
    <mergeCell ref="C398:D398"/>
    <mergeCell ref="A399:B399"/>
    <mergeCell ref="C399:D399"/>
    <mergeCell ref="A389:D389"/>
    <mergeCell ref="A390:D390"/>
    <mergeCell ref="A391:D391"/>
    <mergeCell ref="A392:D392"/>
    <mergeCell ref="A393:D393"/>
    <mergeCell ref="A394:B394"/>
    <mergeCell ref="C394:D394"/>
    <mergeCell ref="A413:B413"/>
    <mergeCell ref="C413:D413"/>
    <mergeCell ref="A414:B414"/>
    <mergeCell ref="C414:D414"/>
    <mergeCell ref="A415:B415"/>
    <mergeCell ref="C415:D415"/>
    <mergeCell ref="C408:D408"/>
    <mergeCell ref="A410:B410"/>
    <mergeCell ref="C410:D410"/>
    <mergeCell ref="A411:B411"/>
    <mergeCell ref="C411:D411"/>
    <mergeCell ref="A412:B412"/>
    <mergeCell ref="C412:D412"/>
    <mergeCell ref="A403:D403"/>
    <mergeCell ref="A404:D404"/>
    <mergeCell ref="A405:D405"/>
    <mergeCell ref="A406:D406"/>
    <mergeCell ref="A407:B407"/>
    <mergeCell ref="C407:D407"/>
    <mergeCell ref="A427:B427"/>
    <mergeCell ref="C427:D427"/>
    <mergeCell ref="A428:B428"/>
    <mergeCell ref="C428:D428"/>
    <mergeCell ref="A429:B429"/>
    <mergeCell ref="C429:D429"/>
    <mergeCell ref="C422:D422"/>
    <mergeCell ref="A424:B424"/>
    <mergeCell ref="C424:D424"/>
    <mergeCell ref="A425:B425"/>
    <mergeCell ref="C425:D425"/>
    <mergeCell ref="A426:B426"/>
    <mergeCell ref="C426:D426"/>
    <mergeCell ref="A416:D416"/>
    <mergeCell ref="A417:D417"/>
    <mergeCell ref="A418:D418"/>
    <mergeCell ref="A419:D419"/>
    <mergeCell ref="A420:D420"/>
    <mergeCell ref="A421:B421"/>
    <mergeCell ref="C421:D421"/>
    <mergeCell ref="A440:B440"/>
    <mergeCell ref="C440:D440"/>
    <mergeCell ref="A441:B441"/>
    <mergeCell ref="C441:D441"/>
    <mergeCell ref="A442:B442"/>
    <mergeCell ref="C442:D442"/>
    <mergeCell ref="C435:D435"/>
    <mergeCell ref="A437:B437"/>
    <mergeCell ref="C437:D437"/>
    <mergeCell ref="A438:B438"/>
    <mergeCell ref="C438:D438"/>
    <mergeCell ref="A439:B439"/>
    <mergeCell ref="C439:D439"/>
    <mergeCell ref="A430:D430"/>
    <mergeCell ref="A431:D431"/>
    <mergeCell ref="A432:D432"/>
    <mergeCell ref="A433:D433"/>
    <mergeCell ref="A434:B434"/>
    <mergeCell ref="C434:D434"/>
    <mergeCell ref="A454:B454"/>
    <mergeCell ref="C454:D454"/>
    <mergeCell ref="A455:B455"/>
    <mergeCell ref="C455:D455"/>
    <mergeCell ref="A456:B456"/>
    <mergeCell ref="C456:D456"/>
    <mergeCell ref="C449:D449"/>
    <mergeCell ref="A451:B451"/>
    <mergeCell ref="C451:D451"/>
    <mergeCell ref="A452:B452"/>
    <mergeCell ref="C452:D452"/>
    <mergeCell ref="A453:B453"/>
    <mergeCell ref="C453:D453"/>
    <mergeCell ref="A443:D443"/>
    <mergeCell ref="A444:D444"/>
    <mergeCell ref="A445:D445"/>
    <mergeCell ref="A446:D446"/>
    <mergeCell ref="A447:D447"/>
    <mergeCell ref="A448:B448"/>
    <mergeCell ref="C448:D448"/>
    <mergeCell ref="A467:B467"/>
    <mergeCell ref="C467:D467"/>
    <mergeCell ref="A468:B468"/>
    <mergeCell ref="C468:D468"/>
    <mergeCell ref="A469:B469"/>
    <mergeCell ref="C469:D469"/>
    <mergeCell ref="C462:D462"/>
    <mergeCell ref="A464:B464"/>
    <mergeCell ref="C464:D464"/>
    <mergeCell ref="A465:B465"/>
    <mergeCell ref="C465:D465"/>
    <mergeCell ref="A466:B466"/>
    <mergeCell ref="C466:D466"/>
    <mergeCell ref="A457:D457"/>
    <mergeCell ref="A458:D458"/>
    <mergeCell ref="A459:D459"/>
    <mergeCell ref="A460:D460"/>
    <mergeCell ref="A461:B461"/>
    <mergeCell ref="C461:D461"/>
    <mergeCell ref="A481:B481"/>
    <mergeCell ref="C481:D481"/>
    <mergeCell ref="A482:B482"/>
    <mergeCell ref="C482:D482"/>
    <mergeCell ref="A483:B483"/>
    <mergeCell ref="C483:D483"/>
    <mergeCell ref="C476:D476"/>
    <mergeCell ref="A478:B478"/>
    <mergeCell ref="C478:D478"/>
    <mergeCell ref="A479:B479"/>
    <mergeCell ref="C479:D479"/>
    <mergeCell ref="A480:B480"/>
    <mergeCell ref="C480:D480"/>
    <mergeCell ref="A470:D470"/>
    <mergeCell ref="A471:D471"/>
    <mergeCell ref="A472:D472"/>
    <mergeCell ref="A473:D473"/>
    <mergeCell ref="A474:D474"/>
    <mergeCell ref="A475:B475"/>
    <mergeCell ref="C475:D475"/>
    <mergeCell ref="A494:B494"/>
    <mergeCell ref="C494:D494"/>
    <mergeCell ref="A495:B495"/>
    <mergeCell ref="C495:D495"/>
    <mergeCell ref="A496:B496"/>
    <mergeCell ref="C496:D496"/>
    <mergeCell ref="C489:D489"/>
    <mergeCell ref="A491:B491"/>
    <mergeCell ref="C491:D491"/>
    <mergeCell ref="A492:B492"/>
    <mergeCell ref="C492:D492"/>
    <mergeCell ref="A493:B493"/>
    <mergeCell ref="C493:D493"/>
    <mergeCell ref="A484:D484"/>
    <mergeCell ref="A485:D485"/>
    <mergeCell ref="A486:D486"/>
    <mergeCell ref="A487:D487"/>
    <mergeCell ref="A488:B488"/>
    <mergeCell ref="C488:D488"/>
    <mergeCell ref="A508:B508"/>
    <mergeCell ref="C508:D508"/>
    <mergeCell ref="A509:B509"/>
    <mergeCell ref="C509:D509"/>
    <mergeCell ref="A510:B510"/>
    <mergeCell ref="C510:D510"/>
    <mergeCell ref="C503:D503"/>
    <mergeCell ref="A505:B505"/>
    <mergeCell ref="C505:D505"/>
    <mergeCell ref="A506:B506"/>
    <mergeCell ref="C506:D506"/>
    <mergeCell ref="A507:B507"/>
    <mergeCell ref="C507:D507"/>
    <mergeCell ref="A497:D497"/>
    <mergeCell ref="A498:D498"/>
    <mergeCell ref="A499:D499"/>
    <mergeCell ref="A500:D500"/>
    <mergeCell ref="A501:D501"/>
    <mergeCell ref="A502:B502"/>
    <mergeCell ref="C502:D502"/>
    <mergeCell ref="A521:B521"/>
    <mergeCell ref="C521:D521"/>
    <mergeCell ref="A522:B522"/>
    <mergeCell ref="C522:D522"/>
    <mergeCell ref="A523:B523"/>
    <mergeCell ref="C523:D523"/>
    <mergeCell ref="C516:D516"/>
    <mergeCell ref="A518:B518"/>
    <mergeCell ref="C518:D518"/>
    <mergeCell ref="A519:B519"/>
    <mergeCell ref="C519:D519"/>
    <mergeCell ref="A520:B520"/>
    <mergeCell ref="C520:D520"/>
    <mergeCell ref="A511:D511"/>
    <mergeCell ref="A512:D512"/>
    <mergeCell ref="A513:D513"/>
    <mergeCell ref="A514:D514"/>
    <mergeCell ref="A515:B515"/>
    <mergeCell ref="C515:D515"/>
    <mergeCell ref="A535:B535"/>
    <mergeCell ref="C535:D535"/>
    <mergeCell ref="A536:B536"/>
    <mergeCell ref="C536:D536"/>
    <mergeCell ref="A537:B537"/>
    <mergeCell ref="C537:D537"/>
    <mergeCell ref="C530:D530"/>
    <mergeCell ref="A532:B532"/>
    <mergeCell ref="C532:D532"/>
    <mergeCell ref="A533:B533"/>
    <mergeCell ref="C533:D533"/>
    <mergeCell ref="A534:B534"/>
    <mergeCell ref="C534:D534"/>
    <mergeCell ref="A524:D524"/>
    <mergeCell ref="A525:D525"/>
    <mergeCell ref="A526:D526"/>
    <mergeCell ref="A527:D527"/>
    <mergeCell ref="A528:D528"/>
    <mergeCell ref="A529:B529"/>
    <mergeCell ref="C529:D529"/>
    <mergeCell ref="A548:B548"/>
    <mergeCell ref="C548:D548"/>
    <mergeCell ref="A549:B549"/>
    <mergeCell ref="C549:D549"/>
    <mergeCell ref="A550:B550"/>
    <mergeCell ref="C550:D550"/>
    <mergeCell ref="C543:D543"/>
    <mergeCell ref="A545:B545"/>
    <mergeCell ref="C545:D545"/>
    <mergeCell ref="A546:B546"/>
    <mergeCell ref="C546:D546"/>
    <mergeCell ref="A547:B547"/>
    <mergeCell ref="C547:D547"/>
    <mergeCell ref="A538:D538"/>
    <mergeCell ref="A539:D539"/>
    <mergeCell ref="A540:D540"/>
    <mergeCell ref="A541:D541"/>
    <mergeCell ref="A542:B542"/>
    <mergeCell ref="C542:D542"/>
    <mergeCell ref="A562:B562"/>
    <mergeCell ref="C562:D562"/>
    <mergeCell ref="A563:B563"/>
    <mergeCell ref="C563:D563"/>
    <mergeCell ref="A564:B564"/>
    <mergeCell ref="C564:D564"/>
    <mergeCell ref="C557:D557"/>
    <mergeCell ref="A559:B559"/>
    <mergeCell ref="C559:D559"/>
    <mergeCell ref="A560:B560"/>
    <mergeCell ref="C560:D560"/>
    <mergeCell ref="A561:B561"/>
    <mergeCell ref="C561:D561"/>
    <mergeCell ref="A551:D551"/>
    <mergeCell ref="A552:D552"/>
    <mergeCell ref="A553:D553"/>
    <mergeCell ref="A554:D554"/>
    <mergeCell ref="A555:D555"/>
    <mergeCell ref="A556:B556"/>
    <mergeCell ref="C556:D556"/>
    <mergeCell ref="A575:B575"/>
    <mergeCell ref="C575:D575"/>
    <mergeCell ref="A576:B576"/>
    <mergeCell ref="C576:D576"/>
    <mergeCell ref="A577:B577"/>
    <mergeCell ref="C577:D577"/>
    <mergeCell ref="C570:D570"/>
    <mergeCell ref="A572:B572"/>
    <mergeCell ref="C572:D572"/>
    <mergeCell ref="A573:B573"/>
    <mergeCell ref="C573:D573"/>
    <mergeCell ref="A574:B574"/>
    <mergeCell ref="C574:D574"/>
    <mergeCell ref="A568:D568"/>
    <mergeCell ref="A569:B569"/>
    <mergeCell ref="C569:D569"/>
    <mergeCell ref="A565:D565"/>
    <mergeCell ref="A566:D566"/>
    <mergeCell ref="A567:D567"/>
    <mergeCell ref="A589:B589"/>
    <mergeCell ref="C589:D589"/>
    <mergeCell ref="A590:B590"/>
    <mergeCell ref="C590:D590"/>
    <mergeCell ref="A591:B591"/>
    <mergeCell ref="C591:D591"/>
    <mergeCell ref="C584:D584"/>
    <mergeCell ref="A586:B586"/>
    <mergeCell ref="C586:D586"/>
    <mergeCell ref="A587:B587"/>
    <mergeCell ref="C587:D587"/>
    <mergeCell ref="A588:B588"/>
    <mergeCell ref="C588:D588"/>
    <mergeCell ref="A578:D578"/>
    <mergeCell ref="A579:D579"/>
    <mergeCell ref="A580:D580"/>
    <mergeCell ref="A581:D581"/>
    <mergeCell ref="A582:D582"/>
    <mergeCell ref="A583:B583"/>
    <mergeCell ref="C583:D583"/>
    <mergeCell ref="A602:B602"/>
    <mergeCell ref="C602:D602"/>
    <mergeCell ref="A603:B603"/>
    <mergeCell ref="C603:D603"/>
    <mergeCell ref="A604:B604"/>
    <mergeCell ref="C604:D604"/>
    <mergeCell ref="C597:D597"/>
    <mergeCell ref="A599:B599"/>
    <mergeCell ref="C599:D599"/>
    <mergeCell ref="A600:B600"/>
    <mergeCell ref="C600:D600"/>
    <mergeCell ref="A601:B601"/>
    <mergeCell ref="C601:D601"/>
    <mergeCell ref="A592:D592"/>
    <mergeCell ref="A593:D593"/>
    <mergeCell ref="A594:D594"/>
    <mergeCell ref="A595:D595"/>
    <mergeCell ref="A596:B596"/>
    <mergeCell ref="C596:D596"/>
    <mergeCell ref="A616:B616"/>
    <mergeCell ref="C616:D616"/>
    <mergeCell ref="A617:B617"/>
    <mergeCell ref="C617:D617"/>
    <mergeCell ref="A618:B618"/>
    <mergeCell ref="C618:D618"/>
    <mergeCell ref="C611:D611"/>
    <mergeCell ref="A613:B613"/>
    <mergeCell ref="C613:D613"/>
    <mergeCell ref="A614:B614"/>
    <mergeCell ref="C614:D614"/>
    <mergeCell ref="A615:B615"/>
    <mergeCell ref="C615:D615"/>
    <mergeCell ref="A605:D605"/>
    <mergeCell ref="A606:D606"/>
    <mergeCell ref="A607:D607"/>
    <mergeCell ref="A608:D608"/>
    <mergeCell ref="A609:D609"/>
    <mergeCell ref="A610:B610"/>
    <mergeCell ref="C610:D610"/>
    <mergeCell ref="A629:B629"/>
    <mergeCell ref="C629:D629"/>
    <mergeCell ref="A630:B630"/>
    <mergeCell ref="C630:D630"/>
    <mergeCell ref="A631:B631"/>
    <mergeCell ref="C631:D631"/>
    <mergeCell ref="C624:D624"/>
    <mergeCell ref="A626:B626"/>
    <mergeCell ref="C626:D626"/>
    <mergeCell ref="A627:B627"/>
    <mergeCell ref="C627:D627"/>
    <mergeCell ref="A628:B628"/>
    <mergeCell ref="C628:D628"/>
    <mergeCell ref="A619:D619"/>
    <mergeCell ref="A620:D620"/>
    <mergeCell ref="A621:D621"/>
    <mergeCell ref="A622:D622"/>
    <mergeCell ref="A623:B623"/>
    <mergeCell ref="C623:D623"/>
    <mergeCell ref="A643:B643"/>
    <mergeCell ref="C643:D643"/>
    <mergeCell ref="A644:B644"/>
    <mergeCell ref="C644:D644"/>
    <mergeCell ref="A645:B645"/>
    <mergeCell ref="C645:D645"/>
    <mergeCell ref="C638:D638"/>
    <mergeCell ref="A640:B640"/>
    <mergeCell ref="C640:D640"/>
    <mergeCell ref="A641:B641"/>
    <mergeCell ref="C641:D641"/>
    <mergeCell ref="A642:B642"/>
    <mergeCell ref="C642:D642"/>
    <mergeCell ref="A632:D632"/>
    <mergeCell ref="A633:D633"/>
    <mergeCell ref="A634:D634"/>
    <mergeCell ref="A635:D635"/>
    <mergeCell ref="A636:D636"/>
    <mergeCell ref="A637:B637"/>
    <mergeCell ref="C637:D637"/>
    <mergeCell ref="A656:B656"/>
    <mergeCell ref="C656:D656"/>
    <mergeCell ref="A657:B657"/>
    <mergeCell ref="C657:D657"/>
    <mergeCell ref="A658:B658"/>
    <mergeCell ref="C658:D658"/>
    <mergeCell ref="C651:D651"/>
    <mergeCell ref="A653:B653"/>
    <mergeCell ref="C653:D653"/>
    <mergeCell ref="A654:B654"/>
    <mergeCell ref="C654:D654"/>
    <mergeCell ref="A655:B655"/>
    <mergeCell ref="C655:D655"/>
    <mergeCell ref="A646:D646"/>
    <mergeCell ref="A647:D647"/>
    <mergeCell ref="A648:D648"/>
    <mergeCell ref="A649:D649"/>
    <mergeCell ref="A650:B650"/>
    <mergeCell ref="C650:D650"/>
    <mergeCell ref="A670:B670"/>
    <mergeCell ref="C670:D670"/>
    <mergeCell ref="A671:B671"/>
    <mergeCell ref="C671:D671"/>
    <mergeCell ref="A672:B672"/>
    <mergeCell ref="C672:D672"/>
    <mergeCell ref="C665:D665"/>
    <mergeCell ref="A667:B667"/>
    <mergeCell ref="C667:D667"/>
    <mergeCell ref="A668:B668"/>
    <mergeCell ref="C668:D668"/>
    <mergeCell ref="A669:B669"/>
    <mergeCell ref="C669:D669"/>
    <mergeCell ref="A659:D659"/>
    <mergeCell ref="A660:D660"/>
    <mergeCell ref="A661:D661"/>
    <mergeCell ref="A662:D662"/>
    <mergeCell ref="A663:D663"/>
    <mergeCell ref="A664:B664"/>
    <mergeCell ref="C664:D664"/>
    <mergeCell ref="A683:B683"/>
    <mergeCell ref="C683:D683"/>
    <mergeCell ref="A684:B684"/>
    <mergeCell ref="C684:D684"/>
    <mergeCell ref="A685:B685"/>
    <mergeCell ref="C685:D685"/>
    <mergeCell ref="C678:D678"/>
    <mergeCell ref="A680:B680"/>
    <mergeCell ref="C680:D680"/>
    <mergeCell ref="A681:B681"/>
    <mergeCell ref="C681:D681"/>
    <mergeCell ref="A682:B682"/>
    <mergeCell ref="C682:D682"/>
    <mergeCell ref="A673:D673"/>
    <mergeCell ref="A674:D674"/>
    <mergeCell ref="A675:D675"/>
    <mergeCell ref="A676:D676"/>
    <mergeCell ref="A677:B677"/>
    <mergeCell ref="C677:D677"/>
    <mergeCell ref="A697:B697"/>
    <mergeCell ref="C697:D697"/>
    <mergeCell ref="A698:B698"/>
    <mergeCell ref="C698:D698"/>
    <mergeCell ref="A699:B699"/>
    <mergeCell ref="C699:D699"/>
    <mergeCell ref="C692:D692"/>
    <mergeCell ref="A694:B694"/>
    <mergeCell ref="C694:D694"/>
    <mergeCell ref="A695:B695"/>
    <mergeCell ref="C695:D695"/>
    <mergeCell ref="A696:B696"/>
    <mergeCell ref="C696:D696"/>
    <mergeCell ref="A686:D686"/>
    <mergeCell ref="A687:D687"/>
    <mergeCell ref="A688:D688"/>
    <mergeCell ref="A689:D689"/>
    <mergeCell ref="A690:D690"/>
    <mergeCell ref="A691:B691"/>
    <mergeCell ref="C691:D691"/>
    <mergeCell ref="A710:B710"/>
    <mergeCell ref="C710:D710"/>
    <mergeCell ref="A711:B711"/>
    <mergeCell ref="C711:D711"/>
    <mergeCell ref="A712:B712"/>
    <mergeCell ref="C712:D712"/>
    <mergeCell ref="C705:D705"/>
    <mergeCell ref="A707:B707"/>
    <mergeCell ref="C707:D707"/>
    <mergeCell ref="A708:B708"/>
    <mergeCell ref="C708:D708"/>
    <mergeCell ref="A709:B709"/>
    <mergeCell ref="C709:D709"/>
    <mergeCell ref="A700:D700"/>
    <mergeCell ref="A701:D701"/>
    <mergeCell ref="A702:D702"/>
    <mergeCell ref="A703:D703"/>
    <mergeCell ref="A704:B704"/>
    <mergeCell ref="C704:D704"/>
    <mergeCell ref="A724:B724"/>
    <mergeCell ref="C724:D724"/>
    <mergeCell ref="A725:B725"/>
    <mergeCell ref="C725:D725"/>
    <mergeCell ref="A726:B726"/>
    <mergeCell ref="C726:D726"/>
    <mergeCell ref="C719:D719"/>
    <mergeCell ref="A721:B721"/>
    <mergeCell ref="C721:D721"/>
    <mergeCell ref="A722:B722"/>
    <mergeCell ref="C722:D722"/>
    <mergeCell ref="A723:B723"/>
    <mergeCell ref="C723:D723"/>
    <mergeCell ref="A713:D713"/>
    <mergeCell ref="A714:D714"/>
    <mergeCell ref="A715:D715"/>
    <mergeCell ref="A716:D716"/>
    <mergeCell ref="A717:D717"/>
    <mergeCell ref="A718:B718"/>
    <mergeCell ref="C718:D718"/>
    <mergeCell ref="A737:B737"/>
    <mergeCell ref="C737:D737"/>
    <mergeCell ref="A738:B738"/>
    <mergeCell ref="C738:D738"/>
    <mergeCell ref="A739:B739"/>
    <mergeCell ref="C739:D739"/>
    <mergeCell ref="C732:D732"/>
    <mergeCell ref="A734:B734"/>
    <mergeCell ref="C734:D734"/>
    <mergeCell ref="A735:B735"/>
    <mergeCell ref="C735:D735"/>
    <mergeCell ref="A736:B736"/>
    <mergeCell ref="C736:D736"/>
    <mergeCell ref="A727:D727"/>
    <mergeCell ref="A728:D728"/>
    <mergeCell ref="A729:D729"/>
    <mergeCell ref="A730:D730"/>
    <mergeCell ref="A731:B731"/>
    <mergeCell ref="C731:D731"/>
    <mergeCell ref="A751:B751"/>
    <mergeCell ref="C751:D751"/>
    <mergeCell ref="A752:B752"/>
    <mergeCell ref="C752:D752"/>
    <mergeCell ref="A753:B753"/>
    <mergeCell ref="C753:D753"/>
    <mergeCell ref="C746:D746"/>
    <mergeCell ref="A748:B748"/>
    <mergeCell ref="C748:D748"/>
    <mergeCell ref="A749:B749"/>
    <mergeCell ref="C749:D749"/>
    <mergeCell ref="A750:B750"/>
    <mergeCell ref="C750:D750"/>
    <mergeCell ref="A740:D740"/>
    <mergeCell ref="A741:D741"/>
    <mergeCell ref="A742:D742"/>
    <mergeCell ref="A743:D743"/>
    <mergeCell ref="A744:D744"/>
    <mergeCell ref="A745:B745"/>
    <mergeCell ref="C745:D745"/>
    <mergeCell ref="A764:B764"/>
    <mergeCell ref="C764:D764"/>
    <mergeCell ref="A765:B765"/>
    <mergeCell ref="C765:D765"/>
    <mergeCell ref="A766:B766"/>
    <mergeCell ref="C766:D766"/>
    <mergeCell ref="C759:D759"/>
    <mergeCell ref="A761:B761"/>
    <mergeCell ref="C761:D761"/>
    <mergeCell ref="A762:B762"/>
    <mergeCell ref="C762:D762"/>
    <mergeCell ref="A763:B763"/>
    <mergeCell ref="C763:D763"/>
    <mergeCell ref="A754:D754"/>
    <mergeCell ref="A755:D755"/>
    <mergeCell ref="A756:D756"/>
    <mergeCell ref="A757:D757"/>
    <mergeCell ref="A758:B758"/>
    <mergeCell ref="C758:D758"/>
    <mergeCell ref="A778:B778"/>
    <mergeCell ref="C778:D778"/>
    <mergeCell ref="A779:B779"/>
    <mergeCell ref="C779:D779"/>
    <mergeCell ref="A780:B780"/>
    <mergeCell ref="C780:D780"/>
    <mergeCell ref="C773:D773"/>
    <mergeCell ref="A775:B775"/>
    <mergeCell ref="C775:D775"/>
    <mergeCell ref="A776:B776"/>
    <mergeCell ref="C776:D776"/>
    <mergeCell ref="A777:B777"/>
    <mergeCell ref="C777:D777"/>
    <mergeCell ref="A767:D767"/>
    <mergeCell ref="A768:D768"/>
    <mergeCell ref="A769:D769"/>
    <mergeCell ref="A770:D770"/>
    <mergeCell ref="A771:D771"/>
    <mergeCell ref="A772:B772"/>
    <mergeCell ref="C772:D772"/>
    <mergeCell ref="A791:B791"/>
    <mergeCell ref="C791:D791"/>
    <mergeCell ref="A792:B792"/>
    <mergeCell ref="C792:D792"/>
    <mergeCell ref="A793:B793"/>
    <mergeCell ref="C793:D793"/>
    <mergeCell ref="C786:D786"/>
    <mergeCell ref="A788:B788"/>
    <mergeCell ref="C788:D788"/>
    <mergeCell ref="A789:B789"/>
    <mergeCell ref="C789:D789"/>
    <mergeCell ref="A790:B790"/>
    <mergeCell ref="C790:D790"/>
    <mergeCell ref="A781:D781"/>
    <mergeCell ref="A782:D782"/>
    <mergeCell ref="A783:D783"/>
    <mergeCell ref="A784:D784"/>
    <mergeCell ref="A785:B785"/>
    <mergeCell ref="C785:D785"/>
    <mergeCell ref="A805:B805"/>
    <mergeCell ref="C805:D805"/>
    <mergeCell ref="A806:B806"/>
    <mergeCell ref="C806:D806"/>
    <mergeCell ref="A807:B807"/>
    <mergeCell ref="C807:D807"/>
    <mergeCell ref="C800:D800"/>
    <mergeCell ref="A802:B802"/>
    <mergeCell ref="C802:D802"/>
    <mergeCell ref="A803:B803"/>
    <mergeCell ref="C803:D803"/>
    <mergeCell ref="A804:B804"/>
    <mergeCell ref="C804:D804"/>
    <mergeCell ref="A794:D794"/>
    <mergeCell ref="A795:D795"/>
    <mergeCell ref="A796:D796"/>
    <mergeCell ref="A797:D797"/>
    <mergeCell ref="A798:D798"/>
    <mergeCell ref="A799:B799"/>
    <mergeCell ref="C799:D799"/>
    <mergeCell ref="A808:D808"/>
    <mergeCell ref="A809:D809"/>
    <mergeCell ref="A810:D810"/>
    <mergeCell ref="A832:B832"/>
    <mergeCell ref="C832:D832"/>
    <mergeCell ref="A833:B833"/>
    <mergeCell ref="C833:D833"/>
    <mergeCell ref="A834:B834"/>
    <mergeCell ref="C834:D834"/>
    <mergeCell ref="C827:D827"/>
    <mergeCell ref="A829:B829"/>
    <mergeCell ref="C829:D829"/>
    <mergeCell ref="A830:B830"/>
    <mergeCell ref="C830:D830"/>
    <mergeCell ref="A831:B831"/>
    <mergeCell ref="C831:D831"/>
    <mergeCell ref="A825:D825"/>
    <mergeCell ref="A826:B826"/>
    <mergeCell ref="C826:D826"/>
    <mergeCell ref="A818:B818"/>
    <mergeCell ref="C818:D818"/>
    <mergeCell ref="A819:B819"/>
    <mergeCell ref="C819:D819"/>
    <mergeCell ref="A820:B820"/>
    <mergeCell ref="C820:D820"/>
    <mergeCell ref="C813:D813"/>
    <mergeCell ref="A815:B815"/>
    <mergeCell ref="C815:D815"/>
    <mergeCell ref="A816:B816"/>
    <mergeCell ref="C816:D816"/>
    <mergeCell ref="A817:B817"/>
    <mergeCell ref="C817:D817"/>
    <mergeCell ref="A811:D811"/>
    <mergeCell ref="A812:B812"/>
    <mergeCell ref="C812:D812"/>
    <mergeCell ref="A821:D821"/>
    <mergeCell ref="A822:D822"/>
    <mergeCell ref="A823:D823"/>
    <mergeCell ref="A824:D824"/>
    <mergeCell ref="A845:B845"/>
    <mergeCell ref="C845:D845"/>
    <mergeCell ref="A846:B846"/>
    <mergeCell ref="C846:D846"/>
    <mergeCell ref="A847:B847"/>
    <mergeCell ref="C847:D847"/>
    <mergeCell ref="C840:D840"/>
    <mergeCell ref="A842:B842"/>
    <mergeCell ref="C842:D842"/>
    <mergeCell ref="A843:B843"/>
    <mergeCell ref="C843:D843"/>
    <mergeCell ref="A844:B844"/>
    <mergeCell ref="C844:D844"/>
    <mergeCell ref="A835:D835"/>
    <mergeCell ref="A836:D836"/>
    <mergeCell ref="A837:D837"/>
    <mergeCell ref="A838:D838"/>
    <mergeCell ref="A839:B839"/>
    <mergeCell ref="C839:D839"/>
    <mergeCell ref="A859:B859"/>
    <mergeCell ref="C859:D859"/>
    <mergeCell ref="A860:B860"/>
    <mergeCell ref="C860:D860"/>
    <mergeCell ref="A861:B861"/>
    <mergeCell ref="C861:D861"/>
    <mergeCell ref="C854:D854"/>
    <mergeCell ref="A856:B856"/>
    <mergeCell ref="C856:D856"/>
    <mergeCell ref="A857:B857"/>
    <mergeCell ref="C857:D857"/>
    <mergeCell ref="A858:B858"/>
    <mergeCell ref="C858:D858"/>
    <mergeCell ref="A848:D848"/>
    <mergeCell ref="A849:D849"/>
    <mergeCell ref="A850:D850"/>
    <mergeCell ref="A851:D851"/>
    <mergeCell ref="A852:D852"/>
    <mergeCell ref="A853:B853"/>
    <mergeCell ref="C853:D853"/>
    <mergeCell ref="A872:B872"/>
    <mergeCell ref="C872:D872"/>
    <mergeCell ref="A873:B873"/>
    <mergeCell ref="C873:D873"/>
    <mergeCell ref="A874:B874"/>
    <mergeCell ref="C874:D874"/>
    <mergeCell ref="C867:D867"/>
    <mergeCell ref="A869:B869"/>
    <mergeCell ref="C869:D869"/>
    <mergeCell ref="A870:B870"/>
    <mergeCell ref="C870:D870"/>
    <mergeCell ref="A871:B871"/>
    <mergeCell ref="C871:D871"/>
    <mergeCell ref="A862:D862"/>
    <mergeCell ref="A863:D863"/>
    <mergeCell ref="A864:D864"/>
    <mergeCell ref="A865:D865"/>
    <mergeCell ref="A866:B866"/>
    <mergeCell ref="C866:D866"/>
    <mergeCell ref="A886:B886"/>
    <mergeCell ref="C886:D886"/>
    <mergeCell ref="A887:B887"/>
    <mergeCell ref="C887:D887"/>
    <mergeCell ref="A888:B888"/>
    <mergeCell ref="C888:D888"/>
    <mergeCell ref="C881:D881"/>
    <mergeCell ref="A883:B883"/>
    <mergeCell ref="C883:D883"/>
    <mergeCell ref="A884:B884"/>
    <mergeCell ref="C884:D884"/>
    <mergeCell ref="A885:B885"/>
    <mergeCell ref="C885:D885"/>
    <mergeCell ref="A875:D875"/>
    <mergeCell ref="A876:D876"/>
    <mergeCell ref="A877:D877"/>
    <mergeCell ref="A878:D878"/>
    <mergeCell ref="A879:D879"/>
    <mergeCell ref="A880:B880"/>
    <mergeCell ref="C880:D880"/>
    <mergeCell ref="A899:B899"/>
    <mergeCell ref="C899:D899"/>
    <mergeCell ref="A900:B900"/>
    <mergeCell ref="C900:D900"/>
    <mergeCell ref="A901:B901"/>
    <mergeCell ref="C901:D901"/>
    <mergeCell ref="C894:D894"/>
    <mergeCell ref="A896:B896"/>
    <mergeCell ref="C896:D896"/>
    <mergeCell ref="A897:B897"/>
    <mergeCell ref="C897:D897"/>
    <mergeCell ref="A898:B898"/>
    <mergeCell ref="C898:D898"/>
    <mergeCell ref="A889:D889"/>
    <mergeCell ref="A890:D890"/>
    <mergeCell ref="A891:D891"/>
    <mergeCell ref="A892:D892"/>
    <mergeCell ref="A893:B893"/>
    <mergeCell ref="C893:D893"/>
    <mergeCell ref="A913:B913"/>
    <mergeCell ref="C913:D913"/>
    <mergeCell ref="A914:B914"/>
    <mergeCell ref="C914:D914"/>
    <mergeCell ref="A915:B915"/>
    <mergeCell ref="C915:D915"/>
    <mergeCell ref="C908:D908"/>
    <mergeCell ref="A910:B910"/>
    <mergeCell ref="C910:D910"/>
    <mergeCell ref="A911:B911"/>
    <mergeCell ref="C911:D911"/>
    <mergeCell ref="A912:B912"/>
    <mergeCell ref="C912:D912"/>
    <mergeCell ref="A902:D902"/>
    <mergeCell ref="A903:D903"/>
    <mergeCell ref="A904:D904"/>
    <mergeCell ref="A905:D905"/>
    <mergeCell ref="A906:D906"/>
    <mergeCell ref="A907:B907"/>
    <mergeCell ref="C907:D907"/>
    <mergeCell ref="A926:B926"/>
    <mergeCell ref="C926:D926"/>
    <mergeCell ref="A927:B927"/>
    <mergeCell ref="C927:D927"/>
    <mergeCell ref="A928:B928"/>
    <mergeCell ref="C928:D928"/>
    <mergeCell ref="C921:D921"/>
    <mergeCell ref="A923:B923"/>
    <mergeCell ref="C923:D923"/>
    <mergeCell ref="A924:B924"/>
    <mergeCell ref="C924:D924"/>
    <mergeCell ref="A925:B925"/>
    <mergeCell ref="C925:D925"/>
    <mergeCell ref="A916:D916"/>
    <mergeCell ref="A917:D917"/>
    <mergeCell ref="A918:D918"/>
    <mergeCell ref="A919:D919"/>
    <mergeCell ref="A920:B920"/>
    <mergeCell ref="C920:D920"/>
    <mergeCell ref="A940:B940"/>
    <mergeCell ref="C940:D940"/>
    <mergeCell ref="A941:B941"/>
    <mergeCell ref="C941:D941"/>
    <mergeCell ref="A942:B942"/>
    <mergeCell ref="C942:D942"/>
    <mergeCell ref="C935:D935"/>
    <mergeCell ref="A937:B937"/>
    <mergeCell ref="C937:D937"/>
    <mergeCell ref="A938:B938"/>
    <mergeCell ref="C938:D938"/>
    <mergeCell ref="A939:B939"/>
    <mergeCell ref="C939:D939"/>
    <mergeCell ref="A929:D929"/>
    <mergeCell ref="A930:D930"/>
    <mergeCell ref="A931:D931"/>
    <mergeCell ref="A932:D932"/>
    <mergeCell ref="A933:D933"/>
    <mergeCell ref="A934:B934"/>
    <mergeCell ref="C934:D934"/>
    <mergeCell ref="A953:B953"/>
    <mergeCell ref="C953:D953"/>
    <mergeCell ref="A954:B954"/>
    <mergeCell ref="C954:D954"/>
    <mergeCell ref="A955:B955"/>
    <mergeCell ref="C955:D955"/>
    <mergeCell ref="C948:D948"/>
    <mergeCell ref="A950:B950"/>
    <mergeCell ref="C950:D950"/>
    <mergeCell ref="A951:B951"/>
    <mergeCell ref="C951:D951"/>
    <mergeCell ref="A952:B952"/>
    <mergeCell ref="C952:D952"/>
    <mergeCell ref="A943:D943"/>
    <mergeCell ref="A944:D944"/>
    <mergeCell ref="A945:D945"/>
    <mergeCell ref="A946:D946"/>
    <mergeCell ref="A947:B947"/>
    <mergeCell ref="C947:D947"/>
    <mergeCell ref="A967:B967"/>
    <mergeCell ref="C967:D967"/>
    <mergeCell ref="A968:B968"/>
    <mergeCell ref="C968:D968"/>
    <mergeCell ref="A969:B969"/>
    <mergeCell ref="C969:D969"/>
    <mergeCell ref="C962:D962"/>
    <mergeCell ref="A964:B964"/>
    <mergeCell ref="C964:D964"/>
    <mergeCell ref="A965:B965"/>
    <mergeCell ref="C965:D965"/>
    <mergeCell ref="A966:B966"/>
    <mergeCell ref="C966:D966"/>
    <mergeCell ref="A956:D956"/>
    <mergeCell ref="A957:D957"/>
    <mergeCell ref="A958:D958"/>
    <mergeCell ref="A959:D959"/>
    <mergeCell ref="A960:D960"/>
    <mergeCell ref="A961:B961"/>
    <mergeCell ref="C961:D961"/>
    <mergeCell ref="A980:B980"/>
    <mergeCell ref="C980:D980"/>
    <mergeCell ref="A981:B981"/>
    <mergeCell ref="C981:D981"/>
    <mergeCell ref="A982:B982"/>
    <mergeCell ref="C982:D982"/>
    <mergeCell ref="C975:D975"/>
    <mergeCell ref="A977:B977"/>
    <mergeCell ref="C977:D977"/>
    <mergeCell ref="A978:B978"/>
    <mergeCell ref="C978:D978"/>
    <mergeCell ref="A979:B979"/>
    <mergeCell ref="C979:D979"/>
    <mergeCell ref="A970:D970"/>
    <mergeCell ref="A971:D971"/>
    <mergeCell ref="A972:D972"/>
    <mergeCell ref="A973:D973"/>
    <mergeCell ref="A974:B974"/>
    <mergeCell ref="C974:D974"/>
    <mergeCell ref="A994:B994"/>
    <mergeCell ref="C994:D994"/>
    <mergeCell ref="A995:B995"/>
    <mergeCell ref="C995:D995"/>
    <mergeCell ref="A996:B996"/>
    <mergeCell ref="C996:D996"/>
    <mergeCell ref="C989:D989"/>
    <mergeCell ref="A991:B991"/>
    <mergeCell ref="C991:D991"/>
    <mergeCell ref="A992:B992"/>
    <mergeCell ref="C992:D992"/>
    <mergeCell ref="A993:B993"/>
    <mergeCell ref="C993:D993"/>
    <mergeCell ref="A983:D983"/>
    <mergeCell ref="A984:D984"/>
    <mergeCell ref="A985:D985"/>
    <mergeCell ref="A986:D986"/>
    <mergeCell ref="A987:D987"/>
    <mergeCell ref="A988:B988"/>
    <mergeCell ref="C988:D988"/>
    <mergeCell ref="A1007:B1007"/>
    <mergeCell ref="C1007:D1007"/>
    <mergeCell ref="A1008:B1008"/>
    <mergeCell ref="C1008:D1008"/>
    <mergeCell ref="A1009:B1009"/>
    <mergeCell ref="C1009:D1009"/>
    <mergeCell ref="C1002:D1002"/>
    <mergeCell ref="A1004:B1004"/>
    <mergeCell ref="C1004:D1004"/>
    <mergeCell ref="A1005:B1005"/>
    <mergeCell ref="C1005:D1005"/>
    <mergeCell ref="A1006:B1006"/>
    <mergeCell ref="C1006:D1006"/>
    <mergeCell ref="A997:D997"/>
    <mergeCell ref="A998:D998"/>
    <mergeCell ref="A999:D999"/>
    <mergeCell ref="A1000:D1000"/>
    <mergeCell ref="A1001:B1001"/>
    <mergeCell ref="C1001:D1001"/>
    <mergeCell ref="A1021:B1021"/>
    <mergeCell ref="C1021:D1021"/>
    <mergeCell ref="A1022:B1022"/>
    <mergeCell ref="C1022:D1022"/>
    <mergeCell ref="A1023:B1023"/>
    <mergeCell ref="C1023:D1023"/>
    <mergeCell ref="C1016:D1016"/>
    <mergeCell ref="A1018:B1018"/>
    <mergeCell ref="C1018:D1018"/>
    <mergeCell ref="A1019:B1019"/>
    <mergeCell ref="C1019:D1019"/>
    <mergeCell ref="A1020:B1020"/>
    <mergeCell ref="C1020:D1020"/>
    <mergeCell ref="A1010:D1010"/>
    <mergeCell ref="A1011:D1011"/>
    <mergeCell ref="A1012:D1012"/>
    <mergeCell ref="A1013:D1013"/>
    <mergeCell ref="A1014:D1014"/>
    <mergeCell ref="A1015:B1015"/>
    <mergeCell ref="C1015:D1015"/>
    <mergeCell ref="A1034:B1034"/>
    <mergeCell ref="C1034:D1034"/>
    <mergeCell ref="A1035:B1035"/>
    <mergeCell ref="C1035:D1035"/>
    <mergeCell ref="A1036:B1036"/>
    <mergeCell ref="C1036:D1036"/>
    <mergeCell ref="C1029:D1029"/>
    <mergeCell ref="A1031:B1031"/>
    <mergeCell ref="C1031:D1031"/>
    <mergeCell ref="A1032:B1032"/>
    <mergeCell ref="C1032:D1032"/>
    <mergeCell ref="A1033:B1033"/>
    <mergeCell ref="C1033:D1033"/>
    <mergeCell ref="A1024:D1024"/>
    <mergeCell ref="A1025:D1025"/>
    <mergeCell ref="A1026:D1026"/>
    <mergeCell ref="A1027:D1027"/>
    <mergeCell ref="A1028:B1028"/>
    <mergeCell ref="C1028:D1028"/>
    <mergeCell ref="A1048:B1048"/>
    <mergeCell ref="C1048:D1048"/>
    <mergeCell ref="A1049:B1049"/>
    <mergeCell ref="C1049:D1049"/>
    <mergeCell ref="A1050:B1050"/>
    <mergeCell ref="C1050:D1050"/>
    <mergeCell ref="C1043:D1043"/>
    <mergeCell ref="A1045:B1045"/>
    <mergeCell ref="C1045:D1045"/>
    <mergeCell ref="A1046:B1046"/>
    <mergeCell ref="C1046:D1046"/>
    <mergeCell ref="A1047:B1047"/>
    <mergeCell ref="C1047:D1047"/>
    <mergeCell ref="A1037:D1037"/>
    <mergeCell ref="A1038:D1038"/>
    <mergeCell ref="A1039:D1039"/>
    <mergeCell ref="A1040:D1040"/>
    <mergeCell ref="A1041:D1041"/>
    <mergeCell ref="A1042:B1042"/>
    <mergeCell ref="C1042:D1042"/>
    <mergeCell ref="A1061:B1061"/>
    <mergeCell ref="C1061:D1061"/>
    <mergeCell ref="A1062:B1062"/>
    <mergeCell ref="C1062:D1062"/>
    <mergeCell ref="A1063:B1063"/>
    <mergeCell ref="C1063:D1063"/>
    <mergeCell ref="C1056:D1056"/>
    <mergeCell ref="A1058:B1058"/>
    <mergeCell ref="C1058:D1058"/>
    <mergeCell ref="A1059:B1059"/>
    <mergeCell ref="C1059:D1059"/>
    <mergeCell ref="A1060:B1060"/>
    <mergeCell ref="C1060:D1060"/>
    <mergeCell ref="A1051:D1051"/>
    <mergeCell ref="A1052:D1052"/>
    <mergeCell ref="A1053:D1053"/>
    <mergeCell ref="A1054:D1054"/>
    <mergeCell ref="A1055:B1055"/>
    <mergeCell ref="C1055:D1055"/>
    <mergeCell ref="A1075:B1075"/>
    <mergeCell ref="C1075:D1075"/>
    <mergeCell ref="A1076:B1076"/>
    <mergeCell ref="C1076:D1076"/>
    <mergeCell ref="A1077:B1077"/>
    <mergeCell ref="C1077:D1077"/>
    <mergeCell ref="C1070:D1070"/>
    <mergeCell ref="A1072:B1072"/>
    <mergeCell ref="C1072:D1072"/>
    <mergeCell ref="A1073:B1073"/>
    <mergeCell ref="C1073:D1073"/>
    <mergeCell ref="A1074:B1074"/>
    <mergeCell ref="C1074:D1074"/>
    <mergeCell ref="A1064:D1064"/>
    <mergeCell ref="A1065:D1065"/>
    <mergeCell ref="A1066:D1066"/>
    <mergeCell ref="A1067:D1067"/>
    <mergeCell ref="A1068:D1068"/>
    <mergeCell ref="A1069:B1069"/>
    <mergeCell ref="C1069:D1069"/>
    <mergeCell ref="A1088:B1088"/>
    <mergeCell ref="C1088:D1088"/>
    <mergeCell ref="A1089:B1089"/>
    <mergeCell ref="C1089:D1089"/>
    <mergeCell ref="A1090:B1090"/>
    <mergeCell ref="C1090:D1090"/>
    <mergeCell ref="C1083:D1083"/>
    <mergeCell ref="A1085:B1085"/>
    <mergeCell ref="C1085:D1085"/>
    <mergeCell ref="A1086:B1086"/>
    <mergeCell ref="C1086:D1086"/>
    <mergeCell ref="A1087:B1087"/>
    <mergeCell ref="C1087:D1087"/>
    <mergeCell ref="A1078:D1078"/>
    <mergeCell ref="A1079:D1079"/>
    <mergeCell ref="A1080:D1080"/>
    <mergeCell ref="A1081:D1081"/>
    <mergeCell ref="A1082:B1082"/>
    <mergeCell ref="C1082:D1082"/>
    <mergeCell ref="A1102:B1102"/>
    <mergeCell ref="C1102:D1102"/>
    <mergeCell ref="A1103:B1103"/>
    <mergeCell ref="C1103:D1103"/>
    <mergeCell ref="A1104:B1104"/>
    <mergeCell ref="C1104:D1104"/>
    <mergeCell ref="C1097:D1097"/>
    <mergeCell ref="A1099:B1099"/>
    <mergeCell ref="C1099:D1099"/>
    <mergeCell ref="A1100:B1100"/>
    <mergeCell ref="C1100:D1100"/>
    <mergeCell ref="A1101:B1101"/>
    <mergeCell ref="C1101:D1101"/>
    <mergeCell ref="A1091:D1091"/>
    <mergeCell ref="A1092:D1092"/>
    <mergeCell ref="A1093:D1093"/>
    <mergeCell ref="A1094:D1094"/>
    <mergeCell ref="A1095:D1095"/>
    <mergeCell ref="A1096:B1096"/>
    <mergeCell ref="C1096:D1096"/>
    <mergeCell ref="A1115:B1115"/>
    <mergeCell ref="C1115:D1115"/>
    <mergeCell ref="A1116:B1116"/>
    <mergeCell ref="C1116:D1116"/>
    <mergeCell ref="A1117:B1117"/>
    <mergeCell ref="C1117:D1117"/>
    <mergeCell ref="C1110:D1110"/>
    <mergeCell ref="A1112:B1112"/>
    <mergeCell ref="C1112:D1112"/>
    <mergeCell ref="A1113:B1113"/>
    <mergeCell ref="C1113:D1113"/>
    <mergeCell ref="A1114:B1114"/>
    <mergeCell ref="C1114:D1114"/>
    <mergeCell ref="A1105:D1105"/>
    <mergeCell ref="A1106:D1106"/>
    <mergeCell ref="A1107:D1107"/>
    <mergeCell ref="A1108:D1108"/>
    <mergeCell ref="A1109:B1109"/>
    <mergeCell ref="C1109:D1109"/>
    <mergeCell ref="A1129:B1129"/>
    <mergeCell ref="C1129:D1129"/>
    <mergeCell ref="A1130:B1130"/>
    <mergeCell ref="C1130:D1130"/>
    <mergeCell ref="A1131:B1131"/>
    <mergeCell ref="C1131:D1131"/>
    <mergeCell ref="C1124:D1124"/>
    <mergeCell ref="A1126:B1126"/>
    <mergeCell ref="C1126:D1126"/>
    <mergeCell ref="A1127:B1127"/>
    <mergeCell ref="C1127:D1127"/>
    <mergeCell ref="A1128:B1128"/>
    <mergeCell ref="C1128:D1128"/>
    <mergeCell ref="A1118:D1118"/>
    <mergeCell ref="A1119:D1119"/>
    <mergeCell ref="A1120:D1120"/>
    <mergeCell ref="A1121:D1121"/>
    <mergeCell ref="A1122:D1122"/>
    <mergeCell ref="A1123:B1123"/>
    <mergeCell ref="C1123:D1123"/>
    <mergeCell ref="A1142:B1142"/>
    <mergeCell ref="C1142:D1142"/>
    <mergeCell ref="A1143:B1143"/>
    <mergeCell ref="C1143:D1143"/>
    <mergeCell ref="A1144:B1144"/>
    <mergeCell ref="C1144:D1144"/>
    <mergeCell ref="C1137:D1137"/>
    <mergeCell ref="A1139:B1139"/>
    <mergeCell ref="C1139:D1139"/>
    <mergeCell ref="A1140:B1140"/>
    <mergeCell ref="C1140:D1140"/>
    <mergeCell ref="A1141:B1141"/>
    <mergeCell ref="C1141:D1141"/>
    <mergeCell ref="A1132:D1132"/>
    <mergeCell ref="A1133:D1133"/>
    <mergeCell ref="A1134:D1134"/>
    <mergeCell ref="A1135:D1135"/>
    <mergeCell ref="A1136:B1136"/>
    <mergeCell ref="C1136:D1136"/>
    <mergeCell ref="A1156:B1156"/>
    <mergeCell ref="C1156:D1156"/>
    <mergeCell ref="A1157:B1157"/>
    <mergeCell ref="C1157:D1157"/>
    <mergeCell ref="A1158:B1158"/>
    <mergeCell ref="C1158:D1158"/>
    <mergeCell ref="C1151:D1151"/>
    <mergeCell ref="A1153:B1153"/>
    <mergeCell ref="C1153:D1153"/>
    <mergeCell ref="A1154:B1154"/>
    <mergeCell ref="C1154:D1154"/>
    <mergeCell ref="A1155:B1155"/>
    <mergeCell ref="C1155:D1155"/>
    <mergeCell ref="A1145:D1145"/>
    <mergeCell ref="A1146:D1146"/>
    <mergeCell ref="A1147:D1147"/>
    <mergeCell ref="A1148:D1148"/>
    <mergeCell ref="A1149:D1149"/>
    <mergeCell ref="A1150:B1150"/>
    <mergeCell ref="C1150:D1150"/>
    <mergeCell ref="A1169:B1169"/>
    <mergeCell ref="C1169:D1169"/>
    <mergeCell ref="A1170:B1170"/>
    <mergeCell ref="C1170:D1170"/>
    <mergeCell ref="A1171:B1171"/>
    <mergeCell ref="C1171:D1171"/>
    <mergeCell ref="C1164:D1164"/>
    <mergeCell ref="A1166:B1166"/>
    <mergeCell ref="C1166:D1166"/>
    <mergeCell ref="A1167:B1167"/>
    <mergeCell ref="C1167:D1167"/>
    <mergeCell ref="A1168:B1168"/>
    <mergeCell ref="C1168:D1168"/>
    <mergeCell ref="A1159:D1159"/>
    <mergeCell ref="A1160:D1160"/>
    <mergeCell ref="A1161:D1161"/>
    <mergeCell ref="A1162:D1162"/>
    <mergeCell ref="A1163:B1163"/>
    <mergeCell ref="C1163:D1163"/>
    <mergeCell ref="A1183:B1183"/>
    <mergeCell ref="C1183:D1183"/>
    <mergeCell ref="A1184:B1184"/>
    <mergeCell ref="C1184:D1184"/>
    <mergeCell ref="A1185:B1185"/>
    <mergeCell ref="C1185:D1185"/>
    <mergeCell ref="C1178:D1178"/>
    <mergeCell ref="A1180:B1180"/>
    <mergeCell ref="C1180:D1180"/>
    <mergeCell ref="A1181:B1181"/>
    <mergeCell ref="C1181:D1181"/>
    <mergeCell ref="A1182:B1182"/>
    <mergeCell ref="C1182:D1182"/>
    <mergeCell ref="A1172:D1172"/>
    <mergeCell ref="A1173:D1173"/>
    <mergeCell ref="A1174:D1174"/>
    <mergeCell ref="A1175:D1175"/>
    <mergeCell ref="A1176:D1176"/>
    <mergeCell ref="A1177:B1177"/>
    <mergeCell ref="C1177:D1177"/>
    <mergeCell ref="A1223:B1223"/>
    <mergeCell ref="C1223:D1223"/>
    <mergeCell ref="A1224:B1224"/>
    <mergeCell ref="C1224:D1224"/>
    <mergeCell ref="A1225:B1225"/>
    <mergeCell ref="C1225:D1225"/>
    <mergeCell ref="C1218:D1218"/>
    <mergeCell ref="A1220:B1220"/>
    <mergeCell ref="C1220:D1220"/>
    <mergeCell ref="A1221:B1221"/>
    <mergeCell ref="C1221:D1221"/>
    <mergeCell ref="A1222:B1222"/>
    <mergeCell ref="C1222:D1222"/>
    <mergeCell ref="A1186:D1186"/>
    <mergeCell ref="A1187:D1187"/>
    <mergeCell ref="A1188:D1188"/>
    <mergeCell ref="A1216:D1216"/>
    <mergeCell ref="A1217:B1217"/>
    <mergeCell ref="C1217:D1217"/>
    <mergeCell ref="A1189:D1189"/>
    <mergeCell ref="A1190:B1190"/>
    <mergeCell ref="C1190:D1190"/>
    <mergeCell ref="C1191:D1191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A1237:B1237"/>
    <mergeCell ref="C1237:D1237"/>
    <mergeCell ref="A1238:B1238"/>
    <mergeCell ref="C1238:D1238"/>
    <mergeCell ref="A1239:B1239"/>
    <mergeCell ref="C1239:D1239"/>
    <mergeCell ref="C1232:D1232"/>
    <mergeCell ref="A1234:B1234"/>
    <mergeCell ref="C1234:D1234"/>
    <mergeCell ref="A1235:B1235"/>
    <mergeCell ref="C1235:D1235"/>
    <mergeCell ref="A1236:B1236"/>
    <mergeCell ref="C1236:D1236"/>
    <mergeCell ref="A1226:D1226"/>
    <mergeCell ref="A1227:D1227"/>
    <mergeCell ref="A1228:D1228"/>
    <mergeCell ref="A1229:D1229"/>
    <mergeCell ref="A1230:D1230"/>
    <mergeCell ref="A1231:B1231"/>
    <mergeCell ref="C1231:D1231"/>
    <mergeCell ref="A1250:B1250"/>
    <mergeCell ref="C1250:D1250"/>
    <mergeCell ref="A1251:B1251"/>
    <mergeCell ref="C1251:D1251"/>
    <mergeCell ref="A1252:B1252"/>
    <mergeCell ref="C1252:D1252"/>
    <mergeCell ref="C1245:D1245"/>
    <mergeCell ref="A1247:B1247"/>
    <mergeCell ref="C1247:D1247"/>
    <mergeCell ref="A1248:B1248"/>
    <mergeCell ref="C1248:D1248"/>
    <mergeCell ref="A1249:B1249"/>
    <mergeCell ref="C1249:D1249"/>
    <mergeCell ref="A1240:D1240"/>
    <mergeCell ref="A1241:D1241"/>
    <mergeCell ref="A1242:D1242"/>
    <mergeCell ref="A1243:D1243"/>
    <mergeCell ref="A1244:B1244"/>
    <mergeCell ref="C1244:D1244"/>
    <mergeCell ref="A1264:B1264"/>
    <mergeCell ref="C1264:D1264"/>
    <mergeCell ref="A1265:B1265"/>
    <mergeCell ref="C1265:D1265"/>
    <mergeCell ref="A1266:B1266"/>
    <mergeCell ref="C1266:D1266"/>
    <mergeCell ref="C1259:D1259"/>
    <mergeCell ref="A1261:B1261"/>
    <mergeCell ref="C1261:D1261"/>
    <mergeCell ref="A1262:B1262"/>
    <mergeCell ref="C1262:D1262"/>
    <mergeCell ref="A1263:B1263"/>
    <mergeCell ref="C1263:D1263"/>
    <mergeCell ref="A1253:D1253"/>
    <mergeCell ref="A1254:D1254"/>
    <mergeCell ref="A1255:D1255"/>
    <mergeCell ref="A1256:D1256"/>
    <mergeCell ref="A1257:D1257"/>
    <mergeCell ref="A1258:B1258"/>
    <mergeCell ref="C1258:D1258"/>
    <mergeCell ref="A1277:B1277"/>
    <mergeCell ref="C1277:D1277"/>
    <mergeCell ref="A1278:B1278"/>
    <mergeCell ref="C1278:D1278"/>
    <mergeCell ref="A1279:B1279"/>
    <mergeCell ref="C1279:D1279"/>
    <mergeCell ref="C1272:D1272"/>
    <mergeCell ref="A1274:B1274"/>
    <mergeCell ref="C1274:D1274"/>
    <mergeCell ref="A1275:B1275"/>
    <mergeCell ref="C1275:D1275"/>
    <mergeCell ref="A1276:B1276"/>
    <mergeCell ref="C1276:D1276"/>
    <mergeCell ref="A1267:D1267"/>
    <mergeCell ref="A1268:D1268"/>
    <mergeCell ref="A1269:D1269"/>
    <mergeCell ref="A1270:D1270"/>
    <mergeCell ref="A1271:B1271"/>
    <mergeCell ref="C1271:D1271"/>
    <mergeCell ref="A1291:B1291"/>
    <mergeCell ref="C1291:D1291"/>
    <mergeCell ref="A1292:B1292"/>
    <mergeCell ref="C1292:D1292"/>
    <mergeCell ref="A1293:B1293"/>
    <mergeCell ref="C1293:D1293"/>
    <mergeCell ref="C1286:D1286"/>
    <mergeCell ref="A1288:B1288"/>
    <mergeCell ref="C1288:D1288"/>
    <mergeCell ref="A1289:B1289"/>
    <mergeCell ref="C1289:D1289"/>
    <mergeCell ref="A1290:B1290"/>
    <mergeCell ref="C1290:D1290"/>
    <mergeCell ref="A1280:D1280"/>
    <mergeCell ref="A1281:D1281"/>
    <mergeCell ref="A1282:D1282"/>
    <mergeCell ref="A1283:D1283"/>
    <mergeCell ref="A1284:D1284"/>
    <mergeCell ref="A1285:B1285"/>
    <mergeCell ref="C1285:D1285"/>
    <mergeCell ref="A1304:B1304"/>
    <mergeCell ref="C1304:D1304"/>
    <mergeCell ref="A1305:B1305"/>
    <mergeCell ref="C1305:D1305"/>
    <mergeCell ref="A1306:B1306"/>
    <mergeCell ref="C1306:D1306"/>
    <mergeCell ref="C1299:D1299"/>
    <mergeCell ref="A1301:B1301"/>
    <mergeCell ref="C1301:D1301"/>
    <mergeCell ref="A1302:B1302"/>
    <mergeCell ref="C1302:D1302"/>
    <mergeCell ref="A1303:B1303"/>
    <mergeCell ref="C1303:D1303"/>
    <mergeCell ref="A1294:D1294"/>
    <mergeCell ref="A1295:D1295"/>
    <mergeCell ref="A1296:D1296"/>
    <mergeCell ref="A1297:D1297"/>
    <mergeCell ref="A1298:B1298"/>
    <mergeCell ref="C1298:D1298"/>
    <mergeCell ref="A1318:B1318"/>
    <mergeCell ref="C1318:D1318"/>
    <mergeCell ref="A1319:B1319"/>
    <mergeCell ref="C1319:D1319"/>
    <mergeCell ref="A1320:B1320"/>
    <mergeCell ref="C1320:D1320"/>
    <mergeCell ref="C1313:D1313"/>
    <mergeCell ref="A1315:B1315"/>
    <mergeCell ref="C1315:D1315"/>
    <mergeCell ref="A1316:B1316"/>
    <mergeCell ref="C1316:D1316"/>
    <mergeCell ref="A1317:B1317"/>
    <mergeCell ref="C1317:D1317"/>
    <mergeCell ref="A1307:D1307"/>
    <mergeCell ref="A1308:D1308"/>
    <mergeCell ref="A1309:D1309"/>
    <mergeCell ref="A1310:D1310"/>
    <mergeCell ref="A1311:D1311"/>
    <mergeCell ref="A1312:B1312"/>
    <mergeCell ref="C1312:D1312"/>
    <mergeCell ref="A1331:B1331"/>
    <mergeCell ref="C1331:D1331"/>
    <mergeCell ref="A1332:B1332"/>
    <mergeCell ref="C1332:D1332"/>
    <mergeCell ref="A1333:B1333"/>
    <mergeCell ref="C1333:D1333"/>
    <mergeCell ref="C1326:D1326"/>
    <mergeCell ref="A1328:B1328"/>
    <mergeCell ref="C1328:D1328"/>
    <mergeCell ref="A1329:B1329"/>
    <mergeCell ref="C1329:D1329"/>
    <mergeCell ref="A1330:B1330"/>
    <mergeCell ref="C1330:D1330"/>
    <mergeCell ref="A1321:D1321"/>
    <mergeCell ref="A1322:D1322"/>
    <mergeCell ref="A1323:D1323"/>
    <mergeCell ref="A1324:D1324"/>
    <mergeCell ref="A1325:B1325"/>
    <mergeCell ref="C1325:D1325"/>
    <mergeCell ref="A1345:B1345"/>
    <mergeCell ref="C1345:D1345"/>
    <mergeCell ref="A1346:B1346"/>
    <mergeCell ref="C1346:D1346"/>
    <mergeCell ref="A1347:B1347"/>
    <mergeCell ref="C1347:D1347"/>
    <mergeCell ref="C1340:D1340"/>
    <mergeCell ref="A1342:B1342"/>
    <mergeCell ref="C1342:D1342"/>
    <mergeCell ref="A1343:B1343"/>
    <mergeCell ref="C1343:D1343"/>
    <mergeCell ref="A1344:B1344"/>
    <mergeCell ref="C1344:D1344"/>
    <mergeCell ref="A1334:D1334"/>
    <mergeCell ref="A1335:D1335"/>
    <mergeCell ref="A1336:D1336"/>
    <mergeCell ref="A1337:D1337"/>
    <mergeCell ref="A1338:D1338"/>
    <mergeCell ref="A1339:B1339"/>
    <mergeCell ref="C1339:D1339"/>
    <mergeCell ref="A1348:D1348"/>
    <mergeCell ref="A1349:D1349"/>
    <mergeCell ref="A1350:D1350"/>
    <mergeCell ref="A1372:B1372"/>
    <mergeCell ref="C1372:D1372"/>
    <mergeCell ref="A1373:B1373"/>
    <mergeCell ref="C1373:D1373"/>
    <mergeCell ref="A1374:B1374"/>
    <mergeCell ref="C1374:D1374"/>
    <mergeCell ref="C1367:D1367"/>
    <mergeCell ref="A1369:B1369"/>
    <mergeCell ref="C1369:D1369"/>
    <mergeCell ref="A1370:B1370"/>
    <mergeCell ref="C1370:D1370"/>
    <mergeCell ref="A1371:B1371"/>
    <mergeCell ref="C1371:D1371"/>
    <mergeCell ref="A1365:D1365"/>
    <mergeCell ref="A1366:B1366"/>
    <mergeCell ref="C1366:D1366"/>
    <mergeCell ref="A1358:B1358"/>
    <mergeCell ref="C1358:D1358"/>
    <mergeCell ref="A1359:B1359"/>
    <mergeCell ref="C1359:D1359"/>
    <mergeCell ref="A1360:B1360"/>
    <mergeCell ref="C1360:D1360"/>
    <mergeCell ref="C1353:D1353"/>
    <mergeCell ref="A1355:B1355"/>
    <mergeCell ref="C1355:D1355"/>
    <mergeCell ref="A1356:B1356"/>
    <mergeCell ref="C1356:D1356"/>
    <mergeCell ref="A1357:B1357"/>
    <mergeCell ref="C1357:D1357"/>
    <mergeCell ref="A1351:D1351"/>
    <mergeCell ref="A1352:B1352"/>
    <mergeCell ref="C1352:D1352"/>
    <mergeCell ref="A1361:D1361"/>
    <mergeCell ref="A1362:D1362"/>
    <mergeCell ref="A1363:D1363"/>
    <mergeCell ref="A1364:D1364"/>
    <mergeCell ref="A1385:B1385"/>
    <mergeCell ref="C1385:D1385"/>
    <mergeCell ref="A1386:B1386"/>
    <mergeCell ref="C1386:D1386"/>
    <mergeCell ref="A1387:B1387"/>
    <mergeCell ref="C1387:D1387"/>
    <mergeCell ref="C1380:D1380"/>
    <mergeCell ref="A1382:B1382"/>
    <mergeCell ref="C1382:D1382"/>
    <mergeCell ref="A1383:B1383"/>
    <mergeCell ref="C1383:D1383"/>
    <mergeCell ref="A1384:B1384"/>
    <mergeCell ref="C1384:D1384"/>
    <mergeCell ref="A1375:D1375"/>
    <mergeCell ref="A1376:D1376"/>
    <mergeCell ref="A1377:D1377"/>
    <mergeCell ref="A1378:D1378"/>
    <mergeCell ref="A1379:B1379"/>
    <mergeCell ref="C1379:D1379"/>
    <mergeCell ref="A1399:B1399"/>
    <mergeCell ref="C1399:D1399"/>
    <mergeCell ref="A1400:B1400"/>
    <mergeCell ref="C1400:D1400"/>
    <mergeCell ref="A1401:B1401"/>
    <mergeCell ref="C1401:D1401"/>
    <mergeCell ref="C1394:D1394"/>
    <mergeCell ref="A1396:B1396"/>
    <mergeCell ref="C1396:D1396"/>
    <mergeCell ref="A1397:B1397"/>
    <mergeCell ref="C1397:D1397"/>
    <mergeCell ref="A1398:B1398"/>
    <mergeCell ref="C1398:D1398"/>
    <mergeCell ref="A1388:D1388"/>
    <mergeCell ref="A1389:D1389"/>
    <mergeCell ref="A1390:D1390"/>
    <mergeCell ref="A1391:D1391"/>
    <mergeCell ref="A1392:D1392"/>
    <mergeCell ref="A1393:B1393"/>
    <mergeCell ref="C1393:D1393"/>
    <mergeCell ref="A1412:B1412"/>
    <mergeCell ref="C1412:D1412"/>
    <mergeCell ref="A1413:B1413"/>
    <mergeCell ref="C1413:D1413"/>
    <mergeCell ref="A1414:B1414"/>
    <mergeCell ref="C1414:D1414"/>
    <mergeCell ref="C1407:D1407"/>
    <mergeCell ref="A1409:B1409"/>
    <mergeCell ref="C1409:D1409"/>
    <mergeCell ref="A1410:B1410"/>
    <mergeCell ref="C1410:D1410"/>
    <mergeCell ref="A1411:B1411"/>
    <mergeCell ref="C1411:D1411"/>
    <mergeCell ref="A1402:D1402"/>
    <mergeCell ref="A1403:D1403"/>
    <mergeCell ref="A1404:D1404"/>
    <mergeCell ref="A1405:D1405"/>
    <mergeCell ref="A1406:B1406"/>
    <mergeCell ref="C1406:D1406"/>
    <mergeCell ref="A1426:B1426"/>
    <mergeCell ref="C1426:D1426"/>
    <mergeCell ref="A1427:B1427"/>
    <mergeCell ref="C1427:D1427"/>
    <mergeCell ref="A1428:B1428"/>
    <mergeCell ref="C1428:D1428"/>
    <mergeCell ref="C1421:D1421"/>
    <mergeCell ref="A1423:B1423"/>
    <mergeCell ref="C1423:D1423"/>
    <mergeCell ref="A1424:B1424"/>
    <mergeCell ref="C1424:D1424"/>
    <mergeCell ref="A1425:B1425"/>
    <mergeCell ref="C1425:D1425"/>
    <mergeCell ref="A1415:D1415"/>
    <mergeCell ref="A1416:D1416"/>
    <mergeCell ref="A1417:D1417"/>
    <mergeCell ref="A1418:D1418"/>
    <mergeCell ref="A1419:D1419"/>
    <mergeCell ref="A1420:B1420"/>
    <mergeCell ref="C1420:D1420"/>
    <mergeCell ref="A1439:B1439"/>
    <mergeCell ref="C1439:D1439"/>
    <mergeCell ref="A1440:B1440"/>
    <mergeCell ref="C1440:D1440"/>
    <mergeCell ref="A1441:B1441"/>
    <mergeCell ref="C1441:D1441"/>
    <mergeCell ref="C1434:D1434"/>
    <mergeCell ref="A1436:B1436"/>
    <mergeCell ref="C1436:D1436"/>
    <mergeCell ref="A1437:B1437"/>
    <mergeCell ref="C1437:D1437"/>
    <mergeCell ref="A1438:B1438"/>
    <mergeCell ref="C1438:D1438"/>
    <mergeCell ref="A1429:D1429"/>
    <mergeCell ref="A1430:D1430"/>
    <mergeCell ref="A1431:D1431"/>
    <mergeCell ref="A1432:D1432"/>
    <mergeCell ref="A1433:B1433"/>
    <mergeCell ref="C1433:D1433"/>
    <mergeCell ref="A1453:B1453"/>
    <mergeCell ref="C1453:D1453"/>
    <mergeCell ref="A1454:B1454"/>
    <mergeCell ref="C1454:D1454"/>
    <mergeCell ref="A1455:B1455"/>
    <mergeCell ref="C1455:D1455"/>
    <mergeCell ref="C1448:D1448"/>
    <mergeCell ref="A1450:B1450"/>
    <mergeCell ref="C1450:D1450"/>
    <mergeCell ref="A1451:B1451"/>
    <mergeCell ref="C1451:D1451"/>
    <mergeCell ref="A1452:B1452"/>
    <mergeCell ref="C1452:D1452"/>
    <mergeCell ref="A1442:D1442"/>
    <mergeCell ref="A1443:D1443"/>
    <mergeCell ref="A1444:D1444"/>
    <mergeCell ref="A1445:D1445"/>
    <mergeCell ref="A1446:D1446"/>
    <mergeCell ref="A1447:B1447"/>
    <mergeCell ref="C1447:D1447"/>
    <mergeCell ref="A1466:B1466"/>
    <mergeCell ref="C1466:D1466"/>
    <mergeCell ref="A1467:B1467"/>
    <mergeCell ref="C1467:D1467"/>
    <mergeCell ref="A1468:B1468"/>
    <mergeCell ref="C1468:D1468"/>
    <mergeCell ref="C1461:D1461"/>
    <mergeCell ref="A1463:B1463"/>
    <mergeCell ref="C1463:D1463"/>
    <mergeCell ref="A1464:B1464"/>
    <mergeCell ref="C1464:D1464"/>
    <mergeCell ref="A1465:B1465"/>
    <mergeCell ref="C1465:D1465"/>
    <mergeCell ref="A1456:D1456"/>
    <mergeCell ref="A1457:D1457"/>
    <mergeCell ref="A1458:D1458"/>
    <mergeCell ref="A1459:D1459"/>
    <mergeCell ref="A1460:B1460"/>
    <mergeCell ref="C1460:D1460"/>
    <mergeCell ref="A1480:B1480"/>
    <mergeCell ref="C1480:D1480"/>
    <mergeCell ref="A1481:B1481"/>
    <mergeCell ref="C1481:D1481"/>
    <mergeCell ref="A1482:B1482"/>
    <mergeCell ref="C1482:D1482"/>
    <mergeCell ref="C1475:D1475"/>
    <mergeCell ref="A1477:B1477"/>
    <mergeCell ref="C1477:D1477"/>
    <mergeCell ref="A1478:B1478"/>
    <mergeCell ref="C1478:D1478"/>
    <mergeCell ref="A1479:B1479"/>
    <mergeCell ref="C1479:D1479"/>
    <mergeCell ref="A1469:D1469"/>
    <mergeCell ref="A1470:D1470"/>
    <mergeCell ref="A1471:D1471"/>
    <mergeCell ref="A1472:D1472"/>
    <mergeCell ref="A1473:D1473"/>
    <mergeCell ref="A1474:B1474"/>
    <mergeCell ref="C1474:D1474"/>
    <mergeCell ref="A1493:B1493"/>
    <mergeCell ref="C1493:D1493"/>
    <mergeCell ref="A1494:B1494"/>
    <mergeCell ref="C1494:D1494"/>
    <mergeCell ref="A1495:B1495"/>
    <mergeCell ref="C1495:D1495"/>
    <mergeCell ref="C1488:D1488"/>
    <mergeCell ref="A1490:B1490"/>
    <mergeCell ref="C1490:D1490"/>
    <mergeCell ref="A1491:B1491"/>
    <mergeCell ref="C1491:D1491"/>
    <mergeCell ref="A1492:B1492"/>
    <mergeCell ref="C1492:D1492"/>
    <mergeCell ref="A1483:D1483"/>
    <mergeCell ref="A1484:D1484"/>
    <mergeCell ref="A1485:D1485"/>
    <mergeCell ref="A1486:D1486"/>
    <mergeCell ref="A1487:B1487"/>
    <mergeCell ref="C1487:D1487"/>
    <mergeCell ref="A1507:B1507"/>
    <mergeCell ref="C1507:D1507"/>
    <mergeCell ref="A1508:B1508"/>
    <mergeCell ref="C1508:D1508"/>
    <mergeCell ref="A1509:B1509"/>
    <mergeCell ref="C1509:D1509"/>
    <mergeCell ref="C1502:D1502"/>
    <mergeCell ref="A1504:B1504"/>
    <mergeCell ref="C1504:D1504"/>
    <mergeCell ref="A1505:B1505"/>
    <mergeCell ref="C1505:D1505"/>
    <mergeCell ref="A1506:B1506"/>
    <mergeCell ref="C1506:D1506"/>
    <mergeCell ref="A1496:D1496"/>
    <mergeCell ref="A1497:D1497"/>
    <mergeCell ref="A1498:D1498"/>
    <mergeCell ref="A1499:D1499"/>
    <mergeCell ref="A1500:D1500"/>
    <mergeCell ref="A1501:B1501"/>
    <mergeCell ref="C1501:D1501"/>
    <mergeCell ref="A1520:B1520"/>
    <mergeCell ref="C1520:D1520"/>
    <mergeCell ref="A1521:B1521"/>
    <mergeCell ref="C1521:D1521"/>
    <mergeCell ref="A1522:B1522"/>
    <mergeCell ref="C1522:D1522"/>
    <mergeCell ref="C1515:D1515"/>
    <mergeCell ref="A1517:B1517"/>
    <mergeCell ref="C1517:D1517"/>
    <mergeCell ref="A1518:B1518"/>
    <mergeCell ref="C1518:D1518"/>
    <mergeCell ref="A1519:B1519"/>
    <mergeCell ref="C1519:D1519"/>
    <mergeCell ref="A1510:D1510"/>
    <mergeCell ref="A1511:D1511"/>
    <mergeCell ref="A1512:D1512"/>
    <mergeCell ref="A1513:D1513"/>
    <mergeCell ref="A1514:B1514"/>
    <mergeCell ref="C1514:D1514"/>
    <mergeCell ref="A1534:B1534"/>
    <mergeCell ref="C1534:D1534"/>
    <mergeCell ref="A1535:B1535"/>
    <mergeCell ref="C1535:D1535"/>
    <mergeCell ref="A1536:B1536"/>
    <mergeCell ref="C1536:D1536"/>
    <mergeCell ref="C1529:D1529"/>
    <mergeCell ref="A1531:B1531"/>
    <mergeCell ref="C1531:D1531"/>
    <mergeCell ref="A1532:B1532"/>
    <mergeCell ref="C1532:D1532"/>
    <mergeCell ref="A1533:B1533"/>
    <mergeCell ref="C1533:D1533"/>
    <mergeCell ref="A1523:D1523"/>
    <mergeCell ref="A1524:D1524"/>
    <mergeCell ref="A1525:D1525"/>
    <mergeCell ref="A1526:D1526"/>
    <mergeCell ref="A1527:D1527"/>
    <mergeCell ref="A1528:B1528"/>
    <mergeCell ref="C1528:D1528"/>
    <mergeCell ref="A1547:B1547"/>
    <mergeCell ref="C1547:D1547"/>
    <mergeCell ref="A1548:B1548"/>
    <mergeCell ref="C1548:D1548"/>
    <mergeCell ref="A1549:B1549"/>
    <mergeCell ref="C1549:D1549"/>
    <mergeCell ref="C1542:D1542"/>
    <mergeCell ref="A1544:B1544"/>
    <mergeCell ref="C1544:D1544"/>
    <mergeCell ref="A1545:B1545"/>
    <mergeCell ref="C1545:D1545"/>
    <mergeCell ref="A1546:B1546"/>
    <mergeCell ref="C1546:D1546"/>
    <mergeCell ref="A1537:D1537"/>
    <mergeCell ref="A1538:D1538"/>
    <mergeCell ref="A1539:D1539"/>
    <mergeCell ref="A1540:D1540"/>
    <mergeCell ref="A1541:B1541"/>
    <mergeCell ref="C1541:D1541"/>
    <mergeCell ref="A1561:B1561"/>
    <mergeCell ref="C1561:D1561"/>
    <mergeCell ref="A1562:B1562"/>
    <mergeCell ref="C1562:D1562"/>
    <mergeCell ref="A1563:B1563"/>
    <mergeCell ref="C1563:D1563"/>
    <mergeCell ref="C1556:D1556"/>
    <mergeCell ref="A1558:B1558"/>
    <mergeCell ref="C1558:D1558"/>
    <mergeCell ref="A1559:B1559"/>
    <mergeCell ref="C1559:D1559"/>
    <mergeCell ref="A1560:B1560"/>
    <mergeCell ref="C1560:D1560"/>
    <mergeCell ref="A1550:D1550"/>
    <mergeCell ref="A1551:D1551"/>
    <mergeCell ref="A1552:D1552"/>
    <mergeCell ref="A1553:D1553"/>
    <mergeCell ref="A1554:D1554"/>
    <mergeCell ref="A1555:B1555"/>
    <mergeCell ref="C1555:D1555"/>
    <mergeCell ref="A1574:B1574"/>
    <mergeCell ref="C1574:D1574"/>
    <mergeCell ref="A1575:B1575"/>
    <mergeCell ref="C1575:D1575"/>
    <mergeCell ref="A1576:B1576"/>
    <mergeCell ref="C1576:D1576"/>
    <mergeCell ref="C1569:D1569"/>
    <mergeCell ref="A1571:B1571"/>
    <mergeCell ref="C1571:D1571"/>
    <mergeCell ref="A1572:B1572"/>
    <mergeCell ref="C1572:D1572"/>
    <mergeCell ref="A1573:B1573"/>
    <mergeCell ref="C1573:D1573"/>
    <mergeCell ref="A1564:D1564"/>
    <mergeCell ref="A1565:D1565"/>
    <mergeCell ref="A1566:D1566"/>
    <mergeCell ref="A1567:D1567"/>
    <mergeCell ref="A1568:B1568"/>
    <mergeCell ref="C1568:D1568"/>
    <mergeCell ref="A1588:B1588"/>
    <mergeCell ref="C1588:D1588"/>
    <mergeCell ref="A1589:B1589"/>
    <mergeCell ref="C1589:D1589"/>
    <mergeCell ref="A1590:B1590"/>
    <mergeCell ref="C1590:D1590"/>
    <mergeCell ref="C1583:D1583"/>
    <mergeCell ref="A1585:B1585"/>
    <mergeCell ref="C1585:D1585"/>
    <mergeCell ref="A1586:B1586"/>
    <mergeCell ref="C1586:D1586"/>
    <mergeCell ref="A1587:B1587"/>
    <mergeCell ref="C1587:D1587"/>
    <mergeCell ref="A1577:D1577"/>
    <mergeCell ref="A1578:D1578"/>
    <mergeCell ref="A1579:D1579"/>
    <mergeCell ref="A1580:D1580"/>
    <mergeCell ref="A1581:D1581"/>
    <mergeCell ref="A1582:B1582"/>
    <mergeCell ref="C1582:D1582"/>
    <mergeCell ref="A1601:B1601"/>
    <mergeCell ref="C1601:D1601"/>
    <mergeCell ref="A1602:B1602"/>
    <mergeCell ref="C1602:D1602"/>
    <mergeCell ref="A1603:B1603"/>
    <mergeCell ref="C1603:D1603"/>
    <mergeCell ref="C1596:D1596"/>
    <mergeCell ref="A1598:B1598"/>
    <mergeCell ref="C1598:D1598"/>
    <mergeCell ref="A1599:B1599"/>
    <mergeCell ref="C1599:D1599"/>
    <mergeCell ref="A1600:B1600"/>
    <mergeCell ref="C1600:D1600"/>
    <mergeCell ref="A1591:D1591"/>
    <mergeCell ref="A1592:D1592"/>
    <mergeCell ref="A1593:D1593"/>
    <mergeCell ref="A1594:D1594"/>
    <mergeCell ref="A1595:B1595"/>
    <mergeCell ref="C1595:D1595"/>
    <mergeCell ref="A1615:B1615"/>
    <mergeCell ref="C1615:D1615"/>
    <mergeCell ref="A1616:B1616"/>
    <mergeCell ref="C1616:D1616"/>
    <mergeCell ref="A1617:B1617"/>
    <mergeCell ref="C1617:D1617"/>
    <mergeCell ref="C1610:D1610"/>
    <mergeCell ref="A1612:B1612"/>
    <mergeCell ref="C1612:D1612"/>
    <mergeCell ref="A1613:B1613"/>
    <mergeCell ref="C1613:D1613"/>
    <mergeCell ref="A1614:B1614"/>
    <mergeCell ref="C1614:D1614"/>
    <mergeCell ref="A1604:D1604"/>
    <mergeCell ref="A1605:D1605"/>
    <mergeCell ref="A1606:D1606"/>
    <mergeCell ref="A1607:D1607"/>
    <mergeCell ref="A1608:D1608"/>
    <mergeCell ref="A1609:B1609"/>
    <mergeCell ref="C1609:D1609"/>
    <mergeCell ref="A1618:D1618"/>
    <mergeCell ref="A1619:D1619"/>
    <mergeCell ref="A1620:D1620"/>
    <mergeCell ref="A1642:B1642"/>
    <mergeCell ref="C1642:D1642"/>
    <mergeCell ref="A1643:B1643"/>
    <mergeCell ref="C1643:D1643"/>
    <mergeCell ref="A1644:B1644"/>
    <mergeCell ref="C1644:D1644"/>
    <mergeCell ref="C1637:D1637"/>
    <mergeCell ref="A1639:B1639"/>
    <mergeCell ref="C1639:D1639"/>
    <mergeCell ref="A1640:B1640"/>
    <mergeCell ref="C1640:D1640"/>
    <mergeCell ref="A1641:B1641"/>
    <mergeCell ref="C1641:D1641"/>
    <mergeCell ref="A1635:D1635"/>
    <mergeCell ref="A1636:B1636"/>
    <mergeCell ref="C1636:D1636"/>
    <mergeCell ref="A1628:B1628"/>
    <mergeCell ref="C1628:D1628"/>
    <mergeCell ref="A1629:B1629"/>
    <mergeCell ref="C1629:D1629"/>
    <mergeCell ref="A1630:B1630"/>
    <mergeCell ref="C1630:D1630"/>
    <mergeCell ref="C1623:D1623"/>
    <mergeCell ref="A1625:B1625"/>
    <mergeCell ref="C1625:D1625"/>
    <mergeCell ref="A1626:B1626"/>
    <mergeCell ref="C1626:D1626"/>
    <mergeCell ref="A1627:B1627"/>
    <mergeCell ref="C1627:D1627"/>
    <mergeCell ref="A1621:D1621"/>
    <mergeCell ref="A1622:B1622"/>
    <mergeCell ref="C1622:D1622"/>
    <mergeCell ref="A1631:D1631"/>
    <mergeCell ref="A1632:D1632"/>
    <mergeCell ref="A1633:D1633"/>
    <mergeCell ref="A1634:D1634"/>
    <mergeCell ref="A1655:B1655"/>
    <mergeCell ref="C1655:D1655"/>
    <mergeCell ref="A1656:B1656"/>
    <mergeCell ref="C1656:D1656"/>
    <mergeCell ref="A1657:B1657"/>
    <mergeCell ref="C1657:D1657"/>
    <mergeCell ref="C1650:D1650"/>
    <mergeCell ref="A1652:B1652"/>
    <mergeCell ref="C1652:D1652"/>
    <mergeCell ref="A1653:B1653"/>
    <mergeCell ref="C1653:D1653"/>
    <mergeCell ref="A1654:B1654"/>
    <mergeCell ref="C1654:D1654"/>
    <mergeCell ref="A1645:D1645"/>
    <mergeCell ref="A1646:D1646"/>
    <mergeCell ref="A1647:D1647"/>
    <mergeCell ref="A1648:D1648"/>
    <mergeCell ref="A1649:B1649"/>
    <mergeCell ref="C1649:D1649"/>
    <mergeCell ref="A1669:B1669"/>
    <mergeCell ref="C1669:D1669"/>
    <mergeCell ref="A1670:B1670"/>
    <mergeCell ref="C1670:D1670"/>
    <mergeCell ref="A1671:B1671"/>
    <mergeCell ref="C1671:D1671"/>
    <mergeCell ref="C1664:D1664"/>
    <mergeCell ref="A1666:B1666"/>
    <mergeCell ref="C1666:D1666"/>
    <mergeCell ref="A1667:B1667"/>
    <mergeCell ref="C1667:D1667"/>
    <mergeCell ref="A1668:B1668"/>
    <mergeCell ref="C1668:D1668"/>
    <mergeCell ref="A1658:D1658"/>
    <mergeCell ref="A1659:D1659"/>
    <mergeCell ref="A1660:D1660"/>
    <mergeCell ref="A1661:D1661"/>
    <mergeCell ref="A1662:D1662"/>
    <mergeCell ref="A1663:B1663"/>
    <mergeCell ref="C1663:D1663"/>
    <mergeCell ref="A1682:B1682"/>
    <mergeCell ref="C1682:D1682"/>
    <mergeCell ref="A1683:B1683"/>
    <mergeCell ref="C1683:D1683"/>
    <mergeCell ref="A1684:B1684"/>
    <mergeCell ref="C1684:D1684"/>
    <mergeCell ref="C1677:D1677"/>
    <mergeCell ref="A1679:B1679"/>
    <mergeCell ref="C1679:D1679"/>
    <mergeCell ref="A1680:B1680"/>
    <mergeCell ref="C1680:D1680"/>
    <mergeCell ref="A1681:B1681"/>
    <mergeCell ref="C1681:D1681"/>
    <mergeCell ref="A1672:D1672"/>
    <mergeCell ref="A1673:D1673"/>
    <mergeCell ref="A1674:D1674"/>
    <mergeCell ref="A1675:D1675"/>
    <mergeCell ref="A1676:B1676"/>
    <mergeCell ref="C1676:D1676"/>
    <mergeCell ref="A1696:B1696"/>
    <mergeCell ref="C1696:D1696"/>
    <mergeCell ref="A1697:B1697"/>
    <mergeCell ref="C1697:D1697"/>
    <mergeCell ref="A1698:B1698"/>
    <mergeCell ref="C1698:D1698"/>
    <mergeCell ref="C1691:D1691"/>
    <mergeCell ref="A1693:B1693"/>
    <mergeCell ref="C1693:D1693"/>
    <mergeCell ref="A1694:B1694"/>
    <mergeCell ref="C1694:D1694"/>
    <mergeCell ref="A1695:B1695"/>
    <mergeCell ref="C1695:D1695"/>
    <mergeCell ref="A1685:D1685"/>
    <mergeCell ref="A1686:D1686"/>
    <mergeCell ref="A1687:D1687"/>
    <mergeCell ref="A1688:D1688"/>
    <mergeCell ref="A1689:D1689"/>
    <mergeCell ref="A1690:B1690"/>
    <mergeCell ref="C1690:D1690"/>
    <mergeCell ref="A1709:B1709"/>
    <mergeCell ref="C1709:D1709"/>
    <mergeCell ref="A1710:B1710"/>
    <mergeCell ref="C1710:D1710"/>
    <mergeCell ref="A1711:B1711"/>
    <mergeCell ref="C1711:D1711"/>
    <mergeCell ref="C1704:D1704"/>
    <mergeCell ref="A1706:B1706"/>
    <mergeCell ref="C1706:D1706"/>
    <mergeCell ref="A1707:B1707"/>
    <mergeCell ref="C1707:D1707"/>
    <mergeCell ref="A1708:B1708"/>
    <mergeCell ref="C1708:D1708"/>
    <mergeCell ref="A1699:D1699"/>
    <mergeCell ref="A1700:D1700"/>
    <mergeCell ref="A1701:D1701"/>
    <mergeCell ref="A1702:D1702"/>
    <mergeCell ref="A1703:B1703"/>
    <mergeCell ref="C1703:D1703"/>
    <mergeCell ref="A1723:B1723"/>
    <mergeCell ref="C1723:D1723"/>
    <mergeCell ref="A1724:B1724"/>
    <mergeCell ref="C1724:D1724"/>
    <mergeCell ref="A1725:B1725"/>
    <mergeCell ref="C1725:D1725"/>
    <mergeCell ref="C1718:D1718"/>
    <mergeCell ref="A1720:B1720"/>
    <mergeCell ref="C1720:D1720"/>
    <mergeCell ref="A1721:B1721"/>
    <mergeCell ref="C1721:D1721"/>
    <mergeCell ref="A1722:B1722"/>
    <mergeCell ref="C1722:D1722"/>
    <mergeCell ref="A1712:D1712"/>
    <mergeCell ref="A1713:D1713"/>
    <mergeCell ref="A1714:D1714"/>
    <mergeCell ref="A1715:D1715"/>
    <mergeCell ref="A1716:D1716"/>
    <mergeCell ref="A1717:B1717"/>
    <mergeCell ref="C1717:D1717"/>
    <mergeCell ref="A1736:B1736"/>
    <mergeCell ref="C1736:D1736"/>
    <mergeCell ref="A1737:B1737"/>
    <mergeCell ref="C1737:D1737"/>
    <mergeCell ref="A1738:B1738"/>
    <mergeCell ref="C1738:D1738"/>
    <mergeCell ref="C1731:D1731"/>
    <mergeCell ref="A1733:B1733"/>
    <mergeCell ref="C1733:D1733"/>
    <mergeCell ref="A1734:B1734"/>
    <mergeCell ref="C1734:D1734"/>
    <mergeCell ref="A1735:B1735"/>
    <mergeCell ref="C1735:D1735"/>
    <mergeCell ref="A1726:D1726"/>
    <mergeCell ref="A1727:D1727"/>
    <mergeCell ref="A1728:D1728"/>
    <mergeCell ref="A1729:D1729"/>
    <mergeCell ref="A1730:B1730"/>
    <mergeCell ref="C1730:D1730"/>
    <mergeCell ref="A1750:B1750"/>
    <mergeCell ref="C1750:D1750"/>
    <mergeCell ref="A1751:B1751"/>
    <mergeCell ref="C1751:D1751"/>
    <mergeCell ref="A1752:B1752"/>
    <mergeCell ref="C1752:D1752"/>
    <mergeCell ref="C1745:D1745"/>
    <mergeCell ref="A1747:B1747"/>
    <mergeCell ref="C1747:D1747"/>
    <mergeCell ref="A1748:B1748"/>
    <mergeCell ref="C1748:D1748"/>
    <mergeCell ref="A1749:B1749"/>
    <mergeCell ref="C1749:D1749"/>
    <mergeCell ref="A1739:D1739"/>
    <mergeCell ref="A1740:D1740"/>
    <mergeCell ref="A1741:D1741"/>
    <mergeCell ref="A1742:D1742"/>
    <mergeCell ref="A1743:D1743"/>
    <mergeCell ref="A1744:B1744"/>
    <mergeCell ref="C1744:D1744"/>
    <mergeCell ref="A1763:B1763"/>
    <mergeCell ref="C1763:D1763"/>
    <mergeCell ref="A1764:B1764"/>
    <mergeCell ref="C1764:D1764"/>
    <mergeCell ref="A1765:B1765"/>
    <mergeCell ref="C1765:D1765"/>
    <mergeCell ref="C1758:D1758"/>
    <mergeCell ref="A1760:B1760"/>
    <mergeCell ref="C1760:D1760"/>
    <mergeCell ref="A1761:B1761"/>
    <mergeCell ref="C1761:D1761"/>
    <mergeCell ref="A1762:B1762"/>
    <mergeCell ref="C1762:D1762"/>
    <mergeCell ref="A1753:D1753"/>
    <mergeCell ref="A1754:D1754"/>
    <mergeCell ref="A1755:D1755"/>
    <mergeCell ref="A1756:D1756"/>
    <mergeCell ref="A1757:B1757"/>
    <mergeCell ref="C1757:D1757"/>
    <mergeCell ref="A1777:B1777"/>
    <mergeCell ref="C1777:D1777"/>
    <mergeCell ref="A1778:B1778"/>
    <mergeCell ref="C1778:D1778"/>
    <mergeCell ref="A1779:B1779"/>
    <mergeCell ref="C1779:D1779"/>
    <mergeCell ref="C1772:D1772"/>
    <mergeCell ref="A1774:B1774"/>
    <mergeCell ref="C1774:D1774"/>
    <mergeCell ref="A1775:B1775"/>
    <mergeCell ref="C1775:D1775"/>
    <mergeCell ref="A1776:B1776"/>
    <mergeCell ref="C1776:D1776"/>
    <mergeCell ref="A1766:D1766"/>
    <mergeCell ref="A1767:D1767"/>
    <mergeCell ref="A1768:D1768"/>
    <mergeCell ref="A1769:D1769"/>
    <mergeCell ref="A1770:D1770"/>
    <mergeCell ref="A1771:B1771"/>
    <mergeCell ref="C1771:D1771"/>
    <mergeCell ref="A1790:B1790"/>
    <mergeCell ref="C1790:D1790"/>
    <mergeCell ref="A1791:B1791"/>
    <mergeCell ref="C1791:D1791"/>
    <mergeCell ref="A1792:B1792"/>
    <mergeCell ref="C1792:D1792"/>
    <mergeCell ref="C1785:D1785"/>
    <mergeCell ref="A1787:B1787"/>
    <mergeCell ref="C1787:D1787"/>
    <mergeCell ref="A1788:B1788"/>
    <mergeCell ref="C1788:D1788"/>
    <mergeCell ref="A1789:B1789"/>
    <mergeCell ref="C1789:D1789"/>
    <mergeCell ref="A1780:D1780"/>
    <mergeCell ref="A1781:D1781"/>
    <mergeCell ref="A1782:D1782"/>
    <mergeCell ref="A1783:D1783"/>
    <mergeCell ref="A1784:B1784"/>
    <mergeCell ref="C1784:D1784"/>
    <mergeCell ref="A1804:B1804"/>
    <mergeCell ref="C1804:D1804"/>
    <mergeCell ref="A1805:B1805"/>
    <mergeCell ref="C1805:D1805"/>
    <mergeCell ref="A1806:B1806"/>
    <mergeCell ref="C1806:D1806"/>
    <mergeCell ref="C1799:D1799"/>
    <mergeCell ref="A1801:B1801"/>
    <mergeCell ref="C1801:D1801"/>
    <mergeCell ref="A1802:B1802"/>
    <mergeCell ref="C1802:D1802"/>
    <mergeCell ref="A1803:B1803"/>
    <mergeCell ref="C1803:D1803"/>
    <mergeCell ref="A1793:D1793"/>
    <mergeCell ref="A1794:D1794"/>
    <mergeCell ref="A1795:D1795"/>
    <mergeCell ref="A1796:D1796"/>
    <mergeCell ref="A1797:D1797"/>
    <mergeCell ref="A1798:B1798"/>
    <mergeCell ref="C1798:D1798"/>
    <mergeCell ref="A1817:B1817"/>
    <mergeCell ref="C1817:D1817"/>
    <mergeCell ref="A1818:B1818"/>
    <mergeCell ref="C1818:D1818"/>
    <mergeCell ref="A1819:B1819"/>
    <mergeCell ref="C1819:D1819"/>
    <mergeCell ref="C1812:D1812"/>
    <mergeCell ref="A1814:B1814"/>
    <mergeCell ref="C1814:D1814"/>
    <mergeCell ref="A1815:B1815"/>
    <mergeCell ref="C1815:D1815"/>
    <mergeCell ref="A1816:B1816"/>
    <mergeCell ref="C1816:D1816"/>
    <mergeCell ref="A1807:D1807"/>
    <mergeCell ref="A1808:D1808"/>
    <mergeCell ref="A1809:D1809"/>
    <mergeCell ref="A1810:D1810"/>
    <mergeCell ref="A1811:B1811"/>
    <mergeCell ref="C1811:D1811"/>
    <mergeCell ref="A1831:B1831"/>
    <mergeCell ref="C1831:D1831"/>
    <mergeCell ref="A1832:B1832"/>
    <mergeCell ref="C1832:D1832"/>
    <mergeCell ref="A1833:B1833"/>
    <mergeCell ref="C1833:D1833"/>
    <mergeCell ref="C1826:D1826"/>
    <mergeCell ref="A1828:B1828"/>
    <mergeCell ref="C1828:D1828"/>
    <mergeCell ref="A1829:B1829"/>
    <mergeCell ref="C1829:D1829"/>
    <mergeCell ref="A1830:B1830"/>
    <mergeCell ref="C1830:D1830"/>
    <mergeCell ref="A1820:D1820"/>
    <mergeCell ref="A1821:D1821"/>
    <mergeCell ref="A1822:D1822"/>
    <mergeCell ref="A1823:D1823"/>
    <mergeCell ref="A1824:D1824"/>
    <mergeCell ref="A1825:B1825"/>
    <mergeCell ref="C1825:D1825"/>
    <mergeCell ref="A1844:B1844"/>
    <mergeCell ref="C1844:D1844"/>
    <mergeCell ref="A1845:B1845"/>
    <mergeCell ref="C1845:D1845"/>
    <mergeCell ref="A1846:B1846"/>
    <mergeCell ref="C1846:D1846"/>
    <mergeCell ref="C1839:D1839"/>
    <mergeCell ref="A1841:B1841"/>
    <mergeCell ref="C1841:D1841"/>
    <mergeCell ref="A1842:B1842"/>
    <mergeCell ref="C1842:D1842"/>
    <mergeCell ref="A1843:B1843"/>
    <mergeCell ref="C1843:D1843"/>
    <mergeCell ref="A1834:D1834"/>
    <mergeCell ref="A1835:D1835"/>
    <mergeCell ref="A1836:D1836"/>
    <mergeCell ref="A1837:D1837"/>
    <mergeCell ref="A1838:B1838"/>
    <mergeCell ref="C1838:D1838"/>
    <mergeCell ref="A1858:B1858"/>
    <mergeCell ref="C1858:D1858"/>
    <mergeCell ref="A1859:B1859"/>
    <mergeCell ref="C1859:D1859"/>
    <mergeCell ref="A1860:B1860"/>
    <mergeCell ref="C1860:D1860"/>
    <mergeCell ref="C1853:D1853"/>
    <mergeCell ref="A1855:B1855"/>
    <mergeCell ref="C1855:D1855"/>
    <mergeCell ref="A1856:B1856"/>
    <mergeCell ref="C1856:D1856"/>
    <mergeCell ref="A1857:B1857"/>
    <mergeCell ref="C1857:D1857"/>
    <mergeCell ref="A1847:D1847"/>
    <mergeCell ref="A1848:D1848"/>
    <mergeCell ref="A1849:D1849"/>
    <mergeCell ref="A1850:D1850"/>
    <mergeCell ref="A1851:D1851"/>
    <mergeCell ref="A1852:B1852"/>
    <mergeCell ref="C1852:D1852"/>
    <mergeCell ref="A1871:B1871"/>
    <mergeCell ref="C1871:D1871"/>
    <mergeCell ref="A1872:B1872"/>
    <mergeCell ref="C1872:D1872"/>
    <mergeCell ref="A1873:B1873"/>
    <mergeCell ref="C1873:D1873"/>
    <mergeCell ref="C1866:D1866"/>
    <mergeCell ref="A1868:B1868"/>
    <mergeCell ref="C1868:D1868"/>
    <mergeCell ref="A1869:B1869"/>
    <mergeCell ref="C1869:D1869"/>
    <mergeCell ref="A1870:B1870"/>
    <mergeCell ref="C1870:D1870"/>
    <mergeCell ref="A1861:D1861"/>
    <mergeCell ref="A1862:D1862"/>
    <mergeCell ref="A1863:D1863"/>
    <mergeCell ref="A1864:D1864"/>
    <mergeCell ref="A1865:B1865"/>
    <mergeCell ref="C1865:D1865"/>
    <mergeCell ref="A1885:B1885"/>
    <mergeCell ref="C1885:D1885"/>
    <mergeCell ref="A1886:B1886"/>
    <mergeCell ref="C1886:D1886"/>
    <mergeCell ref="A1887:B1887"/>
    <mergeCell ref="C1887:D1887"/>
    <mergeCell ref="C1880:D1880"/>
    <mergeCell ref="A1882:B1882"/>
    <mergeCell ref="C1882:D1882"/>
    <mergeCell ref="A1883:B1883"/>
    <mergeCell ref="C1883:D1883"/>
    <mergeCell ref="A1884:B1884"/>
    <mergeCell ref="C1884:D1884"/>
    <mergeCell ref="A1874:D1874"/>
    <mergeCell ref="A1875:D1875"/>
    <mergeCell ref="A1876:D1876"/>
    <mergeCell ref="A1877:D1877"/>
    <mergeCell ref="A1878:D1878"/>
    <mergeCell ref="A1879:B1879"/>
    <mergeCell ref="C1879:D1879"/>
    <mergeCell ref="A1898:B1898"/>
    <mergeCell ref="C1898:D1898"/>
    <mergeCell ref="A1899:B1899"/>
    <mergeCell ref="C1899:D1899"/>
    <mergeCell ref="A1900:B1900"/>
    <mergeCell ref="C1900:D1900"/>
    <mergeCell ref="C1893:D1893"/>
    <mergeCell ref="A1895:B1895"/>
    <mergeCell ref="C1895:D1895"/>
    <mergeCell ref="A1896:B1896"/>
    <mergeCell ref="C1896:D1896"/>
    <mergeCell ref="A1897:B1897"/>
    <mergeCell ref="C1897:D1897"/>
    <mergeCell ref="A1888:D1888"/>
    <mergeCell ref="A1889:D1889"/>
    <mergeCell ref="A1890:D1890"/>
    <mergeCell ref="A1891:D1891"/>
    <mergeCell ref="A1892:B1892"/>
    <mergeCell ref="C1892:D1892"/>
    <mergeCell ref="A1915:D1915"/>
    <mergeCell ref="A1916:D1916"/>
    <mergeCell ref="A1917:D1917"/>
    <mergeCell ref="A1912:B1912"/>
    <mergeCell ref="C1912:D1912"/>
    <mergeCell ref="A1913:B1913"/>
    <mergeCell ref="C1913:D1913"/>
    <mergeCell ref="A1914:B1914"/>
    <mergeCell ref="C1914:D1914"/>
    <mergeCell ref="C1907:D1907"/>
    <mergeCell ref="A1909:B1909"/>
    <mergeCell ref="C1909:D1909"/>
    <mergeCell ref="A1910:B1910"/>
    <mergeCell ref="C1910:D1910"/>
    <mergeCell ref="A1911:B1911"/>
    <mergeCell ref="C1911:D1911"/>
    <mergeCell ref="A1901:D1901"/>
    <mergeCell ref="A1902:D1902"/>
    <mergeCell ref="A1903:D1903"/>
    <mergeCell ref="A1904:D1904"/>
    <mergeCell ref="A1905:D1905"/>
    <mergeCell ref="A1906:B1906"/>
    <mergeCell ref="C1906:D1906"/>
  </mergeCells>
  <printOptions horizontalCentered="1" verticalCentered="1"/>
  <pageMargins left="2.2400000000000002" right="2.204724409448819" top="0.11811023622047245" bottom="0.15748031496062992" header="0.11811023622047245" footer="0.15748031496062992"/>
  <pageSetup scale="68" orientation="portrait" r:id="rId1"/>
  <headerFooter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1350"/>
  <sheetViews>
    <sheetView showRuler="0" view="pageLayout" topLeftCell="A1351" zoomScale="60" zoomScaleNormal="70" zoomScalePageLayoutView="60" workbookViewId="0">
      <selection activeCell="A1360" sqref="A1360"/>
    </sheetView>
  </sheetViews>
  <sheetFormatPr defaultColWidth="10.7109375" defaultRowHeight="42.75" customHeight="1"/>
  <cols>
    <col min="1" max="1" width="14.7109375" style="23" customWidth="1"/>
    <col min="2" max="2" width="16.28515625" style="24" customWidth="1"/>
    <col min="3" max="3" width="20.85546875" style="24" customWidth="1"/>
    <col min="4" max="4" width="19" style="25" customWidth="1"/>
    <col min="5" max="5" width="24.85546875" style="7" customWidth="1"/>
    <col min="6" max="6" width="25.28515625" style="7" customWidth="1"/>
    <col min="7" max="7" width="12" style="7" customWidth="1"/>
    <col min="8" max="8" width="13.28515625" style="7" customWidth="1"/>
    <col min="9" max="9" width="31.28515625" style="7" customWidth="1"/>
    <col min="10" max="10" width="13.5703125" style="8" customWidth="1"/>
    <col min="11" max="11" width="14" style="8" customWidth="1"/>
    <col min="12" max="12" width="22.7109375" style="8" customWidth="1"/>
    <col min="13" max="16384" width="10.7109375" style="8"/>
  </cols>
  <sheetData>
    <row r="1" spans="1:16" ht="42.75" customHeight="1" thickBot="1">
      <c r="A1" s="126" t="s">
        <v>19</v>
      </c>
      <c r="B1" s="127"/>
      <c r="C1" s="127"/>
      <c r="D1" s="128"/>
      <c r="E1" s="6"/>
      <c r="K1" s="9"/>
      <c r="L1" s="10"/>
      <c r="M1" s="10"/>
      <c r="N1" s="10"/>
      <c r="O1" s="10"/>
      <c r="P1" s="11"/>
    </row>
    <row r="2" spans="1:16" ht="42.75" customHeight="1" thickBot="1">
      <c r="A2" s="123" t="s">
        <v>11</v>
      </c>
      <c r="B2" s="124"/>
      <c r="C2" s="125" t="s">
        <v>603</v>
      </c>
      <c r="D2" s="124"/>
      <c r="E2" s="12"/>
      <c r="K2" s="9"/>
      <c r="L2" s="10"/>
      <c r="M2" s="10"/>
      <c r="N2" s="10"/>
      <c r="O2" s="10"/>
      <c r="P2" s="11"/>
    </row>
    <row r="3" spans="1:16" ht="42.75" customHeight="1" thickBot="1">
      <c r="A3" s="1" t="s">
        <v>686</v>
      </c>
      <c r="B3" s="26" t="s">
        <v>1</v>
      </c>
      <c r="C3" s="90" t="s">
        <v>395</v>
      </c>
      <c r="D3" s="91"/>
      <c r="E3" s="78">
        <f>SUM(A10+A37+A64+A91+A118+A145+A172+A199+A226+A253+A280+A307+A334+A361+A388+A415+A442+A469+A496+A523+A550+A577+A604+A631+A658+A685+A712+A739+A766+A793+A820+A847+A874+A901+A928+A955+A982+A1009+A1036+A1063+A1090+A1117+A1144+A1171+A1198+A1225+A1252+A1279+A1306+A1333)</f>
        <v>0</v>
      </c>
      <c r="F3" s="14"/>
      <c r="G3" s="14"/>
      <c r="H3" s="14"/>
      <c r="K3" s="9"/>
      <c r="L3" s="10" t="e">
        <f>SUM(C12+C42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)</f>
        <v>#REF!</v>
      </c>
      <c r="M3" s="10"/>
      <c r="N3" s="10"/>
      <c r="O3" s="10"/>
      <c r="P3" s="11"/>
    </row>
    <row r="4" spans="1:16" ht="42.75" customHeight="1" thickBot="1">
      <c r="A4" s="26"/>
      <c r="B4" s="26" t="s">
        <v>0</v>
      </c>
      <c r="C4" s="5" t="s">
        <v>687</v>
      </c>
      <c r="D4" s="4" t="s">
        <v>2</v>
      </c>
      <c r="E4" s="15">
        <v>20000</v>
      </c>
      <c r="K4" s="9"/>
      <c r="L4" s="10"/>
      <c r="M4" s="10"/>
      <c r="N4" s="10"/>
      <c r="O4" s="10"/>
      <c r="P4" s="11"/>
    </row>
    <row r="5" spans="1:16" ht="42.75" customHeight="1" thickBot="1">
      <c r="A5" s="92">
        <v>57400</v>
      </c>
      <c r="B5" s="93"/>
      <c r="C5" s="94" t="s">
        <v>3</v>
      </c>
      <c r="D5" s="95"/>
      <c r="E5" s="68">
        <f>E3-E4</f>
        <v>-20000</v>
      </c>
      <c r="K5" s="17"/>
      <c r="L5" s="18"/>
      <c r="M5" s="18"/>
      <c r="N5" s="18"/>
      <c r="O5" s="18"/>
      <c r="P5" s="19"/>
    </row>
    <row r="6" spans="1:16" ht="42.75" customHeight="1" thickBot="1">
      <c r="A6" s="92">
        <v>57400</v>
      </c>
      <c r="B6" s="93"/>
      <c r="C6" s="96" t="s">
        <v>4</v>
      </c>
      <c r="D6" s="97"/>
      <c r="E6" s="16"/>
    </row>
    <row r="7" spans="1:16" ht="42.75" customHeight="1" thickBot="1">
      <c r="A7" s="98">
        <f>A6-A5</f>
        <v>0</v>
      </c>
      <c r="B7" s="99"/>
      <c r="C7" s="100" t="s">
        <v>5</v>
      </c>
      <c r="D7" s="97"/>
      <c r="E7" s="20"/>
    </row>
    <row r="8" spans="1:16" ht="42.75" customHeight="1" thickBot="1">
      <c r="A8" s="101">
        <v>60</v>
      </c>
      <c r="B8" s="102"/>
      <c r="C8" s="96" t="s">
        <v>6</v>
      </c>
      <c r="D8" s="97"/>
      <c r="E8" s="20"/>
    </row>
    <row r="9" spans="1:16" ht="42.75" customHeight="1" thickBot="1">
      <c r="A9" s="103"/>
      <c r="B9" s="104"/>
      <c r="C9" s="96" t="s">
        <v>21</v>
      </c>
      <c r="D9" s="97"/>
      <c r="E9" s="20"/>
    </row>
    <row r="10" spans="1:16" ht="42.75" customHeight="1" thickBot="1">
      <c r="A10" s="105">
        <f>A8*A7</f>
        <v>0</v>
      </c>
      <c r="B10" s="106"/>
      <c r="C10" s="96" t="s">
        <v>7</v>
      </c>
      <c r="D10" s="97"/>
      <c r="E10" s="20">
        <f>SUM(A7+A61+A88+A115+A142+A169+A196+A223+A250+A277+A304+A331+A358+A385+A412+A439+A466+A493+A520+A547+A574+A601+A628+A655+A682+A709+A736+A763+A790+A817+A844+A871+A898+A925+A952+A979+A1006+A1033+A1060+A1087+A1114+A1141+A1168+A1195+A1222+A1249)</f>
        <v>0</v>
      </c>
    </row>
    <row r="11" spans="1:16" ht="42.75" customHeight="1" thickBot="1">
      <c r="A11" s="107" t="s">
        <v>539</v>
      </c>
      <c r="B11" s="108"/>
      <c r="C11" s="108"/>
      <c r="D11" s="109"/>
      <c r="E11" s="20"/>
    </row>
    <row r="12" spans="1:16" ht="42.75" customHeight="1" thickBot="1">
      <c r="A12" s="116" t="s">
        <v>20</v>
      </c>
      <c r="B12" s="117"/>
      <c r="C12" s="117"/>
      <c r="D12" s="118"/>
      <c r="E12" s="20"/>
    </row>
    <row r="13" spans="1:16" ht="42.75" customHeight="1" thickBot="1">
      <c r="A13" s="113" t="s">
        <v>18</v>
      </c>
      <c r="B13" s="114"/>
      <c r="C13" s="114"/>
      <c r="D13" s="115"/>
      <c r="E13" s="20"/>
    </row>
    <row r="14" spans="1:16" ht="42.75" customHeight="1" thickBot="1">
      <c r="A14" s="119"/>
      <c r="B14" s="119"/>
      <c r="C14" s="119"/>
      <c r="D14" s="119"/>
      <c r="E14" s="20"/>
    </row>
    <row r="15" spans="1:16" ht="42.75" customHeight="1" thickBot="1">
      <c r="A15" s="126" t="s">
        <v>19</v>
      </c>
      <c r="B15" s="127"/>
      <c r="C15" s="127"/>
      <c r="D15" s="128"/>
      <c r="E15" s="20"/>
    </row>
    <row r="16" spans="1:16" s="7" customFormat="1" ht="42.75" customHeight="1" thickBot="1">
      <c r="A16" s="123" t="s">
        <v>11</v>
      </c>
      <c r="B16" s="124"/>
      <c r="C16" s="125" t="s">
        <v>603</v>
      </c>
      <c r="D16" s="124"/>
      <c r="E16" s="6"/>
      <c r="J16" s="8"/>
      <c r="K16" s="8"/>
      <c r="L16" s="8"/>
      <c r="M16" s="8"/>
      <c r="N16" s="8"/>
      <c r="O16" s="8"/>
      <c r="P16" s="8"/>
    </row>
    <row r="17" spans="1:16" s="7" customFormat="1" ht="42.75" customHeight="1" thickBot="1">
      <c r="A17" s="1" t="s">
        <v>686</v>
      </c>
      <c r="B17" s="26" t="s">
        <v>1</v>
      </c>
      <c r="C17" s="90" t="s">
        <v>395</v>
      </c>
      <c r="D17" s="91"/>
      <c r="E17" s="6"/>
      <c r="J17" s="8"/>
      <c r="K17" s="8"/>
      <c r="L17" s="8"/>
      <c r="M17" s="8"/>
      <c r="N17" s="8"/>
      <c r="O17" s="8"/>
      <c r="P17" s="8"/>
    </row>
    <row r="18" spans="1:16" s="7" customFormat="1" ht="42.75" customHeight="1" thickBot="1">
      <c r="A18" s="26"/>
      <c r="B18" s="26" t="s">
        <v>0</v>
      </c>
      <c r="C18" s="5" t="s">
        <v>687</v>
      </c>
      <c r="D18" s="4" t="s">
        <v>2</v>
      </c>
      <c r="E18" s="21"/>
      <c r="J18" s="8"/>
      <c r="K18" s="8"/>
      <c r="L18" s="8"/>
      <c r="M18" s="8"/>
      <c r="N18" s="8"/>
      <c r="O18" s="8"/>
      <c r="P18" s="8"/>
    </row>
    <row r="19" spans="1:16" s="7" customFormat="1" ht="42.75" customHeight="1" thickBot="1">
      <c r="A19" s="92">
        <v>57100</v>
      </c>
      <c r="B19" s="93"/>
      <c r="C19" s="94" t="s">
        <v>3</v>
      </c>
      <c r="D19" s="95"/>
      <c r="E19" s="21"/>
      <c r="J19" s="8"/>
      <c r="K19" s="8"/>
      <c r="L19" s="8"/>
      <c r="M19" s="8"/>
      <c r="N19" s="8"/>
      <c r="O19" s="8"/>
      <c r="P19" s="8"/>
    </row>
    <row r="20" spans="1:16" s="7" customFormat="1" ht="42.75" customHeight="1" thickBot="1">
      <c r="A20" s="92">
        <v>57400</v>
      </c>
      <c r="B20" s="93"/>
      <c r="C20" s="96" t="s">
        <v>4</v>
      </c>
      <c r="D20" s="97"/>
      <c r="E20" s="22"/>
      <c r="J20" s="8"/>
      <c r="K20" s="8"/>
      <c r="L20" s="8"/>
      <c r="M20" s="8"/>
      <c r="N20" s="8"/>
      <c r="O20" s="8"/>
      <c r="P20" s="8"/>
    </row>
    <row r="21" spans="1:16" s="7" customFormat="1" ht="42.75" customHeight="1" thickBot="1">
      <c r="A21" s="98">
        <f>A20-A19</f>
        <v>300</v>
      </c>
      <c r="B21" s="99"/>
      <c r="C21" s="100" t="s">
        <v>5</v>
      </c>
      <c r="D21" s="97"/>
      <c r="E21" s="20"/>
      <c r="J21" s="8"/>
      <c r="K21" s="8"/>
      <c r="L21" s="8"/>
      <c r="M21" s="8"/>
      <c r="N21" s="8"/>
      <c r="O21" s="8"/>
      <c r="P21" s="8"/>
    </row>
    <row r="22" spans="1:16" s="7" customFormat="1" ht="42.75" customHeight="1" thickBot="1">
      <c r="A22" s="101">
        <v>60</v>
      </c>
      <c r="B22" s="102"/>
      <c r="C22" s="96" t="s">
        <v>6</v>
      </c>
      <c r="D22" s="97"/>
      <c r="E22" s="20"/>
      <c r="J22" s="8"/>
      <c r="K22" s="8"/>
      <c r="L22" s="8"/>
      <c r="M22" s="8"/>
      <c r="N22" s="8"/>
      <c r="O22" s="8"/>
      <c r="P22" s="8"/>
    </row>
    <row r="23" spans="1:16" s="7" customFormat="1" ht="42.75" customHeight="1" thickBot="1">
      <c r="A23" s="103"/>
      <c r="B23" s="104"/>
      <c r="C23" s="96" t="s">
        <v>21</v>
      </c>
      <c r="D23" s="97"/>
      <c r="E23" s="20"/>
      <c r="J23" s="8"/>
      <c r="K23" s="8"/>
      <c r="L23" s="8"/>
      <c r="M23" s="8"/>
      <c r="N23" s="8"/>
      <c r="O23" s="8"/>
      <c r="P23" s="8"/>
    </row>
    <row r="24" spans="1:16" s="7" customFormat="1" ht="42.75" customHeight="1" thickBot="1">
      <c r="A24" s="105">
        <f>A22*A21</f>
        <v>18000</v>
      </c>
      <c r="B24" s="106"/>
      <c r="C24" s="96" t="s">
        <v>7</v>
      </c>
      <c r="D24" s="97"/>
      <c r="E24" s="20"/>
      <c r="J24" s="8"/>
      <c r="K24" s="8"/>
      <c r="L24" s="8"/>
      <c r="M24" s="8"/>
      <c r="N24" s="8"/>
      <c r="O24" s="8"/>
      <c r="P24" s="8"/>
    </row>
    <row r="25" spans="1:16" s="7" customFormat="1" ht="42.75" customHeight="1" thickBot="1">
      <c r="A25" s="107" t="s">
        <v>539</v>
      </c>
      <c r="B25" s="108"/>
      <c r="C25" s="108"/>
      <c r="D25" s="109"/>
      <c r="E25" s="20"/>
      <c r="J25" s="8"/>
      <c r="K25" s="8"/>
      <c r="L25" s="8"/>
      <c r="M25" s="8"/>
      <c r="N25" s="8"/>
      <c r="O25" s="8"/>
      <c r="P25" s="8"/>
    </row>
    <row r="26" spans="1:16" s="7" customFormat="1" ht="42.75" customHeight="1" thickBot="1">
      <c r="A26" s="110" t="s">
        <v>20</v>
      </c>
      <c r="B26" s="111"/>
      <c r="C26" s="111"/>
      <c r="D26" s="112"/>
      <c r="E26" s="20"/>
      <c r="J26" s="8"/>
      <c r="K26" s="8"/>
      <c r="L26" s="8"/>
      <c r="M26" s="8"/>
      <c r="N26" s="8"/>
      <c r="O26" s="8"/>
      <c r="P26" s="8"/>
    </row>
    <row r="27" spans="1:16" s="7" customFormat="1" ht="42.75" customHeight="1" thickBot="1">
      <c r="A27" s="113" t="s">
        <v>18</v>
      </c>
      <c r="B27" s="114"/>
      <c r="C27" s="114"/>
      <c r="D27" s="115"/>
      <c r="E27" s="20" t="s">
        <v>10</v>
      </c>
      <c r="J27" s="8"/>
      <c r="K27" s="8"/>
      <c r="L27" s="8"/>
      <c r="M27" s="8"/>
      <c r="N27" s="8"/>
      <c r="O27" s="8"/>
      <c r="P27" s="8"/>
    </row>
    <row r="28" spans="1:16" s="7" customFormat="1" ht="42.75" customHeight="1" thickBot="1">
      <c r="A28" s="126" t="s">
        <v>19</v>
      </c>
      <c r="B28" s="127"/>
      <c r="C28" s="127"/>
      <c r="D28" s="128"/>
      <c r="E28" s="20"/>
      <c r="J28" s="8"/>
      <c r="K28" s="8"/>
      <c r="L28" s="8"/>
      <c r="M28" s="8"/>
      <c r="N28" s="8"/>
      <c r="O28" s="8"/>
      <c r="P28" s="8"/>
    </row>
    <row r="29" spans="1:16" s="7" customFormat="1" ht="42.75" customHeight="1" thickBot="1">
      <c r="A29" s="123" t="s">
        <v>11</v>
      </c>
      <c r="B29" s="124"/>
      <c r="C29" s="125" t="s">
        <v>603</v>
      </c>
      <c r="D29" s="124"/>
      <c r="E29" s="20"/>
      <c r="J29" s="8"/>
      <c r="K29" s="8"/>
      <c r="L29" s="8"/>
      <c r="M29" s="8"/>
      <c r="N29" s="8"/>
      <c r="O29" s="8"/>
      <c r="P29" s="8"/>
    </row>
    <row r="30" spans="1:16" s="7" customFormat="1" ht="42.75" customHeight="1" thickBot="1">
      <c r="A30" s="1" t="s">
        <v>686</v>
      </c>
      <c r="B30" s="26" t="s">
        <v>1</v>
      </c>
      <c r="C30" s="90" t="s">
        <v>396</v>
      </c>
      <c r="D30" s="91"/>
      <c r="E30" s="6"/>
      <c r="J30" s="8"/>
      <c r="K30" s="8"/>
      <c r="L30" s="8"/>
      <c r="M30" s="8"/>
      <c r="N30" s="8"/>
      <c r="O30" s="8"/>
      <c r="P30" s="8"/>
    </row>
    <row r="31" spans="1:16" s="7" customFormat="1" ht="42.75" customHeight="1" thickBot="1">
      <c r="A31" s="26"/>
      <c r="B31" s="26" t="s">
        <v>0</v>
      </c>
      <c r="C31" s="5" t="s">
        <v>687</v>
      </c>
      <c r="D31" s="4" t="s">
        <v>2</v>
      </c>
      <c r="E31" s="6"/>
      <c r="J31" s="8"/>
      <c r="K31" s="8"/>
      <c r="L31" s="8"/>
      <c r="M31" s="8"/>
      <c r="N31" s="8"/>
      <c r="O31" s="8"/>
      <c r="P31" s="8"/>
    </row>
    <row r="32" spans="1:16" s="7" customFormat="1" ht="42.75" customHeight="1" thickBot="1">
      <c r="A32" s="92">
        <v>18400</v>
      </c>
      <c r="B32" s="93"/>
      <c r="C32" s="94" t="s">
        <v>3</v>
      </c>
      <c r="D32" s="95"/>
      <c r="E32" s="21"/>
      <c r="J32" s="8"/>
      <c r="K32" s="8"/>
      <c r="L32" s="8"/>
      <c r="M32" s="8"/>
      <c r="N32" s="8"/>
      <c r="O32" s="8"/>
      <c r="P32" s="8"/>
    </row>
    <row r="33" spans="1:16" s="7" customFormat="1" ht="42.75" customHeight="1" thickBot="1">
      <c r="A33" s="92">
        <v>18400</v>
      </c>
      <c r="B33" s="93"/>
      <c r="C33" s="96" t="s">
        <v>4</v>
      </c>
      <c r="D33" s="97"/>
      <c r="E33" s="21"/>
      <c r="J33" s="8"/>
      <c r="K33" s="8"/>
      <c r="L33" s="8"/>
      <c r="M33" s="8"/>
      <c r="N33" s="8"/>
      <c r="O33" s="8"/>
      <c r="P33" s="8"/>
    </row>
    <row r="34" spans="1:16" s="7" customFormat="1" ht="42.75" customHeight="1" thickBot="1">
      <c r="A34" s="98">
        <f>A33-A32</f>
        <v>0</v>
      </c>
      <c r="B34" s="99"/>
      <c r="C34" s="100" t="s">
        <v>5</v>
      </c>
      <c r="D34" s="97"/>
      <c r="E34" s="22"/>
      <c r="J34" s="8"/>
      <c r="K34" s="8"/>
      <c r="L34" s="8"/>
      <c r="M34" s="8"/>
      <c r="N34" s="8"/>
      <c r="O34" s="8"/>
      <c r="P34" s="8"/>
    </row>
    <row r="35" spans="1:16" s="7" customFormat="1" ht="42.75" customHeight="1" thickBot="1">
      <c r="A35" s="101">
        <v>60</v>
      </c>
      <c r="B35" s="102"/>
      <c r="C35" s="96" t="s">
        <v>6</v>
      </c>
      <c r="D35" s="97"/>
      <c r="E35" s="20"/>
      <c r="J35" s="8"/>
      <c r="K35" s="8"/>
      <c r="L35" s="8"/>
      <c r="M35" s="8"/>
      <c r="N35" s="8"/>
      <c r="O35" s="8"/>
      <c r="P35" s="8"/>
    </row>
    <row r="36" spans="1:16" s="7" customFormat="1" ht="42.75" customHeight="1" thickBot="1">
      <c r="A36" s="103"/>
      <c r="B36" s="104"/>
      <c r="C36" s="96" t="s">
        <v>21</v>
      </c>
      <c r="D36" s="97"/>
      <c r="E36" s="20"/>
      <c r="J36" s="8"/>
      <c r="K36" s="8"/>
      <c r="L36" s="8"/>
      <c r="M36" s="8"/>
      <c r="N36" s="8"/>
      <c r="O36" s="8"/>
      <c r="P36" s="8"/>
    </row>
    <row r="37" spans="1:16" s="7" customFormat="1" ht="42.75" customHeight="1" thickBot="1">
      <c r="A37" s="105">
        <f>A35*A34</f>
        <v>0</v>
      </c>
      <c r="B37" s="106"/>
      <c r="C37" s="96" t="s">
        <v>7</v>
      </c>
      <c r="D37" s="97"/>
      <c r="E37" s="20"/>
      <c r="J37" s="8"/>
      <c r="K37" s="8"/>
      <c r="L37" s="8"/>
      <c r="M37" s="8"/>
      <c r="N37" s="8"/>
      <c r="O37" s="8"/>
      <c r="P37" s="8"/>
    </row>
    <row r="38" spans="1:16" s="7" customFormat="1" ht="42.75" customHeight="1" thickBot="1">
      <c r="A38" s="107" t="s">
        <v>539</v>
      </c>
      <c r="B38" s="108"/>
      <c r="C38" s="108"/>
      <c r="D38" s="109"/>
      <c r="E38" s="20"/>
      <c r="J38" s="8"/>
      <c r="K38" s="8"/>
      <c r="L38" s="8"/>
      <c r="M38" s="8"/>
      <c r="N38" s="8"/>
      <c r="O38" s="8"/>
      <c r="P38" s="8"/>
    </row>
    <row r="39" spans="1:16" s="7" customFormat="1" ht="42.75" customHeight="1" thickBot="1">
      <c r="A39" s="116" t="s">
        <v>20</v>
      </c>
      <c r="B39" s="117"/>
      <c r="C39" s="117"/>
      <c r="D39" s="118"/>
      <c r="E39" s="20"/>
      <c r="J39" s="8"/>
      <c r="K39" s="8"/>
      <c r="L39" s="8"/>
      <c r="M39" s="8"/>
      <c r="N39" s="8"/>
      <c r="O39" s="8"/>
      <c r="P39" s="8"/>
    </row>
    <row r="40" spans="1:16" s="7" customFormat="1" ht="42.75" customHeight="1" thickBot="1">
      <c r="A40" s="113" t="s">
        <v>18</v>
      </c>
      <c r="B40" s="114"/>
      <c r="C40" s="114"/>
      <c r="D40" s="115"/>
      <c r="E40" s="20"/>
      <c r="J40" s="8"/>
      <c r="K40" s="8"/>
      <c r="L40" s="8"/>
      <c r="M40" s="8"/>
      <c r="N40" s="8"/>
      <c r="O40" s="8"/>
      <c r="P40" s="8"/>
    </row>
    <row r="41" spans="1:16" s="7" customFormat="1" ht="42.75" customHeight="1" thickBot="1">
      <c r="A41" s="119"/>
      <c r="B41" s="119"/>
      <c r="C41" s="119"/>
      <c r="D41" s="119"/>
      <c r="E41" s="20"/>
      <c r="J41" s="8"/>
      <c r="K41" s="8"/>
      <c r="L41" s="8"/>
      <c r="M41" s="8"/>
      <c r="N41" s="8"/>
      <c r="O41" s="8"/>
      <c r="P41" s="8"/>
    </row>
    <row r="42" spans="1:16" s="7" customFormat="1" ht="42.75" customHeight="1" thickBot="1">
      <c r="A42" s="126" t="s">
        <v>19</v>
      </c>
      <c r="B42" s="127"/>
      <c r="C42" s="127"/>
      <c r="D42" s="128"/>
      <c r="E42" s="20"/>
      <c r="J42" s="8"/>
      <c r="K42" s="8"/>
      <c r="L42" s="8"/>
      <c r="M42" s="8"/>
      <c r="N42" s="8"/>
      <c r="O42" s="8"/>
      <c r="P42" s="8"/>
    </row>
    <row r="43" spans="1:16" s="7" customFormat="1" ht="42.75" customHeight="1" thickBot="1">
      <c r="A43" s="123" t="s">
        <v>11</v>
      </c>
      <c r="B43" s="124"/>
      <c r="C43" s="125" t="s">
        <v>603</v>
      </c>
      <c r="D43" s="124"/>
      <c r="E43" s="20"/>
      <c r="J43" s="8"/>
      <c r="K43" s="8"/>
      <c r="L43" s="8"/>
      <c r="M43" s="8"/>
      <c r="N43" s="8"/>
      <c r="O43" s="8"/>
      <c r="P43" s="8"/>
    </row>
    <row r="44" spans="1:16" s="7" customFormat="1" ht="42.75" customHeight="1" thickBot="1">
      <c r="A44" s="1" t="s">
        <v>686</v>
      </c>
      <c r="B44" s="26" t="s">
        <v>1</v>
      </c>
      <c r="C44" s="90" t="s">
        <v>396</v>
      </c>
      <c r="D44" s="91"/>
      <c r="E44" s="20"/>
      <c r="J44" s="8"/>
      <c r="K44" s="8"/>
      <c r="L44" s="8"/>
      <c r="M44" s="8"/>
      <c r="N44" s="8"/>
      <c r="O44" s="8"/>
      <c r="P44" s="8"/>
    </row>
    <row r="45" spans="1:16" s="7" customFormat="1" ht="42.75" customHeight="1" thickBot="1">
      <c r="A45" s="26"/>
      <c r="B45" s="26" t="s">
        <v>0</v>
      </c>
      <c r="C45" s="5" t="s">
        <v>687</v>
      </c>
      <c r="D45" s="4" t="s">
        <v>2</v>
      </c>
      <c r="E45" s="20"/>
      <c r="J45" s="8"/>
      <c r="K45" s="8"/>
      <c r="L45" s="8"/>
      <c r="M45" s="8"/>
      <c r="N45" s="8"/>
      <c r="O45" s="8"/>
      <c r="P45" s="8"/>
    </row>
    <row r="46" spans="1:16" s="7" customFormat="1" ht="42.75" customHeight="1" thickBot="1">
      <c r="A46" s="92">
        <v>18060</v>
      </c>
      <c r="B46" s="93"/>
      <c r="C46" s="94" t="s">
        <v>3</v>
      </c>
      <c r="D46" s="95"/>
      <c r="E46" s="6"/>
      <c r="J46" s="8"/>
      <c r="K46" s="8"/>
      <c r="L46" s="8"/>
      <c r="M46" s="8"/>
      <c r="N46" s="8"/>
      <c r="O46" s="8"/>
      <c r="P46" s="8"/>
    </row>
    <row r="47" spans="1:16" s="7" customFormat="1" ht="42.75" customHeight="1" thickBot="1">
      <c r="A47" s="92">
        <v>18400</v>
      </c>
      <c r="B47" s="93"/>
      <c r="C47" s="96" t="s">
        <v>4</v>
      </c>
      <c r="D47" s="97"/>
      <c r="E47" s="6"/>
      <c r="J47" s="8"/>
      <c r="K47" s="8"/>
      <c r="L47" s="8"/>
      <c r="M47" s="8"/>
      <c r="N47" s="8"/>
      <c r="O47" s="8"/>
      <c r="P47" s="8"/>
    </row>
    <row r="48" spans="1:16" s="7" customFormat="1" ht="42.75" customHeight="1" thickBot="1">
      <c r="A48" s="98">
        <f>A47-A46</f>
        <v>340</v>
      </c>
      <c r="B48" s="99"/>
      <c r="C48" s="100" t="s">
        <v>5</v>
      </c>
      <c r="D48" s="97"/>
      <c r="E48" s="21"/>
      <c r="J48" s="8"/>
      <c r="K48" s="8"/>
      <c r="L48" s="8"/>
      <c r="M48" s="8"/>
      <c r="N48" s="8"/>
      <c r="O48" s="8"/>
      <c r="P48" s="8"/>
    </row>
    <row r="49" spans="1:16" s="7" customFormat="1" ht="42.75" customHeight="1" thickBot="1">
      <c r="A49" s="101">
        <v>60</v>
      </c>
      <c r="B49" s="102"/>
      <c r="C49" s="96" t="s">
        <v>6</v>
      </c>
      <c r="D49" s="97"/>
      <c r="E49" s="21"/>
      <c r="J49" s="8"/>
      <c r="K49" s="8"/>
      <c r="L49" s="8"/>
      <c r="M49" s="8"/>
      <c r="N49" s="8"/>
      <c r="O49" s="8"/>
      <c r="P49" s="8"/>
    </row>
    <row r="50" spans="1:16" s="7" customFormat="1" ht="42.75" customHeight="1" thickBot="1">
      <c r="A50" s="103"/>
      <c r="B50" s="104"/>
      <c r="C50" s="96" t="s">
        <v>21</v>
      </c>
      <c r="D50" s="97"/>
      <c r="E50" s="22"/>
      <c r="J50" s="8"/>
      <c r="K50" s="8"/>
      <c r="L50" s="8"/>
      <c r="M50" s="8"/>
      <c r="N50" s="8"/>
      <c r="O50" s="8"/>
      <c r="P50" s="8"/>
    </row>
    <row r="51" spans="1:16" s="7" customFormat="1" ht="42.75" customHeight="1" thickBot="1">
      <c r="A51" s="105">
        <f>A49*A48</f>
        <v>20400</v>
      </c>
      <c r="B51" s="106"/>
      <c r="C51" s="96" t="s">
        <v>7</v>
      </c>
      <c r="D51" s="97"/>
      <c r="E51" s="20"/>
      <c r="J51" s="8"/>
      <c r="K51" s="8"/>
      <c r="L51" s="8"/>
      <c r="M51" s="8"/>
      <c r="N51" s="8"/>
      <c r="O51" s="8"/>
      <c r="P51" s="8"/>
    </row>
    <row r="52" spans="1:16" s="7" customFormat="1" ht="42.75" customHeight="1" thickBot="1">
      <c r="A52" s="107" t="s">
        <v>539</v>
      </c>
      <c r="B52" s="108"/>
      <c r="C52" s="108"/>
      <c r="D52" s="109"/>
      <c r="E52" s="20"/>
      <c r="J52" s="8"/>
      <c r="K52" s="8"/>
      <c r="L52" s="8"/>
      <c r="M52" s="8"/>
      <c r="N52" s="8"/>
      <c r="O52" s="8"/>
      <c r="P52" s="8"/>
    </row>
    <row r="53" spans="1:16" s="7" customFormat="1" ht="42.75" customHeight="1" thickBot="1">
      <c r="A53" s="110" t="s">
        <v>20</v>
      </c>
      <c r="B53" s="111"/>
      <c r="C53" s="111"/>
      <c r="D53" s="112"/>
      <c r="E53" s="20"/>
      <c r="J53" s="8"/>
      <c r="K53" s="8"/>
      <c r="L53" s="8"/>
      <c r="M53" s="8"/>
      <c r="N53" s="8"/>
      <c r="O53" s="8"/>
      <c r="P53" s="8"/>
    </row>
    <row r="54" spans="1:16" s="7" customFormat="1" ht="42.75" customHeight="1" thickBot="1">
      <c r="A54" s="113" t="s">
        <v>18</v>
      </c>
      <c r="B54" s="114"/>
      <c r="C54" s="114"/>
      <c r="D54" s="115"/>
      <c r="E54" s="20"/>
      <c r="J54" s="8"/>
      <c r="K54" s="8"/>
      <c r="L54" s="8"/>
      <c r="M54" s="8"/>
      <c r="N54" s="8"/>
      <c r="O54" s="8"/>
      <c r="P54" s="8"/>
    </row>
    <row r="55" spans="1:16" s="7" customFormat="1" ht="42.75" customHeight="1" thickBot="1">
      <c r="A55" s="126" t="s">
        <v>19</v>
      </c>
      <c r="B55" s="127"/>
      <c r="C55" s="127"/>
      <c r="D55" s="128"/>
      <c r="E55" s="20"/>
      <c r="J55" s="8"/>
      <c r="K55" s="8"/>
      <c r="L55" s="8"/>
      <c r="M55" s="8"/>
      <c r="N55" s="8"/>
      <c r="O55" s="8"/>
      <c r="P55" s="8"/>
    </row>
    <row r="56" spans="1:16" s="7" customFormat="1" ht="42.75" customHeight="1" thickBot="1">
      <c r="A56" s="123" t="s">
        <v>11</v>
      </c>
      <c r="B56" s="124"/>
      <c r="C56" s="125" t="s">
        <v>603</v>
      </c>
      <c r="D56" s="124"/>
      <c r="E56" s="20"/>
      <c r="J56" s="8"/>
      <c r="K56" s="8"/>
      <c r="L56" s="8"/>
      <c r="M56" s="8"/>
      <c r="N56" s="8"/>
      <c r="O56" s="8"/>
      <c r="P56" s="8"/>
    </row>
    <row r="57" spans="1:16" s="7" customFormat="1" ht="42.75" customHeight="1" thickBot="1">
      <c r="A57" s="1" t="s">
        <v>686</v>
      </c>
      <c r="B57" s="26" t="s">
        <v>1</v>
      </c>
      <c r="C57" s="90" t="s">
        <v>397</v>
      </c>
      <c r="D57" s="91"/>
      <c r="E57" s="20"/>
      <c r="J57" s="8"/>
      <c r="K57" s="8"/>
      <c r="L57" s="8"/>
      <c r="M57" s="8"/>
      <c r="N57" s="8"/>
      <c r="O57" s="8"/>
      <c r="P57" s="8"/>
    </row>
    <row r="58" spans="1:16" s="7" customFormat="1" ht="42.75" customHeight="1" thickBot="1">
      <c r="A58" s="26"/>
      <c r="B58" s="26" t="s">
        <v>0</v>
      </c>
      <c r="C58" s="5" t="s">
        <v>687</v>
      </c>
      <c r="D58" s="4" t="s">
        <v>2</v>
      </c>
      <c r="E58" s="20"/>
      <c r="J58" s="8"/>
      <c r="K58" s="8"/>
      <c r="L58" s="8"/>
      <c r="M58" s="8"/>
      <c r="N58" s="8"/>
      <c r="O58" s="8"/>
      <c r="P58" s="8"/>
    </row>
    <row r="59" spans="1:16" s="7" customFormat="1" ht="42.75" customHeight="1" thickBot="1">
      <c r="A59" s="92">
        <v>53720</v>
      </c>
      <c r="B59" s="93"/>
      <c r="C59" s="94" t="s">
        <v>3</v>
      </c>
      <c r="D59" s="95"/>
      <c r="E59" s="20"/>
      <c r="J59" s="8"/>
      <c r="K59" s="8"/>
      <c r="L59" s="8"/>
      <c r="M59" s="8"/>
      <c r="N59" s="8"/>
      <c r="O59" s="8"/>
      <c r="P59" s="8"/>
    </row>
    <row r="60" spans="1:16" s="7" customFormat="1" ht="42.75" customHeight="1" thickBot="1">
      <c r="A60" s="92">
        <v>53720</v>
      </c>
      <c r="B60" s="93"/>
      <c r="C60" s="96" t="s">
        <v>4</v>
      </c>
      <c r="D60" s="97"/>
      <c r="E60" s="20"/>
      <c r="J60" s="8"/>
      <c r="K60" s="8"/>
      <c r="L60" s="8"/>
      <c r="M60" s="8"/>
      <c r="N60" s="8"/>
      <c r="O60" s="8"/>
      <c r="P60" s="8"/>
    </row>
    <row r="61" spans="1:16" s="7" customFormat="1" ht="42.75" customHeight="1" thickBot="1">
      <c r="A61" s="98">
        <f>A60-A59</f>
        <v>0</v>
      </c>
      <c r="B61" s="99"/>
      <c r="C61" s="100" t="s">
        <v>5</v>
      </c>
      <c r="D61" s="97"/>
      <c r="E61" s="6"/>
      <c r="J61" s="8"/>
      <c r="K61" s="8"/>
      <c r="L61" s="8"/>
      <c r="M61" s="8"/>
      <c r="N61" s="8"/>
      <c r="O61" s="8"/>
      <c r="P61" s="8"/>
    </row>
    <row r="62" spans="1:16" s="7" customFormat="1" ht="42.75" customHeight="1" thickBot="1">
      <c r="A62" s="101">
        <v>60</v>
      </c>
      <c r="B62" s="102"/>
      <c r="C62" s="96" t="s">
        <v>6</v>
      </c>
      <c r="D62" s="97"/>
      <c r="E62" s="6"/>
      <c r="J62" s="8"/>
      <c r="K62" s="8"/>
      <c r="L62" s="8"/>
      <c r="M62" s="8"/>
      <c r="N62" s="8"/>
      <c r="O62" s="8"/>
      <c r="P62" s="8"/>
    </row>
    <row r="63" spans="1:16" s="7" customFormat="1" ht="42.75" customHeight="1" thickBot="1">
      <c r="A63" s="103"/>
      <c r="B63" s="104"/>
      <c r="C63" s="96" t="s">
        <v>21</v>
      </c>
      <c r="D63" s="97"/>
      <c r="E63" s="21"/>
      <c r="J63" s="8"/>
      <c r="K63" s="8"/>
      <c r="L63" s="8"/>
      <c r="M63" s="8"/>
      <c r="N63" s="8"/>
      <c r="O63" s="8"/>
      <c r="P63" s="8"/>
    </row>
    <row r="64" spans="1:16" s="7" customFormat="1" ht="42.75" customHeight="1" thickBot="1">
      <c r="A64" s="105">
        <f>A62*A61</f>
        <v>0</v>
      </c>
      <c r="B64" s="106"/>
      <c r="C64" s="96" t="s">
        <v>7</v>
      </c>
      <c r="D64" s="97"/>
      <c r="E64" s="21"/>
      <c r="J64" s="8"/>
      <c r="K64" s="8"/>
      <c r="L64" s="8"/>
      <c r="M64" s="8"/>
      <c r="N64" s="8"/>
      <c r="O64" s="8"/>
      <c r="P64" s="8"/>
    </row>
    <row r="65" spans="1:16" s="7" customFormat="1" ht="42.75" customHeight="1" thickBot="1">
      <c r="A65" s="107" t="s">
        <v>539</v>
      </c>
      <c r="B65" s="108"/>
      <c r="C65" s="108"/>
      <c r="D65" s="109"/>
      <c r="E65" s="22"/>
      <c r="J65" s="8"/>
      <c r="K65" s="8"/>
      <c r="L65" s="8"/>
      <c r="M65" s="8"/>
      <c r="N65" s="8"/>
      <c r="O65" s="8"/>
      <c r="P65" s="8"/>
    </row>
    <row r="66" spans="1:16" s="7" customFormat="1" ht="42.75" customHeight="1" thickBot="1">
      <c r="A66" s="116" t="s">
        <v>20</v>
      </c>
      <c r="B66" s="117"/>
      <c r="C66" s="117"/>
      <c r="D66" s="118"/>
      <c r="E66" s="20"/>
      <c r="J66" s="8"/>
      <c r="K66" s="8"/>
      <c r="L66" s="8"/>
      <c r="M66" s="8"/>
      <c r="N66" s="8"/>
      <c r="O66" s="8"/>
      <c r="P66" s="8"/>
    </row>
    <row r="67" spans="1:16" s="7" customFormat="1" ht="42.75" customHeight="1" thickBot="1">
      <c r="A67" s="113" t="s">
        <v>18</v>
      </c>
      <c r="B67" s="114"/>
      <c r="C67" s="114"/>
      <c r="D67" s="115"/>
      <c r="E67" s="20"/>
      <c r="J67" s="8"/>
      <c r="K67" s="8"/>
      <c r="L67" s="8"/>
      <c r="M67" s="8"/>
      <c r="N67" s="8"/>
      <c r="O67" s="8"/>
      <c r="P67" s="8"/>
    </row>
    <row r="68" spans="1:16" s="7" customFormat="1" ht="42.75" customHeight="1" thickBot="1">
      <c r="A68" s="119"/>
      <c r="B68" s="119"/>
      <c r="C68" s="119"/>
      <c r="D68" s="119"/>
      <c r="E68" s="20"/>
      <c r="J68" s="8"/>
      <c r="K68" s="8"/>
      <c r="L68" s="8"/>
      <c r="M68" s="8"/>
      <c r="N68" s="8"/>
      <c r="O68" s="8"/>
      <c r="P68" s="8"/>
    </row>
    <row r="69" spans="1:16" s="7" customFormat="1" ht="42.75" customHeight="1" thickBot="1">
      <c r="A69" s="126" t="s">
        <v>19</v>
      </c>
      <c r="B69" s="127"/>
      <c r="C69" s="127"/>
      <c r="D69" s="128"/>
      <c r="E69" s="20"/>
      <c r="J69" s="8"/>
      <c r="K69" s="8"/>
      <c r="L69" s="8"/>
      <c r="M69" s="8"/>
      <c r="N69" s="8"/>
      <c r="O69" s="8"/>
      <c r="P69" s="8"/>
    </row>
    <row r="70" spans="1:16" s="7" customFormat="1" ht="42.75" customHeight="1" thickBot="1">
      <c r="A70" s="123" t="s">
        <v>11</v>
      </c>
      <c r="B70" s="124"/>
      <c r="C70" s="125" t="s">
        <v>603</v>
      </c>
      <c r="D70" s="124"/>
      <c r="E70" s="20"/>
      <c r="J70" s="8"/>
      <c r="K70" s="8"/>
      <c r="L70" s="8"/>
      <c r="M70" s="8"/>
      <c r="N70" s="8"/>
      <c r="O70" s="8"/>
      <c r="P70" s="8"/>
    </row>
    <row r="71" spans="1:16" s="7" customFormat="1" ht="42.75" customHeight="1" thickBot="1">
      <c r="A71" s="1" t="s">
        <v>686</v>
      </c>
      <c r="B71" s="26" t="s">
        <v>1</v>
      </c>
      <c r="C71" s="90" t="s">
        <v>397</v>
      </c>
      <c r="D71" s="91"/>
      <c r="E71" s="20"/>
      <c r="J71" s="8"/>
      <c r="K71" s="8"/>
      <c r="L71" s="8"/>
      <c r="M71" s="8"/>
      <c r="N71" s="8"/>
      <c r="O71" s="8"/>
      <c r="P71" s="8"/>
    </row>
    <row r="72" spans="1:16" s="7" customFormat="1" ht="42.75" customHeight="1" thickBot="1">
      <c r="A72" s="26"/>
      <c r="B72" s="26" t="s">
        <v>0</v>
      </c>
      <c r="C72" s="5" t="s">
        <v>687</v>
      </c>
      <c r="D72" s="4" t="s">
        <v>2</v>
      </c>
      <c r="E72" s="20"/>
      <c r="J72" s="8"/>
      <c r="K72" s="8"/>
      <c r="L72" s="8"/>
      <c r="M72" s="8"/>
      <c r="N72" s="8"/>
      <c r="O72" s="8"/>
      <c r="P72" s="8"/>
    </row>
    <row r="73" spans="1:16" s="7" customFormat="1" ht="42.75" customHeight="1" thickBot="1">
      <c r="A73" s="92">
        <v>53520</v>
      </c>
      <c r="B73" s="93"/>
      <c r="C73" s="94" t="s">
        <v>3</v>
      </c>
      <c r="D73" s="95"/>
      <c r="E73" s="20"/>
      <c r="J73" s="8"/>
      <c r="K73" s="8"/>
      <c r="L73" s="8"/>
      <c r="M73" s="8"/>
      <c r="N73" s="8"/>
      <c r="O73" s="8"/>
      <c r="P73" s="8"/>
    </row>
    <row r="74" spans="1:16" s="7" customFormat="1" ht="42.75" customHeight="1" thickBot="1">
      <c r="A74" s="92">
        <v>53720</v>
      </c>
      <c r="B74" s="93"/>
      <c r="C74" s="96" t="s">
        <v>4</v>
      </c>
      <c r="D74" s="97"/>
      <c r="E74" s="20"/>
      <c r="J74" s="8"/>
      <c r="K74" s="8"/>
      <c r="L74" s="8"/>
      <c r="M74" s="8"/>
      <c r="N74" s="8"/>
      <c r="O74" s="8"/>
      <c r="P74" s="8"/>
    </row>
    <row r="75" spans="1:16" s="7" customFormat="1" ht="42.75" customHeight="1" thickBot="1">
      <c r="A75" s="98">
        <f>A74-A73</f>
        <v>200</v>
      </c>
      <c r="B75" s="99"/>
      <c r="C75" s="100" t="s">
        <v>5</v>
      </c>
      <c r="D75" s="97"/>
      <c r="E75" s="20"/>
      <c r="J75" s="8"/>
      <c r="K75" s="8"/>
      <c r="L75" s="8"/>
      <c r="M75" s="8"/>
      <c r="N75" s="8"/>
      <c r="O75" s="8"/>
      <c r="P75" s="8"/>
    </row>
    <row r="76" spans="1:16" s="7" customFormat="1" ht="42.75" customHeight="1" thickBot="1">
      <c r="A76" s="101">
        <v>60</v>
      </c>
      <c r="B76" s="102"/>
      <c r="C76" s="96" t="s">
        <v>6</v>
      </c>
      <c r="D76" s="97"/>
      <c r="E76" s="20"/>
      <c r="J76" s="8"/>
      <c r="K76" s="8"/>
      <c r="L76" s="8"/>
      <c r="M76" s="8"/>
      <c r="N76" s="8"/>
      <c r="O76" s="8"/>
      <c r="P76" s="8"/>
    </row>
    <row r="77" spans="1:16" s="7" customFormat="1" ht="42.75" customHeight="1" thickBot="1">
      <c r="A77" s="103"/>
      <c r="B77" s="104"/>
      <c r="C77" s="96" t="s">
        <v>21</v>
      </c>
      <c r="D77" s="97"/>
      <c r="E77" s="6"/>
      <c r="J77" s="8"/>
      <c r="K77" s="8"/>
      <c r="L77" s="8"/>
      <c r="M77" s="8"/>
      <c r="N77" s="8"/>
      <c r="O77" s="8"/>
      <c r="P77" s="8"/>
    </row>
    <row r="78" spans="1:16" s="7" customFormat="1" ht="42.75" customHeight="1" thickBot="1">
      <c r="A78" s="105">
        <f>A76*A75</f>
        <v>12000</v>
      </c>
      <c r="B78" s="106"/>
      <c r="C78" s="96" t="s">
        <v>7</v>
      </c>
      <c r="D78" s="97"/>
      <c r="E78" s="6"/>
      <c r="J78" s="8"/>
      <c r="K78" s="8"/>
      <c r="L78" s="8"/>
      <c r="M78" s="8"/>
      <c r="N78" s="8"/>
      <c r="O78" s="8"/>
      <c r="P78" s="8"/>
    </row>
    <row r="79" spans="1:16" s="7" customFormat="1" ht="42.75" customHeight="1" thickBot="1">
      <c r="A79" s="107" t="s">
        <v>539</v>
      </c>
      <c r="B79" s="108"/>
      <c r="C79" s="108"/>
      <c r="D79" s="109"/>
      <c r="E79" s="21"/>
      <c r="J79" s="8"/>
      <c r="K79" s="8"/>
      <c r="L79" s="8"/>
      <c r="M79" s="8"/>
      <c r="N79" s="8"/>
      <c r="O79" s="8"/>
      <c r="P79" s="8"/>
    </row>
    <row r="80" spans="1:16" s="7" customFormat="1" ht="42.75" customHeight="1" thickBot="1">
      <c r="A80" s="110" t="s">
        <v>20</v>
      </c>
      <c r="B80" s="111"/>
      <c r="C80" s="111"/>
      <c r="D80" s="112"/>
      <c r="E80" s="21"/>
      <c r="J80" s="8"/>
      <c r="K80" s="8"/>
      <c r="L80" s="8"/>
      <c r="M80" s="8"/>
      <c r="N80" s="8"/>
      <c r="O80" s="8"/>
      <c r="P80" s="8"/>
    </row>
    <row r="81" spans="1:16" s="7" customFormat="1" ht="42.75" customHeight="1" thickBot="1">
      <c r="A81" s="113" t="s">
        <v>18</v>
      </c>
      <c r="B81" s="114"/>
      <c r="C81" s="114"/>
      <c r="D81" s="115"/>
      <c r="E81" s="22"/>
      <c r="J81" s="8"/>
      <c r="K81" s="8"/>
      <c r="L81" s="8"/>
      <c r="M81" s="8"/>
      <c r="N81" s="8"/>
      <c r="O81" s="8"/>
      <c r="P81" s="8"/>
    </row>
    <row r="82" spans="1:16" ht="42.75" customHeight="1" thickBot="1">
      <c r="A82" s="126" t="s">
        <v>19</v>
      </c>
      <c r="B82" s="127"/>
      <c r="C82" s="127"/>
      <c r="D82" s="128"/>
    </row>
    <row r="83" spans="1:16" ht="42.75" customHeight="1" thickBot="1">
      <c r="A83" s="123" t="s">
        <v>11</v>
      </c>
      <c r="B83" s="124"/>
      <c r="C83" s="125" t="s">
        <v>603</v>
      </c>
      <c r="D83" s="124"/>
    </row>
    <row r="84" spans="1:16" ht="42.75" customHeight="1" thickBot="1">
      <c r="A84" s="1" t="s">
        <v>686</v>
      </c>
      <c r="B84" s="26" t="s">
        <v>1</v>
      </c>
      <c r="C84" s="90" t="s">
        <v>398</v>
      </c>
      <c r="D84" s="91"/>
    </row>
    <row r="85" spans="1:16" ht="42.75" customHeight="1" thickBot="1">
      <c r="A85" s="26"/>
      <c r="B85" s="26" t="s">
        <v>0</v>
      </c>
      <c r="C85" s="5" t="s">
        <v>687</v>
      </c>
      <c r="D85" s="4" t="s">
        <v>2</v>
      </c>
    </row>
    <row r="86" spans="1:16" ht="42.75" customHeight="1" thickBot="1">
      <c r="A86" s="92">
        <v>20900</v>
      </c>
      <c r="B86" s="93"/>
      <c r="C86" s="94" t="s">
        <v>3</v>
      </c>
      <c r="D86" s="95"/>
    </row>
    <row r="87" spans="1:16" ht="42.75" customHeight="1" thickBot="1">
      <c r="A87" s="92">
        <v>20900</v>
      </c>
      <c r="B87" s="93"/>
      <c r="C87" s="96" t="s">
        <v>4</v>
      </c>
      <c r="D87" s="97"/>
    </row>
    <row r="88" spans="1:16" ht="42.75" customHeight="1" thickBot="1">
      <c r="A88" s="98">
        <f>A87-A86</f>
        <v>0</v>
      </c>
      <c r="B88" s="99"/>
      <c r="C88" s="100" t="s">
        <v>5</v>
      </c>
      <c r="D88" s="97"/>
    </row>
    <row r="89" spans="1:16" ht="42.75" customHeight="1" thickBot="1">
      <c r="A89" s="101">
        <v>62</v>
      </c>
      <c r="B89" s="102"/>
      <c r="C89" s="96" t="s">
        <v>6</v>
      </c>
      <c r="D89" s="97"/>
    </row>
    <row r="90" spans="1:16" ht="42.75" customHeight="1" thickBot="1">
      <c r="A90" s="103"/>
      <c r="B90" s="104"/>
      <c r="C90" s="96" t="s">
        <v>21</v>
      </c>
      <c r="D90" s="97"/>
    </row>
    <row r="91" spans="1:16" ht="42.75" customHeight="1" thickBot="1">
      <c r="A91" s="105">
        <f>A89*A88</f>
        <v>0</v>
      </c>
      <c r="B91" s="106"/>
      <c r="C91" s="96" t="s">
        <v>7</v>
      </c>
      <c r="D91" s="97"/>
    </row>
    <row r="92" spans="1:16" ht="42.75" customHeight="1" thickBot="1">
      <c r="A92" s="107" t="s">
        <v>539</v>
      </c>
      <c r="B92" s="108"/>
      <c r="C92" s="108"/>
      <c r="D92" s="109"/>
    </row>
    <row r="93" spans="1:16" ht="42.75" customHeight="1" thickBot="1">
      <c r="A93" s="116" t="s">
        <v>20</v>
      </c>
      <c r="B93" s="117"/>
      <c r="C93" s="117"/>
      <c r="D93" s="118"/>
    </row>
    <row r="94" spans="1:16" ht="42.75" customHeight="1" thickBot="1">
      <c r="A94" s="113" t="s">
        <v>18</v>
      </c>
      <c r="B94" s="114"/>
      <c r="C94" s="114"/>
      <c r="D94" s="115"/>
    </row>
    <row r="95" spans="1:16" ht="42.75" customHeight="1" thickBot="1">
      <c r="A95" s="119"/>
      <c r="B95" s="119"/>
      <c r="C95" s="119"/>
      <c r="D95" s="119"/>
    </row>
    <row r="96" spans="1:16" ht="42.75" customHeight="1" thickBot="1">
      <c r="A96" s="126" t="s">
        <v>19</v>
      </c>
      <c r="B96" s="127"/>
      <c r="C96" s="127"/>
      <c r="D96" s="128"/>
    </row>
    <row r="97" spans="1:4" ht="42.75" customHeight="1" thickBot="1">
      <c r="A97" s="123" t="s">
        <v>11</v>
      </c>
      <c r="B97" s="124"/>
      <c r="C97" s="125" t="s">
        <v>603</v>
      </c>
      <c r="D97" s="124"/>
    </row>
    <row r="98" spans="1:4" ht="42.75" customHeight="1" thickBot="1">
      <c r="A98" s="1" t="s">
        <v>686</v>
      </c>
      <c r="B98" s="26" t="s">
        <v>1</v>
      </c>
      <c r="C98" s="90" t="s">
        <v>398</v>
      </c>
      <c r="D98" s="91"/>
    </row>
    <row r="99" spans="1:4" ht="42.75" customHeight="1" thickBot="1">
      <c r="A99" s="26"/>
      <c r="B99" s="26" t="s">
        <v>0</v>
      </c>
      <c r="C99" s="5" t="s">
        <v>687</v>
      </c>
      <c r="D99" s="4" t="s">
        <v>2</v>
      </c>
    </row>
    <row r="100" spans="1:4" ht="42.75" customHeight="1" thickBot="1">
      <c r="A100" s="92">
        <v>20840</v>
      </c>
      <c r="B100" s="93"/>
      <c r="C100" s="94" t="s">
        <v>3</v>
      </c>
      <c r="D100" s="95"/>
    </row>
    <row r="101" spans="1:4" ht="42.75" customHeight="1" thickBot="1">
      <c r="A101" s="92">
        <v>20900</v>
      </c>
      <c r="B101" s="93"/>
      <c r="C101" s="96" t="s">
        <v>4</v>
      </c>
      <c r="D101" s="97"/>
    </row>
    <row r="102" spans="1:4" ht="42.75" customHeight="1" thickBot="1">
      <c r="A102" s="98">
        <f>A101-A100</f>
        <v>60</v>
      </c>
      <c r="B102" s="99"/>
      <c r="C102" s="100" t="s">
        <v>5</v>
      </c>
      <c r="D102" s="97"/>
    </row>
    <row r="103" spans="1:4" ht="42.75" customHeight="1" thickBot="1">
      <c r="A103" s="101">
        <v>62</v>
      </c>
      <c r="B103" s="102"/>
      <c r="C103" s="96" t="s">
        <v>6</v>
      </c>
      <c r="D103" s="97"/>
    </row>
    <row r="104" spans="1:4" ht="42.75" customHeight="1" thickBot="1">
      <c r="A104" s="103"/>
      <c r="B104" s="104"/>
      <c r="C104" s="96" t="s">
        <v>21</v>
      </c>
      <c r="D104" s="97"/>
    </row>
    <row r="105" spans="1:4" ht="42.75" customHeight="1" thickBot="1">
      <c r="A105" s="105">
        <v>3700</v>
      </c>
      <c r="B105" s="106"/>
      <c r="C105" s="96" t="s">
        <v>7</v>
      </c>
      <c r="D105" s="97"/>
    </row>
    <row r="106" spans="1:4" ht="42.75" customHeight="1" thickBot="1">
      <c r="A106" s="107" t="s">
        <v>539</v>
      </c>
      <c r="B106" s="108"/>
      <c r="C106" s="108"/>
      <c r="D106" s="109"/>
    </row>
    <row r="107" spans="1:4" ht="42.75" customHeight="1" thickBot="1">
      <c r="A107" s="110" t="s">
        <v>20</v>
      </c>
      <c r="B107" s="111"/>
      <c r="C107" s="111"/>
      <c r="D107" s="112"/>
    </row>
    <row r="108" spans="1:4" ht="42.75" customHeight="1" thickBot="1">
      <c r="A108" s="113" t="s">
        <v>18</v>
      </c>
      <c r="B108" s="114"/>
      <c r="C108" s="114"/>
      <c r="D108" s="115"/>
    </row>
    <row r="109" spans="1:4" ht="42.75" customHeight="1" thickBot="1">
      <c r="A109" s="126" t="s">
        <v>19</v>
      </c>
      <c r="B109" s="127"/>
      <c r="C109" s="127"/>
      <c r="D109" s="128"/>
    </row>
    <row r="110" spans="1:4" ht="42.75" customHeight="1" thickBot="1">
      <c r="A110" s="123" t="s">
        <v>11</v>
      </c>
      <c r="B110" s="124"/>
      <c r="C110" s="125" t="s">
        <v>603</v>
      </c>
      <c r="D110" s="124"/>
    </row>
    <row r="111" spans="1:4" ht="42.75" customHeight="1" thickBot="1">
      <c r="A111" s="1" t="s">
        <v>686</v>
      </c>
      <c r="B111" s="26" t="s">
        <v>1</v>
      </c>
      <c r="C111" s="90" t="s">
        <v>399</v>
      </c>
      <c r="D111" s="91"/>
    </row>
    <row r="112" spans="1:4" ht="42.75" customHeight="1" thickBot="1">
      <c r="A112" s="26"/>
      <c r="B112" s="26" t="s">
        <v>0</v>
      </c>
      <c r="C112" s="5" t="s">
        <v>687</v>
      </c>
      <c r="D112" s="4" t="s">
        <v>2</v>
      </c>
    </row>
    <row r="113" spans="1:4" ht="42.75" customHeight="1" thickBot="1">
      <c r="A113" s="92">
        <v>7100</v>
      </c>
      <c r="B113" s="93"/>
      <c r="C113" s="94" t="s">
        <v>3</v>
      </c>
      <c r="D113" s="95"/>
    </row>
    <row r="114" spans="1:4" ht="42.75" customHeight="1" thickBot="1">
      <c r="A114" s="92">
        <v>7100</v>
      </c>
      <c r="B114" s="93"/>
      <c r="C114" s="96" t="s">
        <v>4</v>
      </c>
      <c r="D114" s="97"/>
    </row>
    <row r="115" spans="1:4" ht="42.75" customHeight="1" thickBot="1">
      <c r="A115" s="98">
        <f>A114-A113</f>
        <v>0</v>
      </c>
      <c r="B115" s="99"/>
      <c r="C115" s="100" t="s">
        <v>5</v>
      </c>
      <c r="D115" s="97"/>
    </row>
    <row r="116" spans="1:4" ht="42.75" customHeight="1" thickBot="1">
      <c r="A116" s="101">
        <v>60</v>
      </c>
      <c r="B116" s="102"/>
      <c r="C116" s="96" t="s">
        <v>6</v>
      </c>
      <c r="D116" s="97"/>
    </row>
    <row r="117" spans="1:4" ht="42.75" customHeight="1" thickBot="1">
      <c r="A117" s="103"/>
      <c r="B117" s="104"/>
      <c r="C117" s="96" t="s">
        <v>21</v>
      </c>
      <c r="D117" s="97"/>
    </row>
    <row r="118" spans="1:4" ht="42.75" customHeight="1" thickBot="1">
      <c r="A118" s="105">
        <f>A116*A115</f>
        <v>0</v>
      </c>
      <c r="B118" s="106"/>
      <c r="C118" s="96" t="s">
        <v>7</v>
      </c>
      <c r="D118" s="97"/>
    </row>
    <row r="119" spans="1:4" ht="42.75" customHeight="1" thickBot="1">
      <c r="A119" s="107" t="s">
        <v>17</v>
      </c>
      <c r="B119" s="108"/>
      <c r="C119" s="108"/>
      <c r="D119" s="109"/>
    </row>
    <row r="120" spans="1:4" ht="42.75" customHeight="1" thickBot="1">
      <c r="A120" s="116" t="s">
        <v>20</v>
      </c>
      <c r="B120" s="117"/>
      <c r="C120" s="117"/>
      <c r="D120" s="118"/>
    </row>
    <row r="121" spans="1:4" ht="42.75" customHeight="1" thickBot="1">
      <c r="A121" s="113" t="s">
        <v>18</v>
      </c>
      <c r="B121" s="114"/>
      <c r="C121" s="114"/>
      <c r="D121" s="115"/>
    </row>
    <row r="122" spans="1:4" ht="42.75" customHeight="1" thickBot="1">
      <c r="A122" s="119"/>
      <c r="B122" s="119"/>
      <c r="C122" s="119"/>
      <c r="D122" s="119"/>
    </row>
    <row r="123" spans="1:4" ht="42.75" customHeight="1" thickBot="1">
      <c r="A123" s="126" t="s">
        <v>19</v>
      </c>
      <c r="B123" s="127"/>
      <c r="C123" s="127"/>
      <c r="D123" s="128"/>
    </row>
    <row r="124" spans="1:4" ht="42.75" customHeight="1" thickBot="1">
      <c r="A124" s="123" t="s">
        <v>11</v>
      </c>
      <c r="B124" s="124"/>
      <c r="C124" s="125" t="s">
        <v>603</v>
      </c>
      <c r="D124" s="124"/>
    </row>
    <row r="125" spans="1:4" ht="42.75" customHeight="1" thickBot="1">
      <c r="A125" s="1" t="s">
        <v>686</v>
      </c>
      <c r="B125" s="26" t="s">
        <v>1</v>
      </c>
      <c r="C125" s="90" t="s">
        <v>399</v>
      </c>
      <c r="D125" s="91"/>
    </row>
    <row r="126" spans="1:4" ht="42.75" customHeight="1" thickBot="1">
      <c r="A126" s="26"/>
      <c r="B126" s="26" t="s">
        <v>0</v>
      </c>
      <c r="C126" s="5" t="s">
        <v>687</v>
      </c>
      <c r="D126" s="4" t="s">
        <v>2</v>
      </c>
    </row>
    <row r="127" spans="1:4" ht="42.75" customHeight="1" thickBot="1">
      <c r="A127" s="92">
        <v>6870</v>
      </c>
      <c r="B127" s="93"/>
      <c r="C127" s="94" t="s">
        <v>3</v>
      </c>
      <c r="D127" s="95"/>
    </row>
    <row r="128" spans="1:4" ht="42.75" customHeight="1" thickBot="1">
      <c r="A128" s="92">
        <v>7100</v>
      </c>
      <c r="B128" s="93"/>
      <c r="C128" s="96" t="s">
        <v>4</v>
      </c>
      <c r="D128" s="97"/>
    </row>
    <row r="129" spans="1:4" ht="42.75" customHeight="1" thickBot="1">
      <c r="A129" s="98">
        <f>A128-A127</f>
        <v>230</v>
      </c>
      <c r="B129" s="99"/>
      <c r="C129" s="100" t="s">
        <v>5</v>
      </c>
      <c r="D129" s="97"/>
    </row>
    <row r="130" spans="1:4" ht="42.75" customHeight="1" thickBot="1">
      <c r="A130" s="101">
        <v>60</v>
      </c>
      <c r="B130" s="102"/>
      <c r="C130" s="96" t="s">
        <v>6</v>
      </c>
      <c r="D130" s="97"/>
    </row>
    <row r="131" spans="1:4" ht="42.75" customHeight="1" thickBot="1">
      <c r="A131" s="103"/>
      <c r="B131" s="104"/>
      <c r="C131" s="96" t="s">
        <v>21</v>
      </c>
      <c r="D131" s="97"/>
    </row>
    <row r="132" spans="1:4" ht="42.75" customHeight="1" thickBot="1">
      <c r="A132" s="105">
        <f>A130*A129</f>
        <v>13800</v>
      </c>
      <c r="B132" s="106"/>
      <c r="C132" s="96" t="s">
        <v>7</v>
      </c>
      <c r="D132" s="97"/>
    </row>
    <row r="133" spans="1:4" ht="42.75" customHeight="1" thickBot="1">
      <c r="A133" s="107" t="s">
        <v>17</v>
      </c>
      <c r="B133" s="108"/>
      <c r="C133" s="108"/>
      <c r="D133" s="109"/>
    </row>
    <row r="134" spans="1:4" ht="42.75" customHeight="1" thickBot="1">
      <c r="A134" s="110" t="s">
        <v>20</v>
      </c>
      <c r="B134" s="111"/>
      <c r="C134" s="111"/>
      <c r="D134" s="112"/>
    </row>
    <row r="135" spans="1:4" ht="42.75" customHeight="1" thickBot="1">
      <c r="A135" s="113" t="s">
        <v>18</v>
      </c>
      <c r="B135" s="114"/>
      <c r="C135" s="114"/>
      <c r="D135" s="115"/>
    </row>
    <row r="136" spans="1:4" ht="42.75" customHeight="1" thickBot="1">
      <c r="A136" s="126" t="s">
        <v>19</v>
      </c>
      <c r="B136" s="127"/>
      <c r="C136" s="127"/>
      <c r="D136" s="128"/>
    </row>
    <row r="137" spans="1:4" ht="42.75" customHeight="1" thickBot="1">
      <c r="A137" s="123" t="s">
        <v>11</v>
      </c>
      <c r="B137" s="124"/>
      <c r="C137" s="125" t="s">
        <v>603</v>
      </c>
      <c r="D137" s="124"/>
    </row>
    <row r="138" spans="1:4" ht="42.75" customHeight="1" thickBot="1">
      <c r="A138" s="1" t="s">
        <v>686</v>
      </c>
      <c r="B138" s="26" t="s">
        <v>1</v>
      </c>
      <c r="C138" s="90" t="s">
        <v>400</v>
      </c>
      <c r="D138" s="91"/>
    </row>
    <row r="139" spans="1:4" ht="42.75" customHeight="1" thickBot="1">
      <c r="A139" s="26"/>
      <c r="B139" s="26" t="s">
        <v>0</v>
      </c>
      <c r="C139" s="5" t="s">
        <v>687</v>
      </c>
      <c r="D139" s="4" t="s">
        <v>2</v>
      </c>
    </row>
    <row r="140" spans="1:4" ht="42.75" customHeight="1" thickBot="1">
      <c r="A140" s="92">
        <v>740</v>
      </c>
      <c r="B140" s="93"/>
      <c r="C140" s="94" t="s">
        <v>3</v>
      </c>
      <c r="D140" s="95"/>
    </row>
    <row r="141" spans="1:4" ht="42.75" customHeight="1" thickBot="1">
      <c r="A141" s="92">
        <v>740</v>
      </c>
      <c r="B141" s="93"/>
      <c r="C141" s="96" t="s">
        <v>4</v>
      </c>
      <c r="D141" s="97"/>
    </row>
    <row r="142" spans="1:4" ht="42.75" customHeight="1" thickBot="1">
      <c r="A142" s="98">
        <f>A141-A140</f>
        <v>0</v>
      </c>
      <c r="B142" s="99"/>
      <c r="C142" s="100" t="s">
        <v>5</v>
      </c>
      <c r="D142" s="97"/>
    </row>
    <row r="143" spans="1:4" ht="42.75" customHeight="1" thickBot="1">
      <c r="A143" s="101">
        <v>62</v>
      </c>
      <c r="B143" s="102"/>
      <c r="C143" s="96" t="s">
        <v>6</v>
      </c>
      <c r="D143" s="97"/>
    </row>
    <row r="144" spans="1:4" ht="42.75" customHeight="1" thickBot="1">
      <c r="A144" s="103"/>
      <c r="B144" s="104"/>
      <c r="C144" s="96" t="s">
        <v>21</v>
      </c>
      <c r="D144" s="97"/>
    </row>
    <row r="145" spans="1:4" ht="42.75" customHeight="1" thickBot="1">
      <c r="A145" s="105">
        <f>A143*A142</f>
        <v>0</v>
      </c>
      <c r="B145" s="106"/>
      <c r="C145" s="96" t="s">
        <v>7</v>
      </c>
      <c r="D145" s="97"/>
    </row>
    <row r="146" spans="1:4" ht="42.75" customHeight="1" thickBot="1">
      <c r="A146" s="107" t="s">
        <v>17</v>
      </c>
      <c r="B146" s="108"/>
      <c r="C146" s="108"/>
      <c r="D146" s="109"/>
    </row>
    <row r="147" spans="1:4" ht="42.75" customHeight="1" thickBot="1">
      <c r="A147" s="116" t="s">
        <v>20</v>
      </c>
      <c r="B147" s="117"/>
      <c r="C147" s="117"/>
      <c r="D147" s="118"/>
    </row>
    <row r="148" spans="1:4" ht="42.75" customHeight="1" thickBot="1">
      <c r="A148" s="113" t="s">
        <v>18</v>
      </c>
      <c r="B148" s="114"/>
      <c r="C148" s="114"/>
      <c r="D148" s="115"/>
    </row>
    <row r="149" spans="1:4" ht="42.75" customHeight="1" thickBot="1">
      <c r="A149" s="119"/>
      <c r="B149" s="119"/>
      <c r="C149" s="119"/>
      <c r="D149" s="119"/>
    </row>
    <row r="150" spans="1:4" ht="42.75" customHeight="1" thickBot="1">
      <c r="A150" s="126" t="s">
        <v>19</v>
      </c>
      <c r="B150" s="127"/>
      <c r="C150" s="127"/>
      <c r="D150" s="128"/>
    </row>
    <row r="151" spans="1:4" ht="42.75" customHeight="1" thickBot="1">
      <c r="A151" s="123" t="s">
        <v>11</v>
      </c>
      <c r="B151" s="124"/>
      <c r="C151" s="125" t="s">
        <v>603</v>
      </c>
      <c r="D151" s="124"/>
    </row>
    <row r="152" spans="1:4" ht="42.75" customHeight="1" thickBot="1">
      <c r="A152" s="1" t="s">
        <v>686</v>
      </c>
      <c r="B152" s="26" t="s">
        <v>1</v>
      </c>
      <c r="C152" s="90" t="s">
        <v>400</v>
      </c>
      <c r="D152" s="91"/>
    </row>
    <row r="153" spans="1:4" ht="42.75" customHeight="1" thickBot="1">
      <c r="A153" s="26"/>
      <c r="B153" s="26" t="s">
        <v>0</v>
      </c>
      <c r="C153" s="5" t="s">
        <v>687</v>
      </c>
      <c r="D153" s="4" t="s">
        <v>2</v>
      </c>
    </row>
    <row r="154" spans="1:4" ht="42.75" customHeight="1" thickBot="1">
      <c r="A154" s="92">
        <v>705</v>
      </c>
      <c r="B154" s="93"/>
      <c r="C154" s="94" t="s">
        <v>3</v>
      </c>
      <c r="D154" s="95"/>
    </row>
    <row r="155" spans="1:4" ht="42.75" customHeight="1" thickBot="1">
      <c r="A155" s="92">
        <v>740</v>
      </c>
      <c r="B155" s="93"/>
      <c r="C155" s="96" t="s">
        <v>4</v>
      </c>
      <c r="D155" s="97"/>
    </row>
    <row r="156" spans="1:4" ht="42.75" customHeight="1" thickBot="1">
      <c r="A156" s="98">
        <f>A155-A154</f>
        <v>35</v>
      </c>
      <c r="B156" s="99"/>
      <c r="C156" s="100" t="s">
        <v>5</v>
      </c>
      <c r="D156" s="97"/>
    </row>
    <row r="157" spans="1:4" ht="42.75" customHeight="1" thickBot="1">
      <c r="A157" s="101">
        <v>62</v>
      </c>
      <c r="B157" s="102"/>
      <c r="C157" s="96" t="s">
        <v>6</v>
      </c>
      <c r="D157" s="97"/>
    </row>
    <row r="158" spans="1:4" ht="42.75" customHeight="1" thickBot="1">
      <c r="A158" s="103"/>
      <c r="B158" s="104"/>
      <c r="C158" s="96" t="s">
        <v>21</v>
      </c>
      <c r="D158" s="97"/>
    </row>
    <row r="159" spans="1:4" ht="42.75" customHeight="1" thickBot="1">
      <c r="A159" s="105">
        <v>2200</v>
      </c>
      <c r="B159" s="106"/>
      <c r="C159" s="96" t="s">
        <v>7</v>
      </c>
      <c r="D159" s="97"/>
    </row>
    <row r="160" spans="1:4" ht="42.75" customHeight="1" thickBot="1">
      <c r="A160" s="107" t="s">
        <v>17</v>
      </c>
      <c r="B160" s="108"/>
      <c r="C160" s="108"/>
      <c r="D160" s="109"/>
    </row>
    <row r="161" spans="1:4" ht="42.75" customHeight="1" thickBot="1">
      <c r="A161" s="110" t="s">
        <v>20</v>
      </c>
      <c r="B161" s="111"/>
      <c r="C161" s="111"/>
      <c r="D161" s="112"/>
    </row>
    <row r="162" spans="1:4" ht="42.75" customHeight="1" thickBot="1">
      <c r="A162" s="113" t="s">
        <v>18</v>
      </c>
      <c r="B162" s="114"/>
      <c r="C162" s="114"/>
      <c r="D162" s="115"/>
    </row>
    <row r="163" spans="1:4" ht="42.75" customHeight="1" thickBot="1">
      <c r="A163" s="126" t="s">
        <v>19</v>
      </c>
      <c r="B163" s="127"/>
      <c r="C163" s="127"/>
      <c r="D163" s="128"/>
    </row>
    <row r="164" spans="1:4" ht="42.75" customHeight="1" thickBot="1">
      <c r="A164" s="123" t="s">
        <v>11</v>
      </c>
      <c r="B164" s="124"/>
      <c r="C164" s="125" t="s">
        <v>603</v>
      </c>
      <c r="D164" s="124"/>
    </row>
    <row r="165" spans="1:4" ht="42.75" customHeight="1" thickBot="1">
      <c r="A165" s="1" t="s">
        <v>686</v>
      </c>
      <c r="B165" s="26" t="s">
        <v>1</v>
      </c>
      <c r="C165" s="90" t="s">
        <v>401</v>
      </c>
      <c r="D165" s="91"/>
    </row>
    <row r="166" spans="1:4" ht="42.75" customHeight="1" thickBot="1">
      <c r="A166" s="26"/>
      <c r="B166" s="26" t="s">
        <v>0</v>
      </c>
      <c r="C166" s="5" t="s">
        <v>687</v>
      </c>
      <c r="D166" s="4" t="s">
        <v>2</v>
      </c>
    </row>
    <row r="167" spans="1:4" ht="42.75" customHeight="1" thickBot="1">
      <c r="A167" s="92">
        <v>7205</v>
      </c>
      <c r="B167" s="93"/>
      <c r="C167" s="94" t="s">
        <v>3</v>
      </c>
      <c r="D167" s="95"/>
    </row>
    <row r="168" spans="1:4" ht="42.75" customHeight="1" thickBot="1">
      <c r="A168" s="92">
        <v>7205</v>
      </c>
      <c r="B168" s="93"/>
      <c r="C168" s="96" t="s">
        <v>4</v>
      </c>
      <c r="D168" s="97"/>
    </row>
    <row r="169" spans="1:4" ht="42.75" customHeight="1" thickBot="1">
      <c r="A169" s="98">
        <f>A168-A167</f>
        <v>0</v>
      </c>
      <c r="B169" s="99"/>
      <c r="C169" s="100" t="s">
        <v>5</v>
      </c>
      <c r="D169" s="97"/>
    </row>
    <row r="170" spans="1:4" ht="42.75" customHeight="1" thickBot="1">
      <c r="A170" s="101">
        <v>63</v>
      </c>
      <c r="B170" s="102"/>
      <c r="C170" s="96" t="s">
        <v>6</v>
      </c>
      <c r="D170" s="97"/>
    </row>
    <row r="171" spans="1:4" ht="42.75" customHeight="1" thickBot="1">
      <c r="A171" s="103"/>
      <c r="B171" s="104"/>
      <c r="C171" s="96" t="s">
        <v>21</v>
      </c>
      <c r="D171" s="97"/>
    </row>
    <row r="172" spans="1:4" ht="42.75" customHeight="1" thickBot="1">
      <c r="A172" s="105">
        <f>A170*A169</f>
        <v>0</v>
      </c>
      <c r="B172" s="106"/>
      <c r="C172" s="96" t="s">
        <v>7</v>
      </c>
      <c r="D172" s="97"/>
    </row>
    <row r="173" spans="1:4" ht="42.75" customHeight="1" thickBot="1">
      <c r="A173" s="107" t="s">
        <v>539</v>
      </c>
      <c r="B173" s="108"/>
      <c r="C173" s="108"/>
      <c r="D173" s="109"/>
    </row>
    <row r="174" spans="1:4" ht="42.75" customHeight="1" thickBot="1">
      <c r="A174" s="116" t="s">
        <v>20</v>
      </c>
      <c r="B174" s="117"/>
      <c r="C174" s="117"/>
      <c r="D174" s="118"/>
    </row>
    <row r="175" spans="1:4" ht="42.75" customHeight="1" thickBot="1">
      <c r="A175" s="113" t="s">
        <v>18</v>
      </c>
      <c r="B175" s="114"/>
      <c r="C175" s="114"/>
      <c r="D175" s="115"/>
    </row>
    <row r="176" spans="1:4" ht="42.75" customHeight="1" thickBot="1">
      <c r="A176" s="119"/>
      <c r="B176" s="119"/>
      <c r="C176" s="119"/>
      <c r="D176" s="119"/>
    </row>
    <row r="177" spans="1:4" ht="42.75" customHeight="1" thickBot="1">
      <c r="A177" s="126" t="s">
        <v>19</v>
      </c>
      <c r="B177" s="127"/>
      <c r="C177" s="127"/>
      <c r="D177" s="128"/>
    </row>
    <row r="178" spans="1:4" ht="42.75" customHeight="1" thickBot="1">
      <c r="A178" s="123" t="s">
        <v>11</v>
      </c>
      <c r="B178" s="124"/>
      <c r="C178" s="125" t="s">
        <v>603</v>
      </c>
      <c r="D178" s="124"/>
    </row>
    <row r="179" spans="1:4" ht="42.75" customHeight="1" thickBot="1">
      <c r="A179" s="1" t="s">
        <v>686</v>
      </c>
      <c r="B179" s="26" t="s">
        <v>1</v>
      </c>
      <c r="C179" s="90" t="s">
        <v>401</v>
      </c>
      <c r="D179" s="91"/>
    </row>
    <row r="180" spans="1:4" ht="42.75" customHeight="1" thickBot="1">
      <c r="A180" s="26"/>
      <c r="B180" s="26" t="s">
        <v>0</v>
      </c>
      <c r="C180" s="5" t="s">
        <v>687</v>
      </c>
      <c r="D180" s="4" t="s">
        <v>2</v>
      </c>
    </row>
    <row r="181" spans="1:4" ht="42.75" customHeight="1" thickBot="1">
      <c r="A181" s="92">
        <v>7160</v>
      </c>
      <c r="B181" s="93"/>
      <c r="C181" s="94" t="s">
        <v>3</v>
      </c>
      <c r="D181" s="95"/>
    </row>
    <row r="182" spans="1:4" ht="42.75" customHeight="1" thickBot="1">
      <c r="A182" s="92">
        <v>7205</v>
      </c>
      <c r="B182" s="93"/>
      <c r="C182" s="96" t="s">
        <v>4</v>
      </c>
      <c r="D182" s="97"/>
    </row>
    <row r="183" spans="1:4" ht="42.75" customHeight="1" thickBot="1">
      <c r="A183" s="98">
        <f>A182-A181</f>
        <v>45</v>
      </c>
      <c r="B183" s="99"/>
      <c r="C183" s="100" t="s">
        <v>5</v>
      </c>
      <c r="D183" s="97"/>
    </row>
    <row r="184" spans="1:4" ht="42.75" customHeight="1" thickBot="1">
      <c r="A184" s="101">
        <v>63</v>
      </c>
      <c r="B184" s="102"/>
      <c r="C184" s="96" t="s">
        <v>6</v>
      </c>
      <c r="D184" s="97"/>
    </row>
    <row r="185" spans="1:4" ht="42.75" customHeight="1" thickBot="1">
      <c r="A185" s="103"/>
      <c r="B185" s="104"/>
      <c r="C185" s="96" t="s">
        <v>21</v>
      </c>
      <c r="D185" s="97"/>
    </row>
    <row r="186" spans="1:4" ht="42.75" customHeight="1" thickBot="1">
      <c r="A186" s="105">
        <v>2800</v>
      </c>
      <c r="B186" s="106"/>
      <c r="C186" s="96" t="s">
        <v>7</v>
      </c>
      <c r="D186" s="97"/>
    </row>
    <row r="187" spans="1:4" ht="42.75" customHeight="1" thickBot="1">
      <c r="A187" s="107" t="s">
        <v>539</v>
      </c>
      <c r="B187" s="108"/>
      <c r="C187" s="108"/>
      <c r="D187" s="109"/>
    </row>
    <row r="188" spans="1:4" ht="42.75" customHeight="1" thickBot="1">
      <c r="A188" s="110" t="s">
        <v>20</v>
      </c>
      <c r="B188" s="111"/>
      <c r="C188" s="111"/>
      <c r="D188" s="112"/>
    </row>
    <row r="189" spans="1:4" ht="42.75" customHeight="1" thickBot="1">
      <c r="A189" s="113" t="s">
        <v>18</v>
      </c>
      <c r="B189" s="114"/>
      <c r="C189" s="114"/>
      <c r="D189" s="115"/>
    </row>
    <row r="190" spans="1:4" ht="42.75" customHeight="1" thickBot="1">
      <c r="A190" s="132" t="s">
        <v>19</v>
      </c>
      <c r="B190" s="133"/>
      <c r="C190" s="133"/>
      <c r="D190" s="134"/>
    </row>
    <row r="191" spans="1:4" ht="42.75" customHeight="1" thickBot="1">
      <c r="A191" s="123" t="s">
        <v>11</v>
      </c>
      <c r="B191" s="124"/>
      <c r="C191" s="123" t="s">
        <v>603</v>
      </c>
      <c r="D191" s="124"/>
    </row>
    <row r="192" spans="1:4" ht="42.75" customHeight="1" thickBot="1">
      <c r="A192" s="1" t="s">
        <v>686</v>
      </c>
      <c r="B192" s="26" t="s">
        <v>1</v>
      </c>
      <c r="C192" s="90" t="s">
        <v>402</v>
      </c>
      <c r="D192" s="91"/>
    </row>
    <row r="193" spans="1:4" ht="42.75" customHeight="1" thickBot="1">
      <c r="A193" s="26"/>
      <c r="B193" s="26" t="s">
        <v>0</v>
      </c>
      <c r="C193" s="5" t="s">
        <v>687</v>
      </c>
      <c r="D193" s="4" t="s">
        <v>2</v>
      </c>
    </row>
    <row r="194" spans="1:4" ht="42.75" customHeight="1" thickBot="1">
      <c r="A194" s="92">
        <v>14510</v>
      </c>
      <c r="B194" s="93"/>
      <c r="C194" s="94" t="s">
        <v>3</v>
      </c>
      <c r="D194" s="95"/>
    </row>
    <row r="195" spans="1:4" ht="42.75" customHeight="1" thickBot="1">
      <c r="A195" s="92">
        <v>14510</v>
      </c>
      <c r="B195" s="93"/>
      <c r="C195" s="96" t="s">
        <v>4</v>
      </c>
      <c r="D195" s="97"/>
    </row>
    <row r="196" spans="1:4" ht="42.75" customHeight="1" thickBot="1">
      <c r="A196" s="98">
        <f>A195-A194</f>
        <v>0</v>
      </c>
      <c r="B196" s="99"/>
      <c r="C196" s="96" t="s">
        <v>5</v>
      </c>
      <c r="D196" s="97"/>
    </row>
    <row r="197" spans="1:4" ht="42.75" customHeight="1" thickBot="1">
      <c r="A197" s="101">
        <v>40</v>
      </c>
      <c r="B197" s="102"/>
      <c r="C197" s="96" t="s">
        <v>6</v>
      </c>
      <c r="D197" s="97"/>
    </row>
    <row r="198" spans="1:4" ht="42.75" customHeight="1" thickBot="1">
      <c r="A198" s="103"/>
      <c r="B198" s="104"/>
      <c r="C198" s="96" t="s">
        <v>21</v>
      </c>
      <c r="D198" s="97"/>
    </row>
    <row r="199" spans="1:4" ht="42.75" customHeight="1" thickBot="1">
      <c r="A199" s="105">
        <f>A197*A196</f>
        <v>0</v>
      </c>
      <c r="B199" s="106"/>
      <c r="C199" s="96" t="s">
        <v>7</v>
      </c>
      <c r="D199" s="97"/>
    </row>
    <row r="200" spans="1:4" ht="42.75" customHeight="1" thickBot="1">
      <c r="A200" s="107" t="s">
        <v>17</v>
      </c>
      <c r="B200" s="108"/>
      <c r="C200" s="108"/>
      <c r="D200" s="109"/>
    </row>
    <row r="201" spans="1:4" ht="42.75" customHeight="1" thickBot="1">
      <c r="A201" s="116" t="s">
        <v>20</v>
      </c>
      <c r="B201" s="117"/>
      <c r="C201" s="117"/>
      <c r="D201" s="118"/>
    </row>
    <row r="202" spans="1:4" ht="42.75" customHeight="1" thickBot="1">
      <c r="A202" s="113" t="s">
        <v>18</v>
      </c>
      <c r="B202" s="114"/>
      <c r="C202" s="114"/>
      <c r="D202" s="115"/>
    </row>
    <row r="203" spans="1:4" ht="42.75" customHeight="1" thickBot="1">
      <c r="A203" s="119"/>
      <c r="B203" s="119"/>
      <c r="C203" s="119"/>
      <c r="D203" s="119"/>
    </row>
    <row r="204" spans="1:4" ht="42.75" customHeight="1" thickBot="1">
      <c r="A204" s="132" t="s">
        <v>19</v>
      </c>
      <c r="B204" s="133"/>
      <c r="C204" s="133"/>
      <c r="D204" s="134"/>
    </row>
    <row r="205" spans="1:4" ht="42.75" customHeight="1" thickBot="1">
      <c r="A205" s="123" t="s">
        <v>11</v>
      </c>
      <c r="B205" s="124"/>
      <c r="C205" s="123" t="s">
        <v>603</v>
      </c>
      <c r="D205" s="124"/>
    </row>
    <row r="206" spans="1:4" ht="42.75" customHeight="1" thickBot="1">
      <c r="A206" s="1" t="s">
        <v>686</v>
      </c>
      <c r="B206" s="26" t="s">
        <v>1</v>
      </c>
      <c r="C206" s="90" t="s">
        <v>402</v>
      </c>
      <c r="D206" s="91"/>
    </row>
    <row r="207" spans="1:4" ht="42.75" customHeight="1" thickBot="1">
      <c r="A207" s="26"/>
      <c r="B207" s="26" t="s">
        <v>0</v>
      </c>
      <c r="C207" s="5" t="s">
        <v>687</v>
      </c>
      <c r="D207" s="4" t="s">
        <v>2</v>
      </c>
    </row>
    <row r="208" spans="1:4" ht="42.75" customHeight="1" thickBot="1">
      <c r="A208" s="92">
        <v>14415</v>
      </c>
      <c r="B208" s="93"/>
      <c r="C208" s="94" t="s">
        <v>3</v>
      </c>
      <c r="D208" s="95"/>
    </row>
    <row r="209" spans="1:4" ht="42.75" customHeight="1" thickBot="1">
      <c r="A209" s="92">
        <v>14510</v>
      </c>
      <c r="B209" s="93"/>
      <c r="C209" s="96" t="s">
        <v>4</v>
      </c>
      <c r="D209" s="97"/>
    </row>
    <row r="210" spans="1:4" ht="42.75" customHeight="1" thickBot="1">
      <c r="A210" s="98">
        <f>A209-A208</f>
        <v>95</v>
      </c>
      <c r="B210" s="99"/>
      <c r="C210" s="96" t="s">
        <v>5</v>
      </c>
      <c r="D210" s="97"/>
    </row>
    <row r="211" spans="1:4" ht="42.75" customHeight="1" thickBot="1">
      <c r="A211" s="101">
        <v>55</v>
      </c>
      <c r="B211" s="102"/>
      <c r="C211" s="96" t="s">
        <v>6</v>
      </c>
      <c r="D211" s="97"/>
    </row>
    <row r="212" spans="1:4" ht="42.75" customHeight="1" thickBot="1">
      <c r="A212" s="103"/>
      <c r="B212" s="104"/>
      <c r="C212" s="96" t="s">
        <v>21</v>
      </c>
      <c r="D212" s="97"/>
    </row>
    <row r="213" spans="1:4" ht="42.75" customHeight="1" thickBot="1">
      <c r="A213" s="105">
        <f>A211*A210</f>
        <v>5225</v>
      </c>
      <c r="B213" s="106"/>
      <c r="C213" s="96" t="s">
        <v>7</v>
      </c>
      <c r="D213" s="97"/>
    </row>
    <row r="214" spans="1:4" ht="42.75" customHeight="1" thickBot="1">
      <c r="A214" s="107" t="s">
        <v>17</v>
      </c>
      <c r="B214" s="108"/>
      <c r="C214" s="108"/>
      <c r="D214" s="109"/>
    </row>
    <row r="215" spans="1:4" ht="42.75" customHeight="1" thickBot="1">
      <c r="A215" s="110" t="s">
        <v>20</v>
      </c>
      <c r="B215" s="111"/>
      <c r="C215" s="111"/>
      <c r="D215" s="112"/>
    </row>
    <row r="216" spans="1:4" ht="42.75" customHeight="1" thickBot="1">
      <c r="A216" s="113" t="s">
        <v>18</v>
      </c>
      <c r="B216" s="114"/>
      <c r="C216" s="114"/>
      <c r="D216" s="115"/>
    </row>
    <row r="217" spans="1:4" ht="42.75" customHeight="1" thickBot="1">
      <c r="A217" s="126" t="s">
        <v>19</v>
      </c>
      <c r="B217" s="127"/>
      <c r="C217" s="127"/>
      <c r="D217" s="128"/>
    </row>
    <row r="218" spans="1:4" ht="42.75" customHeight="1" thickBot="1">
      <c r="A218" s="123" t="s">
        <v>11</v>
      </c>
      <c r="B218" s="124"/>
      <c r="C218" s="125" t="s">
        <v>603</v>
      </c>
      <c r="D218" s="124"/>
    </row>
    <row r="219" spans="1:4" ht="42.75" customHeight="1" thickBot="1">
      <c r="A219" s="1" t="s">
        <v>686</v>
      </c>
      <c r="B219" s="26" t="s">
        <v>1</v>
      </c>
      <c r="C219" s="90" t="s">
        <v>207</v>
      </c>
      <c r="D219" s="91"/>
    </row>
    <row r="220" spans="1:4" ht="42.75" customHeight="1" thickBot="1">
      <c r="A220" s="26"/>
      <c r="B220" s="26" t="s">
        <v>0</v>
      </c>
      <c r="C220" s="5" t="s">
        <v>687</v>
      </c>
      <c r="D220" s="4" t="s">
        <v>2</v>
      </c>
    </row>
    <row r="221" spans="1:4" ht="42.75" customHeight="1" thickBot="1">
      <c r="A221" s="92">
        <v>1633</v>
      </c>
      <c r="B221" s="93"/>
      <c r="C221" s="94" t="s">
        <v>3</v>
      </c>
      <c r="D221" s="95"/>
    </row>
    <row r="222" spans="1:4" ht="42.75" customHeight="1" thickBot="1">
      <c r="A222" s="92">
        <v>1633</v>
      </c>
      <c r="B222" s="93"/>
      <c r="C222" s="96" t="s">
        <v>4</v>
      </c>
      <c r="D222" s="97"/>
    </row>
    <row r="223" spans="1:4" ht="42.75" customHeight="1" thickBot="1">
      <c r="A223" s="98">
        <f>A222-A221</f>
        <v>0</v>
      </c>
      <c r="B223" s="99"/>
      <c r="C223" s="100" t="s">
        <v>5</v>
      </c>
      <c r="D223" s="97"/>
    </row>
    <row r="224" spans="1:4" ht="42.75" customHeight="1" thickBot="1">
      <c r="A224" s="101">
        <v>63</v>
      </c>
      <c r="B224" s="102"/>
      <c r="C224" s="96" t="s">
        <v>6</v>
      </c>
      <c r="D224" s="97"/>
    </row>
    <row r="225" spans="1:4" ht="42.75" customHeight="1" thickBot="1">
      <c r="A225" s="103"/>
      <c r="B225" s="104"/>
      <c r="C225" s="96" t="s">
        <v>21</v>
      </c>
      <c r="D225" s="97"/>
    </row>
    <row r="226" spans="1:4" ht="42.75" customHeight="1" thickBot="1">
      <c r="A226" s="105">
        <f>A224*A223</f>
        <v>0</v>
      </c>
      <c r="B226" s="106"/>
      <c r="C226" s="96" t="s">
        <v>7</v>
      </c>
      <c r="D226" s="97"/>
    </row>
    <row r="227" spans="1:4" ht="42.75" customHeight="1" thickBot="1">
      <c r="A227" s="107" t="s">
        <v>17</v>
      </c>
      <c r="B227" s="108"/>
      <c r="C227" s="108"/>
      <c r="D227" s="109"/>
    </row>
    <row r="228" spans="1:4" ht="42.75" customHeight="1" thickBot="1">
      <c r="A228" s="116"/>
      <c r="B228" s="117"/>
      <c r="C228" s="117"/>
      <c r="D228" s="118"/>
    </row>
    <row r="229" spans="1:4" ht="42.75" customHeight="1" thickBot="1">
      <c r="A229" s="113" t="s">
        <v>18</v>
      </c>
      <c r="B229" s="114"/>
      <c r="C229" s="114"/>
      <c r="D229" s="115"/>
    </row>
    <row r="230" spans="1:4" ht="42.75" customHeight="1" thickBot="1">
      <c r="A230" s="119"/>
      <c r="B230" s="119"/>
      <c r="C230" s="119"/>
      <c r="D230" s="119"/>
    </row>
    <row r="231" spans="1:4" ht="42.75" customHeight="1" thickBot="1">
      <c r="A231" s="126" t="s">
        <v>19</v>
      </c>
      <c r="B231" s="127"/>
      <c r="C231" s="127"/>
      <c r="D231" s="128"/>
    </row>
    <row r="232" spans="1:4" ht="42.75" customHeight="1" thickBot="1">
      <c r="A232" s="123" t="s">
        <v>11</v>
      </c>
      <c r="B232" s="124"/>
      <c r="C232" s="125" t="s">
        <v>603</v>
      </c>
      <c r="D232" s="124"/>
    </row>
    <row r="233" spans="1:4" ht="42.75" customHeight="1" thickBot="1">
      <c r="A233" s="1" t="s">
        <v>686</v>
      </c>
      <c r="B233" s="26" t="s">
        <v>1</v>
      </c>
      <c r="C233" s="90" t="s">
        <v>207</v>
      </c>
      <c r="D233" s="91"/>
    </row>
    <row r="234" spans="1:4" ht="42.75" customHeight="1" thickBot="1">
      <c r="A234" s="26"/>
      <c r="B234" s="26" t="s">
        <v>0</v>
      </c>
      <c r="C234" s="5" t="s">
        <v>687</v>
      </c>
      <c r="D234" s="4" t="s">
        <v>2</v>
      </c>
    </row>
    <row r="235" spans="1:4" ht="42.75" customHeight="1" thickBot="1">
      <c r="A235" s="92">
        <v>1630</v>
      </c>
      <c r="B235" s="93"/>
      <c r="C235" s="94" t="s">
        <v>3</v>
      </c>
      <c r="D235" s="95"/>
    </row>
    <row r="236" spans="1:4" ht="42.75" customHeight="1" thickBot="1">
      <c r="A236" s="92">
        <v>1633</v>
      </c>
      <c r="B236" s="93"/>
      <c r="C236" s="96" t="s">
        <v>4</v>
      </c>
      <c r="D236" s="97"/>
    </row>
    <row r="237" spans="1:4" ht="42.75" customHeight="1" thickBot="1">
      <c r="A237" s="98">
        <v>10</v>
      </c>
      <c r="B237" s="99"/>
      <c r="C237" s="100" t="s">
        <v>5</v>
      </c>
      <c r="D237" s="97"/>
    </row>
    <row r="238" spans="1:4" ht="42.75" customHeight="1" thickBot="1">
      <c r="A238" s="101">
        <v>63</v>
      </c>
      <c r="B238" s="102"/>
      <c r="C238" s="96" t="s">
        <v>6</v>
      </c>
      <c r="D238" s="97"/>
    </row>
    <row r="239" spans="1:4" ht="42.75" customHeight="1" thickBot="1">
      <c r="A239" s="103"/>
      <c r="B239" s="104"/>
      <c r="C239" s="96" t="s">
        <v>21</v>
      </c>
      <c r="D239" s="97"/>
    </row>
    <row r="240" spans="1:4" ht="42.75" customHeight="1" thickBot="1">
      <c r="A240" s="105">
        <v>600</v>
      </c>
      <c r="B240" s="106"/>
      <c r="C240" s="96" t="s">
        <v>7</v>
      </c>
      <c r="D240" s="97"/>
    </row>
    <row r="241" spans="1:4" ht="42.75" customHeight="1" thickBot="1">
      <c r="A241" s="107" t="s">
        <v>17</v>
      </c>
      <c r="B241" s="108"/>
      <c r="C241" s="108"/>
      <c r="D241" s="109"/>
    </row>
    <row r="242" spans="1:4" ht="42.75" customHeight="1" thickBot="1">
      <c r="A242" s="110" t="s">
        <v>20</v>
      </c>
      <c r="B242" s="111"/>
      <c r="C242" s="111"/>
      <c r="D242" s="112"/>
    </row>
    <row r="243" spans="1:4" ht="42.75" customHeight="1" thickBot="1">
      <c r="A243" s="113" t="s">
        <v>18</v>
      </c>
      <c r="B243" s="114"/>
      <c r="C243" s="114"/>
      <c r="D243" s="115"/>
    </row>
    <row r="244" spans="1:4" ht="42.75" customHeight="1" thickBot="1">
      <c r="A244" s="126" t="s">
        <v>19</v>
      </c>
      <c r="B244" s="127"/>
      <c r="C244" s="127"/>
      <c r="D244" s="128"/>
    </row>
    <row r="245" spans="1:4" ht="42.75" customHeight="1" thickBot="1">
      <c r="A245" s="123" t="s">
        <v>11</v>
      </c>
      <c r="B245" s="124"/>
      <c r="C245" s="125" t="s">
        <v>603</v>
      </c>
      <c r="D245" s="124"/>
    </row>
    <row r="246" spans="1:4" ht="42.75" customHeight="1" thickBot="1">
      <c r="A246" s="1" t="s">
        <v>686</v>
      </c>
      <c r="B246" s="26" t="s">
        <v>1</v>
      </c>
      <c r="C246" s="90" t="s">
        <v>403</v>
      </c>
      <c r="D246" s="91"/>
    </row>
    <row r="247" spans="1:4" ht="42.75" customHeight="1" thickBot="1">
      <c r="A247" s="26"/>
      <c r="B247" s="26" t="s">
        <v>0</v>
      </c>
      <c r="C247" s="5" t="s">
        <v>687</v>
      </c>
      <c r="D247" s="4" t="s">
        <v>2</v>
      </c>
    </row>
    <row r="248" spans="1:4" ht="42.75" customHeight="1" thickBot="1">
      <c r="A248" s="92">
        <v>2910</v>
      </c>
      <c r="B248" s="93"/>
      <c r="C248" s="94" t="s">
        <v>3</v>
      </c>
      <c r="D248" s="95"/>
    </row>
    <row r="249" spans="1:4" ht="42.75" customHeight="1" thickBot="1">
      <c r="A249" s="92">
        <v>2910</v>
      </c>
      <c r="B249" s="93"/>
      <c r="C249" s="96" t="s">
        <v>4</v>
      </c>
      <c r="D249" s="97"/>
    </row>
    <row r="250" spans="1:4" ht="42.75" customHeight="1" thickBot="1">
      <c r="A250" s="98">
        <f>A249-A248</f>
        <v>0</v>
      </c>
      <c r="B250" s="99"/>
      <c r="C250" s="100" t="s">
        <v>5</v>
      </c>
      <c r="D250" s="97"/>
    </row>
    <row r="251" spans="1:4" ht="42.75" customHeight="1" thickBot="1">
      <c r="A251" s="101">
        <v>63</v>
      </c>
      <c r="B251" s="102"/>
      <c r="C251" s="96" t="s">
        <v>6</v>
      </c>
      <c r="D251" s="97"/>
    </row>
    <row r="252" spans="1:4" ht="42.75" customHeight="1" thickBot="1">
      <c r="A252" s="103"/>
      <c r="B252" s="104"/>
      <c r="C252" s="96" t="s">
        <v>21</v>
      </c>
      <c r="D252" s="97"/>
    </row>
    <row r="253" spans="1:4" ht="42.75" customHeight="1" thickBot="1">
      <c r="A253" s="105">
        <f>A251*A250</f>
        <v>0</v>
      </c>
      <c r="B253" s="106"/>
      <c r="C253" s="96" t="s">
        <v>7</v>
      </c>
      <c r="D253" s="97"/>
    </row>
    <row r="254" spans="1:4" ht="42.75" customHeight="1" thickBot="1">
      <c r="A254" s="107" t="s">
        <v>17</v>
      </c>
      <c r="B254" s="108"/>
      <c r="C254" s="108"/>
      <c r="D254" s="109"/>
    </row>
    <row r="255" spans="1:4" ht="42.75" customHeight="1" thickBot="1">
      <c r="A255" s="116" t="s">
        <v>20</v>
      </c>
      <c r="B255" s="117"/>
      <c r="C255" s="117"/>
      <c r="D255" s="118"/>
    </row>
    <row r="256" spans="1:4" ht="42.75" customHeight="1" thickBot="1">
      <c r="A256" s="113" t="s">
        <v>18</v>
      </c>
      <c r="B256" s="114"/>
      <c r="C256" s="114"/>
      <c r="D256" s="115"/>
    </row>
    <row r="257" spans="1:4" ht="42.75" customHeight="1" thickBot="1">
      <c r="A257" s="119"/>
      <c r="B257" s="119"/>
      <c r="C257" s="119"/>
      <c r="D257" s="119"/>
    </row>
    <row r="258" spans="1:4" ht="42.75" customHeight="1" thickBot="1">
      <c r="A258" s="126" t="s">
        <v>19</v>
      </c>
      <c r="B258" s="127"/>
      <c r="C258" s="127"/>
      <c r="D258" s="128"/>
    </row>
    <row r="259" spans="1:4" ht="42.75" customHeight="1" thickBot="1">
      <c r="A259" s="123" t="s">
        <v>11</v>
      </c>
      <c r="B259" s="124"/>
      <c r="C259" s="125" t="s">
        <v>603</v>
      </c>
      <c r="D259" s="124"/>
    </row>
    <row r="260" spans="1:4" ht="42.75" customHeight="1" thickBot="1">
      <c r="A260" s="1" t="s">
        <v>686</v>
      </c>
      <c r="B260" s="26" t="s">
        <v>1</v>
      </c>
      <c r="C260" s="90" t="s">
        <v>403</v>
      </c>
      <c r="D260" s="91"/>
    </row>
    <row r="261" spans="1:4" ht="42.75" customHeight="1" thickBot="1">
      <c r="A261" s="26"/>
      <c r="B261" s="26" t="s">
        <v>0</v>
      </c>
      <c r="C261" s="5" t="s">
        <v>687</v>
      </c>
      <c r="D261" s="4" t="s">
        <v>2</v>
      </c>
    </row>
    <row r="262" spans="1:4" ht="42.75" customHeight="1" thickBot="1">
      <c r="A262" s="92">
        <v>2872</v>
      </c>
      <c r="B262" s="93"/>
      <c r="C262" s="94" t="s">
        <v>3</v>
      </c>
      <c r="D262" s="95"/>
    </row>
    <row r="263" spans="1:4" ht="42.75" customHeight="1" thickBot="1">
      <c r="A263" s="92">
        <v>2910</v>
      </c>
      <c r="B263" s="93"/>
      <c r="C263" s="96" t="s">
        <v>4</v>
      </c>
      <c r="D263" s="97"/>
    </row>
    <row r="264" spans="1:4" ht="42.75" customHeight="1" thickBot="1">
      <c r="A264" s="98">
        <f>A263-A262</f>
        <v>38</v>
      </c>
      <c r="B264" s="99"/>
      <c r="C264" s="100" t="s">
        <v>5</v>
      </c>
      <c r="D264" s="97"/>
    </row>
    <row r="265" spans="1:4" ht="42.75" customHeight="1" thickBot="1">
      <c r="A265" s="101">
        <v>63</v>
      </c>
      <c r="B265" s="102"/>
      <c r="C265" s="96" t="s">
        <v>6</v>
      </c>
      <c r="D265" s="97"/>
    </row>
    <row r="266" spans="1:4" ht="42.75" customHeight="1" thickBot="1">
      <c r="A266" s="103"/>
      <c r="B266" s="104"/>
      <c r="C266" s="96" t="s">
        <v>21</v>
      </c>
      <c r="D266" s="97"/>
    </row>
    <row r="267" spans="1:4" ht="42.75" customHeight="1" thickBot="1">
      <c r="A267" s="105">
        <v>2400</v>
      </c>
      <c r="B267" s="106"/>
      <c r="C267" s="96" t="s">
        <v>7</v>
      </c>
      <c r="D267" s="97"/>
    </row>
    <row r="268" spans="1:4" ht="42.75" customHeight="1" thickBot="1">
      <c r="A268" s="107" t="s">
        <v>17</v>
      </c>
      <c r="B268" s="108"/>
      <c r="C268" s="108"/>
      <c r="D268" s="109"/>
    </row>
    <row r="269" spans="1:4" ht="42.75" customHeight="1" thickBot="1">
      <c r="A269" s="110" t="s">
        <v>20</v>
      </c>
      <c r="B269" s="111"/>
      <c r="C269" s="111"/>
      <c r="D269" s="112"/>
    </row>
    <row r="270" spans="1:4" ht="42.75" customHeight="1" thickBot="1">
      <c r="A270" s="113" t="s">
        <v>18</v>
      </c>
      <c r="B270" s="114"/>
      <c r="C270" s="114"/>
      <c r="D270" s="115"/>
    </row>
    <row r="271" spans="1:4" ht="42.75" customHeight="1" thickBot="1">
      <c r="A271" s="126" t="s">
        <v>19</v>
      </c>
      <c r="B271" s="127"/>
      <c r="C271" s="127"/>
      <c r="D271" s="128"/>
    </row>
    <row r="272" spans="1:4" ht="42.75" customHeight="1" thickBot="1">
      <c r="A272" s="123" t="s">
        <v>11</v>
      </c>
      <c r="B272" s="124"/>
      <c r="C272" s="125" t="s">
        <v>603</v>
      </c>
      <c r="D272" s="124"/>
    </row>
    <row r="273" spans="1:4" ht="42.75" customHeight="1" thickBot="1">
      <c r="A273" s="1" t="s">
        <v>686</v>
      </c>
      <c r="B273" s="26" t="s">
        <v>1</v>
      </c>
      <c r="C273" s="90" t="s">
        <v>240</v>
      </c>
      <c r="D273" s="91"/>
    </row>
    <row r="274" spans="1:4" ht="42.75" customHeight="1" thickBot="1">
      <c r="A274" s="26"/>
      <c r="B274" s="26" t="s">
        <v>0</v>
      </c>
      <c r="C274" s="5" t="s">
        <v>687</v>
      </c>
      <c r="D274" s="4" t="s">
        <v>2</v>
      </c>
    </row>
    <row r="275" spans="1:4" ht="42.75" customHeight="1" thickBot="1">
      <c r="A275" s="92">
        <v>173</v>
      </c>
      <c r="B275" s="93"/>
      <c r="C275" s="94" t="s">
        <v>3</v>
      </c>
      <c r="D275" s="95"/>
    </row>
    <row r="276" spans="1:4" ht="42.75" customHeight="1" thickBot="1">
      <c r="A276" s="92">
        <v>173</v>
      </c>
      <c r="B276" s="93"/>
      <c r="C276" s="96" t="s">
        <v>4</v>
      </c>
      <c r="D276" s="97"/>
    </row>
    <row r="277" spans="1:4" ht="42.75" customHeight="1" thickBot="1">
      <c r="A277" s="98">
        <f>A276-A275</f>
        <v>0</v>
      </c>
      <c r="B277" s="99"/>
      <c r="C277" s="100" t="s">
        <v>5</v>
      </c>
      <c r="D277" s="97"/>
    </row>
    <row r="278" spans="1:4" ht="42.75" customHeight="1" thickBot="1">
      <c r="A278" s="101">
        <v>63</v>
      </c>
      <c r="B278" s="102"/>
      <c r="C278" s="96" t="s">
        <v>6</v>
      </c>
      <c r="D278" s="97"/>
    </row>
    <row r="279" spans="1:4" ht="42.75" customHeight="1" thickBot="1">
      <c r="A279" s="103"/>
      <c r="B279" s="104"/>
      <c r="C279" s="96" t="s">
        <v>21</v>
      </c>
      <c r="D279" s="97"/>
    </row>
    <row r="280" spans="1:4" ht="42.75" customHeight="1" thickBot="1">
      <c r="A280" s="105">
        <f>A278*A277</f>
        <v>0</v>
      </c>
      <c r="B280" s="106"/>
      <c r="C280" s="96" t="s">
        <v>7</v>
      </c>
      <c r="D280" s="97"/>
    </row>
    <row r="281" spans="1:4" ht="42.75" customHeight="1" thickBot="1">
      <c r="A281" s="107" t="s">
        <v>17</v>
      </c>
      <c r="B281" s="108"/>
      <c r="C281" s="108"/>
      <c r="D281" s="109"/>
    </row>
    <row r="282" spans="1:4" ht="42.75" customHeight="1" thickBot="1">
      <c r="A282" s="116" t="s">
        <v>20</v>
      </c>
      <c r="B282" s="117"/>
      <c r="C282" s="117"/>
      <c r="D282" s="118"/>
    </row>
    <row r="283" spans="1:4" ht="42.75" customHeight="1" thickBot="1">
      <c r="A283" s="113" t="s">
        <v>18</v>
      </c>
      <c r="B283" s="114"/>
      <c r="C283" s="114"/>
      <c r="D283" s="115"/>
    </row>
    <row r="284" spans="1:4" ht="42.75" customHeight="1" thickBot="1">
      <c r="A284" s="119"/>
      <c r="B284" s="119"/>
      <c r="C284" s="119"/>
      <c r="D284" s="119"/>
    </row>
    <row r="285" spans="1:4" ht="42.75" customHeight="1" thickBot="1">
      <c r="A285" s="126" t="s">
        <v>19</v>
      </c>
      <c r="B285" s="127"/>
      <c r="C285" s="127"/>
      <c r="D285" s="128"/>
    </row>
    <row r="286" spans="1:4" ht="42.75" customHeight="1" thickBot="1">
      <c r="A286" s="123" t="s">
        <v>11</v>
      </c>
      <c r="B286" s="124"/>
      <c r="C286" s="125" t="s">
        <v>603</v>
      </c>
      <c r="D286" s="124"/>
    </row>
    <row r="287" spans="1:4" ht="42.75" customHeight="1" thickBot="1">
      <c r="A287" s="1" t="s">
        <v>686</v>
      </c>
      <c r="B287" s="26" t="s">
        <v>1</v>
      </c>
      <c r="C287" s="90" t="s">
        <v>240</v>
      </c>
      <c r="D287" s="91"/>
    </row>
    <row r="288" spans="1:4" ht="42.75" customHeight="1" thickBot="1">
      <c r="A288" s="26"/>
      <c r="B288" s="26" t="s">
        <v>0</v>
      </c>
      <c r="C288" s="5" t="s">
        <v>687</v>
      </c>
      <c r="D288" s="4" t="s">
        <v>2</v>
      </c>
    </row>
    <row r="289" spans="1:4" ht="42.75" customHeight="1" thickBot="1">
      <c r="A289" s="92">
        <v>163</v>
      </c>
      <c r="B289" s="93"/>
      <c r="C289" s="94" t="s">
        <v>3</v>
      </c>
      <c r="D289" s="95"/>
    </row>
    <row r="290" spans="1:4" ht="42.75" customHeight="1" thickBot="1">
      <c r="A290" s="92">
        <v>173</v>
      </c>
      <c r="B290" s="93"/>
      <c r="C290" s="96" t="s">
        <v>4</v>
      </c>
      <c r="D290" s="97"/>
    </row>
    <row r="291" spans="1:4" ht="42.75" customHeight="1" thickBot="1">
      <c r="A291" s="98">
        <f>A290-A289</f>
        <v>10</v>
      </c>
      <c r="B291" s="99"/>
      <c r="C291" s="100" t="s">
        <v>5</v>
      </c>
      <c r="D291" s="97"/>
    </row>
    <row r="292" spans="1:4" ht="42.75" customHeight="1" thickBot="1">
      <c r="A292" s="101">
        <v>63</v>
      </c>
      <c r="B292" s="102"/>
      <c r="C292" s="96" t="s">
        <v>6</v>
      </c>
      <c r="D292" s="97"/>
    </row>
    <row r="293" spans="1:4" ht="42.75" customHeight="1" thickBot="1">
      <c r="A293" s="103"/>
      <c r="B293" s="104"/>
      <c r="C293" s="96" t="s">
        <v>21</v>
      </c>
      <c r="D293" s="97"/>
    </row>
    <row r="294" spans="1:4" ht="42.75" customHeight="1" thickBot="1">
      <c r="A294" s="105">
        <v>650</v>
      </c>
      <c r="B294" s="106"/>
      <c r="C294" s="96" t="s">
        <v>7</v>
      </c>
      <c r="D294" s="97"/>
    </row>
    <row r="295" spans="1:4" ht="42.75" customHeight="1" thickBot="1">
      <c r="A295" s="107" t="s">
        <v>17</v>
      </c>
      <c r="B295" s="108"/>
      <c r="C295" s="108"/>
      <c r="D295" s="109"/>
    </row>
    <row r="296" spans="1:4" ht="42.75" customHeight="1" thickBot="1">
      <c r="A296" s="110" t="s">
        <v>20</v>
      </c>
      <c r="B296" s="111"/>
      <c r="C296" s="111"/>
      <c r="D296" s="112"/>
    </row>
    <row r="297" spans="1:4" ht="42.75" customHeight="1" thickBot="1">
      <c r="A297" s="113" t="s">
        <v>18</v>
      </c>
      <c r="B297" s="114"/>
      <c r="C297" s="114"/>
      <c r="D297" s="115"/>
    </row>
    <row r="298" spans="1:4" ht="42.75" customHeight="1" thickBot="1">
      <c r="A298" s="126" t="s">
        <v>19</v>
      </c>
      <c r="B298" s="127"/>
      <c r="C298" s="127"/>
      <c r="D298" s="128"/>
    </row>
    <row r="299" spans="1:4" ht="42.75" customHeight="1" thickBot="1">
      <c r="A299" s="123" t="s">
        <v>11</v>
      </c>
      <c r="B299" s="124"/>
      <c r="C299" s="125" t="s">
        <v>603</v>
      </c>
      <c r="D299" s="124"/>
    </row>
    <row r="300" spans="1:4" ht="42.75" customHeight="1" thickBot="1">
      <c r="A300" s="1" t="s">
        <v>686</v>
      </c>
      <c r="B300" s="26" t="s">
        <v>1</v>
      </c>
      <c r="C300" s="90" t="s">
        <v>404</v>
      </c>
      <c r="D300" s="91"/>
    </row>
    <row r="301" spans="1:4" ht="42.75" customHeight="1" thickBot="1">
      <c r="A301" s="26"/>
      <c r="B301" s="26" t="s">
        <v>0</v>
      </c>
      <c r="C301" s="5" t="s">
        <v>687</v>
      </c>
      <c r="D301" s="4" t="s">
        <v>2</v>
      </c>
    </row>
    <row r="302" spans="1:4" ht="42.75" customHeight="1" thickBot="1">
      <c r="A302" s="92">
        <v>49230</v>
      </c>
      <c r="B302" s="93"/>
      <c r="C302" s="94" t="s">
        <v>3</v>
      </c>
      <c r="D302" s="95"/>
    </row>
    <row r="303" spans="1:4" ht="42.75" customHeight="1" thickBot="1">
      <c r="A303" s="92">
        <v>49230</v>
      </c>
      <c r="B303" s="93"/>
      <c r="C303" s="96" t="s">
        <v>4</v>
      </c>
      <c r="D303" s="97"/>
    </row>
    <row r="304" spans="1:4" ht="42.75" customHeight="1" thickBot="1">
      <c r="A304" s="98">
        <f>A303-A302</f>
        <v>0</v>
      </c>
      <c r="B304" s="99"/>
      <c r="C304" s="100" t="s">
        <v>5</v>
      </c>
      <c r="D304" s="97"/>
    </row>
    <row r="305" spans="1:4" ht="42.75" customHeight="1" thickBot="1">
      <c r="A305" s="101">
        <v>55</v>
      </c>
      <c r="B305" s="102"/>
      <c r="C305" s="96" t="s">
        <v>6</v>
      </c>
      <c r="D305" s="97"/>
    </row>
    <row r="306" spans="1:4" ht="42.75" customHeight="1" thickBot="1">
      <c r="A306" s="103"/>
      <c r="B306" s="104"/>
      <c r="C306" s="96" t="s">
        <v>21</v>
      </c>
      <c r="D306" s="97"/>
    </row>
    <row r="307" spans="1:4" ht="42.75" customHeight="1" thickBot="1">
      <c r="A307" s="105">
        <f>A305*A304</f>
        <v>0</v>
      </c>
      <c r="B307" s="106"/>
      <c r="C307" s="96" t="s">
        <v>7</v>
      </c>
      <c r="D307" s="97"/>
    </row>
    <row r="308" spans="1:4" ht="42.75" customHeight="1" thickBot="1">
      <c r="A308" s="107" t="s">
        <v>539</v>
      </c>
      <c r="B308" s="108"/>
      <c r="C308" s="108"/>
      <c r="D308" s="109"/>
    </row>
    <row r="309" spans="1:4" ht="42.75" customHeight="1" thickBot="1">
      <c r="A309" s="116" t="s">
        <v>20</v>
      </c>
      <c r="B309" s="117"/>
      <c r="C309" s="117"/>
      <c r="D309" s="118"/>
    </row>
    <row r="310" spans="1:4" ht="42.75" customHeight="1" thickBot="1">
      <c r="A310" s="113" t="s">
        <v>18</v>
      </c>
      <c r="B310" s="114"/>
      <c r="C310" s="114"/>
      <c r="D310" s="115"/>
    </row>
    <row r="311" spans="1:4" ht="42.75" customHeight="1" thickBot="1">
      <c r="A311" s="119"/>
      <c r="B311" s="119"/>
      <c r="C311" s="119"/>
      <c r="D311" s="119"/>
    </row>
    <row r="312" spans="1:4" ht="42.75" customHeight="1" thickBot="1">
      <c r="A312" s="126" t="s">
        <v>19</v>
      </c>
      <c r="B312" s="127"/>
      <c r="C312" s="127"/>
      <c r="D312" s="128"/>
    </row>
    <row r="313" spans="1:4" ht="42.75" customHeight="1" thickBot="1">
      <c r="A313" s="123" t="s">
        <v>11</v>
      </c>
      <c r="B313" s="124"/>
      <c r="C313" s="125" t="s">
        <v>603</v>
      </c>
      <c r="D313" s="124"/>
    </row>
    <row r="314" spans="1:4" ht="42.75" customHeight="1" thickBot="1">
      <c r="A314" s="1" t="s">
        <v>686</v>
      </c>
      <c r="B314" s="26" t="s">
        <v>1</v>
      </c>
      <c r="C314" s="90" t="s">
        <v>404</v>
      </c>
      <c r="D314" s="91"/>
    </row>
    <row r="315" spans="1:4" ht="42.75" customHeight="1" thickBot="1">
      <c r="A315" s="26"/>
      <c r="B315" s="26" t="s">
        <v>0</v>
      </c>
      <c r="C315" s="5" t="s">
        <v>687</v>
      </c>
      <c r="D315" s="4" t="s">
        <v>2</v>
      </c>
    </row>
    <row r="316" spans="1:4" ht="42.75" customHeight="1" thickBot="1">
      <c r="A316" s="92">
        <v>48560</v>
      </c>
      <c r="B316" s="93"/>
      <c r="C316" s="94" t="s">
        <v>3</v>
      </c>
      <c r="D316" s="95"/>
    </row>
    <row r="317" spans="1:4" ht="42.75" customHeight="1" thickBot="1">
      <c r="A317" s="92">
        <v>49230</v>
      </c>
      <c r="B317" s="93"/>
      <c r="C317" s="96" t="s">
        <v>4</v>
      </c>
      <c r="D317" s="97"/>
    </row>
    <row r="318" spans="1:4" ht="42.75" customHeight="1" thickBot="1">
      <c r="A318" s="98">
        <f>A317-A316</f>
        <v>670</v>
      </c>
      <c r="B318" s="99"/>
      <c r="C318" s="100" t="s">
        <v>5</v>
      </c>
      <c r="D318" s="97"/>
    </row>
    <row r="319" spans="1:4" ht="42.75" customHeight="1" thickBot="1">
      <c r="A319" s="101">
        <v>62</v>
      </c>
      <c r="B319" s="102"/>
      <c r="C319" s="96" t="s">
        <v>6</v>
      </c>
      <c r="D319" s="97"/>
    </row>
    <row r="320" spans="1:4" ht="42.75" customHeight="1" thickBot="1">
      <c r="A320" s="103"/>
      <c r="B320" s="104"/>
      <c r="C320" s="96" t="s">
        <v>21</v>
      </c>
      <c r="D320" s="97"/>
    </row>
    <row r="321" spans="1:4" ht="42.75" customHeight="1" thickBot="1">
      <c r="A321" s="105">
        <f>A319*A318</f>
        <v>41540</v>
      </c>
      <c r="B321" s="106"/>
      <c r="C321" s="96" t="s">
        <v>7</v>
      </c>
      <c r="D321" s="97"/>
    </row>
    <row r="322" spans="1:4" ht="42.75" customHeight="1" thickBot="1">
      <c r="A322" s="107" t="s">
        <v>539</v>
      </c>
      <c r="B322" s="108"/>
      <c r="C322" s="108"/>
      <c r="D322" s="109"/>
    </row>
    <row r="323" spans="1:4" ht="42.75" customHeight="1" thickBot="1">
      <c r="A323" s="110" t="s">
        <v>20</v>
      </c>
      <c r="B323" s="111"/>
      <c r="C323" s="111"/>
      <c r="D323" s="112"/>
    </row>
    <row r="324" spans="1:4" ht="42.75" customHeight="1" thickBot="1">
      <c r="A324" s="113" t="s">
        <v>18</v>
      </c>
      <c r="B324" s="114"/>
      <c r="C324" s="114"/>
      <c r="D324" s="115"/>
    </row>
    <row r="325" spans="1:4" ht="42.75" customHeight="1" thickBot="1">
      <c r="A325" s="126" t="s">
        <v>19</v>
      </c>
      <c r="B325" s="127"/>
      <c r="C325" s="127"/>
      <c r="D325" s="128"/>
    </row>
    <row r="326" spans="1:4" ht="42.75" customHeight="1" thickBot="1">
      <c r="A326" s="123" t="s">
        <v>11</v>
      </c>
      <c r="B326" s="124"/>
      <c r="C326" s="125" t="s">
        <v>603</v>
      </c>
      <c r="D326" s="124"/>
    </row>
    <row r="327" spans="1:4" ht="42.75" customHeight="1" thickBot="1">
      <c r="A327" s="1" t="s">
        <v>686</v>
      </c>
      <c r="B327" s="26" t="s">
        <v>1</v>
      </c>
      <c r="C327" s="90" t="s">
        <v>405</v>
      </c>
      <c r="D327" s="91"/>
    </row>
    <row r="328" spans="1:4" ht="42.75" customHeight="1" thickBot="1">
      <c r="A328" s="26"/>
      <c r="B328" s="26" t="s">
        <v>0</v>
      </c>
      <c r="C328" s="5" t="s">
        <v>687</v>
      </c>
      <c r="D328" s="4" t="s">
        <v>2</v>
      </c>
    </row>
    <row r="329" spans="1:4" ht="42.75" customHeight="1" thickBot="1">
      <c r="A329" s="92">
        <v>912</v>
      </c>
      <c r="B329" s="93"/>
      <c r="C329" s="94" t="s">
        <v>3</v>
      </c>
      <c r="D329" s="95"/>
    </row>
    <row r="330" spans="1:4" ht="42.75" customHeight="1" thickBot="1">
      <c r="A330" s="92">
        <v>912</v>
      </c>
      <c r="B330" s="93"/>
      <c r="C330" s="96" t="s">
        <v>4</v>
      </c>
      <c r="D330" s="97"/>
    </row>
    <row r="331" spans="1:4" ht="42.75" customHeight="1" thickBot="1">
      <c r="A331" s="98">
        <f>A330-A329</f>
        <v>0</v>
      </c>
      <c r="B331" s="99"/>
      <c r="C331" s="100" t="s">
        <v>5</v>
      </c>
      <c r="D331" s="97"/>
    </row>
    <row r="332" spans="1:4" ht="42.75" customHeight="1" thickBot="1">
      <c r="A332" s="101">
        <v>62</v>
      </c>
      <c r="B332" s="102"/>
      <c r="C332" s="96" t="s">
        <v>6</v>
      </c>
      <c r="D332" s="97"/>
    </row>
    <row r="333" spans="1:4" ht="42.75" customHeight="1" thickBot="1">
      <c r="A333" s="103"/>
      <c r="B333" s="104"/>
      <c r="C333" s="96" t="s">
        <v>21</v>
      </c>
      <c r="D333" s="97"/>
    </row>
    <row r="334" spans="1:4" ht="42.75" customHeight="1" thickBot="1">
      <c r="A334" s="105">
        <f>A332*A331</f>
        <v>0</v>
      </c>
      <c r="B334" s="106"/>
      <c r="C334" s="96" t="s">
        <v>7</v>
      </c>
      <c r="D334" s="97"/>
    </row>
    <row r="335" spans="1:4" ht="42.75" customHeight="1" thickBot="1">
      <c r="A335" s="107" t="s">
        <v>17</v>
      </c>
      <c r="B335" s="108"/>
      <c r="C335" s="108"/>
      <c r="D335" s="109"/>
    </row>
    <row r="336" spans="1:4" ht="42.75" customHeight="1" thickBot="1">
      <c r="A336" s="116" t="s">
        <v>20</v>
      </c>
      <c r="B336" s="117"/>
      <c r="C336" s="117"/>
      <c r="D336" s="118"/>
    </row>
    <row r="337" spans="1:4" ht="42.75" customHeight="1" thickBot="1">
      <c r="A337" s="113" t="s">
        <v>18</v>
      </c>
      <c r="B337" s="114"/>
      <c r="C337" s="114"/>
      <c r="D337" s="115"/>
    </row>
    <row r="338" spans="1:4" ht="42.75" customHeight="1" thickBot="1">
      <c r="A338" s="119"/>
      <c r="B338" s="119"/>
      <c r="C338" s="119"/>
      <c r="D338" s="119"/>
    </row>
    <row r="339" spans="1:4" ht="42.75" customHeight="1" thickBot="1">
      <c r="A339" s="126" t="s">
        <v>19</v>
      </c>
      <c r="B339" s="127"/>
      <c r="C339" s="127"/>
      <c r="D339" s="128"/>
    </row>
    <row r="340" spans="1:4" ht="42.75" customHeight="1" thickBot="1">
      <c r="A340" s="123" t="s">
        <v>11</v>
      </c>
      <c r="B340" s="124"/>
      <c r="C340" s="125" t="s">
        <v>603</v>
      </c>
      <c r="D340" s="124"/>
    </row>
    <row r="341" spans="1:4" ht="42.75" customHeight="1" thickBot="1">
      <c r="A341" s="1" t="s">
        <v>686</v>
      </c>
      <c r="B341" s="26" t="s">
        <v>1</v>
      </c>
      <c r="C341" s="90" t="s">
        <v>405</v>
      </c>
      <c r="D341" s="91"/>
    </row>
    <row r="342" spans="1:4" ht="42.75" customHeight="1" thickBot="1">
      <c r="A342" s="26"/>
      <c r="B342" s="26" t="s">
        <v>0</v>
      </c>
      <c r="C342" s="5" t="s">
        <v>687</v>
      </c>
      <c r="D342" s="4" t="s">
        <v>2</v>
      </c>
    </row>
    <row r="343" spans="1:4" ht="42.75" customHeight="1" thickBot="1">
      <c r="A343" s="92">
        <v>898</v>
      </c>
      <c r="B343" s="93"/>
      <c r="C343" s="94" t="s">
        <v>3</v>
      </c>
      <c r="D343" s="95"/>
    </row>
    <row r="344" spans="1:4" ht="42.75" customHeight="1" thickBot="1">
      <c r="A344" s="92">
        <v>912</v>
      </c>
      <c r="B344" s="93"/>
      <c r="C344" s="96" t="s">
        <v>4</v>
      </c>
      <c r="D344" s="97"/>
    </row>
    <row r="345" spans="1:4" ht="42.75" customHeight="1" thickBot="1">
      <c r="A345" s="98">
        <f>A344-A343</f>
        <v>14</v>
      </c>
      <c r="B345" s="99"/>
      <c r="C345" s="100" t="s">
        <v>5</v>
      </c>
      <c r="D345" s="97"/>
    </row>
    <row r="346" spans="1:4" ht="42.75" customHeight="1" thickBot="1">
      <c r="A346" s="101">
        <v>62</v>
      </c>
      <c r="B346" s="102"/>
      <c r="C346" s="96" t="s">
        <v>6</v>
      </c>
      <c r="D346" s="97"/>
    </row>
    <row r="347" spans="1:4" ht="42.75" customHeight="1" thickBot="1">
      <c r="A347" s="103"/>
      <c r="B347" s="104"/>
      <c r="C347" s="96" t="s">
        <v>21</v>
      </c>
      <c r="D347" s="97"/>
    </row>
    <row r="348" spans="1:4" ht="42.75" customHeight="1" thickBot="1">
      <c r="A348" s="105">
        <v>850</v>
      </c>
      <c r="B348" s="106"/>
      <c r="C348" s="96" t="s">
        <v>7</v>
      </c>
      <c r="D348" s="97"/>
    </row>
    <row r="349" spans="1:4" ht="42.75" customHeight="1" thickBot="1">
      <c r="A349" s="107" t="s">
        <v>17</v>
      </c>
      <c r="B349" s="108"/>
      <c r="C349" s="108"/>
      <c r="D349" s="109"/>
    </row>
    <row r="350" spans="1:4" ht="42.75" customHeight="1" thickBot="1">
      <c r="A350" s="116" t="s">
        <v>20</v>
      </c>
      <c r="B350" s="117"/>
      <c r="C350" s="117"/>
      <c r="D350" s="118"/>
    </row>
    <row r="351" spans="1:4" ht="42.75" customHeight="1" thickBot="1">
      <c r="A351" s="113" t="s">
        <v>18</v>
      </c>
      <c r="B351" s="114"/>
      <c r="C351" s="114"/>
      <c r="D351" s="115"/>
    </row>
    <row r="352" spans="1:4" ht="42.75" customHeight="1" thickBot="1">
      <c r="A352" s="126" t="s">
        <v>19</v>
      </c>
      <c r="B352" s="127"/>
      <c r="C352" s="127"/>
      <c r="D352" s="128"/>
    </row>
    <row r="353" spans="1:4" ht="42.75" customHeight="1" thickBot="1">
      <c r="A353" s="123" t="s">
        <v>11</v>
      </c>
      <c r="B353" s="124"/>
      <c r="C353" s="125" t="s">
        <v>603</v>
      </c>
      <c r="D353" s="124"/>
    </row>
    <row r="354" spans="1:4" ht="42.75" customHeight="1" thickBot="1">
      <c r="A354" s="1" t="s">
        <v>686</v>
      </c>
      <c r="B354" s="26" t="s">
        <v>1</v>
      </c>
      <c r="C354" s="90" t="s">
        <v>406</v>
      </c>
      <c r="D354" s="91"/>
    </row>
    <row r="355" spans="1:4" ht="42.75" customHeight="1" thickBot="1">
      <c r="A355" s="26"/>
      <c r="B355" s="26" t="s">
        <v>0</v>
      </c>
      <c r="C355" s="5" t="s">
        <v>687</v>
      </c>
      <c r="D355" s="4" t="s">
        <v>2</v>
      </c>
    </row>
    <row r="356" spans="1:4" ht="42.75" customHeight="1" thickBot="1">
      <c r="A356" s="92">
        <v>5165</v>
      </c>
      <c r="B356" s="93"/>
      <c r="C356" s="94" t="s">
        <v>3</v>
      </c>
      <c r="D356" s="95"/>
    </row>
    <row r="357" spans="1:4" ht="42.75" customHeight="1" thickBot="1">
      <c r="A357" s="92">
        <v>5165</v>
      </c>
      <c r="B357" s="93"/>
      <c r="C357" s="96" t="s">
        <v>4</v>
      </c>
      <c r="D357" s="97"/>
    </row>
    <row r="358" spans="1:4" ht="42.75" customHeight="1" thickBot="1">
      <c r="A358" s="98">
        <f>A357-A356</f>
        <v>0</v>
      </c>
      <c r="B358" s="99"/>
      <c r="C358" s="100" t="s">
        <v>5</v>
      </c>
      <c r="D358" s="97"/>
    </row>
    <row r="359" spans="1:4" ht="42.75" customHeight="1" thickBot="1">
      <c r="A359" s="101">
        <v>50</v>
      </c>
      <c r="B359" s="102"/>
      <c r="C359" s="96" t="s">
        <v>6</v>
      </c>
      <c r="D359" s="97"/>
    </row>
    <row r="360" spans="1:4" ht="42.75" customHeight="1" thickBot="1">
      <c r="A360" s="103"/>
      <c r="B360" s="104"/>
      <c r="C360" s="96" t="s">
        <v>21</v>
      </c>
      <c r="D360" s="97"/>
    </row>
    <row r="361" spans="1:4" ht="42.75" customHeight="1" thickBot="1">
      <c r="A361" s="105">
        <f>A359*A358</f>
        <v>0</v>
      </c>
      <c r="B361" s="106"/>
      <c r="C361" s="96" t="s">
        <v>7</v>
      </c>
      <c r="D361" s="97"/>
    </row>
    <row r="362" spans="1:4" ht="42.75" customHeight="1" thickBot="1">
      <c r="A362" s="107" t="s">
        <v>17</v>
      </c>
      <c r="B362" s="108"/>
      <c r="C362" s="108"/>
      <c r="D362" s="109"/>
    </row>
    <row r="363" spans="1:4" ht="42.75" customHeight="1" thickBot="1">
      <c r="A363" s="116" t="s">
        <v>20</v>
      </c>
      <c r="B363" s="117"/>
      <c r="C363" s="117"/>
      <c r="D363" s="118"/>
    </row>
    <row r="364" spans="1:4" ht="42.75" customHeight="1" thickBot="1">
      <c r="A364" s="113" t="s">
        <v>18</v>
      </c>
      <c r="B364" s="114"/>
      <c r="C364" s="114"/>
      <c r="D364" s="115"/>
    </row>
    <row r="365" spans="1:4" ht="42.75" customHeight="1" thickBot="1">
      <c r="A365" s="119"/>
      <c r="B365" s="119"/>
      <c r="C365" s="119"/>
      <c r="D365" s="119"/>
    </row>
    <row r="366" spans="1:4" ht="42.75" customHeight="1" thickBot="1">
      <c r="A366" s="126" t="s">
        <v>19</v>
      </c>
      <c r="B366" s="127"/>
      <c r="C366" s="127"/>
      <c r="D366" s="128"/>
    </row>
    <row r="367" spans="1:4" ht="42.75" customHeight="1" thickBot="1">
      <c r="A367" s="123" t="s">
        <v>11</v>
      </c>
      <c r="B367" s="124"/>
      <c r="C367" s="125" t="s">
        <v>603</v>
      </c>
      <c r="D367" s="124"/>
    </row>
    <row r="368" spans="1:4" ht="42.75" customHeight="1" thickBot="1">
      <c r="A368" s="1" t="s">
        <v>686</v>
      </c>
      <c r="B368" s="26" t="s">
        <v>1</v>
      </c>
      <c r="C368" s="90" t="s">
        <v>406</v>
      </c>
      <c r="D368" s="91"/>
    </row>
    <row r="369" spans="1:4" ht="42.75" customHeight="1" thickBot="1">
      <c r="A369" s="26"/>
      <c r="B369" s="26" t="s">
        <v>0</v>
      </c>
      <c r="C369" s="5" t="s">
        <v>687</v>
      </c>
      <c r="D369" s="4" t="s">
        <v>2</v>
      </c>
    </row>
    <row r="370" spans="1:4" ht="42.75" customHeight="1" thickBot="1">
      <c r="A370" s="92">
        <v>5060</v>
      </c>
      <c r="B370" s="93"/>
      <c r="C370" s="94" t="s">
        <v>3</v>
      </c>
      <c r="D370" s="95"/>
    </row>
    <row r="371" spans="1:4" ht="42.75" customHeight="1" thickBot="1">
      <c r="A371" s="92">
        <v>5165</v>
      </c>
      <c r="B371" s="93"/>
      <c r="C371" s="96" t="s">
        <v>4</v>
      </c>
      <c r="D371" s="97"/>
    </row>
    <row r="372" spans="1:4" ht="42.75" customHeight="1" thickBot="1">
      <c r="A372" s="98">
        <f>A371-A370</f>
        <v>105</v>
      </c>
      <c r="B372" s="99"/>
      <c r="C372" s="100" t="s">
        <v>5</v>
      </c>
      <c r="D372" s="97"/>
    </row>
    <row r="373" spans="1:4" ht="42.75" customHeight="1" thickBot="1">
      <c r="A373" s="101">
        <v>62</v>
      </c>
      <c r="B373" s="102"/>
      <c r="C373" s="96" t="s">
        <v>6</v>
      </c>
      <c r="D373" s="97"/>
    </row>
    <row r="374" spans="1:4" ht="42.75" customHeight="1" thickBot="1">
      <c r="A374" s="103"/>
      <c r="B374" s="104"/>
      <c r="C374" s="96" t="s">
        <v>21</v>
      </c>
      <c r="D374" s="97"/>
    </row>
    <row r="375" spans="1:4" ht="42.75" customHeight="1" thickBot="1">
      <c r="A375" s="105">
        <f>A373*A372</f>
        <v>6510</v>
      </c>
      <c r="B375" s="106"/>
      <c r="C375" s="96" t="s">
        <v>7</v>
      </c>
      <c r="D375" s="97"/>
    </row>
    <row r="376" spans="1:4" ht="42.75" customHeight="1" thickBot="1">
      <c r="A376" s="107" t="s">
        <v>17</v>
      </c>
      <c r="B376" s="108"/>
      <c r="C376" s="108"/>
      <c r="D376" s="109"/>
    </row>
    <row r="377" spans="1:4" ht="42.75" customHeight="1" thickBot="1">
      <c r="A377" s="110" t="s">
        <v>20</v>
      </c>
      <c r="B377" s="111"/>
      <c r="C377" s="111"/>
      <c r="D377" s="112"/>
    </row>
    <row r="378" spans="1:4" ht="42.75" customHeight="1" thickBot="1">
      <c r="A378" s="113" t="s">
        <v>18</v>
      </c>
      <c r="B378" s="114"/>
      <c r="C378" s="114"/>
      <c r="D378" s="115"/>
    </row>
    <row r="379" spans="1:4" ht="42.75" customHeight="1" thickBot="1">
      <c r="A379" s="126" t="s">
        <v>19</v>
      </c>
      <c r="B379" s="127"/>
      <c r="C379" s="127"/>
      <c r="D379" s="128"/>
    </row>
    <row r="380" spans="1:4" ht="42.75" customHeight="1" thickBot="1">
      <c r="A380" s="123" t="s">
        <v>11</v>
      </c>
      <c r="B380" s="124"/>
      <c r="C380" s="125" t="s">
        <v>603</v>
      </c>
      <c r="D380" s="124"/>
    </row>
    <row r="381" spans="1:4" ht="42.75" customHeight="1" thickBot="1">
      <c r="A381" s="1" t="s">
        <v>686</v>
      </c>
      <c r="B381" s="26" t="s">
        <v>1</v>
      </c>
      <c r="C381" s="90" t="s">
        <v>348</v>
      </c>
      <c r="D381" s="91"/>
    </row>
    <row r="382" spans="1:4" ht="42.75" customHeight="1" thickBot="1">
      <c r="A382" s="26"/>
      <c r="B382" s="26" t="s">
        <v>0</v>
      </c>
      <c r="C382" s="5" t="s">
        <v>687</v>
      </c>
      <c r="D382" s="4" t="s">
        <v>2</v>
      </c>
    </row>
    <row r="383" spans="1:4" ht="42.75" customHeight="1" thickBot="1">
      <c r="A383" s="92">
        <v>1031</v>
      </c>
      <c r="B383" s="93"/>
      <c r="C383" s="94" t="s">
        <v>3</v>
      </c>
      <c r="D383" s="95"/>
    </row>
    <row r="384" spans="1:4" ht="42.75" customHeight="1" thickBot="1">
      <c r="A384" s="92">
        <v>1031</v>
      </c>
      <c r="B384" s="93"/>
      <c r="C384" s="96" t="s">
        <v>4</v>
      </c>
      <c r="D384" s="97"/>
    </row>
    <row r="385" spans="1:4" ht="42.75" customHeight="1" thickBot="1">
      <c r="A385" s="98">
        <f>A384-A383</f>
        <v>0</v>
      </c>
      <c r="B385" s="99"/>
      <c r="C385" s="100" t="s">
        <v>5</v>
      </c>
      <c r="D385" s="97"/>
    </row>
    <row r="386" spans="1:4" ht="42.75" customHeight="1" thickBot="1">
      <c r="A386" s="101">
        <v>62</v>
      </c>
      <c r="B386" s="102"/>
      <c r="C386" s="96" t="s">
        <v>6</v>
      </c>
      <c r="D386" s="97"/>
    </row>
    <row r="387" spans="1:4" ht="42.75" customHeight="1" thickBot="1">
      <c r="A387" s="103"/>
      <c r="B387" s="104"/>
      <c r="C387" s="96" t="s">
        <v>21</v>
      </c>
      <c r="D387" s="97"/>
    </row>
    <row r="388" spans="1:4" ht="42.75" customHeight="1" thickBot="1">
      <c r="A388" s="105">
        <f>A386*A385</f>
        <v>0</v>
      </c>
      <c r="B388" s="106"/>
      <c r="C388" s="96" t="s">
        <v>7</v>
      </c>
      <c r="D388" s="97"/>
    </row>
    <row r="389" spans="1:4" ht="42.75" customHeight="1" thickBot="1">
      <c r="A389" s="107" t="s">
        <v>17</v>
      </c>
      <c r="B389" s="108"/>
      <c r="C389" s="108"/>
      <c r="D389" s="109"/>
    </row>
    <row r="390" spans="1:4" ht="42.75" customHeight="1" thickBot="1">
      <c r="A390" s="116" t="s">
        <v>20</v>
      </c>
      <c r="B390" s="117"/>
      <c r="C390" s="117"/>
      <c r="D390" s="118"/>
    </row>
    <row r="391" spans="1:4" ht="42.75" customHeight="1" thickBot="1">
      <c r="A391" s="113" t="s">
        <v>18</v>
      </c>
      <c r="B391" s="114"/>
      <c r="C391" s="114"/>
      <c r="D391" s="115"/>
    </row>
    <row r="392" spans="1:4" ht="42.75" customHeight="1" thickBot="1">
      <c r="A392" s="119"/>
      <c r="B392" s="119"/>
      <c r="C392" s="119"/>
      <c r="D392" s="119"/>
    </row>
    <row r="393" spans="1:4" ht="42.75" customHeight="1" thickBot="1">
      <c r="A393" s="126" t="s">
        <v>19</v>
      </c>
      <c r="B393" s="127"/>
      <c r="C393" s="127"/>
      <c r="D393" s="128"/>
    </row>
    <row r="394" spans="1:4" ht="42.75" customHeight="1" thickBot="1">
      <c r="A394" s="123" t="s">
        <v>11</v>
      </c>
      <c r="B394" s="124"/>
      <c r="C394" s="125" t="s">
        <v>603</v>
      </c>
      <c r="D394" s="124"/>
    </row>
    <row r="395" spans="1:4" ht="42.75" customHeight="1" thickBot="1">
      <c r="A395" s="1" t="s">
        <v>686</v>
      </c>
      <c r="B395" s="26" t="s">
        <v>1</v>
      </c>
      <c r="C395" s="90" t="s">
        <v>348</v>
      </c>
      <c r="D395" s="91"/>
    </row>
    <row r="396" spans="1:4" ht="42.75" customHeight="1" thickBot="1">
      <c r="A396" s="26"/>
      <c r="B396" s="26" t="s">
        <v>0</v>
      </c>
      <c r="C396" s="5" t="s">
        <v>687</v>
      </c>
      <c r="D396" s="4" t="s">
        <v>2</v>
      </c>
    </row>
    <row r="397" spans="1:4" ht="42.75" customHeight="1" thickBot="1">
      <c r="A397" s="92">
        <v>1025</v>
      </c>
      <c r="B397" s="93"/>
      <c r="C397" s="94" t="s">
        <v>3</v>
      </c>
      <c r="D397" s="95"/>
    </row>
    <row r="398" spans="1:4" ht="42.75" customHeight="1" thickBot="1">
      <c r="A398" s="92">
        <v>1031</v>
      </c>
      <c r="B398" s="93"/>
      <c r="C398" s="96" t="s">
        <v>4</v>
      </c>
      <c r="D398" s="97"/>
    </row>
    <row r="399" spans="1:4" ht="42.75" customHeight="1" thickBot="1">
      <c r="A399" s="98">
        <v>10</v>
      </c>
      <c r="B399" s="99"/>
      <c r="C399" s="100" t="s">
        <v>5</v>
      </c>
      <c r="D399" s="97"/>
    </row>
    <row r="400" spans="1:4" ht="42.75" customHeight="1" thickBot="1">
      <c r="A400" s="101">
        <v>62</v>
      </c>
      <c r="B400" s="102"/>
      <c r="C400" s="96" t="s">
        <v>6</v>
      </c>
      <c r="D400" s="97"/>
    </row>
    <row r="401" spans="1:4" ht="42.75" customHeight="1" thickBot="1">
      <c r="A401" s="103"/>
      <c r="B401" s="104"/>
      <c r="C401" s="96" t="s">
        <v>21</v>
      </c>
      <c r="D401" s="97"/>
    </row>
    <row r="402" spans="1:4" ht="42.75" customHeight="1" thickBot="1">
      <c r="A402" s="105">
        <v>600</v>
      </c>
      <c r="B402" s="106"/>
      <c r="C402" s="96" t="s">
        <v>7</v>
      </c>
      <c r="D402" s="97"/>
    </row>
    <row r="403" spans="1:4" ht="42.75" customHeight="1" thickBot="1">
      <c r="A403" s="107" t="s">
        <v>17</v>
      </c>
      <c r="B403" s="108"/>
      <c r="C403" s="108"/>
      <c r="D403" s="109"/>
    </row>
    <row r="404" spans="1:4" ht="42.75" customHeight="1" thickBot="1">
      <c r="A404" s="110" t="s">
        <v>20</v>
      </c>
      <c r="B404" s="111"/>
      <c r="C404" s="111"/>
      <c r="D404" s="112"/>
    </row>
    <row r="405" spans="1:4" ht="42.75" customHeight="1" thickBot="1">
      <c r="A405" s="113" t="s">
        <v>18</v>
      </c>
      <c r="B405" s="114"/>
      <c r="C405" s="114"/>
      <c r="D405" s="115"/>
    </row>
    <row r="406" spans="1:4" ht="42.75" customHeight="1" thickBot="1">
      <c r="A406" s="126" t="s">
        <v>19</v>
      </c>
      <c r="B406" s="127"/>
      <c r="C406" s="127"/>
      <c r="D406" s="128"/>
    </row>
    <row r="407" spans="1:4" ht="42.75" customHeight="1" thickBot="1">
      <c r="A407" s="123" t="s">
        <v>11</v>
      </c>
      <c r="B407" s="124"/>
      <c r="C407" s="125" t="s">
        <v>603</v>
      </c>
      <c r="D407" s="124"/>
    </row>
    <row r="408" spans="1:4" ht="42.75" customHeight="1" thickBot="1">
      <c r="A408" s="1" t="s">
        <v>686</v>
      </c>
      <c r="B408" s="26" t="s">
        <v>1</v>
      </c>
      <c r="C408" s="90" t="s">
        <v>408</v>
      </c>
      <c r="D408" s="91"/>
    </row>
    <row r="409" spans="1:4" ht="42.75" customHeight="1" thickBot="1">
      <c r="A409" s="26"/>
      <c r="B409" s="26" t="s">
        <v>0</v>
      </c>
      <c r="C409" s="5" t="s">
        <v>687</v>
      </c>
      <c r="D409" s="4" t="s">
        <v>2</v>
      </c>
    </row>
    <row r="410" spans="1:4" ht="42.75" customHeight="1" thickBot="1">
      <c r="A410" s="92">
        <v>930</v>
      </c>
      <c r="B410" s="93"/>
      <c r="C410" s="94" t="s">
        <v>3</v>
      </c>
      <c r="D410" s="95"/>
    </row>
    <row r="411" spans="1:4" ht="42.75" customHeight="1" thickBot="1">
      <c r="A411" s="92">
        <v>930</v>
      </c>
      <c r="B411" s="93"/>
      <c r="C411" s="96" t="s">
        <v>4</v>
      </c>
      <c r="D411" s="97"/>
    </row>
    <row r="412" spans="1:4" ht="42.75" customHeight="1" thickBot="1">
      <c r="A412" s="98">
        <f>A411-A410</f>
        <v>0</v>
      </c>
      <c r="B412" s="99"/>
      <c r="C412" s="100" t="s">
        <v>5</v>
      </c>
      <c r="D412" s="97"/>
    </row>
    <row r="413" spans="1:4" ht="42.75" customHeight="1" thickBot="1">
      <c r="A413" s="101">
        <v>62</v>
      </c>
      <c r="B413" s="102"/>
      <c r="C413" s="96" t="s">
        <v>6</v>
      </c>
      <c r="D413" s="97"/>
    </row>
    <row r="414" spans="1:4" ht="42.75" customHeight="1" thickBot="1">
      <c r="A414" s="103"/>
      <c r="B414" s="104"/>
      <c r="C414" s="96" t="s">
        <v>21</v>
      </c>
      <c r="D414" s="97"/>
    </row>
    <row r="415" spans="1:4" ht="42.75" customHeight="1" thickBot="1">
      <c r="A415" s="105">
        <f>A413*A412</f>
        <v>0</v>
      </c>
      <c r="B415" s="106"/>
      <c r="C415" s="96" t="s">
        <v>7</v>
      </c>
      <c r="D415" s="97"/>
    </row>
    <row r="416" spans="1:4" ht="42.75" customHeight="1" thickBot="1">
      <c r="A416" s="107" t="s">
        <v>17</v>
      </c>
      <c r="B416" s="108"/>
      <c r="C416" s="108"/>
      <c r="D416" s="109"/>
    </row>
    <row r="417" spans="1:4" ht="42.75" customHeight="1" thickBot="1">
      <c r="A417" s="116" t="s">
        <v>20</v>
      </c>
      <c r="B417" s="117"/>
      <c r="C417" s="117"/>
      <c r="D417" s="118"/>
    </row>
    <row r="418" spans="1:4" ht="42.75" customHeight="1" thickBot="1">
      <c r="A418" s="113" t="s">
        <v>18</v>
      </c>
      <c r="B418" s="114"/>
      <c r="C418" s="114"/>
      <c r="D418" s="115"/>
    </row>
    <row r="419" spans="1:4" ht="42.75" customHeight="1" thickBot="1">
      <c r="A419" s="119"/>
      <c r="B419" s="119"/>
      <c r="C419" s="119"/>
      <c r="D419" s="119"/>
    </row>
    <row r="420" spans="1:4" ht="42.75" customHeight="1" thickBot="1">
      <c r="A420" s="126" t="s">
        <v>19</v>
      </c>
      <c r="B420" s="127"/>
      <c r="C420" s="127"/>
      <c r="D420" s="128"/>
    </row>
    <row r="421" spans="1:4" ht="42.75" customHeight="1" thickBot="1">
      <c r="A421" s="123" t="s">
        <v>11</v>
      </c>
      <c r="B421" s="124"/>
      <c r="C421" s="125" t="s">
        <v>603</v>
      </c>
      <c r="D421" s="124"/>
    </row>
    <row r="422" spans="1:4" ht="42.75" customHeight="1" thickBot="1">
      <c r="A422" s="1" t="s">
        <v>686</v>
      </c>
      <c r="B422" s="26" t="s">
        <v>1</v>
      </c>
      <c r="C422" s="90" t="s">
        <v>408</v>
      </c>
      <c r="D422" s="91"/>
    </row>
    <row r="423" spans="1:4" ht="42.75" customHeight="1" thickBot="1">
      <c r="A423" s="26"/>
      <c r="B423" s="26" t="s">
        <v>0</v>
      </c>
      <c r="C423" s="5" t="s">
        <v>687</v>
      </c>
      <c r="D423" s="4" t="s">
        <v>2</v>
      </c>
    </row>
    <row r="424" spans="1:4" ht="42.75" customHeight="1" thickBot="1">
      <c r="A424" s="92">
        <v>910</v>
      </c>
      <c r="B424" s="93"/>
      <c r="C424" s="94" t="s">
        <v>3</v>
      </c>
      <c r="D424" s="95"/>
    </row>
    <row r="425" spans="1:4" ht="42.75" customHeight="1" thickBot="1">
      <c r="A425" s="92">
        <v>930</v>
      </c>
      <c r="B425" s="93"/>
      <c r="C425" s="96" t="s">
        <v>4</v>
      </c>
      <c r="D425" s="97"/>
    </row>
    <row r="426" spans="1:4" ht="42.75" customHeight="1" thickBot="1">
      <c r="A426" s="98">
        <f>A425-A424</f>
        <v>20</v>
      </c>
      <c r="B426" s="99"/>
      <c r="C426" s="100" t="s">
        <v>5</v>
      </c>
      <c r="D426" s="97"/>
    </row>
    <row r="427" spans="1:4" ht="42.75" customHeight="1" thickBot="1">
      <c r="A427" s="101">
        <v>62</v>
      </c>
      <c r="B427" s="102"/>
      <c r="C427" s="96" t="s">
        <v>6</v>
      </c>
      <c r="D427" s="97"/>
    </row>
    <row r="428" spans="1:4" ht="42.75" customHeight="1" thickBot="1">
      <c r="A428" s="103"/>
      <c r="B428" s="104"/>
      <c r="C428" s="96" t="s">
        <v>21</v>
      </c>
      <c r="D428" s="97"/>
    </row>
    <row r="429" spans="1:4" ht="42.75" customHeight="1" thickBot="1">
      <c r="A429" s="105">
        <v>1250</v>
      </c>
      <c r="B429" s="106"/>
      <c r="C429" s="96" t="s">
        <v>7</v>
      </c>
      <c r="D429" s="97"/>
    </row>
    <row r="430" spans="1:4" ht="42.75" customHeight="1" thickBot="1">
      <c r="A430" s="107" t="s">
        <v>17</v>
      </c>
      <c r="B430" s="108"/>
      <c r="C430" s="108"/>
      <c r="D430" s="109"/>
    </row>
    <row r="431" spans="1:4" ht="42.75" customHeight="1" thickBot="1">
      <c r="A431" s="110" t="s">
        <v>20</v>
      </c>
      <c r="B431" s="111"/>
      <c r="C431" s="111"/>
      <c r="D431" s="112"/>
    </row>
    <row r="432" spans="1:4" ht="42.75" customHeight="1" thickBot="1">
      <c r="A432" s="113" t="s">
        <v>18</v>
      </c>
      <c r="B432" s="114"/>
      <c r="C432" s="114"/>
      <c r="D432" s="115"/>
    </row>
    <row r="433" spans="1:4" ht="42.75" customHeight="1" thickBot="1">
      <c r="A433" s="126" t="s">
        <v>19</v>
      </c>
      <c r="B433" s="127"/>
      <c r="C433" s="127"/>
      <c r="D433" s="128"/>
    </row>
    <row r="434" spans="1:4" ht="42.75" customHeight="1" thickBot="1">
      <c r="A434" s="123" t="s">
        <v>11</v>
      </c>
      <c r="B434" s="124"/>
      <c r="C434" s="125" t="s">
        <v>603</v>
      </c>
      <c r="D434" s="124"/>
    </row>
    <row r="435" spans="1:4" ht="42.75" customHeight="1" thickBot="1">
      <c r="A435" s="1" t="s">
        <v>686</v>
      </c>
      <c r="B435" s="26" t="s">
        <v>1</v>
      </c>
      <c r="C435" s="90" t="s">
        <v>409</v>
      </c>
      <c r="D435" s="91"/>
    </row>
    <row r="436" spans="1:4" ht="42.75" customHeight="1" thickBot="1">
      <c r="A436" s="26"/>
      <c r="B436" s="26" t="s">
        <v>0</v>
      </c>
      <c r="C436" s="5" t="s">
        <v>687</v>
      </c>
      <c r="D436" s="4" t="s">
        <v>2</v>
      </c>
    </row>
    <row r="437" spans="1:4" ht="42.75" customHeight="1" thickBot="1">
      <c r="A437" s="92">
        <v>213</v>
      </c>
      <c r="B437" s="93"/>
      <c r="C437" s="94" t="s">
        <v>3</v>
      </c>
      <c r="D437" s="95"/>
    </row>
    <row r="438" spans="1:4" ht="42.75" customHeight="1" thickBot="1">
      <c r="A438" s="92">
        <v>213</v>
      </c>
      <c r="B438" s="93"/>
      <c r="C438" s="96" t="s">
        <v>4</v>
      </c>
      <c r="D438" s="97"/>
    </row>
    <row r="439" spans="1:4" ht="42.75" customHeight="1" thickBot="1">
      <c r="A439" s="98">
        <f>A438-A437</f>
        <v>0</v>
      </c>
      <c r="B439" s="99"/>
      <c r="C439" s="100" t="s">
        <v>5</v>
      </c>
      <c r="D439" s="97"/>
    </row>
    <row r="440" spans="1:4" ht="42.75" customHeight="1" thickBot="1">
      <c r="A440" s="101">
        <v>62</v>
      </c>
      <c r="B440" s="102"/>
      <c r="C440" s="96" t="s">
        <v>6</v>
      </c>
      <c r="D440" s="97"/>
    </row>
    <row r="441" spans="1:4" ht="42.75" customHeight="1" thickBot="1">
      <c r="A441" s="103"/>
      <c r="B441" s="104"/>
      <c r="C441" s="96" t="s">
        <v>21</v>
      </c>
      <c r="D441" s="97"/>
    </row>
    <row r="442" spans="1:4" ht="42.75" customHeight="1" thickBot="1">
      <c r="A442" s="105">
        <f>A440*A439</f>
        <v>0</v>
      </c>
      <c r="B442" s="106"/>
      <c r="C442" s="96" t="s">
        <v>7</v>
      </c>
      <c r="D442" s="97"/>
    </row>
    <row r="443" spans="1:4" ht="42.75" customHeight="1" thickBot="1">
      <c r="A443" s="107" t="s">
        <v>17</v>
      </c>
      <c r="B443" s="108"/>
      <c r="C443" s="108"/>
      <c r="D443" s="109"/>
    </row>
    <row r="444" spans="1:4" ht="42.75" customHeight="1" thickBot="1">
      <c r="A444" s="116" t="s">
        <v>20</v>
      </c>
      <c r="B444" s="117"/>
      <c r="C444" s="117"/>
      <c r="D444" s="118"/>
    </row>
    <row r="445" spans="1:4" ht="42.75" customHeight="1" thickBot="1">
      <c r="A445" s="113" t="s">
        <v>18</v>
      </c>
      <c r="B445" s="114"/>
      <c r="C445" s="114"/>
      <c r="D445" s="115"/>
    </row>
    <row r="446" spans="1:4" ht="42.75" customHeight="1" thickBot="1">
      <c r="A446" s="119"/>
      <c r="B446" s="119"/>
      <c r="C446" s="119"/>
      <c r="D446" s="119"/>
    </row>
    <row r="447" spans="1:4" ht="42.75" customHeight="1" thickBot="1">
      <c r="A447" s="126" t="s">
        <v>19</v>
      </c>
      <c r="B447" s="127"/>
      <c r="C447" s="127"/>
      <c r="D447" s="128"/>
    </row>
    <row r="448" spans="1:4" ht="42.75" customHeight="1" thickBot="1">
      <c r="A448" s="123" t="s">
        <v>11</v>
      </c>
      <c r="B448" s="124"/>
      <c r="C448" s="125" t="s">
        <v>603</v>
      </c>
      <c r="D448" s="124"/>
    </row>
    <row r="449" spans="1:4" ht="42.75" customHeight="1" thickBot="1">
      <c r="A449" s="1" t="s">
        <v>686</v>
      </c>
      <c r="B449" s="26" t="s">
        <v>1</v>
      </c>
      <c r="C449" s="90" t="s">
        <v>409</v>
      </c>
      <c r="D449" s="91"/>
    </row>
    <row r="450" spans="1:4" ht="42.75" customHeight="1" thickBot="1">
      <c r="A450" s="26"/>
      <c r="B450" s="26" t="s">
        <v>0</v>
      </c>
      <c r="C450" s="5" t="s">
        <v>687</v>
      </c>
      <c r="D450" s="4" t="s">
        <v>2</v>
      </c>
    </row>
    <row r="451" spans="1:4" ht="42.75" customHeight="1" thickBot="1">
      <c r="A451" s="92">
        <v>203</v>
      </c>
      <c r="B451" s="93"/>
      <c r="C451" s="94" t="s">
        <v>3</v>
      </c>
      <c r="D451" s="95"/>
    </row>
    <row r="452" spans="1:4" ht="42.75" customHeight="1" thickBot="1">
      <c r="A452" s="92">
        <v>213</v>
      </c>
      <c r="B452" s="93"/>
      <c r="C452" s="96" t="s">
        <v>4</v>
      </c>
      <c r="D452" s="97"/>
    </row>
    <row r="453" spans="1:4" ht="42.75" customHeight="1" thickBot="1">
      <c r="A453" s="98">
        <f>A452-A451</f>
        <v>10</v>
      </c>
      <c r="B453" s="99"/>
      <c r="C453" s="100" t="s">
        <v>5</v>
      </c>
      <c r="D453" s="97"/>
    </row>
    <row r="454" spans="1:4" ht="42.75" customHeight="1" thickBot="1">
      <c r="A454" s="101">
        <v>62</v>
      </c>
      <c r="B454" s="102"/>
      <c r="C454" s="96" t="s">
        <v>6</v>
      </c>
      <c r="D454" s="97"/>
    </row>
    <row r="455" spans="1:4" ht="42.75" customHeight="1" thickBot="1">
      <c r="A455" s="103"/>
      <c r="B455" s="104"/>
      <c r="C455" s="96" t="s">
        <v>21</v>
      </c>
      <c r="D455" s="97"/>
    </row>
    <row r="456" spans="1:4" ht="42.75" customHeight="1" thickBot="1">
      <c r="A456" s="105">
        <v>600</v>
      </c>
      <c r="B456" s="106"/>
      <c r="C456" s="96" t="s">
        <v>7</v>
      </c>
      <c r="D456" s="97"/>
    </row>
    <row r="457" spans="1:4" ht="42.75" customHeight="1" thickBot="1">
      <c r="A457" s="107" t="s">
        <v>17</v>
      </c>
      <c r="B457" s="108"/>
      <c r="C457" s="108"/>
      <c r="D457" s="109"/>
    </row>
    <row r="458" spans="1:4" ht="42.75" customHeight="1" thickBot="1">
      <c r="A458" s="110" t="s">
        <v>20</v>
      </c>
      <c r="B458" s="111"/>
      <c r="C458" s="111"/>
      <c r="D458" s="112"/>
    </row>
    <row r="459" spans="1:4" ht="42.75" customHeight="1" thickBot="1">
      <c r="A459" s="113" t="s">
        <v>18</v>
      </c>
      <c r="B459" s="114"/>
      <c r="C459" s="114"/>
      <c r="D459" s="115"/>
    </row>
    <row r="460" spans="1:4" ht="42.75" customHeight="1" thickBot="1">
      <c r="A460" s="126" t="s">
        <v>19</v>
      </c>
      <c r="B460" s="127"/>
      <c r="C460" s="127"/>
      <c r="D460" s="128"/>
    </row>
    <row r="461" spans="1:4" ht="42.75" customHeight="1" thickBot="1">
      <c r="A461" s="123" t="s">
        <v>11</v>
      </c>
      <c r="B461" s="124"/>
      <c r="C461" s="125" t="s">
        <v>603</v>
      </c>
      <c r="D461" s="124"/>
    </row>
    <row r="462" spans="1:4" ht="42.75" customHeight="1" thickBot="1">
      <c r="A462" s="1" t="s">
        <v>686</v>
      </c>
      <c r="B462" s="26" t="s">
        <v>1</v>
      </c>
      <c r="C462" s="90" t="s">
        <v>410</v>
      </c>
      <c r="D462" s="91"/>
    </row>
    <row r="463" spans="1:4" ht="42.75" customHeight="1" thickBot="1">
      <c r="A463" s="26"/>
      <c r="B463" s="26" t="s">
        <v>0</v>
      </c>
      <c r="C463" s="5" t="s">
        <v>687</v>
      </c>
      <c r="D463" s="4" t="s">
        <v>2</v>
      </c>
    </row>
    <row r="464" spans="1:4" ht="42.75" customHeight="1" thickBot="1">
      <c r="A464" s="92">
        <v>4000</v>
      </c>
      <c r="B464" s="93"/>
      <c r="C464" s="94" t="s">
        <v>3</v>
      </c>
      <c r="D464" s="95"/>
    </row>
    <row r="465" spans="1:4" ht="42.75" customHeight="1" thickBot="1">
      <c r="A465" s="92">
        <v>4000</v>
      </c>
      <c r="B465" s="93"/>
      <c r="C465" s="96" t="s">
        <v>4</v>
      </c>
      <c r="D465" s="97"/>
    </row>
    <row r="466" spans="1:4" ht="42.75" customHeight="1" thickBot="1">
      <c r="A466" s="98">
        <f>A465-A464</f>
        <v>0</v>
      </c>
      <c r="B466" s="99"/>
      <c r="C466" s="100" t="s">
        <v>5</v>
      </c>
      <c r="D466" s="97"/>
    </row>
    <row r="467" spans="1:4" ht="42.75" customHeight="1" thickBot="1">
      <c r="A467" s="101">
        <v>50</v>
      </c>
      <c r="B467" s="102"/>
      <c r="C467" s="96" t="s">
        <v>6</v>
      </c>
      <c r="D467" s="97"/>
    </row>
    <row r="468" spans="1:4" ht="42.75" customHeight="1" thickBot="1">
      <c r="A468" s="103"/>
      <c r="B468" s="104"/>
      <c r="C468" s="96" t="s">
        <v>21</v>
      </c>
      <c r="D468" s="97"/>
    </row>
    <row r="469" spans="1:4" ht="42.75" customHeight="1" thickBot="1">
      <c r="A469" s="105">
        <f>A467*A466</f>
        <v>0</v>
      </c>
      <c r="B469" s="106"/>
      <c r="C469" s="96" t="s">
        <v>7</v>
      </c>
      <c r="D469" s="97"/>
    </row>
    <row r="470" spans="1:4" ht="42.75" customHeight="1" thickBot="1">
      <c r="A470" s="107" t="s">
        <v>17</v>
      </c>
      <c r="B470" s="108"/>
      <c r="C470" s="108"/>
      <c r="D470" s="109"/>
    </row>
    <row r="471" spans="1:4" ht="42.75" customHeight="1" thickBot="1">
      <c r="A471" s="116" t="s">
        <v>20</v>
      </c>
      <c r="B471" s="117"/>
      <c r="C471" s="117"/>
      <c r="D471" s="118"/>
    </row>
    <row r="472" spans="1:4" ht="42.75" customHeight="1" thickBot="1">
      <c r="A472" s="113" t="s">
        <v>18</v>
      </c>
      <c r="B472" s="114"/>
      <c r="C472" s="114"/>
      <c r="D472" s="115"/>
    </row>
    <row r="473" spans="1:4" ht="42.75" customHeight="1" thickBot="1">
      <c r="A473" s="119"/>
      <c r="B473" s="119"/>
      <c r="C473" s="119"/>
      <c r="D473" s="119"/>
    </row>
    <row r="474" spans="1:4" ht="42.75" customHeight="1" thickBot="1">
      <c r="A474" s="126" t="s">
        <v>19</v>
      </c>
      <c r="B474" s="127"/>
      <c r="C474" s="127"/>
      <c r="D474" s="128"/>
    </row>
    <row r="475" spans="1:4" ht="42.75" customHeight="1" thickBot="1">
      <c r="A475" s="123" t="s">
        <v>11</v>
      </c>
      <c r="B475" s="124"/>
      <c r="C475" s="125" t="s">
        <v>603</v>
      </c>
      <c r="D475" s="124"/>
    </row>
    <row r="476" spans="1:4" ht="42.75" customHeight="1" thickBot="1">
      <c r="A476" s="1" t="s">
        <v>686</v>
      </c>
      <c r="B476" s="26" t="s">
        <v>1</v>
      </c>
      <c r="C476" s="90" t="s">
        <v>410</v>
      </c>
      <c r="D476" s="91"/>
    </row>
    <row r="477" spans="1:4" ht="42.75" customHeight="1" thickBot="1">
      <c r="A477" s="26"/>
      <c r="B477" s="26" t="s">
        <v>0</v>
      </c>
      <c r="C477" s="5" t="s">
        <v>687</v>
      </c>
      <c r="D477" s="4" t="s">
        <v>2</v>
      </c>
    </row>
    <row r="478" spans="1:4" ht="42.75" customHeight="1" thickBot="1">
      <c r="A478" s="92">
        <v>3840</v>
      </c>
      <c r="B478" s="93"/>
      <c r="C478" s="94" t="s">
        <v>3</v>
      </c>
      <c r="D478" s="95"/>
    </row>
    <row r="479" spans="1:4" ht="42.75" customHeight="1" thickBot="1">
      <c r="A479" s="92">
        <v>4000</v>
      </c>
      <c r="B479" s="93"/>
      <c r="C479" s="96" t="s">
        <v>4</v>
      </c>
      <c r="D479" s="97"/>
    </row>
    <row r="480" spans="1:4" ht="42.75" customHeight="1" thickBot="1">
      <c r="A480" s="98">
        <f>A479-A478</f>
        <v>160</v>
      </c>
      <c r="B480" s="99"/>
      <c r="C480" s="100" t="s">
        <v>5</v>
      </c>
      <c r="D480" s="97"/>
    </row>
    <row r="481" spans="1:4" ht="42.75" customHeight="1" thickBot="1">
      <c r="A481" s="101">
        <v>62</v>
      </c>
      <c r="B481" s="102"/>
      <c r="C481" s="96" t="s">
        <v>6</v>
      </c>
      <c r="D481" s="97"/>
    </row>
    <row r="482" spans="1:4" ht="42.75" customHeight="1" thickBot="1">
      <c r="A482" s="103"/>
      <c r="B482" s="104"/>
      <c r="C482" s="96" t="s">
        <v>21</v>
      </c>
      <c r="D482" s="97"/>
    </row>
    <row r="483" spans="1:4" ht="42.75" customHeight="1" thickBot="1">
      <c r="A483" s="105">
        <f>A481*A480</f>
        <v>9920</v>
      </c>
      <c r="B483" s="106"/>
      <c r="C483" s="96" t="s">
        <v>7</v>
      </c>
      <c r="D483" s="97"/>
    </row>
    <row r="484" spans="1:4" ht="42.75" customHeight="1" thickBot="1">
      <c r="A484" s="107" t="s">
        <v>17</v>
      </c>
      <c r="B484" s="108"/>
      <c r="C484" s="108"/>
      <c r="D484" s="109"/>
    </row>
    <row r="485" spans="1:4" ht="42.75" customHeight="1" thickBot="1">
      <c r="A485" s="110" t="s">
        <v>20</v>
      </c>
      <c r="B485" s="111"/>
      <c r="C485" s="111"/>
      <c r="D485" s="112"/>
    </row>
    <row r="486" spans="1:4" ht="42.75" customHeight="1" thickBot="1">
      <c r="A486" s="113" t="s">
        <v>18</v>
      </c>
      <c r="B486" s="114"/>
      <c r="C486" s="114"/>
      <c r="D486" s="115"/>
    </row>
    <row r="487" spans="1:4" ht="42.75" customHeight="1" thickBot="1">
      <c r="A487" s="126" t="s">
        <v>19</v>
      </c>
      <c r="B487" s="127"/>
      <c r="C487" s="127"/>
      <c r="D487" s="128"/>
    </row>
    <row r="488" spans="1:4" ht="42.75" customHeight="1" thickBot="1">
      <c r="A488" s="123" t="s">
        <v>11</v>
      </c>
      <c r="B488" s="124"/>
      <c r="C488" s="125" t="s">
        <v>603</v>
      </c>
      <c r="D488" s="124"/>
    </row>
    <row r="489" spans="1:4" ht="42.75" customHeight="1" thickBot="1">
      <c r="A489" s="1" t="s">
        <v>686</v>
      </c>
      <c r="B489" s="26" t="s">
        <v>1</v>
      </c>
      <c r="C489" s="90" t="s">
        <v>411</v>
      </c>
      <c r="D489" s="91"/>
    </row>
    <row r="490" spans="1:4" ht="42.75" customHeight="1" thickBot="1">
      <c r="A490" s="26"/>
      <c r="B490" s="26" t="s">
        <v>0</v>
      </c>
      <c r="C490" s="5" t="s">
        <v>687</v>
      </c>
      <c r="D490" s="4" t="s">
        <v>2</v>
      </c>
    </row>
    <row r="491" spans="1:4" ht="42.75" customHeight="1" thickBot="1">
      <c r="A491" s="92">
        <v>400</v>
      </c>
      <c r="B491" s="93"/>
      <c r="C491" s="94" t="s">
        <v>3</v>
      </c>
      <c r="D491" s="95"/>
    </row>
    <row r="492" spans="1:4" ht="42.75" customHeight="1" thickBot="1">
      <c r="A492" s="92">
        <v>400</v>
      </c>
      <c r="B492" s="93"/>
      <c r="C492" s="96" t="s">
        <v>4</v>
      </c>
      <c r="D492" s="97"/>
    </row>
    <row r="493" spans="1:4" ht="42.75" customHeight="1" thickBot="1">
      <c r="A493" s="98">
        <f>A492-A491</f>
        <v>0</v>
      </c>
      <c r="B493" s="99"/>
      <c r="C493" s="100" t="s">
        <v>5</v>
      </c>
      <c r="D493" s="97"/>
    </row>
    <row r="494" spans="1:4" ht="42.75" customHeight="1" thickBot="1">
      <c r="A494" s="101">
        <v>62</v>
      </c>
      <c r="B494" s="102"/>
      <c r="C494" s="96" t="s">
        <v>6</v>
      </c>
      <c r="D494" s="97"/>
    </row>
    <row r="495" spans="1:4" ht="42.75" customHeight="1" thickBot="1">
      <c r="A495" s="103"/>
      <c r="B495" s="104"/>
      <c r="C495" s="96" t="s">
        <v>21</v>
      </c>
      <c r="D495" s="97"/>
    </row>
    <row r="496" spans="1:4" ht="42.75" customHeight="1" thickBot="1">
      <c r="A496" s="105">
        <f>A494*A493</f>
        <v>0</v>
      </c>
      <c r="B496" s="106"/>
      <c r="C496" s="96" t="s">
        <v>7</v>
      </c>
      <c r="D496" s="97"/>
    </row>
    <row r="497" spans="1:4" ht="42.75" customHeight="1" thickBot="1">
      <c r="A497" s="107" t="s">
        <v>17</v>
      </c>
      <c r="B497" s="108"/>
      <c r="C497" s="108"/>
      <c r="D497" s="109"/>
    </row>
    <row r="498" spans="1:4" ht="42.75" customHeight="1" thickBot="1">
      <c r="A498" s="116" t="s">
        <v>20</v>
      </c>
      <c r="B498" s="117"/>
      <c r="C498" s="117"/>
      <c r="D498" s="118"/>
    </row>
    <row r="499" spans="1:4" ht="42.75" customHeight="1" thickBot="1">
      <c r="A499" s="113" t="s">
        <v>18</v>
      </c>
      <c r="B499" s="114"/>
      <c r="C499" s="114"/>
      <c r="D499" s="115"/>
    </row>
    <row r="500" spans="1:4" ht="42.75" customHeight="1" thickBot="1">
      <c r="A500" s="119"/>
      <c r="B500" s="119"/>
      <c r="C500" s="119"/>
      <c r="D500" s="119"/>
    </row>
    <row r="501" spans="1:4" ht="42.75" customHeight="1" thickBot="1">
      <c r="A501" s="126" t="s">
        <v>19</v>
      </c>
      <c r="B501" s="127"/>
      <c r="C501" s="127"/>
      <c r="D501" s="128"/>
    </row>
    <row r="502" spans="1:4" ht="42.75" customHeight="1" thickBot="1">
      <c r="A502" s="123" t="s">
        <v>11</v>
      </c>
      <c r="B502" s="124"/>
      <c r="C502" s="125" t="s">
        <v>603</v>
      </c>
      <c r="D502" s="124"/>
    </row>
    <row r="503" spans="1:4" ht="42.75" customHeight="1" thickBot="1">
      <c r="A503" s="1" t="s">
        <v>686</v>
      </c>
      <c r="B503" s="26" t="s">
        <v>1</v>
      </c>
      <c r="C503" s="90" t="s">
        <v>411</v>
      </c>
      <c r="D503" s="91"/>
    </row>
    <row r="504" spans="1:4" ht="42.75" customHeight="1" thickBot="1">
      <c r="A504" s="26"/>
      <c r="B504" s="26" t="s">
        <v>0</v>
      </c>
      <c r="C504" s="5" t="s">
        <v>687</v>
      </c>
      <c r="D504" s="4" t="s">
        <v>2</v>
      </c>
    </row>
    <row r="505" spans="1:4" ht="42.75" customHeight="1" thickBot="1">
      <c r="A505" s="92">
        <v>392</v>
      </c>
      <c r="B505" s="93"/>
      <c r="C505" s="94" t="s">
        <v>3</v>
      </c>
      <c r="D505" s="95"/>
    </row>
    <row r="506" spans="1:4" ht="42.75" customHeight="1" thickBot="1">
      <c r="A506" s="92">
        <v>400</v>
      </c>
      <c r="B506" s="93"/>
      <c r="C506" s="96" t="s">
        <v>4</v>
      </c>
      <c r="D506" s="97"/>
    </row>
    <row r="507" spans="1:4" ht="42.75" customHeight="1" thickBot="1">
      <c r="A507" s="98">
        <v>10</v>
      </c>
      <c r="B507" s="99"/>
      <c r="C507" s="100" t="s">
        <v>5</v>
      </c>
      <c r="D507" s="97"/>
    </row>
    <row r="508" spans="1:4" ht="42.75" customHeight="1" thickBot="1">
      <c r="A508" s="101">
        <v>62</v>
      </c>
      <c r="B508" s="102"/>
      <c r="C508" s="96" t="s">
        <v>6</v>
      </c>
      <c r="D508" s="97"/>
    </row>
    <row r="509" spans="1:4" ht="42.75" customHeight="1" thickBot="1">
      <c r="A509" s="103"/>
      <c r="B509" s="104"/>
      <c r="C509" s="96" t="s">
        <v>21</v>
      </c>
      <c r="D509" s="97"/>
    </row>
    <row r="510" spans="1:4" ht="42.75" customHeight="1" thickBot="1">
      <c r="A510" s="105">
        <v>600</v>
      </c>
      <c r="B510" s="106"/>
      <c r="C510" s="96" t="s">
        <v>7</v>
      </c>
      <c r="D510" s="97"/>
    </row>
    <row r="511" spans="1:4" ht="42.75" customHeight="1" thickBot="1">
      <c r="A511" s="107" t="s">
        <v>17</v>
      </c>
      <c r="B511" s="108"/>
      <c r="C511" s="108"/>
      <c r="D511" s="109"/>
    </row>
    <row r="512" spans="1:4" ht="42.75" customHeight="1" thickBot="1">
      <c r="A512" s="110" t="s">
        <v>20</v>
      </c>
      <c r="B512" s="111"/>
      <c r="C512" s="111"/>
      <c r="D512" s="112"/>
    </row>
    <row r="513" spans="1:4" ht="42.75" customHeight="1" thickBot="1">
      <c r="A513" s="113" t="s">
        <v>18</v>
      </c>
      <c r="B513" s="114"/>
      <c r="C513" s="114"/>
      <c r="D513" s="115"/>
    </row>
    <row r="514" spans="1:4" ht="42.75" customHeight="1" thickBot="1">
      <c r="A514" s="126" t="s">
        <v>19</v>
      </c>
      <c r="B514" s="127"/>
      <c r="C514" s="127"/>
      <c r="D514" s="128"/>
    </row>
    <row r="515" spans="1:4" ht="42.75" customHeight="1" thickBot="1">
      <c r="A515" s="123" t="s">
        <v>11</v>
      </c>
      <c r="B515" s="124"/>
      <c r="C515" s="125" t="s">
        <v>603</v>
      </c>
      <c r="D515" s="124"/>
    </row>
    <row r="516" spans="1:4" ht="42.75" customHeight="1" thickBot="1">
      <c r="A516" s="1" t="s">
        <v>686</v>
      </c>
      <c r="B516" s="26" t="s">
        <v>1</v>
      </c>
      <c r="C516" s="90" t="s">
        <v>412</v>
      </c>
      <c r="D516" s="91"/>
    </row>
    <row r="517" spans="1:4" ht="42.75" customHeight="1" thickBot="1">
      <c r="A517" s="26"/>
      <c r="B517" s="26" t="s">
        <v>0</v>
      </c>
      <c r="C517" s="5" t="s">
        <v>687</v>
      </c>
      <c r="D517" s="4" t="s">
        <v>2</v>
      </c>
    </row>
    <row r="518" spans="1:4" ht="42.75" customHeight="1" thickBot="1">
      <c r="A518" s="92">
        <v>54950</v>
      </c>
      <c r="B518" s="93"/>
      <c r="C518" s="94" t="s">
        <v>3</v>
      </c>
      <c r="D518" s="95"/>
    </row>
    <row r="519" spans="1:4" ht="42.75" customHeight="1" thickBot="1">
      <c r="A519" s="92">
        <v>54950</v>
      </c>
      <c r="B519" s="93"/>
      <c r="C519" s="96" t="s">
        <v>4</v>
      </c>
      <c r="D519" s="97"/>
    </row>
    <row r="520" spans="1:4" ht="42.75" customHeight="1" thickBot="1">
      <c r="A520" s="98">
        <f>A519-A518</f>
        <v>0</v>
      </c>
      <c r="B520" s="99"/>
      <c r="C520" s="100" t="s">
        <v>5</v>
      </c>
      <c r="D520" s="97"/>
    </row>
    <row r="521" spans="1:4" ht="42.75" customHeight="1" thickBot="1">
      <c r="A521" s="101">
        <v>60</v>
      </c>
      <c r="B521" s="102"/>
      <c r="C521" s="96" t="s">
        <v>6</v>
      </c>
      <c r="D521" s="97"/>
    </row>
    <row r="522" spans="1:4" ht="42.75" customHeight="1" thickBot="1">
      <c r="A522" s="103"/>
      <c r="B522" s="104"/>
      <c r="C522" s="96" t="s">
        <v>21</v>
      </c>
      <c r="D522" s="97"/>
    </row>
    <row r="523" spans="1:4" ht="42.75" customHeight="1" thickBot="1">
      <c r="A523" s="105">
        <f>A521*A520</f>
        <v>0</v>
      </c>
      <c r="B523" s="106"/>
      <c r="C523" s="96" t="s">
        <v>7</v>
      </c>
      <c r="D523" s="97"/>
    </row>
    <row r="524" spans="1:4" ht="42.75" customHeight="1" thickBot="1">
      <c r="A524" s="107" t="s">
        <v>539</v>
      </c>
      <c r="B524" s="108"/>
      <c r="C524" s="108"/>
      <c r="D524" s="109"/>
    </row>
    <row r="525" spans="1:4" ht="42.75" customHeight="1" thickBot="1">
      <c r="A525" s="116" t="s">
        <v>20</v>
      </c>
      <c r="B525" s="117"/>
      <c r="C525" s="117"/>
      <c r="D525" s="118"/>
    </row>
    <row r="526" spans="1:4" ht="42.75" customHeight="1" thickBot="1">
      <c r="A526" s="113" t="s">
        <v>18</v>
      </c>
      <c r="B526" s="114"/>
      <c r="C526" s="114"/>
      <c r="D526" s="115"/>
    </row>
    <row r="527" spans="1:4" ht="42.75" customHeight="1" thickBot="1">
      <c r="A527" s="119"/>
      <c r="B527" s="119"/>
      <c r="C527" s="119"/>
      <c r="D527" s="119"/>
    </row>
    <row r="528" spans="1:4" ht="42.75" customHeight="1" thickBot="1">
      <c r="A528" s="126" t="s">
        <v>19</v>
      </c>
      <c r="B528" s="127"/>
      <c r="C528" s="127"/>
      <c r="D528" s="128"/>
    </row>
    <row r="529" spans="1:4" ht="42.75" customHeight="1" thickBot="1">
      <c r="A529" s="123" t="s">
        <v>11</v>
      </c>
      <c r="B529" s="124"/>
      <c r="C529" s="125" t="s">
        <v>603</v>
      </c>
      <c r="D529" s="124"/>
    </row>
    <row r="530" spans="1:4" ht="42.75" customHeight="1" thickBot="1">
      <c r="A530" s="1" t="s">
        <v>686</v>
      </c>
      <c r="B530" s="26" t="s">
        <v>1</v>
      </c>
      <c r="C530" s="90" t="s">
        <v>412</v>
      </c>
      <c r="D530" s="91"/>
    </row>
    <row r="531" spans="1:4" ht="42.75" customHeight="1" thickBot="1">
      <c r="A531" s="26"/>
      <c r="B531" s="26" t="s">
        <v>0</v>
      </c>
      <c r="C531" s="5" t="s">
        <v>687</v>
      </c>
      <c r="D531" s="4" t="s">
        <v>2</v>
      </c>
    </row>
    <row r="532" spans="1:4" ht="42.75" customHeight="1" thickBot="1">
      <c r="A532" s="92">
        <v>54700</v>
      </c>
      <c r="B532" s="93"/>
      <c r="C532" s="94" t="s">
        <v>3</v>
      </c>
      <c r="D532" s="95"/>
    </row>
    <row r="533" spans="1:4" ht="42.75" customHeight="1" thickBot="1">
      <c r="A533" s="92">
        <v>54950</v>
      </c>
      <c r="B533" s="93"/>
      <c r="C533" s="96" t="s">
        <v>4</v>
      </c>
      <c r="D533" s="97"/>
    </row>
    <row r="534" spans="1:4" ht="42.75" customHeight="1" thickBot="1">
      <c r="A534" s="98">
        <f>A533-A532</f>
        <v>250</v>
      </c>
      <c r="B534" s="99"/>
      <c r="C534" s="100" t="s">
        <v>5</v>
      </c>
      <c r="D534" s="97"/>
    </row>
    <row r="535" spans="1:4" ht="42.75" customHeight="1" thickBot="1">
      <c r="A535" s="101">
        <v>60</v>
      </c>
      <c r="B535" s="102"/>
      <c r="C535" s="96" t="s">
        <v>6</v>
      </c>
      <c r="D535" s="97"/>
    </row>
    <row r="536" spans="1:4" ht="42.75" customHeight="1" thickBot="1">
      <c r="A536" s="103"/>
      <c r="B536" s="104"/>
      <c r="C536" s="96" t="s">
        <v>21</v>
      </c>
      <c r="D536" s="97"/>
    </row>
    <row r="537" spans="1:4" ht="42.75" customHeight="1" thickBot="1">
      <c r="A537" s="105">
        <f>A535*A534</f>
        <v>15000</v>
      </c>
      <c r="B537" s="106"/>
      <c r="C537" s="96" t="s">
        <v>7</v>
      </c>
      <c r="D537" s="97"/>
    </row>
    <row r="538" spans="1:4" ht="42.75" customHeight="1" thickBot="1">
      <c r="A538" s="107" t="s">
        <v>539</v>
      </c>
      <c r="B538" s="108"/>
      <c r="C538" s="108"/>
      <c r="D538" s="109"/>
    </row>
    <row r="539" spans="1:4" ht="42.75" customHeight="1" thickBot="1">
      <c r="A539" s="110" t="s">
        <v>20</v>
      </c>
      <c r="B539" s="111"/>
      <c r="C539" s="111"/>
      <c r="D539" s="112"/>
    </row>
    <row r="540" spans="1:4" ht="42.75" customHeight="1" thickBot="1">
      <c r="A540" s="113" t="s">
        <v>18</v>
      </c>
      <c r="B540" s="114"/>
      <c r="C540" s="114"/>
      <c r="D540" s="115"/>
    </row>
    <row r="541" spans="1:4" ht="42.75" customHeight="1" thickBot="1">
      <c r="A541" s="126" t="s">
        <v>19</v>
      </c>
      <c r="B541" s="127"/>
      <c r="C541" s="127"/>
      <c r="D541" s="128"/>
    </row>
    <row r="542" spans="1:4" ht="42.75" customHeight="1" thickBot="1">
      <c r="A542" s="123" t="s">
        <v>11</v>
      </c>
      <c r="B542" s="124"/>
      <c r="C542" s="125" t="s">
        <v>603</v>
      </c>
      <c r="D542" s="124"/>
    </row>
    <row r="543" spans="1:4" ht="42.75" customHeight="1" thickBot="1">
      <c r="A543" s="1" t="s">
        <v>686</v>
      </c>
      <c r="B543" s="26" t="s">
        <v>1</v>
      </c>
      <c r="C543" s="90" t="s">
        <v>200</v>
      </c>
      <c r="D543" s="91"/>
    </row>
    <row r="544" spans="1:4" ht="42.75" customHeight="1" thickBot="1">
      <c r="A544" s="26"/>
      <c r="B544" s="26" t="s">
        <v>0</v>
      </c>
      <c r="C544" s="5" t="s">
        <v>687</v>
      </c>
      <c r="D544" s="4" t="s">
        <v>2</v>
      </c>
    </row>
    <row r="545" spans="1:4" ht="42.75" customHeight="1" thickBot="1">
      <c r="A545" s="92">
        <v>10310</v>
      </c>
      <c r="B545" s="93"/>
      <c r="C545" s="94" t="s">
        <v>3</v>
      </c>
      <c r="D545" s="95"/>
    </row>
    <row r="546" spans="1:4" ht="42.75" customHeight="1" thickBot="1">
      <c r="A546" s="92">
        <v>10310</v>
      </c>
      <c r="B546" s="93"/>
      <c r="C546" s="96" t="s">
        <v>4</v>
      </c>
      <c r="D546" s="97"/>
    </row>
    <row r="547" spans="1:4" ht="42.75" customHeight="1" thickBot="1">
      <c r="A547" s="98">
        <f>A546-A545</f>
        <v>0</v>
      </c>
      <c r="B547" s="99"/>
      <c r="C547" s="100" t="s">
        <v>5</v>
      </c>
      <c r="D547" s="97"/>
    </row>
    <row r="548" spans="1:4" ht="42.75" customHeight="1" thickBot="1">
      <c r="A548" s="101">
        <v>62</v>
      </c>
      <c r="B548" s="102"/>
      <c r="C548" s="96" t="s">
        <v>6</v>
      </c>
      <c r="D548" s="97"/>
    </row>
    <row r="549" spans="1:4" ht="42.75" customHeight="1" thickBot="1">
      <c r="A549" s="103"/>
      <c r="B549" s="104"/>
      <c r="C549" s="96" t="s">
        <v>21</v>
      </c>
      <c r="D549" s="97"/>
    </row>
    <row r="550" spans="1:4" ht="42.75" customHeight="1" thickBot="1">
      <c r="A550" s="105">
        <f>A548*A547</f>
        <v>0</v>
      </c>
      <c r="B550" s="106"/>
      <c r="C550" s="96" t="s">
        <v>7</v>
      </c>
      <c r="D550" s="97"/>
    </row>
    <row r="551" spans="1:4" ht="42.75" customHeight="1" thickBot="1">
      <c r="A551" s="107" t="s">
        <v>17</v>
      </c>
      <c r="B551" s="108"/>
      <c r="C551" s="108"/>
      <c r="D551" s="109"/>
    </row>
    <row r="552" spans="1:4" ht="42.75" customHeight="1" thickBot="1">
      <c r="A552" s="116" t="s">
        <v>20</v>
      </c>
      <c r="B552" s="117"/>
      <c r="C552" s="117"/>
      <c r="D552" s="118"/>
    </row>
    <row r="553" spans="1:4" ht="42.75" customHeight="1" thickBot="1">
      <c r="A553" s="113" t="s">
        <v>18</v>
      </c>
      <c r="B553" s="114"/>
      <c r="C553" s="114"/>
      <c r="D553" s="115"/>
    </row>
    <row r="554" spans="1:4" ht="42.75" customHeight="1" thickBot="1">
      <c r="A554" s="119"/>
      <c r="B554" s="119"/>
      <c r="C554" s="119"/>
      <c r="D554" s="119"/>
    </row>
    <row r="555" spans="1:4" ht="42.75" customHeight="1" thickBot="1">
      <c r="A555" s="126" t="s">
        <v>19</v>
      </c>
      <c r="B555" s="127"/>
      <c r="C555" s="127"/>
      <c r="D555" s="128"/>
    </row>
    <row r="556" spans="1:4" ht="42.75" customHeight="1" thickBot="1">
      <c r="A556" s="123" t="s">
        <v>11</v>
      </c>
      <c r="B556" s="124"/>
      <c r="C556" s="125" t="s">
        <v>603</v>
      </c>
      <c r="D556" s="124"/>
    </row>
    <row r="557" spans="1:4" ht="42.75" customHeight="1" thickBot="1">
      <c r="A557" s="1" t="s">
        <v>686</v>
      </c>
      <c r="B557" s="26" t="s">
        <v>1</v>
      </c>
      <c r="C557" s="90" t="s">
        <v>200</v>
      </c>
      <c r="D557" s="91"/>
    </row>
    <row r="558" spans="1:4" ht="42.75" customHeight="1" thickBot="1">
      <c r="A558" s="26"/>
      <c r="B558" s="26" t="s">
        <v>0</v>
      </c>
      <c r="C558" s="5" t="s">
        <v>687</v>
      </c>
      <c r="D558" s="4" t="s">
        <v>2</v>
      </c>
    </row>
    <row r="559" spans="1:4" ht="42.75" customHeight="1" thickBot="1">
      <c r="A559" s="92">
        <v>10270</v>
      </c>
      <c r="B559" s="93"/>
      <c r="C559" s="94" t="s">
        <v>3</v>
      </c>
      <c r="D559" s="95"/>
    </row>
    <row r="560" spans="1:4" ht="42.75" customHeight="1" thickBot="1">
      <c r="A560" s="92">
        <v>10310</v>
      </c>
      <c r="B560" s="93"/>
      <c r="C560" s="96" t="s">
        <v>4</v>
      </c>
      <c r="D560" s="97"/>
    </row>
    <row r="561" spans="1:4" ht="42.75" customHeight="1" thickBot="1">
      <c r="A561" s="98">
        <f>A560-A559</f>
        <v>40</v>
      </c>
      <c r="B561" s="99"/>
      <c r="C561" s="100" t="s">
        <v>5</v>
      </c>
      <c r="D561" s="97"/>
    </row>
    <row r="562" spans="1:4" ht="42.75" customHeight="1" thickBot="1">
      <c r="A562" s="101">
        <v>62</v>
      </c>
      <c r="B562" s="102"/>
      <c r="C562" s="96" t="s">
        <v>6</v>
      </c>
      <c r="D562" s="97"/>
    </row>
    <row r="563" spans="1:4" ht="42.75" customHeight="1" thickBot="1">
      <c r="A563" s="103"/>
      <c r="B563" s="104"/>
      <c r="C563" s="96" t="s">
        <v>21</v>
      </c>
      <c r="D563" s="97"/>
    </row>
    <row r="564" spans="1:4" ht="42.75" customHeight="1" thickBot="1">
      <c r="A564" s="105">
        <v>2500</v>
      </c>
      <c r="B564" s="106"/>
      <c r="C564" s="96" t="s">
        <v>7</v>
      </c>
      <c r="D564" s="97"/>
    </row>
    <row r="565" spans="1:4" ht="42.75" customHeight="1" thickBot="1">
      <c r="A565" s="107" t="s">
        <v>17</v>
      </c>
      <c r="B565" s="108"/>
      <c r="C565" s="108"/>
      <c r="D565" s="109"/>
    </row>
    <row r="566" spans="1:4" ht="42.75" customHeight="1" thickBot="1">
      <c r="A566" s="110" t="s">
        <v>20</v>
      </c>
      <c r="B566" s="111"/>
      <c r="C566" s="111"/>
      <c r="D566" s="112"/>
    </row>
    <row r="567" spans="1:4" ht="42.75" customHeight="1" thickBot="1">
      <c r="A567" s="113" t="s">
        <v>18</v>
      </c>
      <c r="B567" s="114"/>
      <c r="C567" s="114"/>
      <c r="D567" s="115"/>
    </row>
    <row r="568" spans="1:4" ht="42.75" customHeight="1" thickBot="1">
      <c r="A568" s="126" t="s">
        <v>19</v>
      </c>
      <c r="B568" s="127"/>
      <c r="C568" s="127"/>
      <c r="D568" s="128"/>
    </row>
    <row r="569" spans="1:4" ht="42.75" customHeight="1" thickBot="1">
      <c r="A569" s="123" t="s">
        <v>11</v>
      </c>
      <c r="B569" s="124"/>
      <c r="C569" s="125" t="s">
        <v>603</v>
      </c>
      <c r="D569" s="124"/>
    </row>
    <row r="570" spans="1:4" ht="42.75" customHeight="1" thickBot="1">
      <c r="A570" s="1" t="s">
        <v>686</v>
      </c>
      <c r="B570" s="26" t="s">
        <v>1</v>
      </c>
      <c r="C570" s="90" t="s">
        <v>23</v>
      </c>
      <c r="D570" s="91"/>
    </row>
    <row r="571" spans="1:4" ht="42.75" customHeight="1" thickBot="1">
      <c r="A571" s="26"/>
      <c r="B571" s="26" t="s">
        <v>0</v>
      </c>
      <c r="C571" s="5" t="s">
        <v>687</v>
      </c>
      <c r="D571" s="4" t="s">
        <v>2</v>
      </c>
    </row>
    <row r="572" spans="1:4" ht="42.75" customHeight="1" thickBot="1">
      <c r="A572" s="92">
        <v>1431</v>
      </c>
      <c r="B572" s="93"/>
      <c r="C572" s="94" t="s">
        <v>3</v>
      </c>
      <c r="D572" s="95"/>
    </row>
    <row r="573" spans="1:4" ht="42.75" customHeight="1" thickBot="1">
      <c r="A573" s="92">
        <v>1431</v>
      </c>
      <c r="B573" s="93"/>
      <c r="C573" s="96" t="s">
        <v>4</v>
      </c>
      <c r="D573" s="97"/>
    </row>
    <row r="574" spans="1:4" ht="42.75" customHeight="1" thickBot="1">
      <c r="A574" s="98">
        <f>A573-A572</f>
        <v>0</v>
      </c>
      <c r="B574" s="99"/>
      <c r="C574" s="100" t="s">
        <v>5</v>
      </c>
      <c r="D574" s="97"/>
    </row>
    <row r="575" spans="1:4" ht="42.75" customHeight="1" thickBot="1">
      <c r="A575" s="101">
        <v>40</v>
      </c>
      <c r="B575" s="102"/>
      <c r="C575" s="96" t="s">
        <v>6</v>
      </c>
      <c r="D575" s="97"/>
    </row>
    <row r="576" spans="1:4" ht="42.75" customHeight="1" thickBot="1">
      <c r="A576" s="103"/>
      <c r="B576" s="104"/>
      <c r="C576" s="96" t="s">
        <v>21</v>
      </c>
      <c r="D576" s="97"/>
    </row>
    <row r="577" spans="1:4" ht="42.75" customHeight="1" thickBot="1">
      <c r="A577" s="105">
        <f>A575*A574</f>
        <v>0</v>
      </c>
      <c r="B577" s="106"/>
      <c r="C577" s="96" t="s">
        <v>7</v>
      </c>
      <c r="D577" s="97"/>
    </row>
    <row r="578" spans="1:4" ht="42.75" customHeight="1" thickBot="1">
      <c r="A578" s="107" t="s">
        <v>17</v>
      </c>
      <c r="B578" s="108"/>
      <c r="C578" s="108"/>
      <c r="D578" s="109"/>
    </row>
    <row r="579" spans="1:4" ht="42.75" customHeight="1" thickBot="1">
      <c r="A579" s="116" t="s">
        <v>20</v>
      </c>
      <c r="B579" s="117"/>
      <c r="C579" s="117"/>
      <c r="D579" s="118"/>
    </row>
    <row r="580" spans="1:4" ht="42.75" customHeight="1" thickBot="1">
      <c r="A580" s="113" t="s">
        <v>18</v>
      </c>
      <c r="B580" s="114"/>
      <c r="C580" s="114"/>
      <c r="D580" s="115"/>
    </row>
    <row r="581" spans="1:4" ht="42.75" customHeight="1" thickBot="1">
      <c r="A581" s="119"/>
      <c r="B581" s="119"/>
      <c r="C581" s="119"/>
      <c r="D581" s="119"/>
    </row>
    <row r="582" spans="1:4" ht="42.75" customHeight="1" thickBot="1">
      <c r="A582" s="126" t="s">
        <v>19</v>
      </c>
      <c r="B582" s="127"/>
      <c r="C582" s="127"/>
      <c r="D582" s="128"/>
    </row>
    <row r="583" spans="1:4" ht="42.75" customHeight="1" thickBot="1">
      <c r="A583" s="123" t="s">
        <v>11</v>
      </c>
      <c r="B583" s="124"/>
      <c r="C583" s="125" t="s">
        <v>603</v>
      </c>
      <c r="D583" s="124"/>
    </row>
    <row r="584" spans="1:4" ht="42.75" customHeight="1" thickBot="1">
      <c r="A584" s="1" t="s">
        <v>686</v>
      </c>
      <c r="B584" s="26" t="s">
        <v>1</v>
      </c>
      <c r="C584" s="90" t="s">
        <v>23</v>
      </c>
      <c r="D584" s="91"/>
    </row>
    <row r="585" spans="1:4" ht="42.75" customHeight="1" thickBot="1">
      <c r="A585" s="26"/>
      <c r="B585" s="26" t="s">
        <v>0</v>
      </c>
      <c r="C585" s="5" t="s">
        <v>687</v>
      </c>
      <c r="D585" s="4" t="s">
        <v>2</v>
      </c>
    </row>
    <row r="586" spans="1:4" ht="42.75" customHeight="1" thickBot="1">
      <c r="A586" s="92">
        <v>1422</v>
      </c>
      <c r="B586" s="93"/>
      <c r="C586" s="94" t="s">
        <v>3</v>
      </c>
      <c r="D586" s="95"/>
    </row>
    <row r="587" spans="1:4" ht="42.75" customHeight="1" thickBot="1">
      <c r="A587" s="92">
        <v>1431</v>
      </c>
      <c r="B587" s="93"/>
      <c r="C587" s="96" t="s">
        <v>4</v>
      </c>
      <c r="D587" s="97"/>
    </row>
    <row r="588" spans="1:4" ht="42.75" customHeight="1" thickBot="1">
      <c r="A588" s="98">
        <f>A587-A586</f>
        <v>9</v>
      </c>
      <c r="B588" s="99"/>
      <c r="C588" s="100" t="s">
        <v>5</v>
      </c>
      <c r="D588" s="97"/>
    </row>
    <row r="589" spans="1:4" ht="42.75" customHeight="1" thickBot="1">
      <c r="A589" s="101">
        <v>60</v>
      </c>
      <c r="B589" s="102"/>
      <c r="C589" s="96" t="s">
        <v>6</v>
      </c>
      <c r="D589" s="97"/>
    </row>
    <row r="590" spans="1:4" ht="42.75" customHeight="1" thickBot="1">
      <c r="A590" s="103"/>
      <c r="B590" s="104"/>
      <c r="C590" s="96" t="s">
        <v>21</v>
      </c>
      <c r="D590" s="97"/>
    </row>
    <row r="591" spans="1:4" ht="42.75" customHeight="1" thickBot="1">
      <c r="A591" s="105">
        <f>A589*A588</f>
        <v>540</v>
      </c>
      <c r="B591" s="106"/>
      <c r="C591" s="96" t="s">
        <v>7</v>
      </c>
      <c r="D591" s="97"/>
    </row>
    <row r="592" spans="1:4" ht="42.75" customHeight="1" thickBot="1">
      <c r="A592" s="107" t="s">
        <v>17</v>
      </c>
      <c r="B592" s="108"/>
      <c r="C592" s="108"/>
      <c r="D592" s="109"/>
    </row>
    <row r="593" spans="1:4" ht="42.75" customHeight="1" thickBot="1">
      <c r="A593" s="110" t="s">
        <v>20</v>
      </c>
      <c r="B593" s="111"/>
      <c r="C593" s="111"/>
      <c r="D593" s="112"/>
    </row>
    <row r="594" spans="1:4" ht="42.75" customHeight="1" thickBot="1">
      <c r="A594" s="113" t="s">
        <v>18</v>
      </c>
      <c r="B594" s="114"/>
      <c r="C594" s="114"/>
      <c r="D594" s="115"/>
    </row>
    <row r="595" spans="1:4" ht="42.75" customHeight="1" thickBot="1">
      <c r="A595" s="126" t="s">
        <v>19</v>
      </c>
      <c r="B595" s="127"/>
      <c r="C595" s="127"/>
      <c r="D595" s="128"/>
    </row>
    <row r="596" spans="1:4" ht="42.75" customHeight="1" thickBot="1">
      <c r="A596" s="123" t="s">
        <v>11</v>
      </c>
      <c r="B596" s="124"/>
      <c r="C596" s="125" t="s">
        <v>603</v>
      </c>
      <c r="D596" s="124"/>
    </row>
    <row r="597" spans="1:4" ht="42.75" customHeight="1" thickBot="1">
      <c r="A597" s="1" t="s">
        <v>686</v>
      </c>
      <c r="B597" s="26" t="s">
        <v>1</v>
      </c>
      <c r="C597" s="90" t="s">
        <v>414</v>
      </c>
      <c r="D597" s="91"/>
    </row>
    <row r="598" spans="1:4" ht="42.75" customHeight="1" thickBot="1">
      <c r="A598" s="26"/>
      <c r="B598" s="26" t="s">
        <v>0</v>
      </c>
      <c r="C598" s="5" t="s">
        <v>687</v>
      </c>
      <c r="D598" s="4" t="s">
        <v>2</v>
      </c>
    </row>
    <row r="599" spans="1:4" ht="42.75" customHeight="1" thickBot="1">
      <c r="A599" s="92">
        <v>19620</v>
      </c>
      <c r="B599" s="93"/>
      <c r="C599" s="94" t="s">
        <v>3</v>
      </c>
      <c r="D599" s="95"/>
    </row>
    <row r="600" spans="1:4" ht="42.75" customHeight="1" thickBot="1">
      <c r="A600" s="92">
        <v>19620</v>
      </c>
      <c r="B600" s="93"/>
      <c r="C600" s="96" t="s">
        <v>4</v>
      </c>
      <c r="D600" s="97"/>
    </row>
    <row r="601" spans="1:4" ht="42.75" customHeight="1" thickBot="1">
      <c r="A601" s="98">
        <f>A600-A599</f>
        <v>0</v>
      </c>
      <c r="B601" s="99"/>
      <c r="C601" s="100" t="s">
        <v>5</v>
      </c>
      <c r="D601" s="97"/>
    </row>
    <row r="602" spans="1:4" ht="42.75" customHeight="1" thickBot="1">
      <c r="A602" s="101">
        <v>60</v>
      </c>
      <c r="B602" s="102"/>
      <c r="C602" s="96" t="s">
        <v>6</v>
      </c>
      <c r="D602" s="97"/>
    </row>
    <row r="603" spans="1:4" ht="42.75" customHeight="1" thickBot="1">
      <c r="A603" s="103"/>
      <c r="B603" s="104"/>
      <c r="C603" s="96" t="s">
        <v>21</v>
      </c>
      <c r="D603" s="97"/>
    </row>
    <row r="604" spans="1:4" ht="42.75" customHeight="1" thickBot="1">
      <c r="A604" s="105">
        <f>A602*A601</f>
        <v>0</v>
      </c>
      <c r="B604" s="106"/>
      <c r="C604" s="96" t="s">
        <v>7</v>
      </c>
      <c r="D604" s="97"/>
    </row>
    <row r="605" spans="1:4" ht="42.75" customHeight="1" thickBot="1">
      <c r="A605" s="107" t="s">
        <v>539</v>
      </c>
      <c r="B605" s="108"/>
      <c r="C605" s="108"/>
      <c r="D605" s="109"/>
    </row>
    <row r="606" spans="1:4" ht="42.75" customHeight="1" thickBot="1">
      <c r="A606" s="116" t="s">
        <v>20</v>
      </c>
      <c r="B606" s="117"/>
      <c r="C606" s="117"/>
      <c r="D606" s="118"/>
    </row>
    <row r="607" spans="1:4" ht="42.75" customHeight="1" thickBot="1">
      <c r="A607" s="113" t="s">
        <v>18</v>
      </c>
      <c r="B607" s="114"/>
      <c r="C607" s="114"/>
      <c r="D607" s="115"/>
    </row>
    <row r="608" spans="1:4" ht="42.75" customHeight="1" thickBot="1">
      <c r="A608" s="119"/>
      <c r="B608" s="119"/>
      <c r="C608" s="119"/>
      <c r="D608" s="119"/>
    </row>
    <row r="609" spans="1:4" ht="42.75" customHeight="1" thickBot="1">
      <c r="A609" s="126" t="s">
        <v>19</v>
      </c>
      <c r="B609" s="127"/>
      <c r="C609" s="127"/>
      <c r="D609" s="128"/>
    </row>
    <row r="610" spans="1:4" ht="42.75" customHeight="1" thickBot="1">
      <c r="A610" s="123" t="s">
        <v>11</v>
      </c>
      <c r="B610" s="124"/>
      <c r="C610" s="125" t="s">
        <v>603</v>
      </c>
      <c r="D610" s="124"/>
    </row>
    <row r="611" spans="1:4" ht="42.75" customHeight="1" thickBot="1">
      <c r="A611" s="1" t="s">
        <v>686</v>
      </c>
      <c r="B611" s="26" t="s">
        <v>1</v>
      </c>
      <c r="C611" s="90" t="s">
        <v>414</v>
      </c>
      <c r="D611" s="91"/>
    </row>
    <row r="612" spans="1:4" ht="42.75" customHeight="1" thickBot="1">
      <c r="A612" s="26"/>
      <c r="B612" s="26" t="s">
        <v>0</v>
      </c>
      <c r="C612" s="5" t="s">
        <v>687</v>
      </c>
      <c r="D612" s="4" t="s">
        <v>2</v>
      </c>
    </row>
    <row r="613" spans="1:4" ht="42.75" customHeight="1" thickBot="1">
      <c r="A613" s="92">
        <v>19100</v>
      </c>
      <c r="B613" s="93"/>
      <c r="C613" s="94" t="s">
        <v>3</v>
      </c>
      <c r="D613" s="95"/>
    </row>
    <row r="614" spans="1:4" ht="42.75" customHeight="1" thickBot="1">
      <c r="A614" s="92">
        <v>19620</v>
      </c>
      <c r="B614" s="93"/>
      <c r="C614" s="96" t="s">
        <v>4</v>
      </c>
      <c r="D614" s="97"/>
    </row>
    <row r="615" spans="1:4" ht="42.75" customHeight="1" thickBot="1">
      <c r="A615" s="98">
        <f>A614-A613</f>
        <v>520</v>
      </c>
      <c r="B615" s="99"/>
      <c r="C615" s="100" t="s">
        <v>5</v>
      </c>
      <c r="D615" s="97"/>
    </row>
    <row r="616" spans="1:4" ht="42.75" customHeight="1" thickBot="1">
      <c r="A616" s="101">
        <v>60</v>
      </c>
      <c r="B616" s="102"/>
      <c r="C616" s="96" t="s">
        <v>6</v>
      </c>
      <c r="D616" s="97"/>
    </row>
    <row r="617" spans="1:4" ht="42.75" customHeight="1" thickBot="1">
      <c r="A617" s="103"/>
      <c r="B617" s="104"/>
      <c r="C617" s="96" t="s">
        <v>21</v>
      </c>
      <c r="D617" s="97"/>
    </row>
    <row r="618" spans="1:4" ht="42.75" customHeight="1" thickBot="1">
      <c r="A618" s="105">
        <f>A616*A615</f>
        <v>31200</v>
      </c>
      <c r="B618" s="106"/>
      <c r="C618" s="96" t="s">
        <v>7</v>
      </c>
      <c r="D618" s="97"/>
    </row>
    <row r="619" spans="1:4" ht="42.75" customHeight="1" thickBot="1">
      <c r="A619" s="107" t="s">
        <v>539</v>
      </c>
      <c r="B619" s="108"/>
      <c r="C619" s="108"/>
      <c r="D619" s="109"/>
    </row>
    <row r="620" spans="1:4" ht="42.75" customHeight="1" thickBot="1">
      <c r="A620" s="110" t="s">
        <v>20</v>
      </c>
      <c r="B620" s="111"/>
      <c r="C620" s="111"/>
      <c r="D620" s="112"/>
    </row>
    <row r="621" spans="1:4" ht="42.75" customHeight="1" thickBot="1">
      <c r="A621" s="113" t="s">
        <v>18</v>
      </c>
      <c r="B621" s="114"/>
      <c r="C621" s="114"/>
      <c r="D621" s="115"/>
    </row>
    <row r="622" spans="1:4" ht="42.75" customHeight="1" thickBot="1">
      <c r="A622" s="126" t="s">
        <v>19</v>
      </c>
      <c r="B622" s="127"/>
      <c r="C622" s="127"/>
      <c r="D622" s="128"/>
    </row>
    <row r="623" spans="1:4" ht="42.75" customHeight="1" thickBot="1">
      <c r="A623" s="123" t="s">
        <v>11</v>
      </c>
      <c r="B623" s="124"/>
      <c r="C623" s="125" t="s">
        <v>603</v>
      </c>
      <c r="D623" s="124"/>
    </row>
    <row r="624" spans="1:4" ht="42.75" customHeight="1" thickBot="1">
      <c r="A624" s="1" t="s">
        <v>686</v>
      </c>
      <c r="B624" s="26" t="s">
        <v>1</v>
      </c>
      <c r="C624" s="90" t="s">
        <v>415</v>
      </c>
      <c r="D624" s="91"/>
    </row>
    <row r="625" spans="1:4" ht="42.75" customHeight="1" thickBot="1">
      <c r="A625" s="26"/>
      <c r="B625" s="26" t="s">
        <v>0</v>
      </c>
      <c r="C625" s="5" t="s">
        <v>687</v>
      </c>
      <c r="D625" s="4" t="s">
        <v>2</v>
      </c>
    </row>
    <row r="626" spans="1:4" ht="42.75" customHeight="1" thickBot="1">
      <c r="A626" s="92">
        <v>1835</v>
      </c>
      <c r="B626" s="93"/>
      <c r="C626" s="94" t="s">
        <v>3</v>
      </c>
      <c r="D626" s="95"/>
    </row>
    <row r="627" spans="1:4" ht="42.75" customHeight="1" thickBot="1">
      <c r="A627" s="92">
        <v>1835</v>
      </c>
      <c r="B627" s="93"/>
      <c r="C627" s="96" t="s">
        <v>4</v>
      </c>
      <c r="D627" s="97"/>
    </row>
    <row r="628" spans="1:4" ht="42.75" customHeight="1" thickBot="1">
      <c r="A628" s="98">
        <f>A627-A626</f>
        <v>0</v>
      </c>
      <c r="B628" s="99"/>
      <c r="C628" s="100" t="s">
        <v>5</v>
      </c>
      <c r="D628" s="97"/>
    </row>
    <row r="629" spans="1:4" ht="42.75" customHeight="1" thickBot="1">
      <c r="A629" s="101">
        <v>62</v>
      </c>
      <c r="B629" s="102"/>
      <c r="C629" s="96" t="s">
        <v>6</v>
      </c>
      <c r="D629" s="97"/>
    </row>
    <row r="630" spans="1:4" ht="42.75" customHeight="1" thickBot="1">
      <c r="A630" s="103"/>
      <c r="B630" s="104"/>
      <c r="C630" s="96" t="s">
        <v>21</v>
      </c>
      <c r="D630" s="97"/>
    </row>
    <row r="631" spans="1:4" ht="42.75" customHeight="1" thickBot="1">
      <c r="A631" s="105">
        <f>A629*A628</f>
        <v>0</v>
      </c>
      <c r="B631" s="106"/>
      <c r="C631" s="96" t="s">
        <v>7</v>
      </c>
      <c r="D631" s="97"/>
    </row>
    <row r="632" spans="1:4" ht="42.75" customHeight="1" thickBot="1">
      <c r="A632" s="107" t="s">
        <v>17</v>
      </c>
      <c r="B632" s="108"/>
      <c r="C632" s="108"/>
      <c r="D632" s="109"/>
    </row>
    <row r="633" spans="1:4" ht="42.75" customHeight="1" thickBot="1">
      <c r="A633" s="116" t="s">
        <v>20</v>
      </c>
      <c r="B633" s="117"/>
      <c r="C633" s="117"/>
      <c r="D633" s="118"/>
    </row>
    <row r="634" spans="1:4" ht="42.75" customHeight="1" thickBot="1">
      <c r="A634" s="113" t="s">
        <v>18</v>
      </c>
      <c r="B634" s="114"/>
      <c r="C634" s="114"/>
      <c r="D634" s="115"/>
    </row>
    <row r="635" spans="1:4" ht="42.75" customHeight="1" thickBot="1">
      <c r="A635" s="119"/>
      <c r="B635" s="119"/>
      <c r="C635" s="119"/>
      <c r="D635" s="119"/>
    </row>
    <row r="636" spans="1:4" ht="42.75" customHeight="1" thickBot="1">
      <c r="A636" s="126" t="s">
        <v>19</v>
      </c>
      <c r="B636" s="127"/>
      <c r="C636" s="127"/>
      <c r="D636" s="128"/>
    </row>
    <row r="637" spans="1:4" ht="42.75" customHeight="1" thickBot="1">
      <c r="A637" s="123" t="s">
        <v>11</v>
      </c>
      <c r="B637" s="124"/>
      <c r="C637" s="125" t="s">
        <v>603</v>
      </c>
      <c r="D637" s="124"/>
    </row>
    <row r="638" spans="1:4" ht="42.75" customHeight="1" thickBot="1">
      <c r="A638" s="1" t="s">
        <v>686</v>
      </c>
      <c r="B638" s="26" t="s">
        <v>1</v>
      </c>
      <c r="C638" s="90" t="s">
        <v>415</v>
      </c>
      <c r="D638" s="91"/>
    </row>
    <row r="639" spans="1:4" ht="42.75" customHeight="1" thickBot="1">
      <c r="A639" s="26"/>
      <c r="B639" s="26" t="s">
        <v>0</v>
      </c>
      <c r="C639" s="5" t="s">
        <v>687</v>
      </c>
      <c r="D639" s="4" t="s">
        <v>2</v>
      </c>
    </row>
    <row r="640" spans="1:4" ht="42.75" customHeight="1" thickBot="1">
      <c r="A640" s="92">
        <v>1820</v>
      </c>
      <c r="B640" s="93"/>
      <c r="C640" s="94" t="s">
        <v>3</v>
      </c>
      <c r="D640" s="95"/>
    </row>
    <row r="641" spans="1:4" ht="42.75" customHeight="1" thickBot="1">
      <c r="A641" s="92">
        <v>1835</v>
      </c>
      <c r="B641" s="93"/>
      <c r="C641" s="96" t="s">
        <v>4</v>
      </c>
      <c r="D641" s="97"/>
    </row>
    <row r="642" spans="1:4" ht="42.75" customHeight="1" thickBot="1">
      <c r="A642" s="98">
        <f>A641-A640</f>
        <v>15</v>
      </c>
      <c r="B642" s="99"/>
      <c r="C642" s="100" t="s">
        <v>5</v>
      </c>
      <c r="D642" s="97"/>
    </row>
    <row r="643" spans="1:4" ht="42.75" customHeight="1" thickBot="1">
      <c r="A643" s="101">
        <v>62</v>
      </c>
      <c r="B643" s="102"/>
      <c r="C643" s="96" t="s">
        <v>6</v>
      </c>
      <c r="D643" s="97"/>
    </row>
    <row r="644" spans="1:4" ht="42.75" customHeight="1" thickBot="1">
      <c r="A644" s="103"/>
      <c r="B644" s="104"/>
      <c r="C644" s="96" t="s">
        <v>21</v>
      </c>
      <c r="D644" s="97"/>
    </row>
    <row r="645" spans="1:4" ht="42.75" customHeight="1" thickBot="1">
      <c r="A645" s="105">
        <v>950</v>
      </c>
      <c r="B645" s="106"/>
      <c r="C645" s="96" t="s">
        <v>7</v>
      </c>
      <c r="D645" s="97"/>
    </row>
    <row r="646" spans="1:4" ht="42.75" customHeight="1" thickBot="1">
      <c r="A646" s="107" t="s">
        <v>17</v>
      </c>
      <c r="B646" s="108"/>
      <c r="C646" s="108"/>
      <c r="D646" s="109"/>
    </row>
    <row r="647" spans="1:4" ht="42.75" customHeight="1" thickBot="1">
      <c r="A647" s="110" t="s">
        <v>20</v>
      </c>
      <c r="B647" s="111"/>
      <c r="C647" s="111"/>
      <c r="D647" s="112"/>
    </row>
    <row r="648" spans="1:4" ht="42.75" customHeight="1" thickBot="1">
      <c r="A648" s="113" t="s">
        <v>18</v>
      </c>
      <c r="B648" s="114"/>
      <c r="C648" s="114"/>
      <c r="D648" s="115"/>
    </row>
    <row r="649" spans="1:4" ht="42.75" customHeight="1" thickBot="1">
      <c r="A649" s="126" t="s">
        <v>19</v>
      </c>
      <c r="B649" s="127"/>
      <c r="C649" s="127"/>
      <c r="D649" s="128"/>
    </row>
    <row r="650" spans="1:4" ht="42.75" customHeight="1" thickBot="1">
      <c r="A650" s="123" t="s">
        <v>11</v>
      </c>
      <c r="B650" s="124"/>
      <c r="C650" s="125" t="s">
        <v>603</v>
      </c>
      <c r="D650" s="124"/>
    </row>
    <row r="651" spans="1:4" ht="42.75" customHeight="1" thickBot="1">
      <c r="A651" s="1" t="s">
        <v>686</v>
      </c>
      <c r="B651" s="26" t="s">
        <v>1</v>
      </c>
      <c r="C651" s="90" t="s">
        <v>416</v>
      </c>
      <c r="D651" s="91"/>
    </row>
    <row r="652" spans="1:4" ht="42.75" customHeight="1" thickBot="1">
      <c r="A652" s="26"/>
      <c r="B652" s="26" t="s">
        <v>0</v>
      </c>
      <c r="C652" s="5" t="s">
        <v>687</v>
      </c>
      <c r="D652" s="4" t="s">
        <v>2</v>
      </c>
    </row>
    <row r="653" spans="1:4" ht="42.75" customHeight="1" thickBot="1">
      <c r="A653" s="92">
        <v>24290</v>
      </c>
      <c r="B653" s="93"/>
      <c r="C653" s="94" t="s">
        <v>3</v>
      </c>
      <c r="D653" s="95"/>
    </row>
    <row r="654" spans="1:4" ht="42.75" customHeight="1" thickBot="1">
      <c r="A654" s="92">
        <v>24290</v>
      </c>
      <c r="B654" s="93"/>
      <c r="C654" s="96" t="s">
        <v>4</v>
      </c>
      <c r="D654" s="97"/>
    </row>
    <row r="655" spans="1:4" ht="42.75" customHeight="1" thickBot="1">
      <c r="A655" s="98">
        <f>A654-A653</f>
        <v>0</v>
      </c>
      <c r="B655" s="99"/>
      <c r="C655" s="100" t="s">
        <v>5</v>
      </c>
      <c r="D655" s="97"/>
    </row>
    <row r="656" spans="1:4" ht="42.75" customHeight="1" thickBot="1">
      <c r="A656" s="101">
        <v>62</v>
      </c>
      <c r="B656" s="102"/>
      <c r="C656" s="96" t="s">
        <v>6</v>
      </c>
      <c r="D656" s="97"/>
    </row>
    <row r="657" spans="1:4" ht="42.75" customHeight="1" thickBot="1">
      <c r="A657" s="103"/>
      <c r="B657" s="104"/>
      <c r="C657" s="96" t="s">
        <v>21</v>
      </c>
      <c r="D657" s="97"/>
    </row>
    <row r="658" spans="1:4" ht="42.75" customHeight="1" thickBot="1">
      <c r="A658" s="105">
        <f>A656*A655</f>
        <v>0</v>
      </c>
      <c r="B658" s="106"/>
      <c r="C658" s="96" t="s">
        <v>7</v>
      </c>
      <c r="D658" s="97"/>
    </row>
    <row r="659" spans="1:4" ht="42.75" customHeight="1" thickBot="1">
      <c r="A659" s="107" t="s">
        <v>539</v>
      </c>
      <c r="B659" s="108"/>
      <c r="C659" s="108"/>
      <c r="D659" s="109"/>
    </row>
    <row r="660" spans="1:4" ht="42.75" customHeight="1" thickBot="1">
      <c r="A660" s="116" t="s">
        <v>20</v>
      </c>
      <c r="B660" s="117"/>
      <c r="C660" s="117"/>
      <c r="D660" s="118"/>
    </row>
    <row r="661" spans="1:4" ht="42.75" customHeight="1" thickBot="1">
      <c r="A661" s="113" t="s">
        <v>18</v>
      </c>
      <c r="B661" s="114"/>
      <c r="C661" s="114"/>
      <c r="D661" s="115"/>
    </row>
    <row r="662" spans="1:4" ht="42.75" customHeight="1" thickBot="1">
      <c r="A662" s="119"/>
      <c r="B662" s="119"/>
      <c r="C662" s="119"/>
      <c r="D662" s="119"/>
    </row>
    <row r="663" spans="1:4" ht="42.75" customHeight="1" thickBot="1">
      <c r="A663" s="126" t="s">
        <v>19</v>
      </c>
      <c r="B663" s="127"/>
      <c r="C663" s="127"/>
      <c r="D663" s="128"/>
    </row>
    <row r="664" spans="1:4" ht="42.75" customHeight="1" thickBot="1">
      <c r="A664" s="123" t="s">
        <v>11</v>
      </c>
      <c r="B664" s="124"/>
      <c r="C664" s="125" t="s">
        <v>603</v>
      </c>
      <c r="D664" s="124"/>
    </row>
    <row r="665" spans="1:4" ht="42.75" customHeight="1" thickBot="1">
      <c r="A665" s="1" t="s">
        <v>686</v>
      </c>
      <c r="B665" s="26" t="s">
        <v>1</v>
      </c>
      <c r="C665" s="90" t="s">
        <v>416</v>
      </c>
      <c r="D665" s="91"/>
    </row>
    <row r="666" spans="1:4" ht="42.75" customHeight="1" thickBot="1">
      <c r="A666" s="26"/>
      <c r="B666" s="26" t="s">
        <v>0</v>
      </c>
      <c r="C666" s="5" t="s">
        <v>687</v>
      </c>
      <c r="D666" s="4" t="s">
        <v>2</v>
      </c>
    </row>
    <row r="667" spans="1:4" ht="42.75" customHeight="1" thickBot="1">
      <c r="A667" s="92">
        <v>24100</v>
      </c>
      <c r="B667" s="93"/>
      <c r="C667" s="94" t="s">
        <v>3</v>
      </c>
      <c r="D667" s="95"/>
    </row>
    <row r="668" spans="1:4" ht="42.75" customHeight="1" thickBot="1">
      <c r="A668" s="92">
        <v>24290</v>
      </c>
      <c r="B668" s="93"/>
      <c r="C668" s="96" t="s">
        <v>4</v>
      </c>
      <c r="D668" s="97"/>
    </row>
    <row r="669" spans="1:4" ht="42.75" customHeight="1" thickBot="1">
      <c r="A669" s="98">
        <f>A668-A667</f>
        <v>190</v>
      </c>
      <c r="B669" s="99"/>
      <c r="C669" s="100" t="s">
        <v>5</v>
      </c>
      <c r="D669" s="97"/>
    </row>
    <row r="670" spans="1:4" ht="42.75" customHeight="1" thickBot="1">
      <c r="A670" s="101">
        <v>62</v>
      </c>
      <c r="B670" s="102"/>
      <c r="C670" s="96" t="s">
        <v>6</v>
      </c>
      <c r="D670" s="97"/>
    </row>
    <row r="671" spans="1:4" ht="42.75" customHeight="1" thickBot="1">
      <c r="A671" s="103"/>
      <c r="B671" s="104"/>
      <c r="C671" s="96" t="s">
        <v>21</v>
      </c>
      <c r="D671" s="97"/>
    </row>
    <row r="672" spans="1:4" ht="42.75" customHeight="1" thickBot="1">
      <c r="A672" s="105">
        <v>11800</v>
      </c>
      <c r="B672" s="106"/>
      <c r="C672" s="96" t="s">
        <v>7</v>
      </c>
      <c r="D672" s="97"/>
    </row>
    <row r="673" spans="1:4" ht="42.75" customHeight="1" thickBot="1">
      <c r="A673" s="107" t="s">
        <v>539</v>
      </c>
      <c r="B673" s="108"/>
      <c r="C673" s="108"/>
      <c r="D673" s="109"/>
    </row>
    <row r="674" spans="1:4" ht="42.75" customHeight="1" thickBot="1">
      <c r="A674" s="110" t="s">
        <v>20</v>
      </c>
      <c r="B674" s="111"/>
      <c r="C674" s="111"/>
      <c r="D674" s="112"/>
    </row>
    <row r="675" spans="1:4" ht="42.75" customHeight="1" thickBot="1">
      <c r="A675" s="113" t="s">
        <v>18</v>
      </c>
      <c r="B675" s="114"/>
      <c r="C675" s="114"/>
      <c r="D675" s="115"/>
    </row>
    <row r="676" spans="1:4" ht="42.75" customHeight="1" thickBot="1">
      <c r="A676" s="126" t="s">
        <v>19</v>
      </c>
      <c r="B676" s="127"/>
      <c r="C676" s="127"/>
      <c r="D676" s="128"/>
    </row>
    <row r="677" spans="1:4" ht="42.75" customHeight="1" thickBot="1">
      <c r="A677" s="123" t="s">
        <v>11</v>
      </c>
      <c r="B677" s="124"/>
      <c r="C677" s="125" t="s">
        <v>603</v>
      </c>
      <c r="D677" s="124"/>
    </row>
    <row r="678" spans="1:4" ht="42.75" customHeight="1" thickBot="1">
      <c r="A678" s="1" t="s">
        <v>686</v>
      </c>
      <c r="B678" s="26" t="s">
        <v>1</v>
      </c>
      <c r="C678" s="90" t="s">
        <v>417</v>
      </c>
      <c r="D678" s="91"/>
    </row>
    <row r="679" spans="1:4" ht="42.75" customHeight="1" thickBot="1">
      <c r="A679" s="26"/>
      <c r="B679" s="26" t="s">
        <v>0</v>
      </c>
      <c r="C679" s="5" t="s">
        <v>687</v>
      </c>
      <c r="D679" s="4" t="s">
        <v>2</v>
      </c>
    </row>
    <row r="680" spans="1:4" ht="42.75" customHeight="1" thickBot="1">
      <c r="A680" s="92">
        <v>662</v>
      </c>
      <c r="B680" s="93"/>
      <c r="C680" s="94" t="s">
        <v>3</v>
      </c>
      <c r="D680" s="95"/>
    </row>
    <row r="681" spans="1:4" ht="42.75" customHeight="1" thickBot="1">
      <c r="A681" s="92">
        <v>662</v>
      </c>
      <c r="B681" s="93"/>
      <c r="C681" s="96" t="s">
        <v>4</v>
      </c>
      <c r="D681" s="97"/>
    </row>
    <row r="682" spans="1:4" ht="42.75" customHeight="1" thickBot="1">
      <c r="A682" s="98">
        <f>A681-A680</f>
        <v>0</v>
      </c>
      <c r="B682" s="99"/>
      <c r="C682" s="100" t="s">
        <v>5</v>
      </c>
      <c r="D682" s="97"/>
    </row>
    <row r="683" spans="1:4" ht="42.75" customHeight="1" thickBot="1">
      <c r="A683" s="101">
        <v>65</v>
      </c>
      <c r="B683" s="102"/>
      <c r="C683" s="96" t="s">
        <v>6</v>
      </c>
      <c r="D683" s="97"/>
    </row>
    <row r="684" spans="1:4" ht="42.75" customHeight="1" thickBot="1">
      <c r="A684" s="103"/>
      <c r="B684" s="104"/>
      <c r="C684" s="96" t="s">
        <v>21</v>
      </c>
      <c r="D684" s="97"/>
    </row>
    <row r="685" spans="1:4" ht="42.75" customHeight="1" thickBot="1">
      <c r="A685" s="105">
        <f>A683*A682</f>
        <v>0</v>
      </c>
      <c r="B685" s="106"/>
      <c r="C685" s="96" t="s">
        <v>7</v>
      </c>
      <c r="D685" s="97"/>
    </row>
    <row r="686" spans="1:4" ht="42.75" customHeight="1" thickBot="1">
      <c r="A686" s="107" t="s">
        <v>539</v>
      </c>
      <c r="B686" s="108"/>
      <c r="C686" s="108"/>
      <c r="D686" s="109"/>
    </row>
    <row r="687" spans="1:4" ht="42.75" customHeight="1" thickBot="1">
      <c r="A687" s="116" t="s">
        <v>20</v>
      </c>
      <c r="B687" s="117"/>
      <c r="C687" s="117"/>
      <c r="D687" s="118"/>
    </row>
    <row r="688" spans="1:4" ht="42.75" customHeight="1" thickBot="1">
      <c r="A688" s="113" t="s">
        <v>18</v>
      </c>
      <c r="B688" s="114"/>
      <c r="C688" s="114"/>
      <c r="D688" s="115"/>
    </row>
    <row r="689" spans="1:4" ht="42.75" customHeight="1" thickBot="1">
      <c r="A689" s="119"/>
      <c r="B689" s="119"/>
      <c r="C689" s="119"/>
      <c r="D689" s="119"/>
    </row>
    <row r="690" spans="1:4" ht="42.75" customHeight="1" thickBot="1">
      <c r="A690" s="126" t="s">
        <v>19</v>
      </c>
      <c r="B690" s="127"/>
      <c r="C690" s="127"/>
      <c r="D690" s="128"/>
    </row>
    <row r="691" spans="1:4" ht="42.75" customHeight="1" thickBot="1">
      <c r="A691" s="123" t="s">
        <v>11</v>
      </c>
      <c r="B691" s="124"/>
      <c r="C691" s="125" t="s">
        <v>603</v>
      </c>
      <c r="D691" s="124"/>
    </row>
    <row r="692" spans="1:4" ht="42.75" customHeight="1" thickBot="1">
      <c r="A692" s="1" t="s">
        <v>686</v>
      </c>
      <c r="B692" s="26" t="s">
        <v>1</v>
      </c>
      <c r="C692" s="90" t="s">
        <v>417</v>
      </c>
      <c r="D692" s="91"/>
    </row>
    <row r="693" spans="1:4" ht="42.75" customHeight="1" thickBot="1">
      <c r="A693" s="26"/>
      <c r="B693" s="26" t="s">
        <v>0</v>
      </c>
      <c r="C693" s="5" t="s">
        <v>687</v>
      </c>
      <c r="D693" s="4" t="s">
        <v>2</v>
      </c>
    </row>
    <row r="694" spans="1:4" ht="42.75" customHeight="1" thickBot="1">
      <c r="A694" s="92">
        <v>660</v>
      </c>
      <c r="B694" s="93"/>
      <c r="C694" s="94" t="s">
        <v>3</v>
      </c>
      <c r="D694" s="95"/>
    </row>
    <row r="695" spans="1:4" ht="42.75" customHeight="1" thickBot="1">
      <c r="A695" s="92">
        <v>662</v>
      </c>
      <c r="B695" s="93"/>
      <c r="C695" s="96" t="s">
        <v>4</v>
      </c>
      <c r="D695" s="97"/>
    </row>
    <row r="696" spans="1:4" ht="42.75" customHeight="1" thickBot="1">
      <c r="A696" s="98">
        <v>9</v>
      </c>
      <c r="B696" s="99"/>
      <c r="C696" s="100" t="s">
        <v>5</v>
      </c>
      <c r="D696" s="97"/>
    </row>
    <row r="697" spans="1:4" ht="42.75" customHeight="1" thickBot="1">
      <c r="A697" s="101">
        <v>65</v>
      </c>
      <c r="B697" s="102"/>
      <c r="C697" s="96" t="s">
        <v>6</v>
      </c>
      <c r="D697" s="97"/>
    </row>
    <row r="698" spans="1:4" ht="42.75" customHeight="1" thickBot="1">
      <c r="A698" s="103"/>
      <c r="B698" s="104"/>
      <c r="C698" s="96" t="s">
        <v>21</v>
      </c>
      <c r="D698" s="97"/>
    </row>
    <row r="699" spans="1:4" ht="42.75" customHeight="1" thickBot="1">
      <c r="A699" s="105">
        <v>600</v>
      </c>
      <c r="B699" s="106"/>
      <c r="C699" s="96" t="s">
        <v>7</v>
      </c>
      <c r="D699" s="97"/>
    </row>
    <row r="700" spans="1:4" ht="42.75" customHeight="1" thickBot="1">
      <c r="A700" s="107" t="s">
        <v>539</v>
      </c>
      <c r="B700" s="108"/>
      <c r="C700" s="108"/>
      <c r="D700" s="109"/>
    </row>
    <row r="701" spans="1:4" ht="42.75" customHeight="1" thickBot="1">
      <c r="A701" s="110" t="s">
        <v>20</v>
      </c>
      <c r="B701" s="111"/>
      <c r="C701" s="111"/>
      <c r="D701" s="112"/>
    </row>
    <row r="702" spans="1:4" ht="42.75" customHeight="1" thickBot="1">
      <c r="A702" s="113" t="s">
        <v>18</v>
      </c>
      <c r="B702" s="114"/>
      <c r="C702" s="114"/>
      <c r="D702" s="115"/>
    </row>
    <row r="703" spans="1:4" ht="42.75" customHeight="1" thickBot="1">
      <c r="A703" s="126" t="s">
        <v>19</v>
      </c>
      <c r="B703" s="127"/>
      <c r="C703" s="127"/>
      <c r="D703" s="128"/>
    </row>
    <row r="704" spans="1:4" ht="42.75" customHeight="1" thickBot="1">
      <c r="A704" s="123" t="s">
        <v>11</v>
      </c>
      <c r="B704" s="124"/>
      <c r="C704" s="125" t="s">
        <v>603</v>
      </c>
      <c r="D704" s="124"/>
    </row>
    <row r="705" spans="1:4" ht="42.75" customHeight="1" thickBot="1">
      <c r="A705" s="1" t="s">
        <v>686</v>
      </c>
      <c r="B705" s="26" t="s">
        <v>1</v>
      </c>
      <c r="C705" s="90" t="s">
        <v>418</v>
      </c>
      <c r="D705" s="91"/>
    </row>
    <row r="706" spans="1:4" ht="42.75" customHeight="1" thickBot="1">
      <c r="A706" s="26"/>
      <c r="B706" s="26" t="s">
        <v>0</v>
      </c>
      <c r="C706" s="5" t="s">
        <v>687</v>
      </c>
      <c r="D706" s="4" t="s">
        <v>2</v>
      </c>
    </row>
    <row r="707" spans="1:4" ht="42.75" customHeight="1" thickBot="1">
      <c r="A707" s="92">
        <v>16540</v>
      </c>
      <c r="B707" s="93"/>
      <c r="C707" s="94" t="s">
        <v>3</v>
      </c>
      <c r="D707" s="95"/>
    </row>
    <row r="708" spans="1:4" ht="42.75" customHeight="1" thickBot="1">
      <c r="A708" s="92">
        <v>16540</v>
      </c>
      <c r="B708" s="93"/>
      <c r="C708" s="96" t="s">
        <v>4</v>
      </c>
      <c r="D708" s="97"/>
    </row>
    <row r="709" spans="1:4" ht="42.75" customHeight="1" thickBot="1">
      <c r="A709" s="98">
        <f>A708-A707</f>
        <v>0</v>
      </c>
      <c r="B709" s="99"/>
      <c r="C709" s="100" t="s">
        <v>5</v>
      </c>
      <c r="D709" s="97"/>
    </row>
    <row r="710" spans="1:4" ht="42.75" customHeight="1" thickBot="1">
      <c r="A710" s="101">
        <v>60</v>
      </c>
      <c r="B710" s="102"/>
      <c r="C710" s="96" t="s">
        <v>6</v>
      </c>
      <c r="D710" s="97"/>
    </row>
    <row r="711" spans="1:4" ht="42.75" customHeight="1" thickBot="1">
      <c r="A711" s="103"/>
      <c r="B711" s="104"/>
      <c r="C711" s="96" t="s">
        <v>21</v>
      </c>
      <c r="D711" s="97"/>
    </row>
    <row r="712" spans="1:4" ht="42.75" customHeight="1" thickBot="1">
      <c r="A712" s="105">
        <f>A710*A709</f>
        <v>0</v>
      </c>
      <c r="B712" s="106"/>
      <c r="C712" s="96" t="s">
        <v>7</v>
      </c>
      <c r="D712" s="97"/>
    </row>
    <row r="713" spans="1:4" ht="42.75" customHeight="1" thickBot="1">
      <c r="A713" s="107" t="s">
        <v>539</v>
      </c>
      <c r="B713" s="108"/>
      <c r="C713" s="108"/>
      <c r="D713" s="109"/>
    </row>
    <row r="714" spans="1:4" ht="42.75" customHeight="1" thickBot="1">
      <c r="A714" s="116" t="s">
        <v>20</v>
      </c>
      <c r="B714" s="117"/>
      <c r="C714" s="117"/>
      <c r="D714" s="118"/>
    </row>
    <row r="715" spans="1:4" ht="42.75" customHeight="1" thickBot="1">
      <c r="A715" s="113" t="s">
        <v>18</v>
      </c>
      <c r="B715" s="114"/>
      <c r="C715" s="114"/>
      <c r="D715" s="115"/>
    </row>
    <row r="716" spans="1:4" ht="42.75" customHeight="1" thickBot="1">
      <c r="A716" s="119"/>
      <c r="B716" s="119"/>
      <c r="C716" s="119"/>
      <c r="D716" s="119"/>
    </row>
    <row r="717" spans="1:4" ht="42.75" customHeight="1" thickBot="1">
      <c r="A717" s="126" t="s">
        <v>19</v>
      </c>
      <c r="B717" s="127"/>
      <c r="C717" s="127"/>
      <c r="D717" s="128"/>
    </row>
    <row r="718" spans="1:4" ht="42.75" customHeight="1" thickBot="1">
      <c r="A718" s="123" t="s">
        <v>11</v>
      </c>
      <c r="B718" s="124"/>
      <c r="C718" s="125" t="s">
        <v>603</v>
      </c>
      <c r="D718" s="124"/>
    </row>
    <row r="719" spans="1:4" ht="42.75" customHeight="1" thickBot="1">
      <c r="A719" s="1" t="s">
        <v>686</v>
      </c>
      <c r="B719" s="26" t="s">
        <v>1</v>
      </c>
      <c r="C719" s="90" t="s">
        <v>418</v>
      </c>
      <c r="D719" s="91"/>
    </row>
    <row r="720" spans="1:4" ht="42.75" customHeight="1" thickBot="1">
      <c r="A720" s="26"/>
      <c r="B720" s="26" t="s">
        <v>0</v>
      </c>
      <c r="C720" s="5" t="s">
        <v>687</v>
      </c>
      <c r="D720" s="4" t="s">
        <v>2</v>
      </c>
    </row>
    <row r="721" spans="1:4" ht="42.75" customHeight="1" thickBot="1">
      <c r="A721" s="92">
        <v>16230</v>
      </c>
      <c r="B721" s="93"/>
      <c r="C721" s="94" t="s">
        <v>3</v>
      </c>
      <c r="D721" s="95"/>
    </row>
    <row r="722" spans="1:4" ht="42.75" customHeight="1" thickBot="1">
      <c r="A722" s="92">
        <v>16540</v>
      </c>
      <c r="B722" s="93"/>
      <c r="C722" s="96" t="s">
        <v>4</v>
      </c>
      <c r="D722" s="97"/>
    </row>
    <row r="723" spans="1:4" ht="42.75" customHeight="1" thickBot="1">
      <c r="A723" s="98">
        <f>A722-A721</f>
        <v>310</v>
      </c>
      <c r="B723" s="99"/>
      <c r="C723" s="100" t="s">
        <v>5</v>
      </c>
      <c r="D723" s="97"/>
    </row>
    <row r="724" spans="1:4" ht="42.75" customHeight="1" thickBot="1">
      <c r="A724" s="101">
        <v>62</v>
      </c>
      <c r="B724" s="102"/>
      <c r="C724" s="96" t="s">
        <v>6</v>
      </c>
      <c r="D724" s="97"/>
    </row>
    <row r="725" spans="1:4" ht="42.75" customHeight="1" thickBot="1">
      <c r="A725" s="103"/>
      <c r="B725" s="104"/>
      <c r="C725" s="96" t="s">
        <v>21</v>
      </c>
      <c r="D725" s="97"/>
    </row>
    <row r="726" spans="1:4" ht="42.75" customHeight="1" thickBot="1">
      <c r="A726" s="105">
        <f>A724*A723</f>
        <v>19220</v>
      </c>
      <c r="B726" s="106"/>
      <c r="C726" s="96" t="s">
        <v>7</v>
      </c>
      <c r="D726" s="97"/>
    </row>
    <row r="727" spans="1:4" ht="42.75" customHeight="1" thickBot="1">
      <c r="A727" s="107" t="s">
        <v>539</v>
      </c>
      <c r="B727" s="108"/>
      <c r="C727" s="108"/>
      <c r="D727" s="109"/>
    </row>
    <row r="728" spans="1:4" ht="42.75" customHeight="1" thickBot="1">
      <c r="A728" s="110" t="s">
        <v>20</v>
      </c>
      <c r="B728" s="111"/>
      <c r="C728" s="111"/>
      <c r="D728" s="112"/>
    </row>
    <row r="729" spans="1:4" ht="42.75" customHeight="1" thickBot="1">
      <c r="A729" s="113" t="s">
        <v>18</v>
      </c>
      <c r="B729" s="114"/>
      <c r="C729" s="114"/>
      <c r="D729" s="115"/>
    </row>
    <row r="730" spans="1:4" ht="42.75" customHeight="1" thickBot="1">
      <c r="A730" s="126" t="s">
        <v>19</v>
      </c>
      <c r="B730" s="127"/>
      <c r="C730" s="127"/>
      <c r="D730" s="128"/>
    </row>
    <row r="731" spans="1:4" ht="42.75" customHeight="1" thickBot="1">
      <c r="A731" s="123" t="s">
        <v>11</v>
      </c>
      <c r="B731" s="124"/>
      <c r="C731" s="125" t="s">
        <v>603</v>
      </c>
      <c r="D731" s="124"/>
    </row>
    <row r="732" spans="1:4" ht="42.75" customHeight="1" thickBot="1">
      <c r="A732" s="1" t="s">
        <v>686</v>
      </c>
      <c r="B732" s="26" t="s">
        <v>1</v>
      </c>
      <c r="C732" s="90" t="s">
        <v>419</v>
      </c>
      <c r="D732" s="91"/>
    </row>
    <row r="733" spans="1:4" ht="42.75" customHeight="1" thickBot="1">
      <c r="A733" s="26"/>
      <c r="B733" s="26" t="s">
        <v>0</v>
      </c>
      <c r="C733" s="5" t="s">
        <v>687</v>
      </c>
      <c r="D733" s="4" t="s">
        <v>2</v>
      </c>
    </row>
    <row r="734" spans="1:4" ht="42.75" customHeight="1" thickBot="1">
      <c r="A734" s="92">
        <v>380</v>
      </c>
      <c r="B734" s="93"/>
      <c r="C734" s="94" t="s">
        <v>3</v>
      </c>
      <c r="D734" s="95"/>
    </row>
    <row r="735" spans="1:4" ht="42.75" customHeight="1" thickBot="1">
      <c r="A735" s="92">
        <v>380</v>
      </c>
      <c r="B735" s="93"/>
      <c r="C735" s="96" t="s">
        <v>4</v>
      </c>
      <c r="D735" s="97"/>
    </row>
    <row r="736" spans="1:4" ht="42.75" customHeight="1" thickBot="1">
      <c r="A736" s="98">
        <f>A735-A734</f>
        <v>0</v>
      </c>
      <c r="B736" s="99"/>
      <c r="C736" s="100" t="s">
        <v>5</v>
      </c>
      <c r="D736" s="97"/>
    </row>
    <row r="737" spans="1:4" ht="42.75" customHeight="1" thickBot="1">
      <c r="A737" s="101">
        <v>40</v>
      </c>
      <c r="B737" s="102"/>
      <c r="C737" s="96" t="s">
        <v>6</v>
      </c>
      <c r="D737" s="97"/>
    </row>
    <row r="738" spans="1:4" ht="42.75" customHeight="1" thickBot="1">
      <c r="A738" s="103"/>
      <c r="B738" s="104"/>
      <c r="C738" s="96" t="s">
        <v>21</v>
      </c>
      <c r="D738" s="97"/>
    </row>
    <row r="739" spans="1:4" ht="42.75" customHeight="1" thickBot="1">
      <c r="A739" s="105">
        <f>A737*A736</f>
        <v>0</v>
      </c>
      <c r="B739" s="106"/>
      <c r="C739" s="96" t="s">
        <v>7</v>
      </c>
      <c r="D739" s="97"/>
    </row>
    <row r="740" spans="1:4" ht="42.75" customHeight="1" thickBot="1">
      <c r="A740" s="107" t="s">
        <v>17</v>
      </c>
      <c r="B740" s="108"/>
      <c r="C740" s="108"/>
      <c r="D740" s="109"/>
    </row>
    <row r="741" spans="1:4" ht="42.75" customHeight="1" thickBot="1">
      <c r="A741" s="116" t="s">
        <v>20</v>
      </c>
      <c r="B741" s="117"/>
      <c r="C741" s="117"/>
      <c r="D741" s="118"/>
    </row>
    <row r="742" spans="1:4" ht="42.75" customHeight="1" thickBot="1">
      <c r="A742" s="113" t="s">
        <v>18</v>
      </c>
      <c r="B742" s="114"/>
      <c r="C742" s="114"/>
      <c r="D742" s="115"/>
    </row>
    <row r="743" spans="1:4" ht="42.75" customHeight="1" thickBot="1">
      <c r="A743" s="119"/>
      <c r="B743" s="119"/>
      <c r="C743" s="119"/>
      <c r="D743" s="119"/>
    </row>
    <row r="744" spans="1:4" ht="42.75" customHeight="1" thickBot="1">
      <c r="A744" s="126" t="s">
        <v>19</v>
      </c>
      <c r="B744" s="127"/>
      <c r="C744" s="127"/>
      <c r="D744" s="128"/>
    </row>
    <row r="745" spans="1:4" ht="42.75" customHeight="1" thickBot="1">
      <c r="A745" s="123" t="s">
        <v>11</v>
      </c>
      <c r="B745" s="124"/>
      <c r="C745" s="125" t="s">
        <v>603</v>
      </c>
      <c r="D745" s="124"/>
    </row>
    <row r="746" spans="1:4" ht="42.75" customHeight="1" thickBot="1">
      <c r="A746" s="1" t="s">
        <v>686</v>
      </c>
      <c r="B746" s="26" t="s">
        <v>1</v>
      </c>
      <c r="C746" s="90" t="s">
        <v>419</v>
      </c>
      <c r="D746" s="91"/>
    </row>
    <row r="747" spans="1:4" ht="42.75" customHeight="1" thickBot="1">
      <c r="A747" s="26"/>
      <c r="B747" s="26" t="s">
        <v>0</v>
      </c>
      <c r="C747" s="5" t="s">
        <v>687</v>
      </c>
      <c r="D747" s="4" t="s">
        <v>2</v>
      </c>
    </row>
    <row r="748" spans="1:4" ht="42.75" customHeight="1" thickBot="1">
      <c r="A748" s="92">
        <v>200</v>
      </c>
      <c r="B748" s="93"/>
      <c r="C748" s="94" t="s">
        <v>3</v>
      </c>
      <c r="D748" s="95"/>
    </row>
    <row r="749" spans="1:4" ht="42.75" customHeight="1" thickBot="1">
      <c r="A749" s="92">
        <v>380</v>
      </c>
      <c r="B749" s="93"/>
      <c r="C749" s="96" t="s">
        <v>4</v>
      </c>
      <c r="D749" s="97"/>
    </row>
    <row r="750" spans="1:4" ht="42.75" customHeight="1" thickBot="1">
      <c r="A750" s="98">
        <f>A749-A748</f>
        <v>180</v>
      </c>
      <c r="B750" s="99"/>
      <c r="C750" s="100" t="s">
        <v>5</v>
      </c>
      <c r="D750" s="97"/>
    </row>
    <row r="751" spans="1:4" ht="42.75" customHeight="1" thickBot="1">
      <c r="A751" s="101">
        <v>40</v>
      </c>
      <c r="B751" s="102"/>
      <c r="C751" s="96" t="s">
        <v>6</v>
      </c>
      <c r="D751" s="97"/>
    </row>
    <row r="752" spans="1:4" ht="42.75" customHeight="1" thickBot="1">
      <c r="A752" s="103"/>
      <c r="B752" s="104"/>
      <c r="C752" s="96" t="s">
        <v>21</v>
      </c>
      <c r="D752" s="97"/>
    </row>
    <row r="753" spans="1:4" ht="42.75" customHeight="1" thickBot="1">
      <c r="A753" s="105">
        <f>A751*A750</f>
        <v>7200</v>
      </c>
      <c r="B753" s="106"/>
      <c r="C753" s="96" t="s">
        <v>7</v>
      </c>
      <c r="D753" s="97"/>
    </row>
    <row r="754" spans="1:4" ht="42.75" customHeight="1" thickBot="1">
      <c r="A754" s="107" t="s">
        <v>17</v>
      </c>
      <c r="B754" s="108"/>
      <c r="C754" s="108"/>
      <c r="D754" s="109"/>
    </row>
    <row r="755" spans="1:4" ht="42.75" customHeight="1" thickBot="1">
      <c r="A755" s="110" t="s">
        <v>20</v>
      </c>
      <c r="B755" s="111"/>
      <c r="C755" s="111"/>
      <c r="D755" s="112"/>
    </row>
    <row r="756" spans="1:4" ht="42.75" customHeight="1" thickBot="1">
      <c r="A756" s="113" t="s">
        <v>18</v>
      </c>
      <c r="B756" s="114"/>
      <c r="C756" s="114"/>
      <c r="D756" s="115"/>
    </row>
    <row r="757" spans="1:4" ht="42.75" customHeight="1" thickBot="1">
      <c r="A757" s="126" t="s">
        <v>19</v>
      </c>
      <c r="B757" s="127"/>
      <c r="C757" s="127"/>
      <c r="D757" s="128"/>
    </row>
    <row r="758" spans="1:4" ht="42.75" customHeight="1" thickBot="1">
      <c r="A758" s="123" t="s">
        <v>11</v>
      </c>
      <c r="B758" s="124"/>
      <c r="C758" s="125" t="s">
        <v>603</v>
      </c>
      <c r="D758" s="124"/>
    </row>
    <row r="759" spans="1:4" ht="42.75" customHeight="1" thickBot="1">
      <c r="A759" s="1" t="s">
        <v>686</v>
      </c>
      <c r="B759" s="26" t="s">
        <v>1</v>
      </c>
      <c r="C759" s="90" t="s">
        <v>420</v>
      </c>
      <c r="D759" s="91"/>
    </row>
    <row r="760" spans="1:4" ht="42.75" customHeight="1" thickBot="1">
      <c r="A760" s="26"/>
      <c r="B760" s="26" t="s">
        <v>0</v>
      </c>
      <c r="C760" s="5" t="s">
        <v>687</v>
      </c>
      <c r="D760" s="4" t="s">
        <v>2</v>
      </c>
    </row>
    <row r="761" spans="1:4" ht="42.75" customHeight="1" thickBot="1">
      <c r="A761" s="92">
        <v>1580</v>
      </c>
      <c r="B761" s="93"/>
      <c r="C761" s="94" t="s">
        <v>3</v>
      </c>
      <c r="D761" s="95"/>
    </row>
    <row r="762" spans="1:4" ht="42.75" customHeight="1" thickBot="1">
      <c r="A762" s="92">
        <v>1580</v>
      </c>
      <c r="B762" s="93"/>
      <c r="C762" s="96" t="s">
        <v>4</v>
      </c>
      <c r="D762" s="97"/>
    </row>
    <row r="763" spans="1:4" ht="42.75" customHeight="1" thickBot="1">
      <c r="A763" s="98">
        <f>A762-A761</f>
        <v>0</v>
      </c>
      <c r="B763" s="99"/>
      <c r="C763" s="100" t="s">
        <v>5</v>
      </c>
      <c r="D763" s="97"/>
    </row>
    <row r="764" spans="1:4" ht="42.75" customHeight="1" thickBot="1">
      <c r="A764" s="101">
        <v>62</v>
      </c>
      <c r="B764" s="102"/>
      <c r="C764" s="96" t="s">
        <v>6</v>
      </c>
      <c r="D764" s="97"/>
    </row>
    <row r="765" spans="1:4" ht="42.75" customHeight="1" thickBot="1">
      <c r="A765" s="103"/>
      <c r="B765" s="104"/>
      <c r="C765" s="96" t="s">
        <v>21</v>
      </c>
      <c r="D765" s="97"/>
    </row>
    <row r="766" spans="1:4" ht="42.75" customHeight="1" thickBot="1">
      <c r="A766" s="105">
        <f>A764*A763</f>
        <v>0</v>
      </c>
      <c r="B766" s="106"/>
      <c r="C766" s="96" t="s">
        <v>7</v>
      </c>
      <c r="D766" s="97"/>
    </row>
    <row r="767" spans="1:4" ht="42.75" customHeight="1" thickBot="1">
      <c r="A767" s="107" t="s">
        <v>17</v>
      </c>
      <c r="B767" s="108"/>
      <c r="C767" s="108"/>
      <c r="D767" s="109"/>
    </row>
    <row r="768" spans="1:4" ht="42.75" customHeight="1" thickBot="1">
      <c r="A768" s="116" t="s">
        <v>20</v>
      </c>
      <c r="B768" s="117"/>
      <c r="C768" s="117"/>
      <c r="D768" s="118"/>
    </row>
    <row r="769" spans="1:4" ht="42.75" customHeight="1" thickBot="1">
      <c r="A769" s="113" t="s">
        <v>18</v>
      </c>
      <c r="B769" s="114"/>
      <c r="C769" s="114"/>
      <c r="D769" s="115"/>
    </row>
    <row r="770" spans="1:4" ht="42.75" customHeight="1" thickBot="1">
      <c r="A770" s="119"/>
      <c r="B770" s="119"/>
      <c r="C770" s="119"/>
      <c r="D770" s="119"/>
    </row>
    <row r="771" spans="1:4" ht="42.75" customHeight="1" thickBot="1">
      <c r="A771" s="126" t="s">
        <v>19</v>
      </c>
      <c r="B771" s="127"/>
      <c r="C771" s="127"/>
      <c r="D771" s="128"/>
    </row>
    <row r="772" spans="1:4" ht="42.75" customHeight="1" thickBot="1">
      <c r="A772" s="123" t="s">
        <v>11</v>
      </c>
      <c r="B772" s="124"/>
      <c r="C772" s="125" t="s">
        <v>603</v>
      </c>
      <c r="D772" s="124"/>
    </row>
    <row r="773" spans="1:4" ht="42.75" customHeight="1" thickBot="1">
      <c r="A773" s="1" t="s">
        <v>686</v>
      </c>
      <c r="B773" s="26" t="s">
        <v>1</v>
      </c>
      <c r="C773" s="90" t="s">
        <v>420</v>
      </c>
      <c r="D773" s="91"/>
    </row>
    <row r="774" spans="1:4" ht="42.75" customHeight="1" thickBot="1">
      <c r="A774" s="26"/>
      <c r="B774" s="26" t="s">
        <v>0</v>
      </c>
      <c r="C774" s="5" t="s">
        <v>687</v>
      </c>
      <c r="D774" s="4" t="s">
        <v>2</v>
      </c>
    </row>
    <row r="775" spans="1:4" ht="42.75" customHeight="1" thickBot="1">
      <c r="A775" s="92">
        <v>1560</v>
      </c>
      <c r="B775" s="93"/>
      <c r="C775" s="94" t="s">
        <v>3</v>
      </c>
      <c r="D775" s="95"/>
    </row>
    <row r="776" spans="1:4" ht="42.75" customHeight="1" thickBot="1">
      <c r="A776" s="92">
        <v>1580</v>
      </c>
      <c r="B776" s="93"/>
      <c r="C776" s="96" t="s">
        <v>4</v>
      </c>
      <c r="D776" s="97"/>
    </row>
    <row r="777" spans="1:4" ht="42.75" customHeight="1" thickBot="1">
      <c r="A777" s="98">
        <f>A776-A775</f>
        <v>20</v>
      </c>
      <c r="B777" s="99"/>
      <c r="C777" s="100" t="s">
        <v>5</v>
      </c>
      <c r="D777" s="97"/>
    </row>
    <row r="778" spans="1:4" ht="42.75" customHeight="1" thickBot="1">
      <c r="A778" s="101">
        <v>62</v>
      </c>
      <c r="B778" s="102"/>
      <c r="C778" s="96" t="s">
        <v>6</v>
      </c>
      <c r="D778" s="97"/>
    </row>
    <row r="779" spans="1:4" ht="42.75" customHeight="1" thickBot="1">
      <c r="A779" s="103"/>
      <c r="B779" s="104"/>
      <c r="C779" s="96" t="s">
        <v>21</v>
      </c>
      <c r="D779" s="97"/>
    </row>
    <row r="780" spans="1:4" ht="42.75" customHeight="1" thickBot="1">
      <c r="A780" s="105">
        <v>1250</v>
      </c>
      <c r="B780" s="106"/>
      <c r="C780" s="96" t="s">
        <v>7</v>
      </c>
      <c r="D780" s="97"/>
    </row>
    <row r="781" spans="1:4" ht="42.75" customHeight="1" thickBot="1">
      <c r="A781" s="107" t="s">
        <v>17</v>
      </c>
      <c r="B781" s="108"/>
      <c r="C781" s="108"/>
      <c r="D781" s="109"/>
    </row>
    <row r="782" spans="1:4" ht="42.75" customHeight="1" thickBot="1">
      <c r="A782" s="110" t="s">
        <v>20</v>
      </c>
      <c r="B782" s="111"/>
      <c r="C782" s="111"/>
      <c r="D782" s="112"/>
    </row>
    <row r="783" spans="1:4" ht="42.75" customHeight="1" thickBot="1">
      <c r="A783" s="113" t="s">
        <v>18</v>
      </c>
      <c r="B783" s="114"/>
      <c r="C783" s="114"/>
      <c r="D783" s="115"/>
    </row>
    <row r="784" spans="1:4" ht="42.75" customHeight="1" thickBot="1">
      <c r="A784" s="126" t="s">
        <v>19</v>
      </c>
      <c r="B784" s="127"/>
      <c r="C784" s="127"/>
      <c r="D784" s="128"/>
    </row>
    <row r="785" spans="1:4" ht="42.75" customHeight="1" thickBot="1">
      <c r="A785" s="123" t="s">
        <v>11</v>
      </c>
      <c r="B785" s="124"/>
      <c r="C785" s="125" t="s">
        <v>603</v>
      </c>
      <c r="D785" s="124"/>
    </row>
    <row r="786" spans="1:4" ht="42.75" customHeight="1" thickBot="1">
      <c r="A786" s="1" t="s">
        <v>686</v>
      </c>
      <c r="B786" s="26" t="s">
        <v>1</v>
      </c>
      <c r="C786" s="90" t="s">
        <v>421</v>
      </c>
      <c r="D786" s="91"/>
    </row>
    <row r="787" spans="1:4" ht="42.75" customHeight="1" thickBot="1">
      <c r="A787" s="26"/>
      <c r="B787" s="26" t="s">
        <v>0</v>
      </c>
      <c r="C787" s="5" t="s">
        <v>687</v>
      </c>
      <c r="D787" s="4" t="s">
        <v>2</v>
      </c>
    </row>
    <row r="788" spans="1:4" ht="42.75" customHeight="1" thickBot="1">
      <c r="A788" s="92">
        <v>965</v>
      </c>
      <c r="B788" s="93"/>
      <c r="C788" s="94" t="s">
        <v>3</v>
      </c>
      <c r="D788" s="95"/>
    </row>
    <row r="789" spans="1:4" ht="42.75" customHeight="1" thickBot="1">
      <c r="A789" s="92">
        <v>965</v>
      </c>
      <c r="B789" s="93"/>
      <c r="C789" s="96" t="s">
        <v>4</v>
      </c>
      <c r="D789" s="97"/>
    </row>
    <row r="790" spans="1:4" ht="42.75" customHeight="1" thickBot="1">
      <c r="A790" s="98">
        <f>A789-A788</f>
        <v>0</v>
      </c>
      <c r="B790" s="99"/>
      <c r="C790" s="100" t="s">
        <v>5</v>
      </c>
      <c r="D790" s="97"/>
    </row>
    <row r="791" spans="1:4" ht="42.75" customHeight="1" thickBot="1">
      <c r="A791" s="101">
        <v>62</v>
      </c>
      <c r="B791" s="102"/>
      <c r="C791" s="96" t="s">
        <v>6</v>
      </c>
      <c r="D791" s="97"/>
    </row>
    <row r="792" spans="1:4" ht="42.75" customHeight="1" thickBot="1">
      <c r="A792" s="103"/>
      <c r="B792" s="104"/>
      <c r="C792" s="96" t="s">
        <v>21</v>
      </c>
      <c r="D792" s="97"/>
    </row>
    <row r="793" spans="1:4" ht="42.75" customHeight="1" thickBot="1">
      <c r="A793" s="105">
        <f>A791*A790</f>
        <v>0</v>
      </c>
      <c r="B793" s="106"/>
      <c r="C793" s="96" t="s">
        <v>7</v>
      </c>
      <c r="D793" s="97"/>
    </row>
    <row r="794" spans="1:4" ht="42.75" customHeight="1" thickBot="1">
      <c r="A794" s="107" t="s">
        <v>17</v>
      </c>
      <c r="B794" s="108"/>
      <c r="C794" s="108"/>
      <c r="D794" s="109"/>
    </row>
    <row r="795" spans="1:4" ht="42.75" customHeight="1" thickBot="1">
      <c r="A795" s="116" t="s">
        <v>20</v>
      </c>
      <c r="B795" s="117"/>
      <c r="C795" s="117"/>
      <c r="D795" s="118"/>
    </row>
    <row r="796" spans="1:4" ht="42.75" customHeight="1" thickBot="1">
      <c r="A796" s="113" t="s">
        <v>18</v>
      </c>
      <c r="B796" s="114"/>
      <c r="C796" s="114"/>
      <c r="D796" s="115"/>
    </row>
    <row r="797" spans="1:4" ht="42.75" customHeight="1" thickBot="1">
      <c r="A797" s="119"/>
      <c r="B797" s="119"/>
      <c r="C797" s="119"/>
      <c r="D797" s="119"/>
    </row>
    <row r="798" spans="1:4" ht="42.75" customHeight="1" thickBot="1">
      <c r="A798" s="126" t="s">
        <v>19</v>
      </c>
      <c r="B798" s="127"/>
      <c r="C798" s="127"/>
      <c r="D798" s="128"/>
    </row>
    <row r="799" spans="1:4" ht="42.75" customHeight="1" thickBot="1">
      <c r="A799" s="123" t="s">
        <v>11</v>
      </c>
      <c r="B799" s="124"/>
      <c r="C799" s="125" t="s">
        <v>603</v>
      </c>
      <c r="D799" s="124"/>
    </row>
    <row r="800" spans="1:4" ht="42.75" customHeight="1" thickBot="1">
      <c r="A800" s="1" t="s">
        <v>686</v>
      </c>
      <c r="B800" s="26" t="s">
        <v>1</v>
      </c>
      <c r="C800" s="90" t="s">
        <v>421</v>
      </c>
      <c r="D800" s="91"/>
    </row>
    <row r="801" spans="1:4" ht="42.75" customHeight="1" thickBot="1">
      <c r="A801" s="26"/>
      <c r="B801" s="26" t="s">
        <v>0</v>
      </c>
      <c r="C801" s="5" t="s">
        <v>687</v>
      </c>
      <c r="D801" s="4" t="s">
        <v>2</v>
      </c>
    </row>
    <row r="802" spans="1:4" ht="42.75" customHeight="1" thickBot="1">
      <c r="A802" s="92">
        <v>955</v>
      </c>
      <c r="B802" s="93"/>
      <c r="C802" s="94" t="s">
        <v>3</v>
      </c>
      <c r="D802" s="95"/>
    </row>
    <row r="803" spans="1:4" ht="42.75" customHeight="1" thickBot="1">
      <c r="A803" s="92">
        <v>965</v>
      </c>
      <c r="B803" s="93"/>
      <c r="C803" s="96" t="s">
        <v>4</v>
      </c>
      <c r="D803" s="97"/>
    </row>
    <row r="804" spans="1:4" ht="42.75" customHeight="1" thickBot="1">
      <c r="A804" s="98">
        <f>A803-A802</f>
        <v>10</v>
      </c>
      <c r="B804" s="99"/>
      <c r="C804" s="100" t="s">
        <v>5</v>
      </c>
      <c r="D804" s="97"/>
    </row>
    <row r="805" spans="1:4" ht="42.75" customHeight="1" thickBot="1">
      <c r="A805" s="101">
        <v>62</v>
      </c>
      <c r="B805" s="102"/>
      <c r="C805" s="96" t="s">
        <v>6</v>
      </c>
      <c r="D805" s="97"/>
    </row>
    <row r="806" spans="1:4" ht="42.75" customHeight="1" thickBot="1">
      <c r="A806" s="103"/>
      <c r="B806" s="104"/>
      <c r="C806" s="96" t="s">
        <v>21</v>
      </c>
      <c r="D806" s="97"/>
    </row>
    <row r="807" spans="1:4" ht="42.75" customHeight="1" thickBot="1">
      <c r="A807" s="105">
        <v>600</v>
      </c>
      <c r="B807" s="106"/>
      <c r="C807" s="96" t="s">
        <v>7</v>
      </c>
      <c r="D807" s="97"/>
    </row>
    <row r="808" spans="1:4" ht="42.75" customHeight="1" thickBot="1">
      <c r="A808" s="107" t="s">
        <v>17</v>
      </c>
      <c r="B808" s="108"/>
      <c r="C808" s="108"/>
      <c r="D808" s="109"/>
    </row>
    <row r="809" spans="1:4" ht="42.75" customHeight="1" thickBot="1">
      <c r="A809" s="110" t="s">
        <v>20</v>
      </c>
      <c r="B809" s="111"/>
      <c r="C809" s="111"/>
      <c r="D809" s="112"/>
    </row>
    <row r="810" spans="1:4" ht="42.75" customHeight="1" thickBot="1">
      <c r="A810" s="113" t="s">
        <v>18</v>
      </c>
      <c r="B810" s="114"/>
      <c r="C810" s="114"/>
      <c r="D810" s="115"/>
    </row>
    <row r="811" spans="1:4" ht="42.75" customHeight="1" thickBot="1">
      <c r="A811" s="126" t="s">
        <v>19</v>
      </c>
      <c r="B811" s="127"/>
      <c r="C811" s="127"/>
      <c r="D811" s="128"/>
    </row>
    <row r="812" spans="1:4" ht="42.75" customHeight="1" thickBot="1">
      <c r="A812" s="123" t="s">
        <v>11</v>
      </c>
      <c r="B812" s="124"/>
      <c r="C812" s="125" t="s">
        <v>603</v>
      </c>
      <c r="D812" s="124"/>
    </row>
    <row r="813" spans="1:4" ht="42.75" customHeight="1" thickBot="1">
      <c r="A813" s="1" t="s">
        <v>686</v>
      </c>
      <c r="B813" s="26" t="s">
        <v>1</v>
      </c>
      <c r="C813" s="90" t="s">
        <v>380</v>
      </c>
      <c r="D813" s="91"/>
    </row>
    <row r="814" spans="1:4" ht="42.75" customHeight="1" thickBot="1">
      <c r="A814" s="26"/>
      <c r="B814" s="92">
        <v>1500</v>
      </c>
      <c r="C814" s="93"/>
      <c r="D814" s="4" t="s">
        <v>2</v>
      </c>
    </row>
    <row r="815" spans="1:4" ht="42.75" customHeight="1" thickBot="1">
      <c r="A815" s="92">
        <v>1510</v>
      </c>
      <c r="B815" s="93"/>
      <c r="C815" s="94" t="s">
        <v>3</v>
      </c>
      <c r="D815" s="95"/>
    </row>
    <row r="816" spans="1:4" ht="42.75" customHeight="1" thickBot="1">
      <c r="A816" s="92">
        <v>1510</v>
      </c>
      <c r="B816" s="93"/>
      <c r="C816" s="96" t="s">
        <v>4</v>
      </c>
      <c r="D816" s="97"/>
    </row>
    <row r="817" spans="1:4" ht="42.75" customHeight="1" thickBot="1">
      <c r="A817" s="98">
        <f>A816-A815</f>
        <v>0</v>
      </c>
      <c r="B817" s="99"/>
      <c r="C817" s="100" t="s">
        <v>5</v>
      </c>
      <c r="D817" s="97"/>
    </row>
    <row r="818" spans="1:4" ht="42.75" customHeight="1" thickBot="1">
      <c r="A818" s="101">
        <v>62</v>
      </c>
      <c r="B818" s="102"/>
      <c r="C818" s="96" t="s">
        <v>6</v>
      </c>
      <c r="D818" s="97"/>
    </row>
    <row r="819" spans="1:4" ht="42.75" customHeight="1" thickBot="1">
      <c r="A819" s="103"/>
      <c r="B819" s="104"/>
      <c r="C819" s="96" t="s">
        <v>21</v>
      </c>
      <c r="D819" s="97"/>
    </row>
    <row r="820" spans="1:4" ht="42.75" customHeight="1" thickBot="1">
      <c r="A820" s="105">
        <f>A818*A817</f>
        <v>0</v>
      </c>
      <c r="B820" s="106"/>
      <c r="C820" s="96" t="s">
        <v>7</v>
      </c>
      <c r="D820" s="97"/>
    </row>
    <row r="821" spans="1:4" ht="42.75" customHeight="1" thickBot="1">
      <c r="A821" s="107" t="s">
        <v>17</v>
      </c>
      <c r="B821" s="108"/>
      <c r="C821" s="108"/>
      <c r="D821" s="109"/>
    </row>
    <row r="822" spans="1:4" ht="42.75" customHeight="1" thickBot="1">
      <c r="A822" s="116" t="s">
        <v>20</v>
      </c>
      <c r="B822" s="117"/>
      <c r="C822" s="117"/>
      <c r="D822" s="118"/>
    </row>
    <row r="823" spans="1:4" ht="42.75" customHeight="1" thickBot="1">
      <c r="A823" s="113" t="s">
        <v>18</v>
      </c>
      <c r="B823" s="114"/>
      <c r="C823" s="114"/>
      <c r="D823" s="115"/>
    </row>
    <row r="824" spans="1:4" ht="42.75" customHeight="1" thickBot="1">
      <c r="A824" s="119"/>
      <c r="B824" s="119"/>
      <c r="C824" s="119"/>
      <c r="D824" s="119"/>
    </row>
    <row r="825" spans="1:4" ht="42.75" customHeight="1" thickBot="1">
      <c r="A825" s="126" t="s">
        <v>19</v>
      </c>
      <c r="B825" s="127"/>
      <c r="C825" s="127"/>
      <c r="D825" s="128"/>
    </row>
    <row r="826" spans="1:4" ht="42.75" customHeight="1" thickBot="1">
      <c r="A826" s="123" t="s">
        <v>11</v>
      </c>
      <c r="B826" s="124"/>
      <c r="C826" s="125" t="s">
        <v>603</v>
      </c>
      <c r="D826" s="124"/>
    </row>
    <row r="827" spans="1:4" ht="42.75" customHeight="1" thickBot="1">
      <c r="A827" s="1" t="s">
        <v>686</v>
      </c>
      <c r="B827" s="26" t="s">
        <v>1</v>
      </c>
      <c r="C827" s="90" t="s">
        <v>380</v>
      </c>
      <c r="D827" s="91"/>
    </row>
    <row r="828" spans="1:4" ht="42.75" customHeight="1" thickBot="1">
      <c r="A828" s="26"/>
      <c r="B828" s="26" t="s">
        <v>0</v>
      </c>
      <c r="C828" s="5" t="s">
        <v>687</v>
      </c>
      <c r="D828" s="4" t="s">
        <v>2</v>
      </c>
    </row>
    <row r="829" spans="1:4" ht="42.75" customHeight="1" thickBot="1">
      <c r="A829" s="92">
        <v>1500</v>
      </c>
      <c r="B829" s="93"/>
      <c r="C829" s="94" t="s">
        <v>3</v>
      </c>
      <c r="D829" s="95"/>
    </row>
    <row r="830" spans="1:4" ht="42.75" customHeight="1" thickBot="1">
      <c r="A830" s="92">
        <v>1510</v>
      </c>
      <c r="B830" s="93"/>
      <c r="C830" s="96" t="s">
        <v>4</v>
      </c>
      <c r="D830" s="97"/>
    </row>
    <row r="831" spans="1:4" ht="42.75" customHeight="1" thickBot="1">
      <c r="A831" s="98">
        <f>A830-A829</f>
        <v>10</v>
      </c>
      <c r="B831" s="99"/>
      <c r="C831" s="100" t="s">
        <v>5</v>
      </c>
      <c r="D831" s="97"/>
    </row>
    <row r="832" spans="1:4" ht="42.75" customHeight="1" thickBot="1">
      <c r="A832" s="101">
        <v>62</v>
      </c>
      <c r="B832" s="102"/>
      <c r="C832" s="96" t="s">
        <v>6</v>
      </c>
      <c r="D832" s="97"/>
    </row>
    <row r="833" spans="1:4" ht="42.75" customHeight="1" thickBot="1">
      <c r="A833" s="103"/>
      <c r="B833" s="104"/>
      <c r="C833" s="96" t="s">
        <v>21</v>
      </c>
      <c r="D833" s="97"/>
    </row>
    <row r="834" spans="1:4" ht="42.75" customHeight="1" thickBot="1">
      <c r="A834" s="105">
        <v>600</v>
      </c>
      <c r="B834" s="106"/>
      <c r="C834" s="96" t="s">
        <v>7</v>
      </c>
      <c r="D834" s="97"/>
    </row>
    <row r="835" spans="1:4" ht="42.75" customHeight="1" thickBot="1">
      <c r="A835" s="107" t="s">
        <v>17</v>
      </c>
      <c r="B835" s="108"/>
      <c r="C835" s="108"/>
      <c r="D835" s="109"/>
    </row>
    <row r="836" spans="1:4" ht="42.75" customHeight="1" thickBot="1">
      <c r="A836" s="110" t="s">
        <v>20</v>
      </c>
      <c r="B836" s="111"/>
      <c r="C836" s="111"/>
      <c r="D836" s="112"/>
    </row>
    <row r="837" spans="1:4" ht="42.75" customHeight="1" thickBot="1">
      <c r="A837" s="113" t="s">
        <v>18</v>
      </c>
      <c r="B837" s="114"/>
      <c r="C837" s="114"/>
      <c r="D837" s="115"/>
    </row>
    <row r="838" spans="1:4" ht="42.75" customHeight="1" thickBot="1">
      <c r="A838" s="126" t="s">
        <v>19</v>
      </c>
      <c r="B838" s="127"/>
      <c r="C838" s="127"/>
      <c r="D838" s="128"/>
    </row>
    <row r="839" spans="1:4" ht="42.75" customHeight="1" thickBot="1">
      <c r="A839" s="123" t="s">
        <v>11</v>
      </c>
      <c r="B839" s="124"/>
      <c r="C839" s="125" t="s">
        <v>603</v>
      </c>
      <c r="D839" s="124"/>
    </row>
    <row r="840" spans="1:4" ht="42.75" customHeight="1" thickBot="1">
      <c r="A840" s="1" t="s">
        <v>686</v>
      </c>
      <c r="B840" s="26" t="s">
        <v>1</v>
      </c>
      <c r="C840" s="90" t="s">
        <v>422</v>
      </c>
      <c r="D840" s="91"/>
    </row>
    <row r="841" spans="1:4" ht="42.75" customHeight="1" thickBot="1">
      <c r="A841" s="26"/>
      <c r="B841" s="26" t="s">
        <v>0</v>
      </c>
      <c r="C841" s="5" t="s">
        <v>687</v>
      </c>
      <c r="D841" s="4" t="s">
        <v>2</v>
      </c>
    </row>
    <row r="842" spans="1:4" ht="42.75" customHeight="1" thickBot="1">
      <c r="A842" s="92">
        <v>510</v>
      </c>
      <c r="B842" s="93"/>
      <c r="C842" s="94" t="s">
        <v>3</v>
      </c>
      <c r="D842" s="95"/>
    </row>
    <row r="843" spans="1:4" ht="42.75" customHeight="1" thickBot="1">
      <c r="A843" s="92">
        <v>510</v>
      </c>
      <c r="B843" s="93"/>
      <c r="C843" s="96" t="s">
        <v>4</v>
      </c>
      <c r="D843" s="97"/>
    </row>
    <row r="844" spans="1:4" ht="42.75" customHeight="1" thickBot="1">
      <c r="A844" s="98">
        <f>A843-A842</f>
        <v>0</v>
      </c>
      <c r="B844" s="99"/>
      <c r="C844" s="100" t="s">
        <v>5</v>
      </c>
      <c r="D844" s="97"/>
    </row>
    <row r="845" spans="1:4" ht="42.75" customHeight="1" thickBot="1">
      <c r="A845" s="101">
        <v>62</v>
      </c>
      <c r="B845" s="102"/>
      <c r="C845" s="96" t="s">
        <v>6</v>
      </c>
      <c r="D845" s="97"/>
    </row>
    <row r="846" spans="1:4" ht="42.75" customHeight="1" thickBot="1">
      <c r="A846" s="103"/>
      <c r="B846" s="104"/>
      <c r="C846" s="96" t="s">
        <v>21</v>
      </c>
      <c r="D846" s="97"/>
    </row>
    <row r="847" spans="1:4" ht="42.75" customHeight="1" thickBot="1">
      <c r="A847" s="105">
        <f>A845*A844</f>
        <v>0</v>
      </c>
      <c r="B847" s="106"/>
      <c r="C847" s="96" t="s">
        <v>7</v>
      </c>
      <c r="D847" s="97"/>
    </row>
    <row r="848" spans="1:4" ht="42.75" customHeight="1" thickBot="1">
      <c r="A848" s="107" t="s">
        <v>17</v>
      </c>
      <c r="B848" s="108"/>
      <c r="C848" s="108"/>
      <c r="D848" s="109"/>
    </row>
    <row r="849" spans="1:4" ht="42.75" customHeight="1" thickBot="1">
      <c r="A849" s="116" t="s">
        <v>20</v>
      </c>
      <c r="B849" s="117"/>
      <c r="C849" s="117"/>
      <c r="D849" s="118"/>
    </row>
    <row r="850" spans="1:4" ht="42.75" customHeight="1" thickBot="1">
      <c r="A850" s="113" t="s">
        <v>18</v>
      </c>
      <c r="B850" s="114"/>
      <c r="C850" s="114"/>
      <c r="D850" s="115"/>
    </row>
    <row r="851" spans="1:4" ht="42.75" customHeight="1" thickBot="1">
      <c r="A851" s="119"/>
      <c r="B851" s="119"/>
      <c r="C851" s="119"/>
      <c r="D851" s="119"/>
    </row>
    <row r="852" spans="1:4" ht="42.75" customHeight="1" thickBot="1">
      <c r="A852" s="126" t="s">
        <v>19</v>
      </c>
      <c r="B852" s="127"/>
      <c r="C852" s="127"/>
      <c r="D852" s="128"/>
    </row>
    <row r="853" spans="1:4" ht="42.75" customHeight="1" thickBot="1">
      <c r="A853" s="123" t="s">
        <v>11</v>
      </c>
      <c r="B853" s="124"/>
      <c r="C853" s="125" t="s">
        <v>603</v>
      </c>
      <c r="D853" s="124"/>
    </row>
    <row r="854" spans="1:4" ht="42.75" customHeight="1" thickBot="1">
      <c r="A854" s="1" t="s">
        <v>686</v>
      </c>
      <c r="B854" s="26" t="s">
        <v>1</v>
      </c>
      <c r="C854" s="90" t="s">
        <v>422</v>
      </c>
      <c r="D854" s="91"/>
    </row>
    <row r="855" spans="1:4" ht="42.75" customHeight="1" thickBot="1">
      <c r="A855" s="26"/>
      <c r="B855" s="26" t="s">
        <v>0</v>
      </c>
      <c r="C855" s="5" t="s">
        <v>687</v>
      </c>
      <c r="D855" s="4" t="s">
        <v>2</v>
      </c>
    </row>
    <row r="856" spans="1:4" ht="42.75" customHeight="1" thickBot="1">
      <c r="A856" s="92">
        <v>494</v>
      </c>
      <c r="B856" s="93"/>
      <c r="C856" s="94" t="s">
        <v>3</v>
      </c>
      <c r="D856" s="95"/>
    </row>
    <row r="857" spans="1:4" ht="42.75" customHeight="1" thickBot="1">
      <c r="A857" s="92">
        <v>510</v>
      </c>
      <c r="B857" s="93"/>
      <c r="C857" s="96" t="s">
        <v>4</v>
      </c>
      <c r="D857" s="97"/>
    </row>
    <row r="858" spans="1:4" ht="42.75" customHeight="1" thickBot="1">
      <c r="A858" s="98">
        <f>A857-A856</f>
        <v>16</v>
      </c>
      <c r="B858" s="99"/>
      <c r="C858" s="100" t="s">
        <v>5</v>
      </c>
      <c r="D858" s="97"/>
    </row>
    <row r="859" spans="1:4" ht="42.75" customHeight="1" thickBot="1">
      <c r="A859" s="101">
        <v>62</v>
      </c>
      <c r="B859" s="102"/>
      <c r="C859" s="96" t="s">
        <v>6</v>
      </c>
      <c r="D859" s="97"/>
    </row>
    <row r="860" spans="1:4" ht="42.75" customHeight="1" thickBot="1">
      <c r="A860" s="103"/>
      <c r="B860" s="104"/>
      <c r="C860" s="96" t="s">
        <v>21</v>
      </c>
      <c r="D860" s="97"/>
    </row>
    <row r="861" spans="1:4" ht="42.75" customHeight="1" thickBot="1">
      <c r="A861" s="105">
        <v>1000</v>
      </c>
      <c r="B861" s="106"/>
      <c r="C861" s="96" t="s">
        <v>7</v>
      </c>
      <c r="D861" s="97"/>
    </row>
    <row r="862" spans="1:4" ht="42.75" customHeight="1" thickBot="1">
      <c r="A862" s="107" t="s">
        <v>17</v>
      </c>
      <c r="B862" s="108"/>
      <c r="C862" s="108"/>
      <c r="D862" s="109"/>
    </row>
    <row r="863" spans="1:4" ht="42.75" customHeight="1" thickBot="1">
      <c r="A863" s="110" t="s">
        <v>20</v>
      </c>
      <c r="B863" s="111"/>
      <c r="C863" s="111"/>
      <c r="D863" s="112"/>
    </row>
    <row r="864" spans="1:4" ht="42.75" customHeight="1" thickBot="1">
      <c r="A864" s="113" t="s">
        <v>18</v>
      </c>
      <c r="B864" s="114"/>
      <c r="C864" s="114"/>
      <c r="D864" s="115"/>
    </row>
    <row r="865" spans="1:4" ht="42.75" customHeight="1" thickBot="1">
      <c r="A865" s="126" t="s">
        <v>19</v>
      </c>
      <c r="B865" s="127"/>
      <c r="C865" s="127"/>
      <c r="D865" s="128"/>
    </row>
    <row r="866" spans="1:4" ht="42.75" customHeight="1" thickBot="1">
      <c r="A866" s="123" t="s">
        <v>11</v>
      </c>
      <c r="B866" s="124"/>
      <c r="C866" s="125" t="s">
        <v>603</v>
      </c>
      <c r="D866" s="124"/>
    </row>
    <row r="867" spans="1:4" ht="42.75" customHeight="1" thickBot="1">
      <c r="A867" s="1" t="s">
        <v>686</v>
      </c>
      <c r="B867" s="26" t="s">
        <v>1</v>
      </c>
      <c r="C867" s="90" t="s">
        <v>113</v>
      </c>
      <c r="D867" s="91"/>
    </row>
    <row r="868" spans="1:4" ht="42.75" customHeight="1" thickBot="1">
      <c r="A868" s="26"/>
      <c r="B868" s="26" t="s">
        <v>0</v>
      </c>
      <c r="C868" s="5" t="s">
        <v>687</v>
      </c>
      <c r="D868" s="4" t="s">
        <v>2</v>
      </c>
    </row>
    <row r="869" spans="1:4" ht="42.75" customHeight="1" thickBot="1">
      <c r="A869" s="92">
        <v>658</v>
      </c>
      <c r="B869" s="93"/>
      <c r="C869" s="94" t="s">
        <v>3</v>
      </c>
      <c r="D869" s="95"/>
    </row>
    <row r="870" spans="1:4" ht="42.75" customHeight="1" thickBot="1">
      <c r="A870" s="92">
        <v>658</v>
      </c>
      <c r="B870" s="93"/>
      <c r="C870" s="96" t="s">
        <v>4</v>
      </c>
      <c r="D870" s="97"/>
    </row>
    <row r="871" spans="1:4" ht="42.75" customHeight="1" thickBot="1">
      <c r="A871" s="98">
        <f>A870-A869</f>
        <v>0</v>
      </c>
      <c r="B871" s="99"/>
      <c r="C871" s="100" t="s">
        <v>5</v>
      </c>
      <c r="D871" s="97"/>
    </row>
    <row r="872" spans="1:4" ht="42.75" customHeight="1" thickBot="1">
      <c r="A872" s="101">
        <v>62</v>
      </c>
      <c r="B872" s="102"/>
      <c r="C872" s="96" t="s">
        <v>6</v>
      </c>
      <c r="D872" s="97"/>
    </row>
    <row r="873" spans="1:4" ht="42.75" customHeight="1" thickBot="1">
      <c r="A873" s="103"/>
      <c r="B873" s="104"/>
      <c r="C873" s="96" t="s">
        <v>21</v>
      </c>
      <c r="D873" s="97"/>
    </row>
    <row r="874" spans="1:4" ht="42.75" customHeight="1" thickBot="1">
      <c r="A874" s="105">
        <f>A872*A871</f>
        <v>0</v>
      </c>
      <c r="B874" s="106"/>
      <c r="C874" s="96" t="s">
        <v>7</v>
      </c>
      <c r="D874" s="97"/>
    </row>
    <row r="875" spans="1:4" ht="42.75" customHeight="1" thickBot="1">
      <c r="A875" s="107" t="s">
        <v>17</v>
      </c>
      <c r="B875" s="108"/>
      <c r="C875" s="108"/>
      <c r="D875" s="109"/>
    </row>
    <row r="876" spans="1:4" ht="42.75" customHeight="1" thickBot="1">
      <c r="A876" s="116" t="s">
        <v>20</v>
      </c>
      <c r="B876" s="117"/>
      <c r="C876" s="117"/>
      <c r="D876" s="118"/>
    </row>
    <row r="877" spans="1:4" ht="42.75" customHeight="1" thickBot="1">
      <c r="A877" s="113" t="s">
        <v>18</v>
      </c>
      <c r="B877" s="114"/>
      <c r="C877" s="114"/>
      <c r="D877" s="115"/>
    </row>
    <row r="878" spans="1:4" ht="42.75" customHeight="1" thickBot="1">
      <c r="A878" s="119"/>
      <c r="B878" s="119"/>
      <c r="C878" s="119"/>
      <c r="D878" s="119"/>
    </row>
    <row r="879" spans="1:4" ht="42.75" customHeight="1" thickBot="1">
      <c r="A879" s="126" t="s">
        <v>19</v>
      </c>
      <c r="B879" s="127"/>
      <c r="C879" s="127"/>
      <c r="D879" s="128"/>
    </row>
    <row r="880" spans="1:4" ht="42.75" customHeight="1" thickBot="1">
      <c r="A880" s="123" t="s">
        <v>11</v>
      </c>
      <c r="B880" s="124"/>
      <c r="C880" s="125" t="s">
        <v>603</v>
      </c>
      <c r="D880" s="124"/>
    </row>
    <row r="881" spans="1:4" ht="42.75" customHeight="1" thickBot="1">
      <c r="A881" s="1" t="s">
        <v>686</v>
      </c>
      <c r="B881" s="26" t="s">
        <v>1</v>
      </c>
      <c r="C881" s="90" t="s">
        <v>113</v>
      </c>
      <c r="D881" s="91"/>
    </row>
    <row r="882" spans="1:4" ht="42.75" customHeight="1" thickBot="1">
      <c r="A882" s="26"/>
      <c r="B882" s="26" t="s">
        <v>0</v>
      </c>
      <c r="C882" s="5" t="s">
        <v>687</v>
      </c>
      <c r="D882" s="4" t="s">
        <v>2</v>
      </c>
    </row>
    <row r="883" spans="1:4" ht="42.75" customHeight="1" thickBot="1">
      <c r="A883" s="92">
        <v>640</v>
      </c>
      <c r="B883" s="93"/>
      <c r="C883" s="94" t="s">
        <v>3</v>
      </c>
      <c r="D883" s="95"/>
    </row>
    <row r="884" spans="1:4" ht="42.75" customHeight="1" thickBot="1">
      <c r="A884" s="92">
        <v>658</v>
      </c>
      <c r="B884" s="93"/>
      <c r="C884" s="96" t="s">
        <v>4</v>
      </c>
      <c r="D884" s="97"/>
    </row>
    <row r="885" spans="1:4" ht="42.75" customHeight="1" thickBot="1">
      <c r="A885" s="98">
        <f>A884-A883</f>
        <v>18</v>
      </c>
      <c r="B885" s="99"/>
      <c r="C885" s="100" t="s">
        <v>5</v>
      </c>
      <c r="D885" s="97"/>
    </row>
    <row r="886" spans="1:4" ht="42.75" customHeight="1" thickBot="1">
      <c r="A886" s="101">
        <v>62</v>
      </c>
      <c r="B886" s="102"/>
      <c r="C886" s="96" t="s">
        <v>6</v>
      </c>
      <c r="D886" s="97"/>
    </row>
    <row r="887" spans="1:4" ht="42.75" customHeight="1" thickBot="1">
      <c r="A887" s="103"/>
      <c r="B887" s="104"/>
      <c r="C887" s="96" t="s">
        <v>21</v>
      </c>
      <c r="D887" s="97"/>
    </row>
    <row r="888" spans="1:4" ht="42.75" customHeight="1" thickBot="1">
      <c r="A888" s="105">
        <v>1100</v>
      </c>
      <c r="B888" s="106"/>
      <c r="C888" s="96" t="s">
        <v>7</v>
      </c>
      <c r="D888" s="97"/>
    </row>
    <row r="889" spans="1:4" ht="42.75" customHeight="1" thickBot="1">
      <c r="A889" s="107" t="s">
        <v>17</v>
      </c>
      <c r="B889" s="108"/>
      <c r="C889" s="108"/>
      <c r="D889" s="109"/>
    </row>
    <row r="890" spans="1:4" ht="42.75" customHeight="1" thickBot="1">
      <c r="A890" s="110" t="s">
        <v>20</v>
      </c>
      <c r="B890" s="111"/>
      <c r="C890" s="111"/>
      <c r="D890" s="112"/>
    </row>
    <row r="891" spans="1:4" ht="42.75" customHeight="1" thickBot="1">
      <c r="A891" s="113" t="s">
        <v>18</v>
      </c>
      <c r="B891" s="114"/>
      <c r="C891" s="114"/>
      <c r="D891" s="115"/>
    </row>
    <row r="892" spans="1:4" ht="42.75" customHeight="1" thickBot="1">
      <c r="A892" s="126" t="s">
        <v>19</v>
      </c>
      <c r="B892" s="127"/>
      <c r="C892" s="127"/>
      <c r="D892" s="128"/>
    </row>
    <row r="893" spans="1:4" ht="42.75" customHeight="1" thickBot="1">
      <c r="A893" s="123" t="s">
        <v>11</v>
      </c>
      <c r="B893" s="124"/>
      <c r="C893" s="125" t="s">
        <v>603</v>
      </c>
      <c r="D893" s="124"/>
    </row>
    <row r="894" spans="1:4" ht="42.75" customHeight="1" thickBot="1">
      <c r="A894" s="1" t="s">
        <v>686</v>
      </c>
      <c r="B894" s="26" t="s">
        <v>1</v>
      </c>
      <c r="C894" s="90" t="s">
        <v>423</v>
      </c>
      <c r="D894" s="91"/>
    </row>
    <row r="895" spans="1:4" ht="42.75" customHeight="1" thickBot="1">
      <c r="A895" s="26"/>
      <c r="B895" s="26" t="s">
        <v>0</v>
      </c>
      <c r="C895" s="5" t="s">
        <v>687</v>
      </c>
      <c r="D895" s="4" t="s">
        <v>2</v>
      </c>
    </row>
    <row r="896" spans="1:4" ht="42.75" customHeight="1" thickBot="1">
      <c r="A896" s="92">
        <v>658</v>
      </c>
      <c r="B896" s="93"/>
      <c r="C896" s="94" t="s">
        <v>3</v>
      </c>
      <c r="D896" s="95"/>
    </row>
    <row r="897" spans="1:4" ht="42.75" customHeight="1" thickBot="1">
      <c r="A897" s="92">
        <v>658</v>
      </c>
      <c r="B897" s="93"/>
      <c r="C897" s="96" t="s">
        <v>4</v>
      </c>
      <c r="D897" s="97"/>
    </row>
    <row r="898" spans="1:4" ht="42.75" customHeight="1" thickBot="1">
      <c r="A898" s="98">
        <v>0</v>
      </c>
      <c r="B898" s="99"/>
      <c r="C898" s="100" t="s">
        <v>5</v>
      </c>
      <c r="D898" s="97"/>
    </row>
    <row r="899" spans="1:4" ht="42.75" customHeight="1" thickBot="1">
      <c r="A899" s="101">
        <v>62</v>
      </c>
      <c r="B899" s="102"/>
      <c r="C899" s="96" t="s">
        <v>6</v>
      </c>
      <c r="D899" s="97"/>
    </row>
    <row r="900" spans="1:4" ht="42.75" customHeight="1" thickBot="1">
      <c r="A900" s="103"/>
      <c r="B900" s="104"/>
      <c r="C900" s="96" t="s">
        <v>21</v>
      </c>
      <c r="D900" s="97"/>
    </row>
    <row r="901" spans="1:4" ht="42.75" customHeight="1" thickBot="1">
      <c r="A901" s="105">
        <f>A899*A898</f>
        <v>0</v>
      </c>
      <c r="B901" s="106"/>
      <c r="C901" s="96" t="s">
        <v>7</v>
      </c>
      <c r="D901" s="97"/>
    </row>
    <row r="902" spans="1:4" ht="42.75" customHeight="1" thickBot="1">
      <c r="A902" s="107" t="s">
        <v>17</v>
      </c>
      <c r="B902" s="108"/>
      <c r="C902" s="108"/>
      <c r="D902" s="109"/>
    </row>
    <row r="903" spans="1:4" ht="42.75" customHeight="1" thickBot="1">
      <c r="A903" s="116" t="s">
        <v>20</v>
      </c>
      <c r="B903" s="117"/>
      <c r="C903" s="117"/>
      <c r="D903" s="118"/>
    </row>
    <row r="904" spans="1:4" ht="42.75" customHeight="1" thickBot="1">
      <c r="A904" s="113" t="s">
        <v>18</v>
      </c>
      <c r="B904" s="114"/>
      <c r="C904" s="114"/>
      <c r="D904" s="115"/>
    </row>
    <row r="905" spans="1:4" ht="42.75" customHeight="1" thickBot="1">
      <c r="A905" s="119"/>
      <c r="B905" s="119"/>
      <c r="C905" s="119"/>
      <c r="D905" s="119"/>
    </row>
    <row r="906" spans="1:4" ht="42.75" customHeight="1" thickBot="1">
      <c r="A906" s="126" t="s">
        <v>19</v>
      </c>
      <c r="B906" s="127"/>
      <c r="C906" s="127"/>
      <c r="D906" s="128"/>
    </row>
    <row r="907" spans="1:4" ht="42.75" customHeight="1" thickBot="1">
      <c r="A907" s="123" t="s">
        <v>11</v>
      </c>
      <c r="B907" s="124"/>
      <c r="C907" s="125" t="s">
        <v>603</v>
      </c>
      <c r="D907" s="124"/>
    </row>
    <row r="908" spans="1:4" ht="42.75" customHeight="1" thickBot="1">
      <c r="A908" s="1" t="s">
        <v>686</v>
      </c>
      <c r="B908" s="26" t="s">
        <v>1</v>
      </c>
      <c r="C908" s="90" t="s">
        <v>423</v>
      </c>
      <c r="D908" s="91"/>
    </row>
    <row r="909" spans="1:4" ht="42.75" customHeight="1" thickBot="1">
      <c r="A909" s="26"/>
      <c r="B909" s="26" t="s">
        <v>0</v>
      </c>
      <c r="C909" s="5" t="s">
        <v>687</v>
      </c>
      <c r="D909" s="4" t="s">
        <v>2</v>
      </c>
    </row>
    <row r="910" spans="1:4" ht="42.75" customHeight="1" thickBot="1">
      <c r="A910" s="92">
        <v>1055</v>
      </c>
      <c r="B910" s="93"/>
      <c r="C910" s="94" t="s">
        <v>3</v>
      </c>
      <c r="D910" s="95"/>
    </row>
    <row r="911" spans="1:4" ht="42.75" customHeight="1" thickBot="1">
      <c r="A911" s="92">
        <v>0</v>
      </c>
      <c r="B911" s="93"/>
      <c r="C911" s="96" t="s">
        <v>4</v>
      </c>
      <c r="D911" s="97"/>
    </row>
    <row r="912" spans="1:4" ht="42.75" customHeight="1" thickBot="1">
      <c r="A912" s="98">
        <v>0</v>
      </c>
      <c r="B912" s="99"/>
      <c r="C912" s="100" t="s">
        <v>5</v>
      </c>
      <c r="D912" s="97"/>
    </row>
    <row r="913" spans="1:4" ht="42.75" customHeight="1" thickBot="1">
      <c r="A913" s="101">
        <v>62</v>
      </c>
      <c r="B913" s="102"/>
      <c r="C913" s="96" t="s">
        <v>6</v>
      </c>
      <c r="D913" s="97"/>
    </row>
    <row r="914" spans="1:4" ht="42.75" customHeight="1" thickBot="1">
      <c r="A914" s="103"/>
      <c r="B914" s="104"/>
      <c r="C914" s="96" t="s">
        <v>21</v>
      </c>
      <c r="D914" s="97"/>
    </row>
    <row r="915" spans="1:4" ht="42.75" customHeight="1" thickBot="1">
      <c r="A915" s="105">
        <f>A913*A912</f>
        <v>0</v>
      </c>
      <c r="B915" s="106"/>
      <c r="C915" s="96" t="s">
        <v>7</v>
      </c>
      <c r="D915" s="97"/>
    </row>
    <row r="916" spans="1:4" ht="42.75" customHeight="1" thickBot="1">
      <c r="A916" s="107" t="s">
        <v>17</v>
      </c>
      <c r="B916" s="108"/>
      <c r="C916" s="108"/>
      <c r="D916" s="109"/>
    </row>
    <row r="917" spans="1:4" ht="42.75" customHeight="1" thickBot="1">
      <c r="A917" s="110" t="s">
        <v>20</v>
      </c>
      <c r="B917" s="111"/>
      <c r="C917" s="111"/>
      <c r="D917" s="112"/>
    </row>
    <row r="918" spans="1:4" ht="42.75" customHeight="1" thickBot="1">
      <c r="A918" s="113" t="s">
        <v>18</v>
      </c>
      <c r="B918" s="114"/>
      <c r="C918" s="114"/>
      <c r="D918" s="115"/>
    </row>
    <row r="919" spans="1:4" ht="42.75" customHeight="1" thickBot="1">
      <c r="A919" s="126" t="s">
        <v>19</v>
      </c>
      <c r="B919" s="127"/>
      <c r="C919" s="127"/>
      <c r="D919" s="128"/>
    </row>
    <row r="920" spans="1:4" ht="42.75" customHeight="1" thickBot="1">
      <c r="A920" s="123" t="s">
        <v>11</v>
      </c>
      <c r="B920" s="124"/>
      <c r="C920" s="125" t="s">
        <v>603</v>
      </c>
      <c r="D920" s="124"/>
    </row>
    <row r="921" spans="1:4" ht="42.75" customHeight="1" thickBot="1">
      <c r="A921" s="1" t="s">
        <v>686</v>
      </c>
      <c r="B921" s="26" t="s">
        <v>1</v>
      </c>
      <c r="C921" s="90" t="s">
        <v>424</v>
      </c>
      <c r="D921" s="91"/>
    </row>
    <row r="922" spans="1:4" ht="42.75" customHeight="1" thickBot="1">
      <c r="A922" s="26"/>
      <c r="B922" s="26" t="s">
        <v>0</v>
      </c>
      <c r="C922" s="5" t="s">
        <v>687</v>
      </c>
      <c r="D922" s="4" t="s">
        <v>2</v>
      </c>
    </row>
    <row r="923" spans="1:4" ht="42.75" customHeight="1" thickBot="1">
      <c r="A923" s="92">
        <v>215</v>
      </c>
      <c r="B923" s="93"/>
      <c r="C923" s="94" t="s">
        <v>3</v>
      </c>
      <c r="D923" s="95"/>
    </row>
    <row r="924" spans="1:4" ht="42.75" customHeight="1" thickBot="1">
      <c r="A924" s="92">
        <v>215</v>
      </c>
      <c r="B924" s="93"/>
      <c r="C924" s="96" t="s">
        <v>4</v>
      </c>
      <c r="D924" s="97"/>
    </row>
    <row r="925" spans="1:4" ht="42.75" customHeight="1" thickBot="1">
      <c r="A925" s="98">
        <f>A924-A923</f>
        <v>0</v>
      </c>
      <c r="B925" s="99"/>
      <c r="C925" s="100" t="s">
        <v>5</v>
      </c>
      <c r="D925" s="97"/>
    </row>
    <row r="926" spans="1:4" ht="42.75" customHeight="1" thickBot="1">
      <c r="A926" s="101">
        <v>62</v>
      </c>
      <c r="B926" s="102"/>
      <c r="C926" s="96" t="s">
        <v>6</v>
      </c>
      <c r="D926" s="97"/>
    </row>
    <row r="927" spans="1:4" ht="42.75" customHeight="1" thickBot="1">
      <c r="A927" s="103"/>
      <c r="B927" s="104"/>
      <c r="C927" s="96" t="s">
        <v>21</v>
      </c>
      <c r="D927" s="97"/>
    </row>
    <row r="928" spans="1:4" ht="42.75" customHeight="1" thickBot="1">
      <c r="A928" s="105">
        <f>A926*A925</f>
        <v>0</v>
      </c>
      <c r="B928" s="106"/>
      <c r="C928" s="96" t="s">
        <v>7</v>
      </c>
      <c r="D928" s="97"/>
    </row>
    <row r="929" spans="1:4" ht="42.75" customHeight="1" thickBot="1">
      <c r="A929" s="107" t="s">
        <v>17</v>
      </c>
      <c r="B929" s="108"/>
      <c r="C929" s="108"/>
      <c r="D929" s="109"/>
    </row>
    <row r="930" spans="1:4" ht="42.75" customHeight="1" thickBot="1">
      <c r="A930" s="116" t="s">
        <v>20</v>
      </c>
      <c r="B930" s="117"/>
      <c r="C930" s="117"/>
      <c r="D930" s="118"/>
    </row>
    <row r="931" spans="1:4" ht="42.75" customHeight="1" thickBot="1">
      <c r="A931" s="113" t="s">
        <v>18</v>
      </c>
      <c r="B931" s="114"/>
      <c r="C931" s="114"/>
      <c r="D931" s="115"/>
    </row>
    <row r="932" spans="1:4" ht="42.75" customHeight="1" thickBot="1">
      <c r="A932" s="119"/>
      <c r="B932" s="119"/>
      <c r="C932" s="119"/>
      <c r="D932" s="119"/>
    </row>
    <row r="933" spans="1:4" ht="42.75" customHeight="1" thickBot="1">
      <c r="A933" s="126" t="s">
        <v>19</v>
      </c>
      <c r="B933" s="127"/>
      <c r="C933" s="127"/>
      <c r="D933" s="128"/>
    </row>
    <row r="934" spans="1:4" ht="42.75" customHeight="1" thickBot="1">
      <c r="A934" s="123" t="s">
        <v>11</v>
      </c>
      <c r="B934" s="124"/>
      <c r="C934" s="125" t="s">
        <v>603</v>
      </c>
      <c r="D934" s="124"/>
    </row>
    <row r="935" spans="1:4" ht="42.75" customHeight="1" thickBot="1">
      <c r="A935" s="1" t="s">
        <v>686</v>
      </c>
      <c r="B935" s="26" t="s">
        <v>1</v>
      </c>
      <c r="C935" s="90" t="s">
        <v>424</v>
      </c>
      <c r="D935" s="91"/>
    </row>
    <row r="936" spans="1:4" ht="42.75" customHeight="1" thickBot="1">
      <c r="A936" s="26"/>
      <c r="B936" s="26" t="s">
        <v>0</v>
      </c>
      <c r="C936" s="5" t="s">
        <v>687</v>
      </c>
      <c r="D936" s="4" t="s">
        <v>2</v>
      </c>
    </row>
    <row r="937" spans="1:4" ht="42.75" customHeight="1" thickBot="1">
      <c r="A937" s="92">
        <v>211</v>
      </c>
      <c r="B937" s="93"/>
      <c r="C937" s="94" t="s">
        <v>3</v>
      </c>
      <c r="D937" s="95"/>
    </row>
    <row r="938" spans="1:4" ht="42.75" customHeight="1" thickBot="1">
      <c r="A938" s="92">
        <v>215</v>
      </c>
      <c r="B938" s="93"/>
      <c r="C938" s="96" t="s">
        <v>4</v>
      </c>
      <c r="D938" s="97"/>
    </row>
    <row r="939" spans="1:4" ht="42.75" customHeight="1" thickBot="1">
      <c r="A939" s="98">
        <v>10</v>
      </c>
      <c r="B939" s="99"/>
      <c r="C939" s="100" t="s">
        <v>5</v>
      </c>
      <c r="D939" s="97"/>
    </row>
    <row r="940" spans="1:4" ht="42.75" customHeight="1" thickBot="1">
      <c r="A940" s="101">
        <v>62</v>
      </c>
      <c r="B940" s="102"/>
      <c r="C940" s="96" t="s">
        <v>6</v>
      </c>
      <c r="D940" s="97"/>
    </row>
    <row r="941" spans="1:4" ht="42.75" customHeight="1" thickBot="1">
      <c r="A941" s="103"/>
      <c r="B941" s="104"/>
      <c r="C941" s="96" t="s">
        <v>21</v>
      </c>
      <c r="D941" s="97"/>
    </row>
    <row r="942" spans="1:4" ht="42.75" customHeight="1" thickBot="1">
      <c r="A942" s="105">
        <v>600</v>
      </c>
      <c r="B942" s="106"/>
      <c r="C942" s="96" t="s">
        <v>7</v>
      </c>
      <c r="D942" s="97"/>
    </row>
    <row r="943" spans="1:4" ht="42.75" customHeight="1" thickBot="1">
      <c r="A943" s="107" t="s">
        <v>17</v>
      </c>
      <c r="B943" s="108"/>
      <c r="C943" s="108"/>
      <c r="D943" s="109"/>
    </row>
    <row r="944" spans="1:4" ht="42.75" customHeight="1" thickBot="1">
      <c r="A944" s="110" t="s">
        <v>20</v>
      </c>
      <c r="B944" s="111"/>
      <c r="C944" s="111"/>
      <c r="D944" s="112"/>
    </row>
    <row r="945" spans="1:4" ht="42.75" customHeight="1" thickBot="1">
      <c r="A945" s="113" t="s">
        <v>18</v>
      </c>
      <c r="B945" s="114"/>
      <c r="C945" s="114"/>
      <c r="D945" s="115"/>
    </row>
    <row r="946" spans="1:4" ht="42.75" customHeight="1" thickBot="1">
      <c r="A946" s="126" t="s">
        <v>19</v>
      </c>
      <c r="B946" s="127"/>
      <c r="C946" s="127"/>
      <c r="D946" s="128"/>
    </row>
    <row r="947" spans="1:4" ht="42.75" customHeight="1" thickBot="1">
      <c r="A947" s="123" t="s">
        <v>11</v>
      </c>
      <c r="B947" s="124"/>
      <c r="C947" s="125" t="s">
        <v>603</v>
      </c>
      <c r="D947" s="124"/>
    </row>
    <row r="948" spans="1:4" ht="42.75" customHeight="1" thickBot="1">
      <c r="A948" s="1" t="s">
        <v>686</v>
      </c>
      <c r="B948" s="26" t="s">
        <v>1</v>
      </c>
      <c r="C948" s="90" t="s">
        <v>425</v>
      </c>
      <c r="D948" s="91"/>
    </row>
    <row r="949" spans="1:4" ht="42.75" customHeight="1" thickBot="1">
      <c r="A949" s="26"/>
      <c r="B949" s="26" t="s">
        <v>0</v>
      </c>
      <c r="C949" s="5" t="s">
        <v>687</v>
      </c>
      <c r="D949" s="4" t="s">
        <v>2</v>
      </c>
    </row>
    <row r="950" spans="1:4" ht="42.75" customHeight="1" thickBot="1">
      <c r="A950" s="92">
        <v>1025</v>
      </c>
      <c r="B950" s="93"/>
      <c r="C950" s="94" t="s">
        <v>3</v>
      </c>
      <c r="D950" s="95"/>
    </row>
    <row r="951" spans="1:4" ht="42.75" customHeight="1" thickBot="1">
      <c r="A951" s="92">
        <v>1025</v>
      </c>
      <c r="B951" s="93"/>
      <c r="C951" s="96" t="s">
        <v>4</v>
      </c>
      <c r="D951" s="97"/>
    </row>
    <row r="952" spans="1:4" ht="42.75" customHeight="1" thickBot="1">
      <c r="A952" s="98">
        <f>A951-A950</f>
        <v>0</v>
      </c>
      <c r="B952" s="99"/>
      <c r="C952" s="100" t="s">
        <v>5</v>
      </c>
      <c r="D952" s="97"/>
    </row>
    <row r="953" spans="1:4" ht="42.75" customHeight="1" thickBot="1">
      <c r="A953" s="101">
        <v>62</v>
      </c>
      <c r="B953" s="102"/>
      <c r="C953" s="96" t="s">
        <v>6</v>
      </c>
      <c r="D953" s="97"/>
    </row>
    <row r="954" spans="1:4" ht="42.75" customHeight="1" thickBot="1">
      <c r="A954" s="103"/>
      <c r="B954" s="104"/>
      <c r="C954" s="96" t="s">
        <v>21</v>
      </c>
      <c r="D954" s="97"/>
    </row>
    <row r="955" spans="1:4" ht="42.75" customHeight="1" thickBot="1">
      <c r="A955" s="105">
        <f>A953*A952</f>
        <v>0</v>
      </c>
      <c r="B955" s="106"/>
      <c r="C955" s="96" t="s">
        <v>7</v>
      </c>
      <c r="D955" s="97"/>
    </row>
    <row r="956" spans="1:4" ht="42.75" customHeight="1" thickBot="1">
      <c r="A956" s="107" t="s">
        <v>17</v>
      </c>
      <c r="B956" s="108"/>
      <c r="C956" s="108"/>
      <c r="D956" s="109"/>
    </row>
    <row r="957" spans="1:4" ht="42.75" customHeight="1" thickBot="1">
      <c r="A957" s="116" t="s">
        <v>20</v>
      </c>
      <c r="B957" s="117"/>
      <c r="C957" s="117"/>
      <c r="D957" s="118"/>
    </row>
    <row r="958" spans="1:4" ht="42.75" customHeight="1" thickBot="1">
      <c r="A958" s="113" t="s">
        <v>18</v>
      </c>
      <c r="B958" s="114"/>
      <c r="C958" s="114"/>
      <c r="D958" s="115"/>
    </row>
    <row r="959" spans="1:4" ht="42.75" customHeight="1" thickBot="1">
      <c r="A959" s="119"/>
      <c r="B959" s="119"/>
      <c r="C959" s="119"/>
      <c r="D959" s="119"/>
    </row>
    <row r="960" spans="1:4" ht="42.75" customHeight="1" thickBot="1">
      <c r="A960" s="126" t="s">
        <v>19</v>
      </c>
      <c r="B960" s="127"/>
      <c r="C960" s="127"/>
      <c r="D960" s="128"/>
    </row>
    <row r="961" spans="1:4" ht="42.75" customHeight="1" thickBot="1">
      <c r="A961" s="123" t="s">
        <v>11</v>
      </c>
      <c r="B961" s="124"/>
      <c r="C961" s="125" t="s">
        <v>603</v>
      </c>
      <c r="D961" s="124"/>
    </row>
    <row r="962" spans="1:4" ht="42.75" customHeight="1" thickBot="1">
      <c r="A962" s="1" t="s">
        <v>686</v>
      </c>
      <c r="B962" s="26" t="s">
        <v>1</v>
      </c>
      <c r="C962" s="90" t="s">
        <v>425</v>
      </c>
      <c r="D962" s="91"/>
    </row>
    <row r="963" spans="1:4" ht="42.75" customHeight="1" thickBot="1">
      <c r="A963" s="26"/>
      <c r="B963" s="26" t="s">
        <v>0</v>
      </c>
      <c r="C963" s="5" t="s">
        <v>687</v>
      </c>
      <c r="D963" s="4" t="s">
        <v>2</v>
      </c>
    </row>
    <row r="964" spans="1:4" ht="42.75" customHeight="1" thickBot="1">
      <c r="A964" s="92">
        <v>975</v>
      </c>
      <c r="B964" s="93"/>
      <c r="C964" s="94" t="s">
        <v>3</v>
      </c>
      <c r="D964" s="95"/>
    </row>
    <row r="965" spans="1:4" ht="42.75" customHeight="1" thickBot="1">
      <c r="A965" s="92">
        <v>1025</v>
      </c>
      <c r="B965" s="93"/>
      <c r="C965" s="96" t="s">
        <v>4</v>
      </c>
      <c r="D965" s="97"/>
    </row>
    <row r="966" spans="1:4" ht="42.75" customHeight="1" thickBot="1">
      <c r="A966" s="98">
        <f>A965-A964</f>
        <v>50</v>
      </c>
      <c r="B966" s="99"/>
      <c r="C966" s="100" t="s">
        <v>5</v>
      </c>
      <c r="D966" s="97"/>
    </row>
    <row r="967" spans="1:4" ht="42.75" customHeight="1" thickBot="1">
      <c r="A967" s="101">
        <v>62</v>
      </c>
      <c r="B967" s="102"/>
      <c r="C967" s="96" t="s">
        <v>6</v>
      </c>
      <c r="D967" s="97"/>
    </row>
    <row r="968" spans="1:4" ht="42.75" customHeight="1" thickBot="1">
      <c r="A968" s="103"/>
      <c r="B968" s="104"/>
      <c r="C968" s="96" t="s">
        <v>21</v>
      </c>
      <c r="D968" s="97"/>
    </row>
    <row r="969" spans="1:4" ht="42.75" customHeight="1" thickBot="1">
      <c r="A969" s="105">
        <f>A967*A966</f>
        <v>3100</v>
      </c>
      <c r="B969" s="106"/>
      <c r="C969" s="96" t="s">
        <v>7</v>
      </c>
      <c r="D969" s="97"/>
    </row>
    <row r="970" spans="1:4" ht="42.75" customHeight="1" thickBot="1">
      <c r="A970" s="107" t="s">
        <v>17</v>
      </c>
      <c r="B970" s="108"/>
      <c r="C970" s="108"/>
      <c r="D970" s="109"/>
    </row>
    <row r="971" spans="1:4" ht="42.75" customHeight="1" thickBot="1">
      <c r="A971" s="110" t="s">
        <v>20</v>
      </c>
      <c r="B971" s="111"/>
      <c r="C971" s="111"/>
      <c r="D971" s="112"/>
    </row>
    <row r="972" spans="1:4" ht="42.75" customHeight="1" thickBot="1">
      <c r="A972" s="113" t="s">
        <v>18</v>
      </c>
      <c r="B972" s="114"/>
      <c r="C972" s="114"/>
      <c r="D972" s="115"/>
    </row>
    <row r="973" spans="1:4" ht="42.75" customHeight="1" thickBot="1">
      <c r="A973" s="126" t="s">
        <v>19</v>
      </c>
      <c r="B973" s="127"/>
      <c r="C973" s="127"/>
      <c r="D973" s="128"/>
    </row>
    <row r="974" spans="1:4" ht="42.75" customHeight="1" thickBot="1">
      <c r="A974" s="123" t="s">
        <v>11</v>
      </c>
      <c r="B974" s="124"/>
      <c r="C974" s="125" t="s">
        <v>603</v>
      </c>
      <c r="D974" s="124"/>
    </row>
    <row r="975" spans="1:4" ht="42.75" customHeight="1" thickBot="1">
      <c r="A975" s="1" t="s">
        <v>686</v>
      </c>
      <c r="B975" s="26" t="s">
        <v>1</v>
      </c>
      <c r="C975" s="90" t="s">
        <v>426</v>
      </c>
      <c r="D975" s="91"/>
    </row>
    <row r="976" spans="1:4" ht="42.75" customHeight="1" thickBot="1">
      <c r="A976" s="26"/>
      <c r="B976" s="26" t="s">
        <v>0</v>
      </c>
      <c r="C976" s="5" t="s">
        <v>687</v>
      </c>
      <c r="D976" s="4" t="s">
        <v>2</v>
      </c>
    </row>
    <row r="977" spans="1:4" ht="42.75" customHeight="1" thickBot="1">
      <c r="A977" s="92">
        <v>36115</v>
      </c>
      <c r="B977" s="93"/>
      <c r="C977" s="94" t="s">
        <v>3</v>
      </c>
      <c r="D977" s="95"/>
    </row>
    <row r="978" spans="1:4" ht="42.75" customHeight="1" thickBot="1">
      <c r="A978" s="92">
        <v>36115</v>
      </c>
      <c r="B978" s="93"/>
      <c r="C978" s="96" t="s">
        <v>4</v>
      </c>
      <c r="D978" s="97"/>
    </row>
    <row r="979" spans="1:4" ht="42.75" customHeight="1" thickBot="1">
      <c r="A979" s="98">
        <f>A978-A977</f>
        <v>0</v>
      </c>
      <c r="B979" s="99"/>
      <c r="C979" s="100" t="s">
        <v>5</v>
      </c>
      <c r="D979" s="97"/>
    </row>
    <row r="980" spans="1:4" ht="42.75" customHeight="1" thickBot="1">
      <c r="A980" s="101">
        <v>60</v>
      </c>
      <c r="B980" s="102"/>
      <c r="C980" s="96" t="s">
        <v>6</v>
      </c>
      <c r="D980" s="97"/>
    </row>
    <row r="981" spans="1:4" ht="42.75" customHeight="1" thickBot="1">
      <c r="A981" s="103"/>
      <c r="B981" s="104"/>
      <c r="C981" s="96" t="s">
        <v>21</v>
      </c>
      <c r="D981" s="97"/>
    </row>
    <row r="982" spans="1:4" ht="42.75" customHeight="1" thickBot="1">
      <c r="A982" s="105">
        <f>A980*A979</f>
        <v>0</v>
      </c>
      <c r="B982" s="106"/>
      <c r="C982" s="96" t="s">
        <v>7</v>
      </c>
      <c r="D982" s="97"/>
    </row>
    <row r="983" spans="1:4" ht="42.75" customHeight="1" thickBot="1">
      <c r="A983" s="107" t="s">
        <v>539</v>
      </c>
      <c r="B983" s="108"/>
      <c r="C983" s="108"/>
      <c r="D983" s="109"/>
    </row>
    <row r="984" spans="1:4" ht="42.75" customHeight="1" thickBot="1">
      <c r="A984" s="116" t="s">
        <v>20</v>
      </c>
      <c r="B984" s="117"/>
      <c r="C984" s="117"/>
      <c r="D984" s="118"/>
    </row>
    <row r="985" spans="1:4" ht="42.75" customHeight="1" thickBot="1">
      <c r="A985" s="113" t="s">
        <v>18</v>
      </c>
      <c r="B985" s="114"/>
      <c r="C985" s="114"/>
      <c r="D985" s="115"/>
    </row>
    <row r="986" spans="1:4" ht="42.75" customHeight="1" thickBot="1">
      <c r="A986" s="119"/>
      <c r="B986" s="119"/>
      <c r="C986" s="119"/>
      <c r="D986" s="119"/>
    </row>
    <row r="987" spans="1:4" ht="42.75" customHeight="1" thickBot="1">
      <c r="A987" s="126" t="s">
        <v>19</v>
      </c>
      <c r="B987" s="127"/>
      <c r="C987" s="127"/>
      <c r="D987" s="128"/>
    </row>
    <row r="988" spans="1:4" ht="42.75" customHeight="1" thickBot="1">
      <c r="A988" s="123" t="s">
        <v>11</v>
      </c>
      <c r="B988" s="124"/>
      <c r="C988" s="125" t="s">
        <v>603</v>
      </c>
      <c r="D988" s="124"/>
    </row>
    <row r="989" spans="1:4" ht="42.75" customHeight="1" thickBot="1">
      <c r="A989" s="1" t="s">
        <v>686</v>
      </c>
      <c r="B989" s="26" t="s">
        <v>1</v>
      </c>
      <c r="C989" s="90" t="s">
        <v>426</v>
      </c>
      <c r="D989" s="91"/>
    </row>
    <row r="990" spans="1:4" ht="42.75" customHeight="1" thickBot="1">
      <c r="A990" s="26"/>
      <c r="B990" s="26" t="s">
        <v>0</v>
      </c>
      <c r="C990" s="5" t="s">
        <v>687</v>
      </c>
      <c r="D990" s="4" t="s">
        <v>2</v>
      </c>
    </row>
    <row r="991" spans="1:4" ht="42.75" customHeight="1" thickBot="1">
      <c r="A991" s="92">
        <v>35865</v>
      </c>
      <c r="B991" s="93"/>
      <c r="C991" s="94" t="s">
        <v>3</v>
      </c>
      <c r="D991" s="95"/>
    </row>
    <row r="992" spans="1:4" ht="42.75" customHeight="1" thickBot="1">
      <c r="A992" s="92">
        <v>36115</v>
      </c>
      <c r="B992" s="93"/>
      <c r="C992" s="96" t="s">
        <v>4</v>
      </c>
      <c r="D992" s="97"/>
    </row>
    <row r="993" spans="1:4" ht="42.75" customHeight="1" thickBot="1">
      <c r="A993" s="98">
        <f>A992-A991</f>
        <v>250</v>
      </c>
      <c r="B993" s="99"/>
      <c r="C993" s="100" t="s">
        <v>5</v>
      </c>
      <c r="D993" s="97"/>
    </row>
    <row r="994" spans="1:4" ht="42.75" customHeight="1" thickBot="1">
      <c r="A994" s="101">
        <v>62</v>
      </c>
      <c r="B994" s="102"/>
      <c r="C994" s="96" t="s">
        <v>6</v>
      </c>
      <c r="D994" s="97"/>
    </row>
    <row r="995" spans="1:4" ht="42.75" customHeight="1" thickBot="1">
      <c r="A995" s="103"/>
      <c r="B995" s="104"/>
      <c r="C995" s="96" t="s">
        <v>21</v>
      </c>
      <c r="D995" s="97"/>
    </row>
    <row r="996" spans="1:4" ht="42.75" customHeight="1" thickBot="1">
      <c r="A996" s="105">
        <f>A994*A993</f>
        <v>15500</v>
      </c>
      <c r="B996" s="106"/>
      <c r="C996" s="96" t="s">
        <v>7</v>
      </c>
      <c r="D996" s="97"/>
    </row>
    <row r="997" spans="1:4" ht="42.75" customHeight="1" thickBot="1">
      <c r="A997" s="107" t="s">
        <v>539</v>
      </c>
      <c r="B997" s="108"/>
      <c r="C997" s="108"/>
      <c r="D997" s="109"/>
    </row>
    <row r="998" spans="1:4" ht="42.75" customHeight="1" thickBot="1">
      <c r="A998" s="110" t="s">
        <v>20</v>
      </c>
      <c r="B998" s="111"/>
      <c r="C998" s="111"/>
      <c r="D998" s="112"/>
    </row>
    <row r="999" spans="1:4" ht="42.75" customHeight="1" thickBot="1">
      <c r="A999" s="113" t="s">
        <v>18</v>
      </c>
      <c r="B999" s="114"/>
      <c r="C999" s="114"/>
      <c r="D999" s="115"/>
    </row>
    <row r="1000" spans="1:4" ht="42.75" customHeight="1" thickBot="1">
      <c r="A1000" s="126" t="s">
        <v>19</v>
      </c>
      <c r="B1000" s="127"/>
      <c r="C1000" s="127"/>
      <c r="D1000" s="128"/>
    </row>
    <row r="1001" spans="1:4" ht="42.75" customHeight="1" thickBot="1">
      <c r="A1001" s="123" t="s">
        <v>11</v>
      </c>
      <c r="B1001" s="124"/>
      <c r="C1001" s="125" t="s">
        <v>603</v>
      </c>
      <c r="D1001" s="124"/>
    </row>
    <row r="1002" spans="1:4" ht="42.75" customHeight="1" thickBot="1">
      <c r="A1002" s="1" t="s">
        <v>686</v>
      </c>
      <c r="B1002" s="26" t="s">
        <v>1</v>
      </c>
      <c r="C1002" s="90" t="s">
        <v>427</v>
      </c>
      <c r="D1002" s="91"/>
    </row>
    <row r="1003" spans="1:4" ht="42.75" customHeight="1" thickBot="1">
      <c r="A1003" s="26"/>
      <c r="B1003" s="26" t="s">
        <v>0</v>
      </c>
      <c r="C1003" s="5" t="s">
        <v>687</v>
      </c>
      <c r="D1003" s="4" t="s">
        <v>2</v>
      </c>
    </row>
    <row r="1004" spans="1:4" ht="42.75" customHeight="1" thickBot="1">
      <c r="A1004" s="92">
        <v>1735</v>
      </c>
      <c r="B1004" s="93"/>
      <c r="C1004" s="94" t="s">
        <v>3</v>
      </c>
      <c r="D1004" s="95"/>
    </row>
    <row r="1005" spans="1:4" ht="42.75" customHeight="1" thickBot="1">
      <c r="A1005" s="92">
        <v>1735</v>
      </c>
      <c r="B1005" s="93"/>
      <c r="C1005" s="96" t="s">
        <v>4</v>
      </c>
      <c r="D1005" s="97"/>
    </row>
    <row r="1006" spans="1:4" ht="42.75" customHeight="1" thickBot="1">
      <c r="A1006" s="98">
        <f>A1005-A1004</f>
        <v>0</v>
      </c>
      <c r="B1006" s="99"/>
      <c r="C1006" s="100" t="s">
        <v>5</v>
      </c>
      <c r="D1006" s="97"/>
    </row>
    <row r="1007" spans="1:4" ht="42.75" customHeight="1" thickBot="1">
      <c r="A1007" s="101">
        <v>50</v>
      </c>
      <c r="B1007" s="102"/>
      <c r="C1007" s="96" t="s">
        <v>6</v>
      </c>
      <c r="D1007" s="97"/>
    </row>
    <row r="1008" spans="1:4" ht="42.75" customHeight="1" thickBot="1">
      <c r="A1008" s="103"/>
      <c r="B1008" s="104"/>
      <c r="C1008" s="96" t="s">
        <v>21</v>
      </c>
      <c r="D1008" s="97"/>
    </row>
    <row r="1009" spans="1:4" ht="42.75" customHeight="1" thickBot="1">
      <c r="A1009" s="105">
        <f>A1007*A1006</f>
        <v>0</v>
      </c>
      <c r="B1009" s="106"/>
      <c r="C1009" s="96" t="s">
        <v>7</v>
      </c>
      <c r="D1009" s="97"/>
    </row>
    <row r="1010" spans="1:4" ht="42.75" customHeight="1" thickBot="1">
      <c r="A1010" s="107" t="s">
        <v>17</v>
      </c>
      <c r="B1010" s="108"/>
      <c r="C1010" s="108"/>
      <c r="D1010" s="109"/>
    </row>
    <row r="1011" spans="1:4" ht="42.75" customHeight="1" thickBot="1">
      <c r="A1011" s="116" t="s">
        <v>20</v>
      </c>
      <c r="B1011" s="117"/>
      <c r="C1011" s="117"/>
      <c r="D1011" s="118"/>
    </row>
    <row r="1012" spans="1:4" ht="42.75" customHeight="1" thickBot="1">
      <c r="A1012" s="113" t="s">
        <v>18</v>
      </c>
      <c r="B1012" s="114"/>
      <c r="C1012" s="114"/>
      <c r="D1012" s="115"/>
    </row>
    <row r="1013" spans="1:4" ht="42.75" customHeight="1" thickBot="1">
      <c r="A1013" s="119"/>
      <c r="B1013" s="119"/>
      <c r="C1013" s="119"/>
      <c r="D1013" s="119"/>
    </row>
    <row r="1014" spans="1:4" ht="42.75" customHeight="1" thickBot="1">
      <c r="A1014" s="126" t="s">
        <v>19</v>
      </c>
      <c r="B1014" s="127"/>
      <c r="C1014" s="127"/>
      <c r="D1014" s="128"/>
    </row>
    <row r="1015" spans="1:4" ht="42.75" customHeight="1" thickBot="1">
      <c r="A1015" s="123" t="s">
        <v>11</v>
      </c>
      <c r="B1015" s="124"/>
      <c r="C1015" s="125" t="s">
        <v>603</v>
      </c>
      <c r="D1015" s="124"/>
    </row>
    <row r="1016" spans="1:4" ht="42.75" customHeight="1" thickBot="1">
      <c r="A1016" s="1" t="s">
        <v>686</v>
      </c>
      <c r="B1016" s="26" t="s">
        <v>1</v>
      </c>
      <c r="C1016" s="90" t="s">
        <v>427</v>
      </c>
      <c r="D1016" s="91"/>
    </row>
    <row r="1017" spans="1:4" ht="42.75" customHeight="1" thickBot="1">
      <c r="A1017" s="26"/>
      <c r="B1017" s="26" t="s">
        <v>0</v>
      </c>
      <c r="C1017" s="5" t="s">
        <v>687</v>
      </c>
      <c r="D1017" s="4" t="s">
        <v>2</v>
      </c>
    </row>
    <row r="1018" spans="1:4" ht="42.75" customHeight="1" thickBot="1">
      <c r="A1018" s="92">
        <v>1675</v>
      </c>
      <c r="B1018" s="93"/>
      <c r="C1018" s="94" t="s">
        <v>3</v>
      </c>
      <c r="D1018" s="95"/>
    </row>
    <row r="1019" spans="1:4" ht="42.75" customHeight="1" thickBot="1">
      <c r="A1019" s="92">
        <v>1735</v>
      </c>
      <c r="B1019" s="93"/>
      <c r="C1019" s="96" t="s">
        <v>4</v>
      </c>
      <c r="D1019" s="97"/>
    </row>
    <row r="1020" spans="1:4" ht="42.75" customHeight="1" thickBot="1">
      <c r="A1020" s="98">
        <f>A1019-A1018</f>
        <v>60</v>
      </c>
      <c r="B1020" s="99"/>
      <c r="C1020" s="100" t="s">
        <v>5</v>
      </c>
      <c r="D1020" s="97"/>
    </row>
    <row r="1021" spans="1:4" ht="42.75" customHeight="1" thickBot="1">
      <c r="A1021" s="101">
        <v>50</v>
      </c>
      <c r="B1021" s="102"/>
      <c r="C1021" s="96" t="s">
        <v>6</v>
      </c>
      <c r="D1021" s="97"/>
    </row>
    <row r="1022" spans="1:4" ht="42.75" customHeight="1" thickBot="1">
      <c r="A1022" s="103"/>
      <c r="B1022" s="104"/>
      <c r="C1022" s="96" t="s">
        <v>21</v>
      </c>
      <c r="D1022" s="97"/>
    </row>
    <row r="1023" spans="1:4" ht="42.75" customHeight="1" thickBot="1">
      <c r="A1023" s="105">
        <f>A1021*A1020</f>
        <v>3000</v>
      </c>
      <c r="B1023" s="106"/>
      <c r="C1023" s="96" t="s">
        <v>7</v>
      </c>
      <c r="D1023" s="97"/>
    </row>
    <row r="1024" spans="1:4" ht="42.75" customHeight="1" thickBot="1">
      <c r="A1024" s="107" t="s">
        <v>17</v>
      </c>
      <c r="B1024" s="108"/>
      <c r="C1024" s="108"/>
      <c r="D1024" s="109"/>
    </row>
    <row r="1025" spans="1:4" ht="42.75" customHeight="1" thickBot="1">
      <c r="A1025" s="110" t="s">
        <v>20</v>
      </c>
      <c r="B1025" s="111"/>
      <c r="C1025" s="111"/>
      <c r="D1025" s="112"/>
    </row>
    <row r="1026" spans="1:4" ht="42.75" customHeight="1" thickBot="1">
      <c r="A1026" s="113" t="s">
        <v>18</v>
      </c>
      <c r="B1026" s="114"/>
      <c r="C1026" s="114"/>
      <c r="D1026" s="115"/>
    </row>
    <row r="1027" spans="1:4" ht="42.75" customHeight="1" thickBot="1">
      <c r="A1027" s="126" t="s">
        <v>19</v>
      </c>
      <c r="B1027" s="127"/>
      <c r="C1027" s="127"/>
      <c r="D1027" s="128"/>
    </row>
    <row r="1028" spans="1:4" ht="42.75" customHeight="1" thickBot="1">
      <c r="A1028" s="123" t="s">
        <v>11</v>
      </c>
      <c r="B1028" s="124"/>
      <c r="C1028" s="125" t="s">
        <v>603</v>
      </c>
      <c r="D1028" s="124"/>
    </row>
    <row r="1029" spans="1:4" ht="42.75" customHeight="1" thickBot="1">
      <c r="A1029" s="1" t="s">
        <v>686</v>
      </c>
      <c r="B1029" s="26" t="s">
        <v>1</v>
      </c>
      <c r="C1029" s="90" t="s">
        <v>428</v>
      </c>
      <c r="D1029" s="91"/>
    </row>
    <row r="1030" spans="1:4" ht="42.75" customHeight="1" thickBot="1">
      <c r="A1030" s="26"/>
      <c r="B1030" s="26" t="s">
        <v>0</v>
      </c>
      <c r="C1030" s="5" t="s">
        <v>687</v>
      </c>
      <c r="D1030" s="4" t="s">
        <v>2</v>
      </c>
    </row>
    <row r="1031" spans="1:4" ht="42.75" customHeight="1" thickBot="1">
      <c r="A1031" s="92">
        <v>305</v>
      </c>
      <c r="B1031" s="93"/>
      <c r="C1031" s="94" t="s">
        <v>3</v>
      </c>
      <c r="D1031" s="95"/>
    </row>
    <row r="1032" spans="1:4" ht="42.75" customHeight="1" thickBot="1">
      <c r="A1032" s="92">
        <v>305</v>
      </c>
      <c r="B1032" s="93"/>
      <c r="C1032" s="96" t="s">
        <v>4</v>
      </c>
      <c r="D1032" s="97"/>
    </row>
    <row r="1033" spans="1:4" ht="42.75" customHeight="1" thickBot="1">
      <c r="A1033" s="98">
        <f>A1032-A1031</f>
        <v>0</v>
      </c>
      <c r="B1033" s="99"/>
      <c r="C1033" s="100" t="s">
        <v>5</v>
      </c>
      <c r="D1033" s="97"/>
    </row>
    <row r="1034" spans="1:4" ht="42.75" customHeight="1" thickBot="1">
      <c r="A1034" s="101">
        <v>62</v>
      </c>
      <c r="B1034" s="102"/>
      <c r="C1034" s="96" t="s">
        <v>6</v>
      </c>
      <c r="D1034" s="97"/>
    </row>
    <row r="1035" spans="1:4" ht="42.75" customHeight="1" thickBot="1">
      <c r="A1035" s="103"/>
      <c r="B1035" s="104"/>
      <c r="C1035" s="96" t="s">
        <v>21</v>
      </c>
      <c r="D1035" s="97"/>
    </row>
    <row r="1036" spans="1:4" ht="42.75" customHeight="1" thickBot="1">
      <c r="A1036" s="105">
        <f>A1034*A1033</f>
        <v>0</v>
      </c>
      <c r="B1036" s="106"/>
      <c r="C1036" s="96" t="s">
        <v>7</v>
      </c>
      <c r="D1036" s="97"/>
    </row>
    <row r="1037" spans="1:4" ht="42.75" customHeight="1" thickBot="1">
      <c r="A1037" s="107" t="s">
        <v>17</v>
      </c>
      <c r="B1037" s="108"/>
      <c r="C1037" s="108"/>
      <c r="D1037" s="109"/>
    </row>
    <row r="1038" spans="1:4" ht="42.75" customHeight="1" thickBot="1">
      <c r="A1038" s="116" t="s">
        <v>20</v>
      </c>
      <c r="B1038" s="117"/>
      <c r="C1038" s="117"/>
      <c r="D1038" s="118"/>
    </row>
    <row r="1039" spans="1:4" ht="42.75" customHeight="1" thickBot="1">
      <c r="A1039" s="113" t="s">
        <v>18</v>
      </c>
      <c r="B1039" s="114"/>
      <c r="C1039" s="114"/>
      <c r="D1039" s="115"/>
    </row>
    <row r="1040" spans="1:4" ht="42.75" customHeight="1" thickBot="1">
      <c r="A1040" s="119"/>
      <c r="B1040" s="119"/>
      <c r="C1040" s="119"/>
      <c r="D1040" s="119"/>
    </row>
    <row r="1041" spans="1:4" ht="42.75" customHeight="1" thickBot="1">
      <c r="A1041" s="126" t="s">
        <v>19</v>
      </c>
      <c r="B1041" s="127"/>
      <c r="C1041" s="127"/>
      <c r="D1041" s="128"/>
    </row>
    <row r="1042" spans="1:4" ht="42.75" customHeight="1" thickBot="1">
      <c r="A1042" s="123" t="s">
        <v>11</v>
      </c>
      <c r="B1042" s="124"/>
      <c r="C1042" s="125" t="s">
        <v>603</v>
      </c>
      <c r="D1042" s="124"/>
    </row>
    <row r="1043" spans="1:4" ht="42.75" customHeight="1" thickBot="1">
      <c r="A1043" s="1" t="s">
        <v>686</v>
      </c>
      <c r="B1043" s="26" t="s">
        <v>1</v>
      </c>
      <c r="C1043" s="90" t="s">
        <v>428</v>
      </c>
      <c r="D1043" s="91"/>
    </row>
    <row r="1044" spans="1:4" ht="42.75" customHeight="1" thickBot="1">
      <c r="A1044" s="26"/>
      <c r="B1044" s="26" t="s">
        <v>0</v>
      </c>
      <c r="C1044" s="5" t="s">
        <v>687</v>
      </c>
      <c r="D1044" s="4" t="s">
        <v>2</v>
      </c>
    </row>
    <row r="1045" spans="1:4" ht="42.75" customHeight="1" thickBot="1">
      <c r="A1045" s="92">
        <v>285</v>
      </c>
      <c r="B1045" s="93"/>
      <c r="C1045" s="94" t="s">
        <v>3</v>
      </c>
      <c r="D1045" s="95"/>
    </row>
    <row r="1046" spans="1:4" ht="42.75" customHeight="1" thickBot="1">
      <c r="A1046" s="92">
        <v>305</v>
      </c>
      <c r="B1046" s="93"/>
      <c r="C1046" s="96" t="s">
        <v>4</v>
      </c>
      <c r="D1046" s="97"/>
    </row>
    <row r="1047" spans="1:4" ht="42.75" customHeight="1" thickBot="1">
      <c r="A1047" s="98">
        <f>A1046-A1045</f>
        <v>20</v>
      </c>
      <c r="B1047" s="99"/>
      <c r="C1047" s="100" t="s">
        <v>5</v>
      </c>
      <c r="D1047" s="97"/>
    </row>
    <row r="1048" spans="1:4" ht="42.75" customHeight="1" thickBot="1">
      <c r="A1048" s="101">
        <v>62</v>
      </c>
      <c r="B1048" s="102"/>
      <c r="C1048" s="96" t="s">
        <v>6</v>
      </c>
      <c r="D1048" s="97"/>
    </row>
    <row r="1049" spans="1:4" ht="42.75" customHeight="1" thickBot="1">
      <c r="A1049" s="103"/>
      <c r="B1049" s="104"/>
      <c r="C1049" s="96" t="s">
        <v>21</v>
      </c>
      <c r="D1049" s="97"/>
    </row>
    <row r="1050" spans="1:4" ht="42.75" customHeight="1" thickBot="1">
      <c r="A1050" s="105">
        <v>1250</v>
      </c>
      <c r="B1050" s="106"/>
      <c r="C1050" s="96" t="s">
        <v>7</v>
      </c>
      <c r="D1050" s="97"/>
    </row>
    <row r="1051" spans="1:4" ht="42.75" customHeight="1" thickBot="1">
      <c r="A1051" s="107" t="s">
        <v>17</v>
      </c>
      <c r="B1051" s="108"/>
      <c r="C1051" s="108"/>
      <c r="D1051" s="109"/>
    </row>
    <row r="1052" spans="1:4" ht="42.75" customHeight="1" thickBot="1">
      <c r="A1052" s="110" t="s">
        <v>20</v>
      </c>
      <c r="B1052" s="111"/>
      <c r="C1052" s="111"/>
      <c r="D1052" s="112"/>
    </row>
    <row r="1053" spans="1:4" ht="42.75" customHeight="1" thickBot="1">
      <c r="A1053" s="113" t="s">
        <v>18</v>
      </c>
      <c r="B1053" s="114"/>
      <c r="C1053" s="114"/>
      <c r="D1053" s="115"/>
    </row>
    <row r="1054" spans="1:4" ht="42.75" customHeight="1" thickBot="1">
      <c r="A1054" s="126" t="s">
        <v>19</v>
      </c>
      <c r="B1054" s="127"/>
      <c r="C1054" s="127"/>
      <c r="D1054" s="128"/>
    </row>
    <row r="1055" spans="1:4" ht="42.75" customHeight="1" thickBot="1">
      <c r="A1055" s="123" t="s">
        <v>11</v>
      </c>
      <c r="B1055" s="124"/>
      <c r="C1055" s="125" t="s">
        <v>603</v>
      </c>
      <c r="D1055" s="124"/>
    </row>
    <row r="1056" spans="1:4" ht="42.75" customHeight="1" thickBot="1">
      <c r="A1056" s="1" t="s">
        <v>686</v>
      </c>
      <c r="B1056" s="26" t="s">
        <v>1</v>
      </c>
      <c r="C1056" s="90" t="s">
        <v>648</v>
      </c>
      <c r="D1056" s="91"/>
    </row>
    <row r="1057" spans="1:4" ht="42.75" customHeight="1" thickBot="1">
      <c r="A1057" s="26"/>
      <c r="B1057" s="26" t="s">
        <v>0</v>
      </c>
      <c r="C1057" s="5" t="s">
        <v>687</v>
      </c>
      <c r="D1057" s="4" t="s">
        <v>2</v>
      </c>
    </row>
    <row r="1058" spans="1:4" ht="42.75" customHeight="1" thickBot="1">
      <c r="A1058" s="92">
        <v>6</v>
      </c>
      <c r="B1058" s="93"/>
      <c r="C1058" s="94" t="s">
        <v>3</v>
      </c>
      <c r="D1058" s="95"/>
    </row>
    <row r="1059" spans="1:4" ht="42.75" customHeight="1" thickBot="1">
      <c r="A1059" s="92">
        <v>6</v>
      </c>
      <c r="B1059" s="93"/>
      <c r="C1059" s="96" t="s">
        <v>4</v>
      </c>
      <c r="D1059" s="97"/>
    </row>
    <row r="1060" spans="1:4" ht="42.75" customHeight="1" thickBot="1">
      <c r="A1060" s="98">
        <f>A1059-A1058</f>
        <v>0</v>
      </c>
      <c r="B1060" s="99"/>
      <c r="C1060" s="100" t="s">
        <v>5</v>
      </c>
      <c r="D1060" s="97"/>
    </row>
    <row r="1061" spans="1:4" ht="42.75" customHeight="1" thickBot="1">
      <c r="A1061" s="101">
        <v>62</v>
      </c>
      <c r="B1061" s="102"/>
      <c r="C1061" s="96" t="s">
        <v>6</v>
      </c>
      <c r="D1061" s="97"/>
    </row>
    <row r="1062" spans="1:4" ht="42.75" customHeight="1" thickBot="1">
      <c r="A1062" s="103"/>
      <c r="B1062" s="104"/>
      <c r="C1062" s="96" t="s">
        <v>21</v>
      </c>
      <c r="D1062" s="97"/>
    </row>
    <row r="1063" spans="1:4" ht="42.75" customHeight="1" thickBot="1">
      <c r="A1063" s="105">
        <f>A1061*A1060</f>
        <v>0</v>
      </c>
      <c r="B1063" s="106"/>
      <c r="C1063" s="96" t="s">
        <v>7</v>
      </c>
      <c r="D1063" s="97"/>
    </row>
    <row r="1064" spans="1:4" ht="42.75" customHeight="1" thickBot="1">
      <c r="A1064" s="107" t="s">
        <v>17</v>
      </c>
      <c r="B1064" s="108"/>
      <c r="C1064" s="108"/>
      <c r="D1064" s="109"/>
    </row>
    <row r="1065" spans="1:4" ht="42.75" customHeight="1" thickBot="1">
      <c r="A1065" s="116" t="s">
        <v>20</v>
      </c>
      <c r="B1065" s="117"/>
      <c r="C1065" s="117"/>
      <c r="D1065" s="118"/>
    </row>
    <row r="1066" spans="1:4" ht="42.75" customHeight="1" thickBot="1">
      <c r="A1066" s="113" t="s">
        <v>18</v>
      </c>
      <c r="B1066" s="114"/>
      <c r="C1066" s="114"/>
      <c r="D1066" s="115"/>
    </row>
    <row r="1067" spans="1:4" ht="42.75" customHeight="1" thickBot="1">
      <c r="A1067" s="119"/>
      <c r="B1067" s="119"/>
      <c r="C1067" s="119"/>
      <c r="D1067" s="119"/>
    </row>
    <row r="1068" spans="1:4" ht="42.75" customHeight="1" thickBot="1">
      <c r="A1068" s="126" t="s">
        <v>19</v>
      </c>
      <c r="B1068" s="127"/>
      <c r="C1068" s="127"/>
      <c r="D1068" s="128"/>
    </row>
    <row r="1069" spans="1:4" ht="42.75" customHeight="1" thickBot="1">
      <c r="A1069" s="123" t="s">
        <v>11</v>
      </c>
      <c r="B1069" s="124"/>
      <c r="C1069" s="125" t="s">
        <v>603</v>
      </c>
      <c r="D1069" s="124"/>
    </row>
    <row r="1070" spans="1:4" ht="42.75" customHeight="1" thickBot="1">
      <c r="A1070" s="1" t="s">
        <v>686</v>
      </c>
      <c r="B1070" s="26" t="s">
        <v>1</v>
      </c>
      <c r="C1070" s="90" t="s">
        <v>648</v>
      </c>
      <c r="D1070" s="91"/>
    </row>
    <row r="1071" spans="1:4" ht="42.75" customHeight="1" thickBot="1">
      <c r="A1071" s="26"/>
      <c r="B1071" s="26" t="s">
        <v>0</v>
      </c>
      <c r="C1071" s="5" t="s">
        <v>687</v>
      </c>
      <c r="D1071" s="4" t="s">
        <v>2</v>
      </c>
    </row>
    <row r="1072" spans="1:4" ht="42.75" customHeight="1" thickBot="1">
      <c r="A1072" s="92">
        <v>5</v>
      </c>
      <c r="B1072" s="93"/>
      <c r="C1072" s="94" t="s">
        <v>3</v>
      </c>
      <c r="D1072" s="95"/>
    </row>
    <row r="1073" spans="1:4" ht="42.75" customHeight="1" thickBot="1">
      <c r="A1073" s="92">
        <v>6</v>
      </c>
      <c r="B1073" s="93"/>
      <c r="C1073" s="96" t="s">
        <v>4</v>
      </c>
      <c r="D1073" s="97"/>
    </row>
    <row r="1074" spans="1:4" ht="42.75" customHeight="1" thickBot="1">
      <c r="A1074" s="98">
        <v>8</v>
      </c>
      <c r="B1074" s="99"/>
      <c r="C1074" s="100" t="s">
        <v>5</v>
      </c>
      <c r="D1074" s="97"/>
    </row>
    <row r="1075" spans="1:4" ht="42.75" customHeight="1" thickBot="1">
      <c r="A1075" s="101">
        <v>62</v>
      </c>
      <c r="B1075" s="102"/>
      <c r="C1075" s="96" t="s">
        <v>6</v>
      </c>
      <c r="D1075" s="97"/>
    </row>
    <row r="1076" spans="1:4" ht="42.75" customHeight="1" thickBot="1">
      <c r="A1076" s="103"/>
      <c r="B1076" s="104"/>
      <c r="C1076" s="96" t="s">
        <v>21</v>
      </c>
      <c r="D1076" s="97"/>
    </row>
    <row r="1077" spans="1:4" ht="42.75" customHeight="1" thickBot="1">
      <c r="A1077" s="105">
        <v>500</v>
      </c>
      <c r="B1077" s="106"/>
      <c r="C1077" s="96" t="s">
        <v>7</v>
      </c>
      <c r="D1077" s="97"/>
    </row>
    <row r="1078" spans="1:4" ht="42.75" customHeight="1" thickBot="1">
      <c r="A1078" s="107" t="s">
        <v>17</v>
      </c>
      <c r="B1078" s="108"/>
      <c r="C1078" s="108"/>
      <c r="D1078" s="109"/>
    </row>
    <row r="1079" spans="1:4" ht="42.75" customHeight="1" thickBot="1">
      <c r="A1079" s="110" t="s">
        <v>20</v>
      </c>
      <c r="B1079" s="111"/>
      <c r="C1079" s="111"/>
      <c r="D1079" s="112"/>
    </row>
    <row r="1080" spans="1:4" ht="42.75" customHeight="1" thickBot="1">
      <c r="A1080" s="113" t="s">
        <v>18</v>
      </c>
      <c r="B1080" s="114"/>
      <c r="C1080" s="114"/>
      <c r="D1080" s="115"/>
    </row>
    <row r="1081" spans="1:4" ht="42.75" customHeight="1" thickBot="1">
      <c r="A1081" s="126" t="s">
        <v>19</v>
      </c>
      <c r="B1081" s="127"/>
      <c r="C1081" s="127"/>
      <c r="D1081" s="128"/>
    </row>
    <row r="1082" spans="1:4" ht="42.75" customHeight="1" thickBot="1">
      <c r="A1082" s="123" t="s">
        <v>11</v>
      </c>
      <c r="B1082" s="124"/>
      <c r="C1082" s="125" t="s">
        <v>603</v>
      </c>
      <c r="D1082" s="124"/>
    </row>
    <row r="1083" spans="1:4" ht="42.75" customHeight="1" thickBot="1">
      <c r="A1083" s="1" t="s">
        <v>686</v>
      </c>
      <c r="B1083" s="26" t="s">
        <v>1</v>
      </c>
      <c r="C1083" s="90" t="s">
        <v>429</v>
      </c>
      <c r="D1083" s="91"/>
    </row>
    <row r="1084" spans="1:4" ht="42.75" customHeight="1" thickBot="1">
      <c r="A1084" s="26"/>
      <c r="B1084" s="26" t="s">
        <v>0</v>
      </c>
      <c r="C1084" s="5" t="s">
        <v>687</v>
      </c>
      <c r="D1084" s="4" t="s">
        <v>2</v>
      </c>
    </row>
    <row r="1085" spans="1:4" ht="42.75" customHeight="1" thickBot="1">
      <c r="A1085" s="92">
        <v>120250</v>
      </c>
      <c r="B1085" s="93"/>
      <c r="C1085" s="94" t="s">
        <v>3</v>
      </c>
      <c r="D1085" s="95"/>
    </row>
    <row r="1086" spans="1:4" ht="42.75" customHeight="1" thickBot="1">
      <c r="A1086" s="92">
        <v>120250</v>
      </c>
      <c r="B1086" s="93"/>
      <c r="C1086" s="96" t="s">
        <v>4</v>
      </c>
      <c r="D1086" s="97"/>
    </row>
    <row r="1087" spans="1:4" ht="42.75" customHeight="1" thickBot="1">
      <c r="A1087" s="98">
        <f>A1086-A1085</f>
        <v>0</v>
      </c>
      <c r="B1087" s="99"/>
      <c r="C1087" s="100" t="s">
        <v>5</v>
      </c>
      <c r="D1087" s="97"/>
    </row>
    <row r="1088" spans="1:4" ht="42.75" customHeight="1" thickBot="1">
      <c r="A1088" s="101">
        <v>38</v>
      </c>
      <c r="B1088" s="102"/>
      <c r="C1088" s="96" t="s">
        <v>6</v>
      </c>
      <c r="D1088" s="97"/>
    </row>
    <row r="1089" spans="1:4" ht="42.75" customHeight="1" thickBot="1">
      <c r="A1089" s="103"/>
      <c r="B1089" s="104"/>
      <c r="C1089" s="96" t="s">
        <v>21</v>
      </c>
      <c r="D1089" s="97"/>
    </row>
    <row r="1090" spans="1:4" ht="42.75" customHeight="1" thickBot="1">
      <c r="A1090" s="105">
        <f>A1088*A1087</f>
        <v>0</v>
      </c>
      <c r="B1090" s="106"/>
      <c r="C1090" s="96" t="s">
        <v>7</v>
      </c>
      <c r="D1090" s="97"/>
    </row>
    <row r="1091" spans="1:4" ht="42.75" customHeight="1" thickBot="1">
      <c r="A1091" s="107" t="s">
        <v>17</v>
      </c>
      <c r="B1091" s="108"/>
      <c r="C1091" s="108"/>
      <c r="D1091" s="109"/>
    </row>
    <row r="1092" spans="1:4" ht="42.75" customHeight="1" thickBot="1">
      <c r="A1092" s="116" t="s">
        <v>20</v>
      </c>
      <c r="B1092" s="117"/>
      <c r="C1092" s="117"/>
      <c r="D1092" s="118"/>
    </row>
    <row r="1093" spans="1:4" ht="42.75" customHeight="1" thickBot="1">
      <c r="A1093" s="113" t="s">
        <v>18</v>
      </c>
      <c r="B1093" s="114"/>
      <c r="C1093" s="114"/>
      <c r="D1093" s="115"/>
    </row>
    <row r="1094" spans="1:4" ht="42.75" customHeight="1" thickBot="1">
      <c r="A1094" s="119"/>
      <c r="B1094" s="119"/>
      <c r="C1094" s="119"/>
      <c r="D1094" s="119"/>
    </row>
    <row r="1095" spans="1:4" ht="42.75" customHeight="1" thickBot="1">
      <c r="A1095" s="126" t="s">
        <v>19</v>
      </c>
      <c r="B1095" s="127"/>
      <c r="C1095" s="127"/>
      <c r="D1095" s="128"/>
    </row>
    <row r="1096" spans="1:4" ht="42.75" customHeight="1" thickBot="1">
      <c r="A1096" s="123" t="s">
        <v>11</v>
      </c>
      <c r="B1096" s="124"/>
      <c r="C1096" s="125" t="s">
        <v>603</v>
      </c>
      <c r="D1096" s="124"/>
    </row>
    <row r="1097" spans="1:4" ht="42.75" customHeight="1" thickBot="1">
      <c r="A1097" s="1" t="s">
        <v>686</v>
      </c>
      <c r="B1097" s="26" t="s">
        <v>1</v>
      </c>
      <c r="C1097" s="90" t="s">
        <v>429</v>
      </c>
      <c r="D1097" s="91"/>
    </row>
    <row r="1098" spans="1:4" ht="42.75" customHeight="1" thickBot="1">
      <c r="A1098" s="26"/>
      <c r="B1098" s="26" t="s">
        <v>0</v>
      </c>
      <c r="C1098" s="5" t="s">
        <v>687</v>
      </c>
      <c r="D1098" s="4" t="s">
        <v>2</v>
      </c>
    </row>
    <row r="1099" spans="1:4" ht="42.75" customHeight="1" thickBot="1">
      <c r="A1099" s="92">
        <v>118850</v>
      </c>
      <c r="B1099" s="93"/>
      <c r="C1099" s="94" t="s">
        <v>3</v>
      </c>
      <c r="D1099" s="95"/>
    </row>
    <row r="1100" spans="1:4" ht="42.75" customHeight="1" thickBot="1">
      <c r="A1100" s="92">
        <v>120250</v>
      </c>
      <c r="B1100" s="93"/>
      <c r="C1100" s="96" t="s">
        <v>4</v>
      </c>
      <c r="D1100" s="97"/>
    </row>
    <row r="1101" spans="1:4" ht="42.75" customHeight="1" thickBot="1">
      <c r="A1101" s="98">
        <f>A1100-A1099</f>
        <v>1400</v>
      </c>
      <c r="B1101" s="99"/>
      <c r="C1101" s="100" t="s">
        <v>5</v>
      </c>
      <c r="D1101" s="97"/>
    </row>
    <row r="1102" spans="1:4" ht="42.75" customHeight="1" thickBot="1">
      <c r="A1102" s="101">
        <v>40</v>
      </c>
      <c r="B1102" s="102"/>
      <c r="C1102" s="96" t="s">
        <v>6</v>
      </c>
      <c r="D1102" s="97"/>
    </row>
    <row r="1103" spans="1:4" ht="42.75" customHeight="1" thickBot="1">
      <c r="A1103" s="103"/>
      <c r="B1103" s="104"/>
      <c r="C1103" s="96" t="s">
        <v>21</v>
      </c>
      <c r="D1103" s="97"/>
    </row>
    <row r="1104" spans="1:4" ht="42.75" customHeight="1" thickBot="1">
      <c r="A1104" s="105">
        <f>A1102*A1101</f>
        <v>56000</v>
      </c>
      <c r="B1104" s="106"/>
      <c r="C1104" s="96" t="s">
        <v>7</v>
      </c>
      <c r="D1104" s="97"/>
    </row>
    <row r="1105" spans="1:4" ht="42.75" customHeight="1" thickBot="1">
      <c r="A1105" s="107" t="s">
        <v>17</v>
      </c>
      <c r="B1105" s="108"/>
      <c r="C1105" s="108"/>
      <c r="D1105" s="109"/>
    </row>
    <row r="1106" spans="1:4" ht="42.75" customHeight="1" thickBot="1">
      <c r="A1106" s="110" t="s">
        <v>20</v>
      </c>
      <c r="B1106" s="111"/>
      <c r="C1106" s="111"/>
      <c r="D1106" s="112"/>
    </row>
    <row r="1107" spans="1:4" ht="42.75" customHeight="1" thickBot="1">
      <c r="A1107" s="113" t="s">
        <v>18</v>
      </c>
      <c r="B1107" s="114"/>
      <c r="C1107" s="114"/>
      <c r="D1107" s="115"/>
    </row>
    <row r="1108" spans="1:4" ht="42.75" customHeight="1" thickBot="1">
      <c r="A1108" s="126" t="s">
        <v>19</v>
      </c>
      <c r="B1108" s="127"/>
      <c r="C1108" s="127"/>
      <c r="D1108" s="128"/>
    </row>
    <row r="1109" spans="1:4" ht="42.75" customHeight="1" thickBot="1">
      <c r="A1109" s="123" t="s">
        <v>11</v>
      </c>
      <c r="B1109" s="124"/>
      <c r="C1109" s="125" t="s">
        <v>603</v>
      </c>
      <c r="D1109" s="124"/>
    </row>
    <row r="1110" spans="1:4" ht="42.75" customHeight="1" thickBot="1">
      <c r="A1110" s="1" t="s">
        <v>686</v>
      </c>
      <c r="B1110" s="26" t="s">
        <v>1</v>
      </c>
      <c r="C1110" s="90" t="s">
        <v>430</v>
      </c>
      <c r="D1110" s="91"/>
    </row>
    <row r="1111" spans="1:4" ht="42.75" customHeight="1" thickBot="1">
      <c r="A1111" s="26"/>
      <c r="B1111" s="26" t="s">
        <v>0</v>
      </c>
      <c r="C1111" s="5" t="s">
        <v>687</v>
      </c>
      <c r="D1111" s="4" t="s">
        <v>2</v>
      </c>
    </row>
    <row r="1112" spans="1:4" ht="42.75" customHeight="1" thickBot="1">
      <c r="A1112" s="92">
        <v>51845</v>
      </c>
      <c r="B1112" s="93"/>
      <c r="C1112" s="94" t="s">
        <v>3</v>
      </c>
      <c r="D1112" s="95"/>
    </row>
    <row r="1113" spans="1:4" ht="42.75" customHeight="1" thickBot="1">
      <c r="A1113" s="92">
        <v>51845</v>
      </c>
      <c r="B1113" s="93"/>
      <c r="C1113" s="96" t="s">
        <v>4</v>
      </c>
      <c r="D1113" s="97"/>
    </row>
    <row r="1114" spans="1:4" ht="42.75" customHeight="1" thickBot="1">
      <c r="A1114" s="98">
        <f>A1113-A1112</f>
        <v>0</v>
      </c>
      <c r="B1114" s="99"/>
      <c r="C1114" s="100" t="s">
        <v>5</v>
      </c>
      <c r="D1114" s="97"/>
    </row>
    <row r="1115" spans="1:4" ht="42.75" customHeight="1" thickBot="1">
      <c r="A1115" s="101">
        <v>30</v>
      </c>
      <c r="B1115" s="102"/>
      <c r="C1115" s="96" t="s">
        <v>6</v>
      </c>
      <c r="D1115" s="97"/>
    </row>
    <row r="1116" spans="1:4" ht="42.75" customHeight="1" thickBot="1">
      <c r="A1116" s="103"/>
      <c r="B1116" s="104"/>
      <c r="C1116" s="96" t="s">
        <v>21</v>
      </c>
      <c r="D1116" s="97"/>
    </row>
    <row r="1117" spans="1:4" ht="42.75" customHeight="1" thickBot="1">
      <c r="A1117" s="105">
        <f>A1115*A1114</f>
        <v>0</v>
      </c>
      <c r="B1117" s="106"/>
      <c r="C1117" s="96" t="s">
        <v>7</v>
      </c>
      <c r="D1117" s="97"/>
    </row>
    <row r="1118" spans="1:4" ht="42.75" customHeight="1" thickBot="1">
      <c r="A1118" s="107" t="s">
        <v>17</v>
      </c>
      <c r="B1118" s="108"/>
      <c r="C1118" s="108"/>
      <c r="D1118" s="109"/>
    </row>
    <row r="1119" spans="1:4" ht="42.75" customHeight="1" thickBot="1">
      <c r="A1119" s="116" t="s">
        <v>20</v>
      </c>
      <c r="B1119" s="117"/>
      <c r="C1119" s="117"/>
      <c r="D1119" s="118"/>
    </row>
    <row r="1120" spans="1:4" ht="42.75" customHeight="1" thickBot="1">
      <c r="A1120" s="113" t="s">
        <v>18</v>
      </c>
      <c r="B1120" s="114"/>
      <c r="C1120" s="114"/>
      <c r="D1120" s="115"/>
    </row>
    <row r="1121" spans="1:4" ht="42.75" customHeight="1" thickBot="1">
      <c r="A1121" s="119"/>
      <c r="B1121" s="119"/>
      <c r="C1121" s="119"/>
      <c r="D1121" s="119"/>
    </row>
    <row r="1122" spans="1:4" ht="42.75" customHeight="1" thickBot="1">
      <c r="A1122" s="126" t="s">
        <v>19</v>
      </c>
      <c r="B1122" s="127"/>
      <c r="C1122" s="127"/>
      <c r="D1122" s="128"/>
    </row>
    <row r="1123" spans="1:4" ht="42.75" customHeight="1" thickBot="1">
      <c r="A1123" s="123" t="s">
        <v>11</v>
      </c>
      <c r="B1123" s="124"/>
      <c r="C1123" s="125" t="s">
        <v>603</v>
      </c>
      <c r="D1123" s="124"/>
    </row>
    <row r="1124" spans="1:4" ht="42.75" customHeight="1" thickBot="1">
      <c r="A1124" s="1" t="s">
        <v>686</v>
      </c>
      <c r="B1124" s="26" t="s">
        <v>1</v>
      </c>
      <c r="C1124" s="90" t="s">
        <v>430</v>
      </c>
      <c r="D1124" s="91"/>
    </row>
    <row r="1125" spans="1:4" ht="42.75" customHeight="1" thickBot="1">
      <c r="A1125" s="26"/>
      <c r="B1125" s="26" t="s">
        <v>0</v>
      </c>
      <c r="C1125" s="5" t="s">
        <v>687</v>
      </c>
      <c r="D1125" s="4" t="s">
        <v>2</v>
      </c>
    </row>
    <row r="1126" spans="1:4" ht="42.75" customHeight="1" thickBot="1">
      <c r="A1126" s="92">
        <v>51050</v>
      </c>
      <c r="B1126" s="93"/>
      <c r="C1126" s="94" t="s">
        <v>3</v>
      </c>
      <c r="D1126" s="95"/>
    </row>
    <row r="1127" spans="1:4" ht="42.75" customHeight="1" thickBot="1">
      <c r="A1127" s="92">
        <v>51845</v>
      </c>
      <c r="B1127" s="93"/>
      <c r="C1127" s="96" t="s">
        <v>4</v>
      </c>
      <c r="D1127" s="97"/>
    </row>
    <row r="1128" spans="1:4" ht="42.75" customHeight="1" thickBot="1">
      <c r="A1128" s="98">
        <f>A1127-A1126</f>
        <v>795</v>
      </c>
      <c r="B1128" s="99"/>
      <c r="C1128" s="100" t="s">
        <v>5</v>
      </c>
      <c r="D1128" s="97"/>
    </row>
    <row r="1129" spans="1:4" ht="42.75" customHeight="1" thickBot="1">
      <c r="A1129" s="101">
        <v>30</v>
      </c>
      <c r="B1129" s="102"/>
      <c r="C1129" s="96" t="s">
        <v>6</v>
      </c>
      <c r="D1129" s="97"/>
    </row>
    <row r="1130" spans="1:4" ht="42.75" customHeight="1" thickBot="1">
      <c r="A1130" s="103"/>
      <c r="B1130" s="104"/>
      <c r="C1130" s="96" t="s">
        <v>21</v>
      </c>
      <c r="D1130" s="97"/>
    </row>
    <row r="1131" spans="1:4" ht="42.75" customHeight="1" thickBot="1">
      <c r="A1131" s="105">
        <f>A1129*A1128</f>
        <v>23850</v>
      </c>
      <c r="B1131" s="106"/>
      <c r="C1131" s="96" t="s">
        <v>7</v>
      </c>
      <c r="D1131" s="97"/>
    </row>
    <row r="1132" spans="1:4" ht="42.75" customHeight="1" thickBot="1">
      <c r="A1132" s="107" t="s">
        <v>17</v>
      </c>
      <c r="B1132" s="108"/>
      <c r="C1132" s="108"/>
      <c r="D1132" s="109"/>
    </row>
    <row r="1133" spans="1:4" ht="42.75" customHeight="1" thickBot="1">
      <c r="A1133" s="110" t="s">
        <v>20</v>
      </c>
      <c r="B1133" s="111"/>
      <c r="C1133" s="111"/>
      <c r="D1133" s="112"/>
    </row>
    <row r="1134" spans="1:4" ht="42.75" customHeight="1" thickBot="1">
      <c r="A1134" s="113" t="s">
        <v>18</v>
      </c>
      <c r="B1134" s="114"/>
      <c r="C1134" s="114"/>
      <c r="D1134" s="115"/>
    </row>
    <row r="1135" spans="1:4" ht="42.75" customHeight="1" thickBot="1">
      <c r="A1135" s="126" t="s">
        <v>19</v>
      </c>
      <c r="B1135" s="127"/>
      <c r="C1135" s="127"/>
      <c r="D1135" s="128"/>
    </row>
    <row r="1136" spans="1:4" ht="42.75" customHeight="1" thickBot="1">
      <c r="A1136" s="123" t="s">
        <v>11</v>
      </c>
      <c r="B1136" s="124"/>
      <c r="C1136" s="125" t="s">
        <v>603</v>
      </c>
      <c r="D1136" s="124"/>
    </row>
    <row r="1137" spans="1:4" ht="42.75" customHeight="1" thickBot="1">
      <c r="A1137" s="1" t="s">
        <v>686</v>
      </c>
      <c r="B1137" s="26" t="s">
        <v>1</v>
      </c>
      <c r="C1137" s="90" t="s">
        <v>431</v>
      </c>
      <c r="D1137" s="91"/>
    </row>
    <row r="1138" spans="1:4" ht="42.75" customHeight="1" thickBot="1">
      <c r="A1138" s="26"/>
      <c r="B1138" s="26" t="s">
        <v>0</v>
      </c>
      <c r="C1138" s="5" t="s">
        <v>687</v>
      </c>
      <c r="D1138" s="4" t="s">
        <v>2</v>
      </c>
    </row>
    <row r="1139" spans="1:4" ht="42.75" customHeight="1" thickBot="1">
      <c r="A1139" s="92">
        <v>450</v>
      </c>
      <c r="B1139" s="93"/>
      <c r="C1139" s="94" t="s">
        <v>3</v>
      </c>
      <c r="D1139" s="95"/>
    </row>
    <row r="1140" spans="1:4" ht="42.75" customHeight="1" thickBot="1">
      <c r="A1140" s="92">
        <v>450</v>
      </c>
      <c r="B1140" s="93"/>
      <c r="C1140" s="96" t="s">
        <v>4</v>
      </c>
      <c r="D1140" s="97"/>
    </row>
    <row r="1141" spans="1:4" ht="42.75" customHeight="1" thickBot="1">
      <c r="A1141" s="98">
        <f>A1140-A1139</f>
        <v>0</v>
      </c>
      <c r="B1141" s="99"/>
      <c r="C1141" s="100" t="s">
        <v>5</v>
      </c>
      <c r="D1141" s="97"/>
    </row>
    <row r="1142" spans="1:4" ht="42.75" customHeight="1" thickBot="1">
      <c r="A1142" s="101">
        <v>50</v>
      </c>
      <c r="B1142" s="102"/>
      <c r="C1142" s="96" t="s">
        <v>6</v>
      </c>
      <c r="D1142" s="97"/>
    </row>
    <row r="1143" spans="1:4" ht="42.75" customHeight="1" thickBot="1">
      <c r="A1143" s="103"/>
      <c r="B1143" s="104"/>
      <c r="C1143" s="96" t="s">
        <v>21</v>
      </c>
      <c r="D1143" s="97"/>
    </row>
    <row r="1144" spans="1:4" ht="42.75" customHeight="1" thickBot="1">
      <c r="A1144" s="105">
        <f>A1142*A1141</f>
        <v>0</v>
      </c>
      <c r="B1144" s="106"/>
      <c r="C1144" s="96" t="s">
        <v>7</v>
      </c>
      <c r="D1144" s="97"/>
    </row>
    <row r="1145" spans="1:4" ht="42.75" customHeight="1" thickBot="1">
      <c r="A1145" s="107" t="s">
        <v>17</v>
      </c>
      <c r="B1145" s="108"/>
      <c r="C1145" s="108"/>
      <c r="D1145" s="109"/>
    </row>
    <row r="1146" spans="1:4" ht="42.75" customHeight="1" thickBot="1">
      <c r="A1146" s="116" t="s">
        <v>20</v>
      </c>
      <c r="B1146" s="117"/>
      <c r="C1146" s="117"/>
      <c r="D1146" s="118"/>
    </row>
    <row r="1147" spans="1:4" ht="42.75" customHeight="1" thickBot="1">
      <c r="A1147" s="113" t="s">
        <v>18</v>
      </c>
      <c r="B1147" s="114"/>
      <c r="C1147" s="114"/>
      <c r="D1147" s="115"/>
    </row>
    <row r="1148" spans="1:4" ht="42.75" customHeight="1" thickBot="1">
      <c r="A1148" s="119"/>
      <c r="B1148" s="119"/>
      <c r="C1148" s="119"/>
      <c r="D1148" s="119"/>
    </row>
    <row r="1149" spans="1:4" ht="42.75" customHeight="1" thickBot="1">
      <c r="A1149" s="126" t="s">
        <v>19</v>
      </c>
      <c r="B1149" s="127"/>
      <c r="C1149" s="127"/>
      <c r="D1149" s="128"/>
    </row>
    <row r="1150" spans="1:4" ht="42.75" customHeight="1" thickBot="1">
      <c r="A1150" s="123" t="s">
        <v>11</v>
      </c>
      <c r="B1150" s="124"/>
      <c r="C1150" s="125" t="s">
        <v>603</v>
      </c>
      <c r="D1150" s="124"/>
    </row>
    <row r="1151" spans="1:4" ht="42.75" customHeight="1" thickBot="1">
      <c r="A1151" s="1" t="s">
        <v>686</v>
      </c>
      <c r="B1151" s="26" t="s">
        <v>1</v>
      </c>
      <c r="C1151" s="90" t="s">
        <v>431</v>
      </c>
      <c r="D1151" s="91"/>
    </row>
    <row r="1152" spans="1:4" ht="42.75" customHeight="1" thickBot="1">
      <c r="A1152" s="26"/>
      <c r="B1152" s="26" t="s">
        <v>0</v>
      </c>
      <c r="C1152" s="5" t="s">
        <v>687</v>
      </c>
      <c r="D1152" s="4" t="s">
        <v>2</v>
      </c>
    </row>
    <row r="1153" spans="1:4" ht="42.75" customHeight="1" thickBot="1">
      <c r="A1153" s="92">
        <v>390</v>
      </c>
      <c r="B1153" s="93"/>
      <c r="C1153" s="94" t="s">
        <v>3</v>
      </c>
      <c r="D1153" s="95"/>
    </row>
    <row r="1154" spans="1:4" ht="42.75" customHeight="1" thickBot="1">
      <c r="A1154" s="92">
        <v>450</v>
      </c>
      <c r="B1154" s="93"/>
      <c r="C1154" s="96" t="s">
        <v>4</v>
      </c>
      <c r="D1154" s="97"/>
    </row>
    <row r="1155" spans="1:4" ht="42.75" customHeight="1" thickBot="1">
      <c r="A1155" s="98">
        <f>A1154-A1153</f>
        <v>60</v>
      </c>
      <c r="B1155" s="99"/>
      <c r="C1155" s="100" t="s">
        <v>5</v>
      </c>
      <c r="D1155" s="97"/>
    </row>
    <row r="1156" spans="1:4" ht="42.75" customHeight="1" thickBot="1">
      <c r="A1156" s="101">
        <v>62</v>
      </c>
      <c r="B1156" s="102"/>
      <c r="C1156" s="96" t="s">
        <v>6</v>
      </c>
      <c r="D1156" s="97"/>
    </row>
    <row r="1157" spans="1:4" ht="42.75" customHeight="1" thickBot="1">
      <c r="A1157" s="103"/>
      <c r="B1157" s="104"/>
      <c r="C1157" s="96" t="s">
        <v>21</v>
      </c>
      <c r="D1157" s="97"/>
    </row>
    <row r="1158" spans="1:4" ht="42.75" customHeight="1" thickBot="1">
      <c r="A1158" s="105">
        <f>A1156*A1155</f>
        <v>3720</v>
      </c>
      <c r="B1158" s="106"/>
      <c r="C1158" s="96" t="s">
        <v>7</v>
      </c>
      <c r="D1158" s="97"/>
    </row>
    <row r="1159" spans="1:4" ht="42.75" customHeight="1" thickBot="1">
      <c r="A1159" s="107" t="s">
        <v>17</v>
      </c>
      <c r="B1159" s="108"/>
      <c r="C1159" s="108"/>
      <c r="D1159" s="109"/>
    </row>
    <row r="1160" spans="1:4" ht="42.75" customHeight="1" thickBot="1">
      <c r="A1160" s="110" t="s">
        <v>20</v>
      </c>
      <c r="B1160" s="111"/>
      <c r="C1160" s="111"/>
      <c r="D1160" s="112"/>
    </row>
    <row r="1161" spans="1:4" ht="42.75" customHeight="1" thickBot="1">
      <c r="A1161" s="113" t="s">
        <v>18</v>
      </c>
      <c r="B1161" s="114"/>
      <c r="C1161" s="114"/>
      <c r="D1161" s="115"/>
    </row>
    <row r="1162" spans="1:4" ht="42.75" customHeight="1" thickBot="1">
      <c r="A1162" s="126" t="s">
        <v>19</v>
      </c>
      <c r="B1162" s="127"/>
      <c r="C1162" s="127"/>
      <c r="D1162" s="128"/>
    </row>
    <row r="1163" spans="1:4" ht="42.75" customHeight="1" thickBot="1">
      <c r="A1163" s="123" t="s">
        <v>11</v>
      </c>
      <c r="B1163" s="124"/>
      <c r="C1163" s="125" t="s">
        <v>603</v>
      </c>
      <c r="D1163" s="124"/>
    </row>
    <row r="1164" spans="1:4" ht="42.75" customHeight="1" thickBot="1">
      <c r="A1164" s="1" t="s">
        <v>686</v>
      </c>
      <c r="B1164" s="26" t="s">
        <v>1</v>
      </c>
      <c r="C1164" s="90" t="s">
        <v>432</v>
      </c>
      <c r="D1164" s="91"/>
    </row>
    <row r="1165" spans="1:4" ht="42.75" customHeight="1" thickBot="1">
      <c r="A1165" s="26"/>
      <c r="B1165" s="26" t="s">
        <v>0</v>
      </c>
      <c r="C1165" s="5" t="s">
        <v>687</v>
      </c>
      <c r="D1165" s="4" t="s">
        <v>2</v>
      </c>
    </row>
    <row r="1166" spans="1:4" ht="42.75" customHeight="1" thickBot="1">
      <c r="A1166" s="92">
        <v>8670</v>
      </c>
      <c r="B1166" s="93"/>
      <c r="C1166" s="94" t="s">
        <v>3</v>
      </c>
      <c r="D1166" s="95"/>
    </row>
    <row r="1167" spans="1:4" ht="42.75" customHeight="1" thickBot="1">
      <c r="A1167" s="92">
        <v>8670</v>
      </c>
      <c r="B1167" s="93"/>
      <c r="C1167" s="96" t="s">
        <v>4</v>
      </c>
      <c r="D1167" s="97"/>
    </row>
    <row r="1168" spans="1:4" ht="42.75" customHeight="1" thickBot="1">
      <c r="A1168" s="98">
        <f>A1167-A1166</f>
        <v>0</v>
      </c>
      <c r="B1168" s="99"/>
      <c r="C1168" s="100" t="s">
        <v>5</v>
      </c>
      <c r="D1168" s="97"/>
    </row>
    <row r="1169" spans="1:4" ht="42.75" customHeight="1" thickBot="1">
      <c r="A1169" s="101">
        <v>30</v>
      </c>
      <c r="B1169" s="102"/>
      <c r="C1169" s="96" t="s">
        <v>6</v>
      </c>
      <c r="D1169" s="97"/>
    </row>
    <row r="1170" spans="1:4" ht="42.75" customHeight="1" thickBot="1">
      <c r="A1170" s="103"/>
      <c r="B1170" s="104"/>
      <c r="C1170" s="96" t="s">
        <v>21</v>
      </c>
      <c r="D1170" s="97"/>
    </row>
    <row r="1171" spans="1:4" ht="42.75" customHeight="1" thickBot="1">
      <c r="A1171" s="105">
        <f>A1169*A1168</f>
        <v>0</v>
      </c>
      <c r="B1171" s="106"/>
      <c r="C1171" s="96" t="s">
        <v>7</v>
      </c>
      <c r="D1171" s="97"/>
    </row>
    <row r="1172" spans="1:4" ht="42.75" customHeight="1" thickBot="1">
      <c r="A1172" s="107" t="s">
        <v>17</v>
      </c>
      <c r="B1172" s="108"/>
      <c r="C1172" s="108"/>
      <c r="D1172" s="109"/>
    </row>
    <row r="1173" spans="1:4" ht="42.75" customHeight="1" thickBot="1">
      <c r="A1173" s="116" t="s">
        <v>20</v>
      </c>
      <c r="B1173" s="117"/>
      <c r="C1173" s="117"/>
      <c r="D1173" s="118"/>
    </row>
    <row r="1174" spans="1:4" ht="42.75" customHeight="1" thickBot="1">
      <c r="A1174" s="113" t="s">
        <v>18</v>
      </c>
      <c r="B1174" s="114"/>
      <c r="C1174" s="114"/>
      <c r="D1174" s="115"/>
    </row>
    <row r="1175" spans="1:4" ht="42.75" customHeight="1" thickBot="1">
      <c r="A1175" s="119"/>
      <c r="B1175" s="119"/>
      <c r="C1175" s="119"/>
      <c r="D1175" s="119"/>
    </row>
    <row r="1176" spans="1:4" ht="42.75" customHeight="1" thickBot="1">
      <c r="A1176" s="126" t="s">
        <v>19</v>
      </c>
      <c r="B1176" s="127"/>
      <c r="C1176" s="127"/>
      <c r="D1176" s="128"/>
    </row>
    <row r="1177" spans="1:4" ht="42.75" customHeight="1" thickBot="1">
      <c r="A1177" s="123" t="s">
        <v>11</v>
      </c>
      <c r="B1177" s="124"/>
      <c r="C1177" s="125" t="s">
        <v>603</v>
      </c>
      <c r="D1177" s="124"/>
    </row>
    <row r="1178" spans="1:4" ht="42.75" customHeight="1" thickBot="1">
      <c r="A1178" s="1" t="s">
        <v>686</v>
      </c>
      <c r="B1178" s="26" t="s">
        <v>1</v>
      </c>
      <c r="C1178" s="90" t="s">
        <v>432</v>
      </c>
      <c r="D1178" s="91"/>
    </row>
    <row r="1179" spans="1:4" ht="42.75" customHeight="1" thickBot="1">
      <c r="A1179" s="26"/>
      <c r="B1179" s="26" t="s">
        <v>0</v>
      </c>
      <c r="C1179" s="5" t="s">
        <v>687</v>
      </c>
      <c r="D1179" s="4" t="s">
        <v>2</v>
      </c>
    </row>
    <row r="1180" spans="1:4" ht="42.75" customHeight="1" thickBot="1">
      <c r="A1180" s="92">
        <v>8360</v>
      </c>
      <c r="B1180" s="93"/>
      <c r="C1180" s="94" t="s">
        <v>3</v>
      </c>
      <c r="D1180" s="95"/>
    </row>
    <row r="1181" spans="1:4" ht="42.75" customHeight="1" thickBot="1">
      <c r="A1181" s="92">
        <v>8670</v>
      </c>
      <c r="B1181" s="93"/>
      <c r="C1181" s="96" t="s">
        <v>4</v>
      </c>
      <c r="D1181" s="97"/>
    </row>
    <row r="1182" spans="1:4" ht="42.75" customHeight="1" thickBot="1">
      <c r="A1182" s="98">
        <f>A1181-A1180</f>
        <v>310</v>
      </c>
      <c r="B1182" s="99"/>
      <c r="C1182" s="100" t="s">
        <v>5</v>
      </c>
      <c r="D1182" s="97"/>
    </row>
    <row r="1183" spans="1:4" ht="42.75" customHeight="1" thickBot="1">
      <c r="A1183" s="101">
        <v>30</v>
      </c>
      <c r="B1183" s="102"/>
      <c r="C1183" s="96" t="s">
        <v>6</v>
      </c>
      <c r="D1183" s="97"/>
    </row>
    <row r="1184" spans="1:4" ht="42.75" customHeight="1" thickBot="1">
      <c r="A1184" s="103"/>
      <c r="B1184" s="104"/>
      <c r="C1184" s="96" t="s">
        <v>21</v>
      </c>
      <c r="D1184" s="97"/>
    </row>
    <row r="1185" spans="1:4" ht="42.75" customHeight="1" thickBot="1">
      <c r="A1185" s="105">
        <f>A1183*A1182</f>
        <v>9300</v>
      </c>
      <c r="B1185" s="106"/>
      <c r="C1185" s="96" t="s">
        <v>7</v>
      </c>
      <c r="D1185" s="97"/>
    </row>
    <row r="1186" spans="1:4" ht="42.75" customHeight="1" thickBot="1">
      <c r="A1186" s="107" t="s">
        <v>17</v>
      </c>
      <c r="B1186" s="108"/>
      <c r="C1186" s="108"/>
      <c r="D1186" s="109"/>
    </row>
    <row r="1187" spans="1:4" ht="42.75" customHeight="1" thickBot="1">
      <c r="A1187" s="110" t="s">
        <v>20</v>
      </c>
      <c r="B1187" s="111"/>
      <c r="C1187" s="111"/>
      <c r="D1187" s="112"/>
    </row>
    <row r="1188" spans="1:4" ht="42.75" customHeight="1" thickBot="1">
      <c r="A1188" s="113" t="s">
        <v>18</v>
      </c>
      <c r="B1188" s="114"/>
      <c r="C1188" s="114"/>
      <c r="D1188" s="115"/>
    </row>
    <row r="1189" spans="1:4" ht="42.75" customHeight="1" thickBot="1">
      <c r="A1189" s="126" t="s">
        <v>19</v>
      </c>
      <c r="B1189" s="127"/>
      <c r="C1189" s="127"/>
      <c r="D1189" s="128"/>
    </row>
    <row r="1190" spans="1:4" ht="42.75" customHeight="1" thickBot="1">
      <c r="A1190" s="123" t="s">
        <v>11</v>
      </c>
      <c r="B1190" s="124"/>
      <c r="C1190" s="125" t="s">
        <v>603</v>
      </c>
      <c r="D1190" s="124"/>
    </row>
    <row r="1191" spans="1:4" ht="42.75" customHeight="1" thickBot="1">
      <c r="A1191" s="1" t="s">
        <v>686</v>
      </c>
      <c r="B1191" s="26" t="s">
        <v>1</v>
      </c>
      <c r="C1191" s="90" t="s">
        <v>433</v>
      </c>
      <c r="D1191" s="91"/>
    </row>
    <row r="1192" spans="1:4" ht="42.75" customHeight="1" thickBot="1">
      <c r="A1192" s="26"/>
      <c r="B1192" s="26" t="s">
        <v>0</v>
      </c>
      <c r="C1192" s="5" t="s">
        <v>687</v>
      </c>
      <c r="D1192" s="4" t="s">
        <v>2</v>
      </c>
    </row>
    <row r="1193" spans="1:4" ht="42.75" customHeight="1" thickBot="1">
      <c r="A1193" s="92">
        <v>235</v>
      </c>
      <c r="B1193" s="93"/>
      <c r="C1193" s="94" t="s">
        <v>3</v>
      </c>
      <c r="D1193" s="95"/>
    </row>
    <row r="1194" spans="1:4" ht="42.75" customHeight="1" thickBot="1">
      <c r="A1194" s="92">
        <v>235</v>
      </c>
      <c r="B1194" s="93"/>
      <c r="C1194" s="96" t="s">
        <v>4</v>
      </c>
      <c r="D1194" s="97"/>
    </row>
    <row r="1195" spans="1:4" ht="42.75" customHeight="1" thickBot="1">
      <c r="A1195" s="98">
        <f>A1194-A1193</f>
        <v>0</v>
      </c>
      <c r="B1195" s="99"/>
      <c r="C1195" s="100" t="s">
        <v>5</v>
      </c>
      <c r="D1195" s="97"/>
    </row>
    <row r="1196" spans="1:4" ht="42.75" customHeight="1" thickBot="1">
      <c r="A1196" s="101">
        <v>62</v>
      </c>
      <c r="B1196" s="102"/>
      <c r="C1196" s="96" t="s">
        <v>6</v>
      </c>
      <c r="D1196" s="97"/>
    </row>
    <row r="1197" spans="1:4" ht="42.75" customHeight="1" thickBot="1">
      <c r="A1197" s="103"/>
      <c r="B1197" s="104"/>
      <c r="C1197" s="96" t="s">
        <v>21</v>
      </c>
      <c r="D1197" s="97"/>
    </row>
    <row r="1198" spans="1:4" ht="42.75" customHeight="1" thickBot="1">
      <c r="A1198" s="105">
        <f>A1196*A1195</f>
        <v>0</v>
      </c>
      <c r="B1198" s="106"/>
      <c r="C1198" s="96" t="s">
        <v>7</v>
      </c>
      <c r="D1198" s="97"/>
    </row>
    <row r="1199" spans="1:4" ht="42.75" customHeight="1" thickBot="1">
      <c r="A1199" s="107" t="s">
        <v>17</v>
      </c>
      <c r="B1199" s="108"/>
      <c r="C1199" s="108"/>
      <c r="D1199" s="109"/>
    </row>
    <row r="1200" spans="1:4" ht="42.75" customHeight="1" thickBot="1">
      <c r="A1200" s="116" t="s">
        <v>20</v>
      </c>
      <c r="B1200" s="117"/>
      <c r="C1200" s="117"/>
      <c r="D1200" s="118"/>
    </row>
    <row r="1201" spans="1:4" ht="42.75" customHeight="1" thickBot="1">
      <c r="A1201" s="113" t="s">
        <v>18</v>
      </c>
      <c r="B1201" s="114"/>
      <c r="C1201" s="114"/>
      <c r="D1201" s="115"/>
    </row>
    <row r="1202" spans="1:4" ht="42.75" customHeight="1" thickBot="1">
      <c r="A1202" s="119"/>
      <c r="B1202" s="119"/>
      <c r="C1202" s="119"/>
      <c r="D1202" s="119"/>
    </row>
    <row r="1203" spans="1:4" ht="42.75" customHeight="1" thickBot="1">
      <c r="A1203" s="126" t="s">
        <v>19</v>
      </c>
      <c r="B1203" s="127"/>
      <c r="C1203" s="127"/>
      <c r="D1203" s="128"/>
    </row>
    <row r="1204" spans="1:4" ht="42.75" customHeight="1" thickBot="1">
      <c r="A1204" s="123" t="s">
        <v>11</v>
      </c>
      <c r="B1204" s="124"/>
      <c r="C1204" s="125" t="s">
        <v>603</v>
      </c>
      <c r="D1204" s="124"/>
    </row>
    <row r="1205" spans="1:4" ht="42.75" customHeight="1" thickBot="1">
      <c r="A1205" s="1" t="s">
        <v>686</v>
      </c>
      <c r="B1205" s="26" t="s">
        <v>1</v>
      </c>
      <c r="C1205" s="90" t="s">
        <v>433</v>
      </c>
      <c r="D1205" s="91"/>
    </row>
    <row r="1206" spans="1:4" ht="42.75" customHeight="1" thickBot="1">
      <c r="A1206" s="26"/>
      <c r="B1206" s="26" t="s">
        <v>0</v>
      </c>
      <c r="C1206" s="5" t="s">
        <v>687</v>
      </c>
      <c r="D1206" s="4" t="s">
        <v>2</v>
      </c>
    </row>
    <row r="1207" spans="1:4" ht="42.75" customHeight="1" thickBot="1">
      <c r="A1207" s="92">
        <v>220</v>
      </c>
      <c r="B1207" s="93"/>
      <c r="C1207" s="94" t="s">
        <v>3</v>
      </c>
      <c r="D1207" s="95"/>
    </row>
    <row r="1208" spans="1:4" ht="42.75" customHeight="1" thickBot="1">
      <c r="A1208" s="92">
        <v>235</v>
      </c>
      <c r="B1208" s="93"/>
      <c r="C1208" s="96" t="s">
        <v>4</v>
      </c>
      <c r="D1208" s="97"/>
    </row>
    <row r="1209" spans="1:4" ht="42.75" customHeight="1" thickBot="1">
      <c r="A1209" s="98">
        <f>A1208-A1207</f>
        <v>15</v>
      </c>
      <c r="B1209" s="99"/>
      <c r="C1209" s="100" t="s">
        <v>5</v>
      </c>
      <c r="D1209" s="97"/>
    </row>
    <row r="1210" spans="1:4" ht="42.75" customHeight="1" thickBot="1">
      <c r="A1210" s="101">
        <v>62</v>
      </c>
      <c r="B1210" s="102"/>
      <c r="C1210" s="96" t="s">
        <v>6</v>
      </c>
      <c r="D1210" s="97"/>
    </row>
    <row r="1211" spans="1:4" ht="42.75" customHeight="1" thickBot="1">
      <c r="A1211" s="103"/>
      <c r="B1211" s="104"/>
      <c r="C1211" s="96" t="s">
        <v>21</v>
      </c>
      <c r="D1211" s="97"/>
    </row>
    <row r="1212" spans="1:4" ht="42.75" customHeight="1" thickBot="1">
      <c r="A1212" s="105">
        <v>950</v>
      </c>
      <c r="B1212" s="106"/>
      <c r="C1212" s="96" t="s">
        <v>7</v>
      </c>
      <c r="D1212" s="97"/>
    </row>
    <row r="1213" spans="1:4" ht="42.75" customHeight="1" thickBot="1">
      <c r="A1213" s="107" t="s">
        <v>17</v>
      </c>
      <c r="B1213" s="108"/>
      <c r="C1213" s="108"/>
      <c r="D1213" s="109"/>
    </row>
    <row r="1214" spans="1:4" ht="42.75" customHeight="1" thickBot="1">
      <c r="A1214" s="110" t="s">
        <v>20</v>
      </c>
      <c r="B1214" s="111"/>
      <c r="C1214" s="111"/>
      <c r="D1214" s="112"/>
    </row>
    <row r="1215" spans="1:4" ht="42.75" customHeight="1" thickBot="1">
      <c r="A1215" s="113" t="s">
        <v>18</v>
      </c>
      <c r="B1215" s="114"/>
      <c r="C1215" s="114"/>
      <c r="D1215" s="115"/>
    </row>
    <row r="1216" spans="1:4" ht="42.75" customHeight="1" thickBot="1">
      <c r="A1216" s="126" t="s">
        <v>19</v>
      </c>
      <c r="B1216" s="127"/>
      <c r="C1216" s="127"/>
      <c r="D1216" s="128"/>
    </row>
    <row r="1217" spans="1:4" ht="42.75" customHeight="1" thickBot="1">
      <c r="A1217" s="123" t="s">
        <v>11</v>
      </c>
      <c r="B1217" s="124"/>
      <c r="C1217" s="125" t="s">
        <v>603</v>
      </c>
      <c r="D1217" s="124"/>
    </row>
    <row r="1218" spans="1:4" ht="42.75" customHeight="1" thickBot="1">
      <c r="A1218" s="1" t="s">
        <v>686</v>
      </c>
      <c r="B1218" s="26" t="s">
        <v>1</v>
      </c>
      <c r="C1218" s="90" t="s">
        <v>434</v>
      </c>
      <c r="D1218" s="91"/>
    </row>
    <row r="1219" spans="1:4" ht="42.75" customHeight="1" thickBot="1">
      <c r="A1219" s="26"/>
      <c r="B1219" s="26" t="s">
        <v>0</v>
      </c>
      <c r="C1219" s="5" t="s">
        <v>687</v>
      </c>
      <c r="D1219" s="4" t="s">
        <v>2</v>
      </c>
    </row>
    <row r="1220" spans="1:4" ht="42.75" customHeight="1" thickBot="1">
      <c r="A1220" s="92">
        <v>560</v>
      </c>
      <c r="B1220" s="93"/>
      <c r="C1220" s="94" t="s">
        <v>3</v>
      </c>
      <c r="D1220" s="95"/>
    </row>
    <row r="1221" spans="1:4" ht="42.75" customHeight="1" thickBot="1">
      <c r="A1221" s="92">
        <v>560</v>
      </c>
      <c r="B1221" s="93"/>
      <c r="C1221" s="96" t="s">
        <v>4</v>
      </c>
      <c r="D1221" s="97"/>
    </row>
    <row r="1222" spans="1:4" ht="42.75" customHeight="1" thickBot="1">
      <c r="A1222" s="98">
        <f>A1221-A1220</f>
        <v>0</v>
      </c>
      <c r="B1222" s="99"/>
      <c r="C1222" s="100" t="s">
        <v>5</v>
      </c>
      <c r="D1222" s="97"/>
    </row>
    <row r="1223" spans="1:4" ht="42.75" customHeight="1" thickBot="1">
      <c r="A1223" s="101">
        <v>55</v>
      </c>
      <c r="B1223" s="102"/>
      <c r="C1223" s="96" t="s">
        <v>6</v>
      </c>
      <c r="D1223" s="97"/>
    </row>
    <row r="1224" spans="1:4" ht="42.75" customHeight="1" thickBot="1">
      <c r="A1224" s="103"/>
      <c r="B1224" s="104"/>
      <c r="C1224" s="96" t="s">
        <v>21</v>
      </c>
      <c r="D1224" s="97"/>
    </row>
    <row r="1225" spans="1:4" ht="42.75" customHeight="1" thickBot="1">
      <c r="A1225" s="105">
        <f>A1223*A1222</f>
        <v>0</v>
      </c>
      <c r="B1225" s="106"/>
      <c r="C1225" s="96" t="s">
        <v>7</v>
      </c>
      <c r="D1225" s="97"/>
    </row>
    <row r="1226" spans="1:4" ht="42.75" customHeight="1" thickBot="1">
      <c r="A1226" s="107" t="s">
        <v>17</v>
      </c>
      <c r="B1226" s="108"/>
      <c r="C1226" s="108"/>
      <c r="D1226" s="109"/>
    </row>
    <row r="1227" spans="1:4" ht="42.75" customHeight="1" thickBot="1">
      <c r="A1227" s="116" t="s">
        <v>20</v>
      </c>
      <c r="B1227" s="117"/>
      <c r="C1227" s="117"/>
      <c r="D1227" s="118"/>
    </row>
    <row r="1228" spans="1:4" ht="42.75" customHeight="1" thickBot="1">
      <c r="A1228" s="113" t="s">
        <v>18</v>
      </c>
      <c r="B1228" s="114"/>
      <c r="C1228" s="114"/>
      <c r="D1228" s="115"/>
    </row>
    <row r="1229" spans="1:4" ht="42.75" customHeight="1" thickBot="1">
      <c r="A1229" s="119"/>
      <c r="B1229" s="119"/>
      <c r="C1229" s="119"/>
      <c r="D1229" s="119"/>
    </row>
    <row r="1230" spans="1:4" ht="42.75" customHeight="1" thickBot="1">
      <c r="A1230" s="126" t="s">
        <v>19</v>
      </c>
      <c r="B1230" s="127"/>
      <c r="C1230" s="127"/>
      <c r="D1230" s="128"/>
    </row>
    <row r="1231" spans="1:4" ht="42.75" customHeight="1" thickBot="1">
      <c r="A1231" s="123" t="s">
        <v>11</v>
      </c>
      <c r="B1231" s="124"/>
      <c r="C1231" s="125" t="s">
        <v>603</v>
      </c>
      <c r="D1231" s="124"/>
    </row>
    <row r="1232" spans="1:4" ht="42.75" customHeight="1" thickBot="1">
      <c r="A1232" s="1" t="s">
        <v>686</v>
      </c>
      <c r="B1232" s="26" t="s">
        <v>1</v>
      </c>
      <c r="C1232" s="90" t="s">
        <v>434</v>
      </c>
      <c r="D1232" s="91"/>
    </row>
    <row r="1233" spans="1:4" ht="42.75" customHeight="1" thickBot="1">
      <c r="A1233" s="26"/>
      <c r="B1233" s="26" t="s">
        <v>0</v>
      </c>
      <c r="C1233" s="5" t="s">
        <v>687</v>
      </c>
      <c r="D1233" s="4" t="s">
        <v>2</v>
      </c>
    </row>
    <row r="1234" spans="1:4" ht="42.75" customHeight="1" thickBot="1">
      <c r="A1234" s="92">
        <v>520</v>
      </c>
      <c r="B1234" s="93"/>
      <c r="C1234" s="94" t="s">
        <v>3</v>
      </c>
      <c r="D1234" s="95"/>
    </row>
    <row r="1235" spans="1:4" ht="42.75" customHeight="1" thickBot="1">
      <c r="A1235" s="92">
        <v>560</v>
      </c>
      <c r="B1235" s="93"/>
      <c r="C1235" s="96" t="s">
        <v>4</v>
      </c>
      <c r="D1235" s="97"/>
    </row>
    <row r="1236" spans="1:4" ht="42.75" customHeight="1" thickBot="1">
      <c r="A1236" s="98">
        <f>A1235-A1234</f>
        <v>40</v>
      </c>
      <c r="B1236" s="99"/>
      <c r="C1236" s="100" t="s">
        <v>5</v>
      </c>
      <c r="D1236" s="97"/>
    </row>
    <row r="1237" spans="1:4" ht="42.75" customHeight="1" thickBot="1">
      <c r="A1237" s="101">
        <v>62</v>
      </c>
      <c r="B1237" s="102"/>
      <c r="C1237" s="96" t="s">
        <v>6</v>
      </c>
      <c r="D1237" s="97"/>
    </row>
    <row r="1238" spans="1:4" ht="42.75" customHeight="1" thickBot="1">
      <c r="A1238" s="103"/>
      <c r="B1238" s="104"/>
      <c r="C1238" s="96" t="s">
        <v>21</v>
      </c>
      <c r="D1238" s="97"/>
    </row>
    <row r="1239" spans="1:4" ht="42.75" customHeight="1" thickBot="1">
      <c r="A1239" s="105">
        <f>A1237*A1236</f>
        <v>2480</v>
      </c>
      <c r="B1239" s="106"/>
      <c r="C1239" s="96" t="s">
        <v>7</v>
      </c>
      <c r="D1239" s="97"/>
    </row>
    <row r="1240" spans="1:4" ht="42.75" customHeight="1" thickBot="1">
      <c r="A1240" s="107" t="s">
        <v>17</v>
      </c>
      <c r="B1240" s="108"/>
      <c r="C1240" s="108"/>
      <c r="D1240" s="109"/>
    </row>
    <row r="1241" spans="1:4" ht="42.75" customHeight="1" thickBot="1">
      <c r="A1241" s="110" t="s">
        <v>20</v>
      </c>
      <c r="B1241" s="111"/>
      <c r="C1241" s="111"/>
      <c r="D1241" s="112"/>
    </row>
    <row r="1242" spans="1:4" ht="42.75" customHeight="1" thickBot="1">
      <c r="A1242" s="113" t="s">
        <v>18</v>
      </c>
      <c r="B1242" s="114"/>
      <c r="C1242" s="114"/>
      <c r="D1242" s="115"/>
    </row>
    <row r="1243" spans="1:4" ht="42.75" customHeight="1" thickBot="1">
      <c r="A1243" s="126" t="s">
        <v>19</v>
      </c>
      <c r="B1243" s="127"/>
      <c r="C1243" s="127"/>
      <c r="D1243" s="128"/>
    </row>
    <row r="1244" spans="1:4" ht="42.75" customHeight="1" thickBot="1">
      <c r="A1244" s="123" t="s">
        <v>11</v>
      </c>
      <c r="B1244" s="124"/>
      <c r="C1244" s="125" t="s">
        <v>603</v>
      </c>
      <c r="D1244" s="124"/>
    </row>
    <row r="1245" spans="1:4" ht="42.75" customHeight="1" thickBot="1">
      <c r="A1245" s="1" t="s">
        <v>686</v>
      </c>
      <c r="B1245" s="26" t="s">
        <v>1</v>
      </c>
      <c r="C1245" s="90" t="s">
        <v>127</v>
      </c>
      <c r="D1245" s="91"/>
    </row>
    <row r="1246" spans="1:4" ht="42.75" customHeight="1" thickBot="1">
      <c r="A1246" s="26"/>
      <c r="B1246" s="26" t="s">
        <v>0</v>
      </c>
      <c r="C1246" s="5" t="s">
        <v>687</v>
      </c>
      <c r="D1246" s="4" t="s">
        <v>2</v>
      </c>
    </row>
    <row r="1247" spans="1:4" ht="42.75" customHeight="1" thickBot="1">
      <c r="A1247" s="92">
        <v>270</v>
      </c>
      <c r="B1247" s="93"/>
      <c r="C1247" s="94" t="s">
        <v>3</v>
      </c>
      <c r="D1247" s="95"/>
    </row>
    <row r="1248" spans="1:4" ht="42.75" customHeight="1" thickBot="1">
      <c r="A1248" s="92">
        <v>270</v>
      </c>
      <c r="B1248" s="93"/>
      <c r="C1248" s="96" t="s">
        <v>4</v>
      </c>
      <c r="D1248" s="97"/>
    </row>
    <row r="1249" spans="1:4" ht="42.75" customHeight="1" thickBot="1">
      <c r="A1249" s="98">
        <f>A1248-A1247</f>
        <v>0</v>
      </c>
      <c r="B1249" s="99"/>
      <c r="C1249" s="100" t="s">
        <v>5</v>
      </c>
      <c r="D1249" s="97"/>
    </row>
    <row r="1250" spans="1:4" ht="42.75" customHeight="1" thickBot="1">
      <c r="A1250" s="101">
        <v>60</v>
      </c>
      <c r="B1250" s="102"/>
      <c r="C1250" s="96" t="s">
        <v>6</v>
      </c>
      <c r="D1250" s="97"/>
    </row>
    <row r="1251" spans="1:4" ht="42.75" customHeight="1" thickBot="1">
      <c r="A1251" s="103"/>
      <c r="B1251" s="104"/>
      <c r="C1251" s="96" t="s">
        <v>21</v>
      </c>
      <c r="D1251" s="97"/>
    </row>
    <row r="1252" spans="1:4" ht="42.75" customHeight="1" thickBot="1">
      <c r="A1252" s="105">
        <f>A1250*A1249</f>
        <v>0</v>
      </c>
      <c r="B1252" s="106"/>
      <c r="C1252" s="96" t="s">
        <v>7</v>
      </c>
      <c r="D1252" s="97"/>
    </row>
    <row r="1253" spans="1:4" ht="42.75" customHeight="1" thickBot="1">
      <c r="A1253" s="107" t="s">
        <v>17</v>
      </c>
      <c r="B1253" s="108"/>
      <c r="C1253" s="108"/>
      <c r="D1253" s="109"/>
    </row>
    <row r="1254" spans="1:4" ht="42.75" customHeight="1" thickBot="1">
      <c r="A1254" s="116" t="s">
        <v>20</v>
      </c>
      <c r="B1254" s="117"/>
      <c r="C1254" s="117"/>
      <c r="D1254" s="118"/>
    </row>
    <row r="1255" spans="1:4" ht="42.75" customHeight="1" thickBot="1">
      <c r="A1255" s="113" t="s">
        <v>18</v>
      </c>
      <c r="B1255" s="114"/>
      <c r="C1255" s="114"/>
      <c r="D1255" s="115"/>
    </row>
    <row r="1256" spans="1:4" ht="42.75" customHeight="1" thickBot="1">
      <c r="A1256" s="119"/>
      <c r="B1256" s="119"/>
      <c r="C1256" s="119"/>
      <c r="D1256" s="119"/>
    </row>
    <row r="1257" spans="1:4" ht="42.75" customHeight="1" thickBot="1">
      <c r="A1257" s="126" t="s">
        <v>19</v>
      </c>
      <c r="B1257" s="127"/>
      <c r="C1257" s="127"/>
      <c r="D1257" s="128"/>
    </row>
    <row r="1258" spans="1:4" ht="42.75" customHeight="1" thickBot="1">
      <c r="A1258" s="123" t="s">
        <v>11</v>
      </c>
      <c r="B1258" s="124"/>
      <c r="C1258" s="125" t="s">
        <v>603</v>
      </c>
      <c r="D1258" s="124"/>
    </row>
    <row r="1259" spans="1:4" ht="42.75" customHeight="1" thickBot="1">
      <c r="A1259" s="1" t="s">
        <v>686</v>
      </c>
      <c r="B1259" s="26" t="s">
        <v>1</v>
      </c>
      <c r="C1259" s="90" t="s">
        <v>127</v>
      </c>
      <c r="D1259" s="91"/>
    </row>
    <row r="1260" spans="1:4" ht="42.75" customHeight="1" thickBot="1">
      <c r="A1260" s="26"/>
      <c r="B1260" s="26" t="s">
        <v>0</v>
      </c>
      <c r="C1260" s="5" t="s">
        <v>687</v>
      </c>
      <c r="D1260" s="4" t="s">
        <v>2</v>
      </c>
    </row>
    <row r="1261" spans="1:4" ht="42.75" customHeight="1" thickBot="1">
      <c r="A1261" s="92">
        <v>220</v>
      </c>
      <c r="B1261" s="93"/>
      <c r="C1261" s="94" t="s">
        <v>3</v>
      </c>
      <c r="D1261" s="95"/>
    </row>
    <row r="1262" spans="1:4" ht="42.75" customHeight="1" thickBot="1">
      <c r="A1262" s="92">
        <v>270</v>
      </c>
      <c r="B1262" s="93"/>
      <c r="C1262" s="96" t="s">
        <v>4</v>
      </c>
      <c r="D1262" s="97"/>
    </row>
    <row r="1263" spans="1:4" ht="42.75" customHeight="1" thickBot="1">
      <c r="A1263" s="98">
        <f>A1262-A1261</f>
        <v>50</v>
      </c>
      <c r="B1263" s="99"/>
      <c r="C1263" s="100" t="s">
        <v>5</v>
      </c>
      <c r="D1263" s="97"/>
    </row>
    <row r="1264" spans="1:4" ht="42.75" customHeight="1" thickBot="1">
      <c r="A1264" s="101">
        <v>62</v>
      </c>
      <c r="B1264" s="102"/>
      <c r="C1264" s="96" t="s">
        <v>6</v>
      </c>
      <c r="D1264" s="97"/>
    </row>
    <row r="1265" spans="1:4" ht="42.75" customHeight="1" thickBot="1">
      <c r="A1265" s="103"/>
      <c r="B1265" s="104"/>
      <c r="C1265" s="96" t="s">
        <v>21</v>
      </c>
      <c r="D1265" s="97"/>
    </row>
    <row r="1266" spans="1:4" ht="42.75" customHeight="1" thickBot="1">
      <c r="A1266" s="105">
        <f>A1264*A1263</f>
        <v>3100</v>
      </c>
      <c r="B1266" s="106"/>
      <c r="C1266" s="96" t="s">
        <v>7</v>
      </c>
      <c r="D1266" s="97"/>
    </row>
    <row r="1267" spans="1:4" ht="42.75" customHeight="1" thickBot="1">
      <c r="A1267" s="107" t="s">
        <v>17</v>
      </c>
      <c r="B1267" s="108"/>
      <c r="C1267" s="108"/>
      <c r="D1267" s="109"/>
    </row>
    <row r="1268" spans="1:4" ht="42.75" customHeight="1" thickBot="1">
      <c r="A1268" s="110" t="s">
        <v>20</v>
      </c>
      <c r="B1268" s="111"/>
      <c r="C1268" s="111"/>
      <c r="D1268" s="112"/>
    </row>
    <row r="1269" spans="1:4" ht="42.75" customHeight="1" thickBot="1">
      <c r="A1269" s="113" t="s">
        <v>18</v>
      </c>
      <c r="B1269" s="114"/>
      <c r="C1269" s="114"/>
      <c r="D1269" s="115"/>
    </row>
    <row r="1270" spans="1:4" ht="42.75" customHeight="1" thickBot="1">
      <c r="A1270" s="126" t="s">
        <v>19</v>
      </c>
      <c r="B1270" s="127"/>
      <c r="C1270" s="127"/>
      <c r="D1270" s="128"/>
    </row>
    <row r="1271" spans="1:4" ht="42.75" customHeight="1" thickBot="1">
      <c r="A1271" s="123" t="s">
        <v>11</v>
      </c>
      <c r="B1271" s="124"/>
      <c r="C1271" s="125" t="s">
        <v>603</v>
      </c>
      <c r="D1271" s="124"/>
    </row>
    <row r="1272" spans="1:4" ht="42.75" customHeight="1" thickBot="1">
      <c r="A1272" s="1" t="s">
        <v>686</v>
      </c>
      <c r="B1272" s="26" t="s">
        <v>1</v>
      </c>
      <c r="C1272" s="90" t="s">
        <v>649</v>
      </c>
      <c r="D1272" s="91"/>
    </row>
    <row r="1273" spans="1:4" ht="42.75" customHeight="1" thickBot="1">
      <c r="A1273" s="26"/>
      <c r="B1273" s="26" t="s">
        <v>0</v>
      </c>
      <c r="C1273" s="5" t="s">
        <v>687</v>
      </c>
      <c r="D1273" s="4" t="s">
        <v>2</v>
      </c>
    </row>
    <row r="1274" spans="1:4" ht="42.75" customHeight="1" thickBot="1">
      <c r="A1274" s="92">
        <v>555</v>
      </c>
      <c r="B1274" s="93"/>
      <c r="C1274" s="94" t="s">
        <v>3</v>
      </c>
      <c r="D1274" s="95"/>
    </row>
    <row r="1275" spans="1:4" ht="42.75" customHeight="1" thickBot="1">
      <c r="A1275" s="92">
        <v>555</v>
      </c>
      <c r="B1275" s="93"/>
      <c r="C1275" s="96" t="s">
        <v>4</v>
      </c>
      <c r="D1275" s="97"/>
    </row>
    <row r="1276" spans="1:4" ht="42.75" customHeight="1" thickBot="1">
      <c r="A1276" s="98">
        <f>A1275-A1274</f>
        <v>0</v>
      </c>
      <c r="B1276" s="99"/>
      <c r="C1276" s="100" t="s">
        <v>5</v>
      </c>
      <c r="D1276" s="97"/>
    </row>
    <row r="1277" spans="1:4" ht="42.75" customHeight="1" thickBot="1">
      <c r="A1277" s="101">
        <v>62</v>
      </c>
      <c r="B1277" s="102"/>
      <c r="C1277" s="96" t="s">
        <v>6</v>
      </c>
      <c r="D1277" s="97"/>
    </row>
    <row r="1278" spans="1:4" ht="42.75" customHeight="1" thickBot="1">
      <c r="A1278" s="103"/>
      <c r="B1278" s="104"/>
      <c r="C1278" s="96" t="s">
        <v>21</v>
      </c>
      <c r="D1278" s="97"/>
    </row>
    <row r="1279" spans="1:4" ht="42.75" customHeight="1" thickBot="1">
      <c r="A1279" s="105">
        <f>A1277*A1276</f>
        <v>0</v>
      </c>
      <c r="B1279" s="106"/>
      <c r="C1279" s="96" t="s">
        <v>7</v>
      </c>
      <c r="D1279" s="97"/>
    </row>
    <row r="1280" spans="1:4" ht="42.75" customHeight="1" thickBot="1">
      <c r="A1280" s="107" t="s">
        <v>17</v>
      </c>
      <c r="B1280" s="108"/>
      <c r="C1280" s="108"/>
      <c r="D1280" s="109"/>
    </row>
    <row r="1281" spans="1:4" ht="42.75" customHeight="1" thickBot="1">
      <c r="A1281" s="116" t="s">
        <v>20</v>
      </c>
      <c r="B1281" s="117"/>
      <c r="C1281" s="117"/>
      <c r="D1281" s="118"/>
    </row>
    <row r="1282" spans="1:4" ht="42.75" customHeight="1" thickBot="1">
      <c r="A1282" s="113" t="s">
        <v>18</v>
      </c>
      <c r="B1282" s="114"/>
      <c r="C1282" s="114"/>
      <c r="D1282" s="115"/>
    </row>
    <row r="1283" spans="1:4" ht="42.75" customHeight="1" thickBot="1">
      <c r="A1283" s="119"/>
      <c r="B1283" s="119"/>
      <c r="C1283" s="119"/>
      <c r="D1283" s="119"/>
    </row>
    <row r="1284" spans="1:4" ht="42.75" customHeight="1" thickBot="1">
      <c r="A1284" s="126" t="s">
        <v>19</v>
      </c>
      <c r="B1284" s="127"/>
      <c r="C1284" s="127"/>
      <c r="D1284" s="128"/>
    </row>
    <row r="1285" spans="1:4" ht="42.75" customHeight="1" thickBot="1">
      <c r="A1285" s="123" t="s">
        <v>11</v>
      </c>
      <c r="B1285" s="124"/>
      <c r="C1285" s="125" t="s">
        <v>603</v>
      </c>
      <c r="D1285" s="124"/>
    </row>
    <row r="1286" spans="1:4" ht="42.75" customHeight="1" thickBot="1">
      <c r="A1286" s="1" t="s">
        <v>686</v>
      </c>
      <c r="B1286" s="26" t="s">
        <v>1</v>
      </c>
      <c r="C1286" s="90" t="s">
        <v>649</v>
      </c>
      <c r="D1286" s="91"/>
    </row>
    <row r="1287" spans="1:4" ht="42.75" customHeight="1" thickBot="1">
      <c r="A1287" s="26"/>
      <c r="B1287" s="26" t="s">
        <v>0</v>
      </c>
      <c r="C1287" s="5" t="s">
        <v>687</v>
      </c>
      <c r="D1287" s="4" t="s">
        <v>2</v>
      </c>
    </row>
    <row r="1288" spans="1:4" ht="42.75" customHeight="1" thickBot="1">
      <c r="A1288" s="92">
        <v>555</v>
      </c>
      <c r="B1288" s="93"/>
      <c r="C1288" s="94" t="s">
        <v>3</v>
      </c>
      <c r="D1288" s="95"/>
    </row>
    <row r="1289" spans="1:4" ht="42.75" customHeight="1" thickBot="1">
      <c r="A1289" s="92">
        <v>555</v>
      </c>
      <c r="B1289" s="93"/>
      <c r="C1289" s="96" t="s">
        <v>4</v>
      </c>
      <c r="D1289" s="97"/>
    </row>
    <row r="1290" spans="1:4" ht="42.75" customHeight="1" thickBot="1">
      <c r="A1290" s="98">
        <v>6</v>
      </c>
      <c r="B1290" s="99"/>
      <c r="C1290" s="100" t="s">
        <v>5</v>
      </c>
      <c r="D1290" s="97"/>
    </row>
    <row r="1291" spans="1:4" ht="42.75" customHeight="1" thickBot="1">
      <c r="A1291" s="101">
        <v>62</v>
      </c>
      <c r="B1291" s="102"/>
      <c r="C1291" s="96" t="s">
        <v>6</v>
      </c>
      <c r="D1291" s="97"/>
    </row>
    <row r="1292" spans="1:4" ht="42.75" customHeight="1" thickBot="1">
      <c r="A1292" s="103"/>
      <c r="B1292" s="104"/>
      <c r="C1292" s="96" t="s">
        <v>21</v>
      </c>
      <c r="D1292" s="97"/>
    </row>
    <row r="1293" spans="1:4" ht="42.75" customHeight="1" thickBot="1">
      <c r="A1293" s="105">
        <v>300</v>
      </c>
      <c r="B1293" s="106"/>
      <c r="C1293" s="96" t="s">
        <v>7</v>
      </c>
      <c r="D1293" s="97"/>
    </row>
    <row r="1294" spans="1:4" ht="42.75" customHeight="1" thickBot="1">
      <c r="A1294" s="107" t="s">
        <v>17</v>
      </c>
      <c r="B1294" s="108"/>
      <c r="C1294" s="108"/>
      <c r="D1294" s="109"/>
    </row>
    <row r="1295" spans="1:4" ht="42.75" customHeight="1" thickBot="1">
      <c r="A1295" s="110" t="s">
        <v>20</v>
      </c>
      <c r="B1295" s="111"/>
      <c r="C1295" s="111"/>
      <c r="D1295" s="112"/>
    </row>
    <row r="1296" spans="1:4" ht="42.75" customHeight="1" thickBot="1">
      <c r="A1296" s="113" t="s">
        <v>18</v>
      </c>
      <c r="B1296" s="114"/>
      <c r="C1296" s="114"/>
      <c r="D1296" s="115"/>
    </row>
    <row r="1297" spans="1:4" ht="42.75" customHeight="1" thickBot="1">
      <c r="A1297" s="126" t="s">
        <v>19</v>
      </c>
      <c r="B1297" s="127"/>
      <c r="C1297" s="127"/>
      <c r="D1297" s="128"/>
    </row>
    <row r="1298" spans="1:4" ht="42.75" customHeight="1" thickBot="1">
      <c r="A1298" s="123" t="s">
        <v>11</v>
      </c>
      <c r="B1298" s="124"/>
      <c r="C1298" s="125" t="s">
        <v>603</v>
      </c>
      <c r="D1298" s="124"/>
    </row>
    <row r="1299" spans="1:4" ht="42.75" customHeight="1" thickBot="1">
      <c r="A1299" s="1" t="s">
        <v>686</v>
      </c>
      <c r="B1299" s="26" t="s">
        <v>1</v>
      </c>
      <c r="C1299" s="90" t="s">
        <v>650</v>
      </c>
      <c r="D1299" s="91"/>
    </row>
    <row r="1300" spans="1:4" ht="42.75" customHeight="1" thickBot="1">
      <c r="A1300" s="26"/>
      <c r="B1300" s="26" t="s">
        <v>0</v>
      </c>
      <c r="C1300" s="5" t="s">
        <v>687</v>
      </c>
      <c r="D1300" s="4" t="s">
        <v>2</v>
      </c>
    </row>
    <row r="1301" spans="1:4" ht="42.75" customHeight="1" thickBot="1">
      <c r="A1301" s="92">
        <v>25</v>
      </c>
      <c r="B1301" s="93"/>
      <c r="C1301" s="94" t="s">
        <v>3</v>
      </c>
      <c r="D1301" s="95"/>
    </row>
    <row r="1302" spans="1:4" ht="42.75" customHeight="1" thickBot="1">
      <c r="A1302" s="92">
        <v>25</v>
      </c>
      <c r="B1302" s="93"/>
      <c r="C1302" s="96" t="s">
        <v>4</v>
      </c>
      <c r="D1302" s="97"/>
    </row>
    <row r="1303" spans="1:4" ht="42.75" customHeight="1" thickBot="1">
      <c r="A1303" s="98">
        <f>A1302-A1301</f>
        <v>0</v>
      </c>
      <c r="B1303" s="99"/>
      <c r="C1303" s="100" t="s">
        <v>5</v>
      </c>
      <c r="D1303" s="97"/>
    </row>
    <row r="1304" spans="1:4" ht="42.75" customHeight="1" thickBot="1">
      <c r="A1304" s="101">
        <v>62</v>
      </c>
      <c r="B1304" s="102"/>
      <c r="C1304" s="96" t="s">
        <v>6</v>
      </c>
      <c r="D1304" s="97"/>
    </row>
    <row r="1305" spans="1:4" ht="42.75" customHeight="1" thickBot="1">
      <c r="A1305" s="103"/>
      <c r="B1305" s="104"/>
      <c r="C1305" s="96" t="s">
        <v>21</v>
      </c>
      <c r="D1305" s="97"/>
    </row>
    <row r="1306" spans="1:4" ht="42.75" customHeight="1" thickBot="1">
      <c r="A1306" s="105">
        <f>A1304*A1303</f>
        <v>0</v>
      </c>
      <c r="B1306" s="106"/>
      <c r="C1306" s="96" t="s">
        <v>7</v>
      </c>
      <c r="D1306" s="97"/>
    </row>
    <row r="1307" spans="1:4" ht="42.75" customHeight="1" thickBot="1">
      <c r="A1307" s="107" t="s">
        <v>17</v>
      </c>
      <c r="B1307" s="108"/>
      <c r="C1307" s="108"/>
      <c r="D1307" s="109"/>
    </row>
    <row r="1308" spans="1:4" ht="42.75" customHeight="1" thickBot="1">
      <c r="A1308" s="116" t="s">
        <v>20</v>
      </c>
      <c r="B1308" s="117"/>
      <c r="C1308" s="117"/>
      <c r="D1308" s="118"/>
    </row>
    <row r="1309" spans="1:4" ht="42.75" customHeight="1" thickBot="1">
      <c r="A1309" s="113" t="s">
        <v>18</v>
      </c>
      <c r="B1309" s="114"/>
      <c r="C1309" s="114"/>
      <c r="D1309" s="115"/>
    </row>
    <row r="1310" spans="1:4" ht="42.75" customHeight="1" thickBot="1">
      <c r="A1310" s="119"/>
      <c r="B1310" s="119"/>
      <c r="C1310" s="119"/>
      <c r="D1310" s="119"/>
    </row>
    <row r="1311" spans="1:4" ht="42.75" customHeight="1" thickBot="1">
      <c r="A1311" s="126" t="s">
        <v>19</v>
      </c>
      <c r="B1311" s="127"/>
      <c r="C1311" s="127"/>
      <c r="D1311" s="128"/>
    </row>
    <row r="1312" spans="1:4" ht="42.75" customHeight="1" thickBot="1">
      <c r="A1312" s="123" t="s">
        <v>11</v>
      </c>
      <c r="B1312" s="124"/>
      <c r="C1312" s="125" t="s">
        <v>603</v>
      </c>
      <c r="D1312" s="124"/>
    </row>
    <row r="1313" spans="1:4" ht="42.75" customHeight="1" thickBot="1">
      <c r="A1313" s="1" t="s">
        <v>686</v>
      </c>
      <c r="B1313" s="26" t="s">
        <v>1</v>
      </c>
      <c r="C1313" s="90" t="s">
        <v>650</v>
      </c>
      <c r="D1313" s="91"/>
    </row>
    <row r="1314" spans="1:4" ht="42.75" customHeight="1" thickBot="1">
      <c r="A1314" s="26"/>
      <c r="B1314" s="26" t="s">
        <v>0</v>
      </c>
      <c r="C1314" s="5" t="s">
        <v>687</v>
      </c>
      <c r="D1314" s="4" t="s">
        <v>2</v>
      </c>
    </row>
    <row r="1315" spans="1:4" ht="42.75" customHeight="1" thickBot="1">
      <c r="A1315" s="92">
        <v>17</v>
      </c>
      <c r="B1315" s="93"/>
      <c r="C1315" s="94" t="s">
        <v>3</v>
      </c>
      <c r="D1315" s="95"/>
    </row>
    <row r="1316" spans="1:4" ht="42.75" customHeight="1" thickBot="1">
      <c r="A1316" s="92">
        <v>25</v>
      </c>
      <c r="B1316" s="93"/>
      <c r="C1316" s="96" t="s">
        <v>4</v>
      </c>
      <c r="D1316" s="97"/>
    </row>
    <row r="1317" spans="1:4" ht="42.75" customHeight="1" thickBot="1">
      <c r="A1317" s="98">
        <v>10</v>
      </c>
      <c r="B1317" s="99"/>
      <c r="C1317" s="100" t="s">
        <v>5</v>
      </c>
      <c r="D1317" s="97"/>
    </row>
    <row r="1318" spans="1:4" ht="42.75" customHeight="1" thickBot="1">
      <c r="A1318" s="101">
        <v>62</v>
      </c>
      <c r="B1318" s="102"/>
      <c r="C1318" s="96" t="s">
        <v>6</v>
      </c>
      <c r="D1318" s="97"/>
    </row>
    <row r="1319" spans="1:4" ht="42.75" customHeight="1" thickBot="1">
      <c r="A1319" s="103"/>
      <c r="B1319" s="104"/>
      <c r="C1319" s="96" t="s">
        <v>21</v>
      </c>
      <c r="D1319" s="97"/>
    </row>
    <row r="1320" spans="1:4" ht="42.75" customHeight="1" thickBot="1">
      <c r="A1320" s="105">
        <v>600</v>
      </c>
      <c r="B1320" s="106"/>
      <c r="C1320" s="96" t="s">
        <v>7</v>
      </c>
      <c r="D1320" s="97"/>
    </row>
    <row r="1321" spans="1:4" ht="42.75" customHeight="1" thickBot="1">
      <c r="A1321" s="107" t="s">
        <v>17</v>
      </c>
      <c r="B1321" s="108"/>
      <c r="C1321" s="108"/>
      <c r="D1321" s="109"/>
    </row>
    <row r="1322" spans="1:4" ht="42.75" customHeight="1" thickBot="1">
      <c r="A1322" s="110" t="s">
        <v>20</v>
      </c>
      <c r="B1322" s="111"/>
      <c r="C1322" s="111"/>
      <c r="D1322" s="112"/>
    </row>
    <row r="1323" spans="1:4" ht="42.75" customHeight="1" thickBot="1">
      <c r="A1323" s="113" t="s">
        <v>18</v>
      </c>
      <c r="B1323" s="114"/>
      <c r="C1323" s="114"/>
      <c r="D1323" s="115"/>
    </row>
    <row r="1324" spans="1:4" ht="42.75" customHeight="1" thickBot="1">
      <c r="A1324" s="126" t="s">
        <v>19</v>
      </c>
      <c r="B1324" s="127"/>
      <c r="C1324" s="127"/>
      <c r="D1324" s="128"/>
    </row>
    <row r="1325" spans="1:4" ht="42.75" customHeight="1" thickBot="1">
      <c r="A1325" s="123" t="s">
        <v>11</v>
      </c>
      <c r="B1325" s="124"/>
      <c r="C1325" s="125" t="s">
        <v>603</v>
      </c>
      <c r="D1325" s="124"/>
    </row>
    <row r="1326" spans="1:4" ht="42.75" customHeight="1" thickBot="1">
      <c r="A1326" s="1" t="s">
        <v>686</v>
      </c>
      <c r="B1326" s="26" t="s">
        <v>1</v>
      </c>
      <c r="C1326" s="90" t="s">
        <v>665</v>
      </c>
      <c r="D1326" s="91"/>
    </row>
    <row r="1327" spans="1:4" ht="42.75" customHeight="1" thickBot="1">
      <c r="A1327" s="26"/>
      <c r="B1327" s="26" t="s">
        <v>0</v>
      </c>
      <c r="C1327" s="5" t="s">
        <v>687</v>
      </c>
      <c r="D1327" s="4" t="s">
        <v>2</v>
      </c>
    </row>
    <row r="1328" spans="1:4" ht="42.75" customHeight="1" thickBot="1">
      <c r="A1328" s="92">
        <v>19</v>
      </c>
      <c r="B1328" s="93"/>
      <c r="C1328" s="94" t="s">
        <v>3</v>
      </c>
      <c r="D1328" s="95"/>
    </row>
    <row r="1329" spans="1:4" ht="42.75" customHeight="1" thickBot="1">
      <c r="A1329" s="92">
        <v>19</v>
      </c>
      <c r="B1329" s="93"/>
      <c r="C1329" s="96" t="s">
        <v>4</v>
      </c>
      <c r="D1329" s="97"/>
    </row>
    <row r="1330" spans="1:4" ht="42.75" customHeight="1" thickBot="1">
      <c r="A1330" s="98">
        <f>A1329-A1328</f>
        <v>0</v>
      </c>
      <c r="B1330" s="99"/>
      <c r="C1330" s="100" t="s">
        <v>5</v>
      </c>
      <c r="D1330" s="97"/>
    </row>
    <row r="1331" spans="1:4" ht="42.75" customHeight="1" thickBot="1">
      <c r="A1331" s="101">
        <v>62</v>
      </c>
      <c r="B1331" s="102"/>
      <c r="C1331" s="96" t="s">
        <v>6</v>
      </c>
      <c r="D1331" s="97"/>
    </row>
    <row r="1332" spans="1:4" ht="42.75" customHeight="1" thickBot="1">
      <c r="A1332" s="103"/>
      <c r="B1332" s="104"/>
      <c r="C1332" s="96" t="s">
        <v>21</v>
      </c>
      <c r="D1332" s="97"/>
    </row>
    <row r="1333" spans="1:4" ht="42.75" customHeight="1" thickBot="1">
      <c r="A1333" s="105">
        <f>A1331*A1330</f>
        <v>0</v>
      </c>
      <c r="B1333" s="106"/>
      <c r="C1333" s="96" t="s">
        <v>7</v>
      </c>
      <c r="D1333" s="97"/>
    </row>
    <row r="1334" spans="1:4" ht="42.75" customHeight="1" thickBot="1">
      <c r="A1334" s="107" t="s">
        <v>17</v>
      </c>
      <c r="B1334" s="108"/>
      <c r="C1334" s="108"/>
      <c r="D1334" s="109"/>
    </row>
    <row r="1335" spans="1:4" ht="42.75" customHeight="1" thickBot="1">
      <c r="A1335" s="116" t="s">
        <v>20</v>
      </c>
      <c r="B1335" s="117"/>
      <c r="C1335" s="117"/>
      <c r="D1335" s="118"/>
    </row>
    <row r="1336" spans="1:4" ht="42.75" customHeight="1" thickBot="1">
      <c r="A1336" s="113" t="s">
        <v>18</v>
      </c>
      <c r="B1336" s="114"/>
      <c r="C1336" s="114"/>
      <c r="D1336" s="115"/>
    </row>
    <row r="1337" spans="1:4" ht="42.75" customHeight="1" thickBot="1">
      <c r="A1337" s="119"/>
      <c r="B1337" s="119"/>
      <c r="C1337" s="119"/>
      <c r="D1337" s="119"/>
    </row>
    <row r="1338" spans="1:4" ht="42.75" customHeight="1" thickBot="1">
      <c r="A1338" s="126" t="s">
        <v>19</v>
      </c>
      <c r="B1338" s="127"/>
      <c r="C1338" s="127"/>
      <c r="D1338" s="128"/>
    </row>
    <row r="1339" spans="1:4" ht="42.75" customHeight="1" thickBot="1">
      <c r="A1339" s="123" t="s">
        <v>11</v>
      </c>
      <c r="B1339" s="124"/>
      <c r="C1339" s="125" t="s">
        <v>603</v>
      </c>
      <c r="D1339" s="124"/>
    </row>
    <row r="1340" spans="1:4" ht="42.75" customHeight="1" thickBot="1">
      <c r="A1340" s="1" t="s">
        <v>686</v>
      </c>
      <c r="B1340" s="26" t="s">
        <v>1</v>
      </c>
      <c r="C1340" s="90" t="s">
        <v>665</v>
      </c>
      <c r="D1340" s="91"/>
    </row>
    <row r="1341" spans="1:4" ht="42.75" customHeight="1" thickBot="1">
      <c r="A1341" s="26"/>
      <c r="B1341" s="26" t="s">
        <v>0</v>
      </c>
      <c r="C1341" s="5" t="s">
        <v>687</v>
      </c>
      <c r="D1341" s="4" t="s">
        <v>2</v>
      </c>
    </row>
    <row r="1342" spans="1:4" ht="42.75" customHeight="1" thickBot="1">
      <c r="A1342" s="92">
        <v>16</v>
      </c>
      <c r="B1342" s="93"/>
      <c r="C1342" s="94" t="s">
        <v>3</v>
      </c>
      <c r="D1342" s="95"/>
    </row>
    <row r="1343" spans="1:4" ht="42.75" customHeight="1" thickBot="1">
      <c r="A1343" s="92">
        <v>19</v>
      </c>
      <c r="B1343" s="93"/>
      <c r="C1343" s="96" t="s">
        <v>4</v>
      </c>
      <c r="D1343" s="97"/>
    </row>
    <row r="1344" spans="1:4" ht="42.75" customHeight="1" thickBot="1">
      <c r="A1344" s="98">
        <v>10</v>
      </c>
      <c r="B1344" s="99"/>
      <c r="C1344" s="100" t="s">
        <v>5</v>
      </c>
      <c r="D1344" s="97"/>
    </row>
    <row r="1345" spans="1:4" ht="42.75" customHeight="1" thickBot="1">
      <c r="A1345" s="101">
        <v>62</v>
      </c>
      <c r="B1345" s="102"/>
      <c r="C1345" s="96" t="s">
        <v>6</v>
      </c>
      <c r="D1345" s="97"/>
    </row>
    <row r="1346" spans="1:4" ht="42.75" customHeight="1" thickBot="1">
      <c r="A1346" s="103"/>
      <c r="B1346" s="104"/>
      <c r="C1346" s="96" t="s">
        <v>21</v>
      </c>
      <c r="D1346" s="97"/>
    </row>
    <row r="1347" spans="1:4" ht="42.75" customHeight="1" thickBot="1">
      <c r="A1347" s="105">
        <v>600</v>
      </c>
      <c r="B1347" s="106"/>
      <c r="C1347" s="96" t="s">
        <v>7</v>
      </c>
      <c r="D1347" s="97"/>
    </row>
    <row r="1348" spans="1:4" ht="42.75" customHeight="1" thickBot="1">
      <c r="A1348" s="107" t="s">
        <v>17</v>
      </c>
      <c r="B1348" s="108"/>
      <c r="C1348" s="108"/>
      <c r="D1348" s="109"/>
    </row>
    <row r="1349" spans="1:4" ht="42.75" customHeight="1" thickBot="1">
      <c r="A1349" s="110" t="s">
        <v>20</v>
      </c>
      <c r="B1349" s="111"/>
      <c r="C1349" s="111"/>
      <c r="D1349" s="112"/>
    </row>
    <row r="1350" spans="1:4" ht="42.75" customHeight="1" thickBot="1">
      <c r="A1350" s="113" t="s">
        <v>18</v>
      </c>
      <c r="B1350" s="114"/>
      <c r="C1350" s="114"/>
      <c r="D1350" s="115"/>
    </row>
  </sheetData>
  <mergeCells count="1951">
    <mergeCell ref="A1318:B1318"/>
    <mergeCell ref="C1318:D1318"/>
    <mergeCell ref="A1319:B1319"/>
    <mergeCell ref="C1319:D1319"/>
    <mergeCell ref="A1320:B1320"/>
    <mergeCell ref="C1320:D1320"/>
    <mergeCell ref="A1321:D1321"/>
    <mergeCell ref="A1322:D1322"/>
    <mergeCell ref="A1323:D1323"/>
    <mergeCell ref="A1305:B1305"/>
    <mergeCell ref="C1305:D1305"/>
    <mergeCell ref="A1306:B1306"/>
    <mergeCell ref="C1306:D1306"/>
    <mergeCell ref="A1307:D1307"/>
    <mergeCell ref="A1308:D1308"/>
    <mergeCell ref="A1309:D1309"/>
    <mergeCell ref="A1310:D1310"/>
    <mergeCell ref="A1311:D1311"/>
    <mergeCell ref="A1312:B1312"/>
    <mergeCell ref="C1312:D1312"/>
    <mergeCell ref="C1313:D1313"/>
    <mergeCell ref="A1315:B1315"/>
    <mergeCell ref="C1315:D1315"/>
    <mergeCell ref="A1316:B1316"/>
    <mergeCell ref="C1316:D1316"/>
    <mergeCell ref="A1317:B1317"/>
    <mergeCell ref="C1317:D1317"/>
    <mergeCell ref="A1293:B1293"/>
    <mergeCell ref="C1293:D1293"/>
    <mergeCell ref="A1294:D1294"/>
    <mergeCell ref="A1295:D1295"/>
    <mergeCell ref="A1296:D1296"/>
    <mergeCell ref="A1297:D1297"/>
    <mergeCell ref="A1298:B1298"/>
    <mergeCell ref="C1298:D1298"/>
    <mergeCell ref="C1299:D1299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281:D1281"/>
    <mergeCell ref="A1282:D1282"/>
    <mergeCell ref="A1283:D1283"/>
    <mergeCell ref="A1284:D1284"/>
    <mergeCell ref="A1285:B1285"/>
    <mergeCell ref="C1285:D1285"/>
    <mergeCell ref="C1286:D1286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70:D1270"/>
    <mergeCell ref="A1271:B1271"/>
    <mergeCell ref="C1271:D1271"/>
    <mergeCell ref="C1272:D1272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D1280"/>
    <mergeCell ref="A6:B6"/>
    <mergeCell ref="C6:D6"/>
    <mergeCell ref="A7:B7"/>
    <mergeCell ref="C7:D7"/>
    <mergeCell ref="A8:B8"/>
    <mergeCell ref="C8:D8"/>
    <mergeCell ref="A1:D1"/>
    <mergeCell ref="A2:B2"/>
    <mergeCell ref="C2:D2"/>
    <mergeCell ref="C3:D3"/>
    <mergeCell ref="A5:B5"/>
    <mergeCell ref="C5:D5"/>
    <mergeCell ref="A19:B19"/>
    <mergeCell ref="C19:D19"/>
    <mergeCell ref="A20:B20"/>
    <mergeCell ref="C20:D20"/>
    <mergeCell ref="A21:B21"/>
    <mergeCell ref="C21:D21"/>
    <mergeCell ref="A13:D13"/>
    <mergeCell ref="A14:D14"/>
    <mergeCell ref="A15:D15"/>
    <mergeCell ref="A16:B16"/>
    <mergeCell ref="C16:D16"/>
    <mergeCell ref="C17:D17"/>
    <mergeCell ref="A9:B9"/>
    <mergeCell ref="C9:D9"/>
    <mergeCell ref="A10:B10"/>
    <mergeCell ref="C10:D10"/>
    <mergeCell ref="A11:D11"/>
    <mergeCell ref="A12:D12"/>
    <mergeCell ref="C30:D30"/>
    <mergeCell ref="A32:B32"/>
    <mergeCell ref="C32:D32"/>
    <mergeCell ref="A33:B33"/>
    <mergeCell ref="C33:D33"/>
    <mergeCell ref="A34:B34"/>
    <mergeCell ref="C34:D34"/>
    <mergeCell ref="A25:D25"/>
    <mergeCell ref="A26:D26"/>
    <mergeCell ref="A27:D27"/>
    <mergeCell ref="A28:D28"/>
    <mergeCell ref="A29:B29"/>
    <mergeCell ref="C29:D29"/>
    <mergeCell ref="A22:B22"/>
    <mergeCell ref="C22:D22"/>
    <mergeCell ref="A23:B23"/>
    <mergeCell ref="C23:D23"/>
    <mergeCell ref="A24:B24"/>
    <mergeCell ref="C24:D24"/>
    <mergeCell ref="C44:D44"/>
    <mergeCell ref="A46:B46"/>
    <mergeCell ref="C46:D46"/>
    <mergeCell ref="A47:B47"/>
    <mergeCell ref="C47:D47"/>
    <mergeCell ref="A48:B48"/>
    <mergeCell ref="C48:D48"/>
    <mergeCell ref="A38:D38"/>
    <mergeCell ref="A39:D39"/>
    <mergeCell ref="A40:D40"/>
    <mergeCell ref="A41:D41"/>
    <mergeCell ref="A42:D42"/>
    <mergeCell ref="A43:B43"/>
    <mergeCell ref="C43:D43"/>
    <mergeCell ref="A35:B35"/>
    <mergeCell ref="C35:D35"/>
    <mergeCell ref="A36:B36"/>
    <mergeCell ref="C36:D36"/>
    <mergeCell ref="A37:B37"/>
    <mergeCell ref="C37:D37"/>
    <mergeCell ref="C57:D57"/>
    <mergeCell ref="A59:B59"/>
    <mergeCell ref="C59:D59"/>
    <mergeCell ref="A60:B60"/>
    <mergeCell ref="C60:D60"/>
    <mergeCell ref="A61:B61"/>
    <mergeCell ref="C61:D61"/>
    <mergeCell ref="A52:D52"/>
    <mergeCell ref="A53:D53"/>
    <mergeCell ref="A54:D54"/>
    <mergeCell ref="A55:D55"/>
    <mergeCell ref="A56:B56"/>
    <mergeCell ref="C56:D56"/>
    <mergeCell ref="A49:B49"/>
    <mergeCell ref="C49:D49"/>
    <mergeCell ref="A50:B50"/>
    <mergeCell ref="C50:D50"/>
    <mergeCell ref="A51:B51"/>
    <mergeCell ref="C51:D51"/>
    <mergeCell ref="C71:D71"/>
    <mergeCell ref="A73:B73"/>
    <mergeCell ref="C73:D73"/>
    <mergeCell ref="A74:B74"/>
    <mergeCell ref="C74:D74"/>
    <mergeCell ref="A75:B75"/>
    <mergeCell ref="C75:D75"/>
    <mergeCell ref="A65:D65"/>
    <mergeCell ref="A66:D66"/>
    <mergeCell ref="A67:D67"/>
    <mergeCell ref="A68:D68"/>
    <mergeCell ref="A69:D69"/>
    <mergeCell ref="A70:B70"/>
    <mergeCell ref="C70:D70"/>
    <mergeCell ref="A62:B62"/>
    <mergeCell ref="C62:D62"/>
    <mergeCell ref="A63:B63"/>
    <mergeCell ref="C63:D63"/>
    <mergeCell ref="A64:B64"/>
    <mergeCell ref="C64:D64"/>
    <mergeCell ref="C84:D84"/>
    <mergeCell ref="A86:B86"/>
    <mergeCell ref="C86:D86"/>
    <mergeCell ref="A87:B87"/>
    <mergeCell ref="C87:D87"/>
    <mergeCell ref="A88:B88"/>
    <mergeCell ref="C88:D88"/>
    <mergeCell ref="A79:D79"/>
    <mergeCell ref="A80:D80"/>
    <mergeCell ref="A81:D81"/>
    <mergeCell ref="A82:D82"/>
    <mergeCell ref="A83:B83"/>
    <mergeCell ref="C83:D83"/>
    <mergeCell ref="A76:B76"/>
    <mergeCell ref="C76:D76"/>
    <mergeCell ref="A77:B77"/>
    <mergeCell ref="C77:D77"/>
    <mergeCell ref="A78:B78"/>
    <mergeCell ref="C78:D78"/>
    <mergeCell ref="C98:D98"/>
    <mergeCell ref="A100:B100"/>
    <mergeCell ref="C100:D100"/>
    <mergeCell ref="A101:B101"/>
    <mergeCell ref="C101:D101"/>
    <mergeCell ref="A102:B102"/>
    <mergeCell ref="C102:D102"/>
    <mergeCell ref="A92:D92"/>
    <mergeCell ref="A93:D93"/>
    <mergeCell ref="A94:D94"/>
    <mergeCell ref="A95:D95"/>
    <mergeCell ref="A96:D96"/>
    <mergeCell ref="A97:B97"/>
    <mergeCell ref="C97:D97"/>
    <mergeCell ref="A89:B89"/>
    <mergeCell ref="C89:D89"/>
    <mergeCell ref="A90:B90"/>
    <mergeCell ref="C90:D90"/>
    <mergeCell ref="A91:B91"/>
    <mergeCell ref="C91:D91"/>
    <mergeCell ref="C111:D111"/>
    <mergeCell ref="A113:B113"/>
    <mergeCell ref="C113:D113"/>
    <mergeCell ref="A114:B114"/>
    <mergeCell ref="C114:D114"/>
    <mergeCell ref="A115:B115"/>
    <mergeCell ref="C115:D115"/>
    <mergeCell ref="A106:D106"/>
    <mergeCell ref="A107:D107"/>
    <mergeCell ref="A108:D108"/>
    <mergeCell ref="A109:D109"/>
    <mergeCell ref="A110:B110"/>
    <mergeCell ref="C110:D110"/>
    <mergeCell ref="A103:B103"/>
    <mergeCell ref="C103:D103"/>
    <mergeCell ref="A104:B104"/>
    <mergeCell ref="C104:D104"/>
    <mergeCell ref="A105:B105"/>
    <mergeCell ref="C105:D105"/>
    <mergeCell ref="C125:D125"/>
    <mergeCell ref="A127:B127"/>
    <mergeCell ref="C127:D127"/>
    <mergeCell ref="A128:B128"/>
    <mergeCell ref="C128:D128"/>
    <mergeCell ref="A129:B129"/>
    <mergeCell ref="C129:D129"/>
    <mergeCell ref="A119:D119"/>
    <mergeCell ref="A120:D120"/>
    <mergeCell ref="A121:D121"/>
    <mergeCell ref="A122:D122"/>
    <mergeCell ref="A123:D123"/>
    <mergeCell ref="A124:B124"/>
    <mergeCell ref="C124:D124"/>
    <mergeCell ref="A116:B116"/>
    <mergeCell ref="C116:D116"/>
    <mergeCell ref="A117:B117"/>
    <mergeCell ref="C117:D117"/>
    <mergeCell ref="A118:B118"/>
    <mergeCell ref="C118:D118"/>
    <mergeCell ref="C138:D138"/>
    <mergeCell ref="A140:B140"/>
    <mergeCell ref="C140:D140"/>
    <mergeCell ref="A141:B141"/>
    <mergeCell ref="C141:D141"/>
    <mergeCell ref="A142:B142"/>
    <mergeCell ref="C142:D142"/>
    <mergeCell ref="A133:D133"/>
    <mergeCell ref="A134:D134"/>
    <mergeCell ref="A135:D135"/>
    <mergeCell ref="A136:D136"/>
    <mergeCell ref="A137:B137"/>
    <mergeCell ref="C137:D137"/>
    <mergeCell ref="A130:B130"/>
    <mergeCell ref="C130:D130"/>
    <mergeCell ref="A131:B131"/>
    <mergeCell ref="C131:D131"/>
    <mergeCell ref="A132:B132"/>
    <mergeCell ref="C132:D132"/>
    <mergeCell ref="C152:D152"/>
    <mergeCell ref="A154:B154"/>
    <mergeCell ref="C154:D154"/>
    <mergeCell ref="A155:B155"/>
    <mergeCell ref="C155:D155"/>
    <mergeCell ref="A156:B156"/>
    <mergeCell ref="C156:D156"/>
    <mergeCell ref="A146:D146"/>
    <mergeCell ref="A147:D147"/>
    <mergeCell ref="A148:D148"/>
    <mergeCell ref="A149:D149"/>
    <mergeCell ref="A150:D150"/>
    <mergeCell ref="A151:B151"/>
    <mergeCell ref="C151:D151"/>
    <mergeCell ref="A143:B143"/>
    <mergeCell ref="C143:D143"/>
    <mergeCell ref="A144:B144"/>
    <mergeCell ref="C144:D144"/>
    <mergeCell ref="A145:B145"/>
    <mergeCell ref="C145:D145"/>
    <mergeCell ref="C165:D165"/>
    <mergeCell ref="A167:B167"/>
    <mergeCell ref="C167:D167"/>
    <mergeCell ref="A168:B168"/>
    <mergeCell ref="C168:D168"/>
    <mergeCell ref="A169:B169"/>
    <mergeCell ref="C169:D169"/>
    <mergeCell ref="A160:D160"/>
    <mergeCell ref="A161:D161"/>
    <mergeCell ref="A162:D162"/>
    <mergeCell ref="A163:D163"/>
    <mergeCell ref="A164:B164"/>
    <mergeCell ref="C164:D164"/>
    <mergeCell ref="A157:B157"/>
    <mergeCell ref="C157:D157"/>
    <mergeCell ref="A158:B158"/>
    <mergeCell ref="C158:D158"/>
    <mergeCell ref="A159:B159"/>
    <mergeCell ref="C159:D159"/>
    <mergeCell ref="C179:D179"/>
    <mergeCell ref="A181:B181"/>
    <mergeCell ref="C181:D181"/>
    <mergeCell ref="A182:B182"/>
    <mergeCell ref="C182:D182"/>
    <mergeCell ref="A183:B183"/>
    <mergeCell ref="C183:D183"/>
    <mergeCell ref="A173:D173"/>
    <mergeCell ref="A174:D174"/>
    <mergeCell ref="A175:D175"/>
    <mergeCell ref="A176:D176"/>
    <mergeCell ref="A177:D177"/>
    <mergeCell ref="A178:B178"/>
    <mergeCell ref="C178:D178"/>
    <mergeCell ref="A170:B170"/>
    <mergeCell ref="C170:D170"/>
    <mergeCell ref="A171:B171"/>
    <mergeCell ref="C171:D171"/>
    <mergeCell ref="A172:B172"/>
    <mergeCell ref="C172:D172"/>
    <mergeCell ref="C192:D192"/>
    <mergeCell ref="A194:B194"/>
    <mergeCell ref="C194:D194"/>
    <mergeCell ref="A195:B195"/>
    <mergeCell ref="C195:D195"/>
    <mergeCell ref="A196:B196"/>
    <mergeCell ref="C196:D196"/>
    <mergeCell ref="A187:D187"/>
    <mergeCell ref="A188:D188"/>
    <mergeCell ref="A189:D189"/>
    <mergeCell ref="A190:D190"/>
    <mergeCell ref="A191:B191"/>
    <mergeCell ref="C191:D191"/>
    <mergeCell ref="A184:B184"/>
    <mergeCell ref="C184:D184"/>
    <mergeCell ref="A185:B185"/>
    <mergeCell ref="C185:D185"/>
    <mergeCell ref="A186:B186"/>
    <mergeCell ref="C186:D186"/>
    <mergeCell ref="C206:D206"/>
    <mergeCell ref="A208:B208"/>
    <mergeCell ref="C208:D208"/>
    <mergeCell ref="A209:B209"/>
    <mergeCell ref="C209:D209"/>
    <mergeCell ref="A210:B210"/>
    <mergeCell ref="C210:D210"/>
    <mergeCell ref="A200:D200"/>
    <mergeCell ref="A201:D201"/>
    <mergeCell ref="A202:D202"/>
    <mergeCell ref="A203:D203"/>
    <mergeCell ref="A204:D204"/>
    <mergeCell ref="A205:B205"/>
    <mergeCell ref="C205:D205"/>
    <mergeCell ref="A197:B197"/>
    <mergeCell ref="C197:D197"/>
    <mergeCell ref="A198:B198"/>
    <mergeCell ref="C198:D198"/>
    <mergeCell ref="A199:B199"/>
    <mergeCell ref="C199:D199"/>
    <mergeCell ref="C219:D219"/>
    <mergeCell ref="A221:B221"/>
    <mergeCell ref="C221:D221"/>
    <mergeCell ref="A222:B222"/>
    <mergeCell ref="C222:D222"/>
    <mergeCell ref="A223:B223"/>
    <mergeCell ref="C223:D223"/>
    <mergeCell ref="A214:D214"/>
    <mergeCell ref="A215:D215"/>
    <mergeCell ref="A216:D216"/>
    <mergeCell ref="A217:D217"/>
    <mergeCell ref="A218:B218"/>
    <mergeCell ref="C218:D218"/>
    <mergeCell ref="A211:B211"/>
    <mergeCell ref="C211:D211"/>
    <mergeCell ref="A212:B212"/>
    <mergeCell ref="C212:D212"/>
    <mergeCell ref="A213:B213"/>
    <mergeCell ref="C213:D213"/>
    <mergeCell ref="C233:D233"/>
    <mergeCell ref="A235:B235"/>
    <mergeCell ref="C235:D235"/>
    <mergeCell ref="A236:B236"/>
    <mergeCell ref="C236:D236"/>
    <mergeCell ref="A237:B237"/>
    <mergeCell ref="C237:D237"/>
    <mergeCell ref="A227:D227"/>
    <mergeCell ref="A228:D228"/>
    <mergeCell ref="A229:D229"/>
    <mergeCell ref="A230:D230"/>
    <mergeCell ref="A231:D231"/>
    <mergeCell ref="A232:B232"/>
    <mergeCell ref="C232:D232"/>
    <mergeCell ref="A224:B224"/>
    <mergeCell ref="C224:D224"/>
    <mergeCell ref="A225:B225"/>
    <mergeCell ref="C225:D225"/>
    <mergeCell ref="A226:B226"/>
    <mergeCell ref="C226:D226"/>
    <mergeCell ref="C246:D246"/>
    <mergeCell ref="A248:B248"/>
    <mergeCell ref="C248:D248"/>
    <mergeCell ref="A249:B249"/>
    <mergeCell ref="C249:D249"/>
    <mergeCell ref="A250:B250"/>
    <mergeCell ref="C250:D250"/>
    <mergeCell ref="A241:D241"/>
    <mergeCell ref="A242:D242"/>
    <mergeCell ref="A243:D243"/>
    <mergeCell ref="A244:D244"/>
    <mergeCell ref="A245:B245"/>
    <mergeCell ref="C245:D245"/>
    <mergeCell ref="A238:B238"/>
    <mergeCell ref="C238:D238"/>
    <mergeCell ref="A239:B239"/>
    <mergeCell ref="C239:D239"/>
    <mergeCell ref="A240:B240"/>
    <mergeCell ref="C240:D240"/>
    <mergeCell ref="C260:D260"/>
    <mergeCell ref="A262:B262"/>
    <mergeCell ref="C262:D262"/>
    <mergeCell ref="A263:B263"/>
    <mergeCell ref="C263:D263"/>
    <mergeCell ref="A264:B264"/>
    <mergeCell ref="C264:D264"/>
    <mergeCell ref="A254:D254"/>
    <mergeCell ref="A255:D255"/>
    <mergeCell ref="A256:D256"/>
    <mergeCell ref="A257:D257"/>
    <mergeCell ref="A258:D258"/>
    <mergeCell ref="A259:B259"/>
    <mergeCell ref="C259:D259"/>
    <mergeCell ref="A251:B251"/>
    <mergeCell ref="C251:D251"/>
    <mergeCell ref="A252:B252"/>
    <mergeCell ref="C252:D252"/>
    <mergeCell ref="A253:B253"/>
    <mergeCell ref="C253:D253"/>
    <mergeCell ref="C273:D273"/>
    <mergeCell ref="A275:B275"/>
    <mergeCell ref="C275:D275"/>
    <mergeCell ref="A276:B276"/>
    <mergeCell ref="C276:D276"/>
    <mergeCell ref="A277:B277"/>
    <mergeCell ref="C277:D277"/>
    <mergeCell ref="A268:D268"/>
    <mergeCell ref="A269:D269"/>
    <mergeCell ref="A270:D270"/>
    <mergeCell ref="A271:D271"/>
    <mergeCell ref="A272:B272"/>
    <mergeCell ref="C272:D272"/>
    <mergeCell ref="A265:B265"/>
    <mergeCell ref="C265:D265"/>
    <mergeCell ref="A266:B266"/>
    <mergeCell ref="C266:D266"/>
    <mergeCell ref="A267:B267"/>
    <mergeCell ref="C267:D267"/>
    <mergeCell ref="C287:D287"/>
    <mergeCell ref="A289:B289"/>
    <mergeCell ref="C289:D289"/>
    <mergeCell ref="A290:B290"/>
    <mergeCell ref="C290:D290"/>
    <mergeCell ref="A291:B291"/>
    <mergeCell ref="C291:D291"/>
    <mergeCell ref="A281:D281"/>
    <mergeCell ref="A282:D282"/>
    <mergeCell ref="A283:D283"/>
    <mergeCell ref="A284:D284"/>
    <mergeCell ref="A285:D285"/>
    <mergeCell ref="A286:B286"/>
    <mergeCell ref="C286:D286"/>
    <mergeCell ref="A278:B278"/>
    <mergeCell ref="C278:D278"/>
    <mergeCell ref="A279:B279"/>
    <mergeCell ref="C279:D279"/>
    <mergeCell ref="A280:B280"/>
    <mergeCell ref="C280:D280"/>
    <mergeCell ref="C300:D300"/>
    <mergeCell ref="A302:B302"/>
    <mergeCell ref="C302:D302"/>
    <mergeCell ref="A303:B303"/>
    <mergeCell ref="C303:D303"/>
    <mergeCell ref="A304:B304"/>
    <mergeCell ref="C304:D304"/>
    <mergeCell ref="A295:D295"/>
    <mergeCell ref="A296:D296"/>
    <mergeCell ref="A297:D297"/>
    <mergeCell ref="A298:D298"/>
    <mergeCell ref="A299:B299"/>
    <mergeCell ref="C299:D299"/>
    <mergeCell ref="A292:B292"/>
    <mergeCell ref="C292:D292"/>
    <mergeCell ref="A293:B293"/>
    <mergeCell ref="C293:D293"/>
    <mergeCell ref="A294:B294"/>
    <mergeCell ref="C294:D294"/>
    <mergeCell ref="C314:D314"/>
    <mergeCell ref="A316:B316"/>
    <mergeCell ref="C316:D316"/>
    <mergeCell ref="A317:B317"/>
    <mergeCell ref="C317:D317"/>
    <mergeCell ref="A318:B318"/>
    <mergeCell ref="C318:D318"/>
    <mergeCell ref="A308:D308"/>
    <mergeCell ref="A309:D309"/>
    <mergeCell ref="A310:D310"/>
    <mergeCell ref="A311:D311"/>
    <mergeCell ref="A312:D312"/>
    <mergeCell ref="A313:B313"/>
    <mergeCell ref="C313:D313"/>
    <mergeCell ref="A305:B305"/>
    <mergeCell ref="C305:D305"/>
    <mergeCell ref="A306:B306"/>
    <mergeCell ref="C306:D306"/>
    <mergeCell ref="A307:B307"/>
    <mergeCell ref="C307:D307"/>
    <mergeCell ref="C327:D327"/>
    <mergeCell ref="A329:B329"/>
    <mergeCell ref="C329:D329"/>
    <mergeCell ref="A330:B330"/>
    <mergeCell ref="C330:D330"/>
    <mergeCell ref="A331:B331"/>
    <mergeCell ref="C331:D331"/>
    <mergeCell ref="A322:D322"/>
    <mergeCell ref="A323:D323"/>
    <mergeCell ref="A324:D324"/>
    <mergeCell ref="A325:D325"/>
    <mergeCell ref="A326:B326"/>
    <mergeCell ref="C326:D326"/>
    <mergeCell ref="A319:B319"/>
    <mergeCell ref="C319:D319"/>
    <mergeCell ref="A320:B320"/>
    <mergeCell ref="C320:D320"/>
    <mergeCell ref="A321:B321"/>
    <mergeCell ref="C321:D321"/>
    <mergeCell ref="A343:B343"/>
    <mergeCell ref="C343:D343"/>
    <mergeCell ref="A344:B344"/>
    <mergeCell ref="C344:D344"/>
    <mergeCell ref="A345:B345"/>
    <mergeCell ref="C345:D345"/>
    <mergeCell ref="A335:D335"/>
    <mergeCell ref="A336:D336"/>
    <mergeCell ref="A337:D337"/>
    <mergeCell ref="A338:D338"/>
    <mergeCell ref="C340:D340"/>
    <mergeCell ref="A332:B332"/>
    <mergeCell ref="C332:D332"/>
    <mergeCell ref="A333:B333"/>
    <mergeCell ref="C333:D333"/>
    <mergeCell ref="A334:B334"/>
    <mergeCell ref="C334:D334"/>
    <mergeCell ref="A339:D339"/>
    <mergeCell ref="A340:B340"/>
    <mergeCell ref="C341:D341"/>
    <mergeCell ref="C354:D354"/>
    <mergeCell ref="A356:B356"/>
    <mergeCell ref="C356:D356"/>
    <mergeCell ref="A357:B357"/>
    <mergeCell ref="C357:D357"/>
    <mergeCell ref="A358:B358"/>
    <mergeCell ref="C358:D358"/>
    <mergeCell ref="A349:D349"/>
    <mergeCell ref="A350:D350"/>
    <mergeCell ref="A351:D351"/>
    <mergeCell ref="A352:D352"/>
    <mergeCell ref="A353:B353"/>
    <mergeCell ref="C353:D353"/>
    <mergeCell ref="A346:B346"/>
    <mergeCell ref="C346:D346"/>
    <mergeCell ref="A347:B347"/>
    <mergeCell ref="C347:D347"/>
    <mergeCell ref="A348:B348"/>
    <mergeCell ref="C348:D348"/>
    <mergeCell ref="C368:D368"/>
    <mergeCell ref="A370:B370"/>
    <mergeCell ref="C370:D370"/>
    <mergeCell ref="A371:B371"/>
    <mergeCell ref="C371:D371"/>
    <mergeCell ref="A372:B372"/>
    <mergeCell ref="C372:D372"/>
    <mergeCell ref="A362:D362"/>
    <mergeCell ref="A363:D363"/>
    <mergeCell ref="A364:D364"/>
    <mergeCell ref="A365:D365"/>
    <mergeCell ref="A366:D366"/>
    <mergeCell ref="A367:B367"/>
    <mergeCell ref="C367:D367"/>
    <mergeCell ref="A359:B359"/>
    <mergeCell ref="C359:D359"/>
    <mergeCell ref="A360:B360"/>
    <mergeCell ref="C360:D360"/>
    <mergeCell ref="A361:B361"/>
    <mergeCell ref="C361:D361"/>
    <mergeCell ref="C381:D381"/>
    <mergeCell ref="A383:B383"/>
    <mergeCell ref="C383:D383"/>
    <mergeCell ref="A384:B384"/>
    <mergeCell ref="C384:D384"/>
    <mergeCell ref="A385:B385"/>
    <mergeCell ref="C385:D385"/>
    <mergeCell ref="A376:D376"/>
    <mergeCell ref="A377:D377"/>
    <mergeCell ref="A378:D378"/>
    <mergeCell ref="A379:D379"/>
    <mergeCell ref="A380:B380"/>
    <mergeCell ref="C380:D380"/>
    <mergeCell ref="A373:B373"/>
    <mergeCell ref="C373:D373"/>
    <mergeCell ref="A374:B374"/>
    <mergeCell ref="C374:D374"/>
    <mergeCell ref="A375:B375"/>
    <mergeCell ref="C375:D375"/>
    <mergeCell ref="C395:D395"/>
    <mergeCell ref="A397:B397"/>
    <mergeCell ref="C397:D397"/>
    <mergeCell ref="A398:B398"/>
    <mergeCell ref="C398:D398"/>
    <mergeCell ref="A399:B399"/>
    <mergeCell ref="C399:D399"/>
    <mergeCell ref="A389:D389"/>
    <mergeCell ref="A390:D390"/>
    <mergeCell ref="A391:D391"/>
    <mergeCell ref="A392:D392"/>
    <mergeCell ref="A393:D393"/>
    <mergeCell ref="A394:B394"/>
    <mergeCell ref="C394:D394"/>
    <mergeCell ref="A386:B386"/>
    <mergeCell ref="C386:D386"/>
    <mergeCell ref="A387:B387"/>
    <mergeCell ref="C387:D387"/>
    <mergeCell ref="A388:B388"/>
    <mergeCell ref="C388:D388"/>
    <mergeCell ref="C408:D408"/>
    <mergeCell ref="A410:B410"/>
    <mergeCell ref="C410:D410"/>
    <mergeCell ref="A411:B411"/>
    <mergeCell ref="C411:D411"/>
    <mergeCell ref="A412:B412"/>
    <mergeCell ref="C412:D412"/>
    <mergeCell ref="A403:D403"/>
    <mergeCell ref="A404:D404"/>
    <mergeCell ref="A405:D405"/>
    <mergeCell ref="A406:D406"/>
    <mergeCell ref="A407:B407"/>
    <mergeCell ref="C407:D407"/>
    <mergeCell ref="A400:B400"/>
    <mergeCell ref="C400:D400"/>
    <mergeCell ref="A401:B401"/>
    <mergeCell ref="C401:D401"/>
    <mergeCell ref="A402:B402"/>
    <mergeCell ref="C402:D402"/>
    <mergeCell ref="C422:D422"/>
    <mergeCell ref="A424:B424"/>
    <mergeCell ref="C424:D424"/>
    <mergeCell ref="A425:B425"/>
    <mergeCell ref="C425:D425"/>
    <mergeCell ref="A426:B426"/>
    <mergeCell ref="C426:D426"/>
    <mergeCell ref="A416:D416"/>
    <mergeCell ref="A417:D417"/>
    <mergeCell ref="A418:D418"/>
    <mergeCell ref="A419:D419"/>
    <mergeCell ref="A420:D420"/>
    <mergeCell ref="A421:B421"/>
    <mergeCell ref="C421:D421"/>
    <mergeCell ref="A413:B413"/>
    <mergeCell ref="C413:D413"/>
    <mergeCell ref="A414:B414"/>
    <mergeCell ref="C414:D414"/>
    <mergeCell ref="A415:B415"/>
    <mergeCell ref="C415:D415"/>
    <mergeCell ref="C435:D435"/>
    <mergeCell ref="A437:B437"/>
    <mergeCell ref="C437:D437"/>
    <mergeCell ref="A438:B438"/>
    <mergeCell ref="C438:D438"/>
    <mergeCell ref="A439:B439"/>
    <mergeCell ref="C439:D439"/>
    <mergeCell ref="A430:D430"/>
    <mergeCell ref="A431:D431"/>
    <mergeCell ref="A432:D432"/>
    <mergeCell ref="A433:D433"/>
    <mergeCell ref="A434:B434"/>
    <mergeCell ref="C434:D434"/>
    <mergeCell ref="A427:B427"/>
    <mergeCell ref="C427:D427"/>
    <mergeCell ref="A428:B428"/>
    <mergeCell ref="C428:D428"/>
    <mergeCell ref="A429:B429"/>
    <mergeCell ref="C429:D429"/>
    <mergeCell ref="C449:D449"/>
    <mergeCell ref="A451:B451"/>
    <mergeCell ref="C451:D451"/>
    <mergeCell ref="A452:B452"/>
    <mergeCell ref="C452:D452"/>
    <mergeCell ref="A453:B453"/>
    <mergeCell ref="C453:D453"/>
    <mergeCell ref="A443:D443"/>
    <mergeCell ref="A444:D444"/>
    <mergeCell ref="A445:D445"/>
    <mergeCell ref="A446:D446"/>
    <mergeCell ref="A447:D447"/>
    <mergeCell ref="A448:B448"/>
    <mergeCell ref="C448:D448"/>
    <mergeCell ref="A440:B440"/>
    <mergeCell ref="C440:D440"/>
    <mergeCell ref="A441:B441"/>
    <mergeCell ref="C441:D441"/>
    <mergeCell ref="A442:B442"/>
    <mergeCell ref="C442:D442"/>
    <mergeCell ref="C462:D462"/>
    <mergeCell ref="A464:B464"/>
    <mergeCell ref="C464:D464"/>
    <mergeCell ref="A465:B465"/>
    <mergeCell ref="C465:D465"/>
    <mergeCell ref="A466:B466"/>
    <mergeCell ref="C466:D466"/>
    <mergeCell ref="A457:D457"/>
    <mergeCell ref="A458:D458"/>
    <mergeCell ref="A459:D459"/>
    <mergeCell ref="A460:D460"/>
    <mergeCell ref="A461:B461"/>
    <mergeCell ref="C461:D461"/>
    <mergeCell ref="A454:B454"/>
    <mergeCell ref="C454:D454"/>
    <mergeCell ref="A455:B455"/>
    <mergeCell ref="C455:D455"/>
    <mergeCell ref="A456:B456"/>
    <mergeCell ref="C456:D456"/>
    <mergeCell ref="C476:D476"/>
    <mergeCell ref="A478:B478"/>
    <mergeCell ref="C478:D478"/>
    <mergeCell ref="A479:B479"/>
    <mergeCell ref="C479:D479"/>
    <mergeCell ref="A480:B480"/>
    <mergeCell ref="C480:D480"/>
    <mergeCell ref="A470:D470"/>
    <mergeCell ref="A471:D471"/>
    <mergeCell ref="A472:D472"/>
    <mergeCell ref="A473:D473"/>
    <mergeCell ref="A474:D474"/>
    <mergeCell ref="A475:B475"/>
    <mergeCell ref="C475:D475"/>
    <mergeCell ref="A467:B467"/>
    <mergeCell ref="C467:D467"/>
    <mergeCell ref="A468:B468"/>
    <mergeCell ref="C468:D468"/>
    <mergeCell ref="A469:B469"/>
    <mergeCell ref="C469:D469"/>
    <mergeCell ref="C489:D489"/>
    <mergeCell ref="A491:B491"/>
    <mergeCell ref="C491:D491"/>
    <mergeCell ref="A492:B492"/>
    <mergeCell ref="C492:D492"/>
    <mergeCell ref="A493:B493"/>
    <mergeCell ref="C493:D493"/>
    <mergeCell ref="A484:D484"/>
    <mergeCell ref="A485:D485"/>
    <mergeCell ref="A486:D486"/>
    <mergeCell ref="A487:D487"/>
    <mergeCell ref="A488:B488"/>
    <mergeCell ref="C488:D488"/>
    <mergeCell ref="A481:B481"/>
    <mergeCell ref="C481:D481"/>
    <mergeCell ref="A482:B482"/>
    <mergeCell ref="C482:D482"/>
    <mergeCell ref="A483:B483"/>
    <mergeCell ref="C483:D483"/>
    <mergeCell ref="C503:D503"/>
    <mergeCell ref="A505:B505"/>
    <mergeCell ref="C505:D505"/>
    <mergeCell ref="A506:B506"/>
    <mergeCell ref="C506:D506"/>
    <mergeCell ref="A507:B507"/>
    <mergeCell ref="C507:D507"/>
    <mergeCell ref="A497:D497"/>
    <mergeCell ref="A498:D498"/>
    <mergeCell ref="A499:D499"/>
    <mergeCell ref="A500:D500"/>
    <mergeCell ref="A501:D501"/>
    <mergeCell ref="A502:B502"/>
    <mergeCell ref="C502:D502"/>
    <mergeCell ref="A494:B494"/>
    <mergeCell ref="C494:D494"/>
    <mergeCell ref="A495:B495"/>
    <mergeCell ref="C495:D495"/>
    <mergeCell ref="A496:B496"/>
    <mergeCell ref="C496:D496"/>
    <mergeCell ref="C516:D516"/>
    <mergeCell ref="A518:B518"/>
    <mergeCell ref="C518:D518"/>
    <mergeCell ref="A519:B519"/>
    <mergeCell ref="C519:D519"/>
    <mergeCell ref="A520:B520"/>
    <mergeCell ref="C520:D520"/>
    <mergeCell ref="A511:D511"/>
    <mergeCell ref="A512:D512"/>
    <mergeCell ref="A513:D513"/>
    <mergeCell ref="A514:D514"/>
    <mergeCell ref="A515:B515"/>
    <mergeCell ref="C515:D515"/>
    <mergeCell ref="A508:B508"/>
    <mergeCell ref="C508:D508"/>
    <mergeCell ref="A509:B509"/>
    <mergeCell ref="C509:D509"/>
    <mergeCell ref="A510:B510"/>
    <mergeCell ref="C510:D510"/>
    <mergeCell ref="C530:D530"/>
    <mergeCell ref="A532:B532"/>
    <mergeCell ref="C532:D532"/>
    <mergeCell ref="A533:B533"/>
    <mergeCell ref="C533:D533"/>
    <mergeCell ref="A534:B534"/>
    <mergeCell ref="C534:D534"/>
    <mergeCell ref="A524:D524"/>
    <mergeCell ref="A525:D525"/>
    <mergeCell ref="A526:D526"/>
    <mergeCell ref="A527:D527"/>
    <mergeCell ref="A528:D528"/>
    <mergeCell ref="A529:B529"/>
    <mergeCell ref="C529:D529"/>
    <mergeCell ref="A521:B521"/>
    <mergeCell ref="C521:D521"/>
    <mergeCell ref="A522:B522"/>
    <mergeCell ref="C522:D522"/>
    <mergeCell ref="A523:B523"/>
    <mergeCell ref="C523:D523"/>
    <mergeCell ref="C543:D543"/>
    <mergeCell ref="A545:B545"/>
    <mergeCell ref="C545:D545"/>
    <mergeCell ref="A546:B546"/>
    <mergeCell ref="C546:D546"/>
    <mergeCell ref="A547:B547"/>
    <mergeCell ref="C547:D547"/>
    <mergeCell ref="A538:D538"/>
    <mergeCell ref="A539:D539"/>
    <mergeCell ref="A540:D540"/>
    <mergeCell ref="A541:D541"/>
    <mergeCell ref="A542:B542"/>
    <mergeCell ref="C542:D542"/>
    <mergeCell ref="A535:B535"/>
    <mergeCell ref="C535:D535"/>
    <mergeCell ref="A536:B536"/>
    <mergeCell ref="C536:D536"/>
    <mergeCell ref="A537:B537"/>
    <mergeCell ref="C537:D537"/>
    <mergeCell ref="C557:D557"/>
    <mergeCell ref="A559:B559"/>
    <mergeCell ref="C559:D559"/>
    <mergeCell ref="A560:B560"/>
    <mergeCell ref="C560:D560"/>
    <mergeCell ref="A561:B561"/>
    <mergeCell ref="C561:D561"/>
    <mergeCell ref="A551:D551"/>
    <mergeCell ref="A552:D552"/>
    <mergeCell ref="A553:D553"/>
    <mergeCell ref="A554:D554"/>
    <mergeCell ref="A555:D555"/>
    <mergeCell ref="A556:B556"/>
    <mergeCell ref="C556:D556"/>
    <mergeCell ref="A548:B548"/>
    <mergeCell ref="C548:D548"/>
    <mergeCell ref="A549:B549"/>
    <mergeCell ref="C549:D549"/>
    <mergeCell ref="A550:B550"/>
    <mergeCell ref="C550:D550"/>
    <mergeCell ref="C570:D570"/>
    <mergeCell ref="A572:B572"/>
    <mergeCell ref="C572:D572"/>
    <mergeCell ref="A573:B573"/>
    <mergeCell ref="C573:D573"/>
    <mergeCell ref="A574:B574"/>
    <mergeCell ref="C574:D574"/>
    <mergeCell ref="A565:D565"/>
    <mergeCell ref="A566:D566"/>
    <mergeCell ref="A567:D567"/>
    <mergeCell ref="A568:D568"/>
    <mergeCell ref="A569:B569"/>
    <mergeCell ref="C569:D569"/>
    <mergeCell ref="A562:B562"/>
    <mergeCell ref="C562:D562"/>
    <mergeCell ref="A563:B563"/>
    <mergeCell ref="C563:D563"/>
    <mergeCell ref="A564:B564"/>
    <mergeCell ref="C564:D564"/>
    <mergeCell ref="C584:D584"/>
    <mergeCell ref="A586:B586"/>
    <mergeCell ref="C586:D586"/>
    <mergeCell ref="A587:B587"/>
    <mergeCell ref="C587:D587"/>
    <mergeCell ref="A588:B588"/>
    <mergeCell ref="C588:D588"/>
    <mergeCell ref="A578:D578"/>
    <mergeCell ref="A579:D579"/>
    <mergeCell ref="A580:D580"/>
    <mergeCell ref="A581:D581"/>
    <mergeCell ref="A582:D582"/>
    <mergeCell ref="A583:B583"/>
    <mergeCell ref="C583:D583"/>
    <mergeCell ref="A575:B575"/>
    <mergeCell ref="C575:D575"/>
    <mergeCell ref="A576:B576"/>
    <mergeCell ref="C576:D576"/>
    <mergeCell ref="A577:B577"/>
    <mergeCell ref="C577:D577"/>
    <mergeCell ref="C597:D597"/>
    <mergeCell ref="A599:B599"/>
    <mergeCell ref="C599:D599"/>
    <mergeCell ref="A600:B600"/>
    <mergeCell ref="C600:D600"/>
    <mergeCell ref="A601:B601"/>
    <mergeCell ref="C601:D601"/>
    <mergeCell ref="A592:D592"/>
    <mergeCell ref="A593:D593"/>
    <mergeCell ref="A594:D594"/>
    <mergeCell ref="A595:D595"/>
    <mergeCell ref="A596:B596"/>
    <mergeCell ref="C596:D596"/>
    <mergeCell ref="A589:B589"/>
    <mergeCell ref="C589:D589"/>
    <mergeCell ref="A590:B590"/>
    <mergeCell ref="C590:D590"/>
    <mergeCell ref="A591:B591"/>
    <mergeCell ref="C591:D591"/>
    <mergeCell ref="C611:D611"/>
    <mergeCell ref="A613:B613"/>
    <mergeCell ref="C613:D613"/>
    <mergeCell ref="A614:B614"/>
    <mergeCell ref="C614:D614"/>
    <mergeCell ref="A615:B615"/>
    <mergeCell ref="C615:D615"/>
    <mergeCell ref="A605:D605"/>
    <mergeCell ref="A606:D606"/>
    <mergeCell ref="A607:D607"/>
    <mergeCell ref="A608:D608"/>
    <mergeCell ref="A609:D609"/>
    <mergeCell ref="A610:B610"/>
    <mergeCell ref="C610:D610"/>
    <mergeCell ref="A602:B602"/>
    <mergeCell ref="C602:D602"/>
    <mergeCell ref="A603:B603"/>
    <mergeCell ref="C603:D603"/>
    <mergeCell ref="A604:B604"/>
    <mergeCell ref="C604:D604"/>
    <mergeCell ref="C624:D624"/>
    <mergeCell ref="A626:B626"/>
    <mergeCell ref="C626:D626"/>
    <mergeCell ref="A627:B627"/>
    <mergeCell ref="C627:D627"/>
    <mergeCell ref="A628:B628"/>
    <mergeCell ref="C628:D628"/>
    <mergeCell ref="A619:D619"/>
    <mergeCell ref="A620:D620"/>
    <mergeCell ref="A621:D621"/>
    <mergeCell ref="A622:D622"/>
    <mergeCell ref="A623:B623"/>
    <mergeCell ref="C623:D623"/>
    <mergeCell ref="A616:B616"/>
    <mergeCell ref="C616:D616"/>
    <mergeCell ref="A617:B617"/>
    <mergeCell ref="C617:D617"/>
    <mergeCell ref="A618:B618"/>
    <mergeCell ref="C618:D618"/>
    <mergeCell ref="C638:D638"/>
    <mergeCell ref="A640:B640"/>
    <mergeCell ref="C640:D640"/>
    <mergeCell ref="A641:B641"/>
    <mergeCell ref="C641:D641"/>
    <mergeCell ref="A642:B642"/>
    <mergeCell ref="C642:D642"/>
    <mergeCell ref="A632:D632"/>
    <mergeCell ref="A633:D633"/>
    <mergeCell ref="A634:D634"/>
    <mergeCell ref="A635:D635"/>
    <mergeCell ref="A636:D636"/>
    <mergeCell ref="A637:B637"/>
    <mergeCell ref="C637:D637"/>
    <mergeCell ref="A629:B629"/>
    <mergeCell ref="C629:D629"/>
    <mergeCell ref="A630:B630"/>
    <mergeCell ref="C630:D630"/>
    <mergeCell ref="A631:B631"/>
    <mergeCell ref="C631:D631"/>
    <mergeCell ref="C651:D651"/>
    <mergeCell ref="A653:B653"/>
    <mergeCell ref="C653:D653"/>
    <mergeCell ref="A654:B654"/>
    <mergeCell ref="C654:D654"/>
    <mergeCell ref="A655:B655"/>
    <mergeCell ref="C655:D655"/>
    <mergeCell ref="A646:D646"/>
    <mergeCell ref="A647:D647"/>
    <mergeCell ref="A648:D648"/>
    <mergeCell ref="A649:D649"/>
    <mergeCell ref="A650:B650"/>
    <mergeCell ref="C650:D650"/>
    <mergeCell ref="A643:B643"/>
    <mergeCell ref="C643:D643"/>
    <mergeCell ref="A644:B644"/>
    <mergeCell ref="C644:D644"/>
    <mergeCell ref="A645:B645"/>
    <mergeCell ref="C645:D645"/>
    <mergeCell ref="C665:D665"/>
    <mergeCell ref="A667:B667"/>
    <mergeCell ref="C667:D667"/>
    <mergeCell ref="A668:B668"/>
    <mergeCell ref="C668:D668"/>
    <mergeCell ref="A669:B669"/>
    <mergeCell ref="C669:D669"/>
    <mergeCell ref="A659:D659"/>
    <mergeCell ref="A660:D660"/>
    <mergeCell ref="A661:D661"/>
    <mergeCell ref="A662:D662"/>
    <mergeCell ref="A663:D663"/>
    <mergeCell ref="A664:B664"/>
    <mergeCell ref="C664:D664"/>
    <mergeCell ref="A656:B656"/>
    <mergeCell ref="C656:D656"/>
    <mergeCell ref="A657:B657"/>
    <mergeCell ref="C657:D657"/>
    <mergeCell ref="A658:B658"/>
    <mergeCell ref="C658:D658"/>
    <mergeCell ref="C678:D678"/>
    <mergeCell ref="A680:B680"/>
    <mergeCell ref="C680:D680"/>
    <mergeCell ref="A681:B681"/>
    <mergeCell ref="C681:D681"/>
    <mergeCell ref="A682:B682"/>
    <mergeCell ref="C682:D682"/>
    <mergeCell ref="A673:D673"/>
    <mergeCell ref="A674:D674"/>
    <mergeCell ref="A675:D675"/>
    <mergeCell ref="A676:D676"/>
    <mergeCell ref="A677:B677"/>
    <mergeCell ref="C677:D677"/>
    <mergeCell ref="A670:B670"/>
    <mergeCell ref="C670:D670"/>
    <mergeCell ref="A671:B671"/>
    <mergeCell ref="C671:D671"/>
    <mergeCell ref="A672:B672"/>
    <mergeCell ref="C672:D672"/>
    <mergeCell ref="C692:D692"/>
    <mergeCell ref="A694:B694"/>
    <mergeCell ref="C694:D694"/>
    <mergeCell ref="A695:B695"/>
    <mergeCell ref="C695:D695"/>
    <mergeCell ref="A696:B696"/>
    <mergeCell ref="C696:D696"/>
    <mergeCell ref="A686:D686"/>
    <mergeCell ref="A687:D687"/>
    <mergeCell ref="A688:D688"/>
    <mergeCell ref="A689:D689"/>
    <mergeCell ref="A690:D690"/>
    <mergeCell ref="A691:B691"/>
    <mergeCell ref="C691:D691"/>
    <mergeCell ref="A683:B683"/>
    <mergeCell ref="C683:D683"/>
    <mergeCell ref="A684:B684"/>
    <mergeCell ref="C684:D684"/>
    <mergeCell ref="A685:B685"/>
    <mergeCell ref="C685:D685"/>
    <mergeCell ref="C705:D705"/>
    <mergeCell ref="A707:B707"/>
    <mergeCell ref="C707:D707"/>
    <mergeCell ref="A708:B708"/>
    <mergeCell ref="C708:D708"/>
    <mergeCell ref="A709:B709"/>
    <mergeCell ref="C709:D709"/>
    <mergeCell ref="A700:D700"/>
    <mergeCell ref="A701:D701"/>
    <mergeCell ref="A702:D702"/>
    <mergeCell ref="A703:D703"/>
    <mergeCell ref="A704:B704"/>
    <mergeCell ref="C704:D704"/>
    <mergeCell ref="A697:B697"/>
    <mergeCell ref="C697:D697"/>
    <mergeCell ref="A698:B698"/>
    <mergeCell ref="C698:D698"/>
    <mergeCell ref="A699:B699"/>
    <mergeCell ref="C699:D699"/>
    <mergeCell ref="C719:D719"/>
    <mergeCell ref="A721:B721"/>
    <mergeCell ref="C721:D721"/>
    <mergeCell ref="A722:B722"/>
    <mergeCell ref="C722:D722"/>
    <mergeCell ref="A723:B723"/>
    <mergeCell ref="C723:D723"/>
    <mergeCell ref="A713:D713"/>
    <mergeCell ref="A714:D714"/>
    <mergeCell ref="A715:D715"/>
    <mergeCell ref="A716:D716"/>
    <mergeCell ref="A717:D717"/>
    <mergeCell ref="A718:B718"/>
    <mergeCell ref="C718:D718"/>
    <mergeCell ref="A710:B710"/>
    <mergeCell ref="C710:D710"/>
    <mergeCell ref="A711:B711"/>
    <mergeCell ref="C711:D711"/>
    <mergeCell ref="A712:B712"/>
    <mergeCell ref="C712:D712"/>
    <mergeCell ref="C732:D732"/>
    <mergeCell ref="A734:B734"/>
    <mergeCell ref="C734:D734"/>
    <mergeCell ref="A735:B735"/>
    <mergeCell ref="C735:D735"/>
    <mergeCell ref="A736:B736"/>
    <mergeCell ref="C736:D736"/>
    <mergeCell ref="A727:D727"/>
    <mergeCell ref="A728:D728"/>
    <mergeCell ref="A729:D729"/>
    <mergeCell ref="A730:D730"/>
    <mergeCell ref="A731:B731"/>
    <mergeCell ref="C731:D731"/>
    <mergeCell ref="A724:B724"/>
    <mergeCell ref="C724:D724"/>
    <mergeCell ref="A725:B725"/>
    <mergeCell ref="C725:D725"/>
    <mergeCell ref="A726:B726"/>
    <mergeCell ref="C726:D726"/>
    <mergeCell ref="C746:D746"/>
    <mergeCell ref="A748:B748"/>
    <mergeCell ref="C748:D748"/>
    <mergeCell ref="A749:B749"/>
    <mergeCell ref="C749:D749"/>
    <mergeCell ref="A750:B750"/>
    <mergeCell ref="C750:D750"/>
    <mergeCell ref="A740:D740"/>
    <mergeCell ref="A741:D741"/>
    <mergeCell ref="A742:D742"/>
    <mergeCell ref="A743:D743"/>
    <mergeCell ref="A744:D744"/>
    <mergeCell ref="A745:B745"/>
    <mergeCell ref="C745:D745"/>
    <mergeCell ref="A737:B737"/>
    <mergeCell ref="C737:D737"/>
    <mergeCell ref="A738:B738"/>
    <mergeCell ref="C738:D738"/>
    <mergeCell ref="A739:B739"/>
    <mergeCell ref="C739:D739"/>
    <mergeCell ref="C759:D759"/>
    <mergeCell ref="A761:B761"/>
    <mergeCell ref="C761:D761"/>
    <mergeCell ref="A762:B762"/>
    <mergeCell ref="C762:D762"/>
    <mergeCell ref="A763:B763"/>
    <mergeCell ref="C763:D763"/>
    <mergeCell ref="A754:D754"/>
    <mergeCell ref="A755:D755"/>
    <mergeCell ref="A756:D756"/>
    <mergeCell ref="A757:D757"/>
    <mergeCell ref="A758:B758"/>
    <mergeCell ref="C758:D758"/>
    <mergeCell ref="A751:B751"/>
    <mergeCell ref="C751:D751"/>
    <mergeCell ref="A752:B752"/>
    <mergeCell ref="C752:D752"/>
    <mergeCell ref="A753:B753"/>
    <mergeCell ref="C753:D753"/>
    <mergeCell ref="C773:D773"/>
    <mergeCell ref="A775:B775"/>
    <mergeCell ref="C775:D775"/>
    <mergeCell ref="A776:B776"/>
    <mergeCell ref="C776:D776"/>
    <mergeCell ref="A777:B777"/>
    <mergeCell ref="C777:D777"/>
    <mergeCell ref="A767:D767"/>
    <mergeCell ref="A768:D768"/>
    <mergeCell ref="A769:D769"/>
    <mergeCell ref="A770:D770"/>
    <mergeCell ref="A771:D771"/>
    <mergeCell ref="A772:B772"/>
    <mergeCell ref="C772:D772"/>
    <mergeCell ref="A764:B764"/>
    <mergeCell ref="C764:D764"/>
    <mergeCell ref="A765:B765"/>
    <mergeCell ref="C765:D765"/>
    <mergeCell ref="A766:B766"/>
    <mergeCell ref="C766:D766"/>
    <mergeCell ref="C786:D786"/>
    <mergeCell ref="A788:B788"/>
    <mergeCell ref="C788:D788"/>
    <mergeCell ref="A789:B789"/>
    <mergeCell ref="C789:D789"/>
    <mergeCell ref="A790:B790"/>
    <mergeCell ref="C790:D790"/>
    <mergeCell ref="A781:D781"/>
    <mergeCell ref="A782:D782"/>
    <mergeCell ref="A783:D783"/>
    <mergeCell ref="A784:D784"/>
    <mergeCell ref="A785:B785"/>
    <mergeCell ref="C785:D785"/>
    <mergeCell ref="A778:B778"/>
    <mergeCell ref="C778:D778"/>
    <mergeCell ref="A779:B779"/>
    <mergeCell ref="C779:D779"/>
    <mergeCell ref="A780:B780"/>
    <mergeCell ref="C780:D780"/>
    <mergeCell ref="C800:D800"/>
    <mergeCell ref="A802:B802"/>
    <mergeCell ref="C802:D802"/>
    <mergeCell ref="A803:B803"/>
    <mergeCell ref="C803:D803"/>
    <mergeCell ref="A804:B804"/>
    <mergeCell ref="C804:D804"/>
    <mergeCell ref="A794:D794"/>
    <mergeCell ref="A795:D795"/>
    <mergeCell ref="A796:D796"/>
    <mergeCell ref="A797:D797"/>
    <mergeCell ref="A798:D798"/>
    <mergeCell ref="A799:B799"/>
    <mergeCell ref="C799:D799"/>
    <mergeCell ref="A791:B791"/>
    <mergeCell ref="C791:D791"/>
    <mergeCell ref="A792:B792"/>
    <mergeCell ref="C792:D792"/>
    <mergeCell ref="A793:B793"/>
    <mergeCell ref="C793:D793"/>
    <mergeCell ref="C813:D813"/>
    <mergeCell ref="A815:B815"/>
    <mergeCell ref="C815:D815"/>
    <mergeCell ref="A816:B816"/>
    <mergeCell ref="C816:D816"/>
    <mergeCell ref="A817:B817"/>
    <mergeCell ref="C817:D817"/>
    <mergeCell ref="A808:D808"/>
    <mergeCell ref="A809:D809"/>
    <mergeCell ref="A810:D810"/>
    <mergeCell ref="A811:D811"/>
    <mergeCell ref="A812:B812"/>
    <mergeCell ref="C812:D812"/>
    <mergeCell ref="A805:B805"/>
    <mergeCell ref="C805:D805"/>
    <mergeCell ref="A806:B806"/>
    <mergeCell ref="C806:D806"/>
    <mergeCell ref="A807:B807"/>
    <mergeCell ref="C807:D807"/>
    <mergeCell ref="B814:C814"/>
    <mergeCell ref="C827:D827"/>
    <mergeCell ref="A829:B829"/>
    <mergeCell ref="C829:D829"/>
    <mergeCell ref="A830:B830"/>
    <mergeCell ref="C830:D830"/>
    <mergeCell ref="A831:B831"/>
    <mergeCell ref="C831:D831"/>
    <mergeCell ref="A821:D821"/>
    <mergeCell ref="A822:D822"/>
    <mergeCell ref="A823:D823"/>
    <mergeCell ref="A824:D824"/>
    <mergeCell ref="A825:D825"/>
    <mergeCell ref="A826:B826"/>
    <mergeCell ref="C826:D826"/>
    <mergeCell ref="A818:B818"/>
    <mergeCell ref="C818:D818"/>
    <mergeCell ref="A819:B819"/>
    <mergeCell ref="C819:D819"/>
    <mergeCell ref="A820:B820"/>
    <mergeCell ref="C820:D820"/>
    <mergeCell ref="C840:D840"/>
    <mergeCell ref="A842:B842"/>
    <mergeCell ref="C842:D842"/>
    <mergeCell ref="A843:B843"/>
    <mergeCell ref="C843:D843"/>
    <mergeCell ref="A844:B844"/>
    <mergeCell ref="C844:D844"/>
    <mergeCell ref="A835:D835"/>
    <mergeCell ref="A836:D836"/>
    <mergeCell ref="A837:D837"/>
    <mergeCell ref="A838:D838"/>
    <mergeCell ref="A839:B839"/>
    <mergeCell ref="C839:D839"/>
    <mergeCell ref="A832:B832"/>
    <mergeCell ref="C832:D832"/>
    <mergeCell ref="A833:B833"/>
    <mergeCell ref="C833:D833"/>
    <mergeCell ref="A834:B834"/>
    <mergeCell ref="C834:D834"/>
    <mergeCell ref="C854:D854"/>
    <mergeCell ref="A856:B856"/>
    <mergeCell ref="C856:D856"/>
    <mergeCell ref="A857:B857"/>
    <mergeCell ref="C857:D857"/>
    <mergeCell ref="A858:B858"/>
    <mergeCell ref="C858:D858"/>
    <mergeCell ref="A848:D848"/>
    <mergeCell ref="A849:D849"/>
    <mergeCell ref="A850:D850"/>
    <mergeCell ref="A851:D851"/>
    <mergeCell ref="A852:D852"/>
    <mergeCell ref="A853:B853"/>
    <mergeCell ref="C853:D853"/>
    <mergeCell ref="A845:B845"/>
    <mergeCell ref="C845:D845"/>
    <mergeCell ref="A846:B846"/>
    <mergeCell ref="C846:D846"/>
    <mergeCell ref="A847:B847"/>
    <mergeCell ref="C847:D847"/>
    <mergeCell ref="C867:D867"/>
    <mergeCell ref="A869:B869"/>
    <mergeCell ref="C869:D869"/>
    <mergeCell ref="A870:B870"/>
    <mergeCell ref="C870:D870"/>
    <mergeCell ref="A871:B871"/>
    <mergeCell ref="C871:D871"/>
    <mergeCell ref="A862:D862"/>
    <mergeCell ref="A863:D863"/>
    <mergeCell ref="A864:D864"/>
    <mergeCell ref="A865:D865"/>
    <mergeCell ref="A866:B866"/>
    <mergeCell ref="C866:D866"/>
    <mergeCell ref="A859:B859"/>
    <mergeCell ref="C859:D859"/>
    <mergeCell ref="A860:B860"/>
    <mergeCell ref="C860:D860"/>
    <mergeCell ref="A861:B861"/>
    <mergeCell ref="C861:D861"/>
    <mergeCell ref="C881:D881"/>
    <mergeCell ref="A883:B883"/>
    <mergeCell ref="C883:D883"/>
    <mergeCell ref="A884:B884"/>
    <mergeCell ref="C884:D884"/>
    <mergeCell ref="A885:B885"/>
    <mergeCell ref="C885:D885"/>
    <mergeCell ref="A875:D875"/>
    <mergeCell ref="A876:D876"/>
    <mergeCell ref="A877:D877"/>
    <mergeCell ref="A878:D878"/>
    <mergeCell ref="A879:D879"/>
    <mergeCell ref="A880:B880"/>
    <mergeCell ref="C880:D880"/>
    <mergeCell ref="A872:B872"/>
    <mergeCell ref="C872:D872"/>
    <mergeCell ref="A873:B873"/>
    <mergeCell ref="C873:D873"/>
    <mergeCell ref="A874:B874"/>
    <mergeCell ref="C874:D874"/>
    <mergeCell ref="C894:D894"/>
    <mergeCell ref="A896:B896"/>
    <mergeCell ref="C896:D896"/>
    <mergeCell ref="A897:B897"/>
    <mergeCell ref="C897:D897"/>
    <mergeCell ref="A898:B898"/>
    <mergeCell ref="C898:D898"/>
    <mergeCell ref="A889:D889"/>
    <mergeCell ref="A890:D890"/>
    <mergeCell ref="A891:D891"/>
    <mergeCell ref="A892:D892"/>
    <mergeCell ref="A893:B893"/>
    <mergeCell ref="C893:D893"/>
    <mergeCell ref="A886:B886"/>
    <mergeCell ref="C886:D886"/>
    <mergeCell ref="A887:B887"/>
    <mergeCell ref="C887:D887"/>
    <mergeCell ref="A888:B888"/>
    <mergeCell ref="C888:D888"/>
    <mergeCell ref="C908:D908"/>
    <mergeCell ref="A910:B910"/>
    <mergeCell ref="C910:D910"/>
    <mergeCell ref="A911:B911"/>
    <mergeCell ref="C911:D911"/>
    <mergeCell ref="A912:B912"/>
    <mergeCell ref="C912:D912"/>
    <mergeCell ref="A902:D902"/>
    <mergeCell ref="A903:D903"/>
    <mergeCell ref="A904:D904"/>
    <mergeCell ref="A905:D905"/>
    <mergeCell ref="A906:D906"/>
    <mergeCell ref="A907:B907"/>
    <mergeCell ref="C907:D907"/>
    <mergeCell ref="A899:B899"/>
    <mergeCell ref="C899:D899"/>
    <mergeCell ref="A900:B900"/>
    <mergeCell ref="C900:D900"/>
    <mergeCell ref="A901:B901"/>
    <mergeCell ref="C901:D901"/>
    <mergeCell ref="C921:D921"/>
    <mergeCell ref="A923:B923"/>
    <mergeCell ref="C923:D923"/>
    <mergeCell ref="A924:B924"/>
    <mergeCell ref="C924:D924"/>
    <mergeCell ref="A925:B925"/>
    <mergeCell ref="C925:D925"/>
    <mergeCell ref="A916:D916"/>
    <mergeCell ref="A917:D917"/>
    <mergeCell ref="A918:D918"/>
    <mergeCell ref="A919:D919"/>
    <mergeCell ref="A920:B920"/>
    <mergeCell ref="C920:D920"/>
    <mergeCell ref="A913:B913"/>
    <mergeCell ref="C913:D913"/>
    <mergeCell ref="A914:B914"/>
    <mergeCell ref="C914:D914"/>
    <mergeCell ref="A915:B915"/>
    <mergeCell ref="C915:D915"/>
    <mergeCell ref="C935:D935"/>
    <mergeCell ref="A937:B937"/>
    <mergeCell ref="C937:D937"/>
    <mergeCell ref="A938:B938"/>
    <mergeCell ref="C938:D938"/>
    <mergeCell ref="A939:B939"/>
    <mergeCell ref="C939:D939"/>
    <mergeCell ref="A929:D929"/>
    <mergeCell ref="A930:D930"/>
    <mergeCell ref="A931:D931"/>
    <mergeCell ref="A932:D932"/>
    <mergeCell ref="A933:D933"/>
    <mergeCell ref="A934:B934"/>
    <mergeCell ref="C934:D934"/>
    <mergeCell ref="A926:B926"/>
    <mergeCell ref="C926:D926"/>
    <mergeCell ref="A927:B927"/>
    <mergeCell ref="C927:D927"/>
    <mergeCell ref="A928:B928"/>
    <mergeCell ref="C928:D928"/>
    <mergeCell ref="C948:D948"/>
    <mergeCell ref="A950:B950"/>
    <mergeCell ref="C950:D950"/>
    <mergeCell ref="A951:B951"/>
    <mergeCell ref="C951:D951"/>
    <mergeCell ref="A952:B952"/>
    <mergeCell ref="C952:D952"/>
    <mergeCell ref="A943:D943"/>
    <mergeCell ref="A944:D944"/>
    <mergeCell ref="A945:D945"/>
    <mergeCell ref="A946:D946"/>
    <mergeCell ref="A947:B947"/>
    <mergeCell ref="C947:D947"/>
    <mergeCell ref="A940:B940"/>
    <mergeCell ref="C940:D940"/>
    <mergeCell ref="A941:B941"/>
    <mergeCell ref="C941:D941"/>
    <mergeCell ref="A942:B942"/>
    <mergeCell ref="C942:D942"/>
    <mergeCell ref="C962:D962"/>
    <mergeCell ref="A964:B964"/>
    <mergeCell ref="C964:D964"/>
    <mergeCell ref="A965:B965"/>
    <mergeCell ref="C965:D965"/>
    <mergeCell ref="A966:B966"/>
    <mergeCell ref="C966:D966"/>
    <mergeCell ref="A956:D956"/>
    <mergeCell ref="A957:D957"/>
    <mergeCell ref="A958:D958"/>
    <mergeCell ref="A959:D959"/>
    <mergeCell ref="A960:D960"/>
    <mergeCell ref="A961:B961"/>
    <mergeCell ref="C961:D961"/>
    <mergeCell ref="A953:B953"/>
    <mergeCell ref="C953:D953"/>
    <mergeCell ref="A954:B954"/>
    <mergeCell ref="C954:D954"/>
    <mergeCell ref="A955:B955"/>
    <mergeCell ref="C955:D955"/>
    <mergeCell ref="C975:D975"/>
    <mergeCell ref="A977:B977"/>
    <mergeCell ref="C977:D977"/>
    <mergeCell ref="A978:B978"/>
    <mergeCell ref="C978:D978"/>
    <mergeCell ref="A979:B979"/>
    <mergeCell ref="C979:D979"/>
    <mergeCell ref="A970:D970"/>
    <mergeCell ref="A971:D971"/>
    <mergeCell ref="A972:D972"/>
    <mergeCell ref="A973:D973"/>
    <mergeCell ref="A974:B974"/>
    <mergeCell ref="C974:D974"/>
    <mergeCell ref="A967:B967"/>
    <mergeCell ref="C967:D967"/>
    <mergeCell ref="A968:B968"/>
    <mergeCell ref="C968:D968"/>
    <mergeCell ref="A969:B969"/>
    <mergeCell ref="C969:D969"/>
    <mergeCell ref="C989:D989"/>
    <mergeCell ref="A991:B991"/>
    <mergeCell ref="C991:D991"/>
    <mergeCell ref="A992:B992"/>
    <mergeCell ref="C992:D992"/>
    <mergeCell ref="A993:B993"/>
    <mergeCell ref="C993:D993"/>
    <mergeCell ref="A983:D983"/>
    <mergeCell ref="A984:D984"/>
    <mergeCell ref="A985:D985"/>
    <mergeCell ref="A986:D986"/>
    <mergeCell ref="A987:D987"/>
    <mergeCell ref="A988:B988"/>
    <mergeCell ref="C988:D988"/>
    <mergeCell ref="A980:B980"/>
    <mergeCell ref="C980:D980"/>
    <mergeCell ref="A981:B981"/>
    <mergeCell ref="C981:D981"/>
    <mergeCell ref="A982:B982"/>
    <mergeCell ref="C982:D982"/>
    <mergeCell ref="C1002:D1002"/>
    <mergeCell ref="A1004:B1004"/>
    <mergeCell ref="C1004:D1004"/>
    <mergeCell ref="A1005:B1005"/>
    <mergeCell ref="C1005:D1005"/>
    <mergeCell ref="A1006:B1006"/>
    <mergeCell ref="C1006:D1006"/>
    <mergeCell ref="A997:D997"/>
    <mergeCell ref="A998:D998"/>
    <mergeCell ref="A999:D999"/>
    <mergeCell ref="A1000:D1000"/>
    <mergeCell ref="A1001:B1001"/>
    <mergeCell ref="C1001:D1001"/>
    <mergeCell ref="A994:B994"/>
    <mergeCell ref="C994:D994"/>
    <mergeCell ref="A995:B995"/>
    <mergeCell ref="C995:D995"/>
    <mergeCell ref="A996:B996"/>
    <mergeCell ref="C996:D996"/>
    <mergeCell ref="C1016:D1016"/>
    <mergeCell ref="A1018:B1018"/>
    <mergeCell ref="C1018:D1018"/>
    <mergeCell ref="A1019:B1019"/>
    <mergeCell ref="C1019:D1019"/>
    <mergeCell ref="A1020:B1020"/>
    <mergeCell ref="C1020:D1020"/>
    <mergeCell ref="A1010:D1010"/>
    <mergeCell ref="A1011:D1011"/>
    <mergeCell ref="A1012:D1012"/>
    <mergeCell ref="A1013:D1013"/>
    <mergeCell ref="A1014:D1014"/>
    <mergeCell ref="A1015:B1015"/>
    <mergeCell ref="C1015:D1015"/>
    <mergeCell ref="A1007:B1007"/>
    <mergeCell ref="C1007:D1007"/>
    <mergeCell ref="A1008:B1008"/>
    <mergeCell ref="C1008:D1008"/>
    <mergeCell ref="A1009:B1009"/>
    <mergeCell ref="C1009:D1009"/>
    <mergeCell ref="C1029:D1029"/>
    <mergeCell ref="A1031:B1031"/>
    <mergeCell ref="C1031:D1031"/>
    <mergeCell ref="A1032:B1032"/>
    <mergeCell ref="C1032:D1032"/>
    <mergeCell ref="A1033:B1033"/>
    <mergeCell ref="C1033:D1033"/>
    <mergeCell ref="A1024:D1024"/>
    <mergeCell ref="A1025:D1025"/>
    <mergeCell ref="A1026:D1026"/>
    <mergeCell ref="A1027:D1027"/>
    <mergeCell ref="A1028:B1028"/>
    <mergeCell ref="C1028:D1028"/>
    <mergeCell ref="A1021:B1021"/>
    <mergeCell ref="C1021:D1021"/>
    <mergeCell ref="A1022:B1022"/>
    <mergeCell ref="C1022:D1022"/>
    <mergeCell ref="A1023:B1023"/>
    <mergeCell ref="C1023:D1023"/>
    <mergeCell ref="C1043:D1043"/>
    <mergeCell ref="A1045:B1045"/>
    <mergeCell ref="C1045:D1045"/>
    <mergeCell ref="A1046:B1046"/>
    <mergeCell ref="C1046:D1046"/>
    <mergeCell ref="A1047:B1047"/>
    <mergeCell ref="C1047:D1047"/>
    <mergeCell ref="A1037:D1037"/>
    <mergeCell ref="A1038:D1038"/>
    <mergeCell ref="A1039:D1039"/>
    <mergeCell ref="A1040:D1040"/>
    <mergeCell ref="A1041:D1041"/>
    <mergeCell ref="A1042:B1042"/>
    <mergeCell ref="C1042:D1042"/>
    <mergeCell ref="A1034:B1034"/>
    <mergeCell ref="C1034:D1034"/>
    <mergeCell ref="A1035:B1035"/>
    <mergeCell ref="C1035:D1035"/>
    <mergeCell ref="A1036:B1036"/>
    <mergeCell ref="C1036:D1036"/>
    <mergeCell ref="C1056:D1056"/>
    <mergeCell ref="A1058:B1058"/>
    <mergeCell ref="C1058:D1058"/>
    <mergeCell ref="A1059:B1059"/>
    <mergeCell ref="C1059:D1059"/>
    <mergeCell ref="A1060:B1060"/>
    <mergeCell ref="C1060:D1060"/>
    <mergeCell ref="A1051:D1051"/>
    <mergeCell ref="A1052:D1052"/>
    <mergeCell ref="A1053:D1053"/>
    <mergeCell ref="A1054:D1054"/>
    <mergeCell ref="A1055:B1055"/>
    <mergeCell ref="C1055:D1055"/>
    <mergeCell ref="A1048:B1048"/>
    <mergeCell ref="C1048:D1048"/>
    <mergeCell ref="A1049:B1049"/>
    <mergeCell ref="C1049:D1049"/>
    <mergeCell ref="A1050:B1050"/>
    <mergeCell ref="C1050:D1050"/>
    <mergeCell ref="C1070:D1070"/>
    <mergeCell ref="A1072:B1072"/>
    <mergeCell ref="C1072:D1072"/>
    <mergeCell ref="A1073:B1073"/>
    <mergeCell ref="C1073:D1073"/>
    <mergeCell ref="A1074:B1074"/>
    <mergeCell ref="C1074:D1074"/>
    <mergeCell ref="A1064:D1064"/>
    <mergeCell ref="A1065:D1065"/>
    <mergeCell ref="A1066:D1066"/>
    <mergeCell ref="A1067:D1067"/>
    <mergeCell ref="A1068:D1068"/>
    <mergeCell ref="A1069:B1069"/>
    <mergeCell ref="C1069:D1069"/>
    <mergeCell ref="A1061:B1061"/>
    <mergeCell ref="C1061:D1061"/>
    <mergeCell ref="A1062:B1062"/>
    <mergeCell ref="C1062:D1062"/>
    <mergeCell ref="A1063:B1063"/>
    <mergeCell ref="C1063:D1063"/>
    <mergeCell ref="C1083:D1083"/>
    <mergeCell ref="A1085:B1085"/>
    <mergeCell ref="C1085:D1085"/>
    <mergeCell ref="A1086:B1086"/>
    <mergeCell ref="C1086:D1086"/>
    <mergeCell ref="A1087:B1087"/>
    <mergeCell ref="C1087:D1087"/>
    <mergeCell ref="A1078:D1078"/>
    <mergeCell ref="A1079:D1079"/>
    <mergeCell ref="A1080:D1080"/>
    <mergeCell ref="A1081:D1081"/>
    <mergeCell ref="A1082:B1082"/>
    <mergeCell ref="C1082:D1082"/>
    <mergeCell ref="A1075:B1075"/>
    <mergeCell ref="C1075:D1075"/>
    <mergeCell ref="A1076:B1076"/>
    <mergeCell ref="C1076:D1076"/>
    <mergeCell ref="A1077:B1077"/>
    <mergeCell ref="C1077:D1077"/>
    <mergeCell ref="C1097:D1097"/>
    <mergeCell ref="A1099:B1099"/>
    <mergeCell ref="C1099:D1099"/>
    <mergeCell ref="A1100:B1100"/>
    <mergeCell ref="C1100:D1100"/>
    <mergeCell ref="A1101:B1101"/>
    <mergeCell ref="C1101:D1101"/>
    <mergeCell ref="A1091:D1091"/>
    <mergeCell ref="A1092:D1092"/>
    <mergeCell ref="A1093:D1093"/>
    <mergeCell ref="A1094:D1094"/>
    <mergeCell ref="A1095:D1095"/>
    <mergeCell ref="A1096:B1096"/>
    <mergeCell ref="C1096:D1096"/>
    <mergeCell ref="A1088:B1088"/>
    <mergeCell ref="C1088:D1088"/>
    <mergeCell ref="A1089:B1089"/>
    <mergeCell ref="C1089:D1089"/>
    <mergeCell ref="A1090:B1090"/>
    <mergeCell ref="C1090:D1090"/>
    <mergeCell ref="C1110:D1110"/>
    <mergeCell ref="A1112:B1112"/>
    <mergeCell ref="C1112:D1112"/>
    <mergeCell ref="A1113:B1113"/>
    <mergeCell ref="C1113:D1113"/>
    <mergeCell ref="A1114:B1114"/>
    <mergeCell ref="C1114:D1114"/>
    <mergeCell ref="A1105:D1105"/>
    <mergeCell ref="A1106:D1106"/>
    <mergeCell ref="A1107:D1107"/>
    <mergeCell ref="A1108:D1108"/>
    <mergeCell ref="A1109:B1109"/>
    <mergeCell ref="C1109:D1109"/>
    <mergeCell ref="A1102:B1102"/>
    <mergeCell ref="C1102:D1102"/>
    <mergeCell ref="A1103:B1103"/>
    <mergeCell ref="C1103:D1103"/>
    <mergeCell ref="A1104:B1104"/>
    <mergeCell ref="C1104:D1104"/>
    <mergeCell ref="C1124:D1124"/>
    <mergeCell ref="A1126:B1126"/>
    <mergeCell ref="C1126:D1126"/>
    <mergeCell ref="A1127:B1127"/>
    <mergeCell ref="C1127:D1127"/>
    <mergeCell ref="A1128:B1128"/>
    <mergeCell ref="C1128:D1128"/>
    <mergeCell ref="A1118:D1118"/>
    <mergeCell ref="A1119:D1119"/>
    <mergeCell ref="A1120:D1120"/>
    <mergeCell ref="A1121:D1121"/>
    <mergeCell ref="A1122:D1122"/>
    <mergeCell ref="A1123:B1123"/>
    <mergeCell ref="C1123:D1123"/>
    <mergeCell ref="A1115:B1115"/>
    <mergeCell ref="C1115:D1115"/>
    <mergeCell ref="A1116:B1116"/>
    <mergeCell ref="C1116:D1116"/>
    <mergeCell ref="A1117:B1117"/>
    <mergeCell ref="C1117:D1117"/>
    <mergeCell ref="C1137:D1137"/>
    <mergeCell ref="A1139:B1139"/>
    <mergeCell ref="C1139:D1139"/>
    <mergeCell ref="A1140:B1140"/>
    <mergeCell ref="C1140:D1140"/>
    <mergeCell ref="A1141:B1141"/>
    <mergeCell ref="C1141:D1141"/>
    <mergeCell ref="A1132:D1132"/>
    <mergeCell ref="A1133:D1133"/>
    <mergeCell ref="A1134:D1134"/>
    <mergeCell ref="A1135:D1135"/>
    <mergeCell ref="A1136:B1136"/>
    <mergeCell ref="C1136:D1136"/>
    <mergeCell ref="A1129:B1129"/>
    <mergeCell ref="C1129:D1129"/>
    <mergeCell ref="A1130:B1130"/>
    <mergeCell ref="C1130:D1130"/>
    <mergeCell ref="A1131:B1131"/>
    <mergeCell ref="C1131:D1131"/>
    <mergeCell ref="C1151:D1151"/>
    <mergeCell ref="A1153:B1153"/>
    <mergeCell ref="C1153:D1153"/>
    <mergeCell ref="A1154:B1154"/>
    <mergeCell ref="C1154:D1154"/>
    <mergeCell ref="A1155:B1155"/>
    <mergeCell ref="C1155:D1155"/>
    <mergeCell ref="A1145:D1145"/>
    <mergeCell ref="A1146:D1146"/>
    <mergeCell ref="A1147:D1147"/>
    <mergeCell ref="A1148:D1148"/>
    <mergeCell ref="A1149:D1149"/>
    <mergeCell ref="A1150:B1150"/>
    <mergeCell ref="C1150:D1150"/>
    <mergeCell ref="A1142:B1142"/>
    <mergeCell ref="C1142:D1142"/>
    <mergeCell ref="A1143:B1143"/>
    <mergeCell ref="C1143:D1143"/>
    <mergeCell ref="A1144:B1144"/>
    <mergeCell ref="C1144:D1144"/>
    <mergeCell ref="A1159:D1159"/>
    <mergeCell ref="A1160:D1160"/>
    <mergeCell ref="A1161:D1161"/>
    <mergeCell ref="A1156:B1156"/>
    <mergeCell ref="C1156:D1156"/>
    <mergeCell ref="A1157:B1157"/>
    <mergeCell ref="C1157:D1157"/>
    <mergeCell ref="A1158:B1158"/>
    <mergeCell ref="C1158:D1158"/>
    <mergeCell ref="C1178:D1178"/>
    <mergeCell ref="A1180:B1180"/>
    <mergeCell ref="C1180:D1180"/>
    <mergeCell ref="A1181:B1181"/>
    <mergeCell ref="C1181:D1181"/>
    <mergeCell ref="A1182:B1182"/>
    <mergeCell ref="C1182:D1182"/>
    <mergeCell ref="A1176:D1176"/>
    <mergeCell ref="A1177:B1177"/>
    <mergeCell ref="C1177:D1177"/>
    <mergeCell ref="C1164:D1164"/>
    <mergeCell ref="A1166:B1166"/>
    <mergeCell ref="C1166:D1166"/>
    <mergeCell ref="A1167:B1167"/>
    <mergeCell ref="C1167:D1167"/>
    <mergeCell ref="A1168:B1168"/>
    <mergeCell ref="C1168:D1168"/>
    <mergeCell ref="A1162:D1162"/>
    <mergeCell ref="A1163:B1163"/>
    <mergeCell ref="C1163:D1163"/>
    <mergeCell ref="A1172:D1172"/>
    <mergeCell ref="A1173:D1173"/>
    <mergeCell ref="A1174:D1174"/>
    <mergeCell ref="A1175:D1175"/>
    <mergeCell ref="A1169:B1169"/>
    <mergeCell ref="C1169:D1169"/>
    <mergeCell ref="A1170:B1170"/>
    <mergeCell ref="C1170:D1170"/>
    <mergeCell ref="A1171:B1171"/>
    <mergeCell ref="C1171:D1171"/>
    <mergeCell ref="C1191:D1191"/>
    <mergeCell ref="A1193:B1193"/>
    <mergeCell ref="C1193:D1193"/>
    <mergeCell ref="A1194:B1194"/>
    <mergeCell ref="C1194:D1194"/>
    <mergeCell ref="A1195:B1195"/>
    <mergeCell ref="C1195:D1195"/>
    <mergeCell ref="A1186:D1186"/>
    <mergeCell ref="A1187:D1187"/>
    <mergeCell ref="A1188:D1188"/>
    <mergeCell ref="A1189:D1189"/>
    <mergeCell ref="A1190:B1190"/>
    <mergeCell ref="C1190:D1190"/>
    <mergeCell ref="A1183:B1183"/>
    <mergeCell ref="C1183:D1183"/>
    <mergeCell ref="A1184:B1184"/>
    <mergeCell ref="C1184:D1184"/>
    <mergeCell ref="A1185:B1185"/>
    <mergeCell ref="C1185:D1185"/>
    <mergeCell ref="C1205:D1205"/>
    <mergeCell ref="A1207:B1207"/>
    <mergeCell ref="C1207:D1207"/>
    <mergeCell ref="A1208:B1208"/>
    <mergeCell ref="C1208:D1208"/>
    <mergeCell ref="A1209:B1209"/>
    <mergeCell ref="C1209:D1209"/>
    <mergeCell ref="A1199:D1199"/>
    <mergeCell ref="A1200:D1200"/>
    <mergeCell ref="A1201:D1201"/>
    <mergeCell ref="A1202:D1202"/>
    <mergeCell ref="A1203:D1203"/>
    <mergeCell ref="A1204:B1204"/>
    <mergeCell ref="C1204:D1204"/>
    <mergeCell ref="A1196:B1196"/>
    <mergeCell ref="C1196:D1196"/>
    <mergeCell ref="A1197:B1197"/>
    <mergeCell ref="C1197:D1197"/>
    <mergeCell ref="A1198:B1198"/>
    <mergeCell ref="C1198:D1198"/>
    <mergeCell ref="C1218:D1218"/>
    <mergeCell ref="A1220:B1220"/>
    <mergeCell ref="C1220:D1220"/>
    <mergeCell ref="A1221:B1221"/>
    <mergeCell ref="C1221:D1221"/>
    <mergeCell ref="A1222:B1222"/>
    <mergeCell ref="C1222:D1222"/>
    <mergeCell ref="A1213:D1213"/>
    <mergeCell ref="A1214:D1214"/>
    <mergeCell ref="A1215:D1215"/>
    <mergeCell ref="A1216:D1216"/>
    <mergeCell ref="A1217:B1217"/>
    <mergeCell ref="C1217:D1217"/>
    <mergeCell ref="A1210:B1210"/>
    <mergeCell ref="C1210:D1210"/>
    <mergeCell ref="A1211:B1211"/>
    <mergeCell ref="C1211:D1211"/>
    <mergeCell ref="A1212:B1212"/>
    <mergeCell ref="C1212:D1212"/>
    <mergeCell ref="C1232:D1232"/>
    <mergeCell ref="A1234:B1234"/>
    <mergeCell ref="C1234:D1234"/>
    <mergeCell ref="A1235:B1235"/>
    <mergeCell ref="C1235:D1235"/>
    <mergeCell ref="A1236:B1236"/>
    <mergeCell ref="C1236:D1236"/>
    <mergeCell ref="A1226:D1226"/>
    <mergeCell ref="A1227:D1227"/>
    <mergeCell ref="A1228:D1228"/>
    <mergeCell ref="A1229:D1229"/>
    <mergeCell ref="A1230:D1230"/>
    <mergeCell ref="A1231:B1231"/>
    <mergeCell ref="C1231:D1231"/>
    <mergeCell ref="A1223:B1223"/>
    <mergeCell ref="C1223:D1223"/>
    <mergeCell ref="A1224:B1224"/>
    <mergeCell ref="C1224:D1224"/>
    <mergeCell ref="A1225:B1225"/>
    <mergeCell ref="C1225:D1225"/>
    <mergeCell ref="A1252:B1252"/>
    <mergeCell ref="C1252:D1252"/>
    <mergeCell ref="C1245:D1245"/>
    <mergeCell ref="A1247:B1247"/>
    <mergeCell ref="C1247:D1247"/>
    <mergeCell ref="A1248:B1248"/>
    <mergeCell ref="C1248:D1248"/>
    <mergeCell ref="A1249:B1249"/>
    <mergeCell ref="C1249:D1249"/>
    <mergeCell ref="A1240:D1240"/>
    <mergeCell ref="A1241:D1241"/>
    <mergeCell ref="A1242:D1242"/>
    <mergeCell ref="A1243:D1243"/>
    <mergeCell ref="A1244:B1244"/>
    <mergeCell ref="C1244:D1244"/>
    <mergeCell ref="A1237:B1237"/>
    <mergeCell ref="C1237:D1237"/>
    <mergeCell ref="A1238:B1238"/>
    <mergeCell ref="C1238:D1238"/>
    <mergeCell ref="A1239:B1239"/>
    <mergeCell ref="C1239:D1239"/>
    <mergeCell ref="A1250:B1250"/>
    <mergeCell ref="C1250:D1250"/>
    <mergeCell ref="A1251:B1251"/>
    <mergeCell ref="C1251:D1251"/>
    <mergeCell ref="A1267:D1267"/>
    <mergeCell ref="A1268:D1268"/>
    <mergeCell ref="A1269:D1269"/>
    <mergeCell ref="A1264:B1264"/>
    <mergeCell ref="C1264:D1264"/>
    <mergeCell ref="A1265:B1265"/>
    <mergeCell ref="C1265:D1265"/>
    <mergeCell ref="A1266:B1266"/>
    <mergeCell ref="C1266:D1266"/>
    <mergeCell ref="C1259:D1259"/>
    <mergeCell ref="A1261:B1261"/>
    <mergeCell ref="C1261:D1261"/>
    <mergeCell ref="A1262:B1262"/>
    <mergeCell ref="C1262:D1262"/>
    <mergeCell ref="A1263:B1263"/>
    <mergeCell ref="C1263:D1263"/>
    <mergeCell ref="A1253:D1253"/>
    <mergeCell ref="A1254:D1254"/>
    <mergeCell ref="A1255:D1255"/>
    <mergeCell ref="A1256:D1256"/>
    <mergeCell ref="A1257:D1257"/>
    <mergeCell ref="A1258:B1258"/>
    <mergeCell ref="C1258:D1258"/>
    <mergeCell ref="A1324:D1324"/>
    <mergeCell ref="A1325:B1325"/>
    <mergeCell ref="C1325:D1325"/>
    <mergeCell ref="C1326:D1326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D1334"/>
    <mergeCell ref="A1347:B1347"/>
    <mergeCell ref="C1347:D1347"/>
    <mergeCell ref="A1348:D1348"/>
    <mergeCell ref="A1349:D1349"/>
    <mergeCell ref="A1350:D1350"/>
    <mergeCell ref="A1335:D1335"/>
    <mergeCell ref="A1336:D1336"/>
    <mergeCell ref="A1337:D1337"/>
    <mergeCell ref="A1338:D1338"/>
    <mergeCell ref="A1339:B1339"/>
    <mergeCell ref="C1339:D1339"/>
    <mergeCell ref="C1340:D1340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</mergeCells>
  <printOptions horizontalCentered="1" verticalCentered="1"/>
  <pageMargins left="2.3228346456692917" right="2.204724409448819" top="0.11811023622047245" bottom="0.15748031496062992" header="0.11811023622047245" footer="0.15748031496062992"/>
  <pageSetup scale="68" orientation="portrait" r:id="rId1"/>
  <headerFooter>
    <oddHeader>&amp;C&amp;P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5:I70"/>
  <sheetViews>
    <sheetView topLeftCell="A61" zoomScale="110" zoomScaleNormal="110" workbookViewId="0">
      <selection activeCell="D63" sqref="D63"/>
    </sheetView>
  </sheetViews>
  <sheetFormatPr defaultColWidth="18.7109375" defaultRowHeight="28.5" customHeight="1"/>
  <cols>
    <col min="3" max="3" width="20.140625" bestFit="1" customWidth="1"/>
  </cols>
  <sheetData>
    <row r="5" spans="3:9" ht="28.5" customHeight="1">
      <c r="D5" s="59">
        <v>44713</v>
      </c>
    </row>
    <row r="6" spans="3:9" ht="28.5" customHeight="1" thickBot="1">
      <c r="D6" s="60"/>
    </row>
    <row r="7" spans="3:9" ht="28.5" customHeight="1">
      <c r="C7" s="69">
        <v>677540</v>
      </c>
      <c r="D7" s="62" t="s">
        <v>585</v>
      </c>
      <c r="E7" s="66">
        <v>12956</v>
      </c>
    </row>
    <row r="8" spans="3:9" ht="28.5" customHeight="1">
      <c r="C8" s="70">
        <v>347700</v>
      </c>
      <c r="D8" s="63" t="s">
        <v>586</v>
      </c>
      <c r="E8" s="66">
        <v>6025</v>
      </c>
    </row>
    <row r="9" spans="3:9" ht="28.5" customHeight="1">
      <c r="C9" s="70">
        <v>107550</v>
      </c>
      <c r="D9" s="63" t="s">
        <v>587</v>
      </c>
      <c r="E9" s="66">
        <v>1818</v>
      </c>
    </row>
    <row r="10" spans="3:9" ht="28.5" customHeight="1">
      <c r="C10" s="70">
        <v>186170</v>
      </c>
      <c r="D10" s="63" t="s">
        <v>429</v>
      </c>
      <c r="E10" s="66">
        <v>4586</v>
      </c>
    </row>
    <row r="11" spans="3:9" ht="28.5" customHeight="1">
      <c r="C11" s="70">
        <v>430610</v>
      </c>
      <c r="D11" s="63" t="s">
        <v>588</v>
      </c>
      <c r="E11" s="66">
        <v>9468</v>
      </c>
    </row>
    <row r="12" spans="3:9" ht="28.5" customHeight="1">
      <c r="C12" s="70">
        <v>2850</v>
      </c>
      <c r="D12" s="63" t="s">
        <v>589</v>
      </c>
      <c r="E12" s="66">
        <v>0</v>
      </c>
    </row>
    <row r="13" spans="3:9" ht="28.5" customHeight="1" thickBot="1">
      <c r="C13" s="71">
        <v>7200</v>
      </c>
      <c r="D13" s="64" t="s">
        <v>590</v>
      </c>
      <c r="E13" s="66">
        <v>0</v>
      </c>
    </row>
    <row r="14" spans="3:9" ht="28.5" customHeight="1" thickBot="1">
      <c r="C14" s="65">
        <f>SUM(C7:C13)</f>
        <v>1759620</v>
      </c>
      <c r="E14" s="67">
        <f>SUM(E7:E13)</f>
        <v>34853</v>
      </c>
      <c r="G14" s="61">
        <v>14000</v>
      </c>
      <c r="H14">
        <v>89</v>
      </c>
      <c r="I14" s="61">
        <f>H14*G14</f>
        <v>1246000</v>
      </c>
    </row>
    <row r="15" spans="3:9" ht="28.5" customHeight="1">
      <c r="I15" s="61"/>
    </row>
    <row r="17" spans="3:5" s="79" customFormat="1" ht="28.5" customHeight="1"/>
    <row r="19" spans="3:5" ht="28.5" customHeight="1" thickBot="1">
      <c r="D19" s="80">
        <v>44743</v>
      </c>
    </row>
    <row r="20" spans="3:5" ht="28.5" customHeight="1">
      <c r="C20" s="69">
        <v>672910</v>
      </c>
      <c r="D20" s="62" t="s">
        <v>585</v>
      </c>
      <c r="E20" s="83">
        <v>12637</v>
      </c>
    </row>
    <row r="21" spans="3:5" ht="28.5" customHeight="1">
      <c r="C21" s="70">
        <v>362645</v>
      </c>
      <c r="D21" s="63" t="s">
        <v>586</v>
      </c>
      <c r="E21" s="84">
        <v>5747</v>
      </c>
    </row>
    <row r="22" spans="3:5" ht="28.5" customHeight="1">
      <c r="C22" s="70">
        <v>82685</v>
      </c>
      <c r="D22" s="63" t="s">
        <v>587</v>
      </c>
      <c r="E22" s="85">
        <v>1286</v>
      </c>
    </row>
    <row r="23" spans="3:5" ht="28.5" customHeight="1">
      <c r="C23" s="70">
        <v>186760</v>
      </c>
      <c r="D23" s="63" t="s">
        <v>429</v>
      </c>
      <c r="E23" s="84">
        <v>4326</v>
      </c>
    </row>
    <row r="24" spans="3:5" ht="28.5" customHeight="1">
      <c r="C24" s="70">
        <v>264290</v>
      </c>
      <c r="D24" s="63" t="s">
        <v>588</v>
      </c>
      <c r="E24" s="84">
        <v>5107</v>
      </c>
    </row>
    <row r="25" spans="3:5" ht="28.5" customHeight="1">
      <c r="C25" s="70">
        <v>2850</v>
      </c>
      <c r="D25" s="63" t="s">
        <v>589</v>
      </c>
      <c r="E25" s="84">
        <v>0</v>
      </c>
    </row>
    <row r="26" spans="3:5" ht="28.5" customHeight="1" thickBot="1">
      <c r="C26" s="71">
        <v>7200</v>
      </c>
      <c r="D26" s="64" t="s">
        <v>590</v>
      </c>
      <c r="E26" s="84">
        <v>0</v>
      </c>
    </row>
    <row r="27" spans="3:5" ht="28.5" customHeight="1" thickBot="1">
      <c r="C27" s="65">
        <f>SUM(C20:C26)</f>
        <v>1579340</v>
      </c>
      <c r="D27" s="86"/>
      <c r="E27" s="87">
        <f>SUM(E20:E26)</f>
        <v>29103</v>
      </c>
    </row>
    <row r="29" spans="3:5" ht="28.5" customHeight="1" thickBot="1">
      <c r="D29" s="82" t="s">
        <v>623</v>
      </c>
    </row>
    <row r="30" spans="3:5" ht="28.5" customHeight="1">
      <c r="C30" s="69">
        <v>695960</v>
      </c>
      <c r="D30" s="62" t="s">
        <v>585</v>
      </c>
      <c r="E30" s="83">
        <v>12589</v>
      </c>
    </row>
    <row r="31" spans="3:5" ht="28.5" customHeight="1">
      <c r="C31" s="70">
        <v>434700</v>
      </c>
      <c r="D31" s="63" t="s">
        <v>586</v>
      </c>
      <c r="E31" s="84">
        <v>7016</v>
      </c>
    </row>
    <row r="32" spans="3:5" ht="28.5" customHeight="1">
      <c r="C32" s="70">
        <v>108416</v>
      </c>
      <c r="D32" s="63" t="s">
        <v>587</v>
      </c>
      <c r="E32" s="85">
        <v>1732</v>
      </c>
    </row>
    <row r="33" spans="3:5" ht="28.5" customHeight="1">
      <c r="C33" s="70">
        <v>201506</v>
      </c>
      <c r="D33" s="63" t="s">
        <v>429</v>
      </c>
      <c r="E33" s="84">
        <v>4362</v>
      </c>
    </row>
    <row r="34" spans="3:5" ht="28.5" customHeight="1">
      <c r="C34" s="70">
        <v>465250</v>
      </c>
      <c r="D34" s="63" t="s">
        <v>588</v>
      </c>
      <c r="E34" s="84">
        <v>8352</v>
      </c>
    </row>
    <row r="35" spans="3:5" ht="28.5" customHeight="1">
      <c r="C35" s="70">
        <v>2850</v>
      </c>
      <c r="D35" s="63" t="s">
        <v>589</v>
      </c>
      <c r="E35" s="84">
        <v>0</v>
      </c>
    </row>
    <row r="36" spans="3:5" ht="28.5" customHeight="1" thickBot="1">
      <c r="C36" s="71">
        <v>7200</v>
      </c>
      <c r="D36" s="64" t="s">
        <v>590</v>
      </c>
      <c r="E36" s="84">
        <v>0</v>
      </c>
    </row>
    <row r="37" spans="3:5" ht="28.5" customHeight="1" thickBot="1">
      <c r="C37" s="65">
        <f>SUM(C30:C36)</f>
        <v>1915882</v>
      </c>
      <c r="D37" s="86"/>
      <c r="E37" s="87">
        <f>SUM(E30:E36)</f>
        <v>34051</v>
      </c>
    </row>
    <row r="40" spans="3:5" ht="28.5" customHeight="1" thickBot="1">
      <c r="D40" s="82" t="s">
        <v>656</v>
      </c>
    </row>
    <row r="41" spans="3:5" ht="28.5" customHeight="1">
      <c r="C41" s="69">
        <v>647791</v>
      </c>
      <c r="D41" s="62" t="s">
        <v>585</v>
      </c>
      <c r="E41" s="83"/>
    </row>
    <row r="42" spans="3:5" ht="28.5" customHeight="1">
      <c r="C42" s="70">
        <v>314297</v>
      </c>
      <c r="D42" s="63" t="s">
        <v>586</v>
      </c>
      <c r="E42" s="84"/>
    </row>
    <row r="43" spans="3:5" ht="28.5" customHeight="1">
      <c r="C43" s="70">
        <v>82254</v>
      </c>
      <c r="D43" s="63" t="s">
        <v>587</v>
      </c>
      <c r="E43" s="85"/>
    </row>
    <row r="44" spans="3:5" ht="28.5" customHeight="1">
      <c r="C44" s="70">
        <v>166551</v>
      </c>
      <c r="D44" s="63" t="s">
        <v>429</v>
      </c>
      <c r="E44" s="84"/>
    </row>
    <row r="45" spans="3:5" ht="28.5" customHeight="1">
      <c r="C45" s="70">
        <v>434675</v>
      </c>
      <c r="D45" s="63" t="s">
        <v>588</v>
      </c>
      <c r="E45" s="84"/>
    </row>
    <row r="46" spans="3:5" ht="28.5" customHeight="1">
      <c r="C46" s="70">
        <v>2850</v>
      </c>
      <c r="D46" s="63" t="s">
        <v>589</v>
      </c>
      <c r="E46" s="84"/>
    </row>
    <row r="47" spans="3:5" ht="28.5" customHeight="1" thickBot="1">
      <c r="C47" s="71">
        <v>7200</v>
      </c>
      <c r="D47" s="64" t="s">
        <v>590</v>
      </c>
      <c r="E47" s="84"/>
    </row>
    <row r="48" spans="3:5" ht="28.5" customHeight="1" thickBot="1">
      <c r="C48" s="65">
        <f>SUM(C41:C47)</f>
        <v>1655618</v>
      </c>
      <c r="D48" s="86"/>
      <c r="E48" s="87">
        <f>SUM(E41:E47)</f>
        <v>0</v>
      </c>
    </row>
    <row r="51" spans="3:5" ht="28.5" customHeight="1" thickBot="1">
      <c r="D51" s="82" t="s">
        <v>672</v>
      </c>
    </row>
    <row r="52" spans="3:5" ht="28.5" customHeight="1">
      <c r="C52" s="69">
        <v>672570</v>
      </c>
      <c r="D52" s="62" t="s">
        <v>585</v>
      </c>
      <c r="E52" s="83"/>
    </row>
    <row r="53" spans="3:5" ht="28.5" customHeight="1">
      <c r="C53" s="70">
        <v>245183</v>
      </c>
      <c r="D53" s="63" t="s">
        <v>586</v>
      </c>
      <c r="E53" s="84"/>
    </row>
    <row r="54" spans="3:5" ht="28.5" customHeight="1">
      <c r="C54" s="70">
        <v>90048</v>
      </c>
      <c r="D54" s="63" t="s">
        <v>587</v>
      </c>
      <c r="E54" s="85"/>
    </row>
    <row r="55" spans="3:5" ht="28.5" customHeight="1">
      <c r="C55" s="70">
        <v>140066</v>
      </c>
      <c r="D55" s="63" t="s">
        <v>429</v>
      </c>
      <c r="E55" s="84"/>
    </row>
    <row r="56" spans="3:5" ht="28.5" customHeight="1">
      <c r="C56" s="70">
        <v>278686</v>
      </c>
      <c r="D56" s="63" t="s">
        <v>588</v>
      </c>
      <c r="E56" s="84"/>
    </row>
    <row r="57" spans="3:5" ht="28.5" customHeight="1">
      <c r="C57" s="70">
        <v>2850</v>
      </c>
      <c r="D57" s="63" t="s">
        <v>589</v>
      </c>
      <c r="E57" s="84"/>
    </row>
    <row r="58" spans="3:5" ht="28.5" customHeight="1" thickBot="1">
      <c r="C58" s="71">
        <v>7200</v>
      </c>
      <c r="D58" s="64" t="s">
        <v>590</v>
      </c>
      <c r="E58" s="84"/>
    </row>
    <row r="59" spans="3:5" ht="28.5" customHeight="1" thickBot="1">
      <c r="C59" s="65">
        <f>SUM(C52:C58)</f>
        <v>1436603</v>
      </c>
      <c r="D59" s="86"/>
      <c r="E59" s="87">
        <f>SUM(E52:E58)</f>
        <v>0</v>
      </c>
    </row>
    <row r="62" spans="3:5" ht="28.5" customHeight="1" thickBot="1">
      <c r="D62" s="82" t="s">
        <v>685</v>
      </c>
    </row>
    <row r="63" spans="3:5" ht="28.5" customHeight="1">
      <c r="C63" s="69">
        <v>552248</v>
      </c>
      <c r="D63" s="62" t="s">
        <v>585</v>
      </c>
      <c r="E63" s="83"/>
    </row>
    <row r="64" spans="3:5" ht="28.5" customHeight="1">
      <c r="C64" s="70">
        <v>242044</v>
      </c>
      <c r="D64" s="63" t="s">
        <v>586</v>
      </c>
      <c r="E64" s="84"/>
    </row>
    <row r="65" spans="3:5" ht="28.5" customHeight="1">
      <c r="C65" s="70">
        <v>70432</v>
      </c>
      <c r="D65" s="63" t="s">
        <v>587</v>
      </c>
      <c r="E65" s="85"/>
    </row>
    <row r="66" spans="3:5" ht="28.5" customHeight="1">
      <c r="C66" s="70">
        <v>149514</v>
      </c>
      <c r="D66" s="63" t="s">
        <v>429</v>
      </c>
      <c r="E66" s="84"/>
    </row>
    <row r="67" spans="3:5" ht="28.5" customHeight="1">
      <c r="C67" s="70">
        <v>295400</v>
      </c>
      <c r="D67" s="63" t="s">
        <v>588</v>
      </c>
      <c r="E67" s="84"/>
    </row>
    <row r="68" spans="3:5" ht="28.5" customHeight="1">
      <c r="C68" s="70">
        <v>2500</v>
      </c>
      <c r="D68" s="63" t="s">
        <v>589</v>
      </c>
      <c r="E68" s="84"/>
    </row>
    <row r="69" spans="3:5" ht="28.5" customHeight="1" thickBot="1">
      <c r="C69" s="71">
        <v>11200</v>
      </c>
      <c r="D69" s="64" t="s">
        <v>590</v>
      </c>
      <c r="E69" s="84"/>
    </row>
    <row r="70" spans="3:5" ht="28.5" customHeight="1" thickBot="1">
      <c r="C70" s="65">
        <f>SUM(C63:C69)</f>
        <v>1323338</v>
      </c>
      <c r="D70" s="86"/>
      <c r="E70" s="87">
        <f>SUM(E63:E69)</f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1798"/>
  <sheetViews>
    <sheetView showRuler="0" view="pageLayout" zoomScale="55" zoomScaleNormal="70" zoomScalePageLayoutView="55" workbookViewId="0">
      <selection activeCell="E5" sqref="E5"/>
    </sheetView>
  </sheetViews>
  <sheetFormatPr defaultColWidth="10.7109375" defaultRowHeight="34.5" customHeight="1"/>
  <cols>
    <col min="1" max="1" width="14.7109375" style="31" customWidth="1"/>
    <col min="2" max="2" width="15.140625" style="30" customWidth="1"/>
    <col min="3" max="3" width="21.85546875" style="30" customWidth="1"/>
    <col min="4" max="4" width="19.7109375" style="29" customWidth="1"/>
    <col min="5" max="5" width="24.85546875" style="28" customWidth="1"/>
    <col min="6" max="6" width="25.28515625" style="28" customWidth="1"/>
    <col min="7" max="7" width="12" style="28" customWidth="1"/>
    <col min="8" max="8" width="13.28515625" style="28" customWidth="1"/>
    <col min="9" max="9" width="31.28515625" style="28" customWidth="1"/>
    <col min="10" max="10" width="13.5703125" style="27" customWidth="1"/>
    <col min="11" max="11" width="14" style="27" customWidth="1"/>
    <col min="12" max="12" width="22.7109375" style="27" customWidth="1"/>
    <col min="13" max="16384" width="10.7109375" style="27"/>
  </cols>
  <sheetData>
    <row r="1" spans="1:16" ht="34.5" customHeight="1">
      <c r="A1" s="159" t="s">
        <v>442</v>
      </c>
      <c r="B1" s="160" t="s">
        <v>441</v>
      </c>
      <c r="C1" s="160"/>
      <c r="D1" s="161"/>
      <c r="E1" s="44"/>
      <c r="K1" s="53"/>
      <c r="L1" s="52"/>
      <c r="M1" s="52"/>
      <c r="N1" s="52"/>
      <c r="O1" s="52"/>
      <c r="P1" s="51"/>
    </row>
    <row r="2" spans="1:16" ht="34.5" customHeight="1" thickBot="1">
      <c r="A2" s="162"/>
      <c r="B2" s="163"/>
      <c r="C2" s="163"/>
      <c r="D2" s="164"/>
      <c r="E2" s="44"/>
      <c r="K2" s="53"/>
      <c r="L2" s="58" t="s">
        <v>486</v>
      </c>
      <c r="M2" s="52"/>
      <c r="N2" s="52"/>
      <c r="O2" s="52"/>
      <c r="P2" s="51"/>
    </row>
    <row r="3" spans="1:16" ht="34.5" customHeight="1" thickBot="1">
      <c r="A3" s="142" t="s">
        <v>11</v>
      </c>
      <c r="B3" s="143"/>
      <c r="C3" s="142" t="s">
        <v>591</v>
      </c>
      <c r="D3" s="143"/>
      <c r="E3" s="57"/>
      <c r="K3" s="53"/>
      <c r="L3" s="52"/>
      <c r="M3" s="52"/>
      <c r="N3" s="52"/>
      <c r="O3" s="52"/>
      <c r="P3" s="51"/>
    </row>
    <row r="4" spans="1:16" ht="34.5" customHeight="1" thickBot="1">
      <c r="A4" s="137" t="s">
        <v>485</v>
      </c>
      <c r="B4" s="138"/>
      <c r="C4" s="138"/>
      <c r="D4" s="139"/>
      <c r="E4" s="56"/>
      <c r="F4" s="55"/>
      <c r="G4" s="55"/>
      <c r="H4" s="55"/>
      <c r="K4" s="53"/>
      <c r="L4" s="52" t="e">
        <f>SUM(C13+C44+#REF!+#REF!+C137+#REF!+#REF!+#REF!+C261+C292+#REF!+#REF!+#REF!+#REF!+#REF!+#REF!+#REF!+#REF!+#REF!+#REF!+#REF!+#REF!+#REF!+#REF!+#REF!+#REF!+#REF!+#REF!+#REF!+#REF!+#REF!+#REF!+#REF!+#REF!+#REF!+#REF!+#REF!+#REF!+#REF!+#REF!+#REF!+#REF!+#REF!+#REF!+#REF!+#REF!+#REF!+#REF!+#REF!+#REF!+#REF!+#REF!+#REF!+C943)</f>
        <v>#REF!</v>
      </c>
      <c r="M4" s="52"/>
      <c r="N4" s="52"/>
      <c r="O4" s="52"/>
      <c r="P4" s="51"/>
    </row>
    <row r="5" spans="1:16" ht="34.5" customHeight="1" thickBot="1">
      <c r="A5" s="34" t="s">
        <v>458</v>
      </c>
      <c r="B5" s="32" t="s">
        <v>438</v>
      </c>
      <c r="C5" s="34">
        <v>1</v>
      </c>
      <c r="D5" s="32" t="s">
        <v>0</v>
      </c>
      <c r="E5" s="54">
        <f>C13+C44+C75+C106+C137+C168+C199+C230+C292+C323+C354+C385+C416+C447+C478+C509+C540+C571+C602+C633+C664+C695+C726+C757+C788+C819+C850+C881+C912+C943+C974+C1005+C1036+C1067+C1098+C1129+C1160+C1191+C1222+C1253+C1284+C1315+C1346+C1377+C1408+C1439+C1470+C1501+C1532+C1563+C1594+C1625+C1656+C1687+C1718+C1749+C1780</f>
        <v>24600</v>
      </c>
      <c r="K5" s="53"/>
      <c r="L5" s="52"/>
      <c r="M5" s="52"/>
      <c r="N5" s="52"/>
      <c r="O5" s="52"/>
      <c r="P5" s="51"/>
    </row>
    <row r="6" spans="1:16" ht="34.5" customHeight="1" thickBot="1">
      <c r="A6" s="37" t="s">
        <v>673</v>
      </c>
      <c r="B6" s="36" t="s">
        <v>1</v>
      </c>
      <c r="C6" s="34" t="s">
        <v>674</v>
      </c>
      <c r="D6" s="32" t="s">
        <v>2</v>
      </c>
      <c r="E6" s="47"/>
      <c r="K6" s="50"/>
      <c r="L6" s="49"/>
      <c r="M6" s="49"/>
      <c r="N6" s="49"/>
      <c r="O6" s="49"/>
      <c r="P6" s="48"/>
    </row>
    <row r="7" spans="1:16" ht="34.5" customHeight="1" thickBot="1">
      <c r="A7" s="140">
        <v>93</v>
      </c>
      <c r="B7" s="141"/>
      <c r="C7" s="142" t="s">
        <v>3</v>
      </c>
      <c r="D7" s="143"/>
      <c r="E7" s="47">
        <f>SUM(A9+A40+A71+A102+A133+A164+A195+A226+A288+A319+A350+A381+A412+A443+A474+A505+A536+A567+A1435+A598+A629+A660+A691+A722+A753+A784+A815+A846+A877+A908+A939+A970+A1001+A1032+A1063+A1094+A1125+A1156+A1187+A1218+A1249+A1280+A1311+A1342+A1373+A1404+A1466+A1497+A1528+A1559+A1590+A1621+A1652+A1683+A1714+A1745+A1776)</f>
        <v>0</v>
      </c>
    </row>
    <row r="8" spans="1:16" ht="34.5" customHeight="1" thickBot="1">
      <c r="A8" s="140">
        <v>93</v>
      </c>
      <c r="B8" s="141"/>
      <c r="C8" s="144" t="s">
        <v>4</v>
      </c>
      <c r="D8" s="145"/>
      <c r="E8" s="41"/>
    </row>
    <row r="9" spans="1:16" ht="34.5" customHeight="1" thickBot="1">
      <c r="A9" s="146">
        <f>A8-A7</f>
        <v>0</v>
      </c>
      <c r="B9" s="147"/>
      <c r="C9" s="148"/>
      <c r="D9" s="35" t="s">
        <v>5</v>
      </c>
      <c r="E9" s="41"/>
    </row>
    <row r="10" spans="1:16" ht="34.5" customHeight="1" thickBot="1">
      <c r="A10" s="149">
        <v>23</v>
      </c>
      <c r="B10" s="150"/>
      <c r="C10" s="151"/>
      <c r="D10" s="35" t="s">
        <v>6</v>
      </c>
      <c r="E10" s="41"/>
    </row>
    <row r="11" spans="1:16" ht="34.5" customHeight="1" thickBot="1">
      <c r="A11" s="144">
        <f>A10*A9</f>
        <v>0</v>
      </c>
      <c r="B11" s="152"/>
      <c r="C11" s="145"/>
      <c r="D11" s="35" t="s">
        <v>7</v>
      </c>
      <c r="E11" s="41"/>
    </row>
    <row r="12" spans="1:16" ht="34.5" customHeight="1" thickBot="1">
      <c r="A12" s="144">
        <v>0</v>
      </c>
      <c r="B12" s="152"/>
      <c r="C12" s="145"/>
      <c r="D12" s="35" t="s">
        <v>437</v>
      </c>
      <c r="E12" s="41"/>
    </row>
    <row r="13" spans="1:16" ht="34.5" customHeight="1" thickBot="1">
      <c r="A13" s="34">
        <v>0</v>
      </c>
      <c r="B13" s="32" t="s">
        <v>8</v>
      </c>
      <c r="C13" s="33">
        <v>250</v>
      </c>
      <c r="D13" s="32" t="s">
        <v>9</v>
      </c>
      <c r="E13" s="41"/>
    </row>
    <row r="14" spans="1:16" ht="34.5" customHeight="1" thickBot="1">
      <c r="A14" s="153" t="s">
        <v>436</v>
      </c>
      <c r="B14" s="154"/>
      <c r="C14" s="154"/>
      <c r="D14" s="155"/>
      <c r="E14" s="41"/>
    </row>
    <row r="15" spans="1:16" ht="34.5" customHeight="1" thickBot="1">
      <c r="A15" s="156" t="s">
        <v>435</v>
      </c>
      <c r="B15" s="157"/>
      <c r="C15" s="157"/>
      <c r="D15" s="158"/>
      <c r="E15" s="41"/>
    </row>
    <row r="16" spans="1:16" ht="34.5" customHeight="1" thickBot="1">
      <c r="A16" s="40"/>
      <c r="B16" s="39"/>
      <c r="C16" s="39"/>
      <c r="D16" s="38"/>
      <c r="E16" s="41"/>
    </row>
    <row r="17" spans="1:5" ht="34.5" customHeight="1">
      <c r="A17" s="159" t="s">
        <v>442</v>
      </c>
      <c r="B17" s="160" t="s">
        <v>441</v>
      </c>
      <c r="C17" s="160"/>
      <c r="D17" s="161"/>
      <c r="E17" s="44"/>
    </row>
    <row r="18" spans="1:5" ht="34.5" customHeight="1" thickBot="1">
      <c r="A18" s="162"/>
      <c r="B18" s="163"/>
      <c r="C18" s="163"/>
      <c r="D18" s="164"/>
      <c r="E18" s="44"/>
    </row>
    <row r="19" spans="1:5" ht="34.5" customHeight="1" thickBot="1">
      <c r="A19" s="142" t="s">
        <v>11</v>
      </c>
      <c r="B19" s="143"/>
      <c r="C19" s="142" t="s">
        <v>591</v>
      </c>
      <c r="D19" s="143"/>
      <c r="E19" s="43"/>
    </row>
    <row r="20" spans="1:5" ht="34.5" customHeight="1" thickBot="1">
      <c r="A20" s="137" t="s">
        <v>485</v>
      </c>
      <c r="B20" s="138"/>
      <c r="C20" s="138"/>
      <c r="D20" s="139"/>
      <c r="E20" s="43"/>
    </row>
    <row r="21" spans="1:5" ht="34.5" customHeight="1" thickBot="1">
      <c r="A21" s="34" t="s">
        <v>458</v>
      </c>
      <c r="B21" s="32" t="s">
        <v>438</v>
      </c>
      <c r="C21" s="34">
        <v>1</v>
      </c>
      <c r="D21" s="32" t="s">
        <v>0</v>
      </c>
      <c r="E21" s="42"/>
    </row>
    <row r="22" spans="1:5" ht="34.5" customHeight="1" thickBot="1">
      <c r="A22" s="37" t="s">
        <v>673</v>
      </c>
      <c r="B22" s="36" t="s">
        <v>1</v>
      </c>
      <c r="C22" s="34" t="s">
        <v>674</v>
      </c>
      <c r="D22" s="32" t="s">
        <v>2</v>
      </c>
      <c r="E22" s="41"/>
    </row>
    <row r="23" spans="1:5" ht="34.5" customHeight="1" thickBot="1">
      <c r="A23" s="140">
        <v>82</v>
      </c>
      <c r="B23" s="141"/>
      <c r="C23" s="142" t="s">
        <v>3</v>
      </c>
      <c r="D23" s="143"/>
      <c r="E23" s="41"/>
    </row>
    <row r="24" spans="1:5" ht="34.5" customHeight="1" thickBot="1">
      <c r="A24" s="140">
        <v>93</v>
      </c>
      <c r="B24" s="141"/>
      <c r="C24" s="144" t="s">
        <v>4</v>
      </c>
      <c r="D24" s="145"/>
      <c r="E24" s="41"/>
    </row>
    <row r="25" spans="1:5" ht="34.5" customHeight="1" thickBot="1">
      <c r="A25" s="146">
        <f>A24-A23</f>
        <v>11</v>
      </c>
      <c r="B25" s="147"/>
      <c r="C25" s="148"/>
      <c r="D25" s="35" t="s">
        <v>5</v>
      </c>
      <c r="E25" s="41"/>
    </row>
    <row r="26" spans="1:5" ht="34.5" customHeight="1" thickBot="1">
      <c r="A26" s="149">
        <v>23</v>
      </c>
      <c r="B26" s="150"/>
      <c r="C26" s="151"/>
      <c r="D26" s="35" t="s">
        <v>6</v>
      </c>
      <c r="E26" s="41"/>
    </row>
    <row r="27" spans="1:5" ht="34.5" customHeight="1" thickBot="1">
      <c r="A27" s="144">
        <f>A26*A25</f>
        <v>253</v>
      </c>
      <c r="B27" s="152"/>
      <c r="C27" s="145"/>
      <c r="D27" s="35" t="s">
        <v>7</v>
      </c>
      <c r="E27" s="41"/>
    </row>
    <row r="28" spans="1:5" ht="34.5" customHeight="1" thickBot="1">
      <c r="A28" s="144">
        <v>0</v>
      </c>
      <c r="B28" s="152"/>
      <c r="C28" s="145"/>
      <c r="D28" s="35" t="s">
        <v>437</v>
      </c>
      <c r="E28" s="41" t="s">
        <v>10</v>
      </c>
    </row>
    <row r="29" spans="1:5" ht="34.5" customHeight="1" thickBot="1">
      <c r="A29" s="34">
        <v>0</v>
      </c>
      <c r="B29" s="32" t="s">
        <v>8</v>
      </c>
      <c r="C29" s="33">
        <v>250</v>
      </c>
      <c r="D29" s="32" t="s">
        <v>9</v>
      </c>
      <c r="E29" s="41"/>
    </row>
    <row r="30" spans="1:5" ht="34.5" customHeight="1" thickBot="1">
      <c r="A30" s="153" t="s">
        <v>436</v>
      </c>
      <c r="B30" s="154"/>
      <c r="C30" s="154"/>
      <c r="D30" s="155"/>
      <c r="E30" s="41"/>
    </row>
    <row r="31" spans="1:5" ht="34.5" customHeight="1" thickBot="1">
      <c r="A31" s="156" t="s">
        <v>435</v>
      </c>
      <c r="B31" s="157"/>
      <c r="C31" s="157"/>
      <c r="D31" s="158"/>
      <c r="E31" s="41"/>
    </row>
    <row r="32" spans="1:5" ht="34.5" customHeight="1">
      <c r="A32" s="159" t="s">
        <v>442</v>
      </c>
      <c r="B32" s="160" t="s">
        <v>441</v>
      </c>
      <c r="C32" s="160"/>
      <c r="D32" s="161"/>
      <c r="E32" s="44"/>
    </row>
    <row r="33" spans="1:5" ht="34.5" customHeight="1" thickBot="1">
      <c r="A33" s="162"/>
      <c r="B33" s="163"/>
      <c r="C33" s="163"/>
      <c r="D33" s="164"/>
      <c r="E33" s="44"/>
    </row>
    <row r="34" spans="1:5" ht="34.5" customHeight="1" thickBot="1">
      <c r="A34" s="142" t="s">
        <v>11</v>
      </c>
      <c r="B34" s="143"/>
      <c r="C34" s="165" t="s">
        <v>591</v>
      </c>
      <c r="D34" s="143"/>
      <c r="E34" s="43"/>
    </row>
    <row r="35" spans="1:5" ht="34.5" customHeight="1" thickBot="1">
      <c r="A35" s="137" t="s">
        <v>53</v>
      </c>
      <c r="B35" s="138"/>
      <c r="C35" s="138"/>
      <c r="D35" s="139"/>
      <c r="E35" s="43"/>
    </row>
    <row r="36" spans="1:5" ht="34.5" customHeight="1" thickBot="1">
      <c r="A36" s="34" t="s">
        <v>458</v>
      </c>
      <c r="B36" s="32" t="s">
        <v>438</v>
      </c>
      <c r="C36" s="34"/>
      <c r="D36" s="32" t="s">
        <v>0</v>
      </c>
      <c r="E36" s="42"/>
    </row>
    <row r="37" spans="1:5" ht="34.5" customHeight="1" thickBot="1">
      <c r="A37" s="37" t="s">
        <v>673</v>
      </c>
      <c r="B37" s="36" t="s">
        <v>1</v>
      </c>
      <c r="C37" s="34" t="s">
        <v>674</v>
      </c>
      <c r="D37" s="32" t="s">
        <v>2</v>
      </c>
      <c r="E37" s="41"/>
    </row>
    <row r="38" spans="1:5" ht="34.5" customHeight="1" thickBot="1">
      <c r="A38" s="140">
        <v>166</v>
      </c>
      <c r="B38" s="141"/>
      <c r="C38" s="142" t="s">
        <v>3</v>
      </c>
      <c r="D38" s="143"/>
      <c r="E38" s="41"/>
    </row>
    <row r="39" spans="1:5" ht="34.5" customHeight="1" thickBot="1">
      <c r="A39" s="140">
        <v>166</v>
      </c>
      <c r="B39" s="141"/>
      <c r="C39" s="144" t="s">
        <v>4</v>
      </c>
      <c r="D39" s="145"/>
      <c r="E39" s="41"/>
    </row>
    <row r="40" spans="1:5" ht="34.5" customHeight="1" thickBot="1">
      <c r="A40" s="146">
        <f>A39-A38</f>
        <v>0</v>
      </c>
      <c r="B40" s="147"/>
      <c r="C40" s="148"/>
      <c r="D40" s="35" t="s">
        <v>5</v>
      </c>
      <c r="E40" s="41"/>
    </row>
    <row r="41" spans="1:5" ht="34.5" customHeight="1" thickBot="1">
      <c r="A41" s="149">
        <v>23</v>
      </c>
      <c r="B41" s="150"/>
      <c r="C41" s="151"/>
      <c r="D41" s="35" t="s">
        <v>6</v>
      </c>
      <c r="E41" s="41"/>
    </row>
    <row r="42" spans="1:5" ht="34.5" customHeight="1" thickBot="1">
      <c r="A42" s="144">
        <f>A41*A40</f>
        <v>0</v>
      </c>
      <c r="B42" s="152"/>
      <c r="C42" s="145"/>
      <c r="D42" s="35" t="s">
        <v>7</v>
      </c>
      <c r="E42" s="41"/>
    </row>
    <row r="43" spans="1:5" ht="34.5" customHeight="1" thickBot="1">
      <c r="A43" s="144">
        <v>0</v>
      </c>
      <c r="B43" s="152"/>
      <c r="C43" s="145"/>
      <c r="D43" s="35" t="s">
        <v>437</v>
      </c>
      <c r="E43" s="41"/>
    </row>
    <row r="44" spans="1:5" ht="34.5" customHeight="1" thickBot="1">
      <c r="A44" s="34">
        <v>0</v>
      </c>
      <c r="B44" s="32" t="s">
        <v>8</v>
      </c>
      <c r="C44" s="33">
        <v>460</v>
      </c>
      <c r="D44" s="32" t="s">
        <v>9</v>
      </c>
      <c r="E44" s="41"/>
    </row>
    <row r="45" spans="1:5" ht="34.5" customHeight="1" thickBot="1">
      <c r="A45" s="153" t="s">
        <v>436</v>
      </c>
      <c r="B45" s="154"/>
      <c r="C45" s="154"/>
      <c r="D45" s="155"/>
      <c r="E45" s="41"/>
    </row>
    <row r="46" spans="1:5" ht="34.5" customHeight="1" thickBot="1">
      <c r="A46" s="156" t="s">
        <v>435</v>
      </c>
      <c r="B46" s="157"/>
      <c r="C46" s="157"/>
      <c r="D46" s="158"/>
      <c r="E46" s="41"/>
    </row>
    <row r="47" spans="1:5" ht="34.5" customHeight="1" thickBot="1">
      <c r="A47" s="40"/>
      <c r="B47" s="39"/>
      <c r="C47" s="39"/>
      <c r="D47" s="38"/>
      <c r="E47" s="41"/>
    </row>
    <row r="48" spans="1:5" ht="34.5" customHeight="1">
      <c r="A48" s="159" t="s">
        <v>442</v>
      </c>
      <c r="B48" s="160" t="s">
        <v>441</v>
      </c>
      <c r="C48" s="160"/>
      <c r="D48" s="161"/>
      <c r="E48" s="44"/>
    </row>
    <row r="49" spans="1:5" ht="34.5" customHeight="1" thickBot="1">
      <c r="A49" s="162"/>
      <c r="B49" s="163"/>
      <c r="C49" s="163"/>
      <c r="D49" s="164"/>
      <c r="E49" s="44"/>
    </row>
    <row r="50" spans="1:5" ht="34.5" customHeight="1" thickBot="1">
      <c r="A50" s="142" t="s">
        <v>11</v>
      </c>
      <c r="B50" s="143"/>
      <c r="C50" s="142" t="s">
        <v>591</v>
      </c>
      <c r="D50" s="143"/>
      <c r="E50" s="43"/>
    </row>
    <row r="51" spans="1:5" ht="34.5" customHeight="1" thickBot="1">
      <c r="A51" s="137" t="s">
        <v>53</v>
      </c>
      <c r="B51" s="138"/>
      <c r="C51" s="138"/>
      <c r="D51" s="139"/>
      <c r="E51" s="43"/>
    </row>
    <row r="52" spans="1:5" ht="34.5" customHeight="1" thickBot="1">
      <c r="A52" s="34" t="s">
        <v>458</v>
      </c>
      <c r="B52" s="32" t="s">
        <v>438</v>
      </c>
      <c r="C52" s="34"/>
      <c r="D52" s="32" t="s">
        <v>0</v>
      </c>
      <c r="E52" s="42"/>
    </row>
    <row r="53" spans="1:5" ht="34.5" customHeight="1" thickBot="1">
      <c r="A53" s="37" t="s">
        <v>673</v>
      </c>
      <c r="B53" s="36" t="s">
        <v>1</v>
      </c>
      <c r="C53" s="34" t="s">
        <v>674</v>
      </c>
      <c r="D53" s="32" t="s">
        <v>2</v>
      </c>
      <c r="E53" s="41"/>
    </row>
    <row r="54" spans="1:5" ht="34.5" customHeight="1" thickBot="1">
      <c r="A54" s="140">
        <v>146</v>
      </c>
      <c r="B54" s="141"/>
      <c r="C54" s="142" t="s">
        <v>3</v>
      </c>
      <c r="D54" s="143"/>
      <c r="E54" s="41"/>
    </row>
    <row r="55" spans="1:5" ht="34.5" customHeight="1" thickBot="1">
      <c r="A55" s="140">
        <v>166</v>
      </c>
      <c r="B55" s="141"/>
      <c r="C55" s="144" t="s">
        <v>4</v>
      </c>
      <c r="D55" s="145"/>
      <c r="E55" s="41"/>
    </row>
    <row r="56" spans="1:5" ht="34.5" customHeight="1" thickBot="1">
      <c r="A56" s="146">
        <f>A55-A54</f>
        <v>20</v>
      </c>
      <c r="B56" s="147"/>
      <c r="C56" s="148"/>
      <c r="D56" s="35" t="s">
        <v>5</v>
      </c>
      <c r="E56" s="41"/>
    </row>
    <row r="57" spans="1:5" ht="34.5" customHeight="1" thickBot="1">
      <c r="A57" s="149">
        <v>23</v>
      </c>
      <c r="B57" s="150"/>
      <c r="C57" s="151"/>
      <c r="D57" s="35" t="s">
        <v>6</v>
      </c>
      <c r="E57" s="41"/>
    </row>
    <row r="58" spans="1:5" ht="34.5" customHeight="1" thickBot="1">
      <c r="A58" s="144">
        <f>A57*A56</f>
        <v>460</v>
      </c>
      <c r="B58" s="152"/>
      <c r="C58" s="145"/>
      <c r="D58" s="35" t="s">
        <v>7</v>
      </c>
      <c r="E58" s="41"/>
    </row>
    <row r="59" spans="1:5" ht="34.5" customHeight="1" thickBot="1">
      <c r="A59" s="144">
        <v>0</v>
      </c>
      <c r="B59" s="152"/>
      <c r="C59" s="145"/>
      <c r="D59" s="35" t="s">
        <v>437</v>
      </c>
      <c r="E59" s="41"/>
    </row>
    <row r="60" spans="1:5" ht="34.5" customHeight="1" thickBot="1">
      <c r="A60" s="34">
        <v>0</v>
      </c>
      <c r="B60" s="32" t="s">
        <v>8</v>
      </c>
      <c r="C60" s="33">
        <v>460</v>
      </c>
      <c r="D60" s="32" t="s">
        <v>9</v>
      </c>
      <c r="E60" s="41"/>
    </row>
    <row r="61" spans="1:5" ht="34.5" customHeight="1" thickBot="1">
      <c r="A61" s="153" t="s">
        <v>436</v>
      </c>
      <c r="B61" s="154"/>
      <c r="C61" s="154"/>
      <c r="D61" s="155"/>
      <c r="E61" s="41"/>
    </row>
    <row r="62" spans="1:5" ht="34.5" customHeight="1" thickBot="1">
      <c r="A62" s="156" t="s">
        <v>435</v>
      </c>
      <c r="B62" s="157"/>
      <c r="C62" s="157"/>
      <c r="D62" s="158"/>
      <c r="E62" s="41"/>
    </row>
    <row r="63" spans="1:5" ht="34.5" customHeight="1">
      <c r="A63" s="159" t="s">
        <v>442</v>
      </c>
      <c r="B63" s="160"/>
      <c r="C63" s="160"/>
      <c r="D63" s="161"/>
      <c r="E63" s="44"/>
    </row>
    <row r="64" spans="1:5" ht="34.5" customHeight="1" thickBot="1">
      <c r="A64" s="162"/>
      <c r="B64" s="163"/>
      <c r="C64" s="163"/>
      <c r="D64" s="164"/>
      <c r="E64" s="44"/>
    </row>
    <row r="65" spans="1:5" ht="34.5" customHeight="1" thickBot="1">
      <c r="A65" s="142" t="s">
        <v>11</v>
      </c>
      <c r="B65" s="143"/>
      <c r="C65" s="165" t="s">
        <v>591</v>
      </c>
      <c r="D65" s="143"/>
      <c r="E65" s="43"/>
    </row>
    <row r="66" spans="1:5" ht="34.5" customHeight="1" thickBot="1">
      <c r="A66" s="137" t="s">
        <v>334</v>
      </c>
      <c r="B66" s="138"/>
      <c r="C66" s="138"/>
      <c r="D66" s="139"/>
      <c r="E66" s="43"/>
    </row>
    <row r="67" spans="1:5" ht="34.5" customHeight="1" thickBot="1">
      <c r="A67" s="34" t="s">
        <v>458</v>
      </c>
      <c r="B67" s="32" t="s">
        <v>438</v>
      </c>
      <c r="C67" s="34">
        <v>3</v>
      </c>
      <c r="D67" s="32" t="s">
        <v>0</v>
      </c>
      <c r="E67" s="42"/>
    </row>
    <row r="68" spans="1:5" ht="34.5" customHeight="1" thickBot="1">
      <c r="A68" s="37" t="s">
        <v>673</v>
      </c>
      <c r="B68" s="36" t="s">
        <v>1</v>
      </c>
      <c r="C68" s="34" t="s">
        <v>674</v>
      </c>
      <c r="D68" s="32" t="s">
        <v>2</v>
      </c>
      <c r="E68" s="41"/>
    </row>
    <row r="69" spans="1:5" ht="34.5" customHeight="1" thickBot="1">
      <c r="A69" s="140">
        <v>185</v>
      </c>
      <c r="B69" s="141"/>
      <c r="C69" s="142" t="s">
        <v>3</v>
      </c>
      <c r="D69" s="143"/>
      <c r="E69" s="41"/>
    </row>
    <row r="70" spans="1:5" ht="34.5" customHeight="1" thickBot="1">
      <c r="A70" s="140">
        <v>185</v>
      </c>
      <c r="B70" s="141"/>
      <c r="C70" s="144" t="s">
        <v>4</v>
      </c>
      <c r="D70" s="145"/>
      <c r="E70" s="41"/>
    </row>
    <row r="71" spans="1:5" ht="34.5" customHeight="1" thickBot="1">
      <c r="A71" s="146">
        <f>A70-A69</f>
        <v>0</v>
      </c>
      <c r="B71" s="147"/>
      <c r="C71" s="148"/>
      <c r="D71" s="35" t="s">
        <v>5</v>
      </c>
      <c r="E71" s="41"/>
    </row>
    <row r="72" spans="1:5" ht="34.5" customHeight="1" thickBot="1">
      <c r="A72" s="149">
        <v>23</v>
      </c>
      <c r="B72" s="150"/>
      <c r="C72" s="151"/>
      <c r="D72" s="35" t="s">
        <v>6</v>
      </c>
      <c r="E72" s="41"/>
    </row>
    <row r="73" spans="1:5" ht="34.5" customHeight="1" thickBot="1">
      <c r="A73" s="144">
        <f>A72*A71</f>
        <v>0</v>
      </c>
      <c r="B73" s="152"/>
      <c r="C73" s="145"/>
      <c r="D73" s="35" t="s">
        <v>7</v>
      </c>
      <c r="E73" s="41"/>
    </row>
    <row r="74" spans="1:5" ht="34.5" customHeight="1" thickBot="1">
      <c r="A74" s="144">
        <v>0</v>
      </c>
      <c r="B74" s="152"/>
      <c r="C74" s="145"/>
      <c r="D74" s="35" t="s">
        <v>437</v>
      </c>
      <c r="E74" s="41"/>
    </row>
    <row r="75" spans="1:5" ht="34.5" customHeight="1" thickBot="1">
      <c r="A75" s="34">
        <v>0</v>
      </c>
      <c r="B75" s="32" t="s">
        <v>8</v>
      </c>
      <c r="C75" s="33">
        <v>500</v>
      </c>
      <c r="D75" s="32" t="s">
        <v>9</v>
      </c>
      <c r="E75" s="41"/>
    </row>
    <row r="76" spans="1:5" ht="34.5" customHeight="1" thickBot="1">
      <c r="A76" s="153" t="s">
        <v>436</v>
      </c>
      <c r="B76" s="154"/>
      <c r="C76" s="154"/>
      <c r="D76" s="155"/>
      <c r="E76" s="41"/>
    </row>
    <row r="77" spans="1:5" ht="34.5" customHeight="1" thickBot="1">
      <c r="A77" s="156" t="s">
        <v>435</v>
      </c>
      <c r="B77" s="157"/>
      <c r="C77" s="157"/>
      <c r="D77" s="158"/>
      <c r="E77" s="41"/>
    </row>
    <row r="78" spans="1:5" ht="34.5" customHeight="1" thickBot="1">
      <c r="A78" s="40"/>
      <c r="B78" s="39"/>
      <c r="C78" s="39"/>
      <c r="D78" s="38"/>
      <c r="E78" s="41"/>
    </row>
    <row r="79" spans="1:5" ht="34.5" customHeight="1">
      <c r="A79" s="159" t="s">
        <v>442</v>
      </c>
      <c r="B79" s="160"/>
      <c r="C79" s="160"/>
      <c r="D79" s="161"/>
      <c r="E79" s="44"/>
    </row>
    <row r="80" spans="1:5" ht="34.5" customHeight="1" thickBot="1">
      <c r="A80" s="162"/>
      <c r="B80" s="163"/>
      <c r="C80" s="163"/>
      <c r="D80" s="164"/>
      <c r="E80" s="44"/>
    </row>
    <row r="81" spans="1:5" ht="34.5" customHeight="1" thickBot="1">
      <c r="A81" s="142" t="s">
        <v>11</v>
      </c>
      <c r="B81" s="143"/>
      <c r="C81" s="165" t="s">
        <v>591</v>
      </c>
      <c r="D81" s="143"/>
      <c r="E81" s="43"/>
    </row>
    <row r="82" spans="1:5" ht="34.5" customHeight="1" thickBot="1">
      <c r="A82" s="137" t="s">
        <v>334</v>
      </c>
      <c r="B82" s="138"/>
      <c r="C82" s="138"/>
      <c r="D82" s="139"/>
      <c r="E82" s="43"/>
    </row>
    <row r="83" spans="1:5" ht="34.5" customHeight="1" thickBot="1">
      <c r="A83" s="34" t="s">
        <v>458</v>
      </c>
      <c r="B83" s="32" t="s">
        <v>438</v>
      </c>
      <c r="C83" s="34">
        <v>3</v>
      </c>
      <c r="D83" s="32" t="s">
        <v>0</v>
      </c>
      <c r="E83" s="42"/>
    </row>
    <row r="84" spans="1:5" ht="34.5" customHeight="1" thickBot="1">
      <c r="A84" s="37" t="s">
        <v>673</v>
      </c>
      <c r="B84" s="36" t="s">
        <v>1</v>
      </c>
      <c r="C84" s="34" t="s">
        <v>674</v>
      </c>
      <c r="D84" s="32" t="s">
        <v>2</v>
      </c>
      <c r="E84" s="41"/>
    </row>
    <row r="85" spans="1:5" ht="34.5" customHeight="1" thickBot="1">
      <c r="A85" s="140">
        <v>163</v>
      </c>
      <c r="B85" s="141"/>
      <c r="C85" s="142" t="s">
        <v>3</v>
      </c>
      <c r="D85" s="143"/>
      <c r="E85" s="41"/>
    </row>
    <row r="86" spans="1:5" ht="34.5" customHeight="1" thickBot="1">
      <c r="A86" s="140">
        <v>185</v>
      </c>
      <c r="B86" s="141"/>
      <c r="C86" s="144" t="s">
        <v>4</v>
      </c>
      <c r="D86" s="145"/>
      <c r="E86" s="41"/>
    </row>
    <row r="87" spans="1:5" ht="34.5" customHeight="1" thickBot="1">
      <c r="A87" s="146">
        <f>A86-A85</f>
        <v>22</v>
      </c>
      <c r="B87" s="147"/>
      <c r="C87" s="148"/>
      <c r="D87" s="35" t="s">
        <v>5</v>
      </c>
      <c r="E87" s="41"/>
    </row>
    <row r="88" spans="1:5" ht="34.5" customHeight="1" thickBot="1">
      <c r="A88" s="149">
        <v>23</v>
      </c>
      <c r="B88" s="150"/>
      <c r="C88" s="151"/>
      <c r="D88" s="35" t="s">
        <v>6</v>
      </c>
      <c r="E88" s="41"/>
    </row>
    <row r="89" spans="1:5" ht="34.5" customHeight="1" thickBot="1">
      <c r="A89" s="144">
        <f>A88*A87</f>
        <v>506</v>
      </c>
      <c r="B89" s="152"/>
      <c r="C89" s="145"/>
      <c r="D89" s="35" t="s">
        <v>7</v>
      </c>
      <c r="E89" s="41"/>
    </row>
    <row r="90" spans="1:5" ht="34.5" customHeight="1" thickBot="1">
      <c r="A90" s="144">
        <v>0</v>
      </c>
      <c r="B90" s="152"/>
      <c r="C90" s="145"/>
      <c r="D90" s="35" t="s">
        <v>437</v>
      </c>
      <c r="E90" s="41"/>
    </row>
    <row r="91" spans="1:5" ht="34.5" customHeight="1" thickBot="1">
      <c r="A91" s="34">
        <v>0</v>
      </c>
      <c r="B91" s="32" t="s">
        <v>8</v>
      </c>
      <c r="C91" s="33">
        <v>500</v>
      </c>
      <c r="D91" s="32" t="s">
        <v>9</v>
      </c>
      <c r="E91" s="41"/>
    </row>
    <row r="92" spans="1:5" ht="34.5" customHeight="1" thickBot="1">
      <c r="A92" s="153" t="s">
        <v>436</v>
      </c>
      <c r="B92" s="154"/>
      <c r="C92" s="154"/>
      <c r="D92" s="155"/>
      <c r="E92" s="41"/>
    </row>
    <row r="93" spans="1:5" ht="34.5" customHeight="1" thickBot="1">
      <c r="A93" s="156" t="s">
        <v>435</v>
      </c>
      <c r="B93" s="157"/>
      <c r="C93" s="157"/>
      <c r="D93" s="158"/>
      <c r="E93" s="41"/>
    </row>
    <row r="94" spans="1:5" ht="34.5" customHeight="1">
      <c r="A94" s="159" t="s">
        <v>442</v>
      </c>
      <c r="B94" s="160" t="s">
        <v>441</v>
      </c>
      <c r="C94" s="160"/>
      <c r="D94" s="161"/>
      <c r="E94" s="44"/>
    </row>
    <row r="95" spans="1:5" ht="34.5" customHeight="1" thickBot="1">
      <c r="A95" s="162"/>
      <c r="B95" s="163"/>
      <c r="C95" s="163"/>
      <c r="D95" s="164"/>
      <c r="E95" s="44"/>
    </row>
    <row r="96" spans="1:5" ht="34.5" customHeight="1" thickBot="1">
      <c r="A96" s="142" t="s">
        <v>11</v>
      </c>
      <c r="B96" s="143"/>
      <c r="C96" s="165" t="s">
        <v>591</v>
      </c>
      <c r="D96" s="143"/>
      <c r="E96" s="43"/>
    </row>
    <row r="97" spans="1:5" ht="34.5" customHeight="1" thickBot="1">
      <c r="A97" s="137" t="s">
        <v>337</v>
      </c>
      <c r="B97" s="138"/>
      <c r="C97" s="138"/>
      <c r="D97" s="139"/>
      <c r="E97" s="43"/>
    </row>
    <row r="98" spans="1:5" ht="34.5" customHeight="1" thickBot="1">
      <c r="A98" s="34" t="s">
        <v>458</v>
      </c>
      <c r="B98" s="32" t="s">
        <v>438</v>
      </c>
      <c r="C98" s="34">
        <v>4</v>
      </c>
      <c r="D98" s="32" t="s">
        <v>0</v>
      </c>
      <c r="E98" s="42"/>
    </row>
    <row r="99" spans="1:5" ht="34.5" customHeight="1" thickBot="1">
      <c r="A99" s="37" t="s">
        <v>673</v>
      </c>
      <c r="B99" s="36" t="s">
        <v>1</v>
      </c>
      <c r="C99" s="34" t="s">
        <v>674</v>
      </c>
      <c r="D99" s="32" t="s">
        <v>2</v>
      </c>
      <c r="E99" s="41"/>
    </row>
    <row r="100" spans="1:5" ht="34.5" customHeight="1" thickBot="1">
      <c r="A100" s="140">
        <v>184</v>
      </c>
      <c r="B100" s="141"/>
      <c r="C100" s="142" t="s">
        <v>3</v>
      </c>
      <c r="D100" s="143"/>
      <c r="E100" s="41"/>
    </row>
    <row r="101" spans="1:5" ht="34.5" customHeight="1" thickBot="1">
      <c r="A101" s="140">
        <v>184</v>
      </c>
      <c r="B101" s="141"/>
      <c r="C101" s="144" t="s">
        <v>4</v>
      </c>
      <c r="D101" s="145"/>
      <c r="E101" s="41"/>
    </row>
    <row r="102" spans="1:5" ht="34.5" customHeight="1" thickBot="1">
      <c r="A102" s="146">
        <f>A101-A100</f>
        <v>0</v>
      </c>
      <c r="B102" s="147"/>
      <c r="C102" s="148"/>
      <c r="D102" s="35" t="s">
        <v>5</v>
      </c>
      <c r="E102" s="41"/>
    </row>
    <row r="103" spans="1:5" ht="34.5" customHeight="1" thickBot="1">
      <c r="A103" s="149">
        <v>23</v>
      </c>
      <c r="B103" s="150"/>
      <c r="C103" s="151"/>
      <c r="D103" s="35" t="s">
        <v>6</v>
      </c>
      <c r="E103" s="41"/>
    </row>
    <row r="104" spans="1:5" ht="34.5" customHeight="1" thickBot="1">
      <c r="A104" s="144">
        <f>A103*A102</f>
        <v>0</v>
      </c>
      <c r="B104" s="152"/>
      <c r="C104" s="145"/>
      <c r="D104" s="35" t="s">
        <v>7</v>
      </c>
      <c r="E104" s="41"/>
    </row>
    <row r="105" spans="1:5" ht="34.5" customHeight="1" thickBot="1">
      <c r="A105" s="144">
        <v>0</v>
      </c>
      <c r="B105" s="152"/>
      <c r="C105" s="145"/>
      <c r="D105" s="35" t="s">
        <v>437</v>
      </c>
      <c r="E105" s="41"/>
    </row>
    <row r="106" spans="1:5" ht="34.5" customHeight="1" thickBot="1">
      <c r="A106" s="34">
        <v>0</v>
      </c>
      <c r="B106" s="32" t="s">
        <v>8</v>
      </c>
      <c r="C106" s="33">
        <v>440</v>
      </c>
      <c r="D106" s="32" t="s">
        <v>9</v>
      </c>
      <c r="E106" s="41"/>
    </row>
    <row r="107" spans="1:5" ht="34.5" customHeight="1" thickBot="1">
      <c r="A107" s="153" t="s">
        <v>436</v>
      </c>
      <c r="B107" s="154"/>
      <c r="C107" s="154"/>
      <c r="D107" s="155"/>
      <c r="E107" s="41"/>
    </row>
    <row r="108" spans="1:5" ht="34.5" customHeight="1" thickBot="1">
      <c r="A108" s="156" t="s">
        <v>435</v>
      </c>
      <c r="B108" s="157"/>
      <c r="C108" s="157"/>
      <c r="D108" s="158"/>
      <c r="E108" s="41"/>
    </row>
    <row r="109" spans="1:5" ht="34.5" customHeight="1" thickBot="1">
      <c r="A109" s="40"/>
      <c r="B109" s="39"/>
      <c r="C109" s="39"/>
      <c r="D109" s="38"/>
      <c r="E109" s="41"/>
    </row>
    <row r="110" spans="1:5" ht="34.5" customHeight="1">
      <c r="A110" s="159" t="s">
        <v>442</v>
      </c>
      <c r="B110" s="160" t="s">
        <v>441</v>
      </c>
      <c r="C110" s="160"/>
      <c r="D110" s="161"/>
      <c r="E110" s="44"/>
    </row>
    <row r="111" spans="1:5" ht="34.5" customHeight="1" thickBot="1">
      <c r="A111" s="162"/>
      <c r="B111" s="163"/>
      <c r="C111" s="163"/>
      <c r="D111" s="164"/>
      <c r="E111" s="44"/>
    </row>
    <row r="112" spans="1:5" ht="34.5" customHeight="1" thickBot="1">
      <c r="A112" s="142" t="s">
        <v>11</v>
      </c>
      <c r="B112" s="143"/>
      <c r="C112" s="165" t="s">
        <v>591</v>
      </c>
      <c r="D112" s="143"/>
      <c r="E112" s="43"/>
    </row>
    <row r="113" spans="1:5" ht="34.5" customHeight="1" thickBot="1">
      <c r="A113" s="137" t="s">
        <v>337</v>
      </c>
      <c r="B113" s="138"/>
      <c r="C113" s="138"/>
      <c r="D113" s="139"/>
      <c r="E113" s="43"/>
    </row>
    <row r="114" spans="1:5" ht="34.5" customHeight="1" thickBot="1">
      <c r="A114" s="34" t="s">
        <v>458</v>
      </c>
      <c r="B114" s="32" t="s">
        <v>438</v>
      </c>
      <c r="C114" s="34">
        <v>4</v>
      </c>
      <c r="D114" s="32" t="s">
        <v>0</v>
      </c>
      <c r="E114" s="42"/>
    </row>
    <row r="115" spans="1:5" ht="34.5" customHeight="1" thickBot="1">
      <c r="A115" s="37" t="s">
        <v>673</v>
      </c>
      <c r="B115" s="36" t="s">
        <v>1</v>
      </c>
      <c r="C115" s="34" t="s">
        <v>674</v>
      </c>
      <c r="D115" s="32" t="s">
        <v>2</v>
      </c>
      <c r="E115" s="41"/>
    </row>
    <row r="116" spans="1:5" ht="34.5" customHeight="1" thickBot="1">
      <c r="A116" s="140">
        <v>165</v>
      </c>
      <c r="B116" s="141"/>
      <c r="C116" s="142" t="s">
        <v>3</v>
      </c>
      <c r="D116" s="143"/>
      <c r="E116" s="41"/>
    </row>
    <row r="117" spans="1:5" ht="34.5" customHeight="1" thickBot="1">
      <c r="A117" s="140">
        <v>184</v>
      </c>
      <c r="B117" s="141"/>
      <c r="C117" s="144" t="s">
        <v>4</v>
      </c>
      <c r="D117" s="145"/>
      <c r="E117" s="41"/>
    </row>
    <row r="118" spans="1:5" ht="34.5" customHeight="1" thickBot="1">
      <c r="A118" s="146">
        <f>A117-A116</f>
        <v>19</v>
      </c>
      <c r="B118" s="147"/>
      <c r="C118" s="148"/>
      <c r="D118" s="35" t="s">
        <v>5</v>
      </c>
      <c r="E118" s="41"/>
    </row>
    <row r="119" spans="1:5" ht="34.5" customHeight="1" thickBot="1">
      <c r="A119" s="149">
        <v>23</v>
      </c>
      <c r="B119" s="150"/>
      <c r="C119" s="151"/>
      <c r="D119" s="35" t="s">
        <v>6</v>
      </c>
      <c r="E119" s="41"/>
    </row>
    <row r="120" spans="1:5" ht="34.5" customHeight="1" thickBot="1">
      <c r="A120" s="144">
        <f>A119*A118</f>
        <v>437</v>
      </c>
      <c r="B120" s="152"/>
      <c r="C120" s="145"/>
      <c r="D120" s="35" t="s">
        <v>7</v>
      </c>
      <c r="E120" s="41"/>
    </row>
    <row r="121" spans="1:5" ht="34.5" customHeight="1" thickBot="1">
      <c r="A121" s="144">
        <v>0</v>
      </c>
      <c r="B121" s="152"/>
      <c r="C121" s="145"/>
      <c r="D121" s="35" t="s">
        <v>437</v>
      </c>
      <c r="E121" s="41"/>
    </row>
    <row r="122" spans="1:5" ht="34.5" customHeight="1" thickBot="1">
      <c r="A122" s="34">
        <v>0</v>
      </c>
      <c r="B122" s="32" t="s">
        <v>8</v>
      </c>
      <c r="C122" s="33">
        <v>440</v>
      </c>
      <c r="D122" s="32" t="s">
        <v>9</v>
      </c>
      <c r="E122" s="41"/>
    </row>
    <row r="123" spans="1:5" ht="34.5" customHeight="1" thickBot="1">
      <c r="A123" s="153" t="s">
        <v>436</v>
      </c>
      <c r="B123" s="154"/>
      <c r="C123" s="154"/>
      <c r="D123" s="155"/>
      <c r="E123" s="41"/>
    </row>
    <row r="124" spans="1:5" ht="34.5" customHeight="1" thickBot="1">
      <c r="A124" s="156" t="s">
        <v>435</v>
      </c>
      <c r="B124" s="157"/>
      <c r="C124" s="157"/>
      <c r="D124" s="158"/>
      <c r="E124" s="41"/>
    </row>
    <row r="125" spans="1:5" ht="34.5" customHeight="1">
      <c r="A125" s="159" t="s">
        <v>442</v>
      </c>
      <c r="B125" s="160" t="s">
        <v>441</v>
      </c>
      <c r="C125" s="160"/>
      <c r="D125" s="161"/>
      <c r="E125" s="44"/>
    </row>
    <row r="126" spans="1:5" ht="34.5" customHeight="1" thickBot="1">
      <c r="A126" s="162"/>
      <c r="B126" s="163"/>
      <c r="C126" s="163"/>
      <c r="D126" s="164"/>
      <c r="E126" s="44"/>
    </row>
    <row r="127" spans="1:5" ht="34.5" customHeight="1" thickBot="1">
      <c r="A127" s="142" t="s">
        <v>11</v>
      </c>
      <c r="B127" s="143"/>
      <c r="C127" s="165" t="s">
        <v>591</v>
      </c>
      <c r="D127" s="143"/>
      <c r="E127" s="43"/>
    </row>
    <row r="128" spans="1:5" ht="34.5" customHeight="1" thickBot="1">
      <c r="A128" s="137" t="s">
        <v>114</v>
      </c>
      <c r="B128" s="138"/>
      <c r="C128" s="138"/>
      <c r="D128" s="139"/>
      <c r="E128" s="43"/>
    </row>
    <row r="129" spans="1:5" ht="34.5" customHeight="1" thickBot="1">
      <c r="A129" s="34" t="s">
        <v>458</v>
      </c>
      <c r="B129" s="32" t="s">
        <v>438</v>
      </c>
      <c r="C129" s="34">
        <v>5</v>
      </c>
      <c r="D129" s="32" t="s">
        <v>0</v>
      </c>
      <c r="E129" s="42"/>
    </row>
    <row r="130" spans="1:5" ht="34.5" customHeight="1" thickBot="1">
      <c r="A130" s="37" t="s">
        <v>673</v>
      </c>
      <c r="B130" s="36" t="s">
        <v>1</v>
      </c>
      <c r="C130" s="34" t="s">
        <v>674</v>
      </c>
      <c r="D130" s="32" t="s">
        <v>2</v>
      </c>
      <c r="E130" s="41"/>
    </row>
    <row r="131" spans="1:5" ht="34.5" customHeight="1" thickBot="1">
      <c r="A131" s="140">
        <v>160</v>
      </c>
      <c r="B131" s="141"/>
      <c r="C131" s="142" t="s">
        <v>3</v>
      </c>
      <c r="D131" s="143"/>
      <c r="E131" s="41"/>
    </row>
    <row r="132" spans="1:5" ht="34.5" customHeight="1" thickBot="1">
      <c r="A132" s="140">
        <v>160</v>
      </c>
      <c r="B132" s="141"/>
      <c r="C132" s="144" t="s">
        <v>4</v>
      </c>
      <c r="D132" s="145"/>
      <c r="E132" s="41"/>
    </row>
    <row r="133" spans="1:5" ht="34.5" customHeight="1" thickBot="1">
      <c r="A133" s="146">
        <f>A132-A131</f>
        <v>0</v>
      </c>
      <c r="B133" s="147"/>
      <c r="C133" s="148"/>
      <c r="D133" s="35" t="s">
        <v>5</v>
      </c>
      <c r="E133" s="41"/>
    </row>
    <row r="134" spans="1:5" ht="34.5" customHeight="1" thickBot="1">
      <c r="A134" s="149">
        <v>23</v>
      </c>
      <c r="B134" s="150"/>
      <c r="C134" s="151"/>
      <c r="D134" s="35" t="s">
        <v>6</v>
      </c>
      <c r="E134" s="41"/>
    </row>
    <row r="135" spans="1:5" ht="34.5" customHeight="1" thickBot="1">
      <c r="A135" s="144">
        <f>A134*A133</f>
        <v>0</v>
      </c>
      <c r="B135" s="152"/>
      <c r="C135" s="145"/>
      <c r="D135" s="35" t="s">
        <v>7</v>
      </c>
      <c r="E135" s="41"/>
    </row>
    <row r="136" spans="1:5" ht="34.5" customHeight="1" thickBot="1">
      <c r="A136" s="144">
        <v>0</v>
      </c>
      <c r="B136" s="152"/>
      <c r="C136" s="145"/>
      <c r="D136" s="35" t="s">
        <v>437</v>
      </c>
      <c r="E136" s="41"/>
    </row>
    <row r="137" spans="1:5" ht="34.5" customHeight="1" thickBot="1">
      <c r="A137" s="34">
        <v>0</v>
      </c>
      <c r="B137" s="32" t="s">
        <v>8</v>
      </c>
      <c r="C137" s="33">
        <v>500</v>
      </c>
      <c r="D137" s="32" t="s">
        <v>9</v>
      </c>
      <c r="E137" s="41"/>
    </row>
    <row r="138" spans="1:5" ht="34.5" customHeight="1" thickBot="1">
      <c r="A138" s="153" t="s">
        <v>436</v>
      </c>
      <c r="B138" s="154"/>
      <c r="C138" s="154"/>
      <c r="D138" s="155"/>
      <c r="E138" s="41"/>
    </row>
    <row r="139" spans="1:5" ht="34.5" customHeight="1" thickBot="1">
      <c r="A139" s="156" t="s">
        <v>435</v>
      </c>
      <c r="B139" s="157"/>
      <c r="C139" s="157"/>
      <c r="D139" s="158"/>
      <c r="E139" s="41"/>
    </row>
    <row r="140" spans="1:5" ht="34.5" customHeight="1" thickBot="1">
      <c r="A140" s="40"/>
      <c r="B140" s="39"/>
      <c r="C140" s="39"/>
      <c r="D140" s="38"/>
      <c r="E140" s="41"/>
    </row>
    <row r="141" spans="1:5" ht="34.5" customHeight="1">
      <c r="A141" s="159" t="s">
        <v>442</v>
      </c>
      <c r="B141" s="160" t="s">
        <v>441</v>
      </c>
      <c r="C141" s="160"/>
      <c r="D141" s="161"/>
      <c r="E141" s="44"/>
    </row>
    <row r="142" spans="1:5" ht="34.5" customHeight="1" thickBot="1">
      <c r="A142" s="162"/>
      <c r="B142" s="163"/>
      <c r="C142" s="163"/>
      <c r="D142" s="164"/>
      <c r="E142" s="44"/>
    </row>
    <row r="143" spans="1:5" ht="34.5" customHeight="1" thickBot="1">
      <c r="A143" s="142" t="s">
        <v>11</v>
      </c>
      <c r="B143" s="143"/>
      <c r="C143" s="165" t="s">
        <v>591</v>
      </c>
      <c r="D143" s="143"/>
      <c r="E143" s="43"/>
    </row>
    <row r="144" spans="1:5" ht="34.5" customHeight="1" thickBot="1">
      <c r="A144" s="137" t="s">
        <v>114</v>
      </c>
      <c r="B144" s="138"/>
      <c r="C144" s="138"/>
      <c r="D144" s="139"/>
      <c r="E144" s="43"/>
    </row>
    <row r="145" spans="1:5" ht="34.5" customHeight="1" thickBot="1">
      <c r="A145" s="34" t="s">
        <v>458</v>
      </c>
      <c r="B145" s="32" t="s">
        <v>438</v>
      </c>
      <c r="C145" s="34">
        <v>5</v>
      </c>
      <c r="D145" s="32" t="s">
        <v>0</v>
      </c>
      <c r="E145" s="42"/>
    </row>
    <row r="146" spans="1:5" ht="34.5" customHeight="1" thickBot="1">
      <c r="A146" s="37" t="s">
        <v>673</v>
      </c>
      <c r="B146" s="36" t="s">
        <v>1</v>
      </c>
      <c r="C146" s="34" t="s">
        <v>674</v>
      </c>
      <c r="D146" s="32" t="s">
        <v>2</v>
      </c>
      <c r="E146" s="41"/>
    </row>
    <row r="147" spans="1:5" ht="34.5" customHeight="1" thickBot="1">
      <c r="A147" s="140">
        <v>138</v>
      </c>
      <c r="B147" s="141"/>
      <c r="C147" s="142" t="s">
        <v>3</v>
      </c>
      <c r="D147" s="143"/>
      <c r="E147" s="41"/>
    </row>
    <row r="148" spans="1:5" ht="34.5" customHeight="1" thickBot="1">
      <c r="A148" s="140">
        <v>160</v>
      </c>
      <c r="B148" s="141"/>
      <c r="C148" s="144" t="s">
        <v>4</v>
      </c>
      <c r="D148" s="145"/>
      <c r="E148" s="41"/>
    </row>
    <row r="149" spans="1:5" ht="34.5" customHeight="1" thickBot="1">
      <c r="A149" s="146">
        <f>A148-A147</f>
        <v>22</v>
      </c>
      <c r="B149" s="147"/>
      <c r="C149" s="148"/>
      <c r="D149" s="35" t="s">
        <v>5</v>
      </c>
      <c r="E149" s="41"/>
    </row>
    <row r="150" spans="1:5" ht="34.5" customHeight="1" thickBot="1">
      <c r="A150" s="149">
        <v>23</v>
      </c>
      <c r="B150" s="150"/>
      <c r="C150" s="151"/>
      <c r="D150" s="35" t="s">
        <v>6</v>
      </c>
      <c r="E150" s="41"/>
    </row>
    <row r="151" spans="1:5" ht="34.5" customHeight="1" thickBot="1">
      <c r="A151" s="144">
        <f>A150*A149</f>
        <v>506</v>
      </c>
      <c r="B151" s="152"/>
      <c r="C151" s="145"/>
      <c r="D151" s="35" t="s">
        <v>7</v>
      </c>
      <c r="E151" s="41"/>
    </row>
    <row r="152" spans="1:5" ht="34.5" customHeight="1" thickBot="1">
      <c r="A152" s="144">
        <v>0</v>
      </c>
      <c r="B152" s="152"/>
      <c r="C152" s="145"/>
      <c r="D152" s="35" t="s">
        <v>437</v>
      </c>
      <c r="E152" s="41"/>
    </row>
    <row r="153" spans="1:5" ht="34.5" customHeight="1" thickBot="1">
      <c r="A153" s="34">
        <v>0</v>
      </c>
      <c r="B153" s="32" t="s">
        <v>8</v>
      </c>
      <c r="C153" s="33">
        <v>500</v>
      </c>
      <c r="D153" s="32" t="s">
        <v>9</v>
      </c>
      <c r="E153" s="41"/>
    </row>
    <row r="154" spans="1:5" ht="34.5" customHeight="1" thickBot="1">
      <c r="A154" s="153" t="s">
        <v>436</v>
      </c>
      <c r="B154" s="154"/>
      <c r="C154" s="154"/>
      <c r="D154" s="155"/>
      <c r="E154" s="41"/>
    </row>
    <row r="155" spans="1:5" ht="34.5" customHeight="1" thickBot="1">
      <c r="A155" s="156" t="s">
        <v>435</v>
      </c>
      <c r="B155" s="157"/>
      <c r="C155" s="157"/>
      <c r="D155" s="158"/>
      <c r="E155" s="41"/>
    </row>
    <row r="156" spans="1:5" ht="34.5" customHeight="1">
      <c r="A156" s="159" t="s">
        <v>442</v>
      </c>
      <c r="B156" s="160" t="s">
        <v>441</v>
      </c>
      <c r="C156" s="160"/>
      <c r="D156" s="161"/>
      <c r="E156" s="44"/>
    </row>
    <row r="157" spans="1:5" ht="34.5" customHeight="1" thickBot="1">
      <c r="A157" s="162"/>
      <c r="B157" s="163"/>
      <c r="C157" s="163"/>
      <c r="D157" s="164"/>
      <c r="E157" s="44"/>
    </row>
    <row r="158" spans="1:5" ht="34.5" customHeight="1" thickBot="1">
      <c r="A158" s="142" t="s">
        <v>11</v>
      </c>
      <c r="B158" s="143"/>
      <c r="C158" s="165" t="s">
        <v>591</v>
      </c>
      <c r="D158" s="143"/>
      <c r="E158" s="43"/>
    </row>
    <row r="159" spans="1:5" ht="34.5" customHeight="1" thickBot="1">
      <c r="A159" s="137" t="s">
        <v>309</v>
      </c>
      <c r="B159" s="138"/>
      <c r="C159" s="138"/>
      <c r="D159" s="139"/>
      <c r="E159" s="43"/>
    </row>
    <row r="160" spans="1:5" ht="34.5" customHeight="1" thickBot="1">
      <c r="A160" s="34" t="s">
        <v>458</v>
      </c>
      <c r="B160" s="32" t="s">
        <v>438</v>
      </c>
      <c r="C160" s="34">
        <v>6</v>
      </c>
      <c r="D160" s="32" t="s">
        <v>0</v>
      </c>
      <c r="E160" s="42"/>
    </row>
    <row r="161" spans="1:5" ht="34.5" customHeight="1" thickBot="1">
      <c r="A161" s="37" t="s">
        <v>673</v>
      </c>
      <c r="B161" s="36" t="s">
        <v>1</v>
      </c>
      <c r="C161" s="34" t="s">
        <v>674</v>
      </c>
      <c r="D161" s="32" t="s">
        <v>2</v>
      </c>
      <c r="E161" s="41"/>
    </row>
    <row r="162" spans="1:5" ht="34.5" customHeight="1" thickBot="1">
      <c r="A162" s="140">
        <v>135</v>
      </c>
      <c r="B162" s="141"/>
      <c r="C162" s="142" t="s">
        <v>3</v>
      </c>
      <c r="D162" s="143"/>
      <c r="E162" s="41"/>
    </row>
    <row r="163" spans="1:5" ht="34.5" customHeight="1" thickBot="1">
      <c r="A163" s="140">
        <v>135</v>
      </c>
      <c r="B163" s="141"/>
      <c r="C163" s="144" t="s">
        <v>4</v>
      </c>
      <c r="D163" s="145"/>
      <c r="E163" s="41"/>
    </row>
    <row r="164" spans="1:5" ht="34.5" customHeight="1" thickBot="1">
      <c r="A164" s="146">
        <f>A163-A162</f>
        <v>0</v>
      </c>
      <c r="B164" s="147"/>
      <c r="C164" s="148"/>
      <c r="D164" s="35" t="s">
        <v>5</v>
      </c>
      <c r="E164" s="41"/>
    </row>
    <row r="165" spans="1:5" ht="34.5" customHeight="1" thickBot="1">
      <c r="A165" s="149">
        <v>23</v>
      </c>
      <c r="B165" s="150"/>
      <c r="C165" s="151"/>
      <c r="D165" s="35" t="s">
        <v>6</v>
      </c>
      <c r="E165" s="41"/>
    </row>
    <row r="166" spans="1:5" ht="34.5" customHeight="1" thickBot="1">
      <c r="A166" s="144">
        <f>A165*A164</f>
        <v>0</v>
      </c>
      <c r="B166" s="152"/>
      <c r="C166" s="145"/>
      <c r="D166" s="35" t="s">
        <v>7</v>
      </c>
      <c r="E166" s="41"/>
    </row>
    <row r="167" spans="1:5" ht="34.5" customHeight="1" thickBot="1">
      <c r="A167" s="144">
        <v>0</v>
      </c>
      <c r="B167" s="152"/>
      <c r="C167" s="145"/>
      <c r="D167" s="35" t="s">
        <v>437</v>
      </c>
      <c r="E167" s="41"/>
    </row>
    <row r="168" spans="1:5" ht="34.5" customHeight="1" thickBot="1">
      <c r="A168" s="34">
        <v>0</v>
      </c>
      <c r="B168" s="32" t="s">
        <v>8</v>
      </c>
      <c r="C168" s="33">
        <v>580</v>
      </c>
      <c r="D168" s="32" t="s">
        <v>9</v>
      </c>
      <c r="E168" s="41"/>
    </row>
    <row r="169" spans="1:5" ht="34.5" customHeight="1" thickBot="1">
      <c r="A169" s="153" t="s">
        <v>436</v>
      </c>
      <c r="B169" s="154"/>
      <c r="C169" s="154"/>
      <c r="D169" s="155"/>
      <c r="E169" s="41"/>
    </row>
    <row r="170" spans="1:5" ht="34.5" customHeight="1" thickBot="1">
      <c r="A170" s="156" t="s">
        <v>435</v>
      </c>
      <c r="B170" s="157"/>
      <c r="C170" s="157"/>
      <c r="D170" s="158"/>
      <c r="E170" s="41"/>
    </row>
    <row r="171" spans="1:5" ht="34.5" customHeight="1" thickBot="1">
      <c r="A171" s="40"/>
      <c r="B171" s="39"/>
      <c r="C171" s="39"/>
      <c r="D171" s="38"/>
      <c r="E171" s="41"/>
    </row>
    <row r="172" spans="1:5" ht="34.5" customHeight="1">
      <c r="A172" s="159" t="s">
        <v>442</v>
      </c>
      <c r="B172" s="160" t="s">
        <v>441</v>
      </c>
      <c r="C172" s="160"/>
      <c r="D172" s="161"/>
      <c r="E172" s="44"/>
    </row>
    <row r="173" spans="1:5" ht="34.5" customHeight="1" thickBot="1">
      <c r="A173" s="162"/>
      <c r="B173" s="163"/>
      <c r="C173" s="163"/>
      <c r="D173" s="164"/>
      <c r="E173" s="44"/>
    </row>
    <row r="174" spans="1:5" ht="34.5" customHeight="1" thickBot="1">
      <c r="A174" s="142" t="s">
        <v>11</v>
      </c>
      <c r="B174" s="143"/>
      <c r="C174" s="165" t="s">
        <v>591</v>
      </c>
      <c r="D174" s="143"/>
      <c r="E174" s="43"/>
    </row>
    <row r="175" spans="1:5" ht="34.5" customHeight="1" thickBot="1">
      <c r="A175" s="137" t="s">
        <v>309</v>
      </c>
      <c r="B175" s="138"/>
      <c r="C175" s="138"/>
      <c r="D175" s="139"/>
      <c r="E175" s="43"/>
    </row>
    <row r="176" spans="1:5" ht="34.5" customHeight="1" thickBot="1">
      <c r="A176" s="34" t="s">
        <v>458</v>
      </c>
      <c r="B176" s="32" t="s">
        <v>438</v>
      </c>
      <c r="C176" s="34">
        <v>6</v>
      </c>
      <c r="D176" s="32" t="s">
        <v>0</v>
      </c>
      <c r="E176" s="42"/>
    </row>
    <row r="177" spans="1:5" ht="34.5" customHeight="1" thickBot="1">
      <c r="A177" s="37" t="s">
        <v>673</v>
      </c>
      <c r="B177" s="36" t="s">
        <v>1</v>
      </c>
      <c r="C177" s="34" t="s">
        <v>674</v>
      </c>
      <c r="D177" s="32" t="s">
        <v>2</v>
      </c>
      <c r="E177" s="41"/>
    </row>
    <row r="178" spans="1:5" ht="34.5" customHeight="1" thickBot="1">
      <c r="A178" s="140">
        <v>110</v>
      </c>
      <c r="B178" s="141"/>
      <c r="C178" s="142" t="s">
        <v>3</v>
      </c>
      <c r="D178" s="143"/>
      <c r="E178" s="41"/>
    </row>
    <row r="179" spans="1:5" ht="34.5" customHeight="1" thickBot="1">
      <c r="A179" s="140">
        <v>135</v>
      </c>
      <c r="B179" s="141"/>
      <c r="C179" s="144" t="s">
        <v>4</v>
      </c>
      <c r="D179" s="145"/>
      <c r="E179" s="41"/>
    </row>
    <row r="180" spans="1:5" ht="34.5" customHeight="1" thickBot="1">
      <c r="A180" s="146">
        <f>A179-A178</f>
        <v>25</v>
      </c>
      <c r="B180" s="147"/>
      <c r="C180" s="148"/>
      <c r="D180" s="35" t="s">
        <v>5</v>
      </c>
      <c r="E180" s="41"/>
    </row>
    <row r="181" spans="1:5" ht="34.5" customHeight="1" thickBot="1">
      <c r="A181" s="149">
        <v>23</v>
      </c>
      <c r="B181" s="150"/>
      <c r="C181" s="151"/>
      <c r="D181" s="35" t="s">
        <v>6</v>
      </c>
      <c r="E181" s="41"/>
    </row>
    <row r="182" spans="1:5" ht="34.5" customHeight="1" thickBot="1">
      <c r="A182" s="144">
        <f>A181*A180</f>
        <v>575</v>
      </c>
      <c r="B182" s="152"/>
      <c r="C182" s="145"/>
      <c r="D182" s="35" t="s">
        <v>7</v>
      </c>
      <c r="E182" s="41"/>
    </row>
    <row r="183" spans="1:5" ht="34.5" customHeight="1" thickBot="1">
      <c r="A183" s="144">
        <v>0</v>
      </c>
      <c r="B183" s="152"/>
      <c r="C183" s="145"/>
      <c r="D183" s="35" t="s">
        <v>437</v>
      </c>
      <c r="E183" s="41"/>
    </row>
    <row r="184" spans="1:5" ht="34.5" customHeight="1" thickBot="1">
      <c r="A184" s="34">
        <v>0</v>
      </c>
      <c r="B184" s="32" t="s">
        <v>8</v>
      </c>
      <c r="C184" s="33">
        <v>580</v>
      </c>
      <c r="D184" s="32" t="s">
        <v>9</v>
      </c>
      <c r="E184" s="41"/>
    </row>
    <row r="185" spans="1:5" ht="34.5" customHeight="1" thickBot="1">
      <c r="A185" s="153" t="s">
        <v>436</v>
      </c>
      <c r="B185" s="154"/>
      <c r="C185" s="154"/>
      <c r="D185" s="155"/>
      <c r="E185" s="41"/>
    </row>
    <row r="186" spans="1:5" ht="34.5" customHeight="1" thickBot="1">
      <c r="A186" s="156" t="s">
        <v>435</v>
      </c>
      <c r="B186" s="157"/>
      <c r="C186" s="157"/>
      <c r="D186" s="158"/>
      <c r="E186" s="41"/>
    </row>
    <row r="187" spans="1:5" ht="34.5" customHeight="1">
      <c r="A187" s="159" t="s">
        <v>442</v>
      </c>
      <c r="B187" s="160" t="s">
        <v>441</v>
      </c>
      <c r="C187" s="160"/>
      <c r="D187" s="161"/>
      <c r="E187" s="44"/>
    </row>
    <row r="188" spans="1:5" ht="34.5" customHeight="1" thickBot="1">
      <c r="A188" s="162"/>
      <c r="B188" s="163"/>
      <c r="C188" s="163"/>
      <c r="D188" s="164"/>
      <c r="E188" s="44"/>
    </row>
    <row r="189" spans="1:5" ht="34.5" customHeight="1" thickBot="1">
      <c r="A189" s="142" t="s">
        <v>11</v>
      </c>
      <c r="B189" s="143"/>
      <c r="C189" s="165" t="s">
        <v>591</v>
      </c>
      <c r="D189" s="143"/>
      <c r="E189" s="43"/>
    </row>
    <row r="190" spans="1:5" ht="34.5" customHeight="1" thickBot="1">
      <c r="A190" s="137" t="s">
        <v>218</v>
      </c>
      <c r="B190" s="138"/>
      <c r="C190" s="138"/>
      <c r="D190" s="139"/>
      <c r="E190" s="43"/>
    </row>
    <row r="191" spans="1:5" ht="34.5" customHeight="1" thickBot="1">
      <c r="A191" s="34" t="s">
        <v>458</v>
      </c>
      <c r="B191" s="32" t="s">
        <v>438</v>
      </c>
      <c r="C191" s="34">
        <v>7</v>
      </c>
      <c r="D191" s="32" t="s">
        <v>0</v>
      </c>
      <c r="E191" s="42"/>
    </row>
    <row r="192" spans="1:5" ht="34.5" customHeight="1" thickBot="1">
      <c r="A192" s="37" t="s">
        <v>673</v>
      </c>
      <c r="B192" s="36" t="s">
        <v>1</v>
      </c>
      <c r="C192" s="34" t="s">
        <v>674</v>
      </c>
      <c r="D192" s="32" t="s">
        <v>2</v>
      </c>
      <c r="E192" s="41"/>
    </row>
    <row r="193" spans="1:5" ht="34.5" customHeight="1" thickBot="1">
      <c r="A193" s="140">
        <v>205</v>
      </c>
      <c r="B193" s="141"/>
      <c r="C193" s="142" t="s">
        <v>3</v>
      </c>
      <c r="D193" s="143"/>
      <c r="E193" s="41"/>
    </row>
    <row r="194" spans="1:5" ht="34.5" customHeight="1" thickBot="1">
      <c r="A194" s="140">
        <v>205</v>
      </c>
      <c r="B194" s="141"/>
      <c r="C194" s="144" t="s">
        <v>4</v>
      </c>
      <c r="D194" s="145"/>
      <c r="E194" s="41"/>
    </row>
    <row r="195" spans="1:5" ht="34.5" customHeight="1" thickBot="1">
      <c r="A195" s="146">
        <f>A194-A193</f>
        <v>0</v>
      </c>
      <c r="B195" s="147"/>
      <c r="C195" s="148"/>
      <c r="D195" s="35" t="s">
        <v>5</v>
      </c>
      <c r="E195" s="41"/>
    </row>
    <row r="196" spans="1:5" ht="34.5" customHeight="1" thickBot="1">
      <c r="A196" s="149">
        <v>23</v>
      </c>
      <c r="B196" s="150"/>
      <c r="C196" s="151"/>
      <c r="D196" s="35" t="s">
        <v>6</v>
      </c>
      <c r="E196" s="41"/>
    </row>
    <row r="197" spans="1:5" ht="34.5" customHeight="1" thickBot="1">
      <c r="A197" s="144">
        <f>A196*A195</f>
        <v>0</v>
      </c>
      <c r="B197" s="152"/>
      <c r="C197" s="145"/>
      <c r="D197" s="35" t="s">
        <v>7</v>
      </c>
      <c r="E197" s="41"/>
    </row>
    <row r="198" spans="1:5" ht="34.5" customHeight="1" thickBot="1">
      <c r="A198" s="144">
        <v>0</v>
      </c>
      <c r="B198" s="152"/>
      <c r="C198" s="145"/>
      <c r="D198" s="35" t="s">
        <v>437</v>
      </c>
      <c r="E198" s="41"/>
    </row>
    <row r="199" spans="1:5" ht="34.5" customHeight="1" thickBot="1">
      <c r="A199" s="34">
        <v>0</v>
      </c>
      <c r="B199" s="32" t="s">
        <v>8</v>
      </c>
      <c r="C199" s="33">
        <v>870</v>
      </c>
      <c r="D199" s="32" t="s">
        <v>9</v>
      </c>
      <c r="E199" s="41"/>
    </row>
    <row r="200" spans="1:5" ht="34.5" customHeight="1" thickBot="1">
      <c r="A200" s="153" t="s">
        <v>436</v>
      </c>
      <c r="B200" s="154"/>
      <c r="C200" s="154"/>
      <c r="D200" s="155"/>
      <c r="E200" s="41"/>
    </row>
    <row r="201" spans="1:5" ht="34.5" customHeight="1" thickBot="1">
      <c r="A201" s="156" t="s">
        <v>435</v>
      </c>
      <c r="B201" s="157"/>
      <c r="C201" s="157"/>
      <c r="D201" s="158"/>
      <c r="E201" s="41"/>
    </row>
    <row r="202" spans="1:5" ht="34.5" customHeight="1" thickBot="1">
      <c r="A202" s="40"/>
      <c r="B202" s="39"/>
      <c r="C202" s="39"/>
      <c r="D202" s="38"/>
      <c r="E202" s="41"/>
    </row>
    <row r="203" spans="1:5" ht="34.5" customHeight="1">
      <c r="A203" s="159" t="s">
        <v>442</v>
      </c>
      <c r="B203" s="160" t="s">
        <v>441</v>
      </c>
      <c r="C203" s="160"/>
      <c r="D203" s="161"/>
      <c r="E203" s="44"/>
    </row>
    <row r="204" spans="1:5" ht="34.5" customHeight="1" thickBot="1">
      <c r="A204" s="162"/>
      <c r="B204" s="163"/>
      <c r="C204" s="163"/>
      <c r="D204" s="164"/>
      <c r="E204" s="44"/>
    </row>
    <row r="205" spans="1:5" ht="34.5" customHeight="1" thickBot="1">
      <c r="A205" s="142" t="s">
        <v>11</v>
      </c>
      <c r="B205" s="143"/>
      <c r="C205" s="165" t="s">
        <v>591</v>
      </c>
      <c r="D205" s="143"/>
      <c r="E205" s="43"/>
    </row>
    <row r="206" spans="1:5" ht="34.5" customHeight="1" thickBot="1">
      <c r="A206" s="137" t="s">
        <v>218</v>
      </c>
      <c r="B206" s="138"/>
      <c r="C206" s="138"/>
      <c r="D206" s="139"/>
      <c r="E206" s="43"/>
    </row>
    <row r="207" spans="1:5" ht="34.5" customHeight="1" thickBot="1">
      <c r="A207" s="34" t="s">
        <v>458</v>
      </c>
      <c r="B207" s="32" t="s">
        <v>438</v>
      </c>
      <c r="C207" s="34">
        <v>7</v>
      </c>
      <c r="D207" s="32" t="s">
        <v>0</v>
      </c>
      <c r="E207" s="42"/>
    </row>
    <row r="208" spans="1:5" ht="34.5" customHeight="1" thickBot="1">
      <c r="A208" s="37" t="s">
        <v>673</v>
      </c>
      <c r="B208" s="36" t="s">
        <v>1</v>
      </c>
      <c r="C208" s="34" t="s">
        <v>674</v>
      </c>
      <c r="D208" s="32" t="s">
        <v>2</v>
      </c>
      <c r="E208" s="41"/>
    </row>
    <row r="209" spans="1:5" ht="34.5" customHeight="1" thickBot="1">
      <c r="A209" s="140">
        <v>167</v>
      </c>
      <c r="B209" s="141"/>
      <c r="C209" s="142" t="s">
        <v>3</v>
      </c>
      <c r="D209" s="143"/>
      <c r="E209" s="41"/>
    </row>
    <row r="210" spans="1:5" ht="34.5" customHeight="1" thickBot="1">
      <c r="A210" s="140">
        <v>205</v>
      </c>
      <c r="B210" s="141"/>
      <c r="C210" s="144" t="s">
        <v>4</v>
      </c>
      <c r="D210" s="145"/>
      <c r="E210" s="41"/>
    </row>
    <row r="211" spans="1:5" ht="34.5" customHeight="1" thickBot="1">
      <c r="A211" s="146">
        <f>A210-A209</f>
        <v>38</v>
      </c>
      <c r="B211" s="147"/>
      <c r="C211" s="148"/>
      <c r="D211" s="35" t="s">
        <v>5</v>
      </c>
      <c r="E211" s="41"/>
    </row>
    <row r="212" spans="1:5" ht="34.5" customHeight="1" thickBot="1">
      <c r="A212" s="149">
        <v>23</v>
      </c>
      <c r="B212" s="150"/>
      <c r="C212" s="151"/>
      <c r="D212" s="35" t="s">
        <v>6</v>
      </c>
      <c r="E212" s="41"/>
    </row>
    <row r="213" spans="1:5" ht="34.5" customHeight="1" thickBot="1">
      <c r="A213" s="144">
        <f>A212*A211</f>
        <v>874</v>
      </c>
      <c r="B213" s="152"/>
      <c r="C213" s="145"/>
      <c r="D213" s="35" t="s">
        <v>7</v>
      </c>
      <c r="E213" s="41"/>
    </row>
    <row r="214" spans="1:5" ht="34.5" customHeight="1" thickBot="1">
      <c r="A214" s="144">
        <v>0</v>
      </c>
      <c r="B214" s="152"/>
      <c r="C214" s="145"/>
      <c r="D214" s="35" t="s">
        <v>437</v>
      </c>
      <c r="E214" s="41"/>
    </row>
    <row r="215" spans="1:5" ht="34.5" customHeight="1" thickBot="1">
      <c r="A215" s="34">
        <v>0</v>
      </c>
      <c r="B215" s="32" t="s">
        <v>8</v>
      </c>
      <c r="C215" s="33">
        <v>870</v>
      </c>
      <c r="D215" s="32" t="s">
        <v>9</v>
      </c>
      <c r="E215" s="41"/>
    </row>
    <row r="216" spans="1:5" ht="34.5" customHeight="1" thickBot="1">
      <c r="A216" s="153" t="s">
        <v>436</v>
      </c>
      <c r="B216" s="154"/>
      <c r="C216" s="154"/>
      <c r="D216" s="155"/>
      <c r="E216" s="41"/>
    </row>
    <row r="217" spans="1:5" ht="34.5" customHeight="1" thickBot="1">
      <c r="A217" s="156" t="s">
        <v>435</v>
      </c>
      <c r="B217" s="157"/>
      <c r="C217" s="157"/>
      <c r="D217" s="158"/>
      <c r="E217" s="41"/>
    </row>
    <row r="218" spans="1:5" ht="34.5" customHeight="1">
      <c r="A218" s="159" t="s">
        <v>442</v>
      </c>
      <c r="B218" s="160" t="s">
        <v>441</v>
      </c>
      <c r="C218" s="160"/>
      <c r="D218" s="161"/>
      <c r="E218" s="44"/>
    </row>
    <row r="219" spans="1:5" ht="34.5" customHeight="1" thickBot="1">
      <c r="A219" s="162"/>
      <c r="B219" s="163"/>
      <c r="C219" s="163"/>
      <c r="D219" s="164"/>
      <c r="E219" s="44"/>
    </row>
    <row r="220" spans="1:5" ht="34.5" customHeight="1" thickBot="1">
      <c r="A220" s="142" t="s">
        <v>11</v>
      </c>
      <c r="B220" s="143"/>
      <c r="C220" s="165" t="s">
        <v>591</v>
      </c>
      <c r="D220" s="143"/>
      <c r="E220" s="43"/>
    </row>
    <row r="221" spans="1:5" ht="34.5" customHeight="1" thickBot="1">
      <c r="A221" s="137" t="s">
        <v>484</v>
      </c>
      <c r="B221" s="138"/>
      <c r="C221" s="138"/>
      <c r="D221" s="139"/>
      <c r="E221" s="43"/>
    </row>
    <row r="222" spans="1:5" ht="34.5" customHeight="1" thickBot="1">
      <c r="A222" s="34" t="s">
        <v>458</v>
      </c>
      <c r="B222" s="32" t="s">
        <v>438</v>
      </c>
      <c r="C222" s="34">
        <v>8</v>
      </c>
      <c r="D222" s="32" t="s">
        <v>0</v>
      </c>
      <c r="E222" s="42"/>
    </row>
    <row r="223" spans="1:5" ht="34.5" customHeight="1" thickBot="1">
      <c r="A223" s="37" t="s">
        <v>673</v>
      </c>
      <c r="B223" s="36" t="s">
        <v>1</v>
      </c>
      <c r="C223" s="34" t="s">
        <v>674</v>
      </c>
      <c r="D223" s="32" t="s">
        <v>2</v>
      </c>
      <c r="E223" s="41"/>
    </row>
    <row r="224" spans="1:5" ht="34.5" customHeight="1" thickBot="1">
      <c r="A224" s="140">
        <v>164</v>
      </c>
      <c r="B224" s="141"/>
      <c r="C224" s="142" t="s">
        <v>3</v>
      </c>
      <c r="D224" s="143"/>
      <c r="E224" s="41"/>
    </row>
    <row r="225" spans="1:5" ht="34.5" customHeight="1" thickBot="1">
      <c r="A225" s="140">
        <v>164</v>
      </c>
      <c r="B225" s="141"/>
      <c r="C225" s="144" t="s">
        <v>4</v>
      </c>
      <c r="D225" s="145"/>
      <c r="E225" s="41"/>
    </row>
    <row r="226" spans="1:5" ht="34.5" customHeight="1" thickBot="1">
      <c r="A226" s="146">
        <f>A225-A224</f>
        <v>0</v>
      </c>
      <c r="B226" s="147"/>
      <c r="C226" s="148"/>
      <c r="D226" s="35" t="s">
        <v>5</v>
      </c>
      <c r="E226" s="41"/>
    </row>
    <row r="227" spans="1:5" ht="34.5" customHeight="1" thickBot="1">
      <c r="A227" s="149">
        <v>23</v>
      </c>
      <c r="B227" s="150"/>
      <c r="C227" s="151"/>
      <c r="D227" s="35" t="s">
        <v>6</v>
      </c>
      <c r="E227" s="41"/>
    </row>
    <row r="228" spans="1:5" ht="34.5" customHeight="1" thickBot="1">
      <c r="A228" s="144">
        <f>A227*A226</f>
        <v>0</v>
      </c>
      <c r="B228" s="152"/>
      <c r="C228" s="145"/>
      <c r="D228" s="35" t="s">
        <v>7</v>
      </c>
      <c r="E228" s="41"/>
    </row>
    <row r="229" spans="1:5" ht="34.5" customHeight="1" thickBot="1">
      <c r="A229" s="144">
        <v>0</v>
      </c>
      <c r="B229" s="152"/>
      <c r="C229" s="145"/>
      <c r="D229" s="35" t="s">
        <v>437</v>
      </c>
      <c r="E229" s="41"/>
    </row>
    <row r="230" spans="1:5" ht="34.5" customHeight="1" thickBot="1">
      <c r="A230" s="34">
        <v>0</v>
      </c>
      <c r="B230" s="32" t="s">
        <v>8</v>
      </c>
      <c r="C230" s="33">
        <v>410</v>
      </c>
      <c r="D230" s="32" t="s">
        <v>9</v>
      </c>
      <c r="E230" s="41"/>
    </row>
    <row r="231" spans="1:5" ht="34.5" customHeight="1" thickBot="1">
      <c r="A231" s="153" t="s">
        <v>436</v>
      </c>
      <c r="B231" s="154"/>
      <c r="C231" s="154"/>
      <c r="D231" s="155"/>
      <c r="E231" s="41"/>
    </row>
    <row r="232" spans="1:5" ht="34.5" customHeight="1" thickBot="1">
      <c r="A232" s="156" t="s">
        <v>435</v>
      </c>
      <c r="B232" s="157"/>
      <c r="C232" s="157"/>
      <c r="D232" s="158"/>
      <c r="E232" s="41"/>
    </row>
    <row r="233" spans="1:5" ht="34.5" customHeight="1" thickBot="1">
      <c r="A233" s="40"/>
      <c r="B233" s="39"/>
      <c r="C233" s="39"/>
      <c r="D233" s="38"/>
      <c r="E233" s="41"/>
    </row>
    <row r="234" spans="1:5" ht="34.5" customHeight="1">
      <c r="A234" s="159" t="s">
        <v>442</v>
      </c>
      <c r="B234" s="160" t="s">
        <v>441</v>
      </c>
      <c r="C234" s="160"/>
      <c r="D234" s="161"/>
      <c r="E234" s="44"/>
    </row>
    <row r="235" spans="1:5" ht="34.5" customHeight="1" thickBot="1">
      <c r="A235" s="162"/>
      <c r="B235" s="163"/>
      <c r="C235" s="163"/>
      <c r="D235" s="164"/>
      <c r="E235" s="44"/>
    </row>
    <row r="236" spans="1:5" ht="34.5" customHeight="1" thickBot="1">
      <c r="A236" s="142" t="s">
        <v>11</v>
      </c>
      <c r="B236" s="143"/>
      <c r="C236" s="165" t="s">
        <v>591</v>
      </c>
      <c r="D236" s="143"/>
      <c r="E236" s="43"/>
    </row>
    <row r="237" spans="1:5" ht="34.5" customHeight="1" thickBot="1">
      <c r="A237" s="137" t="s">
        <v>484</v>
      </c>
      <c r="B237" s="138"/>
      <c r="C237" s="138"/>
      <c r="D237" s="139"/>
      <c r="E237" s="43"/>
    </row>
    <row r="238" spans="1:5" ht="34.5" customHeight="1" thickBot="1">
      <c r="A238" s="34" t="s">
        <v>458</v>
      </c>
      <c r="B238" s="32" t="s">
        <v>438</v>
      </c>
      <c r="C238" s="34">
        <v>8</v>
      </c>
      <c r="D238" s="32" t="s">
        <v>0</v>
      </c>
      <c r="E238" s="42"/>
    </row>
    <row r="239" spans="1:5" ht="34.5" customHeight="1" thickBot="1">
      <c r="A239" s="37" t="s">
        <v>673</v>
      </c>
      <c r="B239" s="36" t="s">
        <v>1</v>
      </c>
      <c r="C239" s="34" t="s">
        <v>674</v>
      </c>
      <c r="D239" s="32" t="s">
        <v>2</v>
      </c>
      <c r="E239" s="41"/>
    </row>
    <row r="240" spans="1:5" ht="34.5" customHeight="1" thickBot="1">
      <c r="A240" s="140">
        <v>146</v>
      </c>
      <c r="B240" s="141"/>
      <c r="C240" s="142" t="s">
        <v>3</v>
      </c>
      <c r="D240" s="143"/>
      <c r="E240" s="41"/>
    </row>
    <row r="241" spans="1:5" ht="34.5" customHeight="1" thickBot="1">
      <c r="A241" s="140">
        <v>164</v>
      </c>
      <c r="B241" s="141"/>
      <c r="C241" s="144" t="s">
        <v>4</v>
      </c>
      <c r="D241" s="145"/>
      <c r="E241" s="41"/>
    </row>
    <row r="242" spans="1:5" ht="34.5" customHeight="1" thickBot="1">
      <c r="A242" s="146">
        <f>A241-A240</f>
        <v>18</v>
      </c>
      <c r="B242" s="147"/>
      <c r="C242" s="148"/>
      <c r="D242" s="35" t="s">
        <v>5</v>
      </c>
      <c r="E242" s="41"/>
    </row>
    <row r="243" spans="1:5" ht="34.5" customHeight="1" thickBot="1">
      <c r="A243" s="149">
        <v>23</v>
      </c>
      <c r="B243" s="150"/>
      <c r="C243" s="151"/>
      <c r="D243" s="35" t="s">
        <v>6</v>
      </c>
      <c r="E243" s="41"/>
    </row>
    <row r="244" spans="1:5" ht="34.5" customHeight="1" thickBot="1">
      <c r="A244" s="144">
        <f>A243*A242</f>
        <v>414</v>
      </c>
      <c r="B244" s="152"/>
      <c r="C244" s="145"/>
      <c r="D244" s="35" t="s">
        <v>7</v>
      </c>
      <c r="E244" s="41"/>
    </row>
    <row r="245" spans="1:5" ht="34.5" customHeight="1" thickBot="1">
      <c r="A245" s="144">
        <v>0</v>
      </c>
      <c r="B245" s="152"/>
      <c r="C245" s="145"/>
      <c r="D245" s="35" t="s">
        <v>437</v>
      </c>
      <c r="E245" s="41"/>
    </row>
    <row r="246" spans="1:5" ht="34.5" customHeight="1" thickBot="1">
      <c r="A246" s="34">
        <v>0</v>
      </c>
      <c r="B246" s="32" t="s">
        <v>8</v>
      </c>
      <c r="C246" s="33">
        <v>410</v>
      </c>
      <c r="D246" s="32" t="s">
        <v>9</v>
      </c>
      <c r="E246" s="41"/>
    </row>
    <row r="247" spans="1:5" ht="34.5" customHeight="1" thickBot="1">
      <c r="A247" s="153" t="s">
        <v>436</v>
      </c>
      <c r="B247" s="154"/>
      <c r="C247" s="154"/>
      <c r="D247" s="155"/>
      <c r="E247" s="41"/>
    </row>
    <row r="248" spans="1:5" ht="34.5" customHeight="1" thickBot="1">
      <c r="A248" s="156" t="s">
        <v>435</v>
      </c>
      <c r="B248" s="157"/>
      <c r="C248" s="157"/>
      <c r="D248" s="158"/>
      <c r="E248" s="41"/>
    </row>
    <row r="249" spans="1:5" ht="34.5" customHeight="1">
      <c r="A249" s="159" t="s">
        <v>442</v>
      </c>
      <c r="B249" s="160" t="s">
        <v>441</v>
      </c>
      <c r="C249" s="160"/>
      <c r="D249" s="161"/>
      <c r="E249" s="44"/>
    </row>
    <row r="250" spans="1:5" ht="34.5" customHeight="1" thickBot="1">
      <c r="A250" s="162"/>
      <c r="B250" s="163"/>
      <c r="C250" s="163"/>
      <c r="D250" s="164"/>
      <c r="E250" s="44"/>
    </row>
    <row r="251" spans="1:5" ht="34.5" customHeight="1" thickBot="1">
      <c r="A251" s="142" t="s">
        <v>11</v>
      </c>
      <c r="B251" s="143"/>
      <c r="C251" s="165" t="s">
        <v>591</v>
      </c>
      <c r="D251" s="143"/>
      <c r="E251" s="43"/>
    </row>
    <row r="252" spans="1:5" ht="34.5" customHeight="1" thickBot="1">
      <c r="A252" s="137" t="s">
        <v>483</v>
      </c>
      <c r="B252" s="138"/>
      <c r="C252" s="138"/>
      <c r="D252" s="139"/>
      <c r="E252" s="43"/>
    </row>
    <row r="253" spans="1:5" ht="34.5" customHeight="1" thickBot="1">
      <c r="A253" s="34" t="s">
        <v>458</v>
      </c>
      <c r="B253" s="32" t="s">
        <v>438</v>
      </c>
      <c r="C253" s="34">
        <v>9</v>
      </c>
      <c r="D253" s="32" t="s">
        <v>0</v>
      </c>
      <c r="E253" s="42"/>
    </row>
    <row r="254" spans="1:5" ht="34.5" customHeight="1" thickBot="1">
      <c r="A254" s="37" t="s">
        <v>673</v>
      </c>
      <c r="B254" s="36" t="s">
        <v>1</v>
      </c>
      <c r="C254" s="34" t="s">
        <v>674</v>
      </c>
      <c r="D254" s="32" t="s">
        <v>2</v>
      </c>
      <c r="E254" s="41"/>
    </row>
    <row r="255" spans="1:5" ht="34.5" customHeight="1" thickBot="1">
      <c r="A255" s="140">
        <v>210</v>
      </c>
      <c r="B255" s="141"/>
      <c r="C255" s="142" t="s">
        <v>3</v>
      </c>
      <c r="D255" s="143"/>
      <c r="E255" s="41"/>
    </row>
    <row r="256" spans="1:5" ht="34.5" customHeight="1" thickBot="1">
      <c r="A256" s="140">
        <v>210</v>
      </c>
      <c r="B256" s="141"/>
      <c r="C256" s="144" t="s">
        <v>4</v>
      </c>
      <c r="D256" s="145"/>
      <c r="E256" s="41"/>
    </row>
    <row r="257" spans="1:5" ht="34.5" customHeight="1" thickBot="1">
      <c r="A257" s="146">
        <f>A256-A255</f>
        <v>0</v>
      </c>
      <c r="B257" s="147"/>
      <c r="C257" s="148"/>
      <c r="D257" s="35" t="s">
        <v>5</v>
      </c>
      <c r="E257" s="41"/>
    </row>
    <row r="258" spans="1:5" ht="34.5" customHeight="1" thickBot="1">
      <c r="A258" s="149">
        <v>23</v>
      </c>
      <c r="B258" s="150"/>
      <c r="C258" s="151"/>
      <c r="D258" s="35" t="s">
        <v>6</v>
      </c>
      <c r="E258" s="41"/>
    </row>
    <row r="259" spans="1:5" ht="34.5" customHeight="1" thickBot="1">
      <c r="A259" s="144">
        <f>A258*A257</f>
        <v>0</v>
      </c>
      <c r="B259" s="152"/>
      <c r="C259" s="145"/>
      <c r="D259" s="35" t="s">
        <v>7</v>
      </c>
      <c r="E259" s="41"/>
    </row>
    <row r="260" spans="1:5" ht="34.5" customHeight="1" thickBot="1">
      <c r="A260" s="144">
        <v>0</v>
      </c>
      <c r="B260" s="152"/>
      <c r="C260" s="145"/>
      <c r="D260" s="35" t="s">
        <v>437</v>
      </c>
      <c r="E260" s="41"/>
    </row>
    <row r="261" spans="1:5" ht="34.5" customHeight="1" thickBot="1">
      <c r="A261" s="34">
        <v>0</v>
      </c>
      <c r="B261" s="32" t="s">
        <v>8</v>
      </c>
      <c r="C261" s="33">
        <v>800</v>
      </c>
      <c r="D261" s="32" t="s">
        <v>9</v>
      </c>
      <c r="E261" s="41"/>
    </row>
    <row r="262" spans="1:5" ht="34.5" customHeight="1" thickBot="1">
      <c r="A262" s="153" t="s">
        <v>436</v>
      </c>
      <c r="B262" s="154"/>
      <c r="C262" s="154"/>
      <c r="D262" s="155"/>
      <c r="E262" s="41"/>
    </row>
    <row r="263" spans="1:5" ht="34.5" customHeight="1" thickBot="1">
      <c r="A263" s="156" t="s">
        <v>435</v>
      </c>
      <c r="B263" s="157"/>
      <c r="C263" s="157"/>
      <c r="D263" s="158"/>
      <c r="E263" s="41"/>
    </row>
    <row r="264" spans="1:5" ht="34.5" customHeight="1" thickBot="1">
      <c r="A264" s="40"/>
      <c r="B264" s="39"/>
      <c r="C264" s="39"/>
      <c r="D264" s="38"/>
      <c r="E264" s="41"/>
    </row>
    <row r="265" spans="1:5" ht="34.5" customHeight="1">
      <c r="A265" s="159" t="s">
        <v>442</v>
      </c>
      <c r="B265" s="160" t="s">
        <v>441</v>
      </c>
      <c r="C265" s="160"/>
      <c r="D265" s="161"/>
      <c r="E265" s="44"/>
    </row>
    <row r="266" spans="1:5" ht="34.5" customHeight="1" thickBot="1">
      <c r="A266" s="162"/>
      <c r="B266" s="163"/>
      <c r="C266" s="163"/>
      <c r="D266" s="164"/>
      <c r="E266" s="44"/>
    </row>
    <row r="267" spans="1:5" ht="34.5" customHeight="1" thickBot="1">
      <c r="A267" s="142" t="s">
        <v>11</v>
      </c>
      <c r="B267" s="143"/>
      <c r="C267" s="165" t="s">
        <v>591</v>
      </c>
      <c r="D267" s="143"/>
      <c r="E267" s="43"/>
    </row>
    <row r="268" spans="1:5" ht="34.5" customHeight="1" thickBot="1">
      <c r="A268" s="137" t="s">
        <v>483</v>
      </c>
      <c r="B268" s="138"/>
      <c r="C268" s="138"/>
      <c r="D268" s="139"/>
      <c r="E268" s="43"/>
    </row>
    <row r="269" spans="1:5" ht="34.5" customHeight="1" thickBot="1">
      <c r="A269" s="34" t="s">
        <v>458</v>
      </c>
      <c r="B269" s="32" t="s">
        <v>438</v>
      </c>
      <c r="C269" s="34">
        <v>9</v>
      </c>
      <c r="D269" s="32" t="s">
        <v>0</v>
      </c>
      <c r="E269" s="42"/>
    </row>
    <row r="270" spans="1:5" ht="34.5" customHeight="1" thickBot="1">
      <c r="A270" s="37" t="s">
        <v>673</v>
      </c>
      <c r="B270" s="36" t="s">
        <v>1</v>
      </c>
      <c r="C270" s="34" t="s">
        <v>674</v>
      </c>
      <c r="D270" s="32" t="s">
        <v>2</v>
      </c>
      <c r="E270" s="41"/>
    </row>
    <row r="271" spans="1:5" ht="34.5" customHeight="1" thickBot="1">
      <c r="A271" s="140">
        <v>175</v>
      </c>
      <c r="B271" s="141"/>
      <c r="C271" s="142" t="s">
        <v>3</v>
      </c>
      <c r="D271" s="143"/>
      <c r="E271" s="41"/>
    </row>
    <row r="272" spans="1:5" ht="34.5" customHeight="1" thickBot="1">
      <c r="A272" s="140">
        <v>210</v>
      </c>
      <c r="B272" s="141"/>
      <c r="C272" s="144" t="s">
        <v>4</v>
      </c>
      <c r="D272" s="145"/>
      <c r="E272" s="41"/>
    </row>
    <row r="273" spans="1:5" ht="34.5" customHeight="1" thickBot="1">
      <c r="A273" s="146">
        <f>A272-A271</f>
        <v>35</v>
      </c>
      <c r="B273" s="147"/>
      <c r="C273" s="148"/>
      <c r="D273" s="35" t="s">
        <v>5</v>
      </c>
      <c r="E273" s="41"/>
    </row>
    <row r="274" spans="1:5" ht="34.5" customHeight="1" thickBot="1">
      <c r="A274" s="149">
        <v>23</v>
      </c>
      <c r="B274" s="150"/>
      <c r="C274" s="151"/>
      <c r="D274" s="35" t="s">
        <v>6</v>
      </c>
      <c r="E274" s="41"/>
    </row>
    <row r="275" spans="1:5" ht="34.5" customHeight="1" thickBot="1">
      <c r="A275" s="144">
        <f>A274*A273</f>
        <v>805</v>
      </c>
      <c r="B275" s="152"/>
      <c r="C275" s="145"/>
      <c r="D275" s="35" t="s">
        <v>7</v>
      </c>
      <c r="E275" s="41"/>
    </row>
    <row r="276" spans="1:5" ht="34.5" customHeight="1" thickBot="1">
      <c r="A276" s="144">
        <v>0</v>
      </c>
      <c r="B276" s="152"/>
      <c r="C276" s="145"/>
      <c r="D276" s="35" t="s">
        <v>437</v>
      </c>
      <c r="E276" s="41"/>
    </row>
    <row r="277" spans="1:5" ht="34.5" customHeight="1" thickBot="1">
      <c r="A277" s="34">
        <v>0</v>
      </c>
      <c r="B277" s="32" t="s">
        <v>8</v>
      </c>
      <c r="C277" s="33">
        <v>800</v>
      </c>
      <c r="D277" s="32" t="s">
        <v>9</v>
      </c>
      <c r="E277" s="41"/>
    </row>
    <row r="278" spans="1:5" ht="34.5" customHeight="1" thickBot="1">
      <c r="A278" s="153" t="s">
        <v>436</v>
      </c>
      <c r="B278" s="154"/>
      <c r="C278" s="154"/>
      <c r="D278" s="155"/>
      <c r="E278" s="41"/>
    </row>
    <row r="279" spans="1:5" ht="34.5" customHeight="1" thickBot="1">
      <c r="A279" s="156" t="s">
        <v>435</v>
      </c>
      <c r="B279" s="157"/>
      <c r="C279" s="157"/>
      <c r="D279" s="158"/>
      <c r="E279" s="41"/>
    </row>
    <row r="280" spans="1:5" ht="34.5" customHeight="1">
      <c r="A280" s="159" t="s">
        <v>442</v>
      </c>
      <c r="B280" s="160" t="s">
        <v>441</v>
      </c>
      <c r="C280" s="160"/>
      <c r="D280" s="161"/>
      <c r="E280" s="44"/>
    </row>
    <row r="281" spans="1:5" ht="34.5" customHeight="1" thickBot="1">
      <c r="A281" s="162"/>
      <c r="B281" s="163"/>
      <c r="C281" s="163"/>
      <c r="D281" s="164"/>
      <c r="E281" s="44"/>
    </row>
    <row r="282" spans="1:5" ht="34.5" customHeight="1" thickBot="1">
      <c r="A282" s="142" t="s">
        <v>11</v>
      </c>
      <c r="B282" s="143"/>
      <c r="C282" s="165" t="s">
        <v>591</v>
      </c>
      <c r="D282" s="143"/>
      <c r="E282" s="43"/>
    </row>
    <row r="283" spans="1:5" ht="34.5" customHeight="1" thickBot="1">
      <c r="A283" s="137" t="s">
        <v>471</v>
      </c>
      <c r="B283" s="138"/>
      <c r="C283" s="138"/>
      <c r="D283" s="139"/>
      <c r="E283" s="43"/>
    </row>
    <row r="284" spans="1:5" ht="34.5" customHeight="1" thickBot="1">
      <c r="A284" s="34" t="s">
        <v>458</v>
      </c>
      <c r="B284" s="32" t="s">
        <v>438</v>
      </c>
      <c r="C284" s="34">
        <v>10</v>
      </c>
      <c r="D284" s="32" t="s">
        <v>0</v>
      </c>
      <c r="E284" s="42"/>
    </row>
    <row r="285" spans="1:5" ht="34.5" customHeight="1" thickBot="1">
      <c r="A285" s="37" t="s">
        <v>673</v>
      </c>
      <c r="B285" s="36" t="s">
        <v>1</v>
      </c>
      <c r="C285" s="34" t="s">
        <v>674</v>
      </c>
      <c r="D285" s="32" t="s">
        <v>2</v>
      </c>
      <c r="E285" s="41"/>
    </row>
    <row r="286" spans="1:5" ht="34.5" customHeight="1" thickBot="1">
      <c r="A286" s="140">
        <v>161</v>
      </c>
      <c r="B286" s="141"/>
      <c r="C286" s="142" t="s">
        <v>3</v>
      </c>
      <c r="D286" s="143"/>
      <c r="E286" s="41"/>
    </row>
    <row r="287" spans="1:5" ht="34.5" customHeight="1" thickBot="1">
      <c r="A287" s="140">
        <v>161</v>
      </c>
      <c r="B287" s="141"/>
      <c r="C287" s="144" t="s">
        <v>4</v>
      </c>
      <c r="D287" s="145"/>
      <c r="E287" s="41"/>
    </row>
    <row r="288" spans="1:5" ht="34.5" customHeight="1" thickBot="1">
      <c r="A288" s="146">
        <f>A287-A286</f>
        <v>0</v>
      </c>
      <c r="B288" s="147"/>
      <c r="C288" s="148"/>
      <c r="D288" s="35" t="s">
        <v>5</v>
      </c>
      <c r="E288" s="41"/>
    </row>
    <row r="289" spans="1:5" ht="34.5" customHeight="1" thickBot="1">
      <c r="A289" s="149">
        <v>23</v>
      </c>
      <c r="B289" s="150"/>
      <c r="C289" s="151"/>
      <c r="D289" s="35" t="s">
        <v>6</v>
      </c>
      <c r="E289" s="41"/>
    </row>
    <row r="290" spans="1:5" ht="34.5" customHeight="1" thickBot="1">
      <c r="A290" s="144">
        <f>A289*A288</f>
        <v>0</v>
      </c>
      <c r="B290" s="152"/>
      <c r="C290" s="145"/>
      <c r="D290" s="35" t="s">
        <v>7</v>
      </c>
      <c r="E290" s="41"/>
    </row>
    <row r="291" spans="1:5" ht="34.5" customHeight="1" thickBot="1">
      <c r="A291" s="144">
        <v>0</v>
      </c>
      <c r="B291" s="152"/>
      <c r="C291" s="145"/>
      <c r="D291" s="35" t="s">
        <v>437</v>
      </c>
      <c r="E291" s="41"/>
    </row>
    <row r="292" spans="1:5" ht="34.5" customHeight="1" thickBot="1">
      <c r="A292" s="34">
        <v>0</v>
      </c>
      <c r="B292" s="32" t="s">
        <v>8</v>
      </c>
      <c r="C292" s="33">
        <v>440</v>
      </c>
      <c r="D292" s="32" t="s">
        <v>9</v>
      </c>
      <c r="E292" s="41"/>
    </row>
    <row r="293" spans="1:5" ht="34.5" customHeight="1" thickBot="1">
      <c r="A293" s="153" t="s">
        <v>436</v>
      </c>
      <c r="B293" s="154"/>
      <c r="C293" s="154"/>
      <c r="D293" s="155"/>
      <c r="E293" s="41"/>
    </row>
    <row r="294" spans="1:5" ht="34.5" customHeight="1" thickBot="1">
      <c r="A294" s="156" t="s">
        <v>435</v>
      </c>
      <c r="B294" s="157"/>
      <c r="C294" s="157"/>
      <c r="D294" s="158"/>
      <c r="E294" s="41"/>
    </row>
    <row r="295" spans="1:5" ht="34.5" customHeight="1" thickBot="1">
      <c r="A295" s="40"/>
      <c r="B295" s="39"/>
      <c r="C295" s="39"/>
      <c r="D295" s="38"/>
      <c r="E295" s="41"/>
    </row>
    <row r="296" spans="1:5" ht="34.5" customHeight="1">
      <c r="A296" s="159" t="s">
        <v>442</v>
      </c>
      <c r="B296" s="160" t="s">
        <v>441</v>
      </c>
      <c r="C296" s="160"/>
      <c r="D296" s="161"/>
      <c r="E296" s="44"/>
    </row>
    <row r="297" spans="1:5" ht="34.5" customHeight="1" thickBot="1">
      <c r="A297" s="162"/>
      <c r="B297" s="163"/>
      <c r="C297" s="163"/>
      <c r="D297" s="164"/>
      <c r="E297" s="44"/>
    </row>
    <row r="298" spans="1:5" ht="34.5" customHeight="1" thickBot="1">
      <c r="A298" s="142" t="s">
        <v>11</v>
      </c>
      <c r="B298" s="143"/>
      <c r="C298" s="165" t="s">
        <v>591</v>
      </c>
      <c r="D298" s="143"/>
      <c r="E298" s="43"/>
    </row>
    <row r="299" spans="1:5" ht="34.5" customHeight="1" thickBot="1">
      <c r="A299" s="137" t="s">
        <v>471</v>
      </c>
      <c r="B299" s="138"/>
      <c r="C299" s="138"/>
      <c r="D299" s="139"/>
      <c r="E299" s="43"/>
    </row>
    <row r="300" spans="1:5" ht="34.5" customHeight="1" thickBot="1">
      <c r="A300" s="34" t="s">
        <v>458</v>
      </c>
      <c r="B300" s="32" t="s">
        <v>438</v>
      </c>
      <c r="C300" s="34">
        <v>10</v>
      </c>
      <c r="D300" s="32" t="s">
        <v>0</v>
      </c>
      <c r="E300" s="42"/>
    </row>
    <row r="301" spans="1:5" ht="34.5" customHeight="1" thickBot="1">
      <c r="A301" s="37" t="s">
        <v>673</v>
      </c>
      <c r="B301" s="36" t="s">
        <v>1</v>
      </c>
      <c r="C301" s="34" t="s">
        <v>674</v>
      </c>
      <c r="D301" s="32" t="s">
        <v>2</v>
      </c>
      <c r="E301" s="41"/>
    </row>
    <row r="302" spans="1:5" ht="34.5" customHeight="1" thickBot="1">
      <c r="A302" s="140">
        <v>142</v>
      </c>
      <c r="B302" s="141"/>
      <c r="C302" s="142" t="s">
        <v>3</v>
      </c>
      <c r="D302" s="143"/>
      <c r="E302" s="41"/>
    </row>
    <row r="303" spans="1:5" ht="34.5" customHeight="1" thickBot="1">
      <c r="A303" s="140">
        <v>161</v>
      </c>
      <c r="B303" s="141"/>
      <c r="C303" s="144" t="s">
        <v>4</v>
      </c>
      <c r="D303" s="145"/>
      <c r="E303" s="41"/>
    </row>
    <row r="304" spans="1:5" ht="34.5" customHeight="1" thickBot="1">
      <c r="A304" s="146">
        <f>A303-A302</f>
        <v>19</v>
      </c>
      <c r="B304" s="147"/>
      <c r="C304" s="148"/>
      <c r="D304" s="35" t="s">
        <v>5</v>
      </c>
      <c r="E304" s="41"/>
    </row>
    <row r="305" spans="1:5" ht="34.5" customHeight="1" thickBot="1">
      <c r="A305" s="149">
        <v>23</v>
      </c>
      <c r="B305" s="150"/>
      <c r="C305" s="151"/>
      <c r="D305" s="35" t="s">
        <v>6</v>
      </c>
      <c r="E305" s="41"/>
    </row>
    <row r="306" spans="1:5" ht="34.5" customHeight="1" thickBot="1">
      <c r="A306" s="144">
        <f>A305*A304</f>
        <v>437</v>
      </c>
      <c r="B306" s="152"/>
      <c r="C306" s="145"/>
      <c r="D306" s="35" t="s">
        <v>7</v>
      </c>
      <c r="E306" s="41"/>
    </row>
    <row r="307" spans="1:5" ht="34.5" customHeight="1" thickBot="1">
      <c r="A307" s="144">
        <v>0</v>
      </c>
      <c r="B307" s="152"/>
      <c r="C307" s="145"/>
      <c r="D307" s="35" t="s">
        <v>437</v>
      </c>
      <c r="E307" s="41"/>
    </row>
    <row r="308" spans="1:5" ht="34.5" customHeight="1" thickBot="1">
      <c r="A308" s="34">
        <v>0</v>
      </c>
      <c r="B308" s="32" t="s">
        <v>8</v>
      </c>
      <c r="C308" s="33">
        <v>440</v>
      </c>
      <c r="D308" s="32" t="s">
        <v>9</v>
      </c>
      <c r="E308" s="41"/>
    </row>
    <row r="309" spans="1:5" ht="34.5" customHeight="1" thickBot="1">
      <c r="A309" s="153" t="s">
        <v>436</v>
      </c>
      <c r="B309" s="154"/>
      <c r="C309" s="154"/>
      <c r="D309" s="155"/>
      <c r="E309" s="41"/>
    </row>
    <row r="310" spans="1:5" ht="34.5" customHeight="1" thickBot="1">
      <c r="A310" s="156" t="s">
        <v>435</v>
      </c>
      <c r="B310" s="157"/>
      <c r="C310" s="157"/>
      <c r="D310" s="158"/>
      <c r="E310" s="41"/>
    </row>
    <row r="311" spans="1:5" ht="34.5" customHeight="1">
      <c r="A311" s="159" t="s">
        <v>442</v>
      </c>
      <c r="B311" s="160" t="s">
        <v>441</v>
      </c>
      <c r="C311" s="160"/>
      <c r="D311" s="161"/>
      <c r="E311" s="44"/>
    </row>
    <row r="312" spans="1:5" ht="34.5" customHeight="1" thickBot="1">
      <c r="A312" s="162"/>
      <c r="B312" s="163"/>
      <c r="C312" s="163"/>
      <c r="D312" s="164"/>
      <c r="E312" s="44"/>
    </row>
    <row r="313" spans="1:5" ht="34.5" customHeight="1" thickBot="1">
      <c r="A313" s="142" t="s">
        <v>11</v>
      </c>
      <c r="B313" s="143"/>
      <c r="C313" s="165" t="s">
        <v>591</v>
      </c>
      <c r="D313" s="143"/>
      <c r="E313" s="43"/>
    </row>
    <row r="314" spans="1:5" ht="34.5" customHeight="1" thickBot="1">
      <c r="A314" s="166" t="s">
        <v>482</v>
      </c>
      <c r="B314" s="167"/>
      <c r="C314" s="167"/>
      <c r="D314" s="168"/>
      <c r="E314" s="43"/>
    </row>
    <row r="315" spans="1:5" ht="34.5" customHeight="1" thickBot="1">
      <c r="A315" s="34" t="s">
        <v>458</v>
      </c>
      <c r="B315" s="32" t="s">
        <v>438</v>
      </c>
      <c r="C315" s="34">
        <v>11</v>
      </c>
      <c r="D315" s="32" t="s">
        <v>0</v>
      </c>
      <c r="E315" s="42"/>
    </row>
    <row r="316" spans="1:5" ht="34.5" customHeight="1" thickBot="1">
      <c r="A316" s="37" t="s">
        <v>673</v>
      </c>
      <c r="B316" s="36" t="s">
        <v>1</v>
      </c>
      <c r="C316" s="34" t="s">
        <v>674</v>
      </c>
      <c r="D316" s="32" t="s">
        <v>2</v>
      </c>
      <c r="E316" s="41"/>
    </row>
    <row r="317" spans="1:5" ht="34.5" customHeight="1" thickBot="1">
      <c r="A317" s="140">
        <v>117</v>
      </c>
      <c r="B317" s="141"/>
      <c r="C317" s="142" t="s">
        <v>3</v>
      </c>
      <c r="D317" s="143"/>
      <c r="E317" s="41"/>
    </row>
    <row r="318" spans="1:5" ht="34.5" customHeight="1" thickBot="1">
      <c r="A318" s="140">
        <v>117</v>
      </c>
      <c r="B318" s="141"/>
      <c r="C318" s="144" t="s">
        <v>4</v>
      </c>
      <c r="D318" s="145"/>
      <c r="E318" s="41"/>
    </row>
    <row r="319" spans="1:5" ht="34.5" customHeight="1" thickBot="1">
      <c r="A319" s="146">
        <f>A318-A317</f>
        <v>0</v>
      </c>
      <c r="B319" s="147"/>
      <c r="C319" s="148"/>
      <c r="D319" s="35" t="s">
        <v>5</v>
      </c>
      <c r="E319" s="41"/>
    </row>
    <row r="320" spans="1:5" ht="34.5" customHeight="1" thickBot="1">
      <c r="A320" s="149">
        <v>23</v>
      </c>
      <c r="B320" s="150"/>
      <c r="C320" s="151"/>
      <c r="D320" s="35" t="s">
        <v>6</v>
      </c>
      <c r="E320" s="41"/>
    </row>
    <row r="321" spans="1:5" ht="34.5" customHeight="1" thickBot="1">
      <c r="A321" s="144">
        <f>A320*A319</f>
        <v>0</v>
      </c>
      <c r="B321" s="152"/>
      <c r="C321" s="145"/>
      <c r="D321" s="35" t="s">
        <v>7</v>
      </c>
      <c r="E321" s="41"/>
    </row>
    <row r="322" spans="1:5" ht="34.5" customHeight="1" thickBot="1">
      <c r="A322" s="144">
        <v>0</v>
      </c>
      <c r="B322" s="152"/>
      <c r="C322" s="145"/>
      <c r="D322" s="35" t="s">
        <v>437</v>
      </c>
      <c r="E322" s="41"/>
    </row>
    <row r="323" spans="1:5" ht="34.5" customHeight="1" thickBot="1">
      <c r="A323" s="34">
        <v>0</v>
      </c>
      <c r="B323" s="32" t="s">
        <v>8</v>
      </c>
      <c r="C323" s="33">
        <v>320</v>
      </c>
      <c r="D323" s="32" t="s">
        <v>9</v>
      </c>
      <c r="E323" s="41"/>
    </row>
    <row r="324" spans="1:5" ht="34.5" customHeight="1" thickBot="1">
      <c r="A324" s="153" t="s">
        <v>436</v>
      </c>
      <c r="B324" s="154"/>
      <c r="C324" s="154"/>
      <c r="D324" s="155"/>
      <c r="E324" s="41"/>
    </row>
    <row r="325" spans="1:5" ht="34.5" customHeight="1" thickBot="1">
      <c r="A325" s="156" t="s">
        <v>435</v>
      </c>
      <c r="B325" s="157"/>
      <c r="C325" s="157"/>
      <c r="D325" s="158"/>
      <c r="E325" s="41"/>
    </row>
    <row r="326" spans="1:5" ht="34.5" customHeight="1" thickBot="1">
      <c r="A326" s="40"/>
      <c r="B326" s="39"/>
      <c r="C326" s="39"/>
      <c r="D326" s="38"/>
      <c r="E326" s="41"/>
    </row>
    <row r="327" spans="1:5" ht="34.5" customHeight="1">
      <c r="A327" s="159" t="s">
        <v>442</v>
      </c>
      <c r="B327" s="160" t="s">
        <v>441</v>
      </c>
      <c r="C327" s="160"/>
      <c r="D327" s="161"/>
      <c r="E327" s="44"/>
    </row>
    <row r="328" spans="1:5" ht="34.5" customHeight="1" thickBot="1">
      <c r="A328" s="162"/>
      <c r="B328" s="163"/>
      <c r="C328" s="163"/>
      <c r="D328" s="164"/>
      <c r="E328" s="44"/>
    </row>
    <row r="329" spans="1:5" ht="34.5" customHeight="1" thickBot="1">
      <c r="A329" s="142" t="s">
        <v>11</v>
      </c>
      <c r="B329" s="143"/>
      <c r="C329" s="165" t="s">
        <v>591</v>
      </c>
      <c r="D329" s="143"/>
      <c r="E329" s="43"/>
    </row>
    <row r="330" spans="1:5" ht="34.5" customHeight="1" thickBot="1">
      <c r="A330" s="166" t="s">
        <v>482</v>
      </c>
      <c r="B330" s="167"/>
      <c r="C330" s="167"/>
      <c r="D330" s="168"/>
      <c r="E330" s="43"/>
    </row>
    <row r="331" spans="1:5" ht="34.5" customHeight="1" thickBot="1">
      <c r="A331" s="34" t="s">
        <v>458</v>
      </c>
      <c r="B331" s="32" t="s">
        <v>438</v>
      </c>
      <c r="C331" s="34">
        <v>11</v>
      </c>
      <c r="D331" s="32" t="s">
        <v>0</v>
      </c>
      <c r="E331" s="42"/>
    </row>
    <row r="332" spans="1:5" ht="34.5" customHeight="1" thickBot="1">
      <c r="A332" s="37" t="s">
        <v>673</v>
      </c>
      <c r="B332" s="36" t="s">
        <v>1</v>
      </c>
      <c r="C332" s="34" t="s">
        <v>674</v>
      </c>
      <c r="D332" s="32" t="s">
        <v>2</v>
      </c>
      <c r="E332" s="41"/>
    </row>
    <row r="333" spans="1:5" ht="34.5" customHeight="1" thickBot="1">
      <c r="A333" s="140">
        <v>103</v>
      </c>
      <c r="B333" s="141"/>
      <c r="C333" s="142" t="s">
        <v>3</v>
      </c>
      <c r="D333" s="143"/>
      <c r="E333" s="41"/>
    </row>
    <row r="334" spans="1:5" ht="34.5" customHeight="1" thickBot="1">
      <c r="A334" s="140">
        <v>117</v>
      </c>
      <c r="B334" s="141"/>
      <c r="C334" s="144" t="s">
        <v>4</v>
      </c>
      <c r="D334" s="145"/>
      <c r="E334" s="41"/>
    </row>
    <row r="335" spans="1:5" ht="34.5" customHeight="1" thickBot="1">
      <c r="A335" s="146">
        <f>A334-A333</f>
        <v>14</v>
      </c>
      <c r="B335" s="147"/>
      <c r="C335" s="148"/>
      <c r="D335" s="35" t="s">
        <v>5</v>
      </c>
      <c r="E335" s="41"/>
    </row>
    <row r="336" spans="1:5" ht="34.5" customHeight="1" thickBot="1">
      <c r="A336" s="149">
        <v>23</v>
      </c>
      <c r="B336" s="150"/>
      <c r="C336" s="151"/>
      <c r="D336" s="35" t="s">
        <v>6</v>
      </c>
      <c r="E336" s="41"/>
    </row>
    <row r="337" spans="1:5" ht="34.5" customHeight="1" thickBot="1">
      <c r="A337" s="144">
        <f>A336*A335</f>
        <v>322</v>
      </c>
      <c r="B337" s="152"/>
      <c r="C337" s="145"/>
      <c r="D337" s="35" t="s">
        <v>7</v>
      </c>
      <c r="E337" s="41"/>
    </row>
    <row r="338" spans="1:5" ht="34.5" customHeight="1" thickBot="1">
      <c r="A338" s="144">
        <v>0</v>
      </c>
      <c r="B338" s="152"/>
      <c r="C338" s="145"/>
      <c r="D338" s="35" t="s">
        <v>437</v>
      </c>
      <c r="E338" s="41"/>
    </row>
    <row r="339" spans="1:5" ht="34.5" customHeight="1" thickBot="1">
      <c r="A339" s="34">
        <v>0</v>
      </c>
      <c r="B339" s="32" t="s">
        <v>8</v>
      </c>
      <c r="C339" s="33">
        <v>320</v>
      </c>
      <c r="D339" s="32" t="s">
        <v>9</v>
      </c>
      <c r="E339" s="41"/>
    </row>
    <row r="340" spans="1:5" ht="34.5" customHeight="1" thickBot="1">
      <c r="A340" s="153" t="s">
        <v>436</v>
      </c>
      <c r="B340" s="154"/>
      <c r="C340" s="154"/>
      <c r="D340" s="155"/>
      <c r="E340" s="41"/>
    </row>
    <row r="341" spans="1:5" ht="34.5" customHeight="1" thickBot="1">
      <c r="A341" s="156" t="s">
        <v>435</v>
      </c>
      <c r="B341" s="157"/>
      <c r="C341" s="157"/>
      <c r="D341" s="158"/>
      <c r="E341" s="41"/>
    </row>
    <row r="342" spans="1:5" ht="34.5" customHeight="1">
      <c r="A342" s="159" t="s">
        <v>442</v>
      </c>
      <c r="B342" s="160" t="s">
        <v>441</v>
      </c>
      <c r="C342" s="160"/>
      <c r="D342" s="161"/>
      <c r="E342" s="44"/>
    </row>
    <row r="343" spans="1:5" ht="34.5" customHeight="1" thickBot="1">
      <c r="A343" s="162"/>
      <c r="B343" s="163"/>
      <c r="C343" s="163"/>
      <c r="D343" s="164"/>
      <c r="E343" s="44"/>
    </row>
    <row r="344" spans="1:5" ht="34.5" customHeight="1" thickBot="1">
      <c r="A344" s="142" t="s">
        <v>11</v>
      </c>
      <c r="B344" s="143"/>
      <c r="C344" s="165" t="s">
        <v>591</v>
      </c>
      <c r="D344" s="143"/>
      <c r="E344" s="43"/>
    </row>
    <row r="345" spans="1:5" ht="34.5" customHeight="1" thickBot="1">
      <c r="A345" s="137" t="s">
        <v>59</v>
      </c>
      <c r="B345" s="138"/>
      <c r="C345" s="138"/>
      <c r="D345" s="139"/>
      <c r="E345" s="43"/>
    </row>
    <row r="346" spans="1:5" ht="34.5" customHeight="1" thickBot="1">
      <c r="A346" s="34" t="s">
        <v>458</v>
      </c>
      <c r="B346" s="32" t="s">
        <v>438</v>
      </c>
      <c r="C346" s="34">
        <v>12</v>
      </c>
      <c r="D346" s="32" t="s">
        <v>0</v>
      </c>
      <c r="E346" s="42"/>
    </row>
    <row r="347" spans="1:5" ht="34.5" customHeight="1" thickBot="1">
      <c r="A347" s="37" t="s">
        <v>673</v>
      </c>
      <c r="B347" s="36" t="s">
        <v>1</v>
      </c>
      <c r="C347" s="34" t="s">
        <v>674</v>
      </c>
      <c r="D347" s="32" t="s">
        <v>2</v>
      </c>
      <c r="E347" s="41"/>
    </row>
    <row r="348" spans="1:5" ht="34.5" customHeight="1" thickBot="1">
      <c r="A348" s="140">
        <v>121</v>
      </c>
      <c r="B348" s="141"/>
      <c r="C348" s="142" t="s">
        <v>3</v>
      </c>
      <c r="D348" s="143"/>
      <c r="E348" s="41"/>
    </row>
    <row r="349" spans="1:5" ht="34.5" customHeight="1" thickBot="1">
      <c r="A349" s="140">
        <v>121</v>
      </c>
      <c r="B349" s="141"/>
      <c r="C349" s="144" t="s">
        <v>4</v>
      </c>
      <c r="D349" s="145"/>
      <c r="E349" s="41"/>
    </row>
    <row r="350" spans="1:5" ht="34.5" customHeight="1" thickBot="1">
      <c r="A350" s="146">
        <f>A349-A348</f>
        <v>0</v>
      </c>
      <c r="B350" s="147"/>
      <c r="C350" s="148"/>
      <c r="D350" s="35" t="s">
        <v>5</v>
      </c>
      <c r="E350" s="41"/>
    </row>
    <row r="351" spans="1:5" ht="34.5" customHeight="1" thickBot="1">
      <c r="A351" s="149">
        <v>23</v>
      </c>
      <c r="B351" s="150"/>
      <c r="C351" s="151"/>
      <c r="D351" s="35" t="s">
        <v>6</v>
      </c>
      <c r="E351" s="41"/>
    </row>
    <row r="352" spans="1:5" ht="34.5" customHeight="1" thickBot="1">
      <c r="A352" s="144">
        <f>A351*A350</f>
        <v>0</v>
      </c>
      <c r="B352" s="152"/>
      <c r="C352" s="145"/>
      <c r="D352" s="35" t="s">
        <v>7</v>
      </c>
      <c r="E352" s="41"/>
    </row>
    <row r="353" spans="1:5" ht="34.5" customHeight="1" thickBot="1">
      <c r="A353" s="144">
        <v>0</v>
      </c>
      <c r="B353" s="152"/>
      <c r="C353" s="145"/>
      <c r="D353" s="35" t="s">
        <v>437</v>
      </c>
      <c r="E353" s="41"/>
    </row>
    <row r="354" spans="1:5" ht="34.5" customHeight="1" thickBot="1">
      <c r="A354" s="34">
        <v>0</v>
      </c>
      <c r="B354" s="32" t="s">
        <v>8</v>
      </c>
      <c r="C354" s="33">
        <v>390</v>
      </c>
      <c r="D354" s="32" t="s">
        <v>9</v>
      </c>
      <c r="E354" s="41"/>
    </row>
    <row r="355" spans="1:5" ht="34.5" customHeight="1" thickBot="1">
      <c r="A355" s="153" t="s">
        <v>436</v>
      </c>
      <c r="B355" s="154"/>
      <c r="C355" s="154"/>
      <c r="D355" s="155"/>
      <c r="E355" s="41"/>
    </row>
    <row r="356" spans="1:5" ht="34.5" customHeight="1" thickBot="1">
      <c r="A356" s="156" t="s">
        <v>435</v>
      </c>
      <c r="B356" s="157"/>
      <c r="C356" s="157"/>
      <c r="D356" s="158"/>
      <c r="E356" s="41"/>
    </row>
    <row r="357" spans="1:5" ht="34.5" customHeight="1" thickBot="1">
      <c r="A357" s="40"/>
      <c r="B357" s="39"/>
      <c r="C357" s="39"/>
      <c r="D357" s="38"/>
      <c r="E357" s="41"/>
    </row>
    <row r="358" spans="1:5" ht="34.5" customHeight="1">
      <c r="A358" s="159" t="s">
        <v>442</v>
      </c>
      <c r="B358" s="160" t="s">
        <v>441</v>
      </c>
      <c r="C358" s="160"/>
      <c r="D358" s="161"/>
      <c r="E358" s="44"/>
    </row>
    <row r="359" spans="1:5" ht="34.5" customHeight="1" thickBot="1">
      <c r="A359" s="162"/>
      <c r="B359" s="163"/>
      <c r="C359" s="163"/>
      <c r="D359" s="164"/>
      <c r="E359" s="44"/>
    </row>
    <row r="360" spans="1:5" ht="34.5" customHeight="1" thickBot="1">
      <c r="A360" s="142" t="s">
        <v>11</v>
      </c>
      <c r="B360" s="143"/>
      <c r="C360" s="165" t="s">
        <v>591</v>
      </c>
      <c r="D360" s="143"/>
      <c r="E360" s="43"/>
    </row>
    <row r="361" spans="1:5" ht="34.5" customHeight="1" thickBot="1">
      <c r="A361" s="137" t="s">
        <v>59</v>
      </c>
      <c r="B361" s="138"/>
      <c r="C361" s="138"/>
      <c r="D361" s="139"/>
      <c r="E361" s="43"/>
    </row>
    <row r="362" spans="1:5" ht="34.5" customHeight="1" thickBot="1">
      <c r="A362" s="34" t="s">
        <v>458</v>
      </c>
      <c r="B362" s="32" t="s">
        <v>438</v>
      </c>
      <c r="C362" s="34">
        <v>12</v>
      </c>
      <c r="D362" s="32" t="s">
        <v>0</v>
      </c>
      <c r="E362" s="42"/>
    </row>
    <row r="363" spans="1:5" ht="34.5" customHeight="1" thickBot="1">
      <c r="A363" s="37" t="s">
        <v>673</v>
      </c>
      <c r="B363" s="36" t="s">
        <v>1</v>
      </c>
      <c r="C363" s="34" t="s">
        <v>674</v>
      </c>
      <c r="D363" s="32" t="s">
        <v>2</v>
      </c>
      <c r="E363" s="41"/>
    </row>
    <row r="364" spans="1:5" ht="34.5" customHeight="1" thickBot="1">
      <c r="A364" s="140">
        <v>104</v>
      </c>
      <c r="B364" s="141"/>
      <c r="C364" s="142" t="s">
        <v>3</v>
      </c>
      <c r="D364" s="143"/>
      <c r="E364" s="41"/>
    </row>
    <row r="365" spans="1:5" ht="34.5" customHeight="1" thickBot="1">
      <c r="A365" s="140">
        <v>121</v>
      </c>
      <c r="B365" s="141"/>
      <c r="C365" s="144" t="s">
        <v>4</v>
      </c>
      <c r="D365" s="145"/>
      <c r="E365" s="41"/>
    </row>
    <row r="366" spans="1:5" ht="34.5" customHeight="1" thickBot="1">
      <c r="A366" s="146">
        <f>A365-A364</f>
        <v>17</v>
      </c>
      <c r="B366" s="147"/>
      <c r="C366" s="148"/>
      <c r="D366" s="35" t="s">
        <v>5</v>
      </c>
      <c r="E366" s="41"/>
    </row>
    <row r="367" spans="1:5" ht="34.5" customHeight="1" thickBot="1">
      <c r="A367" s="149">
        <v>23</v>
      </c>
      <c r="B367" s="150"/>
      <c r="C367" s="151"/>
      <c r="D367" s="35" t="s">
        <v>6</v>
      </c>
      <c r="E367" s="41"/>
    </row>
    <row r="368" spans="1:5" ht="34.5" customHeight="1" thickBot="1">
      <c r="A368" s="144">
        <f>A367*A366</f>
        <v>391</v>
      </c>
      <c r="B368" s="152"/>
      <c r="C368" s="145"/>
      <c r="D368" s="35" t="s">
        <v>7</v>
      </c>
      <c r="E368" s="41"/>
    </row>
    <row r="369" spans="1:5" ht="34.5" customHeight="1" thickBot="1">
      <c r="A369" s="144">
        <v>0</v>
      </c>
      <c r="B369" s="152"/>
      <c r="C369" s="145"/>
      <c r="D369" s="35" t="s">
        <v>437</v>
      </c>
      <c r="E369" s="41"/>
    </row>
    <row r="370" spans="1:5" ht="34.5" customHeight="1" thickBot="1">
      <c r="A370" s="34">
        <v>0</v>
      </c>
      <c r="B370" s="32" t="s">
        <v>8</v>
      </c>
      <c r="C370" s="33">
        <v>390</v>
      </c>
      <c r="D370" s="32" t="s">
        <v>9</v>
      </c>
      <c r="E370" s="41"/>
    </row>
    <row r="371" spans="1:5" ht="34.5" customHeight="1" thickBot="1">
      <c r="A371" s="153" t="s">
        <v>436</v>
      </c>
      <c r="B371" s="154"/>
      <c r="C371" s="154"/>
      <c r="D371" s="155"/>
      <c r="E371" s="41"/>
    </row>
    <row r="372" spans="1:5" ht="34.5" customHeight="1" thickBot="1">
      <c r="A372" s="156" t="s">
        <v>435</v>
      </c>
      <c r="B372" s="157"/>
      <c r="C372" s="157"/>
      <c r="D372" s="158"/>
      <c r="E372" s="41"/>
    </row>
    <row r="373" spans="1:5" ht="34.5" customHeight="1">
      <c r="A373" s="159" t="s">
        <v>442</v>
      </c>
      <c r="B373" s="160" t="s">
        <v>441</v>
      </c>
      <c r="C373" s="160"/>
      <c r="D373" s="161"/>
      <c r="E373" s="44"/>
    </row>
    <row r="374" spans="1:5" ht="34.5" customHeight="1" thickBot="1">
      <c r="A374" s="162"/>
      <c r="B374" s="163"/>
      <c r="C374" s="163"/>
      <c r="D374" s="164"/>
      <c r="E374" s="44"/>
    </row>
    <row r="375" spans="1:5" ht="34.5" customHeight="1" thickBot="1">
      <c r="A375" s="142" t="s">
        <v>11</v>
      </c>
      <c r="B375" s="143"/>
      <c r="C375" s="165" t="s">
        <v>591</v>
      </c>
      <c r="D375" s="143"/>
      <c r="E375" s="43"/>
    </row>
    <row r="376" spans="1:5" ht="34.5" customHeight="1" thickBot="1">
      <c r="A376" s="137" t="s">
        <v>481</v>
      </c>
      <c r="B376" s="138"/>
      <c r="C376" s="138"/>
      <c r="D376" s="139"/>
      <c r="E376" s="43"/>
    </row>
    <row r="377" spans="1:5" ht="34.5" customHeight="1" thickBot="1">
      <c r="A377" s="34" t="s">
        <v>458</v>
      </c>
      <c r="B377" s="32" t="s">
        <v>438</v>
      </c>
      <c r="C377" s="34">
        <v>13</v>
      </c>
      <c r="D377" s="32" t="s">
        <v>0</v>
      </c>
      <c r="E377" s="42"/>
    </row>
    <row r="378" spans="1:5" ht="34.5" customHeight="1" thickBot="1">
      <c r="A378" s="37" t="s">
        <v>673</v>
      </c>
      <c r="B378" s="36" t="s">
        <v>1</v>
      </c>
      <c r="C378" s="34" t="s">
        <v>674</v>
      </c>
      <c r="D378" s="32" t="s">
        <v>2</v>
      </c>
      <c r="E378" s="41"/>
    </row>
    <row r="379" spans="1:5" ht="34.5" customHeight="1" thickBot="1">
      <c r="A379" s="140">
        <v>306</v>
      </c>
      <c r="B379" s="141"/>
      <c r="C379" s="142" t="s">
        <v>3</v>
      </c>
      <c r="D379" s="143"/>
      <c r="E379" s="41"/>
    </row>
    <row r="380" spans="1:5" ht="34.5" customHeight="1" thickBot="1">
      <c r="A380" s="140">
        <v>306</v>
      </c>
      <c r="B380" s="141"/>
      <c r="C380" s="144" t="s">
        <v>4</v>
      </c>
      <c r="D380" s="145"/>
      <c r="E380" s="41"/>
    </row>
    <row r="381" spans="1:5" ht="34.5" customHeight="1" thickBot="1">
      <c r="A381" s="146">
        <f>A380-A379</f>
        <v>0</v>
      </c>
      <c r="B381" s="147"/>
      <c r="C381" s="148"/>
      <c r="D381" s="35" t="s">
        <v>5</v>
      </c>
      <c r="E381" s="41"/>
    </row>
    <row r="382" spans="1:5" ht="34.5" customHeight="1" thickBot="1">
      <c r="A382" s="149">
        <v>23</v>
      </c>
      <c r="B382" s="150"/>
      <c r="C382" s="151"/>
      <c r="D382" s="35" t="s">
        <v>6</v>
      </c>
      <c r="E382" s="41"/>
    </row>
    <row r="383" spans="1:5" ht="34.5" customHeight="1" thickBot="1">
      <c r="A383" s="144">
        <f>A382*A381</f>
        <v>0</v>
      </c>
      <c r="B383" s="152"/>
      <c r="C383" s="145"/>
      <c r="D383" s="35" t="s">
        <v>7</v>
      </c>
      <c r="E383" s="41"/>
    </row>
    <row r="384" spans="1:5" ht="34.5" customHeight="1" thickBot="1">
      <c r="A384" s="144">
        <v>0</v>
      </c>
      <c r="B384" s="152"/>
      <c r="C384" s="145"/>
      <c r="D384" s="35" t="s">
        <v>437</v>
      </c>
      <c r="E384" s="41"/>
    </row>
    <row r="385" spans="1:5" ht="34.5" customHeight="1" thickBot="1">
      <c r="A385" s="34">
        <v>0</v>
      </c>
      <c r="B385" s="32" t="s">
        <v>8</v>
      </c>
      <c r="C385" s="33">
        <v>1290</v>
      </c>
      <c r="D385" s="32" t="s">
        <v>9</v>
      </c>
      <c r="E385" s="41"/>
    </row>
    <row r="386" spans="1:5" ht="34.5" customHeight="1" thickBot="1">
      <c r="A386" s="153" t="s">
        <v>436</v>
      </c>
      <c r="B386" s="154"/>
      <c r="C386" s="154"/>
      <c r="D386" s="155"/>
      <c r="E386" s="41"/>
    </row>
    <row r="387" spans="1:5" ht="34.5" customHeight="1" thickBot="1">
      <c r="A387" s="156" t="s">
        <v>435</v>
      </c>
      <c r="B387" s="157"/>
      <c r="C387" s="157"/>
      <c r="D387" s="158"/>
      <c r="E387" s="41"/>
    </row>
    <row r="388" spans="1:5" ht="34.5" customHeight="1" thickBot="1">
      <c r="A388" s="40"/>
      <c r="B388" s="39"/>
      <c r="C388" s="39"/>
      <c r="D388" s="38"/>
      <c r="E388" s="41"/>
    </row>
    <row r="389" spans="1:5" ht="34.5" customHeight="1">
      <c r="A389" s="159" t="s">
        <v>442</v>
      </c>
      <c r="B389" s="160" t="s">
        <v>441</v>
      </c>
      <c r="C389" s="160"/>
      <c r="D389" s="161"/>
      <c r="E389" s="44"/>
    </row>
    <row r="390" spans="1:5" ht="34.5" customHeight="1" thickBot="1">
      <c r="A390" s="162"/>
      <c r="B390" s="163"/>
      <c r="C390" s="163"/>
      <c r="D390" s="164"/>
      <c r="E390" s="44"/>
    </row>
    <row r="391" spans="1:5" ht="34.5" customHeight="1" thickBot="1">
      <c r="A391" s="142" t="s">
        <v>11</v>
      </c>
      <c r="B391" s="143"/>
      <c r="C391" s="165" t="s">
        <v>591</v>
      </c>
      <c r="D391" s="143"/>
      <c r="E391" s="43"/>
    </row>
    <row r="392" spans="1:5" ht="34.5" customHeight="1" thickBot="1">
      <c r="A392" s="137" t="s">
        <v>481</v>
      </c>
      <c r="B392" s="138"/>
      <c r="C392" s="138"/>
      <c r="D392" s="139"/>
      <c r="E392" s="43"/>
    </row>
    <row r="393" spans="1:5" ht="34.5" customHeight="1" thickBot="1">
      <c r="A393" s="34" t="s">
        <v>458</v>
      </c>
      <c r="B393" s="32" t="s">
        <v>438</v>
      </c>
      <c r="C393" s="34">
        <v>13</v>
      </c>
      <c r="D393" s="32" t="s">
        <v>0</v>
      </c>
      <c r="E393" s="42"/>
    </row>
    <row r="394" spans="1:5" ht="34.5" customHeight="1" thickBot="1">
      <c r="A394" s="37" t="s">
        <v>673</v>
      </c>
      <c r="B394" s="36" t="s">
        <v>1</v>
      </c>
      <c r="C394" s="34" t="s">
        <v>674</v>
      </c>
      <c r="D394" s="32" t="s">
        <v>2</v>
      </c>
      <c r="E394" s="41"/>
    </row>
    <row r="395" spans="1:5" ht="34.5" customHeight="1" thickBot="1">
      <c r="A395" s="140">
        <v>250</v>
      </c>
      <c r="B395" s="141"/>
      <c r="C395" s="142" t="s">
        <v>3</v>
      </c>
      <c r="D395" s="143"/>
      <c r="E395" s="41"/>
    </row>
    <row r="396" spans="1:5" ht="34.5" customHeight="1" thickBot="1">
      <c r="A396" s="140">
        <v>306</v>
      </c>
      <c r="B396" s="141"/>
      <c r="C396" s="144" t="s">
        <v>4</v>
      </c>
      <c r="D396" s="145"/>
      <c r="E396" s="41"/>
    </row>
    <row r="397" spans="1:5" ht="34.5" customHeight="1" thickBot="1">
      <c r="A397" s="146">
        <f>A396-A395</f>
        <v>56</v>
      </c>
      <c r="B397" s="147"/>
      <c r="C397" s="148"/>
      <c r="D397" s="35" t="s">
        <v>5</v>
      </c>
      <c r="E397" s="41"/>
    </row>
    <row r="398" spans="1:5" ht="34.5" customHeight="1" thickBot="1">
      <c r="A398" s="149">
        <v>23</v>
      </c>
      <c r="B398" s="150"/>
      <c r="C398" s="151"/>
      <c r="D398" s="35" t="s">
        <v>6</v>
      </c>
      <c r="E398" s="41"/>
    </row>
    <row r="399" spans="1:5" ht="34.5" customHeight="1" thickBot="1">
      <c r="A399" s="144">
        <f>A398*A397</f>
        <v>1288</v>
      </c>
      <c r="B399" s="152"/>
      <c r="C399" s="145"/>
      <c r="D399" s="35" t="s">
        <v>7</v>
      </c>
      <c r="E399" s="41"/>
    </row>
    <row r="400" spans="1:5" ht="34.5" customHeight="1" thickBot="1">
      <c r="A400" s="144">
        <v>0</v>
      </c>
      <c r="B400" s="152"/>
      <c r="C400" s="145"/>
      <c r="D400" s="35" t="s">
        <v>437</v>
      </c>
      <c r="E400" s="41"/>
    </row>
    <row r="401" spans="1:5" ht="34.5" customHeight="1" thickBot="1">
      <c r="A401" s="34">
        <v>0</v>
      </c>
      <c r="B401" s="32" t="s">
        <v>8</v>
      </c>
      <c r="C401" s="33">
        <v>1290</v>
      </c>
      <c r="D401" s="32" t="s">
        <v>9</v>
      </c>
      <c r="E401" s="41"/>
    </row>
    <row r="402" spans="1:5" ht="34.5" customHeight="1" thickBot="1">
      <c r="A402" s="153" t="s">
        <v>436</v>
      </c>
      <c r="B402" s="154"/>
      <c r="C402" s="154"/>
      <c r="D402" s="155"/>
      <c r="E402" s="41"/>
    </row>
    <row r="403" spans="1:5" ht="34.5" customHeight="1" thickBot="1">
      <c r="A403" s="156" t="s">
        <v>435</v>
      </c>
      <c r="B403" s="157"/>
      <c r="C403" s="157"/>
      <c r="D403" s="158"/>
      <c r="E403" s="41"/>
    </row>
    <row r="404" spans="1:5" ht="34.5" customHeight="1">
      <c r="A404" s="159" t="s">
        <v>442</v>
      </c>
      <c r="B404" s="160" t="s">
        <v>441</v>
      </c>
      <c r="C404" s="160"/>
      <c r="D404" s="161"/>
      <c r="E404" s="41"/>
    </row>
    <row r="405" spans="1:5" ht="34.5" customHeight="1" thickBot="1">
      <c r="A405" s="162"/>
      <c r="B405" s="163"/>
      <c r="C405" s="163"/>
      <c r="D405" s="164"/>
      <c r="E405" s="44"/>
    </row>
    <row r="406" spans="1:5" ht="34.5" customHeight="1" thickBot="1">
      <c r="A406" s="142" t="s">
        <v>11</v>
      </c>
      <c r="B406" s="143"/>
      <c r="C406" s="165" t="s">
        <v>591</v>
      </c>
      <c r="D406" s="143"/>
      <c r="E406" s="44"/>
    </row>
    <row r="407" spans="1:5" ht="34.5" customHeight="1" thickBot="1">
      <c r="A407" s="137" t="s">
        <v>480</v>
      </c>
      <c r="B407" s="138"/>
      <c r="C407" s="138"/>
      <c r="D407" s="139"/>
      <c r="E407" s="43"/>
    </row>
    <row r="408" spans="1:5" ht="34.5" customHeight="1" thickBot="1">
      <c r="A408" s="34" t="s">
        <v>458</v>
      </c>
      <c r="B408" s="32" t="s">
        <v>438</v>
      </c>
      <c r="C408" s="34">
        <v>16</v>
      </c>
      <c r="D408" s="32" t="s">
        <v>0</v>
      </c>
      <c r="E408" s="43"/>
    </row>
    <row r="409" spans="1:5" ht="34.5" customHeight="1" thickBot="1">
      <c r="A409" s="37" t="s">
        <v>673</v>
      </c>
      <c r="B409" s="36" t="s">
        <v>1</v>
      </c>
      <c r="C409" s="34" t="s">
        <v>674</v>
      </c>
      <c r="D409" s="32" t="s">
        <v>2</v>
      </c>
      <c r="E409" s="42"/>
    </row>
    <row r="410" spans="1:5" ht="34.5" customHeight="1" thickBot="1">
      <c r="A410" s="140">
        <v>202</v>
      </c>
      <c r="B410" s="141"/>
      <c r="C410" s="142" t="s">
        <v>3</v>
      </c>
      <c r="D410" s="143"/>
      <c r="E410" s="41"/>
    </row>
    <row r="411" spans="1:5" ht="34.5" customHeight="1" thickBot="1">
      <c r="A411" s="140">
        <v>202</v>
      </c>
      <c r="B411" s="141"/>
      <c r="C411" s="144" t="s">
        <v>4</v>
      </c>
      <c r="D411" s="145"/>
      <c r="E411" s="41"/>
    </row>
    <row r="412" spans="1:5" ht="34.5" customHeight="1" thickBot="1">
      <c r="A412" s="146">
        <f>A411-A410</f>
        <v>0</v>
      </c>
      <c r="B412" s="147"/>
      <c r="C412" s="148"/>
      <c r="D412" s="35" t="s">
        <v>5</v>
      </c>
      <c r="E412" s="41"/>
    </row>
    <row r="413" spans="1:5" ht="34.5" customHeight="1" thickBot="1">
      <c r="A413" s="149">
        <v>23</v>
      </c>
      <c r="B413" s="150"/>
      <c r="C413" s="151"/>
      <c r="D413" s="35" t="s">
        <v>6</v>
      </c>
      <c r="E413" s="41"/>
    </row>
    <row r="414" spans="1:5" ht="34.5" customHeight="1" thickBot="1">
      <c r="A414" s="144">
        <f>A413*A412</f>
        <v>0</v>
      </c>
      <c r="B414" s="152"/>
      <c r="C414" s="145"/>
      <c r="D414" s="35" t="s">
        <v>7</v>
      </c>
      <c r="E414" s="41"/>
    </row>
    <row r="415" spans="1:5" ht="34.5" customHeight="1" thickBot="1">
      <c r="A415" s="144">
        <v>0</v>
      </c>
      <c r="B415" s="152"/>
      <c r="C415" s="145"/>
      <c r="D415" s="35" t="s">
        <v>437</v>
      </c>
      <c r="E415" s="41"/>
    </row>
    <row r="416" spans="1:5" ht="34.5" customHeight="1" thickBot="1">
      <c r="A416" s="34">
        <v>0</v>
      </c>
      <c r="B416" s="32" t="s">
        <v>8</v>
      </c>
      <c r="C416" s="33">
        <v>620</v>
      </c>
      <c r="D416" s="32" t="s">
        <v>9</v>
      </c>
      <c r="E416" s="41"/>
    </row>
    <row r="417" spans="1:5" ht="34.5" customHeight="1" thickBot="1">
      <c r="A417" s="153" t="s">
        <v>436</v>
      </c>
      <c r="B417" s="154"/>
      <c r="C417" s="154"/>
      <c r="D417" s="155"/>
      <c r="E417" s="41"/>
    </row>
    <row r="418" spans="1:5" ht="34.5" customHeight="1" thickBot="1">
      <c r="A418" s="156" t="s">
        <v>435</v>
      </c>
      <c r="B418" s="157"/>
      <c r="C418" s="157"/>
      <c r="D418" s="158"/>
      <c r="E418" s="41"/>
    </row>
    <row r="419" spans="1:5" ht="34.5" customHeight="1" thickBot="1">
      <c r="A419" s="40"/>
      <c r="B419" s="39"/>
      <c r="C419" s="39"/>
      <c r="D419" s="38"/>
      <c r="E419" s="41"/>
    </row>
    <row r="420" spans="1:5" ht="34.5" customHeight="1">
      <c r="A420" s="159" t="s">
        <v>442</v>
      </c>
      <c r="B420" s="160" t="s">
        <v>441</v>
      </c>
      <c r="C420" s="160"/>
      <c r="D420" s="161"/>
      <c r="E420" s="41"/>
    </row>
    <row r="421" spans="1:5" ht="34.5" customHeight="1" thickBot="1">
      <c r="A421" s="162"/>
      <c r="B421" s="163"/>
      <c r="C421" s="163"/>
      <c r="D421" s="164"/>
      <c r="E421" s="44"/>
    </row>
    <row r="422" spans="1:5" ht="34.5" customHeight="1" thickBot="1">
      <c r="A422" s="142" t="s">
        <v>11</v>
      </c>
      <c r="B422" s="143"/>
      <c r="C422" s="165" t="s">
        <v>591</v>
      </c>
      <c r="D422" s="143"/>
      <c r="E422" s="44"/>
    </row>
    <row r="423" spans="1:5" ht="34.5" customHeight="1" thickBot="1">
      <c r="A423" s="137" t="s">
        <v>480</v>
      </c>
      <c r="B423" s="138"/>
      <c r="C423" s="138"/>
      <c r="D423" s="139"/>
      <c r="E423" s="43"/>
    </row>
    <row r="424" spans="1:5" ht="34.5" customHeight="1" thickBot="1">
      <c r="A424" s="34" t="s">
        <v>458</v>
      </c>
      <c r="B424" s="32" t="s">
        <v>438</v>
      </c>
      <c r="C424" s="34">
        <v>16</v>
      </c>
      <c r="D424" s="32" t="s">
        <v>0</v>
      </c>
      <c r="E424" s="43"/>
    </row>
    <row r="425" spans="1:5" ht="34.5" customHeight="1" thickBot="1">
      <c r="A425" s="37" t="s">
        <v>673</v>
      </c>
      <c r="B425" s="36" t="s">
        <v>1</v>
      </c>
      <c r="C425" s="34" t="s">
        <v>674</v>
      </c>
      <c r="D425" s="32" t="s">
        <v>2</v>
      </c>
      <c r="E425" s="42"/>
    </row>
    <row r="426" spans="1:5" ht="34.5" customHeight="1" thickBot="1">
      <c r="A426" s="140">
        <v>175</v>
      </c>
      <c r="B426" s="141"/>
      <c r="C426" s="142" t="s">
        <v>3</v>
      </c>
      <c r="D426" s="143"/>
      <c r="E426" s="41"/>
    </row>
    <row r="427" spans="1:5" ht="34.5" customHeight="1" thickBot="1">
      <c r="A427" s="140">
        <v>202</v>
      </c>
      <c r="B427" s="141"/>
      <c r="C427" s="144" t="s">
        <v>4</v>
      </c>
      <c r="D427" s="145"/>
      <c r="E427" s="41"/>
    </row>
    <row r="428" spans="1:5" ht="34.5" customHeight="1" thickBot="1">
      <c r="A428" s="146">
        <f>A427-A426</f>
        <v>27</v>
      </c>
      <c r="B428" s="147"/>
      <c r="C428" s="148"/>
      <c r="D428" s="35" t="s">
        <v>5</v>
      </c>
      <c r="E428" s="41"/>
    </row>
    <row r="429" spans="1:5" ht="34.5" customHeight="1" thickBot="1">
      <c r="A429" s="149">
        <v>23</v>
      </c>
      <c r="B429" s="150"/>
      <c r="C429" s="151"/>
      <c r="D429" s="35" t="s">
        <v>6</v>
      </c>
      <c r="E429" s="41"/>
    </row>
    <row r="430" spans="1:5" ht="34.5" customHeight="1" thickBot="1">
      <c r="A430" s="144">
        <f>A429*A428</f>
        <v>621</v>
      </c>
      <c r="B430" s="152"/>
      <c r="C430" s="145"/>
      <c r="D430" s="35" t="s">
        <v>7</v>
      </c>
      <c r="E430" s="41"/>
    </row>
    <row r="431" spans="1:5" ht="34.5" customHeight="1" thickBot="1">
      <c r="A431" s="144">
        <v>0</v>
      </c>
      <c r="B431" s="152"/>
      <c r="C431" s="145"/>
      <c r="D431" s="35" t="s">
        <v>437</v>
      </c>
      <c r="E431" s="41"/>
    </row>
    <row r="432" spans="1:5" ht="34.5" customHeight="1" thickBot="1">
      <c r="A432" s="34">
        <v>0</v>
      </c>
      <c r="B432" s="32" t="s">
        <v>8</v>
      </c>
      <c r="C432" s="33">
        <v>620</v>
      </c>
      <c r="D432" s="32" t="s">
        <v>9</v>
      </c>
      <c r="E432" s="41"/>
    </row>
    <row r="433" spans="1:5" ht="34.5" customHeight="1" thickBot="1">
      <c r="A433" s="153" t="s">
        <v>436</v>
      </c>
      <c r="B433" s="154"/>
      <c r="C433" s="154"/>
      <c r="D433" s="155"/>
      <c r="E433" s="41"/>
    </row>
    <row r="434" spans="1:5" ht="34.5" customHeight="1" thickBot="1">
      <c r="A434" s="156" t="s">
        <v>435</v>
      </c>
      <c r="B434" s="157"/>
      <c r="C434" s="157"/>
      <c r="D434" s="158"/>
      <c r="E434" s="41"/>
    </row>
    <row r="435" spans="1:5" ht="34.5" customHeight="1">
      <c r="A435" s="159" t="s">
        <v>442</v>
      </c>
      <c r="B435" s="160" t="s">
        <v>441</v>
      </c>
      <c r="C435" s="160"/>
      <c r="D435" s="161"/>
      <c r="E435" s="41"/>
    </row>
    <row r="436" spans="1:5" ht="34.5" customHeight="1" thickBot="1">
      <c r="A436" s="162"/>
      <c r="B436" s="163"/>
      <c r="C436" s="163"/>
      <c r="D436" s="164"/>
      <c r="E436" s="44"/>
    </row>
    <row r="437" spans="1:5" ht="34.5" customHeight="1" thickBot="1">
      <c r="A437" s="142" t="s">
        <v>11</v>
      </c>
      <c r="B437" s="143"/>
      <c r="C437" s="165" t="s">
        <v>591</v>
      </c>
      <c r="D437" s="143"/>
      <c r="E437" s="44"/>
    </row>
    <row r="438" spans="1:5" ht="34.5" customHeight="1" thickBot="1">
      <c r="A438" s="137" t="s">
        <v>479</v>
      </c>
      <c r="B438" s="138"/>
      <c r="C438" s="138"/>
      <c r="D438" s="139"/>
      <c r="E438" s="43"/>
    </row>
    <row r="439" spans="1:5" ht="34.5" customHeight="1" thickBot="1">
      <c r="A439" s="34" t="s">
        <v>458</v>
      </c>
      <c r="B439" s="32" t="s">
        <v>438</v>
      </c>
      <c r="C439" s="34">
        <v>18</v>
      </c>
      <c r="D439" s="32" t="s">
        <v>0</v>
      </c>
      <c r="E439" s="43"/>
    </row>
    <row r="440" spans="1:5" ht="34.5" customHeight="1" thickBot="1">
      <c r="A440" s="37" t="s">
        <v>673</v>
      </c>
      <c r="B440" s="36" t="s">
        <v>1</v>
      </c>
      <c r="C440" s="34" t="s">
        <v>674</v>
      </c>
      <c r="D440" s="32" t="s">
        <v>2</v>
      </c>
      <c r="E440" s="42"/>
    </row>
    <row r="441" spans="1:5" ht="34.5" customHeight="1" thickBot="1">
      <c r="A441" s="140">
        <v>113</v>
      </c>
      <c r="B441" s="141"/>
      <c r="C441" s="142" t="s">
        <v>3</v>
      </c>
      <c r="D441" s="143"/>
      <c r="E441" s="41"/>
    </row>
    <row r="442" spans="1:5" ht="34.5" customHeight="1" thickBot="1">
      <c r="A442" s="140">
        <v>113</v>
      </c>
      <c r="B442" s="141"/>
      <c r="C442" s="144" t="s">
        <v>4</v>
      </c>
      <c r="D442" s="145"/>
      <c r="E442" s="41"/>
    </row>
    <row r="443" spans="1:5" ht="34.5" customHeight="1" thickBot="1">
      <c r="A443" s="146">
        <f>A442-A441</f>
        <v>0</v>
      </c>
      <c r="B443" s="147"/>
      <c r="C443" s="148"/>
      <c r="D443" s="35" t="s">
        <v>5</v>
      </c>
      <c r="E443" s="41"/>
    </row>
    <row r="444" spans="1:5" ht="34.5" customHeight="1" thickBot="1">
      <c r="A444" s="149">
        <v>23</v>
      </c>
      <c r="B444" s="150"/>
      <c r="C444" s="151"/>
      <c r="D444" s="35" t="s">
        <v>6</v>
      </c>
      <c r="E444" s="41"/>
    </row>
    <row r="445" spans="1:5" ht="34.5" customHeight="1" thickBot="1">
      <c r="A445" s="144">
        <f>A444*A443</f>
        <v>0</v>
      </c>
      <c r="B445" s="152"/>
      <c r="C445" s="145"/>
      <c r="D445" s="35" t="s">
        <v>7</v>
      </c>
      <c r="E445" s="41"/>
    </row>
    <row r="446" spans="1:5" ht="34.5" customHeight="1" thickBot="1">
      <c r="A446" s="144">
        <v>0</v>
      </c>
      <c r="B446" s="152"/>
      <c r="C446" s="145"/>
      <c r="D446" s="35" t="s">
        <v>437</v>
      </c>
      <c r="E446" s="41"/>
    </row>
    <row r="447" spans="1:5" ht="34.5" customHeight="1" thickBot="1">
      <c r="A447" s="34">
        <v>0</v>
      </c>
      <c r="B447" s="32" t="s">
        <v>8</v>
      </c>
      <c r="C447" s="33">
        <v>370</v>
      </c>
      <c r="D447" s="32" t="s">
        <v>9</v>
      </c>
      <c r="E447" s="41"/>
    </row>
    <row r="448" spans="1:5" ht="34.5" customHeight="1" thickBot="1">
      <c r="A448" s="153" t="s">
        <v>436</v>
      </c>
      <c r="B448" s="154"/>
      <c r="C448" s="154"/>
      <c r="D448" s="155"/>
      <c r="E448" s="41"/>
    </row>
    <row r="449" spans="1:5" ht="34.5" customHeight="1" thickBot="1">
      <c r="A449" s="156" t="s">
        <v>435</v>
      </c>
      <c r="B449" s="157"/>
      <c r="C449" s="157"/>
      <c r="D449" s="158"/>
      <c r="E449" s="41"/>
    </row>
    <row r="450" spans="1:5" ht="34.5" customHeight="1" thickBot="1">
      <c r="A450" s="40"/>
      <c r="B450" s="39"/>
      <c r="C450" s="39"/>
      <c r="D450" s="38"/>
      <c r="E450" s="41"/>
    </row>
    <row r="451" spans="1:5" ht="34.5" customHeight="1">
      <c r="A451" s="159" t="s">
        <v>442</v>
      </c>
      <c r="B451" s="160" t="s">
        <v>441</v>
      </c>
      <c r="C451" s="160"/>
      <c r="D451" s="161"/>
      <c r="E451" s="41"/>
    </row>
    <row r="452" spans="1:5" ht="34.5" customHeight="1" thickBot="1">
      <c r="A452" s="162"/>
      <c r="B452" s="163"/>
      <c r="C452" s="163"/>
      <c r="D452" s="164"/>
      <c r="E452" s="44"/>
    </row>
    <row r="453" spans="1:5" ht="34.5" customHeight="1" thickBot="1">
      <c r="A453" s="142" t="s">
        <v>11</v>
      </c>
      <c r="B453" s="143"/>
      <c r="C453" s="165" t="s">
        <v>591</v>
      </c>
      <c r="D453" s="143"/>
      <c r="E453" s="44"/>
    </row>
    <row r="454" spans="1:5" ht="34.5" customHeight="1" thickBot="1">
      <c r="A454" s="137" t="s">
        <v>479</v>
      </c>
      <c r="B454" s="138"/>
      <c r="C454" s="138"/>
      <c r="D454" s="139"/>
      <c r="E454" s="43"/>
    </row>
    <row r="455" spans="1:5" ht="34.5" customHeight="1" thickBot="1">
      <c r="A455" s="34" t="s">
        <v>458</v>
      </c>
      <c r="B455" s="32" t="s">
        <v>438</v>
      </c>
      <c r="C455" s="34">
        <v>18</v>
      </c>
      <c r="D455" s="32" t="s">
        <v>0</v>
      </c>
      <c r="E455" s="43"/>
    </row>
    <row r="456" spans="1:5" ht="34.5" customHeight="1" thickBot="1">
      <c r="A456" s="37" t="s">
        <v>673</v>
      </c>
      <c r="B456" s="36" t="s">
        <v>1</v>
      </c>
      <c r="C456" s="34" t="s">
        <v>674</v>
      </c>
      <c r="D456" s="32" t="s">
        <v>2</v>
      </c>
      <c r="E456" s="42"/>
    </row>
    <row r="457" spans="1:5" ht="34.5" customHeight="1" thickBot="1">
      <c r="A457" s="140">
        <v>97</v>
      </c>
      <c r="B457" s="141"/>
      <c r="C457" s="142" t="s">
        <v>3</v>
      </c>
      <c r="D457" s="143"/>
      <c r="E457" s="41"/>
    </row>
    <row r="458" spans="1:5" ht="34.5" customHeight="1" thickBot="1">
      <c r="A458" s="140">
        <v>113</v>
      </c>
      <c r="B458" s="141"/>
      <c r="C458" s="144" t="s">
        <v>4</v>
      </c>
      <c r="D458" s="145"/>
      <c r="E458" s="41"/>
    </row>
    <row r="459" spans="1:5" ht="34.5" customHeight="1" thickBot="1">
      <c r="A459" s="146">
        <f>A458-A457</f>
        <v>16</v>
      </c>
      <c r="B459" s="147"/>
      <c r="C459" s="148"/>
      <c r="D459" s="35" t="s">
        <v>5</v>
      </c>
      <c r="E459" s="41"/>
    </row>
    <row r="460" spans="1:5" ht="34.5" customHeight="1" thickBot="1">
      <c r="A460" s="149">
        <v>23</v>
      </c>
      <c r="B460" s="150"/>
      <c r="C460" s="151"/>
      <c r="D460" s="35" t="s">
        <v>6</v>
      </c>
      <c r="E460" s="41"/>
    </row>
    <row r="461" spans="1:5" ht="34.5" customHeight="1" thickBot="1">
      <c r="A461" s="144">
        <f>A460*A459</f>
        <v>368</v>
      </c>
      <c r="B461" s="152"/>
      <c r="C461" s="145"/>
      <c r="D461" s="35" t="s">
        <v>7</v>
      </c>
      <c r="E461" s="41"/>
    </row>
    <row r="462" spans="1:5" ht="34.5" customHeight="1" thickBot="1">
      <c r="A462" s="144">
        <v>0</v>
      </c>
      <c r="B462" s="152"/>
      <c r="C462" s="145"/>
      <c r="D462" s="35" t="s">
        <v>437</v>
      </c>
      <c r="E462" s="41"/>
    </row>
    <row r="463" spans="1:5" ht="34.5" customHeight="1" thickBot="1">
      <c r="A463" s="34">
        <v>0</v>
      </c>
      <c r="B463" s="32" t="s">
        <v>8</v>
      </c>
      <c r="C463" s="33">
        <v>370</v>
      </c>
      <c r="D463" s="32" t="s">
        <v>9</v>
      </c>
      <c r="E463" s="41"/>
    </row>
    <row r="464" spans="1:5" ht="34.5" customHeight="1" thickBot="1">
      <c r="A464" s="153" t="s">
        <v>436</v>
      </c>
      <c r="B464" s="154"/>
      <c r="C464" s="154"/>
      <c r="D464" s="155"/>
      <c r="E464" s="41"/>
    </row>
    <row r="465" spans="1:5" ht="34.5" customHeight="1" thickBot="1">
      <c r="A465" s="156" t="s">
        <v>435</v>
      </c>
      <c r="B465" s="157"/>
      <c r="C465" s="157"/>
      <c r="D465" s="158"/>
      <c r="E465" s="41"/>
    </row>
    <row r="466" spans="1:5" ht="34.5" customHeight="1">
      <c r="A466" s="159" t="s">
        <v>442</v>
      </c>
      <c r="B466" s="160" t="s">
        <v>441</v>
      </c>
      <c r="C466" s="160"/>
      <c r="D466" s="161"/>
      <c r="E466" s="41"/>
    </row>
    <row r="467" spans="1:5" ht="34.5" customHeight="1" thickBot="1">
      <c r="A467" s="162"/>
      <c r="B467" s="163"/>
      <c r="C467" s="163"/>
      <c r="D467" s="164"/>
      <c r="E467" s="44"/>
    </row>
    <row r="468" spans="1:5" ht="34.5" customHeight="1" thickBot="1">
      <c r="A468" s="142" t="s">
        <v>11</v>
      </c>
      <c r="B468" s="143"/>
      <c r="C468" s="165" t="s">
        <v>591</v>
      </c>
      <c r="D468" s="143"/>
      <c r="E468" s="44"/>
    </row>
    <row r="469" spans="1:5" ht="34.5" customHeight="1" thickBot="1">
      <c r="A469" s="137" t="s">
        <v>663</v>
      </c>
      <c r="B469" s="138"/>
      <c r="C469" s="138"/>
      <c r="D469" s="139"/>
      <c r="E469" s="43"/>
    </row>
    <row r="470" spans="1:5" ht="34.5" customHeight="1" thickBot="1">
      <c r="A470" s="34" t="s">
        <v>458</v>
      </c>
      <c r="B470" s="32" t="s">
        <v>438</v>
      </c>
      <c r="C470" s="34">
        <v>19</v>
      </c>
      <c r="D470" s="32" t="s">
        <v>0</v>
      </c>
      <c r="E470" s="43"/>
    </row>
    <row r="471" spans="1:5" ht="34.5" customHeight="1" thickBot="1">
      <c r="A471" s="37" t="s">
        <v>673</v>
      </c>
      <c r="B471" s="36" t="s">
        <v>1</v>
      </c>
      <c r="C471" s="34" t="s">
        <v>674</v>
      </c>
      <c r="D471" s="32" t="s">
        <v>2</v>
      </c>
      <c r="E471" s="42"/>
    </row>
    <row r="472" spans="1:5" ht="34.5" customHeight="1" thickBot="1">
      <c r="A472" s="140">
        <v>109</v>
      </c>
      <c r="B472" s="141"/>
      <c r="C472" s="142" t="s">
        <v>3</v>
      </c>
      <c r="D472" s="143"/>
      <c r="E472" s="41"/>
    </row>
    <row r="473" spans="1:5" ht="34.5" customHeight="1" thickBot="1">
      <c r="A473" s="140">
        <v>109</v>
      </c>
      <c r="B473" s="141"/>
      <c r="C473" s="144" t="s">
        <v>4</v>
      </c>
      <c r="D473" s="145"/>
      <c r="E473" s="41"/>
    </row>
    <row r="474" spans="1:5" ht="34.5" customHeight="1" thickBot="1">
      <c r="A474" s="146">
        <f>A473-A472</f>
        <v>0</v>
      </c>
      <c r="B474" s="147"/>
      <c r="C474" s="148"/>
      <c r="D474" s="35" t="s">
        <v>5</v>
      </c>
      <c r="E474" s="41"/>
    </row>
    <row r="475" spans="1:5" ht="34.5" customHeight="1" thickBot="1">
      <c r="A475" s="149">
        <v>23</v>
      </c>
      <c r="B475" s="150"/>
      <c r="C475" s="151"/>
      <c r="D475" s="35" t="s">
        <v>6</v>
      </c>
      <c r="E475" s="41"/>
    </row>
    <row r="476" spans="1:5" ht="34.5" customHeight="1" thickBot="1">
      <c r="A476" s="144">
        <f>A475*A474</f>
        <v>0</v>
      </c>
      <c r="B476" s="152"/>
      <c r="C476" s="145"/>
      <c r="D476" s="35" t="s">
        <v>7</v>
      </c>
      <c r="E476" s="41"/>
    </row>
    <row r="477" spans="1:5" ht="34.5" customHeight="1" thickBot="1">
      <c r="A477" s="144">
        <v>0</v>
      </c>
      <c r="B477" s="152"/>
      <c r="C477" s="145"/>
      <c r="D477" s="35" t="s">
        <v>437</v>
      </c>
      <c r="E477" s="41"/>
    </row>
    <row r="478" spans="1:5" ht="34.5" customHeight="1" thickBot="1">
      <c r="A478" s="34">
        <v>0</v>
      </c>
      <c r="B478" s="32" t="s">
        <v>8</v>
      </c>
      <c r="C478" s="33">
        <v>140</v>
      </c>
      <c r="D478" s="32" t="s">
        <v>9</v>
      </c>
      <c r="E478" s="41"/>
    </row>
    <row r="479" spans="1:5" ht="34.5" customHeight="1" thickBot="1">
      <c r="A479" s="153" t="s">
        <v>436</v>
      </c>
      <c r="B479" s="154"/>
      <c r="C479" s="154"/>
      <c r="D479" s="155"/>
      <c r="E479" s="41"/>
    </row>
    <row r="480" spans="1:5" ht="34.5" customHeight="1" thickBot="1">
      <c r="A480" s="156" t="s">
        <v>435</v>
      </c>
      <c r="B480" s="157"/>
      <c r="C480" s="157"/>
      <c r="D480" s="158"/>
      <c r="E480" s="41"/>
    </row>
    <row r="481" spans="1:5" ht="34.5" customHeight="1" thickBot="1">
      <c r="A481" s="40"/>
      <c r="B481" s="39"/>
      <c r="C481" s="39"/>
      <c r="D481" s="38"/>
      <c r="E481" s="41"/>
    </row>
    <row r="482" spans="1:5" ht="34.5" customHeight="1">
      <c r="A482" s="159" t="s">
        <v>442</v>
      </c>
      <c r="B482" s="160" t="s">
        <v>441</v>
      </c>
      <c r="C482" s="160"/>
      <c r="D482" s="161"/>
      <c r="E482" s="41"/>
    </row>
    <row r="483" spans="1:5" ht="34.5" customHeight="1" thickBot="1">
      <c r="A483" s="162"/>
      <c r="B483" s="163"/>
      <c r="C483" s="163"/>
      <c r="D483" s="164"/>
      <c r="E483" s="44"/>
    </row>
    <row r="484" spans="1:5" ht="34.5" customHeight="1" thickBot="1">
      <c r="A484" s="142" t="s">
        <v>11</v>
      </c>
      <c r="B484" s="143"/>
      <c r="C484" s="165" t="s">
        <v>591</v>
      </c>
      <c r="D484" s="143"/>
      <c r="E484" s="44"/>
    </row>
    <row r="485" spans="1:5" ht="34.5" customHeight="1" thickBot="1">
      <c r="A485" s="137" t="s">
        <v>663</v>
      </c>
      <c r="B485" s="138"/>
      <c r="C485" s="138"/>
      <c r="D485" s="139"/>
      <c r="E485" s="43"/>
    </row>
    <row r="486" spans="1:5" ht="34.5" customHeight="1" thickBot="1">
      <c r="A486" s="34" t="s">
        <v>458</v>
      </c>
      <c r="B486" s="32" t="s">
        <v>438</v>
      </c>
      <c r="C486" s="34">
        <v>19</v>
      </c>
      <c r="D486" s="32" t="s">
        <v>0</v>
      </c>
      <c r="E486" s="43"/>
    </row>
    <row r="487" spans="1:5" ht="34.5" customHeight="1" thickBot="1">
      <c r="A487" s="37" t="s">
        <v>673</v>
      </c>
      <c r="B487" s="36" t="s">
        <v>1</v>
      </c>
      <c r="C487" s="34" t="s">
        <v>674</v>
      </c>
      <c r="D487" s="32" t="s">
        <v>2</v>
      </c>
      <c r="E487" s="42"/>
    </row>
    <row r="488" spans="1:5" ht="34.5" customHeight="1" thickBot="1">
      <c r="A488" s="140">
        <v>103</v>
      </c>
      <c r="B488" s="141"/>
      <c r="C488" s="142" t="s">
        <v>3</v>
      </c>
      <c r="D488" s="143"/>
      <c r="E488" s="41"/>
    </row>
    <row r="489" spans="1:5" ht="34.5" customHeight="1" thickBot="1">
      <c r="A489" s="140">
        <v>109</v>
      </c>
      <c r="B489" s="141"/>
      <c r="C489" s="144" t="s">
        <v>4</v>
      </c>
      <c r="D489" s="145"/>
      <c r="E489" s="41"/>
    </row>
    <row r="490" spans="1:5" ht="34.5" customHeight="1" thickBot="1">
      <c r="A490" s="146">
        <f>A489-A488</f>
        <v>6</v>
      </c>
      <c r="B490" s="147"/>
      <c r="C490" s="148"/>
      <c r="D490" s="35" t="s">
        <v>5</v>
      </c>
      <c r="E490" s="41"/>
    </row>
    <row r="491" spans="1:5" ht="34.5" customHeight="1" thickBot="1">
      <c r="A491" s="149">
        <v>23</v>
      </c>
      <c r="B491" s="150"/>
      <c r="C491" s="151"/>
      <c r="D491" s="35" t="s">
        <v>6</v>
      </c>
      <c r="E491" s="41"/>
    </row>
    <row r="492" spans="1:5" ht="34.5" customHeight="1" thickBot="1">
      <c r="A492" s="144">
        <f>A491*A490</f>
        <v>138</v>
      </c>
      <c r="B492" s="152"/>
      <c r="C492" s="145"/>
      <c r="D492" s="35" t="s">
        <v>7</v>
      </c>
      <c r="E492" s="41"/>
    </row>
    <row r="493" spans="1:5" ht="34.5" customHeight="1" thickBot="1">
      <c r="A493" s="144">
        <v>0</v>
      </c>
      <c r="B493" s="152"/>
      <c r="C493" s="145"/>
      <c r="D493" s="35" t="s">
        <v>437</v>
      </c>
      <c r="E493" s="41"/>
    </row>
    <row r="494" spans="1:5" ht="34.5" customHeight="1" thickBot="1">
      <c r="A494" s="34">
        <v>0</v>
      </c>
      <c r="B494" s="32" t="s">
        <v>8</v>
      </c>
      <c r="C494" s="33">
        <v>140</v>
      </c>
      <c r="D494" s="32" t="s">
        <v>9</v>
      </c>
      <c r="E494" s="41"/>
    </row>
    <row r="495" spans="1:5" ht="34.5" customHeight="1" thickBot="1">
      <c r="A495" s="153" t="s">
        <v>436</v>
      </c>
      <c r="B495" s="154"/>
      <c r="C495" s="154"/>
      <c r="D495" s="155"/>
      <c r="E495" s="41"/>
    </row>
    <row r="496" spans="1:5" ht="34.5" customHeight="1" thickBot="1">
      <c r="A496" s="156" t="s">
        <v>435</v>
      </c>
      <c r="B496" s="157"/>
      <c r="C496" s="157"/>
      <c r="D496" s="158"/>
      <c r="E496" s="41"/>
    </row>
    <row r="497" spans="1:5" ht="34.5" customHeight="1">
      <c r="A497" s="159" t="s">
        <v>442</v>
      </c>
      <c r="B497" s="160" t="s">
        <v>441</v>
      </c>
      <c r="C497" s="160"/>
      <c r="D497" s="161"/>
      <c r="E497" s="41"/>
    </row>
    <row r="498" spans="1:5" ht="34.5" customHeight="1" thickBot="1">
      <c r="A498" s="162"/>
      <c r="B498" s="163"/>
      <c r="C498" s="163"/>
      <c r="D498" s="164"/>
      <c r="E498" s="44"/>
    </row>
    <row r="499" spans="1:5" ht="34.5" customHeight="1" thickBot="1">
      <c r="A499" s="142" t="s">
        <v>11</v>
      </c>
      <c r="B499" s="143"/>
      <c r="C499" s="165" t="s">
        <v>591</v>
      </c>
      <c r="D499" s="143"/>
      <c r="E499" s="44"/>
    </row>
    <row r="500" spans="1:5" ht="34.5" customHeight="1" thickBot="1">
      <c r="A500" s="137" t="s">
        <v>478</v>
      </c>
      <c r="B500" s="138"/>
      <c r="C500" s="138"/>
      <c r="D500" s="139"/>
      <c r="E500" s="43"/>
    </row>
    <row r="501" spans="1:5" ht="34.5" customHeight="1" thickBot="1">
      <c r="A501" s="34" t="s">
        <v>458</v>
      </c>
      <c r="B501" s="32" t="s">
        <v>438</v>
      </c>
      <c r="C501" s="34">
        <v>20</v>
      </c>
      <c r="D501" s="32" t="s">
        <v>0</v>
      </c>
      <c r="E501" s="43"/>
    </row>
    <row r="502" spans="1:5" ht="34.5" customHeight="1" thickBot="1">
      <c r="A502" s="37" t="s">
        <v>673</v>
      </c>
      <c r="B502" s="36" t="s">
        <v>1</v>
      </c>
      <c r="C502" s="34" t="s">
        <v>674</v>
      </c>
      <c r="D502" s="32" t="s">
        <v>2</v>
      </c>
      <c r="E502" s="42"/>
    </row>
    <row r="503" spans="1:5" ht="34.5" customHeight="1" thickBot="1">
      <c r="A503" s="140">
        <v>99</v>
      </c>
      <c r="B503" s="141"/>
      <c r="C503" s="142" t="s">
        <v>3</v>
      </c>
      <c r="D503" s="143"/>
      <c r="E503" s="41"/>
    </row>
    <row r="504" spans="1:5" ht="34.5" customHeight="1" thickBot="1">
      <c r="A504" s="140">
        <v>99</v>
      </c>
      <c r="B504" s="141"/>
      <c r="C504" s="144" t="s">
        <v>4</v>
      </c>
      <c r="D504" s="145"/>
      <c r="E504" s="41"/>
    </row>
    <row r="505" spans="1:5" ht="34.5" customHeight="1" thickBot="1">
      <c r="A505" s="146">
        <f>A504-A503</f>
        <v>0</v>
      </c>
      <c r="B505" s="147"/>
      <c r="C505" s="148"/>
      <c r="D505" s="35" t="s">
        <v>5</v>
      </c>
      <c r="E505" s="41"/>
    </row>
    <row r="506" spans="1:5" ht="34.5" customHeight="1" thickBot="1">
      <c r="A506" s="149">
        <v>23</v>
      </c>
      <c r="B506" s="150"/>
      <c r="C506" s="151"/>
      <c r="D506" s="35" t="s">
        <v>6</v>
      </c>
      <c r="E506" s="41"/>
    </row>
    <row r="507" spans="1:5" ht="34.5" customHeight="1" thickBot="1">
      <c r="A507" s="144">
        <f>A506*A505</f>
        <v>0</v>
      </c>
      <c r="B507" s="152"/>
      <c r="C507" s="145"/>
      <c r="D507" s="35" t="s">
        <v>7</v>
      </c>
      <c r="E507" s="41"/>
    </row>
    <row r="508" spans="1:5" ht="34.5" customHeight="1" thickBot="1">
      <c r="A508" s="144">
        <v>0</v>
      </c>
      <c r="B508" s="152"/>
      <c r="C508" s="145"/>
      <c r="D508" s="35" t="s">
        <v>437</v>
      </c>
      <c r="E508" s="41"/>
    </row>
    <row r="509" spans="1:5" ht="34.5" customHeight="1" thickBot="1">
      <c r="A509" s="34">
        <v>0</v>
      </c>
      <c r="B509" s="32" t="s">
        <v>8</v>
      </c>
      <c r="C509" s="33">
        <v>180</v>
      </c>
      <c r="D509" s="32" t="s">
        <v>9</v>
      </c>
      <c r="E509" s="41"/>
    </row>
    <row r="510" spans="1:5" ht="34.5" customHeight="1" thickBot="1">
      <c r="A510" s="153" t="s">
        <v>436</v>
      </c>
      <c r="B510" s="154"/>
      <c r="C510" s="154"/>
      <c r="D510" s="155"/>
      <c r="E510" s="41"/>
    </row>
    <row r="511" spans="1:5" ht="34.5" customHeight="1" thickBot="1">
      <c r="A511" s="156" t="s">
        <v>435</v>
      </c>
      <c r="B511" s="157"/>
      <c r="C511" s="157"/>
      <c r="D511" s="158"/>
      <c r="E511" s="41"/>
    </row>
    <row r="512" spans="1:5" ht="34.5" customHeight="1" thickBot="1">
      <c r="A512" s="40"/>
      <c r="B512" s="39"/>
      <c r="C512" s="39"/>
      <c r="D512" s="38"/>
      <c r="E512" s="41"/>
    </row>
    <row r="513" spans="1:5" ht="34.5" customHeight="1">
      <c r="A513" s="159" t="s">
        <v>442</v>
      </c>
      <c r="B513" s="160" t="s">
        <v>441</v>
      </c>
      <c r="C513" s="160"/>
      <c r="D513" s="161"/>
      <c r="E513" s="41"/>
    </row>
    <row r="514" spans="1:5" ht="34.5" customHeight="1" thickBot="1">
      <c r="A514" s="162"/>
      <c r="B514" s="163"/>
      <c r="C514" s="163"/>
      <c r="D514" s="164"/>
      <c r="E514" s="44"/>
    </row>
    <row r="515" spans="1:5" ht="34.5" customHeight="1" thickBot="1">
      <c r="A515" s="142" t="s">
        <v>11</v>
      </c>
      <c r="B515" s="143"/>
      <c r="C515" s="165" t="s">
        <v>591</v>
      </c>
      <c r="D515" s="143"/>
      <c r="E515" s="44"/>
    </row>
    <row r="516" spans="1:5" ht="34.5" customHeight="1" thickBot="1">
      <c r="A516" s="137" t="s">
        <v>478</v>
      </c>
      <c r="B516" s="138"/>
      <c r="C516" s="138"/>
      <c r="D516" s="139"/>
      <c r="E516" s="43"/>
    </row>
    <row r="517" spans="1:5" ht="34.5" customHeight="1" thickBot="1">
      <c r="A517" s="34" t="s">
        <v>458</v>
      </c>
      <c r="B517" s="32" t="s">
        <v>438</v>
      </c>
      <c r="C517" s="34">
        <v>20</v>
      </c>
      <c r="D517" s="32" t="s">
        <v>0</v>
      </c>
      <c r="E517" s="43"/>
    </row>
    <row r="518" spans="1:5" ht="34.5" customHeight="1" thickBot="1">
      <c r="A518" s="37" t="s">
        <v>673</v>
      </c>
      <c r="B518" s="36" t="s">
        <v>1</v>
      </c>
      <c r="C518" s="34" t="s">
        <v>674</v>
      </c>
      <c r="D518" s="32" t="s">
        <v>2</v>
      </c>
      <c r="E518" s="42"/>
    </row>
    <row r="519" spans="1:5" ht="34.5" customHeight="1" thickBot="1">
      <c r="A519" s="140">
        <v>91</v>
      </c>
      <c r="B519" s="141"/>
      <c r="C519" s="142" t="s">
        <v>3</v>
      </c>
      <c r="D519" s="143"/>
      <c r="E519" s="41"/>
    </row>
    <row r="520" spans="1:5" ht="34.5" customHeight="1" thickBot="1">
      <c r="A520" s="140">
        <v>99</v>
      </c>
      <c r="B520" s="141"/>
      <c r="C520" s="144" t="s">
        <v>4</v>
      </c>
      <c r="D520" s="145"/>
      <c r="E520" s="41"/>
    </row>
    <row r="521" spans="1:5" ht="34.5" customHeight="1" thickBot="1">
      <c r="A521" s="146">
        <f>A520-A519</f>
        <v>8</v>
      </c>
      <c r="B521" s="147"/>
      <c r="C521" s="148"/>
      <c r="D521" s="35" t="s">
        <v>5</v>
      </c>
      <c r="E521" s="41"/>
    </row>
    <row r="522" spans="1:5" ht="34.5" customHeight="1" thickBot="1">
      <c r="A522" s="149">
        <v>23</v>
      </c>
      <c r="B522" s="150"/>
      <c r="C522" s="151"/>
      <c r="D522" s="35" t="s">
        <v>6</v>
      </c>
      <c r="E522" s="41"/>
    </row>
    <row r="523" spans="1:5" ht="34.5" customHeight="1" thickBot="1">
      <c r="A523" s="144">
        <f>A522*A521</f>
        <v>184</v>
      </c>
      <c r="B523" s="152"/>
      <c r="C523" s="145"/>
      <c r="D523" s="35" t="s">
        <v>7</v>
      </c>
      <c r="E523" s="41"/>
    </row>
    <row r="524" spans="1:5" ht="34.5" customHeight="1" thickBot="1">
      <c r="A524" s="144">
        <v>0</v>
      </c>
      <c r="B524" s="152"/>
      <c r="C524" s="145"/>
      <c r="D524" s="35" t="s">
        <v>437</v>
      </c>
      <c r="E524" s="41"/>
    </row>
    <row r="525" spans="1:5" ht="34.5" customHeight="1" thickBot="1">
      <c r="A525" s="34">
        <v>0</v>
      </c>
      <c r="B525" s="32" t="s">
        <v>8</v>
      </c>
      <c r="C525" s="33">
        <v>180</v>
      </c>
      <c r="D525" s="32" t="s">
        <v>9</v>
      </c>
      <c r="E525" s="41"/>
    </row>
    <row r="526" spans="1:5" ht="34.5" customHeight="1" thickBot="1">
      <c r="A526" s="153" t="s">
        <v>436</v>
      </c>
      <c r="B526" s="154"/>
      <c r="C526" s="154"/>
      <c r="D526" s="155"/>
      <c r="E526" s="41"/>
    </row>
    <row r="527" spans="1:5" ht="34.5" customHeight="1" thickBot="1">
      <c r="A527" s="156" t="s">
        <v>435</v>
      </c>
      <c r="B527" s="157"/>
      <c r="C527" s="157"/>
      <c r="D527" s="158"/>
      <c r="E527" s="41"/>
    </row>
    <row r="528" spans="1:5" ht="34.5" customHeight="1">
      <c r="A528" s="159" t="s">
        <v>442</v>
      </c>
      <c r="B528" s="160" t="s">
        <v>441</v>
      </c>
      <c r="C528" s="160"/>
      <c r="D528" s="161"/>
      <c r="E528" s="41"/>
    </row>
    <row r="529" spans="1:5" ht="34.5" customHeight="1" thickBot="1">
      <c r="A529" s="162"/>
      <c r="B529" s="163"/>
      <c r="C529" s="163"/>
      <c r="D529" s="164"/>
      <c r="E529" s="44"/>
    </row>
    <row r="530" spans="1:5" ht="34.5" customHeight="1" thickBot="1">
      <c r="A530" s="142" t="s">
        <v>11</v>
      </c>
      <c r="B530" s="143"/>
      <c r="C530" s="165" t="s">
        <v>591</v>
      </c>
      <c r="D530" s="143"/>
      <c r="E530" s="44"/>
    </row>
    <row r="531" spans="1:5" ht="34.5" customHeight="1" thickBot="1">
      <c r="A531" s="137" t="s">
        <v>477</v>
      </c>
      <c r="B531" s="138"/>
      <c r="C531" s="138"/>
      <c r="D531" s="139"/>
      <c r="E531" s="43"/>
    </row>
    <row r="532" spans="1:5" ht="34.5" customHeight="1" thickBot="1">
      <c r="A532" s="34" t="s">
        <v>458</v>
      </c>
      <c r="B532" s="32" t="s">
        <v>438</v>
      </c>
      <c r="C532" s="34">
        <v>21</v>
      </c>
      <c r="D532" s="32" t="s">
        <v>0</v>
      </c>
      <c r="E532" s="43"/>
    </row>
    <row r="533" spans="1:5" ht="34.5" customHeight="1" thickBot="1">
      <c r="A533" s="37" t="s">
        <v>673</v>
      </c>
      <c r="B533" s="36" t="s">
        <v>1</v>
      </c>
      <c r="C533" s="34" t="s">
        <v>674</v>
      </c>
      <c r="D533" s="32" t="s">
        <v>2</v>
      </c>
      <c r="E533" s="42"/>
    </row>
    <row r="534" spans="1:5" ht="34.5" customHeight="1" thickBot="1">
      <c r="A534" s="140">
        <v>125</v>
      </c>
      <c r="B534" s="141"/>
      <c r="C534" s="142" t="s">
        <v>3</v>
      </c>
      <c r="D534" s="143"/>
      <c r="E534" s="41"/>
    </row>
    <row r="535" spans="1:5" ht="34.5" customHeight="1" thickBot="1">
      <c r="A535" s="140">
        <v>125</v>
      </c>
      <c r="B535" s="141"/>
      <c r="C535" s="144" t="s">
        <v>4</v>
      </c>
      <c r="D535" s="145"/>
      <c r="E535" s="41"/>
    </row>
    <row r="536" spans="1:5" ht="34.5" customHeight="1" thickBot="1">
      <c r="A536" s="146">
        <f>A535-A534</f>
        <v>0</v>
      </c>
      <c r="B536" s="147"/>
      <c r="C536" s="148"/>
      <c r="D536" s="35" t="s">
        <v>5</v>
      </c>
      <c r="E536" s="41"/>
    </row>
    <row r="537" spans="1:5" ht="34.5" customHeight="1" thickBot="1">
      <c r="A537" s="149">
        <v>23</v>
      </c>
      <c r="B537" s="150"/>
      <c r="C537" s="151"/>
      <c r="D537" s="35" t="s">
        <v>6</v>
      </c>
      <c r="E537" s="41"/>
    </row>
    <row r="538" spans="1:5" ht="34.5" customHeight="1" thickBot="1">
      <c r="A538" s="144">
        <f>A537*A536</f>
        <v>0</v>
      </c>
      <c r="B538" s="152"/>
      <c r="C538" s="145"/>
      <c r="D538" s="35" t="s">
        <v>7</v>
      </c>
      <c r="E538" s="41"/>
    </row>
    <row r="539" spans="1:5" ht="34.5" customHeight="1" thickBot="1">
      <c r="A539" s="144">
        <v>0</v>
      </c>
      <c r="B539" s="152"/>
      <c r="C539" s="145"/>
      <c r="D539" s="35" t="s">
        <v>437</v>
      </c>
      <c r="E539" s="41"/>
    </row>
    <row r="540" spans="1:5" ht="34.5" customHeight="1" thickBot="1">
      <c r="A540" s="34">
        <v>0</v>
      </c>
      <c r="B540" s="32" t="s">
        <v>8</v>
      </c>
      <c r="C540" s="33">
        <v>440</v>
      </c>
      <c r="D540" s="32" t="s">
        <v>9</v>
      </c>
      <c r="E540" s="41"/>
    </row>
    <row r="541" spans="1:5" ht="34.5" customHeight="1" thickBot="1">
      <c r="A541" s="153" t="s">
        <v>436</v>
      </c>
      <c r="B541" s="154"/>
      <c r="C541" s="154"/>
      <c r="D541" s="155"/>
      <c r="E541" s="41"/>
    </row>
    <row r="542" spans="1:5" ht="34.5" customHeight="1" thickBot="1">
      <c r="A542" s="156" t="s">
        <v>435</v>
      </c>
      <c r="B542" s="157"/>
      <c r="C542" s="157"/>
      <c r="D542" s="158"/>
      <c r="E542" s="41"/>
    </row>
    <row r="543" spans="1:5" ht="34.5" customHeight="1" thickBot="1">
      <c r="A543" s="40"/>
      <c r="B543" s="39"/>
      <c r="C543" s="39"/>
      <c r="D543" s="38"/>
      <c r="E543" s="41"/>
    </row>
    <row r="544" spans="1:5" ht="34.5" customHeight="1">
      <c r="A544" s="159" t="s">
        <v>442</v>
      </c>
      <c r="B544" s="160" t="s">
        <v>441</v>
      </c>
      <c r="C544" s="160"/>
      <c r="D544" s="161"/>
      <c r="E544" s="41"/>
    </row>
    <row r="545" spans="1:5" ht="34.5" customHeight="1" thickBot="1">
      <c r="A545" s="162"/>
      <c r="B545" s="163"/>
      <c r="C545" s="163"/>
      <c r="D545" s="164"/>
      <c r="E545" s="44"/>
    </row>
    <row r="546" spans="1:5" ht="34.5" customHeight="1" thickBot="1">
      <c r="A546" s="142" t="s">
        <v>11</v>
      </c>
      <c r="B546" s="143"/>
      <c r="C546" s="165" t="s">
        <v>591</v>
      </c>
      <c r="D546" s="143"/>
      <c r="E546" s="44"/>
    </row>
    <row r="547" spans="1:5" ht="34.5" customHeight="1" thickBot="1">
      <c r="A547" s="137" t="s">
        <v>477</v>
      </c>
      <c r="B547" s="138"/>
      <c r="C547" s="138"/>
      <c r="D547" s="139"/>
      <c r="E547" s="43"/>
    </row>
    <row r="548" spans="1:5" ht="34.5" customHeight="1" thickBot="1">
      <c r="A548" s="34" t="s">
        <v>458</v>
      </c>
      <c r="B548" s="32" t="s">
        <v>438</v>
      </c>
      <c r="C548" s="34">
        <v>21</v>
      </c>
      <c r="D548" s="32" t="s">
        <v>0</v>
      </c>
      <c r="E548" s="43"/>
    </row>
    <row r="549" spans="1:5" ht="34.5" customHeight="1" thickBot="1">
      <c r="A549" s="37" t="s">
        <v>673</v>
      </c>
      <c r="B549" s="36" t="s">
        <v>1</v>
      </c>
      <c r="C549" s="34" t="s">
        <v>674</v>
      </c>
      <c r="D549" s="32" t="s">
        <v>2</v>
      </c>
      <c r="E549" s="42"/>
    </row>
    <row r="550" spans="1:5" ht="34.5" customHeight="1" thickBot="1">
      <c r="A550" s="140">
        <v>106</v>
      </c>
      <c r="B550" s="141"/>
      <c r="C550" s="142" t="s">
        <v>3</v>
      </c>
      <c r="D550" s="143"/>
      <c r="E550" s="41"/>
    </row>
    <row r="551" spans="1:5" ht="34.5" customHeight="1" thickBot="1">
      <c r="A551" s="140">
        <v>125</v>
      </c>
      <c r="B551" s="141"/>
      <c r="C551" s="144" t="s">
        <v>4</v>
      </c>
      <c r="D551" s="145"/>
      <c r="E551" s="41"/>
    </row>
    <row r="552" spans="1:5" ht="34.5" customHeight="1" thickBot="1">
      <c r="A552" s="146">
        <f>A551-A550</f>
        <v>19</v>
      </c>
      <c r="B552" s="147"/>
      <c r="C552" s="148"/>
      <c r="D552" s="35" t="s">
        <v>5</v>
      </c>
      <c r="E552" s="41"/>
    </row>
    <row r="553" spans="1:5" ht="34.5" customHeight="1" thickBot="1">
      <c r="A553" s="149">
        <v>23</v>
      </c>
      <c r="B553" s="150"/>
      <c r="C553" s="151"/>
      <c r="D553" s="35" t="s">
        <v>6</v>
      </c>
      <c r="E553" s="41"/>
    </row>
    <row r="554" spans="1:5" ht="34.5" customHeight="1" thickBot="1">
      <c r="A554" s="144">
        <f>A553*A552</f>
        <v>437</v>
      </c>
      <c r="B554" s="152"/>
      <c r="C554" s="145"/>
      <c r="D554" s="35" t="s">
        <v>7</v>
      </c>
      <c r="E554" s="41"/>
    </row>
    <row r="555" spans="1:5" ht="34.5" customHeight="1" thickBot="1">
      <c r="A555" s="144">
        <v>0</v>
      </c>
      <c r="B555" s="152"/>
      <c r="C555" s="145"/>
      <c r="D555" s="35" t="s">
        <v>437</v>
      </c>
      <c r="E555" s="41"/>
    </row>
    <row r="556" spans="1:5" ht="34.5" customHeight="1" thickBot="1">
      <c r="A556" s="34">
        <v>0</v>
      </c>
      <c r="B556" s="32" t="s">
        <v>8</v>
      </c>
      <c r="C556" s="33">
        <v>440</v>
      </c>
      <c r="D556" s="32" t="s">
        <v>9</v>
      </c>
      <c r="E556" s="41"/>
    </row>
    <row r="557" spans="1:5" ht="34.5" customHeight="1" thickBot="1">
      <c r="A557" s="153" t="s">
        <v>436</v>
      </c>
      <c r="B557" s="154"/>
      <c r="C557" s="154"/>
      <c r="D557" s="155"/>
      <c r="E557" s="41"/>
    </row>
    <row r="558" spans="1:5" ht="34.5" customHeight="1" thickBot="1">
      <c r="A558" s="156" t="s">
        <v>435</v>
      </c>
      <c r="B558" s="157"/>
      <c r="C558" s="157"/>
      <c r="D558" s="158"/>
      <c r="E558" s="41"/>
    </row>
    <row r="559" spans="1:5" ht="34.5" customHeight="1">
      <c r="A559" s="159" t="s">
        <v>442</v>
      </c>
      <c r="B559" s="160" t="s">
        <v>441</v>
      </c>
      <c r="C559" s="160"/>
      <c r="D559" s="161"/>
      <c r="E559" s="41"/>
    </row>
    <row r="560" spans="1:5" ht="34.5" customHeight="1" thickBot="1">
      <c r="A560" s="162"/>
      <c r="B560" s="163"/>
      <c r="C560" s="163"/>
      <c r="D560" s="164"/>
      <c r="E560" s="44"/>
    </row>
    <row r="561" spans="1:5" ht="34.5" customHeight="1" thickBot="1">
      <c r="A561" s="142" t="s">
        <v>11</v>
      </c>
      <c r="B561" s="143"/>
      <c r="C561" s="165" t="s">
        <v>591</v>
      </c>
      <c r="D561" s="143"/>
      <c r="E561" s="44"/>
    </row>
    <row r="562" spans="1:5" ht="34.5" customHeight="1" thickBot="1">
      <c r="A562" s="137" t="s">
        <v>158</v>
      </c>
      <c r="B562" s="138"/>
      <c r="C562" s="138"/>
      <c r="D562" s="139"/>
      <c r="E562" s="43"/>
    </row>
    <row r="563" spans="1:5" ht="34.5" customHeight="1" thickBot="1">
      <c r="A563" s="34" t="s">
        <v>458</v>
      </c>
      <c r="B563" s="32" t="s">
        <v>438</v>
      </c>
      <c r="C563" s="34">
        <v>22</v>
      </c>
      <c r="D563" s="32" t="s">
        <v>0</v>
      </c>
      <c r="E563" s="43"/>
    </row>
    <row r="564" spans="1:5" ht="34.5" customHeight="1" thickBot="1">
      <c r="A564" s="37" t="s">
        <v>673</v>
      </c>
      <c r="B564" s="36" t="s">
        <v>1</v>
      </c>
      <c r="C564" s="34" t="s">
        <v>674</v>
      </c>
      <c r="D564" s="32" t="s">
        <v>2</v>
      </c>
      <c r="E564" s="42"/>
    </row>
    <row r="565" spans="1:5" ht="34.5" customHeight="1" thickBot="1">
      <c r="A565" s="140">
        <v>95</v>
      </c>
      <c r="B565" s="141"/>
      <c r="C565" s="142" t="s">
        <v>3</v>
      </c>
      <c r="D565" s="143"/>
      <c r="E565" s="41"/>
    </row>
    <row r="566" spans="1:5" ht="34.5" customHeight="1" thickBot="1">
      <c r="A566" s="140">
        <v>95</v>
      </c>
      <c r="B566" s="141"/>
      <c r="C566" s="144" t="s">
        <v>4</v>
      </c>
      <c r="D566" s="145"/>
      <c r="E566" s="41"/>
    </row>
    <row r="567" spans="1:5" ht="34.5" customHeight="1" thickBot="1">
      <c r="A567" s="146">
        <f>A566-A565</f>
        <v>0</v>
      </c>
      <c r="B567" s="147"/>
      <c r="C567" s="148"/>
      <c r="D567" s="35" t="s">
        <v>5</v>
      </c>
      <c r="E567" s="41"/>
    </row>
    <row r="568" spans="1:5" ht="34.5" customHeight="1" thickBot="1">
      <c r="A568" s="149">
        <v>23</v>
      </c>
      <c r="B568" s="150"/>
      <c r="C568" s="151"/>
      <c r="D568" s="35" t="s">
        <v>6</v>
      </c>
      <c r="E568" s="41"/>
    </row>
    <row r="569" spans="1:5" ht="34.5" customHeight="1" thickBot="1">
      <c r="A569" s="144">
        <f>A568*A567</f>
        <v>0</v>
      </c>
      <c r="B569" s="152"/>
      <c r="C569" s="145"/>
      <c r="D569" s="35" t="s">
        <v>7</v>
      </c>
      <c r="E569" s="41"/>
    </row>
    <row r="570" spans="1:5" ht="34.5" customHeight="1" thickBot="1">
      <c r="A570" s="144">
        <v>0</v>
      </c>
      <c r="B570" s="152"/>
      <c r="C570" s="145"/>
      <c r="D570" s="35" t="s">
        <v>437</v>
      </c>
      <c r="E570" s="41"/>
    </row>
    <row r="571" spans="1:5" ht="34.5" customHeight="1" thickBot="1">
      <c r="A571" s="34">
        <v>0</v>
      </c>
      <c r="B571" s="32" t="s">
        <v>8</v>
      </c>
      <c r="C571" s="33">
        <v>230</v>
      </c>
      <c r="D571" s="32" t="s">
        <v>9</v>
      </c>
      <c r="E571" s="41"/>
    </row>
    <row r="572" spans="1:5" ht="34.5" customHeight="1" thickBot="1">
      <c r="A572" s="153" t="s">
        <v>436</v>
      </c>
      <c r="B572" s="154"/>
      <c r="C572" s="154"/>
      <c r="D572" s="155"/>
      <c r="E572" s="41"/>
    </row>
    <row r="573" spans="1:5" ht="34.5" customHeight="1" thickBot="1">
      <c r="A573" s="156" t="s">
        <v>435</v>
      </c>
      <c r="B573" s="157"/>
      <c r="C573" s="157"/>
      <c r="D573" s="158"/>
      <c r="E573" s="41"/>
    </row>
    <row r="574" spans="1:5" ht="34.5" customHeight="1" thickBot="1">
      <c r="A574" s="40"/>
      <c r="B574" s="39"/>
      <c r="C574" s="39"/>
      <c r="D574" s="38"/>
      <c r="E574" s="41"/>
    </row>
    <row r="575" spans="1:5" ht="34.5" customHeight="1">
      <c r="A575" s="159" t="s">
        <v>442</v>
      </c>
      <c r="B575" s="160" t="s">
        <v>441</v>
      </c>
      <c r="C575" s="160"/>
      <c r="D575" s="161"/>
      <c r="E575" s="41"/>
    </row>
    <row r="576" spans="1:5" ht="34.5" customHeight="1" thickBot="1">
      <c r="A576" s="162"/>
      <c r="B576" s="163"/>
      <c r="C576" s="163"/>
      <c r="D576" s="164"/>
      <c r="E576" s="44"/>
    </row>
    <row r="577" spans="1:5" ht="34.5" customHeight="1" thickBot="1">
      <c r="A577" s="142" t="s">
        <v>11</v>
      </c>
      <c r="B577" s="143"/>
      <c r="C577" s="165" t="s">
        <v>591</v>
      </c>
      <c r="D577" s="143"/>
      <c r="E577" s="44"/>
    </row>
    <row r="578" spans="1:5" ht="34.5" customHeight="1" thickBot="1">
      <c r="A578" s="137" t="s">
        <v>158</v>
      </c>
      <c r="B578" s="138"/>
      <c r="C578" s="138"/>
      <c r="D578" s="139"/>
      <c r="E578" s="43"/>
    </row>
    <row r="579" spans="1:5" ht="34.5" customHeight="1" thickBot="1">
      <c r="A579" s="34" t="s">
        <v>458</v>
      </c>
      <c r="B579" s="32" t="s">
        <v>438</v>
      </c>
      <c r="C579" s="34">
        <v>22</v>
      </c>
      <c r="D579" s="32" t="s">
        <v>0</v>
      </c>
      <c r="E579" s="43"/>
    </row>
    <row r="580" spans="1:5" ht="34.5" customHeight="1" thickBot="1">
      <c r="A580" s="37" t="s">
        <v>673</v>
      </c>
      <c r="B580" s="36" t="s">
        <v>1</v>
      </c>
      <c r="C580" s="34" t="s">
        <v>674</v>
      </c>
      <c r="D580" s="32" t="s">
        <v>2</v>
      </c>
      <c r="E580" s="42"/>
    </row>
    <row r="581" spans="1:5" ht="34.5" customHeight="1" thickBot="1">
      <c r="A581" s="140">
        <v>85</v>
      </c>
      <c r="B581" s="141"/>
      <c r="C581" s="142" t="s">
        <v>3</v>
      </c>
      <c r="D581" s="143"/>
      <c r="E581" s="41"/>
    </row>
    <row r="582" spans="1:5" ht="34.5" customHeight="1" thickBot="1">
      <c r="A582" s="140">
        <v>95</v>
      </c>
      <c r="B582" s="141"/>
      <c r="C582" s="144" t="s">
        <v>4</v>
      </c>
      <c r="D582" s="145"/>
      <c r="E582" s="41"/>
    </row>
    <row r="583" spans="1:5" ht="34.5" customHeight="1" thickBot="1">
      <c r="A583" s="146">
        <f>A582-A581</f>
        <v>10</v>
      </c>
      <c r="B583" s="147"/>
      <c r="C583" s="148"/>
      <c r="D583" s="35" t="s">
        <v>5</v>
      </c>
      <c r="E583" s="41"/>
    </row>
    <row r="584" spans="1:5" ht="34.5" customHeight="1" thickBot="1">
      <c r="A584" s="149">
        <v>23</v>
      </c>
      <c r="B584" s="150"/>
      <c r="C584" s="151"/>
      <c r="D584" s="35" t="s">
        <v>6</v>
      </c>
      <c r="E584" s="41"/>
    </row>
    <row r="585" spans="1:5" ht="34.5" customHeight="1" thickBot="1">
      <c r="A585" s="144">
        <f>A584*A583</f>
        <v>230</v>
      </c>
      <c r="B585" s="152"/>
      <c r="C585" s="145"/>
      <c r="D585" s="35" t="s">
        <v>7</v>
      </c>
      <c r="E585" s="41"/>
    </row>
    <row r="586" spans="1:5" ht="34.5" customHeight="1" thickBot="1">
      <c r="A586" s="144">
        <v>0</v>
      </c>
      <c r="B586" s="152"/>
      <c r="C586" s="145"/>
      <c r="D586" s="35" t="s">
        <v>437</v>
      </c>
      <c r="E586" s="41"/>
    </row>
    <row r="587" spans="1:5" ht="34.5" customHeight="1" thickBot="1">
      <c r="A587" s="34">
        <v>0</v>
      </c>
      <c r="B587" s="32" t="s">
        <v>8</v>
      </c>
      <c r="C587" s="33">
        <v>230</v>
      </c>
      <c r="D587" s="32" t="s">
        <v>9</v>
      </c>
      <c r="E587" s="41"/>
    </row>
    <row r="588" spans="1:5" ht="34.5" customHeight="1" thickBot="1">
      <c r="A588" s="153" t="s">
        <v>436</v>
      </c>
      <c r="B588" s="154"/>
      <c r="C588" s="154"/>
      <c r="D588" s="155"/>
      <c r="E588" s="41"/>
    </row>
    <row r="589" spans="1:5" ht="34.5" customHeight="1" thickBot="1">
      <c r="A589" s="156" t="s">
        <v>435</v>
      </c>
      <c r="B589" s="157"/>
      <c r="C589" s="157"/>
      <c r="D589" s="158"/>
      <c r="E589" s="41"/>
    </row>
    <row r="590" spans="1:5" ht="34.5" customHeight="1">
      <c r="A590" s="159" t="s">
        <v>442</v>
      </c>
      <c r="B590" s="160" t="s">
        <v>441</v>
      </c>
      <c r="C590" s="160"/>
      <c r="D590" s="161"/>
      <c r="E590" s="41"/>
    </row>
    <row r="591" spans="1:5" ht="34.5" customHeight="1" thickBot="1">
      <c r="A591" s="162"/>
      <c r="B591" s="163"/>
      <c r="C591" s="163"/>
      <c r="D591" s="164"/>
      <c r="E591" s="44"/>
    </row>
    <row r="592" spans="1:5" ht="34.5" customHeight="1" thickBot="1">
      <c r="A592" s="142" t="s">
        <v>11</v>
      </c>
      <c r="B592" s="143"/>
      <c r="C592" s="165" t="s">
        <v>591</v>
      </c>
      <c r="D592" s="143"/>
      <c r="E592" s="44"/>
    </row>
    <row r="593" spans="1:5" ht="34.5" customHeight="1" thickBot="1">
      <c r="A593" s="137" t="s">
        <v>476</v>
      </c>
      <c r="B593" s="138"/>
      <c r="C593" s="138"/>
      <c r="D593" s="139"/>
      <c r="E593" s="43"/>
    </row>
    <row r="594" spans="1:5" ht="34.5" customHeight="1" thickBot="1">
      <c r="A594" s="34" t="s">
        <v>458</v>
      </c>
      <c r="B594" s="32" t="s">
        <v>438</v>
      </c>
      <c r="C594" s="34">
        <v>23</v>
      </c>
      <c r="D594" s="32" t="s">
        <v>0</v>
      </c>
      <c r="E594" s="43"/>
    </row>
    <row r="595" spans="1:5" ht="34.5" customHeight="1" thickBot="1">
      <c r="A595" s="37" t="s">
        <v>673</v>
      </c>
      <c r="B595" s="36" t="s">
        <v>1</v>
      </c>
      <c r="C595" s="34" t="s">
        <v>674</v>
      </c>
      <c r="D595" s="32" t="s">
        <v>2</v>
      </c>
      <c r="E595" s="42"/>
    </row>
    <row r="596" spans="1:5" ht="34.5" customHeight="1" thickBot="1">
      <c r="A596" s="140">
        <v>186</v>
      </c>
      <c r="B596" s="141"/>
      <c r="C596" s="142" t="s">
        <v>3</v>
      </c>
      <c r="D596" s="143"/>
      <c r="E596" s="41"/>
    </row>
    <row r="597" spans="1:5" ht="34.5" customHeight="1" thickBot="1">
      <c r="A597" s="140">
        <v>186</v>
      </c>
      <c r="B597" s="141"/>
      <c r="C597" s="144" t="s">
        <v>4</v>
      </c>
      <c r="D597" s="145"/>
      <c r="E597" s="41"/>
    </row>
    <row r="598" spans="1:5" ht="34.5" customHeight="1" thickBot="1">
      <c r="A598" s="146">
        <f>A597-A596</f>
        <v>0</v>
      </c>
      <c r="B598" s="147"/>
      <c r="C598" s="148"/>
      <c r="D598" s="35" t="s">
        <v>5</v>
      </c>
      <c r="E598" s="41"/>
    </row>
    <row r="599" spans="1:5" ht="34.5" customHeight="1" thickBot="1">
      <c r="A599" s="149">
        <v>23</v>
      </c>
      <c r="B599" s="150"/>
      <c r="C599" s="151"/>
      <c r="D599" s="35" t="s">
        <v>6</v>
      </c>
      <c r="E599" s="41"/>
    </row>
    <row r="600" spans="1:5" ht="34.5" customHeight="1" thickBot="1">
      <c r="A600" s="144">
        <f>A599*A598</f>
        <v>0</v>
      </c>
      <c r="B600" s="152"/>
      <c r="C600" s="145"/>
      <c r="D600" s="35" t="s">
        <v>7</v>
      </c>
      <c r="E600" s="41"/>
    </row>
    <row r="601" spans="1:5" ht="34.5" customHeight="1" thickBot="1">
      <c r="A601" s="144">
        <v>0</v>
      </c>
      <c r="B601" s="152"/>
      <c r="C601" s="145"/>
      <c r="D601" s="35" t="s">
        <v>437</v>
      </c>
      <c r="E601" s="41"/>
    </row>
    <row r="602" spans="1:5" ht="34.5" customHeight="1" thickBot="1">
      <c r="A602" s="34">
        <v>0</v>
      </c>
      <c r="B602" s="32" t="s">
        <v>8</v>
      </c>
      <c r="C602" s="33">
        <v>530</v>
      </c>
      <c r="D602" s="32" t="s">
        <v>9</v>
      </c>
      <c r="E602" s="41"/>
    </row>
    <row r="603" spans="1:5" ht="34.5" customHeight="1" thickBot="1">
      <c r="A603" s="153" t="s">
        <v>436</v>
      </c>
      <c r="B603" s="154"/>
      <c r="C603" s="154"/>
      <c r="D603" s="155"/>
      <c r="E603" s="41"/>
    </row>
    <row r="604" spans="1:5" ht="34.5" customHeight="1" thickBot="1">
      <c r="A604" s="156" t="s">
        <v>435</v>
      </c>
      <c r="B604" s="157"/>
      <c r="C604" s="157"/>
      <c r="D604" s="158"/>
      <c r="E604" s="41"/>
    </row>
    <row r="605" spans="1:5" ht="34.5" customHeight="1" thickBot="1">
      <c r="A605" s="40"/>
      <c r="B605" s="39"/>
      <c r="C605" s="39"/>
      <c r="D605" s="38"/>
      <c r="E605" s="41"/>
    </row>
    <row r="606" spans="1:5" ht="34.5" customHeight="1">
      <c r="A606" s="159" t="s">
        <v>442</v>
      </c>
      <c r="B606" s="160" t="s">
        <v>441</v>
      </c>
      <c r="C606" s="160"/>
      <c r="D606" s="161"/>
      <c r="E606" s="41"/>
    </row>
    <row r="607" spans="1:5" ht="34.5" customHeight="1" thickBot="1">
      <c r="A607" s="162"/>
      <c r="B607" s="163"/>
      <c r="C607" s="163"/>
      <c r="D607" s="164"/>
      <c r="E607" s="44"/>
    </row>
    <row r="608" spans="1:5" ht="34.5" customHeight="1" thickBot="1">
      <c r="A608" s="142" t="s">
        <v>11</v>
      </c>
      <c r="B608" s="143"/>
      <c r="C608" s="165" t="s">
        <v>591</v>
      </c>
      <c r="D608" s="143"/>
      <c r="E608" s="44"/>
    </row>
    <row r="609" spans="1:5" ht="34.5" customHeight="1" thickBot="1">
      <c r="A609" s="137" t="s">
        <v>476</v>
      </c>
      <c r="B609" s="138"/>
      <c r="C609" s="138"/>
      <c r="D609" s="139"/>
      <c r="E609" s="43"/>
    </row>
    <row r="610" spans="1:5" ht="34.5" customHeight="1" thickBot="1">
      <c r="A610" s="34" t="s">
        <v>458</v>
      </c>
      <c r="B610" s="32" t="s">
        <v>438</v>
      </c>
      <c r="C610" s="34">
        <v>23</v>
      </c>
      <c r="D610" s="32" t="s">
        <v>0</v>
      </c>
      <c r="E610" s="43"/>
    </row>
    <row r="611" spans="1:5" ht="34.5" customHeight="1" thickBot="1">
      <c r="A611" s="37" t="s">
        <v>673</v>
      </c>
      <c r="B611" s="36" t="s">
        <v>1</v>
      </c>
      <c r="C611" s="34" t="s">
        <v>674</v>
      </c>
      <c r="D611" s="32" t="s">
        <v>2</v>
      </c>
      <c r="E611" s="42"/>
    </row>
    <row r="612" spans="1:5" ht="34.5" customHeight="1" thickBot="1">
      <c r="A612" s="140">
        <v>163</v>
      </c>
      <c r="B612" s="141"/>
      <c r="C612" s="142" t="s">
        <v>3</v>
      </c>
      <c r="D612" s="143"/>
      <c r="E612" s="41"/>
    </row>
    <row r="613" spans="1:5" ht="34.5" customHeight="1" thickBot="1">
      <c r="A613" s="140">
        <v>186</v>
      </c>
      <c r="B613" s="141"/>
      <c r="C613" s="144" t="s">
        <v>4</v>
      </c>
      <c r="D613" s="145"/>
      <c r="E613" s="41"/>
    </row>
    <row r="614" spans="1:5" ht="34.5" customHeight="1" thickBot="1">
      <c r="A614" s="146">
        <f>A613-A612</f>
        <v>23</v>
      </c>
      <c r="B614" s="147"/>
      <c r="C614" s="148"/>
      <c r="D614" s="35" t="s">
        <v>5</v>
      </c>
      <c r="E614" s="41"/>
    </row>
    <row r="615" spans="1:5" ht="34.5" customHeight="1" thickBot="1">
      <c r="A615" s="149">
        <v>23</v>
      </c>
      <c r="B615" s="150"/>
      <c r="C615" s="151"/>
      <c r="D615" s="35" t="s">
        <v>6</v>
      </c>
      <c r="E615" s="41"/>
    </row>
    <row r="616" spans="1:5" ht="34.5" customHeight="1" thickBot="1">
      <c r="A616" s="144">
        <f>A615*A614</f>
        <v>529</v>
      </c>
      <c r="B616" s="152"/>
      <c r="C616" s="145"/>
      <c r="D616" s="35" t="s">
        <v>7</v>
      </c>
      <c r="E616" s="41"/>
    </row>
    <row r="617" spans="1:5" ht="34.5" customHeight="1" thickBot="1">
      <c r="A617" s="144">
        <v>0</v>
      </c>
      <c r="B617" s="152"/>
      <c r="C617" s="145"/>
      <c r="D617" s="35" t="s">
        <v>437</v>
      </c>
      <c r="E617" s="41"/>
    </row>
    <row r="618" spans="1:5" ht="34.5" customHeight="1" thickBot="1">
      <c r="A618" s="34">
        <v>0</v>
      </c>
      <c r="B618" s="32" t="s">
        <v>8</v>
      </c>
      <c r="C618" s="33">
        <v>530</v>
      </c>
      <c r="D618" s="32" t="s">
        <v>9</v>
      </c>
      <c r="E618" s="41"/>
    </row>
    <row r="619" spans="1:5" ht="34.5" customHeight="1" thickBot="1">
      <c r="A619" s="153" t="s">
        <v>436</v>
      </c>
      <c r="B619" s="154"/>
      <c r="C619" s="154"/>
      <c r="D619" s="155"/>
      <c r="E619" s="41"/>
    </row>
    <row r="620" spans="1:5" ht="34.5" customHeight="1" thickBot="1">
      <c r="A620" s="156" t="s">
        <v>435</v>
      </c>
      <c r="B620" s="157"/>
      <c r="C620" s="157"/>
      <c r="D620" s="158"/>
      <c r="E620" s="41"/>
    </row>
    <row r="621" spans="1:5" ht="34.5" customHeight="1">
      <c r="A621" s="159" t="s">
        <v>442</v>
      </c>
      <c r="B621" s="160" t="s">
        <v>441</v>
      </c>
      <c r="C621" s="160"/>
      <c r="D621" s="161"/>
      <c r="E621" s="44"/>
    </row>
    <row r="622" spans="1:5" ht="34.5" customHeight="1" thickBot="1">
      <c r="A622" s="162"/>
      <c r="B622" s="163"/>
      <c r="C622" s="163"/>
      <c r="D622" s="164"/>
      <c r="E622" s="44"/>
    </row>
    <row r="623" spans="1:5" ht="34.5" customHeight="1" thickBot="1">
      <c r="A623" s="142" t="s">
        <v>11</v>
      </c>
      <c r="B623" s="143"/>
      <c r="C623" s="165" t="s">
        <v>591</v>
      </c>
      <c r="D623" s="143"/>
      <c r="E623" s="43"/>
    </row>
    <row r="624" spans="1:5" ht="34.5" customHeight="1" thickBot="1">
      <c r="A624" s="137" t="s">
        <v>331</v>
      </c>
      <c r="B624" s="138"/>
      <c r="C624" s="138"/>
      <c r="D624" s="139"/>
      <c r="E624" s="43"/>
    </row>
    <row r="625" spans="1:5" ht="34.5" customHeight="1" thickBot="1">
      <c r="A625" s="34" t="s">
        <v>458</v>
      </c>
      <c r="B625" s="32" t="s">
        <v>438</v>
      </c>
      <c r="C625" s="34">
        <v>24</v>
      </c>
      <c r="D625" s="32" t="s">
        <v>0</v>
      </c>
      <c r="E625" s="42"/>
    </row>
    <row r="626" spans="1:5" ht="34.5" customHeight="1" thickBot="1">
      <c r="A626" s="37" t="s">
        <v>673</v>
      </c>
      <c r="B626" s="36" t="s">
        <v>1</v>
      </c>
      <c r="C626" s="34" t="s">
        <v>674</v>
      </c>
      <c r="D626" s="32" t="s">
        <v>2</v>
      </c>
      <c r="E626" s="41"/>
    </row>
    <row r="627" spans="1:5" ht="34.5" customHeight="1" thickBot="1">
      <c r="A627" s="140">
        <v>250</v>
      </c>
      <c r="B627" s="141"/>
      <c r="C627" s="142" t="s">
        <v>3</v>
      </c>
      <c r="D627" s="143"/>
      <c r="E627" s="41"/>
    </row>
    <row r="628" spans="1:5" ht="34.5" customHeight="1" thickBot="1">
      <c r="A628" s="140">
        <v>250</v>
      </c>
      <c r="B628" s="141"/>
      <c r="C628" s="144" t="s">
        <v>4</v>
      </c>
      <c r="D628" s="145"/>
      <c r="E628" s="41"/>
    </row>
    <row r="629" spans="1:5" ht="34.5" customHeight="1" thickBot="1">
      <c r="A629" s="146">
        <f>A628-A627</f>
        <v>0</v>
      </c>
      <c r="B629" s="147"/>
      <c r="C629" s="148"/>
      <c r="D629" s="35" t="s">
        <v>5</v>
      </c>
      <c r="E629" s="41"/>
    </row>
    <row r="630" spans="1:5" ht="34.5" customHeight="1" thickBot="1">
      <c r="A630" s="149">
        <v>23</v>
      </c>
      <c r="B630" s="150"/>
      <c r="C630" s="151"/>
      <c r="D630" s="35" t="s">
        <v>6</v>
      </c>
      <c r="E630" s="41"/>
    </row>
    <row r="631" spans="1:5" ht="34.5" customHeight="1" thickBot="1">
      <c r="A631" s="144">
        <f>A630*A629</f>
        <v>0</v>
      </c>
      <c r="B631" s="152"/>
      <c r="C631" s="145"/>
      <c r="D631" s="35" t="s">
        <v>7</v>
      </c>
      <c r="E631" s="41"/>
    </row>
    <row r="632" spans="1:5" ht="34.5" customHeight="1" thickBot="1">
      <c r="A632" s="144">
        <v>0</v>
      </c>
      <c r="B632" s="152"/>
      <c r="C632" s="145"/>
      <c r="D632" s="35" t="s">
        <v>437</v>
      </c>
      <c r="E632" s="41"/>
    </row>
    <row r="633" spans="1:5" ht="34.5" customHeight="1" thickBot="1">
      <c r="A633" s="34">
        <v>0</v>
      </c>
      <c r="B633" s="32" t="s">
        <v>8</v>
      </c>
      <c r="C633" s="33">
        <v>960</v>
      </c>
      <c r="D633" s="32" t="s">
        <v>9</v>
      </c>
      <c r="E633" s="41"/>
    </row>
    <row r="634" spans="1:5" ht="34.5" customHeight="1" thickBot="1">
      <c r="A634" s="153" t="s">
        <v>436</v>
      </c>
      <c r="B634" s="154"/>
      <c r="C634" s="154"/>
      <c r="D634" s="155"/>
      <c r="E634" s="41"/>
    </row>
    <row r="635" spans="1:5" ht="34.5" customHeight="1" thickBot="1">
      <c r="A635" s="156" t="s">
        <v>435</v>
      </c>
      <c r="B635" s="157"/>
      <c r="C635" s="157"/>
      <c r="D635" s="158"/>
      <c r="E635" s="41"/>
    </row>
    <row r="636" spans="1:5" ht="34.5" customHeight="1" thickBot="1">
      <c r="A636" s="40"/>
      <c r="B636" s="39"/>
      <c r="C636" s="39"/>
      <c r="D636" s="38"/>
      <c r="E636" s="41"/>
    </row>
    <row r="637" spans="1:5" ht="34.5" customHeight="1">
      <c r="A637" s="159" t="s">
        <v>442</v>
      </c>
      <c r="B637" s="160" t="s">
        <v>441</v>
      </c>
      <c r="C637" s="160"/>
      <c r="D637" s="161"/>
      <c r="E637" s="41"/>
    </row>
    <row r="638" spans="1:5" ht="34.5" customHeight="1" thickBot="1">
      <c r="A638" s="162"/>
      <c r="B638" s="163"/>
      <c r="C638" s="163"/>
      <c r="D638" s="164"/>
      <c r="E638" s="41"/>
    </row>
    <row r="639" spans="1:5" ht="34.5" customHeight="1" thickBot="1">
      <c r="A639" s="142" t="s">
        <v>11</v>
      </c>
      <c r="B639" s="143"/>
      <c r="C639" s="165" t="s">
        <v>591</v>
      </c>
      <c r="D639" s="143"/>
      <c r="E639" s="41"/>
    </row>
    <row r="640" spans="1:5" ht="34.5" customHeight="1" thickBot="1">
      <c r="A640" s="137" t="s">
        <v>331</v>
      </c>
      <c r="B640" s="138"/>
      <c r="C640" s="138"/>
      <c r="D640" s="139"/>
      <c r="E640" s="44"/>
    </row>
    <row r="641" spans="1:5" ht="34.5" customHeight="1" thickBot="1">
      <c r="A641" s="34" t="s">
        <v>458</v>
      </c>
      <c r="B641" s="32" t="s">
        <v>438</v>
      </c>
      <c r="C641" s="34">
        <v>24</v>
      </c>
      <c r="D641" s="32" t="s">
        <v>0</v>
      </c>
      <c r="E641" s="44"/>
    </row>
    <row r="642" spans="1:5" ht="34.5" customHeight="1" thickBot="1">
      <c r="A642" s="37" t="s">
        <v>673</v>
      </c>
      <c r="B642" s="36" t="s">
        <v>1</v>
      </c>
      <c r="C642" s="34" t="s">
        <v>674</v>
      </c>
      <c r="D642" s="32" t="s">
        <v>2</v>
      </c>
      <c r="E642" s="43"/>
    </row>
    <row r="643" spans="1:5" ht="34.5" customHeight="1" thickBot="1">
      <c r="A643" s="140">
        <v>208</v>
      </c>
      <c r="B643" s="141"/>
      <c r="C643" s="142" t="s">
        <v>3</v>
      </c>
      <c r="D643" s="143"/>
      <c r="E643" s="43"/>
    </row>
    <row r="644" spans="1:5" ht="34.5" customHeight="1" thickBot="1">
      <c r="A644" s="140">
        <v>250</v>
      </c>
      <c r="B644" s="141"/>
      <c r="C644" s="144" t="s">
        <v>4</v>
      </c>
      <c r="D644" s="145"/>
      <c r="E644" s="42"/>
    </row>
    <row r="645" spans="1:5" ht="34.5" customHeight="1" thickBot="1">
      <c r="A645" s="146">
        <f>A644-A643</f>
        <v>42</v>
      </c>
      <c r="B645" s="147"/>
      <c r="C645" s="148"/>
      <c r="D645" s="35" t="s">
        <v>5</v>
      </c>
      <c r="E645" s="41"/>
    </row>
    <row r="646" spans="1:5" ht="34.5" customHeight="1" thickBot="1">
      <c r="A646" s="149">
        <v>23</v>
      </c>
      <c r="B646" s="150"/>
      <c r="C646" s="151"/>
      <c r="D646" s="35" t="s">
        <v>6</v>
      </c>
      <c r="E646" s="41"/>
    </row>
    <row r="647" spans="1:5" ht="34.5" customHeight="1" thickBot="1">
      <c r="A647" s="144">
        <f>A646*A645</f>
        <v>966</v>
      </c>
      <c r="B647" s="152"/>
      <c r="C647" s="145"/>
      <c r="D647" s="35" t="s">
        <v>7</v>
      </c>
      <c r="E647" s="41"/>
    </row>
    <row r="648" spans="1:5" ht="34.5" customHeight="1" thickBot="1">
      <c r="A648" s="144">
        <v>0</v>
      </c>
      <c r="B648" s="152"/>
      <c r="C648" s="145"/>
      <c r="D648" s="35" t="s">
        <v>437</v>
      </c>
      <c r="E648" s="41"/>
    </row>
    <row r="649" spans="1:5" ht="34.5" customHeight="1" thickBot="1">
      <c r="A649" s="34">
        <v>0</v>
      </c>
      <c r="B649" s="32" t="s">
        <v>8</v>
      </c>
      <c r="C649" s="33">
        <v>960</v>
      </c>
      <c r="D649" s="32" t="s">
        <v>9</v>
      </c>
      <c r="E649" s="41"/>
    </row>
    <row r="650" spans="1:5" ht="34.5" customHeight="1" thickBot="1">
      <c r="A650" s="153" t="s">
        <v>436</v>
      </c>
      <c r="B650" s="154"/>
      <c r="C650" s="154"/>
      <c r="D650" s="155"/>
      <c r="E650" s="41"/>
    </row>
    <row r="651" spans="1:5" ht="34.5" customHeight="1" thickBot="1">
      <c r="A651" s="169" t="s">
        <v>435</v>
      </c>
      <c r="B651" s="170"/>
      <c r="C651" s="170"/>
      <c r="D651" s="171"/>
      <c r="E651" s="41"/>
    </row>
    <row r="652" spans="1:5" ht="34.5" customHeight="1">
      <c r="A652" s="159" t="s">
        <v>441</v>
      </c>
      <c r="B652" s="160"/>
      <c r="C652" s="160"/>
      <c r="D652" s="161"/>
      <c r="E652" s="44"/>
    </row>
    <row r="653" spans="1:5" ht="34.5" customHeight="1" thickBot="1">
      <c r="A653" s="162"/>
      <c r="B653" s="163"/>
      <c r="C653" s="163"/>
      <c r="D653" s="164"/>
      <c r="E653" s="44"/>
    </row>
    <row r="654" spans="1:5" ht="34.5" customHeight="1" thickBot="1">
      <c r="A654" s="142" t="s">
        <v>11</v>
      </c>
      <c r="B654" s="143"/>
      <c r="C654" s="165" t="s">
        <v>591</v>
      </c>
      <c r="D654" s="143"/>
      <c r="E654" s="43"/>
    </row>
    <row r="655" spans="1:5" ht="34.5" customHeight="1" thickBot="1">
      <c r="A655" s="137" t="s">
        <v>424</v>
      </c>
      <c r="B655" s="138"/>
      <c r="C655" s="138"/>
      <c r="D655" s="139"/>
      <c r="E655" s="43"/>
    </row>
    <row r="656" spans="1:5" ht="34.5" customHeight="1" thickBot="1">
      <c r="A656" s="34" t="s">
        <v>458</v>
      </c>
      <c r="B656" s="32" t="s">
        <v>438</v>
      </c>
      <c r="C656" s="34">
        <v>25</v>
      </c>
      <c r="D656" s="32" t="s">
        <v>0</v>
      </c>
      <c r="E656" s="42"/>
    </row>
    <row r="657" spans="1:5" ht="34.5" customHeight="1" thickBot="1">
      <c r="A657" s="37" t="s">
        <v>673</v>
      </c>
      <c r="B657" s="36" t="s">
        <v>1</v>
      </c>
      <c r="C657" s="34" t="s">
        <v>674</v>
      </c>
      <c r="D657" s="32" t="s">
        <v>2</v>
      </c>
      <c r="E657" s="41"/>
    </row>
    <row r="658" spans="1:5" ht="34.5" customHeight="1" thickBot="1">
      <c r="A658" s="140">
        <v>86</v>
      </c>
      <c r="B658" s="141"/>
      <c r="C658" s="142" t="s">
        <v>3</v>
      </c>
      <c r="D658" s="143"/>
      <c r="E658" s="41"/>
    </row>
    <row r="659" spans="1:5" ht="34.5" customHeight="1" thickBot="1">
      <c r="A659" s="140">
        <v>86</v>
      </c>
      <c r="B659" s="141"/>
      <c r="C659" s="144" t="s">
        <v>4</v>
      </c>
      <c r="D659" s="145"/>
      <c r="E659" s="41"/>
    </row>
    <row r="660" spans="1:5" ht="34.5" customHeight="1" thickBot="1">
      <c r="A660" s="146">
        <f>A659-A658</f>
        <v>0</v>
      </c>
      <c r="B660" s="147"/>
      <c r="C660" s="148"/>
      <c r="D660" s="35" t="s">
        <v>5</v>
      </c>
      <c r="E660" s="41"/>
    </row>
    <row r="661" spans="1:5" ht="34.5" customHeight="1" thickBot="1">
      <c r="A661" s="149">
        <v>23</v>
      </c>
      <c r="B661" s="150"/>
      <c r="C661" s="151"/>
      <c r="D661" s="35" t="s">
        <v>6</v>
      </c>
      <c r="E661" s="41"/>
    </row>
    <row r="662" spans="1:5" ht="34.5" customHeight="1" thickBot="1">
      <c r="A662" s="144">
        <f>A661*A660</f>
        <v>0</v>
      </c>
      <c r="B662" s="152"/>
      <c r="C662" s="145"/>
      <c r="D662" s="35" t="s">
        <v>7</v>
      </c>
      <c r="E662" s="41"/>
    </row>
    <row r="663" spans="1:5" ht="34.5" customHeight="1" thickBot="1">
      <c r="A663" s="144">
        <v>0</v>
      </c>
      <c r="B663" s="152"/>
      <c r="C663" s="145"/>
      <c r="D663" s="35" t="s">
        <v>437</v>
      </c>
      <c r="E663" s="41"/>
    </row>
    <row r="664" spans="1:5" ht="34.5" customHeight="1" thickBot="1">
      <c r="A664" s="34">
        <v>0</v>
      </c>
      <c r="B664" s="32" t="s">
        <v>8</v>
      </c>
      <c r="C664" s="33">
        <v>350</v>
      </c>
      <c r="D664" s="32" t="s">
        <v>9</v>
      </c>
      <c r="E664" s="41"/>
    </row>
    <row r="665" spans="1:5" ht="34.5" customHeight="1" thickBot="1">
      <c r="A665" s="153" t="s">
        <v>436</v>
      </c>
      <c r="B665" s="154"/>
      <c r="C665" s="154"/>
      <c r="D665" s="155"/>
      <c r="E665" s="41"/>
    </row>
    <row r="666" spans="1:5" ht="34.5" customHeight="1" thickBot="1">
      <c r="A666" s="156" t="s">
        <v>435</v>
      </c>
      <c r="B666" s="157"/>
      <c r="C666" s="157"/>
      <c r="D666" s="158"/>
      <c r="E666" s="41"/>
    </row>
    <row r="667" spans="1:5" ht="34.5" customHeight="1" thickBot="1">
      <c r="A667" s="40"/>
      <c r="B667" s="39"/>
      <c r="C667" s="39"/>
      <c r="D667" s="38"/>
      <c r="E667" s="41"/>
    </row>
    <row r="668" spans="1:5" ht="34.5" customHeight="1">
      <c r="A668" s="159" t="s">
        <v>441</v>
      </c>
      <c r="B668" s="160"/>
      <c r="C668" s="160"/>
      <c r="D668" s="161"/>
      <c r="E668" s="44"/>
    </row>
    <row r="669" spans="1:5" ht="34.5" customHeight="1" thickBot="1">
      <c r="A669" s="162"/>
      <c r="B669" s="163"/>
      <c r="C669" s="163"/>
      <c r="D669" s="164"/>
      <c r="E669" s="44"/>
    </row>
    <row r="670" spans="1:5" ht="34.5" customHeight="1" thickBot="1">
      <c r="A670" s="142" t="s">
        <v>11</v>
      </c>
      <c r="B670" s="143"/>
      <c r="C670" s="165" t="s">
        <v>591</v>
      </c>
      <c r="D670" s="143"/>
      <c r="E670" s="43"/>
    </row>
    <row r="671" spans="1:5" ht="34.5" customHeight="1" thickBot="1">
      <c r="A671" s="137" t="s">
        <v>424</v>
      </c>
      <c r="B671" s="138"/>
      <c r="C671" s="138"/>
      <c r="D671" s="139"/>
      <c r="E671" s="43"/>
    </row>
    <row r="672" spans="1:5" ht="34.5" customHeight="1" thickBot="1">
      <c r="A672" s="34" t="s">
        <v>458</v>
      </c>
      <c r="B672" s="32" t="s">
        <v>438</v>
      </c>
      <c r="C672" s="34">
        <v>25</v>
      </c>
      <c r="D672" s="32" t="s">
        <v>0</v>
      </c>
      <c r="E672" s="42"/>
    </row>
    <row r="673" spans="1:5" ht="34.5" customHeight="1" thickBot="1">
      <c r="A673" s="37" t="s">
        <v>673</v>
      </c>
      <c r="B673" s="36" t="s">
        <v>1</v>
      </c>
      <c r="C673" s="34" t="s">
        <v>674</v>
      </c>
      <c r="D673" s="32" t="s">
        <v>2</v>
      </c>
      <c r="E673" s="41"/>
    </row>
    <row r="674" spans="1:5" ht="34.5" customHeight="1" thickBot="1">
      <c r="A674" s="140">
        <v>71</v>
      </c>
      <c r="B674" s="141"/>
      <c r="C674" s="142" t="s">
        <v>3</v>
      </c>
      <c r="D674" s="143"/>
      <c r="E674" s="41"/>
    </row>
    <row r="675" spans="1:5" ht="34.5" customHeight="1" thickBot="1">
      <c r="A675" s="140">
        <v>86</v>
      </c>
      <c r="B675" s="141"/>
      <c r="C675" s="144" t="s">
        <v>4</v>
      </c>
      <c r="D675" s="145"/>
      <c r="E675" s="41"/>
    </row>
    <row r="676" spans="1:5" ht="34.5" customHeight="1" thickBot="1">
      <c r="A676" s="146">
        <f>A675-A674</f>
        <v>15</v>
      </c>
      <c r="B676" s="147"/>
      <c r="C676" s="148"/>
      <c r="D676" s="35" t="s">
        <v>5</v>
      </c>
      <c r="E676" s="41"/>
    </row>
    <row r="677" spans="1:5" ht="34.5" customHeight="1" thickBot="1">
      <c r="A677" s="149">
        <v>23</v>
      </c>
      <c r="B677" s="150"/>
      <c r="C677" s="151"/>
      <c r="D677" s="35" t="s">
        <v>6</v>
      </c>
      <c r="E677" s="41"/>
    </row>
    <row r="678" spans="1:5" ht="34.5" customHeight="1" thickBot="1">
      <c r="A678" s="144">
        <f>A677*A676</f>
        <v>345</v>
      </c>
      <c r="B678" s="152"/>
      <c r="C678" s="145"/>
      <c r="D678" s="35" t="s">
        <v>7</v>
      </c>
      <c r="E678" s="41"/>
    </row>
    <row r="679" spans="1:5" ht="34.5" customHeight="1" thickBot="1">
      <c r="A679" s="144">
        <v>0</v>
      </c>
      <c r="B679" s="152"/>
      <c r="C679" s="145"/>
      <c r="D679" s="35" t="s">
        <v>437</v>
      </c>
      <c r="E679" s="41"/>
    </row>
    <row r="680" spans="1:5" ht="34.5" customHeight="1" thickBot="1">
      <c r="A680" s="34">
        <v>0</v>
      </c>
      <c r="B680" s="32" t="s">
        <v>8</v>
      </c>
      <c r="C680" s="33">
        <v>350</v>
      </c>
      <c r="D680" s="32" t="s">
        <v>9</v>
      </c>
      <c r="E680" s="41"/>
    </row>
    <row r="681" spans="1:5" ht="34.5" customHeight="1" thickBot="1">
      <c r="A681" s="153" t="s">
        <v>436</v>
      </c>
      <c r="B681" s="154"/>
      <c r="C681" s="154"/>
      <c r="D681" s="155"/>
      <c r="E681" s="41"/>
    </row>
    <row r="682" spans="1:5" ht="34.5" customHeight="1" thickBot="1">
      <c r="A682" s="156" t="s">
        <v>435</v>
      </c>
      <c r="B682" s="157"/>
      <c r="C682" s="157"/>
      <c r="D682" s="158"/>
      <c r="E682" s="41"/>
    </row>
    <row r="683" spans="1:5" ht="34.5" customHeight="1">
      <c r="A683" s="159" t="s">
        <v>442</v>
      </c>
      <c r="B683" s="160" t="s">
        <v>441</v>
      </c>
      <c r="C683" s="160"/>
      <c r="D683" s="161"/>
      <c r="E683" s="44"/>
    </row>
    <row r="684" spans="1:5" ht="34.5" customHeight="1" thickBot="1">
      <c r="A684" s="162"/>
      <c r="B684" s="163"/>
      <c r="C684" s="163"/>
      <c r="D684" s="164"/>
      <c r="E684" s="44"/>
    </row>
    <row r="685" spans="1:5" ht="34.5" customHeight="1" thickBot="1">
      <c r="A685" s="142" t="s">
        <v>11</v>
      </c>
      <c r="B685" s="143"/>
      <c r="C685" s="165" t="s">
        <v>591</v>
      </c>
      <c r="D685" s="143"/>
      <c r="E685" s="43"/>
    </row>
    <row r="686" spans="1:5" ht="34.5" customHeight="1" thickBot="1">
      <c r="A686" s="137" t="s">
        <v>408</v>
      </c>
      <c r="B686" s="138"/>
      <c r="C686" s="138"/>
      <c r="D686" s="139"/>
      <c r="E686" s="43"/>
    </row>
    <row r="687" spans="1:5" ht="34.5" customHeight="1" thickBot="1">
      <c r="A687" s="34" t="s">
        <v>458</v>
      </c>
      <c r="B687" s="32" t="s">
        <v>438</v>
      </c>
      <c r="C687" s="34">
        <v>26</v>
      </c>
      <c r="D687" s="32" t="s">
        <v>0</v>
      </c>
      <c r="E687" s="42"/>
    </row>
    <row r="688" spans="1:5" ht="34.5" customHeight="1" thickBot="1">
      <c r="A688" s="37" t="s">
        <v>673</v>
      </c>
      <c r="B688" s="36" t="s">
        <v>1</v>
      </c>
      <c r="C688" s="34" t="s">
        <v>674</v>
      </c>
      <c r="D688" s="32" t="s">
        <v>2</v>
      </c>
      <c r="E688" s="41"/>
    </row>
    <row r="689" spans="1:5" ht="34.5" customHeight="1" thickBot="1">
      <c r="A689" s="140">
        <v>54</v>
      </c>
      <c r="B689" s="141"/>
      <c r="C689" s="142" t="s">
        <v>3</v>
      </c>
      <c r="D689" s="143"/>
      <c r="E689" s="41"/>
    </row>
    <row r="690" spans="1:5" ht="34.5" customHeight="1" thickBot="1">
      <c r="A690" s="140">
        <v>54</v>
      </c>
      <c r="B690" s="141"/>
      <c r="C690" s="144" t="s">
        <v>4</v>
      </c>
      <c r="D690" s="145"/>
      <c r="E690" s="41"/>
    </row>
    <row r="691" spans="1:5" ht="34.5" customHeight="1" thickBot="1">
      <c r="A691" s="146">
        <f>A690-A689</f>
        <v>0</v>
      </c>
      <c r="B691" s="147"/>
      <c r="C691" s="148"/>
      <c r="D691" s="35" t="s">
        <v>5</v>
      </c>
      <c r="E691" s="41"/>
    </row>
    <row r="692" spans="1:5" ht="34.5" customHeight="1" thickBot="1">
      <c r="A692" s="149">
        <v>23</v>
      </c>
      <c r="B692" s="150"/>
      <c r="C692" s="151"/>
      <c r="D692" s="35" t="s">
        <v>6</v>
      </c>
      <c r="E692" s="41"/>
    </row>
    <row r="693" spans="1:5" ht="34.5" customHeight="1" thickBot="1">
      <c r="A693" s="144">
        <f>A692*A691</f>
        <v>0</v>
      </c>
      <c r="B693" s="152"/>
      <c r="C693" s="145"/>
      <c r="D693" s="35" t="s">
        <v>7</v>
      </c>
      <c r="E693" s="41"/>
    </row>
    <row r="694" spans="1:5" ht="34.5" customHeight="1" thickBot="1">
      <c r="A694" s="144">
        <v>0</v>
      </c>
      <c r="B694" s="152"/>
      <c r="C694" s="145"/>
      <c r="D694" s="35" t="s">
        <v>437</v>
      </c>
      <c r="E694" s="41"/>
    </row>
    <row r="695" spans="1:5" ht="34.5" customHeight="1" thickBot="1">
      <c r="A695" s="34">
        <v>0</v>
      </c>
      <c r="B695" s="32" t="s">
        <v>8</v>
      </c>
      <c r="C695" s="33">
        <v>90</v>
      </c>
      <c r="D695" s="32" t="s">
        <v>9</v>
      </c>
      <c r="E695" s="41"/>
    </row>
    <row r="696" spans="1:5" ht="34.5" customHeight="1" thickBot="1">
      <c r="A696" s="153" t="s">
        <v>436</v>
      </c>
      <c r="B696" s="154"/>
      <c r="C696" s="154"/>
      <c r="D696" s="155"/>
      <c r="E696" s="41"/>
    </row>
    <row r="697" spans="1:5" ht="34.5" customHeight="1" thickBot="1">
      <c r="A697" s="156" t="s">
        <v>435</v>
      </c>
      <c r="B697" s="157"/>
      <c r="C697" s="157"/>
      <c r="D697" s="158"/>
      <c r="E697" s="41"/>
    </row>
    <row r="698" spans="1:5" ht="34.5" customHeight="1" thickBot="1">
      <c r="A698" s="40"/>
      <c r="B698" s="39"/>
      <c r="C698" s="39"/>
      <c r="D698" s="38"/>
      <c r="E698" s="41"/>
    </row>
    <row r="699" spans="1:5" ht="34.5" customHeight="1">
      <c r="A699" s="159" t="s">
        <v>442</v>
      </c>
      <c r="B699" s="160" t="s">
        <v>441</v>
      </c>
      <c r="C699" s="160"/>
      <c r="D699" s="161"/>
      <c r="E699" s="44"/>
    </row>
    <row r="700" spans="1:5" ht="34.5" customHeight="1" thickBot="1">
      <c r="A700" s="162"/>
      <c r="B700" s="163"/>
      <c r="C700" s="163"/>
      <c r="D700" s="164"/>
      <c r="E700" s="44"/>
    </row>
    <row r="701" spans="1:5" ht="34.5" customHeight="1" thickBot="1">
      <c r="A701" s="142" t="s">
        <v>11</v>
      </c>
      <c r="B701" s="143"/>
      <c r="C701" s="165" t="s">
        <v>591</v>
      </c>
      <c r="D701" s="143"/>
      <c r="E701" s="43"/>
    </row>
    <row r="702" spans="1:5" ht="34.5" customHeight="1" thickBot="1">
      <c r="A702" s="137" t="s">
        <v>408</v>
      </c>
      <c r="B702" s="138"/>
      <c r="C702" s="138"/>
      <c r="D702" s="139"/>
      <c r="E702" s="43"/>
    </row>
    <row r="703" spans="1:5" ht="34.5" customHeight="1" thickBot="1">
      <c r="A703" s="34" t="s">
        <v>458</v>
      </c>
      <c r="B703" s="32" t="s">
        <v>438</v>
      </c>
      <c r="C703" s="34">
        <v>26</v>
      </c>
      <c r="D703" s="32" t="s">
        <v>0</v>
      </c>
      <c r="E703" s="42"/>
    </row>
    <row r="704" spans="1:5" ht="34.5" customHeight="1" thickBot="1">
      <c r="A704" s="37" t="s">
        <v>673</v>
      </c>
      <c r="B704" s="36" t="s">
        <v>1</v>
      </c>
      <c r="C704" s="34" t="s">
        <v>674</v>
      </c>
      <c r="D704" s="32" t="s">
        <v>2</v>
      </c>
      <c r="E704" s="41"/>
    </row>
    <row r="705" spans="1:5" ht="34.5" customHeight="1" thickBot="1">
      <c r="A705" s="140">
        <v>50</v>
      </c>
      <c r="B705" s="141"/>
      <c r="C705" s="142" t="s">
        <v>3</v>
      </c>
      <c r="D705" s="143"/>
      <c r="E705" s="41"/>
    </row>
    <row r="706" spans="1:5" ht="34.5" customHeight="1" thickBot="1">
      <c r="A706" s="140">
        <v>54</v>
      </c>
      <c r="B706" s="141"/>
      <c r="C706" s="144" t="s">
        <v>4</v>
      </c>
      <c r="D706" s="145"/>
      <c r="E706" s="41"/>
    </row>
    <row r="707" spans="1:5" ht="34.5" customHeight="1" thickBot="1">
      <c r="A707" s="146">
        <f>A706-A705</f>
        <v>4</v>
      </c>
      <c r="B707" s="147"/>
      <c r="C707" s="148"/>
      <c r="D707" s="35" t="s">
        <v>5</v>
      </c>
      <c r="E707" s="41"/>
    </row>
    <row r="708" spans="1:5" ht="34.5" customHeight="1" thickBot="1">
      <c r="A708" s="149">
        <v>23</v>
      </c>
      <c r="B708" s="150"/>
      <c r="C708" s="151"/>
      <c r="D708" s="35" t="s">
        <v>6</v>
      </c>
      <c r="E708" s="41"/>
    </row>
    <row r="709" spans="1:5" ht="34.5" customHeight="1" thickBot="1">
      <c r="A709" s="144">
        <f>A708*A707</f>
        <v>92</v>
      </c>
      <c r="B709" s="152"/>
      <c r="C709" s="145"/>
      <c r="D709" s="35" t="s">
        <v>7</v>
      </c>
      <c r="E709" s="41"/>
    </row>
    <row r="710" spans="1:5" ht="34.5" customHeight="1" thickBot="1">
      <c r="A710" s="144">
        <v>0</v>
      </c>
      <c r="B710" s="152"/>
      <c r="C710" s="145"/>
      <c r="D710" s="35" t="s">
        <v>437</v>
      </c>
      <c r="E710" s="41"/>
    </row>
    <row r="711" spans="1:5" ht="34.5" customHeight="1" thickBot="1">
      <c r="A711" s="34">
        <v>0</v>
      </c>
      <c r="B711" s="32" t="s">
        <v>8</v>
      </c>
      <c r="C711" s="33">
        <v>90</v>
      </c>
      <c r="D711" s="32" t="s">
        <v>9</v>
      </c>
      <c r="E711" s="41"/>
    </row>
    <row r="712" spans="1:5" ht="34.5" customHeight="1" thickBot="1">
      <c r="A712" s="153" t="s">
        <v>436</v>
      </c>
      <c r="B712" s="154"/>
      <c r="C712" s="154"/>
      <c r="D712" s="155"/>
      <c r="E712" s="41"/>
    </row>
    <row r="713" spans="1:5" ht="34.5" customHeight="1" thickBot="1">
      <c r="A713" s="156" t="s">
        <v>435</v>
      </c>
      <c r="B713" s="157"/>
      <c r="C713" s="157"/>
      <c r="D713" s="158"/>
      <c r="E713" s="41"/>
    </row>
    <row r="714" spans="1:5" ht="34.5" customHeight="1">
      <c r="A714" s="159" t="s">
        <v>442</v>
      </c>
      <c r="B714" s="160" t="s">
        <v>441</v>
      </c>
      <c r="C714" s="160"/>
      <c r="D714" s="161"/>
      <c r="E714" s="44"/>
    </row>
    <row r="715" spans="1:5" ht="34.5" customHeight="1" thickBot="1">
      <c r="A715" s="162"/>
      <c r="B715" s="163"/>
      <c r="C715" s="163"/>
      <c r="D715" s="164"/>
      <c r="E715" s="44"/>
    </row>
    <row r="716" spans="1:5" ht="34.5" customHeight="1" thickBot="1">
      <c r="A716" s="142" t="s">
        <v>11</v>
      </c>
      <c r="B716" s="143"/>
      <c r="C716" s="165" t="s">
        <v>591</v>
      </c>
      <c r="D716" s="143"/>
      <c r="E716" s="43"/>
    </row>
    <row r="717" spans="1:5" ht="34.5" customHeight="1" thickBot="1">
      <c r="A717" s="137" t="s">
        <v>658</v>
      </c>
      <c r="B717" s="138"/>
      <c r="C717" s="138"/>
      <c r="D717" s="139"/>
      <c r="E717" s="43"/>
    </row>
    <row r="718" spans="1:5" ht="34.5" customHeight="1" thickBot="1">
      <c r="A718" s="34" t="s">
        <v>458</v>
      </c>
      <c r="B718" s="32" t="s">
        <v>438</v>
      </c>
      <c r="C718" s="34">
        <v>27</v>
      </c>
      <c r="D718" s="32" t="s">
        <v>0</v>
      </c>
      <c r="E718" s="42"/>
    </row>
    <row r="719" spans="1:5" ht="34.5" customHeight="1" thickBot="1">
      <c r="A719" s="37" t="s">
        <v>673</v>
      </c>
      <c r="B719" s="36" t="s">
        <v>1</v>
      </c>
      <c r="C719" s="34" t="s">
        <v>674</v>
      </c>
      <c r="D719" s="32" t="s">
        <v>2</v>
      </c>
      <c r="E719" s="41"/>
    </row>
    <row r="720" spans="1:5" ht="34.5" customHeight="1" thickBot="1">
      <c r="A720" s="140">
        <v>147</v>
      </c>
      <c r="B720" s="141"/>
      <c r="C720" s="142" t="s">
        <v>3</v>
      </c>
      <c r="D720" s="143"/>
      <c r="E720" s="41"/>
    </row>
    <row r="721" spans="1:5" ht="34.5" customHeight="1" thickBot="1">
      <c r="A721" s="140">
        <v>147</v>
      </c>
      <c r="B721" s="141"/>
      <c r="C721" s="144" t="s">
        <v>4</v>
      </c>
      <c r="D721" s="145"/>
      <c r="E721" s="41"/>
    </row>
    <row r="722" spans="1:5" ht="34.5" customHeight="1" thickBot="1">
      <c r="A722" s="146">
        <f>A721-A720</f>
        <v>0</v>
      </c>
      <c r="B722" s="147"/>
      <c r="C722" s="148"/>
      <c r="D722" s="35" t="s">
        <v>5</v>
      </c>
      <c r="E722" s="41"/>
    </row>
    <row r="723" spans="1:5" ht="34.5" customHeight="1" thickBot="1">
      <c r="A723" s="149">
        <v>23</v>
      </c>
      <c r="B723" s="150"/>
      <c r="C723" s="151"/>
      <c r="D723" s="35" t="s">
        <v>6</v>
      </c>
      <c r="E723" s="41"/>
    </row>
    <row r="724" spans="1:5" ht="34.5" customHeight="1" thickBot="1">
      <c r="A724" s="144">
        <f>A723*A722</f>
        <v>0</v>
      </c>
      <c r="B724" s="152"/>
      <c r="C724" s="145"/>
      <c r="D724" s="35" t="s">
        <v>7</v>
      </c>
      <c r="E724" s="41"/>
    </row>
    <row r="725" spans="1:5" ht="34.5" customHeight="1" thickBot="1">
      <c r="A725" s="144">
        <v>0</v>
      </c>
      <c r="B725" s="152"/>
      <c r="C725" s="145"/>
      <c r="D725" s="35" t="s">
        <v>437</v>
      </c>
      <c r="E725" s="41"/>
    </row>
    <row r="726" spans="1:5" ht="34.5" customHeight="1" thickBot="1">
      <c r="A726" s="34">
        <v>0</v>
      </c>
      <c r="B726" s="32" t="s">
        <v>8</v>
      </c>
      <c r="C726" s="33">
        <v>350</v>
      </c>
      <c r="D726" s="32" t="s">
        <v>9</v>
      </c>
      <c r="E726" s="41"/>
    </row>
    <row r="727" spans="1:5" ht="34.5" customHeight="1" thickBot="1">
      <c r="A727" s="153" t="s">
        <v>436</v>
      </c>
      <c r="B727" s="154"/>
      <c r="C727" s="154"/>
      <c r="D727" s="155"/>
      <c r="E727" s="41"/>
    </row>
    <row r="728" spans="1:5" ht="34.5" customHeight="1" thickBot="1">
      <c r="A728" s="156" t="s">
        <v>435</v>
      </c>
      <c r="B728" s="157"/>
      <c r="C728" s="157"/>
      <c r="D728" s="158"/>
      <c r="E728" s="41"/>
    </row>
    <row r="729" spans="1:5" ht="34.5" customHeight="1" thickBot="1">
      <c r="A729" s="40"/>
      <c r="B729" s="39"/>
      <c r="C729" s="39"/>
      <c r="D729" s="38"/>
      <c r="E729" s="41"/>
    </row>
    <row r="730" spans="1:5" ht="34.5" customHeight="1">
      <c r="A730" s="159" t="s">
        <v>442</v>
      </c>
      <c r="B730" s="160" t="s">
        <v>441</v>
      </c>
      <c r="C730" s="160"/>
      <c r="D730" s="161"/>
      <c r="E730" s="44"/>
    </row>
    <row r="731" spans="1:5" ht="34.5" customHeight="1" thickBot="1">
      <c r="A731" s="162"/>
      <c r="B731" s="163"/>
      <c r="C731" s="163"/>
      <c r="D731" s="164"/>
      <c r="E731" s="44"/>
    </row>
    <row r="732" spans="1:5" ht="34.5" customHeight="1" thickBot="1">
      <c r="A732" s="142" t="s">
        <v>11</v>
      </c>
      <c r="B732" s="143"/>
      <c r="C732" s="165" t="s">
        <v>591</v>
      </c>
      <c r="D732" s="143"/>
      <c r="E732" s="43"/>
    </row>
    <row r="733" spans="1:5" ht="34.5" customHeight="1" thickBot="1">
      <c r="A733" s="137" t="s">
        <v>658</v>
      </c>
      <c r="B733" s="138"/>
      <c r="C733" s="138"/>
      <c r="D733" s="139"/>
      <c r="E733" s="43"/>
    </row>
    <row r="734" spans="1:5" ht="34.5" customHeight="1" thickBot="1">
      <c r="A734" s="34" t="s">
        <v>458</v>
      </c>
      <c r="B734" s="32" t="s">
        <v>438</v>
      </c>
      <c r="C734" s="34">
        <v>27</v>
      </c>
      <c r="D734" s="32" t="s">
        <v>0</v>
      </c>
      <c r="E734" s="42"/>
    </row>
    <row r="735" spans="1:5" ht="34.5" customHeight="1" thickBot="1">
      <c r="A735" s="37" t="s">
        <v>673</v>
      </c>
      <c r="B735" s="36" t="s">
        <v>1</v>
      </c>
      <c r="C735" s="34" t="s">
        <v>674</v>
      </c>
      <c r="D735" s="32" t="s">
        <v>2</v>
      </c>
      <c r="E735" s="41"/>
    </row>
    <row r="736" spans="1:5" ht="34.5" customHeight="1" thickBot="1">
      <c r="A736" s="140">
        <v>132</v>
      </c>
      <c r="B736" s="141"/>
      <c r="C736" s="142" t="s">
        <v>3</v>
      </c>
      <c r="D736" s="143"/>
      <c r="E736" s="41"/>
    </row>
    <row r="737" spans="1:5" ht="34.5" customHeight="1" thickBot="1">
      <c r="A737" s="140">
        <v>147</v>
      </c>
      <c r="B737" s="141"/>
      <c r="C737" s="144" t="s">
        <v>4</v>
      </c>
      <c r="D737" s="145"/>
      <c r="E737" s="41"/>
    </row>
    <row r="738" spans="1:5" ht="34.5" customHeight="1" thickBot="1">
      <c r="A738" s="146">
        <f>A737-A736</f>
        <v>15</v>
      </c>
      <c r="B738" s="147"/>
      <c r="C738" s="148"/>
      <c r="D738" s="35" t="s">
        <v>5</v>
      </c>
      <c r="E738" s="41"/>
    </row>
    <row r="739" spans="1:5" ht="34.5" customHeight="1" thickBot="1">
      <c r="A739" s="149">
        <v>23</v>
      </c>
      <c r="B739" s="150"/>
      <c r="C739" s="151"/>
      <c r="D739" s="35" t="s">
        <v>6</v>
      </c>
      <c r="E739" s="41"/>
    </row>
    <row r="740" spans="1:5" ht="34.5" customHeight="1" thickBot="1">
      <c r="A740" s="144">
        <f>A739*A738</f>
        <v>345</v>
      </c>
      <c r="B740" s="152"/>
      <c r="C740" s="145"/>
      <c r="D740" s="35" t="s">
        <v>7</v>
      </c>
      <c r="E740" s="41"/>
    </row>
    <row r="741" spans="1:5" ht="34.5" customHeight="1" thickBot="1">
      <c r="A741" s="144">
        <v>0</v>
      </c>
      <c r="B741" s="152"/>
      <c r="C741" s="145"/>
      <c r="D741" s="35" t="s">
        <v>437</v>
      </c>
      <c r="E741" s="41"/>
    </row>
    <row r="742" spans="1:5" ht="34.5" customHeight="1" thickBot="1">
      <c r="A742" s="34">
        <v>0</v>
      </c>
      <c r="B742" s="32" t="s">
        <v>8</v>
      </c>
      <c r="C742" s="33">
        <v>350</v>
      </c>
      <c r="D742" s="32" t="s">
        <v>9</v>
      </c>
      <c r="E742" s="41"/>
    </row>
    <row r="743" spans="1:5" ht="34.5" customHeight="1" thickBot="1">
      <c r="A743" s="153" t="s">
        <v>436</v>
      </c>
      <c r="B743" s="154"/>
      <c r="C743" s="154"/>
      <c r="D743" s="155"/>
      <c r="E743" s="41"/>
    </row>
    <row r="744" spans="1:5" ht="34.5" customHeight="1" thickBot="1">
      <c r="A744" s="156" t="s">
        <v>435</v>
      </c>
      <c r="B744" s="157"/>
      <c r="C744" s="157"/>
      <c r="D744" s="158"/>
      <c r="E744" s="41"/>
    </row>
    <row r="745" spans="1:5" ht="34.5" customHeight="1">
      <c r="A745" s="159" t="s">
        <v>442</v>
      </c>
      <c r="B745" s="160" t="s">
        <v>441</v>
      </c>
      <c r="C745" s="160"/>
      <c r="D745" s="161"/>
    </row>
    <row r="746" spans="1:5" ht="34.5" customHeight="1" thickBot="1">
      <c r="A746" s="162"/>
      <c r="B746" s="163"/>
      <c r="C746" s="163"/>
      <c r="D746" s="164"/>
    </row>
    <row r="747" spans="1:5" ht="34.5" customHeight="1" thickBot="1">
      <c r="A747" s="142" t="s">
        <v>11</v>
      </c>
      <c r="B747" s="143"/>
      <c r="C747" s="165" t="s">
        <v>591</v>
      </c>
      <c r="D747" s="143"/>
    </row>
    <row r="748" spans="1:5" ht="34.5" customHeight="1" thickBot="1">
      <c r="A748" s="137" t="s">
        <v>475</v>
      </c>
      <c r="B748" s="138"/>
      <c r="C748" s="138"/>
      <c r="D748" s="139"/>
    </row>
    <row r="749" spans="1:5" ht="34.5" customHeight="1" thickBot="1">
      <c r="A749" s="34" t="s">
        <v>458</v>
      </c>
      <c r="B749" s="32" t="s">
        <v>438</v>
      </c>
      <c r="C749" s="34">
        <v>28</v>
      </c>
      <c r="D749" s="32" t="s">
        <v>0</v>
      </c>
    </row>
    <row r="750" spans="1:5" ht="34.5" customHeight="1" thickBot="1">
      <c r="A750" s="37" t="s">
        <v>673</v>
      </c>
      <c r="B750" s="36" t="s">
        <v>1</v>
      </c>
      <c r="C750" s="34" t="s">
        <v>674</v>
      </c>
      <c r="D750" s="32" t="s">
        <v>2</v>
      </c>
    </row>
    <row r="751" spans="1:5" ht="34.5" customHeight="1" thickBot="1">
      <c r="A751" s="140">
        <v>95</v>
      </c>
      <c r="B751" s="141"/>
      <c r="C751" s="142" t="s">
        <v>3</v>
      </c>
      <c r="D751" s="143"/>
    </row>
    <row r="752" spans="1:5" ht="34.5" customHeight="1" thickBot="1">
      <c r="A752" s="140">
        <v>95</v>
      </c>
      <c r="B752" s="141"/>
      <c r="C752" s="144" t="s">
        <v>4</v>
      </c>
      <c r="D752" s="145"/>
    </row>
    <row r="753" spans="1:4" ht="34.5" customHeight="1" thickBot="1">
      <c r="A753" s="146">
        <f>A752-A751</f>
        <v>0</v>
      </c>
      <c r="B753" s="147"/>
      <c r="C753" s="148"/>
      <c r="D753" s="35" t="s">
        <v>5</v>
      </c>
    </row>
    <row r="754" spans="1:4" ht="34.5" customHeight="1" thickBot="1">
      <c r="A754" s="149">
        <v>23</v>
      </c>
      <c r="B754" s="150"/>
      <c r="C754" s="151"/>
      <c r="D754" s="35" t="s">
        <v>6</v>
      </c>
    </row>
    <row r="755" spans="1:4" ht="34.5" customHeight="1" thickBot="1">
      <c r="A755" s="144">
        <f>A754*A753</f>
        <v>0</v>
      </c>
      <c r="B755" s="152"/>
      <c r="C755" s="145"/>
      <c r="D755" s="35" t="s">
        <v>7</v>
      </c>
    </row>
    <row r="756" spans="1:4" ht="34.5" customHeight="1" thickBot="1">
      <c r="A756" s="144">
        <v>0</v>
      </c>
      <c r="B756" s="152"/>
      <c r="C756" s="145"/>
      <c r="D756" s="35" t="s">
        <v>437</v>
      </c>
    </row>
    <row r="757" spans="1:4" ht="34.5" customHeight="1" thickBot="1">
      <c r="A757" s="34">
        <v>0</v>
      </c>
      <c r="B757" s="32" t="s">
        <v>8</v>
      </c>
      <c r="C757" s="33">
        <v>350</v>
      </c>
      <c r="D757" s="32" t="s">
        <v>9</v>
      </c>
    </row>
    <row r="758" spans="1:4" ht="34.5" customHeight="1" thickBot="1">
      <c r="A758" s="153" t="s">
        <v>436</v>
      </c>
      <c r="B758" s="154"/>
      <c r="C758" s="154"/>
      <c r="D758" s="155"/>
    </row>
    <row r="759" spans="1:4" ht="34.5" customHeight="1" thickBot="1">
      <c r="A759" s="156" t="s">
        <v>435</v>
      </c>
      <c r="B759" s="157"/>
      <c r="C759" s="157"/>
      <c r="D759" s="158"/>
    </row>
    <row r="760" spans="1:4" ht="34.5" customHeight="1" thickBot="1">
      <c r="A760" s="40"/>
      <c r="B760" s="39"/>
      <c r="C760" s="39"/>
      <c r="D760" s="38"/>
    </row>
    <row r="761" spans="1:4" ht="34.5" customHeight="1">
      <c r="A761" s="159" t="s">
        <v>442</v>
      </c>
      <c r="B761" s="160" t="s">
        <v>441</v>
      </c>
      <c r="C761" s="160"/>
      <c r="D761" s="161"/>
    </row>
    <row r="762" spans="1:4" ht="34.5" customHeight="1" thickBot="1">
      <c r="A762" s="162"/>
      <c r="B762" s="163"/>
      <c r="C762" s="163"/>
      <c r="D762" s="164"/>
    </row>
    <row r="763" spans="1:4" ht="34.5" customHeight="1" thickBot="1">
      <c r="A763" s="142" t="s">
        <v>11</v>
      </c>
      <c r="B763" s="143"/>
      <c r="C763" s="165" t="s">
        <v>591</v>
      </c>
      <c r="D763" s="143"/>
    </row>
    <row r="764" spans="1:4" ht="34.5" customHeight="1" thickBot="1">
      <c r="A764" s="137" t="s">
        <v>475</v>
      </c>
      <c r="B764" s="138"/>
      <c r="C764" s="138"/>
      <c r="D764" s="139"/>
    </row>
    <row r="765" spans="1:4" ht="34.5" customHeight="1" thickBot="1">
      <c r="A765" s="34" t="s">
        <v>458</v>
      </c>
      <c r="B765" s="32" t="s">
        <v>438</v>
      </c>
      <c r="C765" s="34">
        <v>28</v>
      </c>
      <c r="D765" s="32" t="s">
        <v>0</v>
      </c>
    </row>
    <row r="766" spans="1:4" ht="34.5" customHeight="1" thickBot="1">
      <c r="A766" s="37" t="s">
        <v>673</v>
      </c>
      <c r="B766" s="36" t="s">
        <v>1</v>
      </c>
      <c r="C766" s="34" t="s">
        <v>674</v>
      </c>
      <c r="D766" s="32" t="s">
        <v>2</v>
      </c>
    </row>
    <row r="767" spans="1:4" ht="34.5" customHeight="1" thickBot="1">
      <c r="A767" s="140">
        <v>80</v>
      </c>
      <c r="B767" s="141"/>
      <c r="C767" s="142" t="s">
        <v>3</v>
      </c>
      <c r="D767" s="143"/>
    </row>
    <row r="768" spans="1:4" ht="34.5" customHeight="1" thickBot="1">
      <c r="A768" s="140">
        <v>95</v>
      </c>
      <c r="B768" s="141"/>
      <c r="C768" s="144" t="s">
        <v>4</v>
      </c>
      <c r="D768" s="145"/>
    </row>
    <row r="769" spans="1:6" ht="34.5" customHeight="1" thickBot="1">
      <c r="A769" s="146">
        <f>A768-A767</f>
        <v>15</v>
      </c>
      <c r="B769" s="147"/>
      <c r="C769" s="148"/>
      <c r="D769" s="35" t="s">
        <v>5</v>
      </c>
    </row>
    <row r="770" spans="1:6" ht="34.5" customHeight="1" thickBot="1">
      <c r="A770" s="149">
        <v>23</v>
      </c>
      <c r="B770" s="150"/>
      <c r="C770" s="151"/>
      <c r="D770" s="35" t="s">
        <v>6</v>
      </c>
    </row>
    <row r="771" spans="1:6" ht="34.5" customHeight="1" thickBot="1">
      <c r="A771" s="144">
        <f>A770*A769</f>
        <v>345</v>
      </c>
      <c r="B771" s="152"/>
      <c r="C771" s="145"/>
      <c r="D771" s="35" t="s">
        <v>7</v>
      </c>
    </row>
    <row r="772" spans="1:6" ht="34.5" customHeight="1" thickBot="1">
      <c r="A772" s="144">
        <v>0</v>
      </c>
      <c r="B772" s="152"/>
      <c r="C772" s="145"/>
      <c r="D772" s="35" t="s">
        <v>437</v>
      </c>
    </row>
    <row r="773" spans="1:6" ht="34.5" customHeight="1" thickBot="1">
      <c r="A773" s="34">
        <v>0</v>
      </c>
      <c r="B773" s="32" t="s">
        <v>8</v>
      </c>
      <c r="C773" s="33">
        <v>350</v>
      </c>
      <c r="D773" s="32" t="s">
        <v>9</v>
      </c>
    </row>
    <row r="774" spans="1:6" ht="34.5" customHeight="1" thickBot="1">
      <c r="A774" s="153" t="s">
        <v>436</v>
      </c>
      <c r="B774" s="154"/>
      <c r="C774" s="154"/>
      <c r="D774" s="155"/>
    </row>
    <row r="775" spans="1:6" ht="34.5" customHeight="1" thickBot="1">
      <c r="A775" s="156" t="s">
        <v>435</v>
      </c>
      <c r="B775" s="157"/>
      <c r="C775" s="157"/>
      <c r="D775" s="158"/>
      <c r="E775" s="140">
        <v>1285</v>
      </c>
      <c r="F775" s="141"/>
    </row>
    <row r="776" spans="1:6" ht="34.5" customHeight="1">
      <c r="A776" s="159" t="s">
        <v>442</v>
      </c>
      <c r="B776" s="160" t="s">
        <v>441</v>
      </c>
      <c r="C776" s="160"/>
      <c r="D776" s="161"/>
    </row>
    <row r="777" spans="1:6" ht="34.5" customHeight="1" thickBot="1">
      <c r="A777" s="162"/>
      <c r="B777" s="163"/>
      <c r="C777" s="163"/>
      <c r="D777" s="164"/>
    </row>
    <row r="778" spans="1:6" ht="34.5" customHeight="1" thickBot="1">
      <c r="A778" s="142" t="s">
        <v>11</v>
      </c>
      <c r="B778" s="143"/>
      <c r="C778" s="165" t="s">
        <v>591</v>
      </c>
      <c r="D778" s="143"/>
    </row>
    <row r="779" spans="1:6" ht="34.5" customHeight="1" thickBot="1">
      <c r="A779" s="137" t="s">
        <v>474</v>
      </c>
      <c r="B779" s="138"/>
      <c r="C779" s="138"/>
      <c r="D779" s="139"/>
    </row>
    <row r="780" spans="1:6" ht="34.5" customHeight="1" thickBot="1">
      <c r="A780" s="34" t="s">
        <v>458</v>
      </c>
      <c r="B780" s="32" t="s">
        <v>438</v>
      </c>
      <c r="C780" s="34">
        <v>29</v>
      </c>
      <c r="D780" s="32" t="s">
        <v>0</v>
      </c>
    </row>
    <row r="781" spans="1:6" ht="34.5" customHeight="1" thickBot="1">
      <c r="A781" s="37" t="s">
        <v>673</v>
      </c>
      <c r="B781" s="36" t="s">
        <v>1</v>
      </c>
      <c r="C781" s="34" t="s">
        <v>674</v>
      </c>
      <c r="D781" s="32" t="s">
        <v>2</v>
      </c>
    </row>
    <row r="782" spans="1:6" ht="34.5" customHeight="1" thickBot="1">
      <c r="A782" s="146">
        <v>63</v>
      </c>
      <c r="B782" s="148"/>
      <c r="C782" s="142" t="s">
        <v>3</v>
      </c>
      <c r="D782" s="143"/>
    </row>
    <row r="783" spans="1:6" ht="34.5" customHeight="1" thickBot="1">
      <c r="A783" s="146">
        <v>63</v>
      </c>
      <c r="B783" s="148"/>
      <c r="C783" s="144" t="s">
        <v>4</v>
      </c>
      <c r="D783" s="145"/>
    </row>
    <row r="784" spans="1:6" ht="34.5" customHeight="1" thickBot="1">
      <c r="A784" s="146">
        <f>A783-A782</f>
        <v>0</v>
      </c>
      <c r="B784" s="147"/>
      <c r="C784" s="148"/>
      <c r="D784" s="35" t="s">
        <v>5</v>
      </c>
    </row>
    <row r="785" spans="1:4" ht="34.5" customHeight="1" thickBot="1">
      <c r="A785" s="149">
        <v>23</v>
      </c>
      <c r="B785" s="150"/>
      <c r="C785" s="151"/>
      <c r="D785" s="35" t="s">
        <v>6</v>
      </c>
    </row>
    <row r="786" spans="1:4" ht="34.5" customHeight="1" thickBot="1">
      <c r="A786" s="144">
        <f>A785*A784</f>
        <v>0</v>
      </c>
      <c r="B786" s="152"/>
      <c r="C786" s="145"/>
      <c r="D786" s="35" t="s">
        <v>7</v>
      </c>
    </row>
    <row r="787" spans="1:4" ht="34.5" customHeight="1" thickBot="1">
      <c r="A787" s="144">
        <v>0</v>
      </c>
      <c r="B787" s="152"/>
      <c r="C787" s="145"/>
      <c r="D787" s="35" t="s">
        <v>437</v>
      </c>
    </row>
    <row r="788" spans="1:4" ht="34.5" customHeight="1" thickBot="1">
      <c r="A788" s="34">
        <v>0</v>
      </c>
      <c r="B788" s="32" t="s">
        <v>8</v>
      </c>
      <c r="C788" s="33">
        <v>180</v>
      </c>
      <c r="D788" s="32" t="s">
        <v>9</v>
      </c>
    </row>
    <row r="789" spans="1:4" ht="34.5" customHeight="1" thickBot="1">
      <c r="A789" s="153"/>
      <c r="B789" s="154"/>
      <c r="C789" s="154"/>
      <c r="D789" s="155"/>
    </row>
    <row r="790" spans="1:4" ht="34.5" customHeight="1" thickBot="1">
      <c r="A790" s="156" t="s">
        <v>435</v>
      </c>
      <c r="B790" s="157"/>
      <c r="C790" s="157"/>
      <c r="D790" s="158"/>
    </row>
    <row r="791" spans="1:4" ht="34.5" customHeight="1" thickBot="1">
      <c r="A791" s="40"/>
      <c r="B791" s="39"/>
      <c r="C791" s="39"/>
      <c r="D791" s="38"/>
    </row>
    <row r="792" spans="1:4" ht="34.5" customHeight="1">
      <c r="A792" s="159" t="s">
        <v>442</v>
      </c>
      <c r="B792" s="160" t="s">
        <v>441</v>
      </c>
      <c r="C792" s="160"/>
      <c r="D792" s="161"/>
    </row>
    <row r="793" spans="1:4" ht="34.5" customHeight="1" thickBot="1">
      <c r="A793" s="162"/>
      <c r="B793" s="163"/>
      <c r="C793" s="163"/>
      <c r="D793" s="164"/>
    </row>
    <row r="794" spans="1:4" ht="34.5" customHeight="1" thickBot="1">
      <c r="A794" s="142" t="s">
        <v>11</v>
      </c>
      <c r="B794" s="143"/>
      <c r="C794" s="165" t="s">
        <v>591</v>
      </c>
      <c r="D794" s="143"/>
    </row>
    <row r="795" spans="1:4" ht="34.5" customHeight="1" thickBot="1">
      <c r="A795" s="137" t="s">
        <v>474</v>
      </c>
      <c r="B795" s="138"/>
      <c r="C795" s="138"/>
      <c r="D795" s="139"/>
    </row>
    <row r="796" spans="1:4" ht="34.5" customHeight="1" thickBot="1">
      <c r="A796" s="34" t="s">
        <v>458</v>
      </c>
      <c r="B796" s="32" t="s">
        <v>438</v>
      </c>
      <c r="C796" s="34">
        <v>29</v>
      </c>
      <c r="D796" s="32" t="s">
        <v>0</v>
      </c>
    </row>
    <row r="797" spans="1:4" ht="34.5" customHeight="1" thickBot="1">
      <c r="A797" s="37" t="s">
        <v>673</v>
      </c>
      <c r="B797" s="36" t="s">
        <v>1</v>
      </c>
      <c r="C797" s="34" t="s">
        <v>674</v>
      </c>
      <c r="D797" s="32" t="s">
        <v>2</v>
      </c>
    </row>
    <row r="798" spans="1:4" ht="34.5" customHeight="1" thickBot="1">
      <c r="A798" s="146">
        <v>55</v>
      </c>
      <c r="B798" s="148"/>
      <c r="C798" s="142" t="s">
        <v>3</v>
      </c>
      <c r="D798" s="143"/>
    </row>
    <row r="799" spans="1:4" ht="34.5" customHeight="1" thickBot="1">
      <c r="A799" s="146">
        <v>63</v>
      </c>
      <c r="B799" s="148"/>
      <c r="C799" s="144" t="s">
        <v>4</v>
      </c>
      <c r="D799" s="145"/>
    </row>
    <row r="800" spans="1:4" ht="34.5" customHeight="1" thickBot="1">
      <c r="A800" s="146">
        <f>A799-A798</f>
        <v>8</v>
      </c>
      <c r="B800" s="147"/>
      <c r="C800" s="148"/>
      <c r="D800" s="35" t="s">
        <v>5</v>
      </c>
    </row>
    <row r="801" spans="1:4" ht="34.5" customHeight="1" thickBot="1">
      <c r="A801" s="149">
        <v>23</v>
      </c>
      <c r="B801" s="150"/>
      <c r="C801" s="151"/>
      <c r="D801" s="35" t="s">
        <v>6</v>
      </c>
    </row>
    <row r="802" spans="1:4" ht="34.5" customHeight="1" thickBot="1">
      <c r="A802" s="144">
        <f>A801*A800</f>
        <v>184</v>
      </c>
      <c r="B802" s="152"/>
      <c r="C802" s="145"/>
      <c r="D802" s="35" t="s">
        <v>7</v>
      </c>
    </row>
    <row r="803" spans="1:4" ht="34.5" customHeight="1" thickBot="1">
      <c r="A803" s="144">
        <v>0</v>
      </c>
      <c r="B803" s="152"/>
      <c r="C803" s="145"/>
      <c r="D803" s="35" t="s">
        <v>437</v>
      </c>
    </row>
    <row r="804" spans="1:4" ht="34.5" customHeight="1" thickBot="1">
      <c r="A804" s="34">
        <v>0</v>
      </c>
      <c r="B804" s="32" t="s">
        <v>8</v>
      </c>
      <c r="C804" s="33">
        <v>180</v>
      </c>
      <c r="D804" s="32" t="s">
        <v>9</v>
      </c>
    </row>
    <row r="805" spans="1:4" ht="34.5" customHeight="1" thickBot="1">
      <c r="A805" s="153"/>
      <c r="B805" s="154"/>
      <c r="C805" s="154"/>
      <c r="D805" s="155"/>
    </row>
    <row r="806" spans="1:4" ht="34.5" customHeight="1" thickBot="1">
      <c r="A806" s="156" t="s">
        <v>435</v>
      </c>
      <c r="B806" s="157"/>
      <c r="C806" s="157"/>
      <c r="D806" s="158"/>
    </row>
    <row r="807" spans="1:4" ht="34.5" customHeight="1">
      <c r="A807" s="159" t="s">
        <v>442</v>
      </c>
      <c r="B807" s="160" t="s">
        <v>441</v>
      </c>
      <c r="C807" s="160"/>
      <c r="D807" s="161"/>
    </row>
    <row r="808" spans="1:4" ht="34.5" customHeight="1" thickBot="1">
      <c r="A808" s="162"/>
      <c r="B808" s="163"/>
      <c r="C808" s="163"/>
      <c r="D808" s="164"/>
    </row>
    <row r="809" spans="1:4" ht="34.5" customHeight="1" thickBot="1">
      <c r="A809" s="142" t="s">
        <v>11</v>
      </c>
      <c r="B809" s="143"/>
      <c r="C809" s="165" t="s">
        <v>591</v>
      </c>
      <c r="D809" s="143"/>
    </row>
    <row r="810" spans="1:4" ht="34.5" customHeight="1" thickBot="1">
      <c r="A810" s="137" t="s">
        <v>473</v>
      </c>
      <c r="B810" s="138"/>
      <c r="C810" s="138"/>
      <c r="D810" s="139"/>
    </row>
    <row r="811" spans="1:4" ht="34.5" customHeight="1" thickBot="1">
      <c r="A811" s="34" t="s">
        <v>458</v>
      </c>
      <c r="B811" s="32" t="s">
        <v>438</v>
      </c>
      <c r="C811" s="34">
        <v>30</v>
      </c>
      <c r="D811" s="32" t="s">
        <v>0</v>
      </c>
    </row>
    <row r="812" spans="1:4" ht="34.5" customHeight="1" thickBot="1">
      <c r="A812" s="37" t="s">
        <v>673</v>
      </c>
      <c r="B812" s="36" t="s">
        <v>1</v>
      </c>
      <c r="C812" s="34" t="s">
        <v>674</v>
      </c>
      <c r="D812" s="32" t="s">
        <v>2</v>
      </c>
    </row>
    <row r="813" spans="1:4" ht="34.5" customHeight="1" thickBot="1">
      <c r="A813" s="140">
        <v>202</v>
      </c>
      <c r="B813" s="141"/>
      <c r="C813" s="142" t="s">
        <v>3</v>
      </c>
      <c r="D813" s="143"/>
    </row>
    <row r="814" spans="1:4" ht="34.5" customHeight="1" thickBot="1">
      <c r="A814" s="140">
        <v>202</v>
      </c>
      <c r="B814" s="141"/>
      <c r="C814" s="144" t="s">
        <v>4</v>
      </c>
      <c r="D814" s="145"/>
    </row>
    <row r="815" spans="1:4" ht="34.5" customHeight="1" thickBot="1">
      <c r="A815" s="146">
        <f>A814-A813</f>
        <v>0</v>
      </c>
      <c r="B815" s="147"/>
      <c r="C815" s="148"/>
      <c r="D815" s="35" t="s">
        <v>5</v>
      </c>
    </row>
    <row r="816" spans="1:4" ht="34.5" customHeight="1" thickBot="1">
      <c r="A816" s="149">
        <v>23</v>
      </c>
      <c r="B816" s="150"/>
      <c r="C816" s="151"/>
      <c r="D816" s="35" t="s">
        <v>6</v>
      </c>
    </row>
    <row r="817" spans="1:4" ht="34.5" customHeight="1" thickBot="1">
      <c r="A817" s="144">
        <f>A816*A815</f>
        <v>0</v>
      </c>
      <c r="B817" s="152"/>
      <c r="C817" s="145"/>
      <c r="D817" s="35" t="s">
        <v>7</v>
      </c>
    </row>
    <row r="818" spans="1:4" ht="34.5" customHeight="1" thickBot="1">
      <c r="A818" s="144">
        <v>0</v>
      </c>
      <c r="B818" s="152"/>
      <c r="C818" s="145"/>
      <c r="D818" s="35" t="s">
        <v>437</v>
      </c>
    </row>
    <row r="819" spans="1:4" ht="34.5" customHeight="1" thickBot="1">
      <c r="A819" s="34">
        <v>0</v>
      </c>
      <c r="B819" s="32" t="s">
        <v>8</v>
      </c>
      <c r="C819" s="33">
        <v>670</v>
      </c>
      <c r="D819" s="32" t="s">
        <v>9</v>
      </c>
    </row>
    <row r="820" spans="1:4" ht="34.5" customHeight="1" thickBot="1">
      <c r="A820" s="153" t="s">
        <v>436</v>
      </c>
      <c r="B820" s="154"/>
      <c r="C820" s="154"/>
      <c r="D820" s="155"/>
    </row>
    <row r="821" spans="1:4" ht="34.5" customHeight="1" thickBot="1">
      <c r="A821" s="156" t="s">
        <v>435</v>
      </c>
      <c r="B821" s="157"/>
      <c r="C821" s="157"/>
      <c r="D821" s="158"/>
    </row>
    <row r="822" spans="1:4" ht="34.5" customHeight="1" thickBot="1">
      <c r="A822" s="40"/>
      <c r="B822" s="39"/>
      <c r="C822" s="39"/>
      <c r="D822" s="38"/>
    </row>
    <row r="823" spans="1:4" ht="34.5" customHeight="1">
      <c r="A823" s="159" t="s">
        <v>442</v>
      </c>
      <c r="B823" s="160" t="s">
        <v>441</v>
      </c>
      <c r="C823" s="160"/>
      <c r="D823" s="161"/>
    </row>
    <row r="824" spans="1:4" ht="34.5" customHeight="1" thickBot="1">
      <c r="A824" s="162"/>
      <c r="B824" s="163"/>
      <c r="C824" s="163"/>
      <c r="D824" s="164"/>
    </row>
    <row r="825" spans="1:4" ht="34.5" customHeight="1" thickBot="1">
      <c r="A825" s="142" t="s">
        <v>11</v>
      </c>
      <c r="B825" s="143"/>
      <c r="C825" s="165" t="s">
        <v>591</v>
      </c>
      <c r="D825" s="143"/>
    </row>
    <row r="826" spans="1:4" ht="34.5" customHeight="1" thickBot="1">
      <c r="A826" s="137" t="s">
        <v>473</v>
      </c>
      <c r="B826" s="138"/>
      <c r="C826" s="138"/>
      <c r="D826" s="139"/>
    </row>
    <row r="827" spans="1:4" ht="34.5" customHeight="1" thickBot="1">
      <c r="A827" s="34" t="s">
        <v>458</v>
      </c>
      <c r="B827" s="32" t="s">
        <v>438</v>
      </c>
      <c r="C827" s="34">
        <v>30</v>
      </c>
      <c r="D827" s="32" t="s">
        <v>0</v>
      </c>
    </row>
    <row r="828" spans="1:4" ht="34.5" customHeight="1" thickBot="1">
      <c r="A828" s="37" t="s">
        <v>673</v>
      </c>
      <c r="B828" s="36" t="s">
        <v>1</v>
      </c>
      <c r="C828" s="34" t="s">
        <v>674</v>
      </c>
      <c r="D828" s="32" t="s">
        <v>2</v>
      </c>
    </row>
    <row r="829" spans="1:4" ht="34.5" customHeight="1" thickBot="1">
      <c r="A829" s="140">
        <v>173</v>
      </c>
      <c r="B829" s="141"/>
      <c r="C829" s="142" t="s">
        <v>3</v>
      </c>
      <c r="D829" s="143"/>
    </row>
    <row r="830" spans="1:4" ht="34.5" customHeight="1" thickBot="1">
      <c r="A830" s="140">
        <v>202</v>
      </c>
      <c r="B830" s="141"/>
      <c r="C830" s="144" t="s">
        <v>4</v>
      </c>
      <c r="D830" s="145"/>
    </row>
    <row r="831" spans="1:4" ht="34.5" customHeight="1" thickBot="1">
      <c r="A831" s="146">
        <f>A830-A829</f>
        <v>29</v>
      </c>
      <c r="B831" s="147"/>
      <c r="C831" s="148"/>
      <c r="D831" s="35" t="s">
        <v>5</v>
      </c>
    </row>
    <row r="832" spans="1:4" ht="34.5" customHeight="1" thickBot="1">
      <c r="A832" s="149">
        <v>23</v>
      </c>
      <c r="B832" s="150"/>
      <c r="C832" s="151"/>
      <c r="D832" s="35" t="s">
        <v>6</v>
      </c>
    </row>
    <row r="833" spans="1:4" ht="34.5" customHeight="1" thickBot="1">
      <c r="A833" s="144">
        <f>A832*A831</f>
        <v>667</v>
      </c>
      <c r="B833" s="152"/>
      <c r="C833" s="145"/>
      <c r="D833" s="35" t="s">
        <v>7</v>
      </c>
    </row>
    <row r="834" spans="1:4" ht="34.5" customHeight="1" thickBot="1">
      <c r="A834" s="144">
        <v>0</v>
      </c>
      <c r="B834" s="152"/>
      <c r="C834" s="145"/>
      <c r="D834" s="35" t="s">
        <v>437</v>
      </c>
    </row>
    <row r="835" spans="1:4" ht="34.5" customHeight="1" thickBot="1">
      <c r="A835" s="34">
        <v>0</v>
      </c>
      <c r="B835" s="32" t="s">
        <v>8</v>
      </c>
      <c r="C835" s="33">
        <v>670</v>
      </c>
      <c r="D835" s="32" t="s">
        <v>9</v>
      </c>
    </row>
    <row r="836" spans="1:4" ht="34.5" customHeight="1" thickBot="1">
      <c r="A836" s="153" t="s">
        <v>436</v>
      </c>
      <c r="B836" s="154"/>
      <c r="C836" s="154"/>
      <c r="D836" s="155"/>
    </row>
    <row r="837" spans="1:4" ht="34.5" customHeight="1" thickBot="1">
      <c r="A837" s="156" t="s">
        <v>435</v>
      </c>
      <c r="B837" s="157"/>
      <c r="C837" s="157"/>
      <c r="D837" s="158"/>
    </row>
    <row r="838" spans="1:4" ht="34.5" customHeight="1">
      <c r="A838" s="159" t="s">
        <v>442</v>
      </c>
      <c r="B838" s="160" t="s">
        <v>441</v>
      </c>
      <c r="C838" s="160"/>
      <c r="D838" s="161"/>
    </row>
    <row r="839" spans="1:4" ht="34.5" customHeight="1" thickBot="1">
      <c r="A839" s="162"/>
      <c r="B839" s="163"/>
      <c r="C839" s="163"/>
      <c r="D839" s="164"/>
    </row>
    <row r="840" spans="1:4" ht="34.5" customHeight="1" thickBot="1">
      <c r="A840" s="142" t="s">
        <v>11</v>
      </c>
      <c r="B840" s="143"/>
      <c r="C840" s="165" t="s">
        <v>591</v>
      </c>
      <c r="D840" s="143"/>
    </row>
    <row r="841" spans="1:4" ht="34.5" customHeight="1" thickBot="1">
      <c r="A841" s="137" t="s">
        <v>472</v>
      </c>
      <c r="B841" s="138"/>
      <c r="C841" s="138"/>
      <c r="D841" s="139"/>
    </row>
    <row r="842" spans="1:4" ht="34.5" customHeight="1" thickBot="1">
      <c r="A842" s="34" t="s">
        <v>458</v>
      </c>
      <c r="B842" s="32" t="s">
        <v>438</v>
      </c>
      <c r="C842" s="34">
        <v>31</v>
      </c>
      <c r="D842" s="32" t="s">
        <v>0</v>
      </c>
    </row>
    <row r="843" spans="1:4" ht="34.5" customHeight="1" thickBot="1">
      <c r="A843" s="37" t="s">
        <v>673</v>
      </c>
      <c r="B843" s="36" t="s">
        <v>1</v>
      </c>
      <c r="C843" s="34" t="s">
        <v>674</v>
      </c>
      <c r="D843" s="32" t="s">
        <v>2</v>
      </c>
    </row>
    <row r="844" spans="1:4" ht="34.5" customHeight="1" thickBot="1">
      <c r="A844" s="140">
        <v>159</v>
      </c>
      <c r="B844" s="141"/>
      <c r="C844" s="142" t="s">
        <v>3</v>
      </c>
      <c r="D844" s="143"/>
    </row>
    <row r="845" spans="1:4" ht="34.5" customHeight="1" thickBot="1">
      <c r="A845" s="140">
        <v>159</v>
      </c>
      <c r="B845" s="141"/>
      <c r="C845" s="144" t="s">
        <v>4</v>
      </c>
      <c r="D845" s="145"/>
    </row>
    <row r="846" spans="1:4" ht="34.5" customHeight="1" thickBot="1">
      <c r="A846" s="146">
        <f>A845-A844</f>
        <v>0</v>
      </c>
      <c r="B846" s="147"/>
      <c r="C846" s="148"/>
      <c r="D846" s="35" t="s">
        <v>5</v>
      </c>
    </row>
    <row r="847" spans="1:4" ht="34.5" customHeight="1" thickBot="1">
      <c r="A847" s="149">
        <v>23</v>
      </c>
      <c r="B847" s="150"/>
      <c r="C847" s="151"/>
      <c r="D847" s="35" t="s">
        <v>6</v>
      </c>
    </row>
    <row r="848" spans="1:4" ht="34.5" customHeight="1" thickBot="1">
      <c r="A848" s="144">
        <f>A847*A846</f>
        <v>0</v>
      </c>
      <c r="B848" s="152"/>
      <c r="C848" s="145"/>
      <c r="D848" s="35" t="s">
        <v>7</v>
      </c>
    </row>
    <row r="849" spans="1:4" ht="34.5" customHeight="1" thickBot="1">
      <c r="A849" s="144">
        <v>0</v>
      </c>
      <c r="B849" s="152"/>
      <c r="C849" s="145"/>
      <c r="D849" s="35" t="s">
        <v>437</v>
      </c>
    </row>
    <row r="850" spans="1:4" ht="34.5" customHeight="1" thickBot="1">
      <c r="A850" s="34">
        <v>0</v>
      </c>
      <c r="B850" s="32" t="s">
        <v>8</v>
      </c>
      <c r="C850" s="33">
        <v>410</v>
      </c>
      <c r="D850" s="32" t="s">
        <v>9</v>
      </c>
    </row>
    <row r="851" spans="1:4" ht="34.5" customHeight="1" thickBot="1">
      <c r="A851" s="153" t="s">
        <v>436</v>
      </c>
      <c r="B851" s="154"/>
      <c r="C851" s="154"/>
      <c r="D851" s="155"/>
    </row>
    <row r="852" spans="1:4" ht="34.5" customHeight="1" thickBot="1">
      <c r="A852" s="156" t="s">
        <v>435</v>
      </c>
      <c r="B852" s="157"/>
      <c r="C852" s="157"/>
      <c r="D852" s="158"/>
    </row>
    <row r="853" spans="1:4" ht="34.5" customHeight="1" thickBot="1">
      <c r="A853" s="40"/>
      <c r="B853" s="39"/>
      <c r="C853" s="39"/>
      <c r="D853" s="38"/>
    </row>
    <row r="854" spans="1:4" ht="34.5" customHeight="1">
      <c r="A854" s="159" t="s">
        <v>442</v>
      </c>
      <c r="B854" s="160" t="s">
        <v>441</v>
      </c>
      <c r="C854" s="160"/>
      <c r="D854" s="161"/>
    </row>
    <row r="855" spans="1:4" ht="34.5" customHeight="1" thickBot="1">
      <c r="A855" s="162"/>
      <c r="B855" s="163"/>
      <c r="C855" s="163"/>
      <c r="D855" s="164"/>
    </row>
    <row r="856" spans="1:4" ht="34.5" customHeight="1" thickBot="1">
      <c r="A856" s="142" t="s">
        <v>11</v>
      </c>
      <c r="B856" s="143"/>
      <c r="C856" s="165" t="s">
        <v>591</v>
      </c>
      <c r="D856" s="143"/>
    </row>
    <row r="857" spans="1:4" ht="34.5" customHeight="1" thickBot="1">
      <c r="A857" s="137" t="s">
        <v>472</v>
      </c>
      <c r="B857" s="138"/>
      <c r="C857" s="138"/>
      <c r="D857" s="139"/>
    </row>
    <row r="858" spans="1:4" ht="34.5" customHeight="1" thickBot="1">
      <c r="A858" s="34" t="s">
        <v>458</v>
      </c>
      <c r="B858" s="32" t="s">
        <v>438</v>
      </c>
      <c r="C858" s="34">
        <v>31</v>
      </c>
      <c r="D858" s="32" t="s">
        <v>0</v>
      </c>
    </row>
    <row r="859" spans="1:4" ht="34.5" customHeight="1" thickBot="1">
      <c r="A859" s="37" t="s">
        <v>673</v>
      </c>
      <c r="B859" s="36" t="s">
        <v>1</v>
      </c>
      <c r="C859" s="34" t="s">
        <v>674</v>
      </c>
      <c r="D859" s="32" t="s">
        <v>2</v>
      </c>
    </row>
    <row r="860" spans="1:4" ht="34.5" customHeight="1" thickBot="1">
      <c r="A860" s="140">
        <v>141</v>
      </c>
      <c r="B860" s="141"/>
      <c r="C860" s="142" t="s">
        <v>3</v>
      </c>
      <c r="D860" s="143"/>
    </row>
    <row r="861" spans="1:4" ht="34.5" customHeight="1" thickBot="1">
      <c r="A861" s="140">
        <v>159</v>
      </c>
      <c r="B861" s="141"/>
      <c r="C861" s="144" t="s">
        <v>4</v>
      </c>
      <c r="D861" s="145"/>
    </row>
    <row r="862" spans="1:4" ht="34.5" customHeight="1" thickBot="1">
      <c r="A862" s="146">
        <f>A861-A860</f>
        <v>18</v>
      </c>
      <c r="B862" s="147"/>
      <c r="C862" s="148"/>
      <c r="D862" s="35" t="s">
        <v>5</v>
      </c>
    </row>
    <row r="863" spans="1:4" ht="34.5" customHeight="1" thickBot="1">
      <c r="A863" s="149">
        <v>23</v>
      </c>
      <c r="B863" s="150"/>
      <c r="C863" s="151"/>
      <c r="D863" s="35" t="s">
        <v>6</v>
      </c>
    </row>
    <row r="864" spans="1:4" ht="34.5" customHeight="1" thickBot="1">
      <c r="A864" s="144">
        <f>A863*A862</f>
        <v>414</v>
      </c>
      <c r="B864" s="152"/>
      <c r="C864" s="145"/>
      <c r="D864" s="35" t="s">
        <v>7</v>
      </c>
    </row>
    <row r="865" spans="1:4" ht="34.5" customHeight="1" thickBot="1">
      <c r="A865" s="144">
        <v>0</v>
      </c>
      <c r="B865" s="152"/>
      <c r="C865" s="145"/>
      <c r="D865" s="35" t="s">
        <v>437</v>
      </c>
    </row>
    <row r="866" spans="1:4" ht="34.5" customHeight="1" thickBot="1">
      <c r="A866" s="34">
        <v>0</v>
      </c>
      <c r="B866" s="32" t="s">
        <v>8</v>
      </c>
      <c r="C866" s="33">
        <v>410</v>
      </c>
      <c r="D866" s="32" t="s">
        <v>9</v>
      </c>
    </row>
    <row r="867" spans="1:4" ht="34.5" customHeight="1" thickBot="1">
      <c r="A867" s="153" t="s">
        <v>436</v>
      </c>
      <c r="B867" s="154"/>
      <c r="C867" s="154"/>
      <c r="D867" s="155"/>
    </row>
    <row r="868" spans="1:4" ht="34.5" customHeight="1" thickBot="1">
      <c r="A868" s="156" t="s">
        <v>435</v>
      </c>
      <c r="B868" s="157"/>
      <c r="C868" s="157"/>
      <c r="D868" s="158"/>
    </row>
    <row r="869" spans="1:4" ht="34.5" customHeight="1">
      <c r="A869" s="159" t="s">
        <v>442</v>
      </c>
      <c r="B869" s="160" t="s">
        <v>441</v>
      </c>
      <c r="C869" s="160"/>
      <c r="D869" s="161"/>
    </row>
    <row r="870" spans="1:4" ht="34.5" customHeight="1" thickBot="1">
      <c r="A870" s="162"/>
      <c r="B870" s="163"/>
      <c r="C870" s="163"/>
      <c r="D870" s="164"/>
    </row>
    <row r="871" spans="1:4" ht="34.5" customHeight="1" thickBot="1">
      <c r="A871" s="142" t="s">
        <v>11</v>
      </c>
      <c r="B871" s="143"/>
      <c r="C871" s="165" t="s">
        <v>591</v>
      </c>
      <c r="D871" s="143"/>
    </row>
    <row r="872" spans="1:4" ht="34.5" customHeight="1" thickBot="1">
      <c r="A872" s="137" t="s">
        <v>325</v>
      </c>
      <c r="B872" s="138"/>
      <c r="C872" s="138"/>
      <c r="D872" s="139"/>
    </row>
    <row r="873" spans="1:4" ht="34.5" customHeight="1" thickBot="1">
      <c r="A873" s="34" t="s">
        <v>458</v>
      </c>
      <c r="B873" s="32" t="s">
        <v>438</v>
      </c>
      <c r="C873" s="34">
        <v>32</v>
      </c>
      <c r="D873" s="32" t="s">
        <v>0</v>
      </c>
    </row>
    <row r="874" spans="1:4" ht="34.5" customHeight="1" thickBot="1">
      <c r="A874" s="37" t="s">
        <v>673</v>
      </c>
      <c r="B874" s="36" t="s">
        <v>1</v>
      </c>
      <c r="C874" s="34" t="s">
        <v>674</v>
      </c>
      <c r="D874" s="32" t="s">
        <v>2</v>
      </c>
    </row>
    <row r="875" spans="1:4" ht="34.5" customHeight="1" thickBot="1">
      <c r="A875" s="140">
        <v>3</v>
      </c>
      <c r="B875" s="141"/>
      <c r="C875" s="142" t="s">
        <v>3</v>
      </c>
      <c r="D875" s="143"/>
    </row>
    <row r="876" spans="1:4" ht="34.5" customHeight="1" thickBot="1">
      <c r="A876" s="140">
        <v>3</v>
      </c>
      <c r="B876" s="141"/>
      <c r="C876" s="144" t="s">
        <v>4</v>
      </c>
      <c r="D876" s="145"/>
    </row>
    <row r="877" spans="1:4" ht="34.5" customHeight="1" thickBot="1">
      <c r="A877" s="146">
        <f>A876-A875</f>
        <v>0</v>
      </c>
      <c r="B877" s="147"/>
      <c r="C877" s="148"/>
      <c r="D877" s="35" t="s">
        <v>5</v>
      </c>
    </row>
    <row r="878" spans="1:4" ht="34.5" customHeight="1" thickBot="1">
      <c r="A878" s="149">
        <v>23</v>
      </c>
      <c r="B878" s="150"/>
      <c r="C878" s="151"/>
      <c r="D878" s="35" t="s">
        <v>6</v>
      </c>
    </row>
    <row r="879" spans="1:4" ht="34.5" customHeight="1" thickBot="1">
      <c r="A879" s="144">
        <f>A878*A877</f>
        <v>0</v>
      </c>
      <c r="B879" s="152"/>
      <c r="C879" s="145"/>
      <c r="D879" s="35" t="s">
        <v>7</v>
      </c>
    </row>
    <row r="880" spans="1:4" ht="34.5" customHeight="1" thickBot="1">
      <c r="A880" s="144">
        <v>0</v>
      </c>
      <c r="B880" s="152"/>
      <c r="C880" s="145"/>
      <c r="D880" s="35" t="s">
        <v>437</v>
      </c>
    </row>
    <row r="881" spans="1:4" ht="34.5" customHeight="1" thickBot="1">
      <c r="A881" s="34">
        <v>0</v>
      </c>
      <c r="B881" s="32" t="s">
        <v>8</v>
      </c>
      <c r="C881" s="33">
        <v>0</v>
      </c>
      <c r="D881" s="32" t="s">
        <v>9</v>
      </c>
    </row>
    <row r="882" spans="1:4" ht="34.5" customHeight="1" thickBot="1">
      <c r="A882" s="153" t="s">
        <v>436</v>
      </c>
      <c r="B882" s="154"/>
      <c r="C882" s="154"/>
      <c r="D882" s="155"/>
    </row>
    <row r="883" spans="1:4" ht="34.5" customHeight="1" thickBot="1">
      <c r="A883" s="156" t="s">
        <v>435</v>
      </c>
      <c r="B883" s="157"/>
      <c r="C883" s="157"/>
      <c r="D883" s="158"/>
    </row>
    <row r="884" spans="1:4" ht="34.5" customHeight="1" thickBot="1">
      <c r="A884" s="40"/>
      <c r="B884" s="39"/>
      <c r="C884" s="39"/>
      <c r="D884" s="38"/>
    </row>
    <row r="885" spans="1:4" ht="34.5" customHeight="1">
      <c r="A885" s="159" t="s">
        <v>442</v>
      </c>
      <c r="B885" s="160" t="s">
        <v>441</v>
      </c>
      <c r="C885" s="160"/>
      <c r="D885" s="161"/>
    </row>
    <row r="886" spans="1:4" ht="34.5" customHeight="1" thickBot="1">
      <c r="A886" s="162"/>
      <c r="B886" s="163"/>
      <c r="C886" s="163"/>
      <c r="D886" s="164"/>
    </row>
    <row r="887" spans="1:4" ht="34.5" customHeight="1" thickBot="1">
      <c r="A887" s="142" t="s">
        <v>11</v>
      </c>
      <c r="B887" s="143"/>
      <c r="C887" s="165" t="s">
        <v>591</v>
      </c>
      <c r="D887" s="143"/>
    </row>
    <row r="888" spans="1:4" ht="34.5" customHeight="1" thickBot="1">
      <c r="A888" s="137" t="s">
        <v>325</v>
      </c>
      <c r="B888" s="138"/>
      <c r="C888" s="138"/>
      <c r="D888" s="139"/>
    </row>
    <row r="889" spans="1:4" ht="34.5" customHeight="1" thickBot="1">
      <c r="A889" s="34" t="s">
        <v>458</v>
      </c>
      <c r="B889" s="32" t="s">
        <v>438</v>
      </c>
      <c r="C889" s="34">
        <v>32</v>
      </c>
      <c r="D889" s="32" t="s">
        <v>0</v>
      </c>
    </row>
    <row r="890" spans="1:4" ht="34.5" customHeight="1" thickBot="1">
      <c r="A890" s="37" t="s">
        <v>673</v>
      </c>
      <c r="B890" s="36" t="s">
        <v>1</v>
      </c>
      <c r="C890" s="34" t="s">
        <v>674</v>
      </c>
      <c r="D890" s="32" t="s">
        <v>2</v>
      </c>
    </row>
    <row r="891" spans="1:4" ht="34.5" customHeight="1" thickBot="1">
      <c r="A891" s="140">
        <v>0</v>
      </c>
      <c r="B891" s="141"/>
      <c r="C891" s="142" t="s">
        <v>3</v>
      </c>
      <c r="D891" s="143"/>
    </row>
    <row r="892" spans="1:4" ht="34.5" customHeight="1" thickBot="1">
      <c r="A892" s="140">
        <v>3</v>
      </c>
      <c r="B892" s="141"/>
      <c r="C892" s="144" t="s">
        <v>4</v>
      </c>
      <c r="D892" s="145"/>
    </row>
    <row r="893" spans="1:4" ht="34.5" customHeight="1" thickBot="1">
      <c r="A893" s="146">
        <f>A892-A891</f>
        <v>3</v>
      </c>
      <c r="B893" s="147"/>
      <c r="C893" s="148"/>
      <c r="D893" s="35" t="s">
        <v>5</v>
      </c>
    </row>
    <row r="894" spans="1:4" ht="34.5" customHeight="1" thickBot="1">
      <c r="A894" s="149">
        <v>23</v>
      </c>
      <c r="B894" s="150"/>
      <c r="C894" s="151"/>
      <c r="D894" s="35" t="s">
        <v>6</v>
      </c>
    </row>
    <row r="895" spans="1:4" ht="34.5" customHeight="1" thickBot="1">
      <c r="A895" s="144">
        <f>A894*A893</f>
        <v>69</v>
      </c>
      <c r="B895" s="152"/>
      <c r="C895" s="145"/>
      <c r="D895" s="35" t="s">
        <v>7</v>
      </c>
    </row>
    <row r="896" spans="1:4" ht="34.5" customHeight="1" thickBot="1">
      <c r="A896" s="144">
        <v>0</v>
      </c>
      <c r="B896" s="152"/>
      <c r="C896" s="145"/>
      <c r="D896" s="35" t="s">
        <v>437</v>
      </c>
    </row>
    <row r="897" spans="1:4" ht="34.5" customHeight="1" thickBot="1">
      <c r="A897" s="34">
        <v>0</v>
      </c>
      <c r="B897" s="32" t="s">
        <v>8</v>
      </c>
      <c r="C897" s="33">
        <v>70</v>
      </c>
      <c r="D897" s="32" t="s">
        <v>9</v>
      </c>
    </row>
    <row r="898" spans="1:4" ht="34.5" customHeight="1" thickBot="1">
      <c r="A898" s="153" t="s">
        <v>436</v>
      </c>
      <c r="B898" s="154"/>
      <c r="C898" s="154"/>
      <c r="D898" s="155"/>
    </row>
    <row r="899" spans="1:4" ht="34.5" customHeight="1" thickBot="1">
      <c r="A899" s="156" t="s">
        <v>435</v>
      </c>
      <c r="B899" s="157"/>
      <c r="C899" s="157"/>
      <c r="D899" s="158"/>
    </row>
    <row r="900" spans="1:4" ht="34.5" customHeight="1">
      <c r="A900" s="159" t="s">
        <v>442</v>
      </c>
      <c r="B900" s="160" t="s">
        <v>441</v>
      </c>
      <c r="C900" s="160"/>
      <c r="D900" s="161"/>
    </row>
    <row r="901" spans="1:4" ht="34.5" customHeight="1" thickBot="1">
      <c r="A901" s="162"/>
      <c r="B901" s="163"/>
      <c r="C901" s="163"/>
      <c r="D901" s="164"/>
    </row>
    <row r="902" spans="1:4" ht="34.5" customHeight="1" thickBot="1">
      <c r="A902" s="142" t="s">
        <v>11</v>
      </c>
      <c r="B902" s="143"/>
      <c r="C902" s="165" t="s">
        <v>591</v>
      </c>
      <c r="D902" s="143"/>
    </row>
    <row r="903" spans="1:4" ht="34.5" customHeight="1" thickBot="1">
      <c r="A903" s="137" t="s">
        <v>388</v>
      </c>
      <c r="B903" s="138"/>
      <c r="C903" s="138"/>
      <c r="D903" s="139"/>
    </row>
    <row r="904" spans="1:4" ht="34.5" customHeight="1" thickBot="1">
      <c r="A904" s="34" t="s">
        <v>458</v>
      </c>
      <c r="B904" s="32" t="s">
        <v>438</v>
      </c>
      <c r="C904" s="34">
        <v>33</v>
      </c>
      <c r="D904" s="32" t="s">
        <v>0</v>
      </c>
    </row>
    <row r="905" spans="1:4" ht="34.5" customHeight="1" thickBot="1">
      <c r="A905" s="37" t="s">
        <v>673</v>
      </c>
      <c r="B905" s="36" t="s">
        <v>1</v>
      </c>
      <c r="C905" s="34" t="s">
        <v>674</v>
      </c>
      <c r="D905" s="32" t="s">
        <v>2</v>
      </c>
    </row>
    <row r="906" spans="1:4" ht="34.5" customHeight="1" thickBot="1">
      <c r="A906" s="140">
        <v>115</v>
      </c>
      <c r="B906" s="141"/>
      <c r="C906" s="142" t="s">
        <v>3</v>
      </c>
      <c r="D906" s="143"/>
    </row>
    <row r="907" spans="1:4" ht="34.5" customHeight="1" thickBot="1">
      <c r="A907" s="140">
        <v>115</v>
      </c>
      <c r="B907" s="141"/>
      <c r="C907" s="144" t="s">
        <v>4</v>
      </c>
      <c r="D907" s="145"/>
    </row>
    <row r="908" spans="1:4" ht="34.5" customHeight="1" thickBot="1">
      <c r="A908" s="146">
        <f>A907-A906</f>
        <v>0</v>
      </c>
      <c r="B908" s="147"/>
      <c r="C908" s="148"/>
      <c r="D908" s="35" t="s">
        <v>5</v>
      </c>
    </row>
    <row r="909" spans="1:4" ht="34.5" customHeight="1" thickBot="1">
      <c r="A909" s="149">
        <v>23</v>
      </c>
      <c r="B909" s="150"/>
      <c r="C909" s="151"/>
      <c r="D909" s="35" t="s">
        <v>6</v>
      </c>
    </row>
    <row r="910" spans="1:4" ht="34.5" customHeight="1" thickBot="1">
      <c r="A910" s="144">
        <f>A909*A908</f>
        <v>0</v>
      </c>
      <c r="B910" s="152"/>
      <c r="C910" s="145"/>
      <c r="D910" s="35" t="s">
        <v>7</v>
      </c>
    </row>
    <row r="911" spans="1:4" ht="34.5" customHeight="1" thickBot="1">
      <c r="A911" s="144">
        <v>0</v>
      </c>
      <c r="B911" s="152"/>
      <c r="C911" s="145"/>
      <c r="D911" s="35" t="s">
        <v>437</v>
      </c>
    </row>
    <row r="912" spans="1:4" ht="34.5" customHeight="1" thickBot="1">
      <c r="A912" s="34">
        <v>0</v>
      </c>
      <c r="B912" s="32" t="s">
        <v>8</v>
      </c>
      <c r="C912" s="33">
        <v>350</v>
      </c>
      <c r="D912" s="32" t="s">
        <v>9</v>
      </c>
    </row>
    <row r="913" spans="1:4" ht="34.5" customHeight="1" thickBot="1">
      <c r="A913" s="153" t="s">
        <v>436</v>
      </c>
      <c r="B913" s="154"/>
      <c r="C913" s="154"/>
      <c r="D913" s="155"/>
    </row>
    <row r="914" spans="1:4" ht="34.5" customHeight="1" thickBot="1">
      <c r="A914" s="156" t="s">
        <v>435</v>
      </c>
      <c r="B914" s="157"/>
      <c r="C914" s="157"/>
      <c r="D914" s="158"/>
    </row>
    <row r="915" spans="1:4" ht="34.5" customHeight="1" thickBot="1">
      <c r="A915" s="40"/>
      <c r="B915" s="39"/>
      <c r="C915" s="39"/>
      <c r="D915" s="38"/>
    </row>
    <row r="916" spans="1:4" ht="34.5" customHeight="1">
      <c r="A916" s="159" t="s">
        <v>442</v>
      </c>
      <c r="B916" s="160" t="s">
        <v>441</v>
      </c>
      <c r="C916" s="160"/>
      <c r="D916" s="161"/>
    </row>
    <row r="917" spans="1:4" ht="34.5" customHeight="1" thickBot="1">
      <c r="A917" s="162"/>
      <c r="B917" s="163"/>
      <c r="C917" s="163"/>
      <c r="D917" s="164"/>
    </row>
    <row r="918" spans="1:4" ht="34.5" customHeight="1" thickBot="1">
      <c r="A918" s="142" t="s">
        <v>11</v>
      </c>
      <c r="B918" s="143"/>
      <c r="C918" s="165" t="s">
        <v>591</v>
      </c>
      <c r="D918" s="143"/>
    </row>
    <row r="919" spans="1:4" ht="34.5" customHeight="1" thickBot="1">
      <c r="A919" s="137" t="s">
        <v>388</v>
      </c>
      <c r="B919" s="138"/>
      <c r="C919" s="138"/>
      <c r="D919" s="139"/>
    </row>
    <row r="920" spans="1:4" ht="34.5" customHeight="1" thickBot="1">
      <c r="A920" s="34" t="s">
        <v>458</v>
      </c>
      <c r="B920" s="32" t="s">
        <v>438</v>
      </c>
      <c r="C920" s="34">
        <v>33</v>
      </c>
      <c r="D920" s="32" t="s">
        <v>0</v>
      </c>
    </row>
    <row r="921" spans="1:4" ht="34.5" customHeight="1" thickBot="1">
      <c r="A921" s="37" t="s">
        <v>673</v>
      </c>
      <c r="B921" s="36" t="s">
        <v>1</v>
      </c>
      <c r="C921" s="34" t="s">
        <v>674</v>
      </c>
      <c r="D921" s="32" t="s">
        <v>2</v>
      </c>
    </row>
    <row r="922" spans="1:4" ht="34.5" customHeight="1" thickBot="1">
      <c r="A922" s="140">
        <v>100</v>
      </c>
      <c r="B922" s="141"/>
      <c r="C922" s="142" t="s">
        <v>3</v>
      </c>
      <c r="D922" s="143"/>
    </row>
    <row r="923" spans="1:4" ht="34.5" customHeight="1" thickBot="1">
      <c r="A923" s="140">
        <v>115</v>
      </c>
      <c r="B923" s="141"/>
      <c r="C923" s="144" t="s">
        <v>4</v>
      </c>
      <c r="D923" s="145"/>
    </row>
    <row r="924" spans="1:4" ht="34.5" customHeight="1" thickBot="1">
      <c r="A924" s="146">
        <f>A923-A922</f>
        <v>15</v>
      </c>
      <c r="B924" s="147"/>
      <c r="C924" s="148"/>
      <c r="D924" s="35" t="s">
        <v>5</v>
      </c>
    </row>
    <row r="925" spans="1:4" ht="34.5" customHeight="1" thickBot="1">
      <c r="A925" s="149">
        <v>23</v>
      </c>
      <c r="B925" s="150"/>
      <c r="C925" s="151"/>
      <c r="D925" s="35" t="s">
        <v>6</v>
      </c>
    </row>
    <row r="926" spans="1:4" ht="34.5" customHeight="1" thickBot="1">
      <c r="A926" s="144">
        <f>A925*A924</f>
        <v>345</v>
      </c>
      <c r="B926" s="152"/>
      <c r="C926" s="145"/>
      <c r="D926" s="35" t="s">
        <v>7</v>
      </c>
    </row>
    <row r="927" spans="1:4" ht="34.5" customHeight="1" thickBot="1">
      <c r="A927" s="144">
        <v>0</v>
      </c>
      <c r="B927" s="152"/>
      <c r="C927" s="145"/>
      <c r="D927" s="35" t="s">
        <v>437</v>
      </c>
    </row>
    <row r="928" spans="1:4" ht="34.5" customHeight="1" thickBot="1">
      <c r="A928" s="34">
        <v>0</v>
      </c>
      <c r="B928" s="32" t="s">
        <v>8</v>
      </c>
      <c r="C928" s="33">
        <v>350</v>
      </c>
      <c r="D928" s="32" t="s">
        <v>9</v>
      </c>
    </row>
    <row r="929" spans="1:4" ht="34.5" customHeight="1" thickBot="1">
      <c r="A929" s="153" t="s">
        <v>436</v>
      </c>
      <c r="B929" s="154"/>
      <c r="C929" s="154"/>
      <c r="D929" s="155"/>
    </row>
    <row r="930" spans="1:4" ht="34.5" customHeight="1" thickBot="1">
      <c r="A930" s="156" t="s">
        <v>435</v>
      </c>
      <c r="B930" s="157"/>
      <c r="C930" s="157"/>
      <c r="D930" s="158"/>
    </row>
    <row r="931" spans="1:4" ht="34.5" customHeight="1">
      <c r="A931" s="159" t="s">
        <v>442</v>
      </c>
      <c r="B931" s="160" t="s">
        <v>441</v>
      </c>
      <c r="C931" s="160"/>
      <c r="D931" s="161"/>
    </row>
    <row r="932" spans="1:4" ht="34.5" customHeight="1" thickBot="1">
      <c r="A932" s="162"/>
      <c r="B932" s="163"/>
      <c r="C932" s="163"/>
      <c r="D932" s="164"/>
    </row>
    <row r="933" spans="1:4" ht="34.5" customHeight="1" thickBot="1">
      <c r="A933" s="142" t="s">
        <v>11</v>
      </c>
      <c r="B933" s="143"/>
      <c r="C933" s="165" t="s">
        <v>591</v>
      </c>
      <c r="D933" s="143"/>
    </row>
    <row r="934" spans="1:4" ht="34.5" customHeight="1" thickBot="1">
      <c r="A934" s="137" t="s">
        <v>25</v>
      </c>
      <c r="B934" s="138"/>
      <c r="C934" s="138"/>
      <c r="D934" s="139"/>
    </row>
    <row r="935" spans="1:4" ht="34.5" customHeight="1" thickBot="1">
      <c r="A935" s="34" t="s">
        <v>458</v>
      </c>
      <c r="B935" s="32" t="s">
        <v>438</v>
      </c>
      <c r="C935" s="34">
        <v>34</v>
      </c>
      <c r="D935" s="32" t="s">
        <v>0</v>
      </c>
    </row>
    <row r="936" spans="1:4" ht="34.5" customHeight="1" thickBot="1">
      <c r="A936" s="37" t="s">
        <v>673</v>
      </c>
      <c r="B936" s="36" t="s">
        <v>1</v>
      </c>
      <c r="C936" s="34" t="s">
        <v>674</v>
      </c>
      <c r="D936" s="32" t="s">
        <v>2</v>
      </c>
    </row>
    <row r="937" spans="1:4" ht="34.5" customHeight="1" thickBot="1">
      <c r="A937" s="140">
        <v>222</v>
      </c>
      <c r="B937" s="141"/>
      <c r="C937" s="142" t="s">
        <v>3</v>
      </c>
      <c r="D937" s="143"/>
    </row>
    <row r="938" spans="1:4" ht="34.5" customHeight="1" thickBot="1">
      <c r="A938" s="140">
        <v>222</v>
      </c>
      <c r="B938" s="141"/>
      <c r="C938" s="144" t="s">
        <v>4</v>
      </c>
      <c r="D938" s="145"/>
    </row>
    <row r="939" spans="1:4" ht="34.5" customHeight="1" thickBot="1">
      <c r="A939" s="146">
        <f>A938-A937</f>
        <v>0</v>
      </c>
      <c r="B939" s="147"/>
      <c r="C939" s="148"/>
      <c r="D939" s="35" t="s">
        <v>5</v>
      </c>
    </row>
    <row r="940" spans="1:4" ht="34.5" customHeight="1" thickBot="1">
      <c r="A940" s="149">
        <v>23</v>
      </c>
      <c r="B940" s="150"/>
      <c r="C940" s="151"/>
      <c r="D940" s="35" t="s">
        <v>6</v>
      </c>
    </row>
    <row r="941" spans="1:4" ht="34.5" customHeight="1" thickBot="1">
      <c r="A941" s="144">
        <f>A940*A939</f>
        <v>0</v>
      </c>
      <c r="B941" s="152"/>
      <c r="C941" s="145"/>
      <c r="D941" s="35" t="s">
        <v>7</v>
      </c>
    </row>
    <row r="942" spans="1:4" ht="34.5" customHeight="1" thickBot="1">
      <c r="A942" s="144">
        <v>0</v>
      </c>
      <c r="B942" s="152"/>
      <c r="C942" s="145"/>
      <c r="D942" s="35" t="s">
        <v>437</v>
      </c>
    </row>
    <row r="943" spans="1:4" ht="34.5" customHeight="1" thickBot="1">
      <c r="A943" s="34">
        <v>0</v>
      </c>
      <c r="B943" s="32" t="s">
        <v>8</v>
      </c>
      <c r="C943" s="33">
        <v>500</v>
      </c>
      <c r="D943" s="32" t="s">
        <v>9</v>
      </c>
    </row>
    <row r="944" spans="1:4" ht="34.5" customHeight="1" thickBot="1">
      <c r="A944" s="153" t="s">
        <v>436</v>
      </c>
      <c r="B944" s="154"/>
      <c r="C944" s="154"/>
      <c r="D944" s="155"/>
    </row>
    <row r="945" spans="1:4" ht="34.5" customHeight="1" thickBot="1">
      <c r="A945" s="156" t="s">
        <v>435</v>
      </c>
      <c r="B945" s="157"/>
      <c r="C945" s="157"/>
      <c r="D945" s="158"/>
    </row>
    <row r="946" spans="1:4" ht="34.5" customHeight="1" thickBot="1">
      <c r="A946" s="40"/>
      <c r="B946" s="39"/>
      <c r="C946" s="39"/>
      <c r="D946" s="38"/>
    </row>
    <row r="947" spans="1:4" ht="34.5" customHeight="1">
      <c r="A947" s="159" t="s">
        <v>442</v>
      </c>
      <c r="B947" s="160" t="s">
        <v>441</v>
      </c>
      <c r="C947" s="160"/>
      <c r="D947" s="161"/>
    </row>
    <row r="948" spans="1:4" ht="34.5" customHeight="1" thickBot="1">
      <c r="A948" s="162"/>
      <c r="B948" s="163"/>
      <c r="C948" s="163"/>
      <c r="D948" s="164"/>
    </row>
    <row r="949" spans="1:4" ht="34.5" customHeight="1" thickBot="1">
      <c r="A949" s="142" t="s">
        <v>11</v>
      </c>
      <c r="B949" s="143"/>
      <c r="C949" s="165" t="s">
        <v>591</v>
      </c>
      <c r="D949" s="143"/>
    </row>
    <row r="950" spans="1:4" ht="34.5" customHeight="1" thickBot="1">
      <c r="A950" s="137" t="s">
        <v>25</v>
      </c>
      <c r="B950" s="138"/>
      <c r="C950" s="138"/>
      <c r="D950" s="139"/>
    </row>
    <row r="951" spans="1:4" ht="34.5" customHeight="1" thickBot="1">
      <c r="A951" s="34" t="s">
        <v>458</v>
      </c>
      <c r="B951" s="32" t="s">
        <v>438</v>
      </c>
      <c r="C951" s="34">
        <v>34</v>
      </c>
      <c r="D951" s="32" t="s">
        <v>0</v>
      </c>
    </row>
    <row r="952" spans="1:4" ht="34.5" customHeight="1" thickBot="1">
      <c r="A952" s="37" t="s">
        <v>673</v>
      </c>
      <c r="B952" s="36" t="s">
        <v>1</v>
      </c>
      <c r="C952" s="34" t="s">
        <v>674</v>
      </c>
      <c r="D952" s="32" t="s">
        <v>2</v>
      </c>
    </row>
    <row r="953" spans="1:4" ht="34.5" customHeight="1" thickBot="1">
      <c r="A953" s="140">
        <v>200</v>
      </c>
      <c r="B953" s="141"/>
      <c r="C953" s="142" t="s">
        <v>3</v>
      </c>
      <c r="D953" s="143"/>
    </row>
    <row r="954" spans="1:4" ht="34.5" customHeight="1" thickBot="1">
      <c r="A954" s="140">
        <v>222</v>
      </c>
      <c r="B954" s="141"/>
      <c r="C954" s="144" t="s">
        <v>4</v>
      </c>
      <c r="D954" s="145"/>
    </row>
    <row r="955" spans="1:4" ht="34.5" customHeight="1" thickBot="1">
      <c r="A955" s="146">
        <f>A954-A953</f>
        <v>22</v>
      </c>
      <c r="B955" s="147"/>
      <c r="C955" s="148"/>
      <c r="D955" s="35" t="s">
        <v>5</v>
      </c>
    </row>
    <row r="956" spans="1:4" ht="34.5" customHeight="1" thickBot="1">
      <c r="A956" s="149">
        <v>23</v>
      </c>
      <c r="B956" s="150"/>
      <c r="C956" s="151"/>
      <c r="D956" s="35" t="s">
        <v>6</v>
      </c>
    </row>
    <row r="957" spans="1:4" ht="34.5" customHeight="1" thickBot="1">
      <c r="A957" s="144">
        <f>A956*A955</f>
        <v>506</v>
      </c>
      <c r="B957" s="152"/>
      <c r="C957" s="145"/>
      <c r="D957" s="35" t="s">
        <v>7</v>
      </c>
    </row>
    <row r="958" spans="1:4" ht="34.5" customHeight="1" thickBot="1">
      <c r="A958" s="144">
        <v>0</v>
      </c>
      <c r="B958" s="152"/>
      <c r="C958" s="145"/>
      <c r="D958" s="35" t="s">
        <v>437</v>
      </c>
    </row>
    <row r="959" spans="1:4" ht="34.5" customHeight="1" thickBot="1">
      <c r="A959" s="34">
        <v>0</v>
      </c>
      <c r="B959" s="32" t="s">
        <v>8</v>
      </c>
      <c r="C959" s="33">
        <v>500</v>
      </c>
      <c r="D959" s="32" t="s">
        <v>9</v>
      </c>
    </row>
    <row r="960" spans="1:4" ht="34.5" customHeight="1" thickBot="1">
      <c r="A960" s="153" t="s">
        <v>436</v>
      </c>
      <c r="B960" s="154"/>
      <c r="C960" s="154"/>
      <c r="D960" s="155"/>
    </row>
    <row r="961" spans="1:4" ht="34.5" customHeight="1" thickBot="1">
      <c r="A961" s="156" t="s">
        <v>435</v>
      </c>
      <c r="B961" s="157"/>
      <c r="C961" s="157"/>
      <c r="D961" s="158"/>
    </row>
    <row r="962" spans="1:4" ht="34.5" customHeight="1">
      <c r="A962" s="159" t="s">
        <v>442</v>
      </c>
      <c r="B962" s="160" t="s">
        <v>441</v>
      </c>
      <c r="C962" s="160"/>
      <c r="D962" s="161"/>
    </row>
    <row r="963" spans="1:4" ht="34.5" customHeight="1" thickBot="1">
      <c r="A963" s="162"/>
      <c r="B963" s="163"/>
      <c r="C963" s="163"/>
      <c r="D963" s="164"/>
    </row>
    <row r="964" spans="1:4" ht="34.5" customHeight="1" thickBot="1">
      <c r="A964" s="142" t="s">
        <v>11</v>
      </c>
      <c r="B964" s="143"/>
      <c r="C964" s="165" t="s">
        <v>591</v>
      </c>
      <c r="D964" s="143"/>
    </row>
    <row r="965" spans="1:4" ht="34.5" customHeight="1" thickBot="1">
      <c r="A965" s="137" t="s">
        <v>471</v>
      </c>
      <c r="B965" s="138"/>
      <c r="C965" s="138"/>
      <c r="D965" s="139"/>
    </row>
    <row r="966" spans="1:4" ht="34.5" customHeight="1" thickBot="1">
      <c r="A966" s="34" t="s">
        <v>458</v>
      </c>
      <c r="B966" s="32" t="s">
        <v>438</v>
      </c>
      <c r="C966" s="34">
        <v>35</v>
      </c>
      <c r="D966" s="32" t="s">
        <v>0</v>
      </c>
    </row>
    <row r="967" spans="1:4" ht="34.5" customHeight="1" thickBot="1">
      <c r="A967" s="37" t="s">
        <v>673</v>
      </c>
      <c r="B967" s="36" t="s">
        <v>1</v>
      </c>
      <c r="C967" s="34" t="s">
        <v>674</v>
      </c>
      <c r="D967" s="32" t="s">
        <v>2</v>
      </c>
    </row>
    <row r="968" spans="1:4" ht="34.5" customHeight="1" thickBot="1">
      <c r="A968" s="140">
        <v>198</v>
      </c>
      <c r="B968" s="141"/>
      <c r="C968" s="142" t="s">
        <v>3</v>
      </c>
      <c r="D968" s="143"/>
    </row>
    <row r="969" spans="1:4" ht="34.5" customHeight="1" thickBot="1">
      <c r="A969" s="140">
        <v>198</v>
      </c>
      <c r="B969" s="141"/>
      <c r="C969" s="144" t="s">
        <v>4</v>
      </c>
      <c r="D969" s="145"/>
    </row>
    <row r="970" spans="1:4" ht="34.5" customHeight="1" thickBot="1">
      <c r="A970" s="146">
        <f>A969-A968</f>
        <v>0</v>
      </c>
      <c r="B970" s="147"/>
      <c r="C970" s="148"/>
      <c r="D970" s="35" t="s">
        <v>5</v>
      </c>
    </row>
    <row r="971" spans="1:4" ht="34.5" customHeight="1" thickBot="1">
      <c r="A971" s="149">
        <v>23</v>
      </c>
      <c r="B971" s="150"/>
      <c r="C971" s="151"/>
      <c r="D971" s="35" t="s">
        <v>6</v>
      </c>
    </row>
    <row r="972" spans="1:4" ht="34.5" customHeight="1" thickBot="1">
      <c r="A972" s="144">
        <f>A971*A970</f>
        <v>0</v>
      </c>
      <c r="B972" s="152"/>
      <c r="C972" s="145"/>
      <c r="D972" s="35" t="s">
        <v>7</v>
      </c>
    </row>
    <row r="973" spans="1:4" ht="34.5" customHeight="1" thickBot="1">
      <c r="A973" s="144">
        <v>0</v>
      </c>
      <c r="B973" s="152"/>
      <c r="C973" s="145"/>
      <c r="D973" s="35" t="s">
        <v>437</v>
      </c>
    </row>
    <row r="974" spans="1:4" ht="34.5" customHeight="1" thickBot="1">
      <c r="A974" s="34">
        <v>0</v>
      </c>
      <c r="B974" s="32" t="s">
        <v>8</v>
      </c>
      <c r="C974" s="33">
        <v>600</v>
      </c>
      <c r="D974" s="32" t="s">
        <v>9</v>
      </c>
    </row>
    <row r="975" spans="1:4" ht="34.5" customHeight="1" thickBot="1">
      <c r="A975" s="153" t="s">
        <v>436</v>
      </c>
      <c r="B975" s="154"/>
      <c r="C975" s="154"/>
      <c r="D975" s="155"/>
    </row>
    <row r="976" spans="1:4" ht="34.5" customHeight="1" thickBot="1">
      <c r="A976" s="156" t="s">
        <v>435</v>
      </c>
      <c r="B976" s="157"/>
      <c r="C976" s="157"/>
      <c r="D976" s="158"/>
    </row>
    <row r="977" spans="1:4" ht="34.5" customHeight="1" thickBot="1">
      <c r="A977" s="40"/>
      <c r="B977" s="39"/>
      <c r="C977" s="39"/>
      <c r="D977" s="38"/>
    </row>
    <row r="978" spans="1:4" ht="34.5" customHeight="1">
      <c r="A978" s="159" t="s">
        <v>442</v>
      </c>
      <c r="B978" s="160" t="s">
        <v>441</v>
      </c>
      <c r="C978" s="160"/>
      <c r="D978" s="161"/>
    </row>
    <row r="979" spans="1:4" ht="34.5" customHeight="1" thickBot="1">
      <c r="A979" s="162"/>
      <c r="B979" s="163"/>
      <c r="C979" s="163"/>
      <c r="D979" s="164"/>
    </row>
    <row r="980" spans="1:4" ht="34.5" customHeight="1" thickBot="1">
      <c r="A980" s="142" t="s">
        <v>11</v>
      </c>
      <c r="B980" s="143"/>
      <c r="C980" s="165" t="s">
        <v>591</v>
      </c>
      <c r="D980" s="143"/>
    </row>
    <row r="981" spans="1:4" ht="34.5" customHeight="1" thickBot="1">
      <c r="A981" s="137" t="s">
        <v>471</v>
      </c>
      <c r="B981" s="138"/>
      <c r="C981" s="138"/>
      <c r="D981" s="139"/>
    </row>
    <row r="982" spans="1:4" ht="34.5" customHeight="1" thickBot="1">
      <c r="A982" s="34" t="s">
        <v>458</v>
      </c>
      <c r="B982" s="32" t="s">
        <v>438</v>
      </c>
      <c r="C982" s="34">
        <v>35</v>
      </c>
      <c r="D982" s="32" t="s">
        <v>0</v>
      </c>
    </row>
    <row r="983" spans="1:4" ht="34.5" customHeight="1" thickBot="1">
      <c r="A983" s="37" t="s">
        <v>673</v>
      </c>
      <c r="B983" s="36" t="s">
        <v>1</v>
      </c>
      <c r="C983" s="34" t="s">
        <v>674</v>
      </c>
      <c r="D983" s="32" t="s">
        <v>2</v>
      </c>
    </row>
    <row r="984" spans="1:4" ht="34.5" customHeight="1" thickBot="1">
      <c r="A984" s="140">
        <v>172</v>
      </c>
      <c r="B984" s="141"/>
      <c r="C984" s="142" t="s">
        <v>3</v>
      </c>
      <c r="D984" s="143"/>
    </row>
    <row r="985" spans="1:4" ht="34.5" customHeight="1" thickBot="1">
      <c r="A985" s="140">
        <v>198</v>
      </c>
      <c r="B985" s="141"/>
      <c r="C985" s="144" t="s">
        <v>4</v>
      </c>
      <c r="D985" s="145"/>
    </row>
    <row r="986" spans="1:4" ht="34.5" customHeight="1" thickBot="1">
      <c r="A986" s="146">
        <f>A985-A984</f>
        <v>26</v>
      </c>
      <c r="B986" s="147"/>
      <c r="C986" s="148"/>
      <c r="D986" s="35" t="s">
        <v>5</v>
      </c>
    </row>
    <row r="987" spans="1:4" ht="34.5" customHeight="1" thickBot="1">
      <c r="A987" s="149">
        <v>23</v>
      </c>
      <c r="B987" s="150"/>
      <c r="C987" s="151"/>
      <c r="D987" s="35" t="s">
        <v>6</v>
      </c>
    </row>
    <row r="988" spans="1:4" ht="34.5" customHeight="1" thickBot="1">
      <c r="A988" s="144">
        <f>A987*A986</f>
        <v>598</v>
      </c>
      <c r="B988" s="152"/>
      <c r="C988" s="145"/>
      <c r="D988" s="35" t="s">
        <v>7</v>
      </c>
    </row>
    <row r="989" spans="1:4" ht="34.5" customHeight="1" thickBot="1">
      <c r="A989" s="144">
        <v>0</v>
      </c>
      <c r="B989" s="152"/>
      <c r="C989" s="145"/>
      <c r="D989" s="35" t="s">
        <v>437</v>
      </c>
    </row>
    <row r="990" spans="1:4" ht="34.5" customHeight="1" thickBot="1">
      <c r="A990" s="34">
        <v>0</v>
      </c>
      <c r="B990" s="32" t="s">
        <v>8</v>
      </c>
      <c r="C990" s="33">
        <v>600</v>
      </c>
      <c r="D990" s="32" t="s">
        <v>9</v>
      </c>
    </row>
    <row r="991" spans="1:4" ht="34.5" customHeight="1" thickBot="1">
      <c r="A991" s="153" t="s">
        <v>436</v>
      </c>
      <c r="B991" s="154"/>
      <c r="C991" s="154"/>
      <c r="D991" s="155"/>
    </row>
    <row r="992" spans="1:4" ht="34.5" customHeight="1" thickBot="1">
      <c r="A992" s="156" t="s">
        <v>435</v>
      </c>
      <c r="B992" s="157"/>
      <c r="C992" s="157"/>
      <c r="D992" s="158"/>
    </row>
    <row r="993" spans="1:4" ht="34.5" customHeight="1">
      <c r="A993" s="159" t="s">
        <v>442</v>
      </c>
      <c r="B993" s="160" t="s">
        <v>441</v>
      </c>
      <c r="C993" s="160"/>
      <c r="D993" s="161"/>
    </row>
    <row r="994" spans="1:4" ht="34.5" customHeight="1" thickBot="1">
      <c r="A994" s="162"/>
      <c r="B994" s="163"/>
      <c r="C994" s="163"/>
      <c r="D994" s="164"/>
    </row>
    <row r="995" spans="1:4" ht="34.5" customHeight="1" thickBot="1">
      <c r="A995" s="142" t="s">
        <v>11</v>
      </c>
      <c r="B995" s="143"/>
      <c r="C995" s="165" t="s">
        <v>591</v>
      </c>
      <c r="D995" s="143"/>
    </row>
    <row r="996" spans="1:4" ht="34.5" customHeight="1" thickBot="1">
      <c r="A996" s="137" t="s">
        <v>407</v>
      </c>
      <c r="B996" s="138"/>
      <c r="C996" s="138"/>
      <c r="D996" s="139"/>
    </row>
    <row r="997" spans="1:4" ht="34.5" customHeight="1" thickBot="1">
      <c r="A997" s="34" t="s">
        <v>458</v>
      </c>
      <c r="B997" s="32" t="s">
        <v>438</v>
      </c>
      <c r="C997" s="34">
        <v>36</v>
      </c>
      <c r="D997" s="32" t="s">
        <v>0</v>
      </c>
    </row>
    <row r="998" spans="1:4" ht="34.5" customHeight="1" thickBot="1">
      <c r="A998" s="37" t="s">
        <v>673</v>
      </c>
      <c r="B998" s="36" t="s">
        <v>1</v>
      </c>
      <c r="C998" s="34" t="s">
        <v>674</v>
      </c>
      <c r="D998" s="32" t="s">
        <v>2</v>
      </c>
    </row>
    <row r="999" spans="1:4" ht="34.5" customHeight="1" thickBot="1">
      <c r="A999" s="140">
        <v>87</v>
      </c>
      <c r="B999" s="141"/>
      <c r="C999" s="142" t="s">
        <v>3</v>
      </c>
      <c r="D999" s="143"/>
    </row>
    <row r="1000" spans="1:4" ht="34.5" customHeight="1" thickBot="1">
      <c r="A1000" s="140">
        <v>87</v>
      </c>
      <c r="B1000" s="141"/>
      <c r="C1000" s="144" t="s">
        <v>4</v>
      </c>
      <c r="D1000" s="145"/>
    </row>
    <row r="1001" spans="1:4" ht="34.5" customHeight="1" thickBot="1">
      <c r="A1001" s="146">
        <f>A1000-A999</f>
        <v>0</v>
      </c>
      <c r="B1001" s="147"/>
      <c r="C1001" s="148"/>
      <c r="D1001" s="35" t="s">
        <v>5</v>
      </c>
    </row>
    <row r="1002" spans="1:4" ht="34.5" customHeight="1" thickBot="1">
      <c r="A1002" s="149">
        <v>23</v>
      </c>
      <c r="B1002" s="150"/>
      <c r="C1002" s="151"/>
      <c r="D1002" s="35" t="s">
        <v>6</v>
      </c>
    </row>
    <row r="1003" spans="1:4" ht="34.5" customHeight="1" thickBot="1">
      <c r="A1003" s="144">
        <f>A1002*A1001</f>
        <v>0</v>
      </c>
      <c r="B1003" s="152"/>
      <c r="C1003" s="145"/>
      <c r="D1003" s="35" t="s">
        <v>7</v>
      </c>
    </row>
    <row r="1004" spans="1:4" ht="34.5" customHeight="1" thickBot="1">
      <c r="A1004" s="144">
        <v>0</v>
      </c>
      <c r="B1004" s="152"/>
      <c r="C1004" s="145"/>
      <c r="D1004" s="35" t="s">
        <v>437</v>
      </c>
    </row>
    <row r="1005" spans="1:4" ht="34.5" customHeight="1" thickBot="1">
      <c r="A1005" s="34">
        <v>0</v>
      </c>
      <c r="B1005" s="32" t="s">
        <v>8</v>
      </c>
      <c r="C1005" s="33">
        <v>50</v>
      </c>
      <c r="D1005" s="32" t="s">
        <v>9</v>
      </c>
    </row>
    <row r="1006" spans="1:4" ht="34.5" customHeight="1" thickBot="1">
      <c r="A1006" s="153" t="s">
        <v>436</v>
      </c>
      <c r="B1006" s="154"/>
      <c r="C1006" s="154"/>
      <c r="D1006" s="155"/>
    </row>
    <row r="1007" spans="1:4" ht="34.5" customHeight="1" thickBot="1">
      <c r="A1007" s="156" t="s">
        <v>435</v>
      </c>
      <c r="B1007" s="157"/>
      <c r="C1007" s="157"/>
      <c r="D1007" s="158"/>
    </row>
    <row r="1008" spans="1:4" ht="34.5" customHeight="1" thickBot="1">
      <c r="A1008" s="40"/>
      <c r="B1008" s="39"/>
      <c r="C1008" s="39"/>
      <c r="D1008" s="38"/>
    </row>
    <row r="1009" spans="1:4" ht="34.5" customHeight="1">
      <c r="A1009" s="159" t="s">
        <v>442</v>
      </c>
      <c r="B1009" s="160" t="s">
        <v>441</v>
      </c>
      <c r="C1009" s="160"/>
      <c r="D1009" s="161"/>
    </row>
    <row r="1010" spans="1:4" ht="34.5" customHeight="1" thickBot="1">
      <c r="A1010" s="162"/>
      <c r="B1010" s="163"/>
      <c r="C1010" s="163"/>
      <c r="D1010" s="164"/>
    </row>
    <row r="1011" spans="1:4" ht="34.5" customHeight="1" thickBot="1">
      <c r="A1011" s="142" t="s">
        <v>11</v>
      </c>
      <c r="B1011" s="143"/>
      <c r="C1011" s="165" t="s">
        <v>591</v>
      </c>
      <c r="D1011" s="143"/>
    </row>
    <row r="1012" spans="1:4" ht="34.5" customHeight="1" thickBot="1">
      <c r="A1012" s="137" t="s">
        <v>407</v>
      </c>
      <c r="B1012" s="138"/>
      <c r="C1012" s="138"/>
      <c r="D1012" s="139"/>
    </row>
    <row r="1013" spans="1:4" ht="34.5" customHeight="1" thickBot="1">
      <c r="A1013" s="34" t="s">
        <v>458</v>
      </c>
      <c r="B1013" s="32" t="s">
        <v>438</v>
      </c>
      <c r="C1013" s="34">
        <v>36</v>
      </c>
      <c r="D1013" s="32" t="s">
        <v>0</v>
      </c>
    </row>
    <row r="1014" spans="1:4" ht="34.5" customHeight="1" thickBot="1">
      <c r="A1014" s="37" t="s">
        <v>673</v>
      </c>
      <c r="B1014" s="36" t="s">
        <v>1</v>
      </c>
      <c r="C1014" s="34" t="s">
        <v>674</v>
      </c>
      <c r="D1014" s="32" t="s">
        <v>2</v>
      </c>
    </row>
    <row r="1015" spans="1:4" ht="34.5" customHeight="1" thickBot="1">
      <c r="A1015" s="140">
        <v>85</v>
      </c>
      <c r="B1015" s="141"/>
      <c r="C1015" s="142" t="s">
        <v>3</v>
      </c>
      <c r="D1015" s="143"/>
    </row>
    <row r="1016" spans="1:4" ht="34.5" customHeight="1" thickBot="1">
      <c r="A1016" s="140">
        <v>87</v>
      </c>
      <c r="B1016" s="141"/>
      <c r="C1016" s="144" t="s">
        <v>4</v>
      </c>
      <c r="D1016" s="145"/>
    </row>
    <row r="1017" spans="1:4" ht="34.5" customHeight="1" thickBot="1">
      <c r="A1017" s="146">
        <f>A1016-A1015</f>
        <v>2</v>
      </c>
      <c r="B1017" s="147"/>
      <c r="C1017" s="148"/>
      <c r="D1017" s="35" t="s">
        <v>5</v>
      </c>
    </row>
    <row r="1018" spans="1:4" ht="34.5" customHeight="1" thickBot="1">
      <c r="A1018" s="149">
        <v>23</v>
      </c>
      <c r="B1018" s="150"/>
      <c r="C1018" s="151"/>
      <c r="D1018" s="35" t="s">
        <v>6</v>
      </c>
    </row>
    <row r="1019" spans="1:4" ht="34.5" customHeight="1" thickBot="1">
      <c r="A1019" s="144">
        <f>A1018*A1017</f>
        <v>46</v>
      </c>
      <c r="B1019" s="152"/>
      <c r="C1019" s="145"/>
      <c r="D1019" s="35" t="s">
        <v>7</v>
      </c>
    </row>
    <row r="1020" spans="1:4" ht="34.5" customHeight="1" thickBot="1">
      <c r="A1020" s="144">
        <v>0</v>
      </c>
      <c r="B1020" s="152"/>
      <c r="C1020" s="145"/>
      <c r="D1020" s="35" t="s">
        <v>437</v>
      </c>
    </row>
    <row r="1021" spans="1:4" ht="34.5" customHeight="1" thickBot="1">
      <c r="A1021" s="34">
        <v>0</v>
      </c>
      <c r="B1021" s="32" t="s">
        <v>8</v>
      </c>
      <c r="C1021" s="33">
        <v>50</v>
      </c>
      <c r="D1021" s="32" t="s">
        <v>9</v>
      </c>
    </row>
    <row r="1022" spans="1:4" ht="34.5" customHeight="1" thickBot="1">
      <c r="A1022" s="153" t="s">
        <v>436</v>
      </c>
      <c r="B1022" s="154"/>
      <c r="C1022" s="154"/>
      <c r="D1022" s="155"/>
    </row>
    <row r="1023" spans="1:4" ht="34.5" customHeight="1" thickBot="1">
      <c r="A1023" s="156" t="s">
        <v>435</v>
      </c>
      <c r="B1023" s="157"/>
      <c r="C1023" s="157"/>
      <c r="D1023" s="158"/>
    </row>
    <row r="1024" spans="1:4" ht="34.5" customHeight="1">
      <c r="A1024" s="159" t="s">
        <v>442</v>
      </c>
      <c r="B1024" s="160" t="s">
        <v>441</v>
      </c>
      <c r="C1024" s="160"/>
      <c r="D1024" s="161"/>
    </row>
    <row r="1025" spans="1:4" ht="34.5" customHeight="1" thickBot="1">
      <c r="A1025" s="162"/>
      <c r="B1025" s="163"/>
      <c r="C1025" s="163"/>
      <c r="D1025" s="164"/>
    </row>
    <row r="1026" spans="1:4" ht="34.5" customHeight="1" thickBot="1">
      <c r="A1026" s="142" t="s">
        <v>11</v>
      </c>
      <c r="B1026" s="143"/>
      <c r="C1026" s="165" t="s">
        <v>591</v>
      </c>
      <c r="D1026" s="143"/>
    </row>
    <row r="1027" spans="1:4" ht="34.5" customHeight="1" thickBot="1">
      <c r="A1027" s="137" t="s">
        <v>336</v>
      </c>
      <c r="B1027" s="138"/>
      <c r="C1027" s="138"/>
      <c r="D1027" s="139"/>
    </row>
    <row r="1028" spans="1:4" ht="34.5" customHeight="1" thickBot="1">
      <c r="A1028" s="34" t="s">
        <v>458</v>
      </c>
      <c r="B1028" s="32" t="s">
        <v>438</v>
      </c>
      <c r="C1028" s="34">
        <v>37</v>
      </c>
      <c r="D1028" s="32" t="s">
        <v>0</v>
      </c>
    </row>
    <row r="1029" spans="1:4" ht="34.5" customHeight="1" thickBot="1">
      <c r="A1029" s="37" t="s">
        <v>673</v>
      </c>
      <c r="B1029" s="36" t="s">
        <v>1</v>
      </c>
      <c r="C1029" s="34" t="s">
        <v>674</v>
      </c>
      <c r="D1029" s="32" t="s">
        <v>2</v>
      </c>
    </row>
    <row r="1030" spans="1:4" ht="34.5" customHeight="1" thickBot="1">
      <c r="A1030" s="140">
        <v>180</v>
      </c>
      <c r="B1030" s="141"/>
      <c r="C1030" s="142" t="s">
        <v>3</v>
      </c>
      <c r="D1030" s="143"/>
    </row>
    <row r="1031" spans="1:4" ht="34.5" customHeight="1" thickBot="1">
      <c r="A1031" s="140">
        <v>180</v>
      </c>
      <c r="B1031" s="141"/>
      <c r="C1031" s="144" t="s">
        <v>4</v>
      </c>
      <c r="D1031" s="145"/>
    </row>
    <row r="1032" spans="1:4" ht="34.5" customHeight="1" thickBot="1">
      <c r="A1032" s="146">
        <f>A1031-A1030</f>
        <v>0</v>
      </c>
      <c r="B1032" s="147"/>
      <c r="C1032" s="148"/>
      <c r="D1032" s="35" t="s">
        <v>5</v>
      </c>
    </row>
    <row r="1033" spans="1:4" ht="34.5" customHeight="1" thickBot="1">
      <c r="A1033" s="149">
        <v>23</v>
      </c>
      <c r="B1033" s="150"/>
      <c r="C1033" s="151"/>
      <c r="D1033" s="35" t="s">
        <v>6</v>
      </c>
    </row>
    <row r="1034" spans="1:4" ht="34.5" customHeight="1" thickBot="1">
      <c r="A1034" s="144">
        <f>A1033*A1032</f>
        <v>0</v>
      </c>
      <c r="B1034" s="152"/>
      <c r="C1034" s="145"/>
      <c r="D1034" s="35" t="s">
        <v>7</v>
      </c>
    </row>
    <row r="1035" spans="1:4" ht="34.5" customHeight="1" thickBot="1">
      <c r="A1035" s="144">
        <v>0</v>
      </c>
      <c r="B1035" s="152"/>
      <c r="C1035" s="145"/>
      <c r="D1035" s="35" t="s">
        <v>437</v>
      </c>
    </row>
    <row r="1036" spans="1:4" ht="34.5" customHeight="1" thickBot="1">
      <c r="A1036" s="34">
        <v>0</v>
      </c>
      <c r="B1036" s="32" t="s">
        <v>8</v>
      </c>
      <c r="C1036" s="33">
        <v>550</v>
      </c>
      <c r="D1036" s="32" t="s">
        <v>9</v>
      </c>
    </row>
    <row r="1037" spans="1:4" ht="34.5" customHeight="1" thickBot="1">
      <c r="A1037" s="153" t="s">
        <v>436</v>
      </c>
      <c r="B1037" s="154"/>
      <c r="C1037" s="154"/>
      <c r="D1037" s="155"/>
    </row>
    <row r="1038" spans="1:4" ht="34.5" customHeight="1" thickBot="1">
      <c r="A1038" s="156" t="s">
        <v>435</v>
      </c>
      <c r="B1038" s="157"/>
      <c r="C1038" s="157"/>
      <c r="D1038" s="158"/>
    </row>
    <row r="1039" spans="1:4" ht="34.5" customHeight="1" thickBot="1">
      <c r="A1039" s="40"/>
      <c r="B1039" s="39"/>
      <c r="C1039" s="39"/>
      <c r="D1039" s="38"/>
    </row>
    <row r="1040" spans="1:4" ht="34.5" customHeight="1">
      <c r="A1040" s="159" t="s">
        <v>442</v>
      </c>
      <c r="B1040" s="160" t="s">
        <v>441</v>
      </c>
      <c r="C1040" s="160"/>
      <c r="D1040" s="161"/>
    </row>
    <row r="1041" spans="1:4" ht="34.5" customHeight="1" thickBot="1">
      <c r="A1041" s="162"/>
      <c r="B1041" s="163"/>
      <c r="C1041" s="163"/>
      <c r="D1041" s="164"/>
    </row>
    <row r="1042" spans="1:4" ht="34.5" customHeight="1" thickBot="1">
      <c r="A1042" s="142" t="s">
        <v>11</v>
      </c>
      <c r="B1042" s="143"/>
      <c r="C1042" s="165" t="s">
        <v>591</v>
      </c>
      <c r="D1042" s="143"/>
    </row>
    <row r="1043" spans="1:4" ht="34.5" customHeight="1" thickBot="1">
      <c r="A1043" s="137" t="s">
        <v>336</v>
      </c>
      <c r="B1043" s="138"/>
      <c r="C1043" s="138"/>
      <c r="D1043" s="139"/>
    </row>
    <row r="1044" spans="1:4" ht="34.5" customHeight="1" thickBot="1">
      <c r="A1044" s="34" t="s">
        <v>458</v>
      </c>
      <c r="B1044" s="32" t="s">
        <v>438</v>
      </c>
      <c r="C1044" s="34">
        <v>37</v>
      </c>
      <c r="D1044" s="32" t="s">
        <v>0</v>
      </c>
    </row>
    <row r="1045" spans="1:4" ht="34.5" customHeight="1" thickBot="1">
      <c r="A1045" s="37" t="s">
        <v>673</v>
      </c>
      <c r="B1045" s="36" t="s">
        <v>1</v>
      </c>
      <c r="C1045" s="34" t="s">
        <v>674</v>
      </c>
      <c r="D1045" s="32" t="s">
        <v>2</v>
      </c>
    </row>
    <row r="1046" spans="1:4" ht="34.5" customHeight="1" thickBot="1">
      <c r="A1046" s="140">
        <v>156</v>
      </c>
      <c r="B1046" s="141"/>
      <c r="C1046" s="142" t="s">
        <v>3</v>
      </c>
      <c r="D1046" s="143"/>
    </row>
    <row r="1047" spans="1:4" ht="34.5" customHeight="1" thickBot="1">
      <c r="A1047" s="140">
        <v>180</v>
      </c>
      <c r="B1047" s="141"/>
      <c r="C1047" s="144" t="s">
        <v>4</v>
      </c>
      <c r="D1047" s="145"/>
    </row>
    <row r="1048" spans="1:4" ht="34.5" customHeight="1" thickBot="1">
      <c r="A1048" s="146">
        <f>A1047-A1046</f>
        <v>24</v>
      </c>
      <c r="B1048" s="147"/>
      <c r="C1048" s="148"/>
      <c r="D1048" s="35" t="s">
        <v>5</v>
      </c>
    </row>
    <row r="1049" spans="1:4" ht="34.5" customHeight="1" thickBot="1">
      <c r="A1049" s="149">
        <v>23</v>
      </c>
      <c r="B1049" s="150"/>
      <c r="C1049" s="151"/>
      <c r="D1049" s="35" t="s">
        <v>6</v>
      </c>
    </row>
    <row r="1050" spans="1:4" ht="34.5" customHeight="1" thickBot="1">
      <c r="A1050" s="144">
        <f>A1049*A1048</f>
        <v>552</v>
      </c>
      <c r="B1050" s="152"/>
      <c r="C1050" s="145"/>
      <c r="D1050" s="35" t="s">
        <v>7</v>
      </c>
    </row>
    <row r="1051" spans="1:4" ht="34.5" customHeight="1" thickBot="1">
      <c r="A1051" s="144">
        <v>0</v>
      </c>
      <c r="B1051" s="152"/>
      <c r="C1051" s="145"/>
      <c r="D1051" s="35" t="s">
        <v>437</v>
      </c>
    </row>
    <row r="1052" spans="1:4" ht="34.5" customHeight="1" thickBot="1">
      <c r="A1052" s="34">
        <v>0</v>
      </c>
      <c r="B1052" s="32" t="s">
        <v>8</v>
      </c>
      <c r="C1052" s="33">
        <v>550</v>
      </c>
      <c r="D1052" s="32" t="s">
        <v>9</v>
      </c>
    </row>
    <row r="1053" spans="1:4" ht="34.5" customHeight="1" thickBot="1">
      <c r="A1053" s="153" t="s">
        <v>436</v>
      </c>
      <c r="B1053" s="154"/>
      <c r="C1053" s="154"/>
      <c r="D1053" s="155"/>
    </row>
    <row r="1054" spans="1:4" ht="34.5" customHeight="1" thickBot="1">
      <c r="A1054" s="156" t="s">
        <v>435</v>
      </c>
      <c r="B1054" s="157"/>
      <c r="C1054" s="157"/>
      <c r="D1054" s="158"/>
    </row>
    <row r="1055" spans="1:4" ht="34.5" customHeight="1">
      <c r="A1055" s="159" t="s">
        <v>442</v>
      </c>
      <c r="B1055" s="160" t="s">
        <v>441</v>
      </c>
      <c r="C1055" s="160"/>
      <c r="D1055" s="161"/>
    </row>
    <row r="1056" spans="1:4" ht="34.5" customHeight="1" thickBot="1">
      <c r="A1056" s="162"/>
      <c r="B1056" s="163"/>
      <c r="C1056" s="163"/>
      <c r="D1056" s="164"/>
    </row>
    <row r="1057" spans="1:4" ht="34.5" customHeight="1" thickBot="1">
      <c r="A1057" s="142" t="s">
        <v>11</v>
      </c>
      <c r="B1057" s="143"/>
      <c r="C1057" s="165" t="s">
        <v>591</v>
      </c>
      <c r="D1057" s="143"/>
    </row>
    <row r="1058" spans="1:4" ht="34.5" customHeight="1" thickBot="1">
      <c r="A1058" s="137" t="s">
        <v>470</v>
      </c>
      <c r="B1058" s="138"/>
      <c r="C1058" s="138"/>
      <c r="D1058" s="139"/>
    </row>
    <row r="1059" spans="1:4" ht="34.5" customHeight="1" thickBot="1">
      <c r="A1059" s="34" t="s">
        <v>458</v>
      </c>
      <c r="B1059" s="32" t="s">
        <v>438</v>
      </c>
      <c r="C1059" s="34">
        <v>38</v>
      </c>
      <c r="D1059" s="32" t="s">
        <v>0</v>
      </c>
    </row>
    <row r="1060" spans="1:4" ht="34.5" customHeight="1" thickBot="1">
      <c r="A1060" s="37" t="s">
        <v>673</v>
      </c>
      <c r="B1060" s="36" t="s">
        <v>1</v>
      </c>
      <c r="C1060" s="34" t="s">
        <v>674</v>
      </c>
      <c r="D1060" s="32" t="s">
        <v>2</v>
      </c>
    </row>
    <row r="1061" spans="1:4" ht="34.5" customHeight="1" thickBot="1">
      <c r="A1061" s="140">
        <v>195</v>
      </c>
      <c r="B1061" s="141"/>
      <c r="C1061" s="142" t="s">
        <v>3</v>
      </c>
      <c r="D1061" s="143"/>
    </row>
    <row r="1062" spans="1:4" ht="34.5" customHeight="1" thickBot="1">
      <c r="A1062" s="140">
        <v>195</v>
      </c>
      <c r="B1062" s="141"/>
      <c r="C1062" s="144" t="s">
        <v>4</v>
      </c>
      <c r="D1062" s="145"/>
    </row>
    <row r="1063" spans="1:4" ht="34.5" customHeight="1" thickBot="1">
      <c r="A1063" s="146">
        <f>A1062-A1061</f>
        <v>0</v>
      </c>
      <c r="B1063" s="147"/>
      <c r="C1063" s="148"/>
      <c r="D1063" s="35" t="s">
        <v>5</v>
      </c>
    </row>
    <row r="1064" spans="1:4" ht="34.5" customHeight="1" thickBot="1">
      <c r="A1064" s="149">
        <v>23</v>
      </c>
      <c r="B1064" s="150"/>
      <c r="C1064" s="151"/>
      <c r="D1064" s="35" t="s">
        <v>6</v>
      </c>
    </row>
    <row r="1065" spans="1:4" ht="34.5" customHeight="1" thickBot="1">
      <c r="A1065" s="144">
        <f>A1064*A1063</f>
        <v>0</v>
      </c>
      <c r="B1065" s="152"/>
      <c r="C1065" s="145"/>
      <c r="D1065" s="35" t="s">
        <v>7</v>
      </c>
    </row>
    <row r="1066" spans="1:4" ht="34.5" customHeight="1" thickBot="1">
      <c r="A1066" s="144">
        <v>0</v>
      </c>
      <c r="B1066" s="152"/>
      <c r="C1066" s="145"/>
      <c r="D1066" s="35" t="s">
        <v>437</v>
      </c>
    </row>
    <row r="1067" spans="1:4" ht="34.5" customHeight="1" thickBot="1">
      <c r="A1067" s="34">
        <v>0</v>
      </c>
      <c r="B1067" s="32" t="s">
        <v>8</v>
      </c>
      <c r="C1067" s="33">
        <v>650</v>
      </c>
      <c r="D1067" s="32" t="s">
        <v>9</v>
      </c>
    </row>
    <row r="1068" spans="1:4" ht="34.5" customHeight="1" thickBot="1">
      <c r="A1068" s="153" t="s">
        <v>436</v>
      </c>
      <c r="B1068" s="154"/>
      <c r="C1068" s="154"/>
      <c r="D1068" s="155"/>
    </row>
    <row r="1069" spans="1:4" ht="34.5" customHeight="1" thickBot="1">
      <c r="A1069" s="156" t="s">
        <v>435</v>
      </c>
      <c r="B1069" s="157"/>
      <c r="C1069" s="157"/>
      <c r="D1069" s="158"/>
    </row>
    <row r="1070" spans="1:4" ht="34.5" customHeight="1" thickBot="1">
      <c r="A1070" s="40"/>
      <c r="B1070" s="39"/>
      <c r="C1070" s="39"/>
      <c r="D1070" s="38"/>
    </row>
    <row r="1071" spans="1:4" ht="34.5" customHeight="1">
      <c r="A1071" s="159" t="s">
        <v>442</v>
      </c>
      <c r="B1071" s="160" t="s">
        <v>441</v>
      </c>
      <c r="C1071" s="160"/>
      <c r="D1071" s="161"/>
    </row>
    <row r="1072" spans="1:4" ht="34.5" customHeight="1" thickBot="1">
      <c r="A1072" s="162"/>
      <c r="B1072" s="163"/>
      <c r="C1072" s="163"/>
      <c r="D1072" s="164"/>
    </row>
    <row r="1073" spans="1:4" ht="34.5" customHeight="1" thickBot="1">
      <c r="A1073" s="142" t="s">
        <v>11</v>
      </c>
      <c r="B1073" s="143"/>
      <c r="C1073" s="165" t="s">
        <v>591</v>
      </c>
      <c r="D1073" s="143"/>
    </row>
    <row r="1074" spans="1:4" ht="34.5" customHeight="1" thickBot="1">
      <c r="A1074" s="137" t="s">
        <v>470</v>
      </c>
      <c r="B1074" s="138"/>
      <c r="C1074" s="138"/>
      <c r="D1074" s="139"/>
    </row>
    <row r="1075" spans="1:4" ht="34.5" customHeight="1" thickBot="1">
      <c r="A1075" s="34" t="s">
        <v>458</v>
      </c>
      <c r="B1075" s="32" t="s">
        <v>438</v>
      </c>
      <c r="C1075" s="34">
        <v>38</v>
      </c>
      <c r="D1075" s="32" t="s">
        <v>0</v>
      </c>
    </row>
    <row r="1076" spans="1:4" ht="34.5" customHeight="1" thickBot="1">
      <c r="A1076" s="37" t="s">
        <v>673</v>
      </c>
      <c r="B1076" s="36" t="s">
        <v>1</v>
      </c>
      <c r="C1076" s="34" t="s">
        <v>674</v>
      </c>
      <c r="D1076" s="32" t="s">
        <v>2</v>
      </c>
    </row>
    <row r="1077" spans="1:4" ht="34.5" customHeight="1" thickBot="1">
      <c r="A1077" s="140">
        <v>167</v>
      </c>
      <c r="B1077" s="141"/>
      <c r="C1077" s="142" t="s">
        <v>3</v>
      </c>
      <c r="D1077" s="143"/>
    </row>
    <row r="1078" spans="1:4" ht="34.5" customHeight="1" thickBot="1">
      <c r="A1078" s="140">
        <v>195</v>
      </c>
      <c r="B1078" s="141"/>
      <c r="C1078" s="144" t="s">
        <v>4</v>
      </c>
      <c r="D1078" s="145"/>
    </row>
    <row r="1079" spans="1:4" ht="34.5" customHeight="1" thickBot="1">
      <c r="A1079" s="146">
        <f>A1078-A1077</f>
        <v>28</v>
      </c>
      <c r="B1079" s="147"/>
      <c r="C1079" s="148"/>
      <c r="D1079" s="35" t="s">
        <v>5</v>
      </c>
    </row>
    <row r="1080" spans="1:4" ht="34.5" customHeight="1" thickBot="1">
      <c r="A1080" s="149">
        <v>23</v>
      </c>
      <c r="B1080" s="150"/>
      <c r="C1080" s="151"/>
      <c r="D1080" s="35" t="s">
        <v>6</v>
      </c>
    </row>
    <row r="1081" spans="1:4" ht="34.5" customHeight="1" thickBot="1">
      <c r="A1081" s="144">
        <f>A1080*A1079</f>
        <v>644</v>
      </c>
      <c r="B1081" s="152"/>
      <c r="C1081" s="145"/>
      <c r="D1081" s="35" t="s">
        <v>7</v>
      </c>
    </row>
    <row r="1082" spans="1:4" ht="34.5" customHeight="1" thickBot="1">
      <c r="A1082" s="144">
        <v>0</v>
      </c>
      <c r="B1082" s="152"/>
      <c r="C1082" s="145"/>
      <c r="D1082" s="35" t="s">
        <v>437</v>
      </c>
    </row>
    <row r="1083" spans="1:4" ht="34.5" customHeight="1" thickBot="1">
      <c r="A1083" s="34">
        <v>0</v>
      </c>
      <c r="B1083" s="32" t="s">
        <v>8</v>
      </c>
      <c r="C1083" s="33">
        <v>650</v>
      </c>
      <c r="D1083" s="32" t="s">
        <v>9</v>
      </c>
    </row>
    <row r="1084" spans="1:4" ht="34.5" customHeight="1" thickBot="1">
      <c r="A1084" s="153" t="s">
        <v>436</v>
      </c>
      <c r="B1084" s="154"/>
      <c r="C1084" s="154"/>
      <c r="D1084" s="155"/>
    </row>
    <row r="1085" spans="1:4" ht="34.5" customHeight="1" thickBot="1">
      <c r="A1085" s="156" t="s">
        <v>435</v>
      </c>
      <c r="B1085" s="157"/>
      <c r="C1085" s="157"/>
      <c r="D1085" s="158"/>
    </row>
    <row r="1086" spans="1:4" ht="34.5" customHeight="1">
      <c r="A1086" s="159" t="s">
        <v>442</v>
      </c>
      <c r="B1086" s="160" t="s">
        <v>441</v>
      </c>
      <c r="C1086" s="160"/>
      <c r="D1086" s="161"/>
    </row>
    <row r="1087" spans="1:4" ht="34.5" customHeight="1" thickBot="1">
      <c r="A1087" s="162"/>
      <c r="B1087" s="163"/>
      <c r="C1087" s="163"/>
      <c r="D1087" s="164"/>
    </row>
    <row r="1088" spans="1:4" ht="34.5" customHeight="1" thickBot="1">
      <c r="A1088" s="142" t="s">
        <v>11</v>
      </c>
      <c r="B1088" s="143"/>
      <c r="C1088" s="165" t="s">
        <v>591</v>
      </c>
      <c r="D1088" s="143"/>
    </row>
    <row r="1089" spans="1:4" ht="34.5" customHeight="1" thickBot="1">
      <c r="A1089" s="137" t="s">
        <v>469</v>
      </c>
      <c r="B1089" s="138"/>
      <c r="C1089" s="138"/>
      <c r="D1089" s="139"/>
    </row>
    <row r="1090" spans="1:4" ht="34.5" customHeight="1" thickBot="1">
      <c r="A1090" s="34" t="s">
        <v>458</v>
      </c>
      <c r="B1090" s="32" t="s">
        <v>438</v>
      </c>
      <c r="C1090" s="34">
        <v>39</v>
      </c>
      <c r="D1090" s="32" t="s">
        <v>0</v>
      </c>
    </row>
    <row r="1091" spans="1:4" ht="34.5" customHeight="1" thickBot="1">
      <c r="A1091" s="37" t="s">
        <v>673</v>
      </c>
      <c r="B1091" s="36" t="s">
        <v>1</v>
      </c>
      <c r="C1091" s="34" t="s">
        <v>674</v>
      </c>
      <c r="D1091" s="32" t="s">
        <v>2</v>
      </c>
    </row>
    <row r="1092" spans="1:4" ht="34.5" customHeight="1" thickBot="1">
      <c r="A1092" s="140">
        <v>101</v>
      </c>
      <c r="B1092" s="141"/>
      <c r="C1092" s="142" t="s">
        <v>3</v>
      </c>
      <c r="D1092" s="143"/>
    </row>
    <row r="1093" spans="1:4" ht="34.5" customHeight="1" thickBot="1">
      <c r="A1093" s="140">
        <v>101</v>
      </c>
      <c r="B1093" s="141"/>
      <c r="C1093" s="144" t="s">
        <v>4</v>
      </c>
      <c r="D1093" s="145"/>
    </row>
    <row r="1094" spans="1:4" ht="34.5" customHeight="1" thickBot="1">
      <c r="A1094" s="146">
        <f>A1093-A1092</f>
        <v>0</v>
      </c>
      <c r="B1094" s="147"/>
      <c r="C1094" s="148"/>
      <c r="D1094" s="35" t="s">
        <v>5</v>
      </c>
    </row>
    <row r="1095" spans="1:4" ht="34.5" customHeight="1" thickBot="1">
      <c r="A1095" s="149">
        <v>23</v>
      </c>
      <c r="B1095" s="150"/>
      <c r="C1095" s="151"/>
      <c r="D1095" s="35" t="s">
        <v>6</v>
      </c>
    </row>
    <row r="1096" spans="1:4" ht="34.5" customHeight="1" thickBot="1">
      <c r="A1096" s="144">
        <f>A1095*A1094</f>
        <v>0</v>
      </c>
      <c r="B1096" s="152"/>
      <c r="C1096" s="145"/>
      <c r="D1096" s="35" t="s">
        <v>7</v>
      </c>
    </row>
    <row r="1097" spans="1:4" ht="34.5" customHeight="1" thickBot="1">
      <c r="A1097" s="144">
        <v>0</v>
      </c>
      <c r="B1097" s="152"/>
      <c r="C1097" s="145"/>
      <c r="D1097" s="35" t="s">
        <v>437</v>
      </c>
    </row>
    <row r="1098" spans="1:4" ht="34.5" customHeight="1" thickBot="1">
      <c r="A1098" s="34">
        <v>0</v>
      </c>
      <c r="B1098" s="32" t="s">
        <v>8</v>
      </c>
      <c r="C1098" s="33">
        <v>200</v>
      </c>
      <c r="D1098" s="32" t="s">
        <v>9</v>
      </c>
    </row>
    <row r="1099" spans="1:4" ht="34.5" customHeight="1" thickBot="1">
      <c r="A1099" s="153" t="s">
        <v>436</v>
      </c>
      <c r="B1099" s="154"/>
      <c r="C1099" s="154"/>
      <c r="D1099" s="155"/>
    </row>
    <row r="1100" spans="1:4" ht="34.5" customHeight="1" thickBot="1">
      <c r="A1100" s="156" t="s">
        <v>435</v>
      </c>
      <c r="B1100" s="157"/>
      <c r="C1100" s="157"/>
      <c r="D1100" s="158"/>
    </row>
    <row r="1101" spans="1:4" ht="34.5" customHeight="1" thickBot="1">
      <c r="A1101" s="40"/>
      <c r="B1101" s="39"/>
      <c r="C1101" s="39"/>
      <c r="D1101" s="38"/>
    </row>
    <row r="1102" spans="1:4" ht="34.5" customHeight="1">
      <c r="A1102" s="159" t="s">
        <v>442</v>
      </c>
      <c r="B1102" s="160" t="s">
        <v>441</v>
      </c>
      <c r="C1102" s="160"/>
      <c r="D1102" s="161"/>
    </row>
    <row r="1103" spans="1:4" ht="34.5" customHeight="1" thickBot="1">
      <c r="A1103" s="162"/>
      <c r="B1103" s="163"/>
      <c r="C1103" s="163"/>
      <c r="D1103" s="164"/>
    </row>
    <row r="1104" spans="1:4" ht="34.5" customHeight="1" thickBot="1">
      <c r="A1104" s="142" t="s">
        <v>11</v>
      </c>
      <c r="B1104" s="143"/>
      <c r="C1104" s="165" t="s">
        <v>591</v>
      </c>
      <c r="D1104" s="143"/>
    </row>
    <row r="1105" spans="1:4" ht="34.5" customHeight="1" thickBot="1">
      <c r="A1105" s="137" t="s">
        <v>469</v>
      </c>
      <c r="B1105" s="138"/>
      <c r="C1105" s="138"/>
      <c r="D1105" s="139"/>
    </row>
    <row r="1106" spans="1:4" ht="34.5" customHeight="1" thickBot="1">
      <c r="A1106" s="34" t="s">
        <v>458</v>
      </c>
      <c r="B1106" s="32" t="s">
        <v>438</v>
      </c>
      <c r="C1106" s="34">
        <v>39</v>
      </c>
      <c r="D1106" s="32" t="s">
        <v>0</v>
      </c>
    </row>
    <row r="1107" spans="1:4" ht="34.5" customHeight="1" thickBot="1">
      <c r="A1107" s="37" t="s">
        <v>673</v>
      </c>
      <c r="B1107" s="36" t="s">
        <v>1</v>
      </c>
      <c r="C1107" s="34" t="s">
        <v>674</v>
      </c>
      <c r="D1107" s="32" t="s">
        <v>2</v>
      </c>
    </row>
    <row r="1108" spans="1:4" ht="34.5" customHeight="1" thickBot="1">
      <c r="A1108" s="140">
        <v>92</v>
      </c>
      <c r="B1108" s="141"/>
      <c r="C1108" s="142" t="s">
        <v>3</v>
      </c>
      <c r="D1108" s="143"/>
    </row>
    <row r="1109" spans="1:4" ht="34.5" customHeight="1" thickBot="1">
      <c r="A1109" s="140">
        <v>101</v>
      </c>
      <c r="B1109" s="141"/>
      <c r="C1109" s="144" t="s">
        <v>4</v>
      </c>
      <c r="D1109" s="145"/>
    </row>
    <row r="1110" spans="1:4" ht="34.5" customHeight="1" thickBot="1">
      <c r="A1110" s="146">
        <f>A1109-A1108</f>
        <v>9</v>
      </c>
      <c r="B1110" s="147"/>
      <c r="C1110" s="148"/>
      <c r="D1110" s="35" t="s">
        <v>5</v>
      </c>
    </row>
    <row r="1111" spans="1:4" ht="34.5" customHeight="1" thickBot="1">
      <c r="A1111" s="149">
        <v>23</v>
      </c>
      <c r="B1111" s="150"/>
      <c r="C1111" s="151"/>
      <c r="D1111" s="35" t="s">
        <v>6</v>
      </c>
    </row>
    <row r="1112" spans="1:4" ht="34.5" customHeight="1" thickBot="1">
      <c r="A1112" s="144">
        <f>A1111*A1110</f>
        <v>207</v>
      </c>
      <c r="B1112" s="152"/>
      <c r="C1112" s="145"/>
      <c r="D1112" s="35" t="s">
        <v>7</v>
      </c>
    </row>
    <row r="1113" spans="1:4" ht="34.5" customHeight="1" thickBot="1">
      <c r="A1113" s="144">
        <v>0</v>
      </c>
      <c r="B1113" s="152"/>
      <c r="C1113" s="145"/>
      <c r="D1113" s="35" t="s">
        <v>437</v>
      </c>
    </row>
    <row r="1114" spans="1:4" ht="34.5" customHeight="1" thickBot="1">
      <c r="A1114" s="34">
        <v>0</v>
      </c>
      <c r="B1114" s="32" t="s">
        <v>8</v>
      </c>
      <c r="C1114" s="33">
        <v>200</v>
      </c>
      <c r="D1114" s="32" t="s">
        <v>9</v>
      </c>
    </row>
    <row r="1115" spans="1:4" ht="34.5" customHeight="1" thickBot="1">
      <c r="A1115" s="153" t="s">
        <v>436</v>
      </c>
      <c r="B1115" s="154"/>
      <c r="C1115" s="154"/>
      <c r="D1115" s="155"/>
    </row>
    <row r="1116" spans="1:4" ht="34.5" customHeight="1" thickBot="1">
      <c r="A1116" s="156" t="s">
        <v>435</v>
      </c>
      <c r="B1116" s="157"/>
      <c r="C1116" s="157"/>
      <c r="D1116" s="158"/>
    </row>
    <row r="1117" spans="1:4" ht="34.5" customHeight="1">
      <c r="A1117" s="159" t="s">
        <v>442</v>
      </c>
      <c r="B1117" s="160" t="s">
        <v>441</v>
      </c>
      <c r="C1117" s="160"/>
      <c r="D1117" s="161"/>
    </row>
    <row r="1118" spans="1:4" ht="34.5" customHeight="1" thickBot="1">
      <c r="A1118" s="162"/>
      <c r="B1118" s="163"/>
      <c r="C1118" s="163"/>
      <c r="D1118" s="164"/>
    </row>
    <row r="1119" spans="1:4" ht="34.5" customHeight="1" thickBot="1">
      <c r="A1119" s="142" t="s">
        <v>11</v>
      </c>
      <c r="B1119" s="143"/>
      <c r="C1119" s="165" t="s">
        <v>591</v>
      </c>
      <c r="D1119" s="143"/>
    </row>
    <row r="1120" spans="1:4" ht="34.5" customHeight="1" thickBot="1">
      <c r="A1120" s="137" t="s">
        <v>468</v>
      </c>
      <c r="B1120" s="138"/>
      <c r="C1120" s="138"/>
      <c r="D1120" s="139"/>
    </row>
    <row r="1121" spans="1:4" ht="34.5" customHeight="1" thickBot="1">
      <c r="A1121" s="34" t="s">
        <v>458</v>
      </c>
      <c r="B1121" s="32" t="s">
        <v>438</v>
      </c>
      <c r="C1121" s="34">
        <v>40</v>
      </c>
      <c r="D1121" s="32" t="s">
        <v>0</v>
      </c>
    </row>
    <row r="1122" spans="1:4" ht="34.5" customHeight="1" thickBot="1">
      <c r="A1122" s="37" t="s">
        <v>673</v>
      </c>
      <c r="B1122" s="36" t="s">
        <v>1</v>
      </c>
      <c r="C1122" s="34" t="s">
        <v>674</v>
      </c>
      <c r="D1122" s="32" t="s">
        <v>2</v>
      </c>
    </row>
    <row r="1123" spans="1:4" ht="34.5" customHeight="1" thickBot="1">
      <c r="A1123" s="140">
        <v>164</v>
      </c>
      <c r="B1123" s="141"/>
      <c r="C1123" s="142" t="s">
        <v>3</v>
      </c>
      <c r="D1123" s="143"/>
    </row>
    <row r="1124" spans="1:4" ht="34.5" customHeight="1" thickBot="1">
      <c r="A1124" s="140">
        <v>164</v>
      </c>
      <c r="B1124" s="141"/>
      <c r="C1124" s="144" t="s">
        <v>4</v>
      </c>
      <c r="D1124" s="145"/>
    </row>
    <row r="1125" spans="1:4" ht="34.5" customHeight="1" thickBot="1">
      <c r="A1125" s="146">
        <f>A1124-A1123</f>
        <v>0</v>
      </c>
      <c r="B1125" s="147"/>
      <c r="C1125" s="148"/>
      <c r="D1125" s="35" t="s">
        <v>5</v>
      </c>
    </row>
    <row r="1126" spans="1:4" ht="34.5" customHeight="1" thickBot="1">
      <c r="A1126" s="149">
        <v>23</v>
      </c>
      <c r="B1126" s="150"/>
      <c r="C1126" s="151"/>
      <c r="D1126" s="35" t="s">
        <v>6</v>
      </c>
    </row>
    <row r="1127" spans="1:4" ht="34.5" customHeight="1" thickBot="1">
      <c r="A1127" s="144">
        <f>A1126*A1125</f>
        <v>0</v>
      </c>
      <c r="B1127" s="152"/>
      <c r="C1127" s="145"/>
      <c r="D1127" s="35" t="s">
        <v>7</v>
      </c>
    </row>
    <row r="1128" spans="1:4" ht="34.5" customHeight="1" thickBot="1">
      <c r="A1128" s="144">
        <v>0</v>
      </c>
      <c r="B1128" s="152"/>
      <c r="C1128" s="145"/>
      <c r="D1128" s="35" t="s">
        <v>437</v>
      </c>
    </row>
    <row r="1129" spans="1:4" ht="34.5" customHeight="1" thickBot="1">
      <c r="A1129" s="34">
        <v>0</v>
      </c>
      <c r="B1129" s="32" t="s">
        <v>8</v>
      </c>
      <c r="C1129" s="33">
        <v>480</v>
      </c>
      <c r="D1129" s="32" t="s">
        <v>9</v>
      </c>
    </row>
    <row r="1130" spans="1:4" ht="34.5" customHeight="1" thickBot="1">
      <c r="A1130" s="153" t="s">
        <v>436</v>
      </c>
      <c r="B1130" s="154"/>
      <c r="C1130" s="154"/>
      <c r="D1130" s="155"/>
    </row>
    <row r="1131" spans="1:4" ht="34.5" customHeight="1" thickBot="1">
      <c r="A1131" s="156" t="s">
        <v>435</v>
      </c>
      <c r="B1131" s="157"/>
      <c r="C1131" s="157"/>
      <c r="D1131" s="158"/>
    </row>
    <row r="1132" spans="1:4" ht="34.5" customHeight="1" thickBot="1">
      <c r="A1132" s="40"/>
      <c r="B1132" s="39"/>
      <c r="C1132" s="39"/>
      <c r="D1132" s="38"/>
    </row>
    <row r="1133" spans="1:4" ht="34.5" customHeight="1">
      <c r="A1133" s="159" t="s">
        <v>442</v>
      </c>
      <c r="B1133" s="160" t="s">
        <v>441</v>
      </c>
      <c r="C1133" s="160"/>
      <c r="D1133" s="161"/>
    </row>
    <row r="1134" spans="1:4" ht="34.5" customHeight="1" thickBot="1">
      <c r="A1134" s="162"/>
      <c r="B1134" s="163"/>
      <c r="C1134" s="163"/>
      <c r="D1134" s="164"/>
    </row>
    <row r="1135" spans="1:4" ht="34.5" customHeight="1" thickBot="1">
      <c r="A1135" s="142" t="s">
        <v>11</v>
      </c>
      <c r="B1135" s="143"/>
      <c r="C1135" s="165" t="s">
        <v>591</v>
      </c>
      <c r="D1135" s="143"/>
    </row>
    <row r="1136" spans="1:4" ht="34.5" customHeight="1" thickBot="1">
      <c r="A1136" s="137" t="s">
        <v>468</v>
      </c>
      <c r="B1136" s="138"/>
      <c r="C1136" s="138"/>
      <c r="D1136" s="139"/>
    </row>
    <row r="1137" spans="1:4" ht="34.5" customHeight="1" thickBot="1">
      <c r="A1137" s="34" t="s">
        <v>458</v>
      </c>
      <c r="B1137" s="32" t="s">
        <v>438</v>
      </c>
      <c r="C1137" s="34">
        <v>40</v>
      </c>
      <c r="D1137" s="32" t="s">
        <v>0</v>
      </c>
    </row>
    <row r="1138" spans="1:4" ht="34.5" customHeight="1" thickBot="1">
      <c r="A1138" s="37" t="s">
        <v>673</v>
      </c>
      <c r="B1138" s="36" t="s">
        <v>1</v>
      </c>
      <c r="C1138" s="34" t="s">
        <v>674</v>
      </c>
      <c r="D1138" s="32" t="s">
        <v>2</v>
      </c>
    </row>
    <row r="1139" spans="1:4" ht="34.5" customHeight="1" thickBot="1">
      <c r="A1139" s="140">
        <v>143</v>
      </c>
      <c r="B1139" s="141"/>
      <c r="C1139" s="142" t="s">
        <v>3</v>
      </c>
      <c r="D1139" s="143"/>
    </row>
    <row r="1140" spans="1:4" ht="34.5" customHeight="1" thickBot="1">
      <c r="A1140" s="140">
        <v>164</v>
      </c>
      <c r="B1140" s="141"/>
      <c r="C1140" s="144" t="s">
        <v>4</v>
      </c>
      <c r="D1140" s="145"/>
    </row>
    <row r="1141" spans="1:4" ht="34.5" customHeight="1" thickBot="1">
      <c r="A1141" s="146">
        <f>A1140-A1139</f>
        <v>21</v>
      </c>
      <c r="B1141" s="147"/>
      <c r="C1141" s="148"/>
      <c r="D1141" s="35" t="s">
        <v>5</v>
      </c>
    </row>
    <row r="1142" spans="1:4" ht="34.5" customHeight="1" thickBot="1">
      <c r="A1142" s="149">
        <v>23</v>
      </c>
      <c r="B1142" s="150"/>
      <c r="C1142" s="151"/>
      <c r="D1142" s="35" t="s">
        <v>6</v>
      </c>
    </row>
    <row r="1143" spans="1:4" ht="34.5" customHeight="1" thickBot="1">
      <c r="A1143" s="144">
        <f>A1142*A1141</f>
        <v>483</v>
      </c>
      <c r="B1143" s="152"/>
      <c r="C1143" s="145"/>
      <c r="D1143" s="35" t="s">
        <v>7</v>
      </c>
    </row>
    <row r="1144" spans="1:4" ht="34.5" customHeight="1" thickBot="1">
      <c r="A1144" s="144">
        <v>0</v>
      </c>
      <c r="B1144" s="152"/>
      <c r="C1144" s="145"/>
      <c r="D1144" s="35" t="s">
        <v>437</v>
      </c>
    </row>
    <row r="1145" spans="1:4" ht="34.5" customHeight="1" thickBot="1">
      <c r="A1145" s="34">
        <v>0</v>
      </c>
      <c r="B1145" s="32" t="s">
        <v>8</v>
      </c>
      <c r="C1145" s="33">
        <v>480</v>
      </c>
      <c r="D1145" s="32" t="s">
        <v>9</v>
      </c>
    </row>
    <row r="1146" spans="1:4" ht="34.5" customHeight="1" thickBot="1">
      <c r="A1146" s="153" t="s">
        <v>436</v>
      </c>
      <c r="B1146" s="154"/>
      <c r="C1146" s="154"/>
      <c r="D1146" s="155"/>
    </row>
    <row r="1147" spans="1:4" ht="34.5" customHeight="1" thickBot="1">
      <c r="A1147" s="156" t="s">
        <v>435</v>
      </c>
      <c r="B1147" s="157"/>
      <c r="C1147" s="157"/>
      <c r="D1147" s="158"/>
    </row>
    <row r="1148" spans="1:4" ht="34.5" customHeight="1">
      <c r="A1148" s="159" t="s">
        <v>442</v>
      </c>
      <c r="B1148" s="160" t="s">
        <v>441</v>
      </c>
      <c r="C1148" s="160"/>
      <c r="D1148" s="161"/>
    </row>
    <row r="1149" spans="1:4" ht="34.5" customHeight="1" thickBot="1">
      <c r="A1149" s="162"/>
      <c r="B1149" s="163"/>
      <c r="C1149" s="163"/>
      <c r="D1149" s="164"/>
    </row>
    <row r="1150" spans="1:4" ht="34.5" customHeight="1" thickBot="1">
      <c r="A1150" s="142" t="s">
        <v>11</v>
      </c>
      <c r="B1150" s="143"/>
      <c r="C1150" s="165" t="s">
        <v>591</v>
      </c>
      <c r="D1150" s="143"/>
    </row>
    <row r="1151" spans="1:4" ht="34.5" customHeight="1" thickBot="1">
      <c r="A1151" s="137" t="s">
        <v>321</v>
      </c>
      <c r="B1151" s="138"/>
      <c r="C1151" s="138"/>
      <c r="D1151" s="139"/>
    </row>
    <row r="1152" spans="1:4" ht="34.5" customHeight="1" thickBot="1">
      <c r="A1152" s="34" t="s">
        <v>458</v>
      </c>
      <c r="B1152" s="32" t="s">
        <v>438</v>
      </c>
      <c r="C1152" s="34">
        <v>41</v>
      </c>
      <c r="D1152" s="32" t="s">
        <v>0</v>
      </c>
    </row>
    <row r="1153" spans="1:4" ht="34.5" customHeight="1" thickBot="1">
      <c r="A1153" s="37" t="s">
        <v>673</v>
      </c>
      <c r="B1153" s="36" t="s">
        <v>1</v>
      </c>
      <c r="C1153" s="34" t="s">
        <v>674</v>
      </c>
      <c r="D1153" s="32" t="s">
        <v>2</v>
      </c>
    </row>
    <row r="1154" spans="1:4" ht="34.5" customHeight="1" thickBot="1">
      <c r="A1154" s="140">
        <v>168</v>
      </c>
      <c r="B1154" s="141"/>
      <c r="C1154" s="142" t="s">
        <v>3</v>
      </c>
      <c r="D1154" s="143"/>
    </row>
    <row r="1155" spans="1:4" ht="34.5" customHeight="1" thickBot="1">
      <c r="A1155" s="140">
        <v>168</v>
      </c>
      <c r="B1155" s="141"/>
      <c r="C1155" s="144" t="s">
        <v>4</v>
      </c>
      <c r="D1155" s="145"/>
    </row>
    <row r="1156" spans="1:4" ht="34.5" customHeight="1" thickBot="1">
      <c r="A1156" s="146">
        <f>A1155-A1154</f>
        <v>0</v>
      </c>
      <c r="B1156" s="147"/>
      <c r="C1156" s="148"/>
      <c r="D1156" s="35" t="s">
        <v>5</v>
      </c>
    </row>
    <row r="1157" spans="1:4" ht="34.5" customHeight="1" thickBot="1">
      <c r="A1157" s="149">
        <v>23</v>
      </c>
      <c r="B1157" s="150"/>
      <c r="C1157" s="151"/>
      <c r="D1157" s="35" t="s">
        <v>6</v>
      </c>
    </row>
    <row r="1158" spans="1:4" ht="34.5" customHeight="1" thickBot="1">
      <c r="A1158" s="144">
        <f>A1157*A1156</f>
        <v>0</v>
      </c>
      <c r="B1158" s="152"/>
      <c r="C1158" s="145"/>
      <c r="D1158" s="35" t="s">
        <v>7</v>
      </c>
    </row>
    <row r="1159" spans="1:4" ht="34.5" customHeight="1" thickBot="1">
      <c r="A1159" s="144">
        <v>0</v>
      </c>
      <c r="B1159" s="152"/>
      <c r="C1159" s="145"/>
      <c r="D1159" s="35" t="s">
        <v>437</v>
      </c>
    </row>
    <row r="1160" spans="1:4" ht="34.5" customHeight="1" thickBot="1">
      <c r="A1160" s="34">
        <v>0</v>
      </c>
      <c r="B1160" s="32" t="s">
        <v>8</v>
      </c>
      <c r="C1160" s="33">
        <v>300</v>
      </c>
      <c r="D1160" s="32" t="s">
        <v>9</v>
      </c>
    </row>
    <row r="1161" spans="1:4" ht="34.5" customHeight="1" thickBot="1">
      <c r="A1161" s="153" t="s">
        <v>436</v>
      </c>
      <c r="B1161" s="154"/>
      <c r="C1161" s="154"/>
      <c r="D1161" s="155"/>
    </row>
    <row r="1162" spans="1:4" ht="34.5" customHeight="1" thickBot="1">
      <c r="A1162" s="156" t="s">
        <v>435</v>
      </c>
      <c r="B1162" s="157"/>
      <c r="C1162" s="157"/>
      <c r="D1162" s="158"/>
    </row>
    <row r="1163" spans="1:4" ht="34.5" customHeight="1" thickBot="1">
      <c r="A1163" s="40"/>
      <c r="B1163" s="39"/>
      <c r="C1163" s="39"/>
      <c r="D1163" s="38"/>
    </row>
    <row r="1164" spans="1:4" ht="34.5" customHeight="1">
      <c r="A1164" s="159" t="s">
        <v>442</v>
      </c>
      <c r="B1164" s="160" t="s">
        <v>441</v>
      </c>
      <c r="C1164" s="160"/>
      <c r="D1164" s="161"/>
    </row>
    <row r="1165" spans="1:4" ht="34.5" customHeight="1" thickBot="1">
      <c r="A1165" s="162"/>
      <c r="B1165" s="163"/>
      <c r="C1165" s="163"/>
      <c r="D1165" s="164"/>
    </row>
    <row r="1166" spans="1:4" ht="34.5" customHeight="1" thickBot="1">
      <c r="A1166" s="142" t="s">
        <v>11</v>
      </c>
      <c r="B1166" s="143"/>
      <c r="C1166" s="165" t="s">
        <v>591</v>
      </c>
      <c r="D1166" s="143"/>
    </row>
    <row r="1167" spans="1:4" ht="34.5" customHeight="1" thickBot="1">
      <c r="A1167" s="137" t="s">
        <v>321</v>
      </c>
      <c r="B1167" s="138"/>
      <c r="C1167" s="138"/>
      <c r="D1167" s="139"/>
    </row>
    <row r="1168" spans="1:4" ht="34.5" customHeight="1" thickBot="1">
      <c r="A1168" s="34" t="s">
        <v>458</v>
      </c>
      <c r="B1168" s="32" t="s">
        <v>438</v>
      </c>
      <c r="C1168" s="34">
        <v>41</v>
      </c>
      <c r="D1168" s="32" t="s">
        <v>0</v>
      </c>
    </row>
    <row r="1169" spans="1:4" ht="34.5" customHeight="1" thickBot="1">
      <c r="A1169" s="37" t="s">
        <v>673</v>
      </c>
      <c r="B1169" s="36" t="s">
        <v>1</v>
      </c>
      <c r="C1169" s="34" t="s">
        <v>674</v>
      </c>
      <c r="D1169" s="32" t="s">
        <v>2</v>
      </c>
    </row>
    <row r="1170" spans="1:4" ht="34.5" customHeight="1" thickBot="1">
      <c r="A1170" s="140">
        <v>155</v>
      </c>
      <c r="B1170" s="141"/>
      <c r="C1170" s="142" t="s">
        <v>3</v>
      </c>
      <c r="D1170" s="143"/>
    </row>
    <row r="1171" spans="1:4" ht="34.5" customHeight="1" thickBot="1">
      <c r="A1171" s="140">
        <v>168</v>
      </c>
      <c r="B1171" s="141"/>
      <c r="C1171" s="144" t="s">
        <v>4</v>
      </c>
      <c r="D1171" s="145"/>
    </row>
    <row r="1172" spans="1:4" ht="34.5" customHeight="1" thickBot="1">
      <c r="A1172" s="146">
        <f>A1171-A1170</f>
        <v>13</v>
      </c>
      <c r="B1172" s="147"/>
      <c r="C1172" s="148"/>
      <c r="D1172" s="35" t="s">
        <v>5</v>
      </c>
    </row>
    <row r="1173" spans="1:4" ht="34.5" customHeight="1" thickBot="1">
      <c r="A1173" s="149">
        <v>23</v>
      </c>
      <c r="B1173" s="150"/>
      <c r="C1173" s="151"/>
      <c r="D1173" s="35" t="s">
        <v>6</v>
      </c>
    </row>
    <row r="1174" spans="1:4" ht="34.5" customHeight="1" thickBot="1">
      <c r="A1174" s="144">
        <f>A1173*A1172</f>
        <v>299</v>
      </c>
      <c r="B1174" s="152"/>
      <c r="C1174" s="145"/>
      <c r="D1174" s="35" t="s">
        <v>7</v>
      </c>
    </row>
    <row r="1175" spans="1:4" ht="34.5" customHeight="1" thickBot="1">
      <c r="A1175" s="144">
        <v>0</v>
      </c>
      <c r="B1175" s="152"/>
      <c r="C1175" s="145"/>
      <c r="D1175" s="35" t="s">
        <v>437</v>
      </c>
    </row>
    <row r="1176" spans="1:4" ht="34.5" customHeight="1" thickBot="1">
      <c r="A1176" s="34">
        <v>0</v>
      </c>
      <c r="B1176" s="32" t="s">
        <v>8</v>
      </c>
      <c r="C1176" s="33">
        <v>300</v>
      </c>
      <c r="D1176" s="32" t="s">
        <v>9</v>
      </c>
    </row>
    <row r="1177" spans="1:4" ht="34.5" customHeight="1" thickBot="1">
      <c r="A1177" s="153" t="s">
        <v>436</v>
      </c>
      <c r="B1177" s="154"/>
      <c r="C1177" s="154"/>
      <c r="D1177" s="155"/>
    </row>
    <row r="1178" spans="1:4" ht="34.5" customHeight="1" thickBot="1">
      <c r="A1178" s="156" t="s">
        <v>435</v>
      </c>
      <c r="B1178" s="157"/>
      <c r="C1178" s="157"/>
      <c r="D1178" s="158"/>
    </row>
    <row r="1179" spans="1:4" ht="34.5" customHeight="1">
      <c r="A1179" s="159" t="s">
        <v>442</v>
      </c>
      <c r="B1179" s="160" t="s">
        <v>441</v>
      </c>
      <c r="C1179" s="160"/>
      <c r="D1179" s="161"/>
    </row>
    <row r="1180" spans="1:4" ht="34.5" customHeight="1" thickBot="1">
      <c r="A1180" s="162"/>
      <c r="B1180" s="163"/>
      <c r="C1180" s="163"/>
      <c r="D1180" s="164"/>
    </row>
    <row r="1181" spans="1:4" ht="34.5" customHeight="1" thickBot="1">
      <c r="A1181" s="142" t="s">
        <v>11</v>
      </c>
      <c r="B1181" s="143"/>
      <c r="C1181" s="165" t="s">
        <v>591</v>
      </c>
      <c r="D1181" s="143"/>
    </row>
    <row r="1182" spans="1:4" ht="34.5" customHeight="1" thickBot="1">
      <c r="A1182" s="137" t="s">
        <v>467</v>
      </c>
      <c r="B1182" s="138"/>
      <c r="C1182" s="138"/>
      <c r="D1182" s="139"/>
    </row>
    <row r="1183" spans="1:4" ht="34.5" customHeight="1" thickBot="1">
      <c r="A1183" s="34" t="s">
        <v>458</v>
      </c>
      <c r="B1183" s="32" t="s">
        <v>438</v>
      </c>
      <c r="C1183" s="34">
        <v>42</v>
      </c>
      <c r="D1183" s="32" t="s">
        <v>0</v>
      </c>
    </row>
    <row r="1184" spans="1:4" ht="34.5" customHeight="1" thickBot="1">
      <c r="A1184" s="37" t="s">
        <v>673</v>
      </c>
      <c r="B1184" s="36" t="s">
        <v>1</v>
      </c>
      <c r="C1184" s="34" t="s">
        <v>674</v>
      </c>
      <c r="D1184" s="32" t="s">
        <v>2</v>
      </c>
    </row>
    <row r="1185" spans="1:4" ht="34.5" customHeight="1" thickBot="1">
      <c r="A1185" s="140">
        <v>31</v>
      </c>
      <c r="B1185" s="141"/>
      <c r="C1185" s="142" t="s">
        <v>3</v>
      </c>
      <c r="D1185" s="143"/>
    </row>
    <row r="1186" spans="1:4" ht="34.5" customHeight="1" thickBot="1">
      <c r="A1186" s="140">
        <v>31</v>
      </c>
      <c r="B1186" s="141"/>
      <c r="C1186" s="144" t="s">
        <v>4</v>
      </c>
      <c r="D1186" s="145"/>
    </row>
    <row r="1187" spans="1:4" ht="34.5" customHeight="1" thickBot="1">
      <c r="A1187" s="146">
        <f>A1186-A1185</f>
        <v>0</v>
      </c>
      <c r="B1187" s="147"/>
      <c r="C1187" s="148"/>
      <c r="D1187" s="35" t="s">
        <v>5</v>
      </c>
    </row>
    <row r="1188" spans="1:4" ht="34.5" customHeight="1" thickBot="1">
      <c r="A1188" s="149">
        <v>23</v>
      </c>
      <c r="B1188" s="150"/>
      <c r="C1188" s="151"/>
      <c r="D1188" s="35" t="s">
        <v>6</v>
      </c>
    </row>
    <row r="1189" spans="1:4" ht="34.5" customHeight="1" thickBot="1">
      <c r="A1189" s="144">
        <f>A1188*A1187</f>
        <v>0</v>
      </c>
      <c r="B1189" s="152"/>
      <c r="C1189" s="145"/>
      <c r="D1189" s="35" t="s">
        <v>7</v>
      </c>
    </row>
    <row r="1190" spans="1:4" ht="34.5" customHeight="1" thickBot="1">
      <c r="A1190" s="144">
        <v>0</v>
      </c>
      <c r="B1190" s="152"/>
      <c r="C1190" s="145"/>
      <c r="D1190" s="35" t="s">
        <v>437</v>
      </c>
    </row>
    <row r="1191" spans="1:4" ht="34.5" customHeight="1" thickBot="1">
      <c r="A1191" s="34">
        <v>0</v>
      </c>
      <c r="B1191" s="32" t="s">
        <v>8</v>
      </c>
      <c r="C1191" s="33">
        <v>0</v>
      </c>
      <c r="D1191" s="32" t="s">
        <v>9</v>
      </c>
    </row>
    <row r="1192" spans="1:4" ht="34.5" customHeight="1" thickBot="1">
      <c r="A1192" s="153" t="s">
        <v>436</v>
      </c>
      <c r="B1192" s="154"/>
      <c r="C1192" s="154"/>
      <c r="D1192" s="155"/>
    </row>
    <row r="1193" spans="1:4" ht="34.5" customHeight="1" thickBot="1">
      <c r="A1193" s="156" t="s">
        <v>435</v>
      </c>
      <c r="B1193" s="157"/>
      <c r="C1193" s="157"/>
      <c r="D1193" s="158"/>
    </row>
    <row r="1194" spans="1:4" ht="34.5" customHeight="1" thickBot="1">
      <c r="A1194" s="40"/>
      <c r="B1194" s="39"/>
      <c r="C1194" s="39"/>
      <c r="D1194" s="38"/>
    </row>
    <row r="1195" spans="1:4" ht="34.5" customHeight="1">
      <c r="A1195" s="159" t="s">
        <v>442</v>
      </c>
      <c r="B1195" s="160" t="s">
        <v>441</v>
      </c>
      <c r="C1195" s="160"/>
      <c r="D1195" s="161"/>
    </row>
    <row r="1196" spans="1:4" ht="34.5" customHeight="1" thickBot="1">
      <c r="A1196" s="162"/>
      <c r="B1196" s="163"/>
      <c r="C1196" s="163"/>
      <c r="D1196" s="164"/>
    </row>
    <row r="1197" spans="1:4" ht="34.5" customHeight="1" thickBot="1">
      <c r="A1197" s="142" t="s">
        <v>11</v>
      </c>
      <c r="B1197" s="143"/>
      <c r="C1197" s="165" t="s">
        <v>591</v>
      </c>
      <c r="D1197" s="143"/>
    </row>
    <row r="1198" spans="1:4" ht="34.5" customHeight="1" thickBot="1">
      <c r="A1198" s="137" t="s">
        <v>467</v>
      </c>
      <c r="B1198" s="138"/>
      <c r="C1198" s="138"/>
      <c r="D1198" s="139"/>
    </row>
    <row r="1199" spans="1:4" ht="34.5" customHeight="1" thickBot="1">
      <c r="A1199" s="34" t="s">
        <v>458</v>
      </c>
      <c r="B1199" s="32" t="s">
        <v>438</v>
      </c>
      <c r="C1199" s="34">
        <v>42</v>
      </c>
      <c r="D1199" s="32" t="s">
        <v>0</v>
      </c>
    </row>
    <row r="1200" spans="1:4" ht="34.5" customHeight="1" thickBot="1">
      <c r="A1200" s="37" t="s">
        <v>673</v>
      </c>
      <c r="B1200" s="36" t="s">
        <v>1</v>
      </c>
      <c r="C1200" s="34" t="s">
        <v>674</v>
      </c>
      <c r="D1200" s="32" t="s">
        <v>2</v>
      </c>
    </row>
    <row r="1201" spans="1:4" ht="34.5" customHeight="1" thickBot="1">
      <c r="A1201" s="140">
        <v>25</v>
      </c>
      <c r="B1201" s="141"/>
      <c r="C1201" s="142" t="s">
        <v>3</v>
      </c>
      <c r="D1201" s="143"/>
    </row>
    <row r="1202" spans="1:4" ht="34.5" customHeight="1" thickBot="1">
      <c r="A1202" s="140">
        <v>31</v>
      </c>
      <c r="B1202" s="141"/>
      <c r="C1202" s="144" t="s">
        <v>4</v>
      </c>
      <c r="D1202" s="145"/>
    </row>
    <row r="1203" spans="1:4" ht="34.5" customHeight="1" thickBot="1">
      <c r="A1203" s="146">
        <f>A1202-A1201</f>
        <v>6</v>
      </c>
      <c r="B1203" s="147"/>
      <c r="C1203" s="148"/>
      <c r="D1203" s="35" t="s">
        <v>5</v>
      </c>
    </row>
    <row r="1204" spans="1:4" ht="34.5" customHeight="1" thickBot="1">
      <c r="A1204" s="149">
        <v>23</v>
      </c>
      <c r="B1204" s="150"/>
      <c r="C1204" s="151"/>
      <c r="D1204" s="35" t="s">
        <v>6</v>
      </c>
    </row>
    <row r="1205" spans="1:4" ht="34.5" customHeight="1" thickBot="1">
      <c r="A1205" s="144">
        <f>A1204*A1203</f>
        <v>138</v>
      </c>
      <c r="B1205" s="152"/>
      <c r="C1205" s="145"/>
      <c r="D1205" s="35" t="s">
        <v>7</v>
      </c>
    </row>
    <row r="1206" spans="1:4" ht="34.5" customHeight="1" thickBot="1">
      <c r="A1206" s="144">
        <v>0</v>
      </c>
      <c r="B1206" s="152"/>
      <c r="C1206" s="145"/>
      <c r="D1206" s="35" t="s">
        <v>437</v>
      </c>
    </row>
    <row r="1207" spans="1:4" ht="34.5" customHeight="1" thickBot="1">
      <c r="A1207" s="34">
        <v>0</v>
      </c>
      <c r="B1207" s="32" t="s">
        <v>8</v>
      </c>
      <c r="C1207" s="33">
        <v>140</v>
      </c>
      <c r="D1207" s="32" t="s">
        <v>9</v>
      </c>
    </row>
    <row r="1208" spans="1:4" ht="34.5" customHeight="1" thickBot="1">
      <c r="A1208" s="153" t="s">
        <v>436</v>
      </c>
      <c r="B1208" s="154"/>
      <c r="C1208" s="154"/>
      <c r="D1208" s="155"/>
    </row>
    <row r="1209" spans="1:4" ht="34.5" customHeight="1" thickBot="1">
      <c r="A1209" s="156" t="s">
        <v>435</v>
      </c>
      <c r="B1209" s="157"/>
      <c r="C1209" s="157"/>
      <c r="D1209" s="158"/>
    </row>
    <row r="1210" spans="1:4" ht="34.5" customHeight="1">
      <c r="A1210" s="159" t="s">
        <v>442</v>
      </c>
      <c r="B1210" s="160" t="s">
        <v>441</v>
      </c>
      <c r="C1210" s="160"/>
      <c r="D1210" s="161"/>
    </row>
    <row r="1211" spans="1:4" ht="34.5" customHeight="1" thickBot="1">
      <c r="A1211" s="162"/>
      <c r="B1211" s="163"/>
      <c r="C1211" s="163"/>
      <c r="D1211" s="164"/>
    </row>
    <row r="1212" spans="1:4" ht="34.5" customHeight="1" thickBot="1">
      <c r="A1212" s="142" t="s">
        <v>11</v>
      </c>
      <c r="B1212" s="143"/>
      <c r="C1212" s="165" t="s">
        <v>591</v>
      </c>
      <c r="D1212" s="143"/>
    </row>
    <row r="1213" spans="1:4" ht="34.5" customHeight="1" thickBot="1">
      <c r="A1213" s="137" t="s">
        <v>334</v>
      </c>
      <c r="B1213" s="138"/>
      <c r="C1213" s="138"/>
      <c r="D1213" s="139"/>
    </row>
    <row r="1214" spans="1:4" ht="34.5" customHeight="1" thickBot="1">
      <c r="A1214" s="34" t="s">
        <v>458</v>
      </c>
      <c r="B1214" s="32" t="s">
        <v>438</v>
      </c>
      <c r="C1214" s="34">
        <v>43</v>
      </c>
      <c r="D1214" s="32" t="s">
        <v>0</v>
      </c>
    </row>
    <row r="1215" spans="1:4" ht="34.5" customHeight="1" thickBot="1">
      <c r="A1215" s="37" t="s">
        <v>673</v>
      </c>
      <c r="B1215" s="36" t="s">
        <v>1</v>
      </c>
      <c r="C1215" s="34" t="s">
        <v>674</v>
      </c>
      <c r="D1215" s="32" t="s">
        <v>2</v>
      </c>
    </row>
    <row r="1216" spans="1:4" ht="34.5" customHeight="1" thickBot="1">
      <c r="A1216" s="140">
        <v>66</v>
      </c>
      <c r="B1216" s="141"/>
      <c r="C1216" s="142" t="s">
        <v>3</v>
      </c>
      <c r="D1216" s="143"/>
    </row>
    <row r="1217" spans="1:4" ht="34.5" customHeight="1" thickBot="1">
      <c r="A1217" s="140">
        <v>66</v>
      </c>
      <c r="B1217" s="141"/>
      <c r="C1217" s="144" t="s">
        <v>4</v>
      </c>
      <c r="D1217" s="145"/>
    </row>
    <row r="1218" spans="1:4" ht="34.5" customHeight="1" thickBot="1">
      <c r="A1218" s="146">
        <f>A1217-A1216</f>
        <v>0</v>
      </c>
      <c r="B1218" s="147"/>
      <c r="C1218" s="148"/>
      <c r="D1218" s="35" t="s">
        <v>5</v>
      </c>
    </row>
    <row r="1219" spans="1:4" ht="34.5" customHeight="1" thickBot="1">
      <c r="A1219" s="149">
        <v>23</v>
      </c>
      <c r="B1219" s="150"/>
      <c r="C1219" s="151"/>
      <c r="D1219" s="35" t="s">
        <v>6</v>
      </c>
    </row>
    <row r="1220" spans="1:4" ht="34.5" customHeight="1" thickBot="1">
      <c r="A1220" s="144">
        <f>A1219*A1218</f>
        <v>0</v>
      </c>
      <c r="B1220" s="152"/>
      <c r="C1220" s="145"/>
      <c r="D1220" s="35" t="s">
        <v>7</v>
      </c>
    </row>
    <row r="1221" spans="1:4" ht="34.5" customHeight="1" thickBot="1">
      <c r="A1221" s="144">
        <v>0</v>
      </c>
      <c r="B1221" s="152"/>
      <c r="C1221" s="145"/>
      <c r="D1221" s="35" t="s">
        <v>437</v>
      </c>
    </row>
    <row r="1222" spans="1:4" ht="34.5" customHeight="1" thickBot="1">
      <c r="A1222" s="34">
        <v>0</v>
      </c>
      <c r="B1222" s="32" t="s">
        <v>8</v>
      </c>
      <c r="C1222" s="33">
        <v>180</v>
      </c>
      <c r="D1222" s="32" t="s">
        <v>9</v>
      </c>
    </row>
    <row r="1223" spans="1:4" ht="34.5" customHeight="1" thickBot="1">
      <c r="A1223" s="153" t="s">
        <v>436</v>
      </c>
      <c r="B1223" s="154"/>
      <c r="C1223" s="154"/>
      <c r="D1223" s="155"/>
    </row>
    <row r="1224" spans="1:4" ht="34.5" customHeight="1" thickBot="1">
      <c r="A1224" s="156" t="s">
        <v>435</v>
      </c>
      <c r="B1224" s="157"/>
      <c r="C1224" s="157"/>
      <c r="D1224" s="158"/>
    </row>
    <row r="1225" spans="1:4" ht="34.5" customHeight="1" thickBot="1">
      <c r="A1225" s="40"/>
      <c r="B1225" s="39"/>
      <c r="C1225" s="39"/>
      <c r="D1225" s="38"/>
    </row>
    <row r="1226" spans="1:4" ht="34.5" customHeight="1">
      <c r="A1226" s="159" t="s">
        <v>442</v>
      </c>
      <c r="B1226" s="160" t="s">
        <v>441</v>
      </c>
      <c r="C1226" s="160"/>
      <c r="D1226" s="161"/>
    </row>
    <row r="1227" spans="1:4" ht="34.5" customHeight="1" thickBot="1">
      <c r="A1227" s="162"/>
      <c r="B1227" s="163"/>
      <c r="C1227" s="163"/>
      <c r="D1227" s="164"/>
    </row>
    <row r="1228" spans="1:4" ht="34.5" customHeight="1" thickBot="1">
      <c r="A1228" s="142" t="s">
        <v>11</v>
      </c>
      <c r="B1228" s="143"/>
      <c r="C1228" s="165" t="s">
        <v>591</v>
      </c>
      <c r="D1228" s="143"/>
    </row>
    <row r="1229" spans="1:4" ht="34.5" customHeight="1" thickBot="1">
      <c r="A1229" s="137" t="s">
        <v>334</v>
      </c>
      <c r="B1229" s="138"/>
      <c r="C1229" s="138"/>
      <c r="D1229" s="139"/>
    </row>
    <row r="1230" spans="1:4" ht="34.5" customHeight="1" thickBot="1">
      <c r="A1230" s="34" t="s">
        <v>458</v>
      </c>
      <c r="B1230" s="32" t="s">
        <v>438</v>
      </c>
      <c r="C1230" s="34">
        <v>43</v>
      </c>
      <c r="D1230" s="32" t="s">
        <v>0</v>
      </c>
    </row>
    <row r="1231" spans="1:4" ht="34.5" customHeight="1" thickBot="1">
      <c r="A1231" s="37" t="s">
        <v>673</v>
      </c>
      <c r="B1231" s="36" t="s">
        <v>1</v>
      </c>
      <c r="C1231" s="34" t="s">
        <v>674</v>
      </c>
      <c r="D1231" s="32" t="s">
        <v>2</v>
      </c>
    </row>
    <row r="1232" spans="1:4" ht="34.5" customHeight="1" thickBot="1">
      <c r="A1232" s="140">
        <v>58</v>
      </c>
      <c r="B1232" s="141"/>
      <c r="C1232" s="142" t="s">
        <v>3</v>
      </c>
      <c r="D1232" s="143"/>
    </row>
    <row r="1233" spans="1:4" ht="34.5" customHeight="1" thickBot="1">
      <c r="A1233" s="140">
        <v>66</v>
      </c>
      <c r="B1233" s="141"/>
      <c r="C1233" s="144" t="s">
        <v>4</v>
      </c>
      <c r="D1233" s="145"/>
    </row>
    <row r="1234" spans="1:4" ht="34.5" customHeight="1" thickBot="1">
      <c r="A1234" s="146">
        <f>A1233-A1232</f>
        <v>8</v>
      </c>
      <c r="B1234" s="147"/>
      <c r="C1234" s="148"/>
      <c r="D1234" s="35" t="s">
        <v>5</v>
      </c>
    </row>
    <row r="1235" spans="1:4" ht="34.5" customHeight="1" thickBot="1">
      <c r="A1235" s="149">
        <v>23</v>
      </c>
      <c r="B1235" s="150"/>
      <c r="C1235" s="151"/>
      <c r="D1235" s="35" t="s">
        <v>6</v>
      </c>
    </row>
    <row r="1236" spans="1:4" ht="34.5" customHeight="1" thickBot="1">
      <c r="A1236" s="144">
        <f>A1235*A1234</f>
        <v>184</v>
      </c>
      <c r="B1236" s="152"/>
      <c r="C1236" s="145"/>
      <c r="D1236" s="35" t="s">
        <v>7</v>
      </c>
    </row>
    <row r="1237" spans="1:4" ht="34.5" customHeight="1" thickBot="1">
      <c r="A1237" s="144">
        <v>0</v>
      </c>
      <c r="B1237" s="152"/>
      <c r="C1237" s="145"/>
      <c r="D1237" s="35" t="s">
        <v>437</v>
      </c>
    </row>
    <row r="1238" spans="1:4" ht="34.5" customHeight="1" thickBot="1">
      <c r="A1238" s="34">
        <v>0</v>
      </c>
      <c r="B1238" s="32" t="s">
        <v>8</v>
      </c>
      <c r="C1238" s="33">
        <v>180</v>
      </c>
      <c r="D1238" s="32" t="s">
        <v>9</v>
      </c>
    </row>
    <row r="1239" spans="1:4" ht="34.5" customHeight="1" thickBot="1">
      <c r="A1239" s="153" t="s">
        <v>436</v>
      </c>
      <c r="B1239" s="154"/>
      <c r="C1239" s="154"/>
      <c r="D1239" s="155"/>
    </row>
    <row r="1240" spans="1:4" ht="34.5" customHeight="1" thickBot="1">
      <c r="A1240" s="156" t="s">
        <v>435</v>
      </c>
      <c r="B1240" s="157"/>
      <c r="C1240" s="157"/>
      <c r="D1240" s="158"/>
    </row>
    <row r="1241" spans="1:4" ht="34.5" customHeight="1">
      <c r="A1241" s="159" t="s">
        <v>442</v>
      </c>
      <c r="B1241" s="160" t="s">
        <v>441</v>
      </c>
      <c r="C1241" s="160"/>
      <c r="D1241" s="161"/>
    </row>
    <row r="1242" spans="1:4" ht="34.5" customHeight="1" thickBot="1">
      <c r="A1242" s="162"/>
      <c r="B1242" s="163"/>
      <c r="C1242" s="163"/>
      <c r="D1242" s="164"/>
    </row>
    <row r="1243" spans="1:4" ht="34.5" customHeight="1" thickBot="1">
      <c r="A1243" s="142" t="s">
        <v>11</v>
      </c>
      <c r="B1243" s="143"/>
      <c r="C1243" s="165" t="s">
        <v>591</v>
      </c>
      <c r="D1243" s="143"/>
    </row>
    <row r="1244" spans="1:4" ht="34.5" customHeight="1" thickBot="1">
      <c r="A1244" s="137" t="s">
        <v>466</v>
      </c>
      <c r="B1244" s="138"/>
      <c r="C1244" s="138"/>
      <c r="D1244" s="139"/>
    </row>
    <row r="1245" spans="1:4" ht="34.5" customHeight="1" thickBot="1">
      <c r="A1245" s="34" t="s">
        <v>458</v>
      </c>
      <c r="B1245" s="32" t="s">
        <v>438</v>
      </c>
      <c r="C1245" s="34">
        <v>44</v>
      </c>
      <c r="D1245" s="32" t="s">
        <v>0</v>
      </c>
    </row>
    <row r="1246" spans="1:4" ht="34.5" customHeight="1" thickBot="1">
      <c r="A1246" s="37" t="s">
        <v>673</v>
      </c>
      <c r="B1246" s="36" t="s">
        <v>1</v>
      </c>
      <c r="C1246" s="34" t="s">
        <v>674</v>
      </c>
      <c r="D1246" s="32" t="s">
        <v>2</v>
      </c>
    </row>
    <row r="1247" spans="1:4" ht="34.5" customHeight="1" thickBot="1">
      <c r="A1247" s="140">
        <v>113</v>
      </c>
      <c r="B1247" s="141"/>
      <c r="C1247" s="142" t="s">
        <v>3</v>
      </c>
      <c r="D1247" s="143"/>
    </row>
    <row r="1248" spans="1:4" ht="34.5" customHeight="1" thickBot="1">
      <c r="A1248" s="140">
        <v>113</v>
      </c>
      <c r="B1248" s="141"/>
      <c r="C1248" s="144" t="s">
        <v>4</v>
      </c>
      <c r="D1248" s="145"/>
    </row>
    <row r="1249" spans="1:4" ht="34.5" customHeight="1" thickBot="1">
      <c r="A1249" s="146">
        <f>A1248-A1247</f>
        <v>0</v>
      </c>
      <c r="B1249" s="147"/>
      <c r="C1249" s="148"/>
      <c r="D1249" s="35" t="s">
        <v>5</v>
      </c>
    </row>
    <row r="1250" spans="1:4" ht="34.5" customHeight="1" thickBot="1">
      <c r="A1250" s="149">
        <v>23</v>
      </c>
      <c r="B1250" s="150"/>
      <c r="C1250" s="151"/>
      <c r="D1250" s="35" t="s">
        <v>6</v>
      </c>
    </row>
    <row r="1251" spans="1:4" ht="34.5" customHeight="1" thickBot="1">
      <c r="A1251" s="144">
        <f>A1250*A1249</f>
        <v>0</v>
      </c>
      <c r="B1251" s="152"/>
      <c r="C1251" s="145"/>
      <c r="D1251" s="35" t="s">
        <v>7</v>
      </c>
    </row>
    <row r="1252" spans="1:4" ht="34.5" customHeight="1" thickBot="1">
      <c r="A1252" s="144">
        <v>0</v>
      </c>
      <c r="B1252" s="152"/>
      <c r="C1252" s="145"/>
      <c r="D1252" s="35" t="s">
        <v>437</v>
      </c>
    </row>
    <row r="1253" spans="1:4" ht="34.5" customHeight="1" thickBot="1">
      <c r="A1253" s="34">
        <v>0</v>
      </c>
      <c r="B1253" s="32" t="s">
        <v>8</v>
      </c>
      <c r="C1253" s="33">
        <v>250</v>
      </c>
      <c r="D1253" s="32" t="s">
        <v>9</v>
      </c>
    </row>
    <row r="1254" spans="1:4" ht="34.5" customHeight="1" thickBot="1">
      <c r="A1254" s="153" t="s">
        <v>436</v>
      </c>
      <c r="B1254" s="154"/>
      <c r="C1254" s="154"/>
      <c r="D1254" s="155"/>
    </row>
    <row r="1255" spans="1:4" ht="34.5" customHeight="1" thickBot="1">
      <c r="A1255" s="156" t="s">
        <v>435</v>
      </c>
      <c r="B1255" s="157"/>
      <c r="C1255" s="157"/>
      <c r="D1255" s="158"/>
    </row>
    <row r="1256" spans="1:4" ht="34.5" customHeight="1" thickBot="1">
      <c r="A1256" s="40"/>
      <c r="B1256" s="39"/>
      <c r="C1256" s="39"/>
      <c r="D1256" s="38"/>
    </row>
    <row r="1257" spans="1:4" ht="34.5" customHeight="1">
      <c r="A1257" s="159" t="s">
        <v>442</v>
      </c>
      <c r="B1257" s="160" t="s">
        <v>441</v>
      </c>
      <c r="C1257" s="160"/>
      <c r="D1257" s="161"/>
    </row>
    <row r="1258" spans="1:4" ht="34.5" customHeight="1" thickBot="1">
      <c r="A1258" s="162"/>
      <c r="B1258" s="163"/>
      <c r="C1258" s="163"/>
      <c r="D1258" s="164"/>
    </row>
    <row r="1259" spans="1:4" ht="34.5" customHeight="1" thickBot="1">
      <c r="A1259" s="142" t="s">
        <v>11</v>
      </c>
      <c r="B1259" s="143"/>
      <c r="C1259" s="165" t="s">
        <v>591</v>
      </c>
      <c r="D1259" s="143"/>
    </row>
    <row r="1260" spans="1:4" ht="34.5" customHeight="1" thickBot="1">
      <c r="A1260" s="137" t="s">
        <v>466</v>
      </c>
      <c r="B1260" s="138"/>
      <c r="C1260" s="138"/>
      <c r="D1260" s="139"/>
    </row>
    <row r="1261" spans="1:4" ht="34.5" customHeight="1" thickBot="1">
      <c r="A1261" s="34" t="s">
        <v>458</v>
      </c>
      <c r="B1261" s="32" t="s">
        <v>438</v>
      </c>
      <c r="C1261" s="34">
        <v>44</v>
      </c>
      <c r="D1261" s="32" t="s">
        <v>0</v>
      </c>
    </row>
    <row r="1262" spans="1:4" ht="34.5" customHeight="1" thickBot="1">
      <c r="A1262" s="37" t="s">
        <v>673</v>
      </c>
      <c r="B1262" s="36" t="s">
        <v>1</v>
      </c>
      <c r="C1262" s="34" t="s">
        <v>674</v>
      </c>
      <c r="D1262" s="32" t="s">
        <v>2</v>
      </c>
    </row>
    <row r="1263" spans="1:4" ht="34.5" customHeight="1" thickBot="1">
      <c r="A1263" s="140">
        <v>102</v>
      </c>
      <c r="B1263" s="141"/>
      <c r="C1263" s="142" t="s">
        <v>3</v>
      </c>
      <c r="D1263" s="143"/>
    </row>
    <row r="1264" spans="1:4" ht="34.5" customHeight="1" thickBot="1">
      <c r="A1264" s="140">
        <v>113</v>
      </c>
      <c r="B1264" s="141"/>
      <c r="C1264" s="144" t="s">
        <v>4</v>
      </c>
      <c r="D1264" s="145"/>
    </row>
    <row r="1265" spans="1:4" ht="34.5" customHeight="1" thickBot="1">
      <c r="A1265" s="146">
        <f>A1264-A1263</f>
        <v>11</v>
      </c>
      <c r="B1265" s="147"/>
      <c r="C1265" s="148"/>
      <c r="D1265" s="35" t="s">
        <v>5</v>
      </c>
    </row>
    <row r="1266" spans="1:4" ht="34.5" customHeight="1" thickBot="1">
      <c r="A1266" s="149">
        <v>23</v>
      </c>
      <c r="B1266" s="150"/>
      <c r="C1266" s="151"/>
      <c r="D1266" s="35" t="s">
        <v>6</v>
      </c>
    </row>
    <row r="1267" spans="1:4" ht="34.5" customHeight="1" thickBot="1">
      <c r="A1267" s="144">
        <f>A1266*A1265</f>
        <v>253</v>
      </c>
      <c r="B1267" s="152"/>
      <c r="C1267" s="145"/>
      <c r="D1267" s="35" t="s">
        <v>7</v>
      </c>
    </row>
    <row r="1268" spans="1:4" ht="34.5" customHeight="1" thickBot="1">
      <c r="A1268" s="144">
        <v>0</v>
      </c>
      <c r="B1268" s="152"/>
      <c r="C1268" s="145"/>
      <c r="D1268" s="35" t="s">
        <v>437</v>
      </c>
    </row>
    <row r="1269" spans="1:4" ht="34.5" customHeight="1" thickBot="1">
      <c r="A1269" s="34">
        <v>0</v>
      </c>
      <c r="B1269" s="32" t="s">
        <v>8</v>
      </c>
      <c r="C1269" s="33">
        <v>250</v>
      </c>
      <c r="D1269" s="32" t="s">
        <v>9</v>
      </c>
    </row>
    <row r="1270" spans="1:4" ht="34.5" customHeight="1" thickBot="1">
      <c r="A1270" s="153" t="s">
        <v>436</v>
      </c>
      <c r="B1270" s="154"/>
      <c r="C1270" s="154"/>
      <c r="D1270" s="155"/>
    </row>
    <row r="1271" spans="1:4" ht="34.5" customHeight="1" thickBot="1">
      <c r="A1271" s="156" t="s">
        <v>435</v>
      </c>
      <c r="B1271" s="157"/>
      <c r="C1271" s="157"/>
      <c r="D1271" s="158"/>
    </row>
    <row r="1272" spans="1:4" ht="34.5" customHeight="1">
      <c r="A1272" s="159" t="s">
        <v>442</v>
      </c>
      <c r="B1272" s="160" t="s">
        <v>441</v>
      </c>
      <c r="C1272" s="160"/>
      <c r="D1272" s="161"/>
    </row>
    <row r="1273" spans="1:4" ht="34.5" customHeight="1" thickBot="1">
      <c r="A1273" s="162"/>
      <c r="B1273" s="163"/>
      <c r="C1273" s="163"/>
      <c r="D1273" s="164"/>
    </row>
    <row r="1274" spans="1:4" ht="34.5" customHeight="1" thickBot="1">
      <c r="A1274" s="142" t="s">
        <v>11</v>
      </c>
      <c r="B1274" s="143"/>
      <c r="C1274" s="165" t="s">
        <v>591</v>
      </c>
      <c r="D1274" s="143"/>
    </row>
    <row r="1275" spans="1:4" ht="34.5" customHeight="1" thickBot="1">
      <c r="A1275" s="137" t="s">
        <v>465</v>
      </c>
      <c r="B1275" s="138"/>
      <c r="C1275" s="138"/>
      <c r="D1275" s="139"/>
    </row>
    <row r="1276" spans="1:4" ht="34.5" customHeight="1" thickBot="1">
      <c r="A1276" s="34" t="s">
        <v>458</v>
      </c>
      <c r="B1276" s="32" t="s">
        <v>438</v>
      </c>
      <c r="C1276" s="34">
        <v>45</v>
      </c>
      <c r="D1276" s="32" t="s">
        <v>0</v>
      </c>
    </row>
    <row r="1277" spans="1:4" ht="34.5" customHeight="1" thickBot="1">
      <c r="A1277" s="37" t="s">
        <v>673</v>
      </c>
      <c r="B1277" s="36" t="s">
        <v>1</v>
      </c>
      <c r="C1277" s="34" t="s">
        <v>674</v>
      </c>
      <c r="D1277" s="32" t="s">
        <v>2</v>
      </c>
    </row>
    <row r="1278" spans="1:4" ht="34.5" customHeight="1" thickBot="1">
      <c r="A1278" s="140">
        <v>122</v>
      </c>
      <c r="B1278" s="141"/>
      <c r="C1278" s="142" t="s">
        <v>3</v>
      </c>
      <c r="D1278" s="143"/>
    </row>
    <row r="1279" spans="1:4" ht="34.5" customHeight="1" thickBot="1">
      <c r="A1279" s="140">
        <v>122</v>
      </c>
      <c r="B1279" s="141"/>
      <c r="C1279" s="144" t="s">
        <v>4</v>
      </c>
      <c r="D1279" s="145"/>
    </row>
    <row r="1280" spans="1:4" ht="34.5" customHeight="1" thickBot="1">
      <c r="A1280" s="146">
        <f>A1279-A1278</f>
        <v>0</v>
      </c>
      <c r="B1280" s="147"/>
      <c r="C1280" s="148"/>
      <c r="D1280" s="35" t="s">
        <v>5</v>
      </c>
    </row>
    <row r="1281" spans="1:4" ht="34.5" customHeight="1" thickBot="1">
      <c r="A1281" s="149">
        <v>23</v>
      </c>
      <c r="B1281" s="150"/>
      <c r="C1281" s="151"/>
      <c r="D1281" s="35" t="s">
        <v>6</v>
      </c>
    </row>
    <row r="1282" spans="1:4" ht="34.5" customHeight="1" thickBot="1">
      <c r="A1282" s="144">
        <f>A1281*A1280</f>
        <v>0</v>
      </c>
      <c r="B1282" s="152"/>
      <c r="C1282" s="145"/>
      <c r="D1282" s="35" t="s">
        <v>7</v>
      </c>
    </row>
    <row r="1283" spans="1:4" ht="34.5" customHeight="1" thickBot="1">
      <c r="A1283" s="144">
        <v>0</v>
      </c>
      <c r="B1283" s="152"/>
      <c r="C1283" s="145"/>
      <c r="D1283" s="35" t="s">
        <v>437</v>
      </c>
    </row>
    <row r="1284" spans="1:4" ht="34.5" customHeight="1" thickBot="1">
      <c r="A1284" s="34">
        <v>0</v>
      </c>
      <c r="B1284" s="32" t="s">
        <v>8</v>
      </c>
      <c r="C1284" s="33">
        <v>160</v>
      </c>
      <c r="D1284" s="32" t="s">
        <v>9</v>
      </c>
    </row>
    <row r="1285" spans="1:4" ht="34.5" customHeight="1" thickBot="1">
      <c r="A1285" s="153" t="s">
        <v>436</v>
      </c>
      <c r="B1285" s="154"/>
      <c r="C1285" s="154"/>
      <c r="D1285" s="155"/>
    </row>
    <row r="1286" spans="1:4" ht="34.5" customHeight="1" thickBot="1">
      <c r="A1286" s="156" t="s">
        <v>435</v>
      </c>
      <c r="B1286" s="157"/>
      <c r="C1286" s="157"/>
      <c r="D1286" s="158"/>
    </row>
    <row r="1287" spans="1:4" ht="34.5" customHeight="1" thickBot="1">
      <c r="A1287" s="40"/>
      <c r="B1287" s="39"/>
      <c r="C1287" s="39"/>
      <c r="D1287" s="38"/>
    </row>
    <row r="1288" spans="1:4" ht="34.5" customHeight="1">
      <c r="A1288" s="159" t="s">
        <v>442</v>
      </c>
      <c r="B1288" s="160" t="s">
        <v>441</v>
      </c>
      <c r="C1288" s="160"/>
      <c r="D1288" s="161"/>
    </row>
    <row r="1289" spans="1:4" ht="34.5" customHeight="1" thickBot="1">
      <c r="A1289" s="162"/>
      <c r="B1289" s="163"/>
      <c r="C1289" s="163"/>
      <c r="D1289" s="164"/>
    </row>
    <row r="1290" spans="1:4" ht="34.5" customHeight="1" thickBot="1">
      <c r="A1290" s="142" t="s">
        <v>11</v>
      </c>
      <c r="B1290" s="143"/>
      <c r="C1290" s="165" t="s">
        <v>591</v>
      </c>
      <c r="D1290" s="143"/>
    </row>
    <row r="1291" spans="1:4" ht="34.5" customHeight="1" thickBot="1">
      <c r="A1291" s="137" t="s">
        <v>465</v>
      </c>
      <c r="B1291" s="138"/>
      <c r="C1291" s="138"/>
      <c r="D1291" s="139"/>
    </row>
    <row r="1292" spans="1:4" ht="34.5" customHeight="1" thickBot="1">
      <c r="A1292" s="34" t="s">
        <v>458</v>
      </c>
      <c r="B1292" s="32" t="s">
        <v>438</v>
      </c>
      <c r="C1292" s="34">
        <v>45</v>
      </c>
      <c r="D1292" s="32" t="s">
        <v>0</v>
      </c>
    </row>
    <row r="1293" spans="1:4" ht="34.5" customHeight="1" thickBot="1">
      <c r="A1293" s="37" t="s">
        <v>673</v>
      </c>
      <c r="B1293" s="36" t="s">
        <v>1</v>
      </c>
      <c r="C1293" s="34" t="s">
        <v>674</v>
      </c>
      <c r="D1293" s="32" t="s">
        <v>2</v>
      </c>
    </row>
    <row r="1294" spans="1:4" ht="34.5" customHeight="1" thickBot="1">
      <c r="A1294" s="140">
        <v>115</v>
      </c>
      <c r="B1294" s="141"/>
      <c r="C1294" s="142" t="s">
        <v>3</v>
      </c>
      <c r="D1294" s="143"/>
    </row>
    <row r="1295" spans="1:4" ht="34.5" customHeight="1" thickBot="1">
      <c r="A1295" s="140">
        <v>122</v>
      </c>
      <c r="B1295" s="141"/>
      <c r="C1295" s="144" t="s">
        <v>4</v>
      </c>
      <c r="D1295" s="145"/>
    </row>
    <row r="1296" spans="1:4" ht="34.5" customHeight="1" thickBot="1">
      <c r="A1296" s="146">
        <f>A1295-A1294</f>
        <v>7</v>
      </c>
      <c r="B1296" s="147"/>
      <c r="C1296" s="148"/>
      <c r="D1296" s="35" t="s">
        <v>5</v>
      </c>
    </row>
    <row r="1297" spans="1:4" ht="34.5" customHeight="1" thickBot="1">
      <c r="A1297" s="149">
        <v>23</v>
      </c>
      <c r="B1297" s="150"/>
      <c r="C1297" s="151"/>
      <c r="D1297" s="35" t="s">
        <v>6</v>
      </c>
    </row>
    <row r="1298" spans="1:4" ht="34.5" customHeight="1" thickBot="1">
      <c r="A1298" s="144">
        <f>A1297*A1296</f>
        <v>161</v>
      </c>
      <c r="B1298" s="152"/>
      <c r="C1298" s="145"/>
      <c r="D1298" s="35" t="s">
        <v>7</v>
      </c>
    </row>
    <row r="1299" spans="1:4" ht="34.5" customHeight="1" thickBot="1">
      <c r="A1299" s="144">
        <v>0</v>
      </c>
      <c r="B1299" s="152"/>
      <c r="C1299" s="145"/>
      <c r="D1299" s="35" t="s">
        <v>437</v>
      </c>
    </row>
    <row r="1300" spans="1:4" ht="34.5" customHeight="1" thickBot="1">
      <c r="A1300" s="34">
        <v>0</v>
      </c>
      <c r="B1300" s="32" t="s">
        <v>8</v>
      </c>
      <c r="C1300" s="33">
        <v>160</v>
      </c>
      <c r="D1300" s="32" t="s">
        <v>9</v>
      </c>
    </row>
    <row r="1301" spans="1:4" ht="34.5" customHeight="1" thickBot="1">
      <c r="A1301" s="153" t="s">
        <v>436</v>
      </c>
      <c r="B1301" s="154"/>
      <c r="C1301" s="154"/>
      <c r="D1301" s="155"/>
    </row>
    <row r="1302" spans="1:4" ht="34.5" customHeight="1" thickBot="1">
      <c r="A1302" s="156" t="s">
        <v>435</v>
      </c>
      <c r="B1302" s="157"/>
      <c r="C1302" s="157"/>
      <c r="D1302" s="158"/>
    </row>
    <row r="1303" spans="1:4" ht="34.5" customHeight="1">
      <c r="A1303" s="159" t="s">
        <v>442</v>
      </c>
      <c r="B1303" s="160" t="s">
        <v>441</v>
      </c>
      <c r="C1303" s="160"/>
      <c r="D1303" s="161"/>
    </row>
    <row r="1304" spans="1:4" ht="34.5" customHeight="1" thickBot="1">
      <c r="A1304" s="162"/>
      <c r="B1304" s="163"/>
      <c r="C1304" s="163"/>
      <c r="D1304" s="164"/>
    </row>
    <row r="1305" spans="1:4" ht="34.5" customHeight="1" thickBot="1">
      <c r="A1305" s="142" t="s">
        <v>11</v>
      </c>
      <c r="B1305" s="143"/>
      <c r="C1305" s="165" t="s">
        <v>591</v>
      </c>
      <c r="D1305" s="143"/>
    </row>
    <row r="1306" spans="1:4" ht="34.5" customHeight="1" thickBot="1">
      <c r="A1306" s="137" t="s">
        <v>203</v>
      </c>
      <c r="B1306" s="138"/>
      <c r="C1306" s="138"/>
      <c r="D1306" s="139"/>
    </row>
    <row r="1307" spans="1:4" ht="34.5" customHeight="1" thickBot="1">
      <c r="A1307" s="34" t="s">
        <v>458</v>
      </c>
      <c r="B1307" s="32" t="s">
        <v>438</v>
      </c>
      <c r="C1307" s="34">
        <v>46</v>
      </c>
      <c r="D1307" s="32" t="s">
        <v>0</v>
      </c>
    </row>
    <row r="1308" spans="1:4" ht="34.5" customHeight="1" thickBot="1">
      <c r="A1308" s="37" t="s">
        <v>673</v>
      </c>
      <c r="B1308" s="36" t="s">
        <v>1</v>
      </c>
      <c r="C1308" s="34" t="s">
        <v>674</v>
      </c>
      <c r="D1308" s="32" t="s">
        <v>2</v>
      </c>
    </row>
    <row r="1309" spans="1:4" ht="34.5" customHeight="1" thickBot="1">
      <c r="A1309" s="140">
        <v>311</v>
      </c>
      <c r="B1309" s="141"/>
      <c r="C1309" s="142" t="s">
        <v>3</v>
      </c>
      <c r="D1309" s="143"/>
    </row>
    <row r="1310" spans="1:4" ht="34.5" customHeight="1" thickBot="1">
      <c r="A1310" s="140">
        <v>311</v>
      </c>
      <c r="B1310" s="141"/>
      <c r="C1310" s="144" t="s">
        <v>4</v>
      </c>
      <c r="D1310" s="145"/>
    </row>
    <row r="1311" spans="1:4" ht="34.5" customHeight="1" thickBot="1">
      <c r="A1311" s="146">
        <f>A1310-A1309</f>
        <v>0</v>
      </c>
      <c r="B1311" s="147"/>
      <c r="C1311" s="148"/>
      <c r="D1311" s="35" t="s">
        <v>5</v>
      </c>
    </row>
    <row r="1312" spans="1:4" ht="34.5" customHeight="1" thickBot="1">
      <c r="A1312" s="149">
        <v>23</v>
      </c>
      <c r="B1312" s="150"/>
      <c r="C1312" s="151"/>
      <c r="D1312" s="35" t="s">
        <v>6</v>
      </c>
    </row>
    <row r="1313" spans="1:4" ht="34.5" customHeight="1" thickBot="1">
      <c r="A1313" s="144">
        <f>A1312*A1311</f>
        <v>0</v>
      </c>
      <c r="B1313" s="152"/>
      <c r="C1313" s="145"/>
      <c r="D1313" s="35" t="s">
        <v>7</v>
      </c>
    </row>
    <row r="1314" spans="1:4" ht="34.5" customHeight="1" thickBot="1">
      <c r="A1314" s="144">
        <v>0</v>
      </c>
      <c r="B1314" s="152"/>
      <c r="C1314" s="145"/>
      <c r="D1314" s="35" t="s">
        <v>437</v>
      </c>
    </row>
    <row r="1315" spans="1:4" ht="34.5" customHeight="1" thickBot="1">
      <c r="A1315" s="34">
        <v>0</v>
      </c>
      <c r="B1315" s="32" t="s">
        <v>8</v>
      </c>
      <c r="C1315" s="33">
        <v>990</v>
      </c>
      <c r="D1315" s="32" t="s">
        <v>9</v>
      </c>
    </row>
    <row r="1316" spans="1:4" ht="34.5" customHeight="1" thickBot="1">
      <c r="A1316" s="153" t="s">
        <v>436</v>
      </c>
      <c r="B1316" s="154"/>
      <c r="C1316" s="154"/>
      <c r="D1316" s="155"/>
    </row>
    <row r="1317" spans="1:4" ht="34.5" customHeight="1" thickBot="1">
      <c r="A1317" s="156" t="s">
        <v>435</v>
      </c>
      <c r="B1317" s="157"/>
      <c r="C1317" s="157"/>
      <c r="D1317" s="158"/>
    </row>
    <row r="1318" spans="1:4" ht="34.5" customHeight="1" thickBot="1">
      <c r="A1318" s="40"/>
      <c r="B1318" s="39"/>
      <c r="C1318" s="39"/>
      <c r="D1318" s="38"/>
    </row>
    <row r="1319" spans="1:4" ht="34.5" customHeight="1">
      <c r="A1319" s="159" t="s">
        <v>442</v>
      </c>
      <c r="B1319" s="160" t="s">
        <v>441</v>
      </c>
      <c r="C1319" s="160"/>
      <c r="D1319" s="161"/>
    </row>
    <row r="1320" spans="1:4" ht="34.5" customHeight="1" thickBot="1">
      <c r="A1320" s="162"/>
      <c r="B1320" s="163"/>
      <c r="C1320" s="163"/>
      <c r="D1320" s="164"/>
    </row>
    <row r="1321" spans="1:4" ht="34.5" customHeight="1" thickBot="1">
      <c r="A1321" s="142" t="s">
        <v>11</v>
      </c>
      <c r="B1321" s="143"/>
      <c r="C1321" s="165" t="s">
        <v>591</v>
      </c>
      <c r="D1321" s="143"/>
    </row>
    <row r="1322" spans="1:4" ht="34.5" customHeight="1" thickBot="1">
      <c r="A1322" s="137" t="s">
        <v>203</v>
      </c>
      <c r="B1322" s="138"/>
      <c r="C1322" s="138"/>
      <c r="D1322" s="139"/>
    </row>
    <row r="1323" spans="1:4" ht="34.5" customHeight="1" thickBot="1">
      <c r="A1323" s="34" t="s">
        <v>458</v>
      </c>
      <c r="B1323" s="32" t="s">
        <v>438</v>
      </c>
      <c r="C1323" s="34">
        <v>46</v>
      </c>
      <c r="D1323" s="32" t="s">
        <v>0</v>
      </c>
    </row>
    <row r="1324" spans="1:4" ht="34.5" customHeight="1" thickBot="1">
      <c r="A1324" s="37" t="s">
        <v>673</v>
      </c>
      <c r="B1324" s="36" t="s">
        <v>1</v>
      </c>
      <c r="C1324" s="34" t="s">
        <v>674</v>
      </c>
      <c r="D1324" s="32" t="s">
        <v>2</v>
      </c>
    </row>
    <row r="1325" spans="1:4" ht="34.5" customHeight="1" thickBot="1">
      <c r="A1325" s="140">
        <v>268</v>
      </c>
      <c r="B1325" s="141"/>
      <c r="C1325" s="142" t="s">
        <v>3</v>
      </c>
      <c r="D1325" s="143"/>
    </row>
    <row r="1326" spans="1:4" ht="34.5" customHeight="1" thickBot="1">
      <c r="A1326" s="140">
        <v>311</v>
      </c>
      <c r="B1326" s="141"/>
      <c r="C1326" s="144" t="s">
        <v>4</v>
      </c>
      <c r="D1326" s="145"/>
    </row>
    <row r="1327" spans="1:4" ht="34.5" customHeight="1" thickBot="1">
      <c r="A1327" s="146">
        <f>A1326-A1325</f>
        <v>43</v>
      </c>
      <c r="B1327" s="147"/>
      <c r="C1327" s="148"/>
      <c r="D1327" s="35" t="s">
        <v>5</v>
      </c>
    </row>
    <row r="1328" spans="1:4" ht="34.5" customHeight="1" thickBot="1">
      <c r="A1328" s="149">
        <v>23</v>
      </c>
      <c r="B1328" s="150"/>
      <c r="C1328" s="151"/>
      <c r="D1328" s="35" t="s">
        <v>6</v>
      </c>
    </row>
    <row r="1329" spans="1:16" ht="34.5" customHeight="1" thickBot="1">
      <c r="A1329" s="144">
        <f>A1328*A1327</f>
        <v>989</v>
      </c>
      <c r="B1329" s="152"/>
      <c r="C1329" s="145"/>
      <c r="D1329" s="35" t="s">
        <v>7</v>
      </c>
    </row>
    <row r="1330" spans="1:16" ht="34.5" customHeight="1" thickBot="1">
      <c r="A1330" s="144">
        <v>0</v>
      </c>
      <c r="B1330" s="152"/>
      <c r="C1330" s="145"/>
      <c r="D1330" s="35" t="s">
        <v>437</v>
      </c>
    </row>
    <row r="1331" spans="1:16" ht="34.5" customHeight="1" thickBot="1">
      <c r="A1331" s="34">
        <v>0</v>
      </c>
      <c r="B1331" s="32" t="s">
        <v>8</v>
      </c>
      <c r="C1331" s="33">
        <v>990</v>
      </c>
      <c r="D1331" s="32" t="s">
        <v>9</v>
      </c>
    </row>
    <row r="1332" spans="1:16" ht="34.5" customHeight="1" thickBot="1">
      <c r="A1332" s="153" t="s">
        <v>436</v>
      </c>
      <c r="B1332" s="154"/>
      <c r="C1332" s="154"/>
      <c r="D1332" s="155"/>
    </row>
    <row r="1333" spans="1:16" ht="34.5" customHeight="1" thickBot="1">
      <c r="A1333" s="156" t="s">
        <v>435</v>
      </c>
      <c r="B1333" s="157"/>
      <c r="C1333" s="157"/>
      <c r="D1333" s="158"/>
    </row>
    <row r="1334" spans="1:16" s="28" customFormat="1" ht="34.5" customHeight="1">
      <c r="A1334" s="159" t="s">
        <v>442</v>
      </c>
      <c r="B1334" s="160" t="s">
        <v>441</v>
      </c>
      <c r="C1334" s="160"/>
      <c r="D1334" s="161"/>
      <c r="J1334" s="27"/>
      <c r="K1334" s="27"/>
      <c r="L1334" s="27"/>
      <c r="M1334" s="27"/>
      <c r="N1334" s="27"/>
      <c r="O1334" s="27"/>
      <c r="P1334" s="27"/>
    </row>
    <row r="1335" spans="1:16" s="28" customFormat="1" ht="34.5" customHeight="1" thickBot="1">
      <c r="A1335" s="162"/>
      <c r="B1335" s="163"/>
      <c r="C1335" s="163"/>
      <c r="D1335" s="164"/>
      <c r="J1335" s="27"/>
      <c r="K1335" s="27"/>
      <c r="L1335" s="27"/>
      <c r="M1335" s="27"/>
      <c r="N1335" s="27"/>
      <c r="O1335" s="27"/>
      <c r="P1335" s="27"/>
    </row>
    <row r="1336" spans="1:16" s="28" customFormat="1" ht="34.5" customHeight="1" thickBot="1">
      <c r="A1336" s="142" t="s">
        <v>11</v>
      </c>
      <c r="B1336" s="143"/>
      <c r="C1336" s="165" t="s">
        <v>591</v>
      </c>
      <c r="D1336" s="143"/>
      <c r="J1336" s="27"/>
      <c r="K1336" s="27"/>
      <c r="L1336" s="27"/>
      <c r="M1336" s="27"/>
      <c r="N1336" s="27"/>
      <c r="O1336" s="27"/>
      <c r="P1336" s="27"/>
    </row>
    <row r="1337" spans="1:16" s="28" customFormat="1" ht="34.5" customHeight="1" thickBot="1">
      <c r="A1337" s="137" t="s">
        <v>464</v>
      </c>
      <c r="B1337" s="138"/>
      <c r="C1337" s="138"/>
      <c r="D1337" s="139"/>
      <c r="J1337" s="27"/>
      <c r="K1337" s="27"/>
      <c r="L1337" s="27"/>
      <c r="M1337" s="27"/>
      <c r="N1337" s="27"/>
      <c r="O1337" s="27"/>
      <c r="P1337" s="27"/>
    </row>
    <row r="1338" spans="1:16" s="28" customFormat="1" ht="34.5" customHeight="1" thickBot="1">
      <c r="A1338" s="34" t="s">
        <v>458</v>
      </c>
      <c r="B1338" s="32" t="s">
        <v>438</v>
      </c>
      <c r="C1338" s="34">
        <v>47</v>
      </c>
      <c r="D1338" s="32" t="s">
        <v>0</v>
      </c>
      <c r="J1338" s="27"/>
      <c r="K1338" s="27"/>
      <c r="L1338" s="27"/>
      <c r="M1338" s="27"/>
      <c r="N1338" s="27"/>
      <c r="O1338" s="27"/>
      <c r="P1338" s="27"/>
    </row>
    <row r="1339" spans="1:16" s="28" customFormat="1" ht="34.5" customHeight="1" thickBot="1">
      <c r="A1339" s="37" t="s">
        <v>673</v>
      </c>
      <c r="B1339" s="36" t="s">
        <v>1</v>
      </c>
      <c r="C1339" s="34" t="s">
        <v>674</v>
      </c>
      <c r="D1339" s="32" t="s">
        <v>2</v>
      </c>
      <c r="J1339" s="27"/>
      <c r="K1339" s="27"/>
      <c r="L1339" s="27"/>
      <c r="M1339" s="27"/>
      <c r="N1339" s="27"/>
      <c r="O1339" s="27"/>
      <c r="P1339" s="27"/>
    </row>
    <row r="1340" spans="1:16" s="28" customFormat="1" ht="34.5" customHeight="1" thickBot="1">
      <c r="A1340" s="140">
        <v>235</v>
      </c>
      <c r="B1340" s="141"/>
      <c r="C1340" s="142" t="s">
        <v>3</v>
      </c>
      <c r="D1340" s="143"/>
      <c r="J1340" s="27"/>
      <c r="K1340" s="27"/>
      <c r="L1340" s="27"/>
      <c r="M1340" s="27"/>
      <c r="N1340" s="27"/>
      <c r="O1340" s="27"/>
      <c r="P1340" s="27"/>
    </row>
    <row r="1341" spans="1:16" s="28" customFormat="1" ht="34.5" customHeight="1" thickBot="1">
      <c r="A1341" s="140">
        <v>235</v>
      </c>
      <c r="B1341" s="141"/>
      <c r="C1341" s="144" t="s">
        <v>4</v>
      </c>
      <c r="D1341" s="145"/>
      <c r="J1341" s="27"/>
      <c r="K1341" s="27"/>
      <c r="L1341" s="27"/>
      <c r="M1341" s="27"/>
      <c r="N1341" s="27"/>
      <c r="O1341" s="27"/>
      <c r="P1341" s="27"/>
    </row>
    <row r="1342" spans="1:16" s="28" customFormat="1" ht="34.5" customHeight="1" thickBot="1">
      <c r="A1342" s="146">
        <f>A1341-A1340</f>
        <v>0</v>
      </c>
      <c r="B1342" s="147"/>
      <c r="C1342" s="148"/>
      <c r="D1342" s="35" t="s">
        <v>5</v>
      </c>
      <c r="J1342" s="27"/>
      <c r="K1342" s="27"/>
      <c r="L1342" s="27"/>
      <c r="M1342" s="27"/>
      <c r="N1342" s="27"/>
      <c r="O1342" s="27"/>
      <c r="P1342" s="27"/>
    </row>
    <row r="1343" spans="1:16" s="28" customFormat="1" ht="34.5" customHeight="1" thickBot="1">
      <c r="A1343" s="149">
        <v>23</v>
      </c>
      <c r="B1343" s="150"/>
      <c r="C1343" s="151"/>
      <c r="D1343" s="35" t="s">
        <v>6</v>
      </c>
      <c r="J1343" s="27"/>
      <c r="K1343" s="27"/>
      <c r="L1343" s="27"/>
      <c r="M1343" s="27"/>
      <c r="N1343" s="27"/>
      <c r="O1343" s="27"/>
      <c r="P1343" s="27"/>
    </row>
    <row r="1344" spans="1:16" s="28" customFormat="1" ht="34.5" customHeight="1" thickBot="1">
      <c r="A1344" s="144">
        <f>A1343*A1342</f>
        <v>0</v>
      </c>
      <c r="B1344" s="152"/>
      <c r="C1344" s="145"/>
      <c r="D1344" s="35" t="s">
        <v>7</v>
      </c>
      <c r="J1344" s="27"/>
      <c r="K1344" s="27"/>
      <c r="L1344" s="27"/>
      <c r="M1344" s="27"/>
      <c r="N1344" s="27"/>
      <c r="O1344" s="27"/>
      <c r="P1344" s="27"/>
    </row>
    <row r="1345" spans="1:16" s="28" customFormat="1" ht="34.5" customHeight="1" thickBot="1">
      <c r="A1345" s="144">
        <v>0</v>
      </c>
      <c r="B1345" s="152"/>
      <c r="C1345" s="145"/>
      <c r="D1345" s="35" t="s">
        <v>437</v>
      </c>
      <c r="J1345" s="27"/>
      <c r="K1345" s="27"/>
      <c r="L1345" s="27"/>
      <c r="M1345" s="27"/>
      <c r="N1345" s="27"/>
      <c r="O1345" s="27"/>
      <c r="P1345" s="27"/>
    </row>
    <row r="1346" spans="1:16" s="28" customFormat="1" ht="34.5" customHeight="1" thickBot="1">
      <c r="A1346" s="34">
        <v>0</v>
      </c>
      <c r="B1346" s="32" t="s">
        <v>8</v>
      </c>
      <c r="C1346" s="33">
        <v>580</v>
      </c>
      <c r="D1346" s="32" t="s">
        <v>9</v>
      </c>
      <c r="J1346" s="27"/>
      <c r="K1346" s="27"/>
      <c r="L1346" s="27"/>
      <c r="M1346" s="27"/>
      <c r="N1346" s="27"/>
      <c r="O1346" s="27"/>
      <c r="P1346" s="27"/>
    </row>
    <row r="1347" spans="1:16" s="28" customFormat="1" ht="34.5" customHeight="1" thickBot="1">
      <c r="A1347" s="153" t="s">
        <v>436</v>
      </c>
      <c r="B1347" s="154"/>
      <c r="C1347" s="154"/>
      <c r="D1347" s="155"/>
      <c r="J1347" s="27"/>
      <c r="K1347" s="27"/>
      <c r="L1347" s="27"/>
      <c r="M1347" s="27"/>
      <c r="N1347" s="27"/>
      <c r="O1347" s="27"/>
      <c r="P1347" s="27"/>
    </row>
    <row r="1348" spans="1:16" s="28" customFormat="1" ht="34.5" customHeight="1" thickBot="1">
      <c r="A1348" s="156" t="s">
        <v>435</v>
      </c>
      <c r="B1348" s="157"/>
      <c r="C1348" s="157"/>
      <c r="D1348" s="158"/>
      <c r="J1348" s="27"/>
      <c r="K1348" s="27"/>
      <c r="L1348" s="27"/>
      <c r="M1348" s="27"/>
      <c r="N1348" s="27"/>
      <c r="O1348" s="27"/>
      <c r="P1348" s="27"/>
    </row>
    <row r="1349" spans="1:16" s="28" customFormat="1" ht="34.5" customHeight="1" thickBot="1">
      <c r="A1349" s="40"/>
      <c r="B1349" s="39"/>
      <c r="C1349" s="39"/>
      <c r="D1349" s="38"/>
      <c r="J1349" s="27"/>
      <c r="K1349" s="27"/>
      <c r="L1349" s="27"/>
      <c r="M1349" s="27"/>
      <c r="N1349" s="27"/>
      <c r="O1349" s="27"/>
      <c r="P1349" s="27"/>
    </row>
    <row r="1350" spans="1:16" s="28" customFormat="1" ht="34.5" customHeight="1">
      <c r="A1350" s="159" t="s">
        <v>442</v>
      </c>
      <c r="B1350" s="160" t="s">
        <v>441</v>
      </c>
      <c r="C1350" s="160"/>
      <c r="D1350" s="161"/>
      <c r="J1350" s="27"/>
      <c r="K1350" s="27"/>
      <c r="L1350" s="27"/>
      <c r="M1350" s="27"/>
      <c r="N1350" s="27"/>
      <c r="O1350" s="27"/>
      <c r="P1350" s="27"/>
    </row>
    <row r="1351" spans="1:16" s="28" customFormat="1" ht="34.5" customHeight="1" thickBot="1">
      <c r="A1351" s="162"/>
      <c r="B1351" s="163"/>
      <c r="C1351" s="163"/>
      <c r="D1351" s="164"/>
      <c r="J1351" s="27"/>
      <c r="K1351" s="27"/>
      <c r="L1351" s="27"/>
      <c r="M1351" s="27"/>
      <c r="N1351" s="27"/>
      <c r="O1351" s="27"/>
      <c r="P1351" s="27"/>
    </row>
    <row r="1352" spans="1:16" s="28" customFormat="1" ht="34.5" customHeight="1" thickBot="1">
      <c r="A1352" s="142" t="s">
        <v>11</v>
      </c>
      <c r="B1352" s="143"/>
      <c r="C1352" s="165" t="s">
        <v>591</v>
      </c>
      <c r="D1352" s="143"/>
      <c r="J1352" s="27"/>
      <c r="K1352" s="27"/>
      <c r="L1352" s="27"/>
      <c r="M1352" s="27"/>
      <c r="N1352" s="27"/>
      <c r="O1352" s="27"/>
      <c r="P1352" s="27"/>
    </row>
    <row r="1353" spans="1:16" s="28" customFormat="1" ht="34.5" customHeight="1" thickBot="1">
      <c r="A1353" s="137" t="s">
        <v>464</v>
      </c>
      <c r="B1353" s="138"/>
      <c r="C1353" s="138"/>
      <c r="D1353" s="139"/>
      <c r="J1353" s="27"/>
      <c r="K1353" s="27"/>
      <c r="L1353" s="27"/>
      <c r="M1353" s="27"/>
      <c r="N1353" s="27"/>
      <c r="O1353" s="27"/>
      <c r="P1353" s="27"/>
    </row>
    <row r="1354" spans="1:16" s="28" customFormat="1" ht="34.5" customHeight="1" thickBot="1">
      <c r="A1354" s="34" t="s">
        <v>458</v>
      </c>
      <c r="B1354" s="32" t="s">
        <v>438</v>
      </c>
      <c r="C1354" s="34">
        <v>47</v>
      </c>
      <c r="D1354" s="32" t="s">
        <v>0</v>
      </c>
      <c r="J1354" s="27"/>
      <c r="K1354" s="27"/>
      <c r="L1354" s="27"/>
      <c r="M1354" s="27"/>
      <c r="N1354" s="27"/>
      <c r="O1354" s="27"/>
      <c r="P1354" s="27"/>
    </row>
    <row r="1355" spans="1:16" s="28" customFormat="1" ht="34.5" customHeight="1" thickBot="1">
      <c r="A1355" s="37" t="s">
        <v>673</v>
      </c>
      <c r="B1355" s="36" t="s">
        <v>1</v>
      </c>
      <c r="C1355" s="34" t="s">
        <v>674</v>
      </c>
      <c r="D1355" s="32" t="s">
        <v>2</v>
      </c>
      <c r="J1355" s="27"/>
      <c r="K1355" s="27"/>
      <c r="L1355" s="27"/>
      <c r="M1355" s="27"/>
      <c r="N1355" s="27"/>
      <c r="O1355" s="27"/>
      <c r="P1355" s="27"/>
    </row>
    <row r="1356" spans="1:16" s="28" customFormat="1" ht="34.5" customHeight="1" thickBot="1">
      <c r="A1356" s="140">
        <v>210</v>
      </c>
      <c r="B1356" s="141"/>
      <c r="C1356" s="142" t="s">
        <v>3</v>
      </c>
      <c r="D1356" s="143"/>
      <c r="J1356" s="27"/>
      <c r="K1356" s="27"/>
      <c r="L1356" s="27"/>
      <c r="M1356" s="27"/>
      <c r="N1356" s="27"/>
      <c r="O1356" s="27"/>
      <c r="P1356" s="27"/>
    </row>
    <row r="1357" spans="1:16" s="28" customFormat="1" ht="34.5" customHeight="1" thickBot="1">
      <c r="A1357" s="140">
        <v>235</v>
      </c>
      <c r="B1357" s="141"/>
      <c r="C1357" s="144" t="s">
        <v>4</v>
      </c>
      <c r="D1357" s="145"/>
      <c r="J1357" s="27"/>
      <c r="K1357" s="27"/>
      <c r="L1357" s="27"/>
      <c r="M1357" s="27"/>
      <c r="N1357" s="27"/>
      <c r="O1357" s="27"/>
      <c r="P1357" s="27"/>
    </row>
    <row r="1358" spans="1:16" s="28" customFormat="1" ht="34.5" customHeight="1" thickBot="1">
      <c r="A1358" s="146">
        <f>A1357-A1356</f>
        <v>25</v>
      </c>
      <c r="B1358" s="147"/>
      <c r="C1358" s="148"/>
      <c r="D1358" s="35" t="s">
        <v>5</v>
      </c>
      <c r="J1358" s="27"/>
      <c r="K1358" s="27"/>
      <c r="L1358" s="27"/>
      <c r="M1358" s="27"/>
      <c r="N1358" s="27"/>
      <c r="O1358" s="27"/>
      <c r="P1358" s="27"/>
    </row>
    <row r="1359" spans="1:16" s="28" customFormat="1" ht="34.5" customHeight="1" thickBot="1">
      <c r="A1359" s="149">
        <v>23</v>
      </c>
      <c r="B1359" s="150"/>
      <c r="C1359" s="151"/>
      <c r="D1359" s="35" t="s">
        <v>6</v>
      </c>
      <c r="J1359" s="27"/>
      <c r="K1359" s="27"/>
      <c r="L1359" s="27"/>
      <c r="M1359" s="27"/>
      <c r="N1359" s="27"/>
      <c r="O1359" s="27"/>
      <c r="P1359" s="27"/>
    </row>
    <row r="1360" spans="1:16" s="28" customFormat="1" ht="34.5" customHeight="1" thickBot="1">
      <c r="A1360" s="144">
        <f>A1359*A1358</f>
        <v>575</v>
      </c>
      <c r="B1360" s="152"/>
      <c r="C1360" s="145"/>
      <c r="D1360" s="35" t="s">
        <v>7</v>
      </c>
      <c r="J1360" s="27"/>
      <c r="K1360" s="27"/>
      <c r="L1360" s="27"/>
      <c r="M1360" s="27"/>
      <c r="N1360" s="27"/>
      <c r="O1360" s="27"/>
      <c r="P1360" s="27"/>
    </row>
    <row r="1361" spans="1:16" s="28" customFormat="1" ht="34.5" customHeight="1" thickBot="1">
      <c r="A1361" s="144">
        <v>0</v>
      </c>
      <c r="B1361" s="152"/>
      <c r="C1361" s="145"/>
      <c r="D1361" s="35" t="s">
        <v>437</v>
      </c>
      <c r="J1361" s="27"/>
      <c r="K1361" s="27"/>
      <c r="L1361" s="27"/>
      <c r="M1361" s="27"/>
      <c r="N1361" s="27"/>
      <c r="O1361" s="27"/>
      <c r="P1361" s="27"/>
    </row>
    <row r="1362" spans="1:16" s="28" customFormat="1" ht="34.5" customHeight="1" thickBot="1">
      <c r="A1362" s="34">
        <v>0</v>
      </c>
      <c r="B1362" s="32" t="s">
        <v>8</v>
      </c>
      <c r="C1362" s="33">
        <v>580</v>
      </c>
      <c r="D1362" s="32" t="s">
        <v>9</v>
      </c>
      <c r="J1362" s="27"/>
      <c r="K1362" s="27"/>
      <c r="L1362" s="27"/>
      <c r="M1362" s="27"/>
      <c r="N1362" s="27"/>
      <c r="O1362" s="27"/>
      <c r="P1362" s="27"/>
    </row>
    <row r="1363" spans="1:16" s="28" customFormat="1" ht="34.5" customHeight="1" thickBot="1">
      <c r="A1363" s="153" t="s">
        <v>436</v>
      </c>
      <c r="B1363" s="154"/>
      <c r="C1363" s="154"/>
      <c r="D1363" s="155"/>
      <c r="J1363" s="27"/>
      <c r="K1363" s="27"/>
      <c r="L1363" s="27"/>
      <c r="M1363" s="27"/>
      <c r="N1363" s="27"/>
      <c r="O1363" s="27"/>
      <c r="P1363" s="27"/>
    </row>
    <row r="1364" spans="1:16" s="28" customFormat="1" ht="34.5" customHeight="1" thickBot="1">
      <c r="A1364" s="156" t="s">
        <v>435</v>
      </c>
      <c r="B1364" s="157"/>
      <c r="C1364" s="157"/>
      <c r="D1364" s="158"/>
      <c r="J1364" s="27"/>
      <c r="K1364" s="27"/>
      <c r="L1364" s="27"/>
      <c r="M1364" s="27"/>
      <c r="N1364" s="27"/>
      <c r="O1364" s="27"/>
      <c r="P1364" s="27"/>
    </row>
    <row r="1365" spans="1:16" s="28" customFormat="1" ht="34.5" customHeight="1">
      <c r="A1365" s="159" t="s">
        <v>442</v>
      </c>
      <c r="B1365" s="160" t="s">
        <v>441</v>
      </c>
      <c r="C1365" s="160"/>
      <c r="D1365" s="161"/>
      <c r="J1365" s="27"/>
      <c r="K1365" s="27"/>
      <c r="L1365" s="27"/>
      <c r="M1365" s="27"/>
      <c r="N1365" s="27"/>
      <c r="O1365" s="27"/>
      <c r="P1365" s="27"/>
    </row>
    <row r="1366" spans="1:16" s="28" customFormat="1" ht="34.5" customHeight="1" thickBot="1">
      <c r="A1366" s="162"/>
      <c r="B1366" s="163"/>
      <c r="C1366" s="163"/>
      <c r="D1366" s="164"/>
      <c r="J1366" s="27"/>
      <c r="K1366" s="27"/>
      <c r="L1366" s="27"/>
      <c r="M1366" s="27"/>
      <c r="N1366" s="27"/>
      <c r="O1366" s="27"/>
      <c r="P1366" s="27"/>
    </row>
    <row r="1367" spans="1:16" s="28" customFormat="1" ht="34.5" customHeight="1" thickBot="1">
      <c r="A1367" s="142" t="s">
        <v>11</v>
      </c>
      <c r="B1367" s="143"/>
      <c r="C1367" s="165" t="s">
        <v>591</v>
      </c>
      <c r="D1367" s="143"/>
      <c r="J1367" s="27"/>
      <c r="K1367" s="27"/>
      <c r="L1367" s="27"/>
      <c r="M1367" s="27"/>
      <c r="N1367" s="27"/>
      <c r="O1367" s="27"/>
      <c r="P1367" s="27"/>
    </row>
    <row r="1368" spans="1:16" s="28" customFormat="1" ht="34.5" customHeight="1" thickBot="1">
      <c r="A1368" s="137" t="s">
        <v>463</v>
      </c>
      <c r="B1368" s="138"/>
      <c r="C1368" s="138"/>
      <c r="D1368" s="139"/>
      <c r="J1368" s="27"/>
      <c r="K1368" s="27"/>
      <c r="L1368" s="27"/>
      <c r="M1368" s="27"/>
      <c r="N1368" s="27"/>
      <c r="O1368" s="27"/>
      <c r="P1368" s="27"/>
    </row>
    <row r="1369" spans="1:16" s="28" customFormat="1" ht="34.5" customHeight="1" thickBot="1">
      <c r="A1369" s="34" t="s">
        <v>458</v>
      </c>
      <c r="B1369" s="32" t="s">
        <v>438</v>
      </c>
      <c r="C1369" s="34">
        <v>48</v>
      </c>
      <c r="D1369" s="32" t="s">
        <v>0</v>
      </c>
      <c r="J1369" s="27"/>
      <c r="K1369" s="27"/>
      <c r="L1369" s="27"/>
      <c r="M1369" s="27"/>
      <c r="N1369" s="27"/>
      <c r="O1369" s="27"/>
      <c r="P1369" s="27"/>
    </row>
    <row r="1370" spans="1:16" s="28" customFormat="1" ht="34.5" customHeight="1" thickBot="1">
      <c r="A1370" s="37" t="s">
        <v>673</v>
      </c>
      <c r="B1370" s="36" t="s">
        <v>1</v>
      </c>
      <c r="C1370" s="34" t="s">
        <v>674</v>
      </c>
      <c r="D1370" s="32" t="s">
        <v>2</v>
      </c>
      <c r="J1370" s="27"/>
      <c r="K1370" s="27"/>
      <c r="L1370" s="27"/>
      <c r="M1370" s="27"/>
      <c r="N1370" s="27"/>
      <c r="O1370" s="27"/>
      <c r="P1370" s="27"/>
    </row>
    <row r="1371" spans="1:16" s="28" customFormat="1" ht="34.5" customHeight="1" thickBot="1">
      <c r="A1371" s="140">
        <v>79</v>
      </c>
      <c r="B1371" s="141"/>
      <c r="C1371" s="142" t="s">
        <v>3</v>
      </c>
      <c r="D1371" s="143"/>
      <c r="J1371" s="27"/>
      <c r="K1371" s="27"/>
      <c r="L1371" s="27"/>
      <c r="M1371" s="27"/>
      <c r="N1371" s="27"/>
      <c r="O1371" s="27"/>
      <c r="P1371" s="27"/>
    </row>
    <row r="1372" spans="1:16" s="28" customFormat="1" ht="34.5" customHeight="1" thickBot="1">
      <c r="A1372" s="140">
        <v>79</v>
      </c>
      <c r="B1372" s="141"/>
      <c r="C1372" s="144" t="s">
        <v>4</v>
      </c>
      <c r="D1372" s="145"/>
      <c r="J1372" s="27"/>
      <c r="K1372" s="27"/>
      <c r="L1372" s="27"/>
      <c r="M1372" s="27"/>
      <c r="N1372" s="27"/>
      <c r="O1372" s="27"/>
      <c r="P1372" s="27"/>
    </row>
    <row r="1373" spans="1:16" s="28" customFormat="1" ht="34.5" customHeight="1" thickBot="1">
      <c r="A1373" s="146">
        <f>A1372-A1371</f>
        <v>0</v>
      </c>
      <c r="B1373" s="147"/>
      <c r="C1373" s="148"/>
      <c r="D1373" s="35" t="s">
        <v>5</v>
      </c>
      <c r="J1373" s="27"/>
      <c r="K1373" s="27"/>
      <c r="L1373" s="27"/>
      <c r="M1373" s="27"/>
      <c r="N1373" s="27"/>
      <c r="O1373" s="27"/>
      <c r="P1373" s="27"/>
    </row>
    <row r="1374" spans="1:16" s="28" customFormat="1" ht="34.5" customHeight="1" thickBot="1">
      <c r="A1374" s="149">
        <v>23</v>
      </c>
      <c r="B1374" s="150"/>
      <c r="C1374" s="151"/>
      <c r="D1374" s="35" t="s">
        <v>6</v>
      </c>
      <c r="J1374" s="27"/>
      <c r="K1374" s="27"/>
      <c r="L1374" s="27"/>
      <c r="M1374" s="27"/>
      <c r="N1374" s="27"/>
      <c r="O1374" s="27"/>
      <c r="P1374" s="27"/>
    </row>
    <row r="1375" spans="1:16" s="28" customFormat="1" ht="34.5" customHeight="1" thickBot="1">
      <c r="A1375" s="144">
        <f>A1374*A1373</f>
        <v>0</v>
      </c>
      <c r="B1375" s="152"/>
      <c r="C1375" s="145"/>
      <c r="D1375" s="35" t="s">
        <v>7</v>
      </c>
      <c r="J1375" s="27"/>
      <c r="K1375" s="27"/>
      <c r="L1375" s="27"/>
      <c r="M1375" s="27"/>
      <c r="N1375" s="27"/>
      <c r="O1375" s="27"/>
      <c r="P1375" s="27"/>
    </row>
    <row r="1376" spans="1:16" s="28" customFormat="1" ht="34.5" customHeight="1" thickBot="1">
      <c r="A1376" s="144">
        <v>0</v>
      </c>
      <c r="B1376" s="152"/>
      <c r="C1376" s="145"/>
      <c r="D1376" s="35" t="s">
        <v>437</v>
      </c>
      <c r="J1376" s="27"/>
      <c r="K1376" s="27"/>
      <c r="L1376" s="27"/>
      <c r="M1376" s="27"/>
      <c r="N1376" s="27"/>
      <c r="O1376" s="27"/>
      <c r="P1376" s="27"/>
    </row>
    <row r="1377" spans="1:16" s="28" customFormat="1" ht="34.5" customHeight="1" thickBot="1">
      <c r="A1377" s="34">
        <v>0</v>
      </c>
      <c r="B1377" s="32" t="s">
        <v>8</v>
      </c>
      <c r="C1377" s="33">
        <v>280</v>
      </c>
      <c r="D1377" s="32" t="s">
        <v>9</v>
      </c>
      <c r="J1377" s="27"/>
      <c r="K1377" s="27"/>
      <c r="L1377" s="27"/>
      <c r="M1377" s="27"/>
      <c r="N1377" s="27"/>
      <c r="O1377" s="27"/>
      <c r="P1377" s="27"/>
    </row>
    <row r="1378" spans="1:16" s="28" customFormat="1" ht="34.5" customHeight="1" thickBot="1">
      <c r="A1378" s="153" t="s">
        <v>436</v>
      </c>
      <c r="B1378" s="154"/>
      <c r="C1378" s="154"/>
      <c r="D1378" s="155"/>
      <c r="J1378" s="27"/>
      <c r="K1378" s="27"/>
      <c r="L1378" s="27"/>
      <c r="M1378" s="27"/>
      <c r="N1378" s="27"/>
      <c r="O1378" s="27"/>
      <c r="P1378" s="27"/>
    </row>
    <row r="1379" spans="1:16" s="28" customFormat="1" ht="34.5" customHeight="1" thickBot="1">
      <c r="A1379" s="156" t="s">
        <v>435</v>
      </c>
      <c r="B1379" s="157"/>
      <c r="C1379" s="157"/>
      <c r="D1379" s="158"/>
      <c r="J1379" s="27"/>
      <c r="K1379" s="27"/>
      <c r="L1379" s="27"/>
      <c r="M1379" s="27"/>
      <c r="N1379" s="27"/>
      <c r="O1379" s="27"/>
      <c r="P1379" s="27"/>
    </row>
    <row r="1380" spans="1:16" s="28" customFormat="1" ht="34.5" customHeight="1" thickBot="1">
      <c r="A1380" s="40"/>
      <c r="B1380" s="39"/>
      <c r="C1380" s="39"/>
      <c r="D1380" s="38"/>
      <c r="J1380" s="27"/>
      <c r="K1380" s="27"/>
      <c r="L1380" s="27"/>
      <c r="M1380" s="27"/>
      <c r="N1380" s="27"/>
      <c r="O1380" s="27"/>
      <c r="P1380" s="27"/>
    </row>
    <row r="1381" spans="1:16" s="28" customFormat="1" ht="34.5" customHeight="1">
      <c r="A1381" s="159" t="s">
        <v>442</v>
      </c>
      <c r="B1381" s="160" t="s">
        <v>441</v>
      </c>
      <c r="C1381" s="160"/>
      <c r="D1381" s="161"/>
      <c r="J1381" s="27"/>
      <c r="K1381" s="27"/>
      <c r="L1381" s="27"/>
      <c r="M1381" s="27"/>
      <c r="N1381" s="27"/>
      <c r="O1381" s="27"/>
      <c r="P1381" s="27"/>
    </row>
    <row r="1382" spans="1:16" s="28" customFormat="1" ht="34.5" customHeight="1" thickBot="1">
      <c r="A1382" s="162"/>
      <c r="B1382" s="163"/>
      <c r="C1382" s="163"/>
      <c r="D1382" s="164"/>
      <c r="J1382" s="27"/>
      <c r="K1382" s="27"/>
      <c r="L1382" s="27"/>
      <c r="M1382" s="27"/>
      <c r="N1382" s="27"/>
      <c r="O1382" s="27"/>
      <c r="P1382" s="27"/>
    </row>
    <row r="1383" spans="1:16" s="28" customFormat="1" ht="34.5" customHeight="1" thickBot="1">
      <c r="A1383" s="142" t="s">
        <v>11</v>
      </c>
      <c r="B1383" s="143"/>
      <c r="C1383" s="165" t="s">
        <v>591</v>
      </c>
      <c r="D1383" s="143"/>
      <c r="J1383" s="27"/>
      <c r="K1383" s="27"/>
      <c r="L1383" s="27"/>
      <c r="M1383" s="27"/>
      <c r="N1383" s="27"/>
      <c r="O1383" s="27"/>
      <c r="P1383" s="27"/>
    </row>
    <row r="1384" spans="1:16" s="28" customFormat="1" ht="34.5" customHeight="1" thickBot="1">
      <c r="A1384" s="137" t="s">
        <v>463</v>
      </c>
      <c r="B1384" s="138"/>
      <c r="C1384" s="138"/>
      <c r="D1384" s="139"/>
      <c r="J1384" s="27"/>
      <c r="K1384" s="27"/>
      <c r="L1384" s="27"/>
      <c r="M1384" s="27"/>
      <c r="N1384" s="27"/>
      <c r="O1384" s="27"/>
      <c r="P1384" s="27"/>
    </row>
    <row r="1385" spans="1:16" s="28" customFormat="1" ht="34.5" customHeight="1" thickBot="1">
      <c r="A1385" s="34" t="s">
        <v>458</v>
      </c>
      <c r="B1385" s="32" t="s">
        <v>438</v>
      </c>
      <c r="C1385" s="34">
        <v>48</v>
      </c>
      <c r="D1385" s="32" t="s">
        <v>0</v>
      </c>
      <c r="J1385" s="27"/>
      <c r="K1385" s="27"/>
      <c r="L1385" s="27"/>
      <c r="M1385" s="27"/>
      <c r="N1385" s="27"/>
      <c r="O1385" s="27"/>
      <c r="P1385" s="27"/>
    </row>
    <row r="1386" spans="1:16" s="28" customFormat="1" ht="34.5" customHeight="1" thickBot="1">
      <c r="A1386" s="37" t="s">
        <v>673</v>
      </c>
      <c r="B1386" s="36" t="s">
        <v>1</v>
      </c>
      <c r="C1386" s="34" t="s">
        <v>674</v>
      </c>
      <c r="D1386" s="32" t="s">
        <v>2</v>
      </c>
      <c r="J1386" s="27"/>
      <c r="K1386" s="27"/>
      <c r="L1386" s="27"/>
      <c r="M1386" s="27"/>
      <c r="N1386" s="27"/>
      <c r="O1386" s="27"/>
      <c r="P1386" s="27"/>
    </row>
    <row r="1387" spans="1:16" s="28" customFormat="1" ht="34.5" customHeight="1" thickBot="1">
      <c r="A1387" s="140">
        <v>67</v>
      </c>
      <c r="B1387" s="141"/>
      <c r="C1387" s="142" t="s">
        <v>3</v>
      </c>
      <c r="D1387" s="143"/>
      <c r="J1387" s="27"/>
      <c r="K1387" s="27"/>
      <c r="L1387" s="27"/>
      <c r="M1387" s="27"/>
      <c r="N1387" s="27"/>
      <c r="O1387" s="27"/>
      <c r="P1387" s="27"/>
    </row>
    <row r="1388" spans="1:16" s="28" customFormat="1" ht="34.5" customHeight="1" thickBot="1">
      <c r="A1388" s="140">
        <v>79</v>
      </c>
      <c r="B1388" s="141"/>
      <c r="C1388" s="144" t="s">
        <v>4</v>
      </c>
      <c r="D1388" s="145"/>
      <c r="J1388" s="27"/>
      <c r="K1388" s="27"/>
      <c r="L1388" s="27"/>
      <c r="M1388" s="27"/>
      <c r="N1388" s="27"/>
      <c r="O1388" s="27"/>
      <c r="P1388" s="27"/>
    </row>
    <row r="1389" spans="1:16" s="28" customFormat="1" ht="34.5" customHeight="1" thickBot="1">
      <c r="A1389" s="146">
        <f>A1388-A1387</f>
        <v>12</v>
      </c>
      <c r="B1389" s="147"/>
      <c r="C1389" s="148"/>
      <c r="D1389" s="35" t="s">
        <v>5</v>
      </c>
      <c r="J1389" s="27"/>
      <c r="K1389" s="27"/>
      <c r="L1389" s="27"/>
      <c r="M1389" s="27"/>
      <c r="N1389" s="27"/>
      <c r="O1389" s="27"/>
      <c r="P1389" s="27"/>
    </row>
    <row r="1390" spans="1:16" s="28" customFormat="1" ht="34.5" customHeight="1" thickBot="1">
      <c r="A1390" s="149">
        <v>23</v>
      </c>
      <c r="B1390" s="150"/>
      <c r="C1390" s="151"/>
      <c r="D1390" s="35" t="s">
        <v>6</v>
      </c>
      <c r="J1390" s="27"/>
      <c r="K1390" s="27"/>
      <c r="L1390" s="27"/>
      <c r="M1390" s="27"/>
      <c r="N1390" s="27"/>
      <c r="O1390" s="27"/>
      <c r="P1390" s="27"/>
    </row>
    <row r="1391" spans="1:16" s="28" customFormat="1" ht="34.5" customHeight="1" thickBot="1">
      <c r="A1391" s="144">
        <f>A1390*A1389</f>
        <v>276</v>
      </c>
      <c r="B1391" s="152"/>
      <c r="C1391" s="145"/>
      <c r="D1391" s="35" t="s">
        <v>7</v>
      </c>
      <c r="J1391" s="27"/>
      <c r="K1391" s="27"/>
      <c r="L1391" s="27"/>
      <c r="M1391" s="27"/>
      <c r="N1391" s="27"/>
      <c r="O1391" s="27"/>
      <c r="P1391" s="27"/>
    </row>
    <row r="1392" spans="1:16" s="28" customFormat="1" ht="34.5" customHeight="1" thickBot="1">
      <c r="A1392" s="144">
        <v>0</v>
      </c>
      <c r="B1392" s="152"/>
      <c r="C1392" s="145"/>
      <c r="D1392" s="35" t="s">
        <v>437</v>
      </c>
      <c r="J1392" s="27"/>
      <c r="K1392" s="27"/>
      <c r="L1392" s="27"/>
      <c r="M1392" s="27"/>
      <c r="N1392" s="27"/>
      <c r="O1392" s="27"/>
      <c r="P1392" s="27"/>
    </row>
    <row r="1393" spans="1:16" s="28" customFormat="1" ht="34.5" customHeight="1" thickBot="1">
      <c r="A1393" s="34">
        <v>0</v>
      </c>
      <c r="B1393" s="32" t="s">
        <v>8</v>
      </c>
      <c r="C1393" s="33">
        <v>280</v>
      </c>
      <c r="D1393" s="32" t="s">
        <v>9</v>
      </c>
      <c r="J1393" s="27"/>
      <c r="K1393" s="27"/>
      <c r="L1393" s="27"/>
      <c r="M1393" s="27"/>
      <c r="N1393" s="27"/>
      <c r="O1393" s="27"/>
      <c r="P1393" s="27"/>
    </row>
    <row r="1394" spans="1:16" s="28" customFormat="1" ht="34.5" customHeight="1" thickBot="1">
      <c r="A1394" s="153" t="s">
        <v>436</v>
      </c>
      <c r="B1394" s="154"/>
      <c r="C1394" s="154"/>
      <c r="D1394" s="155"/>
      <c r="J1394" s="27"/>
      <c r="K1394" s="27"/>
      <c r="L1394" s="27"/>
      <c r="M1394" s="27"/>
      <c r="N1394" s="27"/>
      <c r="O1394" s="27"/>
      <c r="P1394" s="27"/>
    </row>
    <row r="1395" spans="1:16" s="28" customFormat="1" ht="34.5" customHeight="1" thickBot="1">
      <c r="A1395" s="156" t="s">
        <v>435</v>
      </c>
      <c r="B1395" s="157"/>
      <c r="C1395" s="157"/>
      <c r="D1395" s="158"/>
      <c r="J1395" s="27"/>
      <c r="K1395" s="27"/>
      <c r="L1395" s="27"/>
      <c r="M1395" s="27"/>
      <c r="N1395" s="27"/>
      <c r="O1395" s="27"/>
      <c r="P1395" s="27"/>
    </row>
    <row r="1396" spans="1:16" s="28" customFormat="1" ht="34.5" customHeight="1">
      <c r="A1396" s="159" t="s">
        <v>442</v>
      </c>
      <c r="B1396" s="160" t="s">
        <v>441</v>
      </c>
      <c r="C1396" s="160"/>
      <c r="D1396" s="161"/>
      <c r="J1396" s="27"/>
      <c r="K1396" s="27"/>
      <c r="L1396" s="27"/>
      <c r="M1396" s="27"/>
      <c r="N1396" s="27"/>
      <c r="O1396" s="27"/>
      <c r="P1396" s="27"/>
    </row>
    <row r="1397" spans="1:16" s="28" customFormat="1" ht="34.5" customHeight="1" thickBot="1">
      <c r="A1397" s="162"/>
      <c r="B1397" s="163"/>
      <c r="C1397" s="163"/>
      <c r="D1397" s="164"/>
      <c r="J1397" s="27"/>
      <c r="K1397" s="27"/>
      <c r="L1397" s="27"/>
      <c r="M1397" s="27"/>
      <c r="N1397" s="27"/>
      <c r="O1397" s="27"/>
      <c r="P1397" s="27"/>
    </row>
    <row r="1398" spans="1:16" s="28" customFormat="1" ht="34.5" customHeight="1" thickBot="1">
      <c r="A1398" s="142" t="s">
        <v>11</v>
      </c>
      <c r="B1398" s="143"/>
      <c r="C1398" s="165" t="s">
        <v>591</v>
      </c>
      <c r="D1398" s="143"/>
      <c r="J1398" s="27"/>
      <c r="K1398" s="27"/>
      <c r="L1398" s="27"/>
      <c r="M1398" s="27"/>
      <c r="N1398" s="27"/>
      <c r="O1398" s="27"/>
      <c r="P1398" s="27"/>
    </row>
    <row r="1399" spans="1:16" s="28" customFormat="1" ht="34.5" customHeight="1" thickBot="1">
      <c r="A1399" s="137" t="s">
        <v>158</v>
      </c>
      <c r="B1399" s="138"/>
      <c r="C1399" s="138"/>
      <c r="D1399" s="139"/>
      <c r="J1399" s="27"/>
      <c r="K1399" s="27"/>
      <c r="L1399" s="27"/>
      <c r="M1399" s="27"/>
      <c r="N1399" s="27"/>
      <c r="O1399" s="27"/>
      <c r="P1399" s="27"/>
    </row>
    <row r="1400" spans="1:16" s="28" customFormat="1" ht="34.5" customHeight="1" thickBot="1">
      <c r="A1400" s="34" t="s">
        <v>458</v>
      </c>
      <c r="B1400" s="32" t="s">
        <v>438</v>
      </c>
      <c r="C1400" s="34">
        <v>49</v>
      </c>
      <c r="D1400" s="32" t="s">
        <v>0</v>
      </c>
      <c r="J1400" s="27"/>
      <c r="K1400" s="27"/>
      <c r="L1400" s="27"/>
      <c r="M1400" s="27"/>
      <c r="N1400" s="27"/>
      <c r="O1400" s="27"/>
      <c r="P1400" s="27"/>
    </row>
    <row r="1401" spans="1:16" s="28" customFormat="1" ht="34.5" customHeight="1" thickBot="1">
      <c r="A1401" s="37" t="s">
        <v>673</v>
      </c>
      <c r="B1401" s="36" t="s">
        <v>1</v>
      </c>
      <c r="C1401" s="34" t="s">
        <v>674</v>
      </c>
      <c r="D1401" s="32" t="s">
        <v>2</v>
      </c>
      <c r="J1401" s="27"/>
      <c r="K1401" s="27"/>
      <c r="L1401" s="27"/>
      <c r="M1401" s="27"/>
      <c r="N1401" s="27"/>
      <c r="O1401" s="27"/>
      <c r="P1401" s="27"/>
    </row>
    <row r="1402" spans="1:16" s="28" customFormat="1" ht="34.5" customHeight="1" thickBot="1">
      <c r="A1402" s="140">
        <v>138</v>
      </c>
      <c r="B1402" s="141"/>
      <c r="C1402" s="142" t="s">
        <v>3</v>
      </c>
      <c r="D1402" s="143"/>
      <c r="J1402" s="27"/>
      <c r="K1402" s="27"/>
      <c r="L1402" s="27"/>
      <c r="M1402" s="27"/>
      <c r="N1402" s="27"/>
      <c r="O1402" s="27"/>
      <c r="P1402" s="27"/>
    </row>
    <row r="1403" spans="1:16" s="28" customFormat="1" ht="34.5" customHeight="1" thickBot="1">
      <c r="A1403" s="140">
        <v>138</v>
      </c>
      <c r="B1403" s="141"/>
      <c r="C1403" s="144" t="s">
        <v>4</v>
      </c>
      <c r="D1403" s="145"/>
      <c r="J1403" s="27"/>
      <c r="K1403" s="27"/>
      <c r="L1403" s="27"/>
      <c r="M1403" s="27"/>
      <c r="N1403" s="27"/>
      <c r="O1403" s="27"/>
      <c r="P1403" s="27"/>
    </row>
    <row r="1404" spans="1:16" s="28" customFormat="1" ht="34.5" customHeight="1" thickBot="1">
      <c r="A1404" s="146">
        <f>A1403-A1402</f>
        <v>0</v>
      </c>
      <c r="B1404" s="147"/>
      <c r="C1404" s="148"/>
      <c r="D1404" s="35" t="s">
        <v>5</v>
      </c>
      <c r="J1404" s="27"/>
      <c r="K1404" s="27"/>
      <c r="L1404" s="27"/>
      <c r="M1404" s="27"/>
      <c r="N1404" s="27"/>
      <c r="O1404" s="27"/>
      <c r="P1404" s="27"/>
    </row>
    <row r="1405" spans="1:16" s="28" customFormat="1" ht="34.5" customHeight="1" thickBot="1">
      <c r="A1405" s="149">
        <v>23</v>
      </c>
      <c r="B1405" s="150"/>
      <c r="C1405" s="151"/>
      <c r="D1405" s="35" t="s">
        <v>6</v>
      </c>
      <c r="J1405" s="27"/>
      <c r="K1405" s="27"/>
      <c r="L1405" s="27"/>
      <c r="M1405" s="27"/>
      <c r="N1405" s="27"/>
      <c r="O1405" s="27"/>
      <c r="P1405" s="27"/>
    </row>
    <row r="1406" spans="1:16" s="28" customFormat="1" ht="34.5" customHeight="1" thickBot="1">
      <c r="A1406" s="144">
        <f>A1405*A1404</f>
        <v>0</v>
      </c>
      <c r="B1406" s="152"/>
      <c r="C1406" s="145"/>
      <c r="D1406" s="35" t="s">
        <v>7</v>
      </c>
      <c r="J1406" s="27"/>
      <c r="K1406" s="27"/>
      <c r="L1406" s="27"/>
      <c r="M1406" s="27"/>
      <c r="N1406" s="27"/>
      <c r="O1406" s="27"/>
      <c r="P1406" s="27"/>
    </row>
    <row r="1407" spans="1:16" s="28" customFormat="1" ht="34.5" customHeight="1" thickBot="1">
      <c r="A1407" s="144">
        <v>0</v>
      </c>
      <c r="B1407" s="152"/>
      <c r="C1407" s="145"/>
      <c r="D1407" s="35" t="s">
        <v>437</v>
      </c>
      <c r="J1407" s="27"/>
      <c r="K1407" s="27"/>
      <c r="L1407" s="27"/>
      <c r="M1407" s="27"/>
      <c r="N1407" s="27"/>
      <c r="O1407" s="27"/>
      <c r="P1407" s="27"/>
    </row>
    <row r="1408" spans="1:16" s="28" customFormat="1" ht="34.5" customHeight="1" thickBot="1">
      <c r="A1408" s="34">
        <v>0</v>
      </c>
      <c r="B1408" s="32" t="s">
        <v>8</v>
      </c>
      <c r="C1408" s="33">
        <v>320</v>
      </c>
      <c r="D1408" s="32" t="s">
        <v>9</v>
      </c>
      <c r="J1408" s="27"/>
      <c r="K1408" s="27"/>
      <c r="L1408" s="27"/>
      <c r="M1408" s="27"/>
      <c r="N1408" s="27"/>
      <c r="O1408" s="27"/>
      <c r="P1408" s="27"/>
    </row>
    <row r="1409" spans="1:16" s="28" customFormat="1" ht="34.5" customHeight="1" thickBot="1">
      <c r="A1409" s="153" t="s">
        <v>436</v>
      </c>
      <c r="B1409" s="154"/>
      <c r="C1409" s="154"/>
      <c r="D1409" s="155"/>
      <c r="J1409" s="27"/>
      <c r="K1409" s="27"/>
      <c r="L1409" s="27"/>
      <c r="M1409" s="27"/>
      <c r="N1409" s="27"/>
      <c r="O1409" s="27"/>
      <c r="P1409" s="27"/>
    </row>
    <row r="1410" spans="1:16" s="28" customFormat="1" ht="34.5" customHeight="1" thickBot="1">
      <c r="A1410" s="156" t="s">
        <v>435</v>
      </c>
      <c r="B1410" s="157"/>
      <c r="C1410" s="157"/>
      <c r="D1410" s="158"/>
      <c r="J1410" s="27"/>
      <c r="K1410" s="27"/>
      <c r="L1410" s="27"/>
      <c r="M1410" s="27"/>
      <c r="N1410" s="27"/>
      <c r="O1410" s="27"/>
      <c r="P1410" s="27"/>
    </row>
    <row r="1411" spans="1:16" s="28" customFormat="1" ht="34.5" customHeight="1" thickBot="1">
      <c r="A1411" s="40"/>
      <c r="B1411" s="39"/>
      <c r="C1411" s="39"/>
      <c r="D1411" s="38"/>
      <c r="J1411" s="27"/>
      <c r="K1411" s="27"/>
      <c r="L1411" s="27"/>
      <c r="M1411" s="27"/>
      <c r="N1411" s="27"/>
      <c r="O1411" s="27"/>
      <c r="P1411" s="27"/>
    </row>
    <row r="1412" spans="1:16" s="28" customFormat="1" ht="34.5" customHeight="1">
      <c r="A1412" s="159" t="s">
        <v>442</v>
      </c>
      <c r="B1412" s="160" t="s">
        <v>441</v>
      </c>
      <c r="C1412" s="160"/>
      <c r="D1412" s="161"/>
      <c r="J1412" s="27"/>
      <c r="K1412" s="27"/>
      <c r="L1412" s="27"/>
      <c r="M1412" s="27"/>
      <c r="N1412" s="27"/>
      <c r="O1412" s="27"/>
      <c r="P1412" s="27"/>
    </row>
    <row r="1413" spans="1:16" s="28" customFormat="1" ht="34.5" customHeight="1" thickBot="1">
      <c r="A1413" s="162"/>
      <c r="B1413" s="163"/>
      <c r="C1413" s="163"/>
      <c r="D1413" s="164"/>
      <c r="J1413" s="27"/>
      <c r="K1413" s="27"/>
      <c r="L1413" s="27"/>
      <c r="M1413" s="27"/>
      <c r="N1413" s="27"/>
      <c r="O1413" s="27"/>
      <c r="P1413" s="27"/>
    </row>
    <row r="1414" spans="1:16" s="28" customFormat="1" ht="34.5" customHeight="1" thickBot="1">
      <c r="A1414" s="142" t="s">
        <v>11</v>
      </c>
      <c r="B1414" s="143"/>
      <c r="C1414" s="165" t="s">
        <v>591</v>
      </c>
      <c r="D1414" s="143"/>
      <c r="J1414" s="27"/>
      <c r="K1414" s="27"/>
      <c r="L1414" s="27"/>
      <c r="M1414" s="27"/>
      <c r="N1414" s="27"/>
      <c r="O1414" s="27"/>
      <c r="P1414" s="27"/>
    </row>
    <row r="1415" spans="1:16" s="28" customFormat="1" ht="34.5" customHeight="1" thickBot="1">
      <c r="A1415" s="137" t="s">
        <v>158</v>
      </c>
      <c r="B1415" s="138"/>
      <c r="C1415" s="138"/>
      <c r="D1415" s="139"/>
      <c r="J1415" s="27"/>
      <c r="K1415" s="27"/>
      <c r="L1415" s="27"/>
      <c r="M1415" s="27"/>
      <c r="N1415" s="27"/>
      <c r="O1415" s="27"/>
      <c r="P1415" s="27"/>
    </row>
    <row r="1416" spans="1:16" s="28" customFormat="1" ht="34.5" customHeight="1" thickBot="1">
      <c r="A1416" s="34" t="s">
        <v>458</v>
      </c>
      <c r="B1416" s="32" t="s">
        <v>438</v>
      </c>
      <c r="C1416" s="34">
        <v>49</v>
      </c>
      <c r="D1416" s="32" t="s">
        <v>0</v>
      </c>
      <c r="J1416" s="27"/>
      <c r="K1416" s="27"/>
      <c r="L1416" s="27"/>
      <c r="M1416" s="27"/>
      <c r="N1416" s="27"/>
      <c r="O1416" s="27"/>
      <c r="P1416" s="27"/>
    </row>
    <row r="1417" spans="1:16" s="28" customFormat="1" ht="34.5" customHeight="1" thickBot="1">
      <c r="A1417" s="37" t="s">
        <v>673</v>
      </c>
      <c r="B1417" s="36" t="s">
        <v>1</v>
      </c>
      <c r="C1417" s="34" t="s">
        <v>674</v>
      </c>
      <c r="D1417" s="32" t="s">
        <v>2</v>
      </c>
      <c r="J1417" s="27"/>
      <c r="K1417" s="27"/>
      <c r="L1417" s="27"/>
      <c r="M1417" s="27"/>
      <c r="N1417" s="27"/>
      <c r="O1417" s="27"/>
      <c r="P1417" s="27"/>
    </row>
    <row r="1418" spans="1:16" s="28" customFormat="1" ht="34.5" customHeight="1" thickBot="1">
      <c r="A1418" s="140">
        <v>124</v>
      </c>
      <c r="B1418" s="141"/>
      <c r="C1418" s="142" t="s">
        <v>3</v>
      </c>
      <c r="D1418" s="143"/>
      <c r="J1418" s="27"/>
      <c r="K1418" s="27"/>
      <c r="L1418" s="27"/>
      <c r="M1418" s="27"/>
      <c r="N1418" s="27"/>
      <c r="O1418" s="27"/>
      <c r="P1418" s="27"/>
    </row>
    <row r="1419" spans="1:16" s="28" customFormat="1" ht="34.5" customHeight="1" thickBot="1">
      <c r="A1419" s="140">
        <v>138</v>
      </c>
      <c r="B1419" s="141"/>
      <c r="C1419" s="144" t="s">
        <v>4</v>
      </c>
      <c r="D1419" s="145"/>
      <c r="J1419" s="27"/>
      <c r="K1419" s="27"/>
      <c r="L1419" s="27"/>
      <c r="M1419" s="27"/>
      <c r="N1419" s="27"/>
      <c r="O1419" s="27"/>
      <c r="P1419" s="27"/>
    </row>
    <row r="1420" spans="1:16" s="28" customFormat="1" ht="34.5" customHeight="1" thickBot="1">
      <c r="A1420" s="146">
        <f>A1419-A1418</f>
        <v>14</v>
      </c>
      <c r="B1420" s="147"/>
      <c r="C1420" s="148"/>
      <c r="D1420" s="35" t="s">
        <v>5</v>
      </c>
      <c r="J1420" s="27"/>
      <c r="K1420" s="27"/>
      <c r="L1420" s="27"/>
      <c r="M1420" s="27"/>
      <c r="N1420" s="27"/>
      <c r="O1420" s="27"/>
      <c r="P1420" s="27"/>
    </row>
    <row r="1421" spans="1:16" s="28" customFormat="1" ht="34.5" customHeight="1" thickBot="1">
      <c r="A1421" s="149">
        <v>23</v>
      </c>
      <c r="B1421" s="150"/>
      <c r="C1421" s="151"/>
      <c r="D1421" s="35" t="s">
        <v>6</v>
      </c>
      <c r="J1421" s="27"/>
      <c r="K1421" s="27"/>
      <c r="L1421" s="27"/>
      <c r="M1421" s="27"/>
      <c r="N1421" s="27"/>
      <c r="O1421" s="27"/>
      <c r="P1421" s="27"/>
    </row>
    <row r="1422" spans="1:16" s="28" customFormat="1" ht="34.5" customHeight="1" thickBot="1">
      <c r="A1422" s="144">
        <f>A1421*A1420</f>
        <v>322</v>
      </c>
      <c r="B1422" s="152"/>
      <c r="C1422" s="145"/>
      <c r="D1422" s="35" t="s">
        <v>7</v>
      </c>
      <c r="J1422" s="27"/>
      <c r="K1422" s="27"/>
      <c r="L1422" s="27"/>
      <c r="M1422" s="27"/>
      <c r="N1422" s="27"/>
      <c r="O1422" s="27"/>
      <c r="P1422" s="27"/>
    </row>
    <row r="1423" spans="1:16" s="28" customFormat="1" ht="34.5" customHeight="1" thickBot="1">
      <c r="A1423" s="144">
        <v>0</v>
      </c>
      <c r="B1423" s="152"/>
      <c r="C1423" s="145"/>
      <c r="D1423" s="35" t="s">
        <v>437</v>
      </c>
      <c r="J1423" s="27"/>
      <c r="K1423" s="27"/>
      <c r="L1423" s="27"/>
      <c r="M1423" s="27"/>
      <c r="N1423" s="27"/>
      <c r="O1423" s="27"/>
      <c r="P1423" s="27"/>
    </row>
    <row r="1424" spans="1:16" s="28" customFormat="1" ht="34.5" customHeight="1" thickBot="1">
      <c r="A1424" s="34">
        <v>0</v>
      </c>
      <c r="B1424" s="32" t="s">
        <v>8</v>
      </c>
      <c r="C1424" s="33">
        <v>320</v>
      </c>
      <c r="D1424" s="32" t="s">
        <v>9</v>
      </c>
      <c r="J1424" s="27"/>
      <c r="K1424" s="27"/>
      <c r="L1424" s="27"/>
      <c r="M1424" s="27"/>
      <c r="N1424" s="27"/>
      <c r="O1424" s="27"/>
      <c r="P1424" s="27"/>
    </row>
    <row r="1425" spans="1:16" s="28" customFormat="1" ht="34.5" customHeight="1" thickBot="1">
      <c r="A1425" s="153" t="s">
        <v>436</v>
      </c>
      <c r="B1425" s="154"/>
      <c r="C1425" s="154"/>
      <c r="D1425" s="155"/>
      <c r="J1425" s="27"/>
      <c r="K1425" s="27"/>
      <c r="L1425" s="27"/>
      <c r="M1425" s="27"/>
      <c r="N1425" s="27"/>
      <c r="O1425" s="27"/>
      <c r="P1425" s="27"/>
    </row>
    <row r="1426" spans="1:16" s="28" customFormat="1" ht="34.5" customHeight="1" thickBot="1">
      <c r="A1426" s="156" t="s">
        <v>435</v>
      </c>
      <c r="B1426" s="157"/>
      <c r="C1426" s="157"/>
      <c r="D1426" s="158"/>
      <c r="J1426" s="27"/>
      <c r="K1426" s="27"/>
      <c r="L1426" s="27"/>
      <c r="M1426" s="27"/>
      <c r="N1426" s="27"/>
      <c r="O1426" s="27"/>
      <c r="P1426" s="27"/>
    </row>
    <row r="1427" spans="1:16" s="28" customFormat="1" ht="34.5" customHeight="1">
      <c r="A1427" s="159" t="s">
        <v>442</v>
      </c>
      <c r="B1427" s="160" t="s">
        <v>441</v>
      </c>
      <c r="C1427" s="160"/>
      <c r="D1427" s="161"/>
      <c r="J1427" s="27"/>
      <c r="K1427" s="27"/>
      <c r="L1427" s="27"/>
      <c r="M1427" s="27"/>
      <c r="N1427" s="27"/>
      <c r="O1427" s="27"/>
      <c r="P1427" s="27"/>
    </row>
    <row r="1428" spans="1:16" s="28" customFormat="1" ht="34.5" customHeight="1" thickBot="1">
      <c r="A1428" s="162"/>
      <c r="B1428" s="163"/>
      <c r="C1428" s="163"/>
      <c r="D1428" s="164"/>
      <c r="J1428" s="27"/>
      <c r="K1428" s="27"/>
      <c r="L1428" s="27"/>
      <c r="M1428" s="27"/>
      <c r="N1428" s="27"/>
      <c r="O1428" s="27"/>
      <c r="P1428" s="27"/>
    </row>
    <row r="1429" spans="1:16" s="28" customFormat="1" ht="34.5" customHeight="1" thickBot="1">
      <c r="A1429" s="142" t="s">
        <v>11</v>
      </c>
      <c r="B1429" s="143"/>
      <c r="C1429" s="165" t="s">
        <v>591</v>
      </c>
      <c r="D1429" s="143"/>
      <c r="J1429" s="27"/>
      <c r="K1429" s="27"/>
      <c r="L1429" s="27"/>
      <c r="M1429" s="27"/>
      <c r="N1429" s="27"/>
      <c r="O1429" s="27"/>
      <c r="P1429" s="27"/>
    </row>
    <row r="1430" spans="1:16" s="28" customFormat="1" ht="34.5" customHeight="1" thickBot="1">
      <c r="A1430" s="137" t="s">
        <v>462</v>
      </c>
      <c r="B1430" s="138"/>
      <c r="C1430" s="138"/>
      <c r="D1430" s="139"/>
      <c r="J1430" s="27"/>
      <c r="K1430" s="27"/>
      <c r="L1430" s="27"/>
      <c r="M1430" s="27"/>
      <c r="N1430" s="27"/>
      <c r="O1430" s="27"/>
      <c r="P1430" s="27"/>
    </row>
    <row r="1431" spans="1:16" s="28" customFormat="1" ht="34.5" customHeight="1" thickBot="1">
      <c r="A1431" s="34" t="s">
        <v>458</v>
      </c>
      <c r="B1431" s="32" t="s">
        <v>438</v>
      </c>
      <c r="C1431" s="34">
        <v>50</v>
      </c>
      <c r="D1431" s="32" t="s">
        <v>0</v>
      </c>
      <c r="J1431" s="27"/>
      <c r="K1431" s="27"/>
      <c r="L1431" s="27"/>
      <c r="M1431" s="27"/>
      <c r="N1431" s="27"/>
      <c r="O1431" s="27"/>
      <c r="P1431" s="27"/>
    </row>
    <row r="1432" spans="1:16" s="28" customFormat="1" ht="34.5" customHeight="1" thickBot="1">
      <c r="A1432" s="37" t="s">
        <v>673</v>
      </c>
      <c r="B1432" s="36" t="s">
        <v>1</v>
      </c>
      <c r="C1432" s="34" t="s">
        <v>674</v>
      </c>
      <c r="D1432" s="32" t="s">
        <v>2</v>
      </c>
      <c r="J1432" s="27"/>
      <c r="K1432" s="27"/>
      <c r="L1432" s="27"/>
      <c r="M1432" s="27"/>
      <c r="N1432" s="27"/>
      <c r="O1432" s="27"/>
      <c r="P1432" s="27"/>
    </row>
    <row r="1433" spans="1:16" s="28" customFormat="1" ht="34.5" customHeight="1" thickBot="1">
      <c r="A1433" s="140">
        <v>143</v>
      </c>
      <c r="B1433" s="141"/>
      <c r="C1433" s="142" t="s">
        <v>3</v>
      </c>
      <c r="D1433" s="143"/>
      <c r="J1433" s="27"/>
      <c r="K1433" s="27"/>
      <c r="L1433" s="27"/>
      <c r="M1433" s="27"/>
      <c r="N1433" s="27"/>
      <c r="O1433" s="27"/>
      <c r="P1433" s="27"/>
    </row>
    <row r="1434" spans="1:16" s="28" customFormat="1" ht="34.5" customHeight="1" thickBot="1">
      <c r="A1434" s="140">
        <v>143</v>
      </c>
      <c r="B1434" s="141"/>
      <c r="C1434" s="144" t="s">
        <v>4</v>
      </c>
      <c r="D1434" s="145"/>
      <c r="J1434" s="27"/>
      <c r="K1434" s="27"/>
      <c r="L1434" s="27"/>
      <c r="M1434" s="27"/>
      <c r="N1434" s="27"/>
      <c r="O1434" s="27"/>
      <c r="P1434" s="27"/>
    </row>
    <row r="1435" spans="1:16" s="28" customFormat="1" ht="34.5" customHeight="1" thickBot="1">
      <c r="A1435" s="146">
        <f>A1434-A1433</f>
        <v>0</v>
      </c>
      <c r="B1435" s="147"/>
      <c r="C1435" s="148"/>
      <c r="D1435" s="35" t="s">
        <v>5</v>
      </c>
      <c r="J1435" s="27"/>
      <c r="K1435" s="27"/>
      <c r="L1435" s="27"/>
      <c r="M1435" s="27"/>
      <c r="N1435" s="27"/>
      <c r="O1435" s="27"/>
      <c r="P1435" s="27"/>
    </row>
    <row r="1436" spans="1:16" s="28" customFormat="1" ht="34.5" customHeight="1" thickBot="1">
      <c r="A1436" s="149">
        <v>23</v>
      </c>
      <c r="B1436" s="150"/>
      <c r="C1436" s="151"/>
      <c r="D1436" s="35" t="s">
        <v>6</v>
      </c>
      <c r="J1436" s="27"/>
      <c r="K1436" s="27"/>
      <c r="L1436" s="27"/>
      <c r="M1436" s="27"/>
      <c r="N1436" s="27"/>
      <c r="O1436" s="27"/>
      <c r="P1436" s="27"/>
    </row>
    <row r="1437" spans="1:16" s="28" customFormat="1" ht="34.5" customHeight="1" thickBot="1">
      <c r="A1437" s="144">
        <f>A1436*A1435</f>
        <v>0</v>
      </c>
      <c r="B1437" s="152"/>
      <c r="C1437" s="145"/>
      <c r="D1437" s="35" t="s">
        <v>7</v>
      </c>
      <c r="J1437" s="27"/>
      <c r="K1437" s="27"/>
      <c r="L1437" s="27"/>
      <c r="M1437" s="27"/>
      <c r="N1437" s="27"/>
      <c r="O1437" s="27"/>
      <c r="P1437" s="27"/>
    </row>
    <row r="1438" spans="1:16" s="28" customFormat="1" ht="34.5" customHeight="1" thickBot="1">
      <c r="A1438" s="144">
        <v>0</v>
      </c>
      <c r="B1438" s="152"/>
      <c r="C1438" s="145"/>
      <c r="D1438" s="35" t="s">
        <v>437</v>
      </c>
      <c r="J1438" s="27"/>
      <c r="K1438" s="27"/>
      <c r="L1438" s="27"/>
      <c r="M1438" s="27"/>
      <c r="N1438" s="27"/>
      <c r="O1438" s="27"/>
      <c r="P1438" s="27"/>
    </row>
    <row r="1439" spans="1:16" s="28" customFormat="1" ht="34.5" customHeight="1" thickBot="1">
      <c r="A1439" s="34">
        <v>0</v>
      </c>
      <c r="B1439" s="32" t="s">
        <v>8</v>
      </c>
      <c r="C1439" s="33">
        <v>410</v>
      </c>
      <c r="D1439" s="32" t="s">
        <v>9</v>
      </c>
      <c r="J1439" s="27"/>
      <c r="K1439" s="27"/>
      <c r="L1439" s="27"/>
      <c r="M1439" s="27"/>
      <c r="N1439" s="27"/>
      <c r="O1439" s="27"/>
      <c r="P1439" s="27"/>
    </row>
    <row r="1440" spans="1:16" s="28" customFormat="1" ht="34.5" customHeight="1" thickBot="1">
      <c r="A1440" s="153" t="s">
        <v>436</v>
      </c>
      <c r="B1440" s="154"/>
      <c r="C1440" s="154"/>
      <c r="D1440" s="155"/>
      <c r="J1440" s="27"/>
      <c r="K1440" s="27"/>
      <c r="L1440" s="27"/>
      <c r="M1440" s="27"/>
      <c r="N1440" s="27"/>
      <c r="O1440" s="27"/>
      <c r="P1440" s="27"/>
    </row>
    <row r="1441" spans="1:16" s="28" customFormat="1" ht="34.5" customHeight="1" thickBot="1">
      <c r="A1441" s="156" t="s">
        <v>435</v>
      </c>
      <c r="B1441" s="157"/>
      <c r="C1441" s="157"/>
      <c r="D1441" s="158"/>
      <c r="J1441" s="27"/>
      <c r="K1441" s="27"/>
      <c r="L1441" s="27"/>
      <c r="M1441" s="27"/>
      <c r="N1441" s="27"/>
      <c r="O1441" s="27"/>
      <c r="P1441" s="27"/>
    </row>
    <row r="1442" spans="1:16" s="28" customFormat="1" ht="34.5" customHeight="1" thickBot="1">
      <c r="A1442" s="40"/>
      <c r="B1442" s="39"/>
      <c r="C1442" s="39"/>
      <c r="D1442" s="38"/>
      <c r="J1442" s="27"/>
      <c r="K1442" s="27"/>
      <c r="L1442" s="27"/>
      <c r="M1442" s="27"/>
      <c r="N1442" s="27"/>
      <c r="O1442" s="27"/>
      <c r="P1442" s="27"/>
    </row>
    <row r="1443" spans="1:16" s="28" customFormat="1" ht="34.5" customHeight="1">
      <c r="A1443" s="159" t="s">
        <v>442</v>
      </c>
      <c r="B1443" s="160" t="s">
        <v>441</v>
      </c>
      <c r="C1443" s="160"/>
      <c r="D1443" s="161"/>
      <c r="J1443" s="27"/>
      <c r="K1443" s="27"/>
      <c r="L1443" s="27"/>
      <c r="M1443" s="27"/>
      <c r="N1443" s="27"/>
      <c r="O1443" s="27"/>
      <c r="P1443" s="27"/>
    </row>
    <row r="1444" spans="1:16" s="28" customFormat="1" ht="34.5" customHeight="1" thickBot="1">
      <c r="A1444" s="162"/>
      <c r="B1444" s="163"/>
      <c r="C1444" s="163"/>
      <c r="D1444" s="164"/>
      <c r="J1444" s="27"/>
      <c r="K1444" s="27"/>
      <c r="L1444" s="27"/>
      <c r="M1444" s="27"/>
      <c r="N1444" s="27"/>
      <c r="O1444" s="27"/>
      <c r="P1444" s="27"/>
    </row>
    <row r="1445" spans="1:16" s="28" customFormat="1" ht="34.5" customHeight="1" thickBot="1">
      <c r="A1445" s="142" t="s">
        <v>11</v>
      </c>
      <c r="B1445" s="143"/>
      <c r="C1445" s="165" t="s">
        <v>591</v>
      </c>
      <c r="D1445" s="143"/>
      <c r="J1445" s="27"/>
      <c r="K1445" s="27"/>
      <c r="L1445" s="27"/>
      <c r="M1445" s="27"/>
      <c r="N1445" s="27"/>
      <c r="O1445" s="27"/>
      <c r="P1445" s="27"/>
    </row>
    <row r="1446" spans="1:16" s="28" customFormat="1" ht="34.5" customHeight="1" thickBot="1">
      <c r="A1446" s="137" t="s">
        <v>462</v>
      </c>
      <c r="B1446" s="138"/>
      <c r="C1446" s="138"/>
      <c r="D1446" s="139"/>
      <c r="J1446" s="27"/>
      <c r="K1446" s="27"/>
      <c r="L1446" s="27"/>
      <c r="M1446" s="27"/>
      <c r="N1446" s="27"/>
      <c r="O1446" s="27"/>
      <c r="P1446" s="27"/>
    </row>
    <row r="1447" spans="1:16" s="28" customFormat="1" ht="34.5" customHeight="1" thickBot="1">
      <c r="A1447" s="34" t="s">
        <v>458</v>
      </c>
      <c r="B1447" s="32" t="s">
        <v>438</v>
      </c>
      <c r="C1447" s="34">
        <v>50</v>
      </c>
      <c r="D1447" s="32" t="s">
        <v>0</v>
      </c>
      <c r="J1447" s="27"/>
      <c r="K1447" s="27"/>
      <c r="L1447" s="27"/>
      <c r="M1447" s="27"/>
      <c r="N1447" s="27"/>
      <c r="O1447" s="27"/>
      <c r="P1447" s="27"/>
    </row>
    <row r="1448" spans="1:16" s="28" customFormat="1" ht="34.5" customHeight="1" thickBot="1">
      <c r="A1448" s="37" t="s">
        <v>673</v>
      </c>
      <c r="B1448" s="36" t="s">
        <v>1</v>
      </c>
      <c r="C1448" s="34" t="s">
        <v>674</v>
      </c>
      <c r="D1448" s="32" t="s">
        <v>2</v>
      </c>
      <c r="J1448" s="27"/>
      <c r="K1448" s="27"/>
      <c r="L1448" s="27"/>
      <c r="M1448" s="27"/>
      <c r="N1448" s="27"/>
      <c r="O1448" s="27"/>
      <c r="P1448" s="27"/>
    </row>
    <row r="1449" spans="1:16" s="28" customFormat="1" ht="34.5" customHeight="1" thickBot="1">
      <c r="A1449" s="140">
        <v>125</v>
      </c>
      <c r="B1449" s="141"/>
      <c r="C1449" s="142" t="s">
        <v>3</v>
      </c>
      <c r="D1449" s="143"/>
      <c r="J1449" s="27"/>
      <c r="K1449" s="27"/>
      <c r="L1449" s="27"/>
      <c r="M1449" s="27"/>
      <c r="N1449" s="27"/>
      <c r="O1449" s="27"/>
      <c r="P1449" s="27"/>
    </row>
    <row r="1450" spans="1:16" s="28" customFormat="1" ht="34.5" customHeight="1" thickBot="1">
      <c r="A1450" s="140">
        <v>143</v>
      </c>
      <c r="B1450" s="141"/>
      <c r="C1450" s="144" t="s">
        <v>4</v>
      </c>
      <c r="D1450" s="145"/>
      <c r="J1450" s="27"/>
      <c r="K1450" s="27"/>
      <c r="L1450" s="27"/>
      <c r="M1450" s="27"/>
      <c r="N1450" s="27"/>
      <c r="O1450" s="27"/>
      <c r="P1450" s="27"/>
    </row>
    <row r="1451" spans="1:16" s="28" customFormat="1" ht="34.5" customHeight="1" thickBot="1">
      <c r="A1451" s="146">
        <f>A1450-A1449</f>
        <v>18</v>
      </c>
      <c r="B1451" s="147"/>
      <c r="C1451" s="148"/>
      <c r="D1451" s="35" t="s">
        <v>5</v>
      </c>
      <c r="J1451" s="27"/>
      <c r="K1451" s="27"/>
      <c r="L1451" s="27"/>
      <c r="M1451" s="27"/>
      <c r="N1451" s="27"/>
      <c r="O1451" s="27"/>
      <c r="P1451" s="27"/>
    </row>
    <row r="1452" spans="1:16" s="28" customFormat="1" ht="34.5" customHeight="1" thickBot="1">
      <c r="A1452" s="149">
        <v>23</v>
      </c>
      <c r="B1452" s="150"/>
      <c r="C1452" s="151"/>
      <c r="D1452" s="35" t="s">
        <v>6</v>
      </c>
      <c r="J1452" s="27"/>
      <c r="K1452" s="27"/>
      <c r="L1452" s="27"/>
      <c r="M1452" s="27"/>
      <c r="N1452" s="27"/>
      <c r="O1452" s="27"/>
      <c r="P1452" s="27"/>
    </row>
    <row r="1453" spans="1:16" s="28" customFormat="1" ht="34.5" customHeight="1" thickBot="1">
      <c r="A1453" s="144">
        <f>A1452*A1451</f>
        <v>414</v>
      </c>
      <c r="B1453" s="152"/>
      <c r="C1453" s="145"/>
      <c r="D1453" s="35" t="s">
        <v>7</v>
      </c>
      <c r="J1453" s="27"/>
      <c r="K1453" s="27"/>
      <c r="L1453" s="27"/>
      <c r="M1453" s="27"/>
      <c r="N1453" s="27"/>
      <c r="O1453" s="27"/>
      <c r="P1453" s="27"/>
    </row>
    <row r="1454" spans="1:16" s="28" customFormat="1" ht="34.5" customHeight="1" thickBot="1">
      <c r="A1454" s="144">
        <v>0</v>
      </c>
      <c r="B1454" s="152"/>
      <c r="C1454" s="145"/>
      <c r="D1454" s="35" t="s">
        <v>437</v>
      </c>
      <c r="J1454" s="27"/>
      <c r="K1454" s="27"/>
      <c r="L1454" s="27"/>
      <c r="M1454" s="27"/>
      <c r="N1454" s="27"/>
      <c r="O1454" s="27"/>
      <c r="P1454" s="27"/>
    </row>
    <row r="1455" spans="1:16" s="28" customFormat="1" ht="34.5" customHeight="1" thickBot="1">
      <c r="A1455" s="34">
        <v>0</v>
      </c>
      <c r="B1455" s="32" t="s">
        <v>8</v>
      </c>
      <c r="C1455" s="33">
        <v>410</v>
      </c>
      <c r="D1455" s="32" t="s">
        <v>9</v>
      </c>
      <c r="J1455" s="27"/>
      <c r="K1455" s="27"/>
      <c r="L1455" s="27"/>
      <c r="M1455" s="27"/>
      <c r="N1455" s="27"/>
      <c r="O1455" s="27"/>
      <c r="P1455" s="27"/>
    </row>
    <row r="1456" spans="1:16" s="28" customFormat="1" ht="34.5" customHeight="1" thickBot="1">
      <c r="A1456" s="153" t="s">
        <v>436</v>
      </c>
      <c r="B1456" s="154"/>
      <c r="C1456" s="154"/>
      <c r="D1456" s="155"/>
      <c r="J1456" s="27"/>
      <c r="K1456" s="27"/>
      <c r="L1456" s="27"/>
      <c r="M1456" s="27"/>
      <c r="N1456" s="27"/>
      <c r="O1456" s="27"/>
      <c r="P1456" s="27"/>
    </row>
    <row r="1457" spans="1:16" s="28" customFormat="1" ht="34.5" customHeight="1" thickBot="1">
      <c r="A1457" s="156" t="s">
        <v>435</v>
      </c>
      <c r="B1457" s="157"/>
      <c r="C1457" s="157"/>
      <c r="D1457" s="158"/>
      <c r="J1457" s="27"/>
      <c r="K1457" s="27"/>
      <c r="L1457" s="27"/>
      <c r="M1457" s="27"/>
      <c r="N1457" s="27"/>
      <c r="O1457" s="27"/>
      <c r="P1457" s="27"/>
    </row>
    <row r="1458" spans="1:16" s="28" customFormat="1" ht="34.5" customHeight="1">
      <c r="A1458" s="159" t="s">
        <v>442</v>
      </c>
      <c r="B1458" s="160" t="s">
        <v>441</v>
      </c>
      <c r="C1458" s="160"/>
      <c r="D1458" s="161"/>
      <c r="J1458" s="27"/>
      <c r="K1458" s="27"/>
      <c r="L1458" s="27"/>
      <c r="M1458" s="27"/>
      <c r="N1458" s="27"/>
      <c r="O1458" s="27"/>
      <c r="P1458" s="27"/>
    </row>
    <row r="1459" spans="1:16" s="28" customFormat="1" ht="34.5" customHeight="1" thickBot="1">
      <c r="A1459" s="162"/>
      <c r="B1459" s="163"/>
      <c r="C1459" s="163"/>
      <c r="D1459" s="164"/>
      <c r="J1459" s="27"/>
      <c r="K1459" s="27"/>
      <c r="L1459" s="27"/>
      <c r="M1459" s="27"/>
      <c r="N1459" s="27"/>
      <c r="O1459" s="27"/>
      <c r="P1459" s="27"/>
    </row>
    <row r="1460" spans="1:16" s="28" customFormat="1" ht="34.5" customHeight="1" thickBot="1">
      <c r="A1460" s="142" t="s">
        <v>11</v>
      </c>
      <c r="B1460" s="143"/>
      <c r="C1460" s="165" t="s">
        <v>591</v>
      </c>
      <c r="D1460" s="143"/>
      <c r="J1460" s="27"/>
      <c r="K1460" s="27"/>
      <c r="L1460" s="27"/>
      <c r="M1460" s="27"/>
      <c r="N1460" s="27"/>
      <c r="O1460" s="27"/>
      <c r="P1460" s="27"/>
    </row>
    <row r="1461" spans="1:16" s="28" customFormat="1" ht="34.5" customHeight="1" thickBot="1">
      <c r="A1461" s="137" t="s">
        <v>339</v>
      </c>
      <c r="B1461" s="138"/>
      <c r="C1461" s="138"/>
      <c r="D1461" s="139"/>
      <c r="J1461" s="27"/>
      <c r="K1461" s="27"/>
      <c r="L1461" s="27"/>
      <c r="M1461" s="27"/>
      <c r="N1461" s="27"/>
      <c r="O1461" s="27"/>
      <c r="P1461" s="27"/>
    </row>
    <row r="1462" spans="1:16" s="28" customFormat="1" ht="34.5" customHeight="1" thickBot="1">
      <c r="A1462" s="34" t="s">
        <v>458</v>
      </c>
      <c r="B1462" s="32" t="s">
        <v>438</v>
      </c>
      <c r="C1462" s="34">
        <v>51</v>
      </c>
      <c r="D1462" s="32" t="s">
        <v>0</v>
      </c>
      <c r="J1462" s="27"/>
      <c r="K1462" s="27"/>
      <c r="L1462" s="27"/>
      <c r="M1462" s="27"/>
      <c r="N1462" s="27"/>
      <c r="O1462" s="27"/>
      <c r="P1462" s="27"/>
    </row>
    <row r="1463" spans="1:16" s="28" customFormat="1" ht="34.5" customHeight="1" thickBot="1">
      <c r="A1463" s="37" t="s">
        <v>673</v>
      </c>
      <c r="B1463" s="36" t="s">
        <v>1</v>
      </c>
      <c r="C1463" s="34" t="s">
        <v>674</v>
      </c>
      <c r="D1463" s="32" t="s">
        <v>2</v>
      </c>
      <c r="J1463" s="27"/>
      <c r="K1463" s="27"/>
      <c r="L1463" s="27"/>
      <c r="M1463" s="27"/>
      <c r="N1463" s="27"/>
      <c r="O1463" s="27"/>
      <c r="P1463" s="27"/>
    </row>
    <row r="1464" spans="1:16" s="28" customFormat="1" ht="34.5" customHeight="1" thickBot="1">
      <c r="A1464" s="140">
        <v>248</v>
      </c>
      <c r="B1464" s="141"/>
      <c r="C1464" s="142" t="s">
        <v>3</v>
      </c>
      <c r="D1464" s="143"/>
      <c r="J1464" s="27"/>
      <c r="K1464" s="27"/>
      <c r="L1464" s="27"/>
      <c r="M1464" s="27"/>
      <c r="N1464" s="27"/>
      <c r="O1464" s="27"/>
      <c r="P1464" s="27"/>
    </row>
    <row r="1465" spans="1:16" s="28" customFormat="1" ht="34.5" customHeight="1" thickBot="1">
      <c r="A1465" s="140">
        <v>248</v>
      </c>
      <c r="B1465" s="141"/>
      <c r="C1465" s="144" t="s">
        <v>4</v>
      </c>
      <c r="D1465" s="145"/>
      <c r="J1465" s="27"/>
      <c r="K1465" s="27"/>
      <c r="L1465" s="27"/>
      <c r="M1465" s="27"/>
      <c r="N1465" s="27"/>
      <c r="O1465" s="27"/>
      <c r="P1465" s="27"/>
    </row>
    <row r="1466" spans="1:16" s="28" customFormat="1" ht="34.5" customHeight="1" thickBot="1">
      <c r="A1466" s="146">
        <f>A1465-A1464</f>
        <v>0</v>
      </c>
      <c r="B1466" s="147"/>
      <c r="C1466" s="148"/>
      <c r="D1466" s="35" t="s">
        <v>5</v>
      </c>
      <c r="J1466" s="27"/>
      <c r="K1466" s="27"/>
      <c r="L1466" s="27"/>
      <c r="M1466" s="27"/>
      <c r="N1466" s="27"/>
      <c r="O1466" s="27"/>
      <c r="P1466" s="27"/>
    </row>
    <row r="1467" spans="1:16" s="28" customFormat="1" ht="34.5" customHeight="1" thickBot="1">
      <c r="A1467" s="149">
        <v>23</v>
      </c>
      <c r="B1467" s="150"/>
      <c r="C1467" s="151"/>
      <c r="D1467" s="35" t="s">
        <v>6</v>
      </c>
      <c r="J1467" s="27"/>
      <c r="K1467" s="27"/>
      <c r="L1467" s="27"/>
      <c r="M1467" s="27"/>
      <c r="N1467" s="27"/>
      <c r="O1467" s="27"/>
      <c r="P1467" s="27"/>
    </row>
    <row r="1468" spans="1:16" s="28" customFormat="1" ht="34.5" customHeight="1" thickBot="1">
      <c r="A1468" s="144">
        <f>A1467*A1466</f>
        <v>0</v>
      </c>
      <c r="B1468" s="152"/>
      <c r="C1468" s="145"/>
      <c r="D1468" s="35" t="s">
        <v>7</v>
      </c>
      <c r="J1468" s="27"/>
      <c r="K1468" s="27"/>
      <c r="L1468" s="27"/>
      <c r="M1468" s="27"/>
      <c r="N1468" s="27"/>
      <c r="O1468" s="27"/>
      <c r="P1468" s="27"/>
    </row>
    <row r="1469" spans="1:16" s="28" customFormat="1" ht="34.5" customHeight="1" thickBot="1">
      <c r="A1469" s="144">
        <v>0</v>
      </c>
      <c r="B1469" s="152"/>
      <c r="C1469" s="145"/>
      <c r="D1469" s="35" t="s">
        <v>437</v>
      </c>
      <c r="J1469" s="27"/>
      <c r="K1469" s="27"/>
      <c r="L1469" s="27"/>
      <c r="M1469" s="27"/>
      <c r="N1469" s="27"/>
      <c r="O1469" s="27"/>
      <c r="P1469" s="27"/>
    </row>
    <row r="1470" spans="1:16" s="28" customFormat="1" ht="34.5" customHeight="1" thickBot="1">
      <c r="A1470" s="34">
        <v>0</v>
      </c>
      <c r="B1470" s="32" t="s">
        <v>8</v>
      </c>
      <c r="C1470" s="33">
        <v>1040</v>
      </c>
      <c r="D1470" s="32" t="s">
        <v>9</v>
      </c>
      <c r="J1470" s="27"/>
      <c r="K1470" s="27"/>
      <c r="L1470" s="27"/>
      <c r="M1470" s="27"/>
      <c r="N1470" s="27"/>
      <c r="O1470" s="27"/>
      <c r="P1470" s="27"/>
    </row>
    <row r="1471" spans="1:16" s="28" customFormat="1" ht="34.5" customHeight="1" thickBot="1">
      <c r="A1471" s="153" t="s">
        <v>436</v>
      </c>
      <c r="B1471" s="154"/>
      <c r="C1471" s="154"/>
      <c r="D1471" s="155"/>
      <c r="J1471" s="27"/>
      <c r="K1471" s="27"/>
      <c r="L1471" s="27"/>
      <c r="M1471" s="27"/>
      <c r="N1471" s="27"/>
      <c r="O1471" s="27"/>
      <c r="P1471" s="27"/>
    </row>
    <row r="1472" spans="1:16" s="28" customFormat="1" ht="34.5" customHeight="1" thickBot="1">
      <c r="A1472" s="156" t="s">
        <v>435</v>
      </c>
      <c r="B1472" s="157"/>
      <c r="C1472" s="157"/>
      <c r="D1472" s="158"/>
      <c r="J1472" s="27"/>
      <c r="K1472" s="27"/>
      <c r="L1472" s="27"/>
      <c r="M1472" s="27"/>
      <c r="N1472" s="27"/>
      <c r="O1472" s="27"/>
      <c r="P1472" s="27"/>
    </row>
    <row r="1473" spans="1:16" s="28" customFormat="1" ht="34.5" customHeight="1" thickBot="1">
      <c r="A1473" s="40"/>
      <c r="B1473" s="39"/>
      <c r="C1473" s="39"/>
      <c r="D1473" s="38"/>
      <c r="J1473" s="27"/>
      <c r="K1473" s="27"/>
      <c r="L1473" s="27"/>
      <c r="M1473" s="27"/>
      <c r="N1473" s="27"/>
      <c r="O1473" s="27"/>
      <c r="P1473" s="27"/>
    </row>
    <row r="1474" spans="1:16" s="28" customFormat="1" ht="34.5" customHeight="1">
      <c r="A1474" s="159" t="s">
        <v>442</v>
      </c>
      <c r="B1474" s="160" t="s">
        <v>441</v>
      </c>
      <c r="C1474" s="160"/>
      <c r="D1474" s="161"/>
      <c r="J1474" s="27"/>
      <c r="K1474" s="27"/>
      <c r="L1474" s="27"/>
      <c r="M1474" s="27"/>
      <c r="N1474" s="27"/>
      <c r="O1474" s="27"/>
      <c r="P1474" s="27"/>
    </row>
    <row r="1475" spans="1:16" s="28" customFormat="1" ht="34.5" customHeight="1" thickBot="1">
      <c r="A1475" s="162"/>
      <c r="B1475" s="163"/>
      <c r="C1475" s="163"/>
      <c r="D1475" s="164"/>
      <c r="J1475" s="27"/>
      <c r="K1475" s="27"/>
      <c r="L1475" s="27"/>
      <c r="M1475" s="27"/>
      <c r="N1475" s="27"/>
      <c r="O1475" s="27"/>
      <c r="P1475" s="27"/>
    </row>
    <row r="1476" spans="1:16" s="28" customFormat="1" ht="34.5" customHeight="1" thickBot="1">
      <c r="A1476" s="142" t="s">
        <v>11</v>
      </c>
      <c r="B1476" s="143"/>
      <c r="C1476" s="165" t="s">
        <v>591</v>
      </c>
      <c r="D1476" s="143"/>
      <c r="J1476" s="27"/>
      <c r="K1476" s="27"/>
      <c r="L1476" s="27"/>
      <c r="M1476" s="27"/>
      <c r="N1476" s="27"/>
      <c r="O1476" s="27"/>
      <c r="P1476" s="27"/>
    </row>
    <row r="1477" spans="1:16" s="28" customFormat="1" ht="34.5" customHeight="1" thickBot="1">
      <c r="A1477" s="137" t="s">
        <v>339</v>
      </c>
      <c r="B1477" s="138"/>
      <c r="C1477" s="138"/>
      <c r="D1477" s="139"/>
      <c r="J1477" s="27"/>
      <c r="K1477" s="27"/>
      <c r="L1477" s="27"/>
      <c r="M1477" s="27"/>
      <c r="N1477" s="27"/>
      <c r="O1477" s="27"/>
      <c r="P1477" s="27"/>
    </row>
    <row r="1478" spans="1:16" s="28" customFormat="1" ht="34.5" customHeight="1" thickBot="1">
      <c r="A1478" s="34" t="s">
        <v>458</v>
      </c>
      <c r="B1478" s="32" t="s">
        <v>438</v>
      </c>
      <c r="C1478" s="34">
        <v>51</v>
      </c>
      <c r="D1478" s="32" t="s">
        <v>0</v>
      </c>
      <c r="J1478" s="27"/>
      <c r="K1478" s="27"/>
      <c r="L1478" s="27"/>
      <c r="M1478" s="27"/>
      <c r="N1478" s="27"/>
      <c r="O1478" s="27"/>
      <c r="P1478" s="27"/>
    </row>
    <row r="1479" spans="1:16" s="28" customFormat="1" ht="34.5" customHeight="1" thickBot="1">
      <c r="A1479" s="37" t="s">
        <v>673</v>
      </c>
      <c r="B1479" s="36" t="s">
        <v>1</v>
      </c>
      <c r="C1479" s="34" t="s">
        <v>674</v>
      </c>
      <c r="D1479" s="32" t="s">
        <v>2</v>
      </c>
      <c r="J1479" s="27"/>
      <c r="K1479" s="27"/>
      <c r="L1479" s="27"/>
      <c r="M1479" s="27"/>
      <c r="N1479" s="27"/>
      <c r="O1479" s="27"/>
      <c r="P1479" s="27"/>
    </row>
    <row r="1480" spans="1:16" s="28" customFormat="1" ht="34.5" customHeight="1" thickBot="1">
      <c r="A1480" s="140">
        <v>203</v>
      </c>
      <c r="B1480" s="141"/>
      <c r="C1480" s="142" t="s">
        <v>3</v>
      </c>
      <c r="D1480" s="143"/>
      <c r="J1480" s="27"/>
      <c r="K1480" s="27"/>
      <c r="L1480" s="27"/>
      <c r="M1480" s="27"/>
      <c r="N1480" s="27"/>
      <c r="O1480" s="27"/>
      <c r="P1480" s="27"/>
    </row>
    <row r="1481" spans="1:16" s="28" customFormat="1" ht="34.5" customHeight="1" thickBot="1">
      <c r="A1481" s="140">
        <v>248</v>
      </c>
      <c r="B1481" s="141"/>
      <c r="C1481" s="144" t="s">
        <v>4</v>
      </c>
      <c r="D1481" s="145"/>
      <c r="J1481" s="27"/>
      <c r="K1481" s="27"/>
      <c r="L1481" s="27"/>
      <c r="M1481" s="27"/>
      <c r="N1481" s="27"/>
      <c r="O1481" s="27"/>
      <c r="P1481" s="27"/>
    </row>
    <row r="1482" spans="1:16" s="28" customFormat="1" ht="34.5" customHeight="1" thickBot="1">
      <c r="A1482" s="146">
        <f>A1481-A1480</f>
        <v>45</v>
      </c>
      <c r="B1482" s="147"/>
      <c r="C1482" s="148"/>
      <c r="D1482" s="35" t="s">
        <v>5</v>
      </c>
      <c r="J1482" s="27"/>
      <c r="K1482" s="27"/>
      <c r="L1482" s="27"/>
      <c r="M1482" s="27"/>
      <c r="N1482" s="27"/>
      <c r="O1482" s="27"/>
      <c r="P1482" s="27"/>
    </row>
    <row r="1483" spans="1:16" s="28" customFormat="1" ht="34.5" customHeight="1" thickBot="1">
      <c r="A1483" s="149">
        <v>23</v>
      </c>
      <c r="B1483" s="150"/>
      <c r="C1483" s="151"/>
      <c r="D1483" s="35" t="s">
        <v>6</v>
      </c>
      <c r="J1483" s="27"/>
      <c r="K1483" s="27"/>
      <c r="L1483" s="27"/>
      <c r="M1483" s="27"/>
      <c r="N1483" s="27"/>
      <c r="O1483" s="27"/>
      <c r="P1483" s="27"/>
    </row>
    <row r="1484" spans="1:16" s="28" customFormat="1" ht="34.5" customHeight="1" thickBot="1">
      <c r="A1484" s="144">
        <f>A1483*A1482</f>
        <v>1035</v>
      </c>
      <c r="B1484" s="152"/>
      <c r="C1484" s="145"/>
      <c r="D1484" s="35" t="s">
        <v>7</v>
      </c>
      <c r="J1484" s="27"/>
      <c r="K1484" s="27"/>
      <c r="L1484" s="27"/>
      <c r="M1484" s="27"/>
      <c r="N1484" s="27"/>
      <c r="O1484" s="27"/>
      <c r="P1484" s="27"/>
    </row>
    <row r="1485" spans="1:16" s="28" customFormat="1" ht="34.5" customHeight="1" thickBot="1">
      <c r="A1485" s="144">
        <v>0</v>
      </c>
      <c r="B1485" s="152"/>
      <c r="C1485" s="145"/>
      <c r="D1485" s="35" t="s">
        <v>437</v>
      </c>
      <c r="J1485" s="27"/>
      <c r="K1485" s="27"/>
      <c r="L1485" s="27"/>
      <c r="M1485" s="27"/>
      <c r="N1485" s="27"/>
      <c r="O1485" s="27"/>
      <c r="P1485" s="27"/>
    </row>
    <row r="1486" spans="1:16" s="28" customFormat="1" ht="34.5" customHeight="1" thickBot="1">
      <c r="A1486" s="34">
        <v>0</v>
      </c>
      <c r="B1486" s="32" t="s">
        <v>8</v>
      </c>
      <c r="C1486" s="33">
        <v>1040</v>
      </c>
      <c r="D1486" s="32" t="s">
        <v>9</v>
      </c>
      <c r="J1486" s="27"/>
      <c r="K1486" s="27"/>
      <c r="L1486" s="27"/>
      <c r="M1486" s="27"/>
      <c r="N1486" s="27"/>
      <c r="O1486" s="27"/>
      <c r="P1486" s="27"/>
    </row>
    <row r="1487" spans="1:16" s="28" customFormat="1" ht="34.5" customHeight="1" thickBot="1">
      <c r="A1487" s="153" t="s">
        <v>436</v>
      </c>
      <c r="B1487" s="154"/>
      <c r="C1487" s="154"/>
      <c r="D1487" s="155"/>
      <c r="J1487" s="27"/>
      <c r="K1487" s="27"/>
      <c r="L1487" s="27"/>
      <c r="M1487" s="27"/>
      <c r="N1487" s="27"/>
      <c r="O1487" s="27"/>
      <c r="P1487" s="27"/>
    </row>
    <row r="1488" spans="1:16" s="28" customFormat="1" ht="34.5" customHeight="1" thickBot="1">
      <c r="A1488" s="156" t="s">
        <v>435</v>
      </c>
      <c r="B1488" s="157"/>
      <c r="C1488" s="157"/>
      <c r="D1488" s="158"/>
      <c r="J1488" s="27"/>
      <c r="K1488" s="27"/>
      <c r="L1488" s="27"/>
      <c r="M1488" s="27"/>
      <c r="N1488" s="27"/>
      <c r="O1488" s="27"/>
      <c r="P1488" s="27"/>
    </row>
    <row r="1489" spans="1:16" s="28" customFormat="1" ht="34.5" customHeight="1">
      <c r="A1489" s="159" t="s">
        <v>442</v>
      </c>
      <c r="B1489" s="160" t="s">
        <v>441</v>
      </c>
      <c r="C1489" s="160"/>
      <c r="D1489" s="161"/>
      <c r="J1489" s="27"/>
      <c r="K1489" s="27"/>
      <c r="L1489" s="27"/>
      <c r="M1489" s="27"/>
      <c r="N1489" s="27"/>
      <c r="O1489" s="27"/>
      <c r="P1489" s="27"/>
    </row>
    <row r="1490" spans="1:16" s="28" customFormat="1" ht="34.5" customHeight="1" thickBot="1">
      <c r="A1490" s="162"/>
      <c r="B1490" s="163"/>
      <c r="C1490" s="163"/>
      <c r="D1490" s="164"/>
      <c r="J1490" s="27"/>
      <c r="K1490" s="27"/>
      <c r="L1490" s="27"/>
      <c r="M1490" s="27"/>
      <c r="N1490" s="27"/>
      <c r="O1490" s="27"/>
      <c r="P1490" s="27"/>
    </row>
    <row r="1491" spans="1:16" s="28" customFormat="1" ht="34.5" customHeight="1" thickBot="1">
      <c r="A1491" s="142" t="s">
        <v>11</v>
      </c>
      <c r="B1491" s="143"/>
      <c r="C1491" s="165" t="s">
        <v>591</v>
      </c>
      <c r="D1491" s="143"/>
      <c r="J1491" s="27"/>
      <c r="K1491" s="27"/>
      <c r="L1491" s="27"/>
      <c r="M1491" s="27"/>
      <c r="N1491" s="27"/>
      <c r="O1491" s="27"/>
      <c r="P1491" s="27"/>
    </row>
    <row r="1492" spans="1:16" s="28" customFormat="1" ht="34.5" customHeight="1" thickBot="1">
      <c r="A1492" s="137" t="s">
        <v>461</v>
      </c>
      <c r="B1492" s="138"/>
      <c r="C1492" s="138"/>
      <c r="D1492" s="139"/>
      <c r="J1492" s="27"/>
      <c r="K1492" s="27"/>
      <c r="L1492" s="27"/>
      <c r="M1492" s="27"/>
      <c r="N1492" s="27"/>
      <c r="O1492" s="27"/>
      <c r="P1492" s="27"/>
    </row>
    <row r="1493" spans="1:16" s="28" customFormat="1" ht="34.5" customHeight="1" thickBot="1">
      <c r="A1493" s="34" t="s">
        <v>458</v>
      </c>
      <c r="B1493" s="32" t="s">
        <v>438</v>
      </c>
      <c r="C1493" s="34">
        <v>52</v>
      </c>
      <c r="D1493" s="32" t="s">
        <v>0</v>
      </c>
      <c r="J1493" s="27"/>
      <c r="K1493" s="27"/>
      <c r="L1493" s="27"/>
      <c r="M1493" s="27"/>
      <c r="N1493" s="27"/>
      <c r="O1493" s="27"/>
      <c r="P1493" s="27"/>
    </row>
    <row r="1494" spans="1:16" s="28" customFormat="1" ht="34.5" customHeight="1" thickBot="1">
      <c r="A1494" s="37" t="s">
        <v>673</v>
      </c>
      <c r="B1494" s="36" t="s">
        <v>1</v>
      </c>
      <c r="C1494" s="34" t="s">
        <v>674</v>
      </c>
      <c r="D1494" s="32" t="s">
        <v>2</v>
      </c>
      <c r="J1494" s="27"/>
      <c r="K1494" s="27"/>
      <c r="L1494" s="27"/>
      <c r="M1494" s="27"/>
      <c r="N1494" s="27"/>
      <c r="O1494" s="27"/>
      <c r="P1494" s="27"/>
    </row>
    <row r="1495" spans="1:16" s="28" customFormat="1" ht="34.5" customHeight="1" thickBot="1">
      <c r="A1495" s="140">
        <v>184</v>
      </c>
      <c r="B1495" s="141"/>
      <c r="C1495" s="142" t="s">
        <v>3</v>
      </c>
      <c r="D1495" s="143"/>
      <c r="J1495" s="27"/>
      <c r="K1495" s="27"/>
      <c r="L1495" s="27"/>
      <c r="M1495" s="27"/>
      <c r="N1495" s="27"/>
      <c r="O1495" s="27"/>
      <c r="P1495" s="27"/>
    </row>
    <row r="1496" spans="1:16" s="28" customFormat="1" ht="34.5" customHeight="1" thickBot="1">
      <c r="A1496" s="140">
        <v>184</v>
      </c>
      <c r="B1496" s="141"/>
      <c r="C1496" s="144" t="s">
        <v>4</v>
      </c>
      <c r="D1496" s="145"/>
      <c r="J1496" s="27"/>
      <c r="K1496" s="27"/>
      <c r="L1496" s="27"/>
      <c r="M1496" s="27"/>
      <c r="N1496" s="27"/>
      <c r="O1496" s="27"/>
      <c r="P1496" s="27"/>
    </row>
    <row r="1497" spans="1:16" s="28" customFormat="1" ht="34.5" customHeight="1" thickBot="1">
      <c r="A1497" s="146">
        <f>A1496-A1495</f>
        <v>0</v>
      </c>
      <c r="B1497" s="147"/>
      <c r="C1497" s="148"/>
      <c r="D1497" s="35" t="s">
        <v>5</v>
      </c>
      <c r="J1497" s="27"/>
      <c r="K1497" s="27"/>
      <c r="L1497" s="27"/>
      <c r="M1497" s="27"/>
      <c r="N1497" s="27"/>
      <c r="O1497" s="27"/>
      <c r="P1497" s="27"/>
    </row>
    <row r="1498" spans="1:16" s="28" customFormat="1" ht="34.5" customHeight="1" thickBot="1">
      <c r="A1498" s="149">
        <v>23</v>
      </c>
      <c r="B1498" s="150"/>
      <c r="C1498" s="151"/>
      <c r="D1498" s="35" t="s">
        <v>6</v>
      </c>
      <c r="J1498" s="27"/>
      <c r="K1498" s="27"/>
      <c r="L1498" s="27"/>
      <c r="M1498" s="27"/>
      <c r="N1498" s="27"/>
      <c r="O1498" s="27"/>
      <c r="P1498" s="27"/>
    </row>
    <row r="1499" spans="1:16" s="28" customFormat="1" ht="34.5" customHeight="1" thickBot="1">
      <c r="A1499" s="144">
        <f>A1498*A1497</f>
        <v>0</v>
      </c>
      <c r="B1499" s="152"/>
      <c r="C1499" s="145"/>
      <c r="D1499" s="35" t="s">
        <v>7</v>
      </c>
      <c r="J1499" s="27"/>
      <c r="K1499" s="27"/>
      <c r="L1499" s="27"/>
      <c r="M1499" s="27"/>
      <c r="N1499" s="27"/>
      <c r="O1499" s="27"/>
      <c r="P1499" s="27"/>
    </row>
    <row r="1500" spans="1:16" s="28" customFormat="1" ht="34.5" customHeight="1" thickBot="1">
      <c r="A1500" s="144">
        <v>0</v>
      </c>
      <c r="B1500" s="152"/>
      <c r="C1500" s="145"/>
      <c r="D1500" s="35" t="s">
        <v>437</v>
      </c>
      <c r="J1500" s="27"/>
      <c r="K1500" s="27"/>
      <c r="L1500" s="27"/>
      <c r="M1500" s="27"/>
      <c r="N1500" s="27"/>
      <c r="O1500" s="27"/>
      <c r="P1500" s="27"/>
    </row>
    <row r="1501" spans="1:16" s="28" customFormat="1" ht="34.5" customHeight="1" thickBot="1">
      <c r="A1501" s="34">
        <v>0</v>
      </c>
      <c r="B1501" s="32" t="s">
        <v>8</v>
      </c>
      <c r="C1501" s="33">
        <v>670</v>
      </c>
      <c r="D1501" s="32" t="s">
        <v>9</v>
      </c>
      <c r="J1501" s="27"/>
      <c r="K1501" s="27"/>
      <c r="L1501" s="27"/>
      <c r="M1501" s="27"/>
      <c r="N1501" s="27"/>
      <c r="O1501" s="27"/>
      <c r="P1501" s="27"/>
    </row>
    <row r="1502" spans="1:16" s="28" customFormat="1" ht="34.5" customHeight="1" thickBot="1">
      <c r="A1502" s="153" t="s">
        <v>436</v>
      </c>
      <c r="B1502" s="154"/>
      <c r="C1502" s="154"/>
      <c r="D1502" s="155"/>
      <c r="J1502" s="27"/>
      <c r="K1502" s="27"/>
      <c r="L1502" s="27"/>
      <c r="M1502" s="27"/>
      <c r="N1502" s="27"/>
      <c r="O1502" s="27"/>
      <c r="P1502" s="27"/>
    </row>
    <row r="1503" spans="1:16" s="28" customFormat="1" ht="34.5" customHeight="1" thickBot="1">
      <c r="A1503" s="156" t="s">
        <v>435</v>
      </c>
      <c r="B1503" s="157"/>
      <c r="C1503" s="157"/>
      <c r="D1503" s="158"/>
      <c r="J1503" s="27"/>
      <c r="K1503" s="27"/>
      <c r="L1503" s="27"/>
      <c r="M1503" s="27"/>
      <c r="N1503" s="27"/>
      <c r="O1503" s="27"/>
      <c r="P1503" s="27"/>
    </row>
    <row r="1504" spans="1:16" s="28" customFormat="1" ht="34.5" customHeight="1" thickBot="1">
      <c r="A1504" s="40"/>
      <c r="B1504" s="39"/>
      <c r="C1504" s="39"/>
      <c r="D1504" s="38"/>
      <c r="J1504" s="27"/>
      <c r="K1504" s="27"/>
      <c r="L1504" s="27"/>
      <c r="M1504" s="27"/>
      <c r="N1504" s="27"/>
      <c r="O1504" s="27"/>
      <c r="P1504" s="27"/>
    </row>
    <row r="1505" spans="1:16" s="28" customFormat="1" ht="34.5" customHeight="1">
      <c r="A1505" s="159" t="s">
        <v>442</v>
      </c>
      <c r="B1505" s="160" t="s">
        <v>441</v>
      </c>
      <c r="C1505" s="160"/>
      <c r="D1505" s="161"/>
      <c r="J1505" s="27"/>
      <c r="K1505" s="27"/>
      <c r="L1505" s="27"/>
      <c r="M1505" s="27"/>
      <c r="N1505" s="27"/>
      <c r="O1505" s="27"/>
      <c r="P1505" s="27"/>
    </row>
    <row r="1506" spans="1:16" s="28" customFormat="1" ht="34.5" customHeight="1" thickBot="1">
      <c r="A1506" s="162"/>
      <c r="B1506" s="163"/>
      <c r="C1506" s="163"/>
      <c r="D1506" s="164"/>
      <c r="J1506" s="27"/>
      <c r="K1506" s="27"/>
      <c r="L1506" s="27"/>
      <c r="M1506" s="27"/>
      <c r="N1506" s="27"/>
      <c r="O1506" s="27"/>
      <c r="P1506" s="27"/>
    </row>
    <row r="1507" spans="1:16" s="28" customFormat="1" ht="34.5" customHeight="1" thickBot="1">
      <c r="A1507" s="142" t="s">
        <v>11</v>
      </c>
      <c r="B1507" s="143"/>
      <c r="C1507" s="165" t="s">
        <v>591</v>
      </c>
      <c r="D1507" s="143"/>
      <c r="J1507" s="27"/>
      <c r="K1507" s="27"/>
      <c r="L1507" s="27"/>
      <c r="M1507" s="27"/>
      <c r="N1507" s="27"/>
      <c r="O1507" s="27"/>
      <c r="P1507" s="27"/>
    </row>
    <row r="1508" spans="1:16" s="28" customFormat="1" ht="34.5" customHeight="1" thickBot="1">
      <c r="A1508" s="137" t="s">
        <v>461</v>
      </c>
      <c r="B1508" s="138"/>
      <c r="C1508" s="138"/>
      <c r="D1508" s="139"/>
      <c r="J1508" s="27"/>
      <c r="K1508" s="27"/>
      <c r="L1508" s="27"/>
      <c r="M1508" s="27"/>
      <c r="N1508" s="27"/>
      <c r="O1508" s="27"/>
      <c r="P1508" s="27"/>
    </row>
    <row r="1509" spans="1:16" s="28" customFormat="1" ht="34.5" customHeight="1" thickBot="1">
      <c r="A1509" s="34" t="s">
        <v>458</v>
      </c>
      <c r="B1509" s="32" t="s">
        <v>438</v>
      </c>
      <c r="C1509" s="34">
        <v>52</v>
      </c>
      <c r="D1509" s="32" t="s">
        <v>0</v>
      </c>
      <c r="J1509" s="27"/>
      <c r="K1509" s="27"/>
      <c r="L1509" s="27"/>
      <c r="M1509" s="27"/>
      <c r="N1509" s="27"/>
      <c r="O1509" s="27"/>
      <c r="P1509" s="27"/>
    </row>
    <row r="1510" spans="1:16" s="28" customFormat="1" ht="34.5" customHeight="1" thickBot="1">
      <c r="A1510" s="37" t="s">
        <v>673</v>
      </c>
      <c r="B1510" s="36" t="s">
        <v>1</v>
      </c>
      <c r="C1510" s="34" t="s">
        <v>674</v>
      </c>
      <c r="D1510" s="32" t="s">
        <v>2</v>
      </c>
      <c r="J1510" s="27"/>
      <c r="K1510" s="27"/>
      <c r="L1510" s="27"/>
      <c r="M1510" s="27"/>
      <c r="N1510" s="27"/>
      <c r="O1510" s="27"/>
      <c r="P1510" s="27"/>
    </row>
    <row r="1511" spans="1:16" s="28" customFormat="1" ht="34.5" customHeight="1" thickBot="1">
      <c r="A1511" s="140">
        <v>155</v>
      </c>
      <c r="B1511" s="141"/>
      <c r="C1511" s="142" t="s">
        <v>3</v>
      </c>
      <c r="D1511" s="143"/>
      <c r="J1511" s="27"/>
      <c r="K1511" s="27"/>
      <c r="L1511" s="27"/>
      <c r="M1511" s="27"/>
      <c r="N1511" s="27"/>
      <c r="O1511" s="27"/>
      <c r="P1511" s="27"/>
    </row>
    <row r="1512" spans="1:16" s="28" customFormat="1" ht="34.5" customHeight="1" thickBot="1">
      <c r="A1512" s="140">
        <v>184</v>
      </c>
      <c r="B1512" s="141"/>
      <c r="C1512" s="144" t="s">
        <v>4</v>
      </c>
      <c r="D1512" s="145"/>
      <c r="J1512" s="27"/>
      <c r="K1512" s="27"/>
      <c r="L1512" s="27"/>
      <c r="M1512" s="27"/>
      <c r="N1512" s="27"/>
      <c r="O1512" s="27"/>
      <c r="P1512" s="27"/>
    </row>
    <row r="1513" spans="1:16" s="28" customFormat="1" ht="34.5" customHeight="1" thickBot="1">
      <c r="A1513" s="146">
        <f>A1512-A1511</f>
        <v>29</v>
      </c>
      <c r="B1513" s="147"/>
      <c r="C1513" s="148"/>
      <c r="D1513" s="35" t="s">
        <v>5</v>
      </c>
      <c r="J1513" s="27"/>
      <c r="K1513" s="27"/>
      <c r="L1513" s="27"/>
      <c r="M1513" s="27"/>
      <c r="N1513" s="27"/>
      <c r="O1513" s="27"/>
      <c r="P1513" s="27"/>
    </row>
    <row r="1514" spans="1:16" s="28" customFormat="1" ht="34.5" customHeight="1" thickBot="1">
      <c r="A1514" s="149">
        <v>23</v>
      </c>
      <c r="B1514" s="150"/>
      <c r="C1514" s="151"/>
      <c r="D1514" s="35" t="s">
        <v>6</v>
      </c>
      <c r="J1514" s="27"/>
      <c r="K1514" s="27"/>
      <c r="L1514" s="27"/>
      <c r="M1514" s="27"/>
      <c r="N1514" s="27"/>
      <c r="O1514" s="27"/>
      <c r="P1514" s="27"/>
    </row>
    <row r="1515" spans="1:16" s="28" customFormat="1" ht="34.5" customHeight="1" thickBot="1">
      <c r="A1515" s="144">
        <v>670</v>
      </c>
      <c r="B1515" s="152"/>
      <c r="C1515" s="145"/>
      <c r="D1515" s="35" t="s">
        <v>7</v>
      </c>
      <c r="J1515" s="27"/>
      <c r="K1515" s="27"/>
      <c r="L1515" s="27"/>
      <c r="M1515" s="27"/>
      <c r="N1515" s="27"/>
      <c r="O1515" s="27"/>
      <c r="P1515" s="27"/>
    </row>
    <row r="1516" spans="1:16" s="28" customFormat="1" ht="34.5" customHeight="1" thickBot="1">
      <c r="A1516" s="144">
        <v>0</v>
      </c>
      <c r="B1516" s="152"/>
      <c r="C1516" s="145"/>
      <c r="D1516" s="35" t="s">
        <v>437</v>
      </c>
      <c r="J1516" s="27"/>
      <c r="K1516" s="27"/>
      <c r="L1516" s="27"/>
      <c r="M1516" s="27"/>
      <c r="N1516" s="27"/>
      <c r="O1516" s="27"/>
      <c r="P1516" s="27"/>
    </row>
    <row r="1517" spans="1:16" s="28" customFormat="1" ht="34.5" customHeight="1" thickBot="1">
      <c r="A1517" s="34">
        <v>0</v>
      </c>
      <c r="B1517" s="32" t="s">
        <v>8</v>
      </c>
      <c r="C1517" s="33">
        <v>670</v>
      </c>
      <c r="D1517" s="32" t="s">
        <v>9</v>
      </c>
      <c r="J1517" s="27"/>
      <c r="K1517" s="27"/>
      <c r="L1517" s="27"/>
      <c r="M1517" s="27"/>
      <c r="N1517" s="27"/>
      <c r="O1517" s="27"/>
      <c r="P1517" s="27"/>
    </row>
    <row r="1518" spans="1:16" s="28" customFormat="1" ht="34.5" customHeight="1" thickBot="1">
      <c r="A1518" s="153" t="s">
        <v>436</v>
      </c>
      <c r="B1518" s="154"/>
      <c r="C1518" s="154"/>
      <c r="D1518" s="155"/>
      <c r="J1518" s="27"/>
      <c r="K1518" s="27"/>
      <c r="L1518" s="27"/>
      <c r="M1518" s="27"/>
      <c r="N1518" s="27"/>
      <c r="O1518" s="27"/>
      <c r="P1518" s="27"/>
    </row>
    <row r="1519" spans="1:16" s="28" customFormat="1" ht="34.5" customHeight="1" thickBot="1">
      <c r="A1519" s="156" t="s">
        <v>435</v>
      </c>
      <c r="B1519" s="157"/>
      <c r="C1519" s="157"/>
      <c r="D1519" s="158"/>
      <c r="J1519" s="27"/>
      <c r="K1519" s="27"/>
      <c r="L1519" s="27"/>
      <c r="M1519" s="27"/>
      <c r="N1519" s="27"/>
      <c r="O1519" s="27"/>
      <c r="P1519" s="27"/>
    </row>
    <row r="1520" spans="1:16" s="28" customFormat="1" ht="34.5" customHeight="1">
      <c r="A1520" s="159" t="s">
        <v>442</v>
      </c>
      <c r="B1520" s="160" t="s">
        <v>441</v>
      </c>
      <c r="C1520" s="160"/>
      <c r="D1520" s="161"/>
      <c r="J1520" s="27"/>
      <c r="K1520" s="27"/>
      <c r="L1520" s="27"/>
      <c r="M1520" s="27"/>
      <c r="N1520" s="27"/>
      <c r="O1520" s="27"/>
      <c r="P1520" s="27"/>
    </row>
    <row r="1521" spans="1:16" s="28" customFormat="1" ht="34.5" customHeight="1" thickBot="1">
      <c r="A1521" s="162"/>
      <c r="B1521" s="163"/>
      <c r="C1521" s="163"/>
      <c r="D1521" s="164"/>
      <c r="J1521" s="27"/>
      <c r="K1521" s="27"/>
      <c r="L1521" s="27"/>
      <c r="M1521" s="27"/>
      <c r="N1521" s="27"/>
      <c r="O1521" s="27"/>
      <c r="P1521" s="27"/>
    </row>
    <row r="1522" spans="1:16" s="28" customFormat="1" ht="34.5" customHeight="1" thickBot="1">
      <c r="A1522" s="142" t="s">
        <v>11</v>
      </c>
      <c r="B1522" s="143"/>
      <c r="C1522" s="165" t="s">
        <v>591</v>
      </c>
      <c r="D1522" s="143"/>
      <c r="J1522" s="27"/>
      <c r="K1522" s="27"/>
      <c r="L1522" s="27"/>
      <c r="M1522" s="27"/>
      <c r="N1522" s="27"/>
      <c r="O1522" s="27"/>
      <c r="P1522" s="27"/>
    </row>
    <row r="1523" spans="1:16" s="28" customFormat="1" ht="34.5" customHeight="1" thickBot="1">
      <c r="A1523" s="137" t="s">
        <v>433</v>
      </c>
      <c r="B1523" s="138"/>
      <c r="C1523" s="138"/>
      <c r="D1523" s="139"/>
      <c r="J1523" s="27"/>
      <c r="K1523" s="27"/>
      <c r="L1523" s="27"/>
      <c r="M1523" s="27"/>
      <c r="N1523" s="27"/>
      <c r="O1523" s="27"/>
      <c r="P1523" s="27"/>
    </row>
    <row r="1524" spans="1:16" s="28" customFormat="1" ht="34.5" customHeight="1" thickBot="1">
      <c r="A1524" s="34" t="s">
        <v>458</v>
      </c>
      <c r="B1524" s="32" t="s">
        <v>438</v>
      </c>
      <c r="C1524" s="34">
        <v>53</v>
      </c>
      <c r="D1524" s="32" t="s">
        <v>0</v>
      </c>
      <c r="J1524" s="27"/>
      <c r="K1524" s="27"/>
      <c r="L1524" s="27"/>
      <c r="M1524" s="27"/>
      <c r="N1524" s="27"/>
      <c r="O1524" s="27"/>
      <c r="P1524" s="27"/>
    </row>
    <row r="1525" spans="1:16" s="28" customFormat="1" ht="34.5" customHeight="1" thickBot="1">
      <c r="A1525" s="37" t="s">
        <v>673</v>
      </c>
      <c r="B1525" s="36" t="s">
        <v>1</v>
      </c>
      <c r="C1525" s="34" t="s">
        <v>674</v>
      </c>
      <c r="D1525" s="32" t="s">
        <v>2</v>
      </c>
      <c r="J1525" s="27"/>
      <c r="K1525" s="27"/>
      <c r="L1525" s="27"/>
      <c r="M1525" s="27"/>
      <c r="N1525" s="27"/>
      <c r="O1525" s="27"/>
      <c r="P1525" s="27"/>
    </row>
    <row r="1526" spans="1:16" s="28" customFormat="1" ht="34.5" customHeight="1" thickBot="1">
      <c r="A1526" s="140">
        <v>254</v>
      </c>
      <c r="B1526" s="141"/>
      <c r="C1526" s="142" t="s">
        <v>3</v>
      </c>
      <c r="D1526" s="143"/>
      <c r="J1526" s="27"/>
      <c r="K1526" s="27"/>
      <c r="L1526" s="27"/>
      <c r="M1526" s="27"/>
      <c r="N1526" s="27"/>
      <c r="O1526" s="27"/>
      <c r="P1526" s="27"/>
    </row>
    <row r="1527" spans="1:16" s="28" customFormat="1" ht="34.5" customHeight="1" thickBot="1">
      <c r="A1527" s="140">
        <v>254</v>
      </c>
      <c r="B1527" s="141"/>
      <c r="C1527" s="144" t="s">
        <v>4</v>
      </c>
      <c r="D1527" s="145"/>
      <c r="J1527" s="27"/>
      <c r="K1527" s="27"/>
      <c r="L1527" s="27"/>
      <c r="M1527" s="27"/>
      <c r="N1527" s="27"/>
      <c r="O1527" s="27"/>
      <c r="P1527" s="27"/>
    </row>
    <row r="1528" spans="1:16" s="28" customFormat="1" ht="34.5" customHeight="1" thickBot="1">
      <c r="A1528" s="146">
        <f>A1527-A1526</f>
        <v>0</v>
      </c>
      <c r="B1528" s="147"/>
      <c r="C1528" s="148"/>
      <c r="D1528" s="35" t="s">
        <v>5</v>
      </c>
      <c r="J1528" s="27"/>
      <c r="K1528" s="27"/>
      <c r="L1528" s="27"/>
      <c r="M1528" s="27"/>
      <c r="N1528" s="27"/>
      <c r="O1528" s="27"/>
      <c r="P1528" s="27"/>
    </row>
    <row r="1529" spans="1:16" s="28" customFormat="1" ht="34.5" customHeight="1" thickBot="1">
      <c r="A1529" s="149">
        <v>23</v>
      </c>
      <c r="B1529" s="150"/>
      <c r="C1529" s="151"/>
      <c r="D1529" s="35" t="s">
        <v>6</v>
      </c>
      <c r="J1529" s="27"/>
      <c r="K1529" s="27"/>
      <c r="L1529" s="27"/>
      <c r="M1529" s="27"/>
      <c r="N1529" s="27"/>
      <c r="O1529" s="27"/>
      <c r="P1529" s="27"/>
    </row>
    <row r="1530" spans="1:16" s="28" customFormat="1" ht="34.5" customHeight="1" thickBot="1">
      <c r="A1530" s="144">
        <f>A1529*A1528</f>
        <v>0</v>
      </c>
      <c r="B1530" s="152"/>
      <c r="C1530" s="145"/>
      <c r="D1530" s="35" t="s">
        <v>7</v>
      </c>
      <c r="J1530" s="27"/>
      <c r="K1530" s="27"/>
      <c r="L1530" s="27"/>
      <c r="M1530" s="27"/>
      <c r="N1530" s="27"/>
      <c r="O1530" s="27"/>
      <c r="P1530" s="27"/>
    </row>
    <row r="1531" spans="1:16" s="28" customFormat="1" ht="34.5" customHeight="1" thickBot="1">
      <c r="A1531" s="144">
        <v>0</v>
      </c>
      <c r="B1531" s="152"/>
      <c r="C1531" s="145"/>
      <c r="D1531" s="35" t="s">
        <v>437</v>
      </c>
      <c r="J1531" s="27"/>
      <c r="K1531" s="27"/>
      <c r="L1531" s="27"/>
      <c r="M1531" s="27"/>
      <c r="N1531" s="27"/>
      <c r="O1531" s="27"/>
      <c r="P1531" s="27"/>
    </row>
    <row r="1532" spans="1:16" s="28" customFormat="1" ht="34.5" customHeight="1" thickBot="1">
      <c r="A1532" s="34">
        <v>0</v>
      </c>
      <c r="B1532" s="32" t="s">
        <v>8</v>
      </c>
      <c r="C1532" s="33">
        <v>670</v>
      </c>
      <c r="D1532" s="32" t="s">
        <v>9</v>
      </c>
      <c r="J1532" s="27"/>
      <c r="K1532" s="27"/>
      <c r="L1532" s="27"/>
      <c r="M1532" s="27"/>
      <c r="N1532" s="27"/>
      <c r="O1532" s="27"/>
      <c r="P1532" s="27"/>
    </row>
    <row r="1533" spans="1:16" s="28" customFormat="1" ht="34.5" customHeight="1" thickBot="1">
      <c r="A1533" s="153" t="s">
        <v>436</v>
      </c>
      <c r="B1533" s="154"/>
      <c r="C1533" s="154"/>
      <c r="D1533" s="155"/>
      <c r="J1533" s="27"/>
      <c r="K1533" s="27"/>
      <c r="L1533" s="27"/>
      <c r="M1533" s="27"/>
      <c r="N1533" s="27"/>
      <c r="O1533" s="27"/>
      <c r="P1533" s="27"/>
    </row>
    <row r="1534" spans="1:16" s="28" customFormat="1" ht="34.5" customHeight="1" thickBot="1">
      <c r="A1534" s="156" t="s">
        <v>435</v>
      </c>
      <c r="B1534" s="157"/>
      <c r="C1534" s="157"/>
      <c r="D1534" s="158"/>
      <c r="J1534" s="27"/>
      <c r="K1534" s="27"/>
      <c r="L1534" s="27"/>
      <c r="M1534" s="27"/>
      <c r="N1534" s="27"/>
      <c r="O1534" s="27"/>
      <c r="P1534" s="27"/>
    </row>
    <row r="1535" spans="1:16" s="28" customFormat="1" ht="34.5" customHeight="1" thickBot="1">
      <c r="A1535" s="40"/>
      <c r="B1535" s="39"/>
      <c r="C1535" s="39"/>
      <c r="D1535" s="38"/>
      <c r="J1535" s="27"/>
      <c r="K1535" s="27"/>
      <c r="L1535" s="27"/>
      <c r="M1535" s="27"/>
      <c r="N1535" s="27"/>
      <c r="O1535" s="27"/>
      <c r="P1535" s="27"/>
    </row>
    <row r="1536" spans="1:16" s="28" customFormat="1" ht="34.5" customHeight="1">
      <c r="A1536" s="159" t="s">
        <v>442</v>
      </c>
      <c r="B1536" s="160" t="s">
        <v>441</v>
      </c>
      <c r="C1536" s="160"/>
      <c r="D1536" s="161"/>
      <c r="J1536" s="27"/>
      <c r="K1536" s="27"/>
      <c r="L1536" s="27"/>
      <c r="M1536" s="27"/>
      <c r="N1536" s="27"/>
      <c r="O1536" s="27"/>
      <c r="P1536" s="27"/>
    </row>
    <row r="1537" spans="1:16" s="28" customFormat="1" ht="34.5" customHeight="1" thickBot="1">
      <c r="A1537" s="162"/>
      <c r="B1537" s="163"/>
      <c r="C1537" s="163"/>
      <c r="D1537" s="164"/>
      <c r="J1537" s="27"/>
      <c r="K1537" s="27"/>
      <c r="L1537" s="27"/>
      <c r="M1537" s="27"/>
      <c r="N1537" s="27"/>
      <c r="O1537" s="27"/>
      <c r="P1537" s="27"/>
    </row>
    <row r="1538" spans="1:16" s="28" customFormat="1" ht="34.5" customHeight="1" thickBot="1">
      <c r="A1538" s="142" t="s">
        <v>11</v>
      </c>
      <c r="B1538" s="143"/>
      <c r="C1538" s="165" t="s">
        <v>591</v>
      </c>
      <c r="D1538" s="143"/>
      <c r="J1538" s="27"/>
      <c r="K1538" s="27"/>
      <c r="L1538" s="27"/>
      <c r="M1538" s="27"/>
      <c r="N1538" s="27"/>
      <c r="O1538" s="27"/>
      <c r="P1538" s="27"/>
    </row>
    <row r="1539" spans="1:16" s="28" customFormat="1" ht="34.5" customHeight="1" thickBot="1">
      <c r="A1539" s="137" t="s">
        <v>433</v>
      </c>
      <c r="B1539" s="138"/>
      <c r="C1539" s="138"/>
      <c r="D1539" s="139"/>
      <c r="J1539" s="27"/>
      <c r="K1539" s="27"/>
      <c r="L1539" s="27"/>
      <c r="M1539" s="27"/>
      <c r="N1539" s="27"/>
      <c r="O1539" s="27"/>
      <c r="P1539" s="27"/>
    </row>
    <row r="1540" spans="1:16" s="28" customFormat="1" ht="34.5" customHeight="1" thickBot="1">
      <c r="A1540" s="34" t="s">
        <v>458</v>
      </c>
      <c r="B1540" s="32" t="s">
        <v>438</v>
      </c>
      <c r="C1540" s="34">
        <v>53</v>
      </c>
      <c r="D1540" s="32" t="s">
        <v>0</v>
      </c>
      <c r="J1540" s="27"/>
      <c r="K1540" s="27"/>
      <c r="L1540" s="27"/>
      <c r="M1540" s="27"/>
      <c r="N1540" s="27"/>
      <c r="O1540" s="27"/>
      <c r="P1540" s="27"/>
    </row>
    <row r="1541" spans="1:16" s="28" customFormat="1" ht="34.5" customHeight="1" thickBot="1">
      <c r="A1541" s="37" t="s">
        <v>673</v>
      </c>
      <c r="B1541" s="36" t="s">
        <v>1</v>
      </c>
      <c r="C1541" s="34" t="s">
        <v>674</v>
      </c>
      <c r="D1541" s="32" t="s">
        <v>2</v>
      </c>
      <c r="J1541" s="27"/>
      <c r="K1541" s="27"/>
      <c r="L1541" s="27"/>
      <c r="M1541" s="27"/>
      <c r="N1541" s="27"/>
      <c r="O1541" s="27"/>
      <c r="P1541" s="27"/>
    </row>
    <row r="1542" spans="1:16" s="28" customFormat="1" ht="34.5" customHeight="1" thickBot="1">
      <c r="A1542" s="140">
        <v>225</v>
      </c>
      <c r="B1542" s="141"/>
      <c r="C1542" s="142" t="s">
        <v>3</v>
      </c>
      <c r="D1542" s="143"/>
      <c r="J1542" s="27"/>
      <c r="K1542" s="27"/>
      <c r="L1542" s="27"/>
      <c r="M1542" s="27"/>
      <c r="N1542" s="27"/>
      <c r="O1542" s="27"/>
      <c r="P1542" s="27"/>
    </row>
    <row r="1543" spans="1:16" s="28" customFormat="1" ht="34.5" customHeight="1" thickBot="1">
      <c r="A1543" s="140">
        <v>254</v>
      </c>
      <c r="B1543" s="141"/>
      <c r="C1543" s="144" t="s">
        <v>4</v>
      </c>
      <c r="D1543" s="145"/>
      <c r="J1543" s="27"/>
      <c r="K1543" s="27"/>
      <c r="L1543" s="27"/>
      <c r="M1543" s="27"/>
      <c r="N1543" s="27"/>
      <c r="O1543" s="27"/>
      <c r="P1543" s="27"/>
    </row>
    <row r="1544" spans="1:16" s="28" customFormat="1" ht="34.5" customHeight="1" thickBot="1">
      <c r="A1544" s="146">
        <f>A1543-A1542</f>
        <v>29</v>
      </c>
      <c r="B1544" s="147"/>
      <c r="C1544" s="148"/>
      <c r="D1544" s="35" t="s">
        <v>5</v>
      </c>
      <c r="J1544" s="27"/>
      <c r="K1544" s="27"/>
      <c r="L1544" s="27"/>
      <c r="M1544" s="27"/>
      <c r="N1544" s="27"/>
      <c r="O1544" s="27"/>
      <c r="P1544" s="27"/>
    </row>
    <row r="1545" spans="1:16" s="28" customFormat="1" ht="34.5" customHeight="1" thickBot="1">
      <c r="A1545" s="149">
        <v>23</v>
      </c>
      <c r="B1545" s="150"/>
      <c r="C1545" s="151"/>
      <c r="D1545" s="35" t="s">
        <v>6</v>
      </c>
      <c r="J1545" s="27"/>
      <c r="K1545" s="27"/>
      <c r="L1545" s="27"/>
      <c r="M1545" s="27"/>
      <c r="N1545" s="27"/>
      <c r="O1545" s="27"/>
      <c r="P1545" s="27"/>
    </row>
    <row r="1546" spans="1:16" s="28" customFormat="1" ht="34.5" customHeight="1" thickBot="1">
      <c r="A1546" s="144">
        <f>A1545*A1544</f>
        <v>667</v>
      </c>
      <c r="B1546" s="152"/>
      <c r="C1546" s="145"/>
      <c r="D1546" s="35" t="s">
        <v>7</v>
      </c>
      <c r="J1546" s="27"/>
      <c r="K1546" s="27"/>
      <c r="L1546" s="27"/>
      <c r="M1546" s="27"/>
      <c r="N1546" s="27"/>
      <c r="O1546" s="27"/>
      <c r="P1546" s="27"/>
    </row>
    <row r="1547" spans="1:16" s="28" customFormat="1" ht="34.5" customHeight="1" thickBot="1">
      <c r="A1547" s="144">
        <v>0</v>
      </c>
      <c r="B1547" s="152"/>
      <c r="C1547" s="145"/>
      <c r="D1547" s="35" t="s">
        <v>437</v>
      </c>
      <c r="J1547" s="27"/>
      <c r="K1547" s="27"/>
      <c r="L1547" s="27"/>
      <c r="M1547" s="27"/>
      <c r="N1547" s="27"/>
      <c r="O1547" s="27"/>
      <c r="P1547" s="27"/>
    </row>
    <row r="1548" spans="1:16" s="28" customFormat="1" ht="34.5" customHeight="1" thickBot="1">
      <c r="A1548" s="34">
        <v>0</v>
      </c>
      <c r="B1548" s="32" t="s">
        <v>8</v>
      </c>
      <c r="C1548" s="33">
        <v>670</v>
      </c>
      <c r="D1548" s="32" t="s">
        <v>9</v>
      </c>
      <c r="J1548" s="27"/>
      <c r="K1548" s="27"/>
      <c r="L1548" s="27"/>
      <c r="M1548" s="27"/>
      <c r="N1548" s="27"/>
      <c r="O1548" s="27"/>
      <c r="P1548" s="27"/>
    </row>
    <row r="1549" spans="1:16" s="28" customFormat="1" ht="34.5" customHeight="1" thickBot="1">
      <c r="A1549" s="153" t="s">
        <v>436</v>
      </c>
      <c r="B1549" s="154"/>
      <c r="C1549" s="154"/>
      <c r="D1549" s="155"/>
      <c r="J1549" s="27"/>
      <c r="K1549" s="27"/>
      <c r="L1549" s="27"/>
      <c r="M1549" s="27"/>
      <c r="N1549" s="27"/>
      <c r="O1549" s="27"/>
      <c r="P1549" s="27"/>
    </row>
    <row r="1550" spans="1:16" s="28" customFormat="1" ht="34.5" customHeight="1" thickBot="1">
      <c r="A1550" s="156" t="s">
        <v>435</v>
      </c>
      <c r="B1550" s="157"/>
      <c r="C1550" s="157"/>
      <c r="D1550" s="158"/>
      <c r="J1550" s="27"/>
      <c r="K1550" s="27"/>
      <c r="L1550" s="27"/>
      <c r="M1550" s="27"/>
      <c r="N1550" s="27"/>
      <c r="O1550" s="27"/>
      <c r="P1550" s="27"/>
    </row>
    <row r="1551" spans="1:16" s="28" customFormat="1" ht="34.5" customHeight="1">
      <c r="A1551" s="159" t="s">
        <v>442</v>
      </c>
      <c r="B1551" s="160" t="s">
        <v>441</v>
      </c>
      <c r="C1551" s="160"/>
      <c r="D1551" s="161"/>
      <c r="J1551" s="27"/>
      <c r="K1551" s="27"/>
      <c r="L1551" s="27"/>
      <c r="M1551" s="27"/>
      <c r="N1551" s="27"/>
      <c r="O1551" s="27"/>
      <c r="P1551" s="27"/>
    </row>
    <row r="1552" spans="1:16" s="28" customFormat="1" ht="34.5" customHeight="1" thickBot="1">
      <c r="A1552" s="162"/>
      <c r="B1552" s="163"/>
      <c r="C1552" s="163"/>
      <c r="D1552" s="164"/>
      <c r="J1552" s="27"/>
      <c r="K1552" s="27"/>
      <c r="L1552" s="27"/>
      <c r="M1552" s="27"/>
      <c r="N1552" s="27"/>
      <c r="O1552" s="27"/>
      <c r="P1552" s="27"/>
    </row>
    <row r="1553" spans="1:16" s="28" customFormat="1" ht="34.5" customHeight="1" thickBot="1">
      <c r="A1553" s="142" t="s">
        <v>11</v>
      </c>
      <c r="B1553" s="143"/>
      <c r="C1553" s="165" t="s">
        <v>591</v>
      </c>
      <c r="D1553" s="143"/>
      <c r="J1553" s="27"/>
      <c r="K1553" s="27"/>
      <c r="L1553" s="27"/>
      <c r="M1553" s="27"/>
      <c r="N1553" s="27"/>
      <c r="O1553" s="27"/>
      <c r="P1553" s="27"/>
    </row>
    <row r="1554" spans="1:16" s="28" customFormat="1" ht="34.5" customHeight="1" thickBot="1">
      <c r="A1554" s="137" t="s">
        <v>428</v>
      </c>
      <c r="B1554" s="138"/>
      <c r="C1554" s="138"/>
      <c r="D1554" s="139"/>
      <c r="J1554" s="27"/>
      <c r="K1554" s="27"/>
      <c r="L1554" s="27"/>
      <c r="M1554" s="27"/>
      <c r="N1554" s="27"/>
      <c r="O1554" s="27"/>
      <c r="P1554" s="27"/>
    </row>
    <row r="1555" spans="1:16" s="28" customFormat="1" ht="34.5" customHeight="1" thickBot="1">
      <c r="A1555" s="34" t="s">
        <v>458</v>
      </c>
      <c r="B1555" s="32" t="s">
        <v>438</v>
      </c>
      <c r="C1555" s="34">
        <v>54</v>
      </c>
      <c r="D1555" s="32" t="s">
        <v>0</v>
      </c>
      <c r="J1555" s="27"/>
      <c r="K1555" s="27"/>
      <c r="L1555" s="27"/>
      <c r="M1555" s="27"/>
      <c r="N1555" s="27"/>
      <c r="O1555" s="27"/>
      <c r="P1555" s="27"/>
    </row>
    <row r="1556" spans="1:16" s="28" customFormat="1" ht="34.5" customHeight="1" thickBot="1">
      <c r="A1556" s="37" t="s">
        <v>673</v>
      </c>
      <c r="B1556" s="36" t="s">
        <v>1</v>
      </c>
      <c r="C1556" s="34" t="s">
        <v>674</v>
      </c>
      <c r="D1556" s="32" t="s">
        <v>2</v>
      </c>
      <c r="J1556" s="27"/>
      <c r="K1556" s="27"/>
      <c r="L1556" s="27"/>
      <c r="M1556" s="27"/>
      <c r="N1556" s="27"/>
      <c r="O1556" s="27"/>
      <c r="P1556" s="27"/>
    </row>
    <row r="1557" spans="1:16" s="28" customFormat="1" ht="34.5" customHeight="1" thickBot="1">
      <c r="A1557" s="140">
        <v>148</v>
      </c>
      <c r="B1557" s="141"/>
      <c r="C1557" s="142" t="s">
        <v>3</v>
      </c>
      <c r="D1557" s="143"/>
      <c r="J1557" s="27"/>
      <c r="K1557" s="27"/>
      <c r="L1557" s="27"/>
      <c r="M1557" s="27"/>
      <c r="N1557" s="27"/>
      <c r="O1557" s="27"/>
      <c r="P1557" s="27"/>
    </row>
    <row r="1558" spans="1:16" s="28" customFormat="1" ht="34.5" customHeight="1" thickBot="1">
      <c r="A1558" s="140">
        <v>148</v>
      </c>
      <c r="B1558" s="141"/>
      <c r="C1558" s="144" t="s">
        <v>4</v>
      </c>
      <c r="D1558" s="145"/>
      <c r="J1558" s="27"/>
      <c r="K1558" s="27"/>
      <c r="L1558" s="27"/>
      <c r="M1558" s="27"/>
      <c r="N1558" s="27"/>
      <c r="O1558" s="27"/>
      <c r="P1558" s="27"/>
    </row>
    <row r="1559" spans="1:16" s="28" customFormat="1" ht="34.5" customHeight="1" thickBot="1">
      <c r="A1559" s="146">
        <f>A1558-A1557</f>
        <v>0</v>
      </c>
      <c r="B1559" s="147"/>
      <c r="C1559" s="148"/>
      <c r="D1559" s="35" t="s">
        <v>5</v>
      </c>
      <c r="J1559" s="27"/>
      <c r="K1559" s="27"/>
      <c r="L1559" s="27"/>
      <c r="M1559" s="27"/>
      <c r="N1559" s="27"/>
      <c r="O1559" s="27"/>
      <c r="P1559" s="27"/>
    </row>
    <row r="1560" spans="1:16" s="28" customFormat="1" ht="34.5" customHeight="1" thickBot="1">
      <c r="A1560" s="149">
        <v>23</v>
      </c>
      <c r="B1560" s="150"/>
      <c r="C1560" s="151"/>
      <c r="D1560" s="35" t="s">
        <v>6</v>
      </c>
      <c r="J1560" s="27"/>
      <c r="K1560" s="27"/>
      <c r="L1560" s="27"/>
      <c r="M1560" s="27"/>
      <c r="N1560" s="27"/>
      <c r="O1560" s="27"/>
      <c r="P1560" s="27"/>
    </row>
    <row r="1561" spans="1:16" s="28" customFormat="1" ht="34.5" customHeight="1" thickBot="1">
      <c r="A1561" s="144">
        <f>A1560*A1559</f>
        <v>0</v>
      </c>
      <c r="B1561" s="152"/>
      <c r="C1561" s="145"/>
      <c r="D1561" s="35" t="s">
        <v>7</v>
      </c>
      <c r="J1561" s="27"/>
      <c r="K1561" s="27"/>
      <c r="L1561" s="27"/>
      <c r="M1561" s="27"/>
      <c r="N1561" s="27"/>
      <c r="O1561" s="27"/>
      <c r="P1561" s="27"/>
    </row>
    <row r="1562" spans="1:16" s="28" customFormat="1" ht="34.5" customHeight="1" thickBot="1">
      <c r="A1562" s="144">
        <v>0</v>
      </c>
      <c r="B1562" s="152"/>
      <c r="C1562" s="145"/>
      <c r="D1562" s="35" t="s">
        <v>437</v>
      </c>
      <c r="J1562" s="27"/>
      <c r="K1562" s="27"/>
      <c r="L1562" s="27"/>
      <c r="M1562" s="27"/>
      <c r="N1562" s="27"/>
      <c r="O1562" s="27"/>
      <c r="P1562" s="27"/>
    </row>
    <row r="1563" spans="1:16" s="28" customFormat="1" ht="34.5" customHeight="1" thickBot="1">
      <c r="A1563" s="34">
        <v>0</v>
      </c>
      <c r="B1563" s="32" t="s">
        <v>8</v>
      </c>
      <c r="C1563" s="33">
        <v>650</v>
      </c>
      <c r="D1563" s="32" t="s">
        <v>9</v>
      </c>
      <c r="J1563" s="27"/>
      <c r="K1563" s="27"/>
      <c r="L1563" s="27"/>
      <c r="M1563" s="27"/>
      <c r="N1563" s="27"/>
      <c r="O1563" s="27"/>
      <c r="P1563" s="27"/>
    </row>
    <row r="1564" spans="1:16" s="28" customFormat="1" ht="34.5" customHeight="1" thickBot="1">
      <c r="A1564" s="153" t="s">
        <v>436</v>
      </c>
      <c r="B1564" s="154"/>
      <c r="C1564" s="154"/>
      <c r="D1564" s="155"/>
      <c r="J1564" s="27"/>
      <c r="K1564" s="27"/>
      <c r="L1564" s="27"/>
      <c r="M1564" s="27"/>
      <c r="N1564" s="27"/>
      <c r="O1564" s="27"/>
      <c r="P1564" s="27"/>
    </row>
    <row r="1565" spans="1:16" s="28" customFormat="1" ht="34.5" customHeight="1" thickBot="1">
      <c r="A1565" s="156" t="s">
        <v>435</v>
      </c>
      <c r="B1565" s="157"/>
      <c r="C1565" s="157"/>
      <c r="D1565" s="158"/>
      <c r="J1565" s="27"/>
      <c r="K1565" s="27"/>
      <c r="L1565" s="27"/>
      <c r="M1565" s="27"/>
      <c r="N1565" s="27"/>
      <c r="O1565" s="27"/>
      <c r="P1565" s="27"/>
    </row>
    <row r="1566" spans="1:16" s="28" customFormat="1" ht="34.5" customHeight="1" thickBot="1">
      <c r="A1566" s="40"/>
      <c r="B1566" s="39"/>
      <c r="C1566" s="39"/>
      <c r="D1566" s="38"/>
      <c r="J1566" s="27"/>
      <c r="K1566" s="27"/>
      <c r="L1566" s="27"/>
      <c r="M1566" s="27"/>
      <c r="N1566" s="27"/>
      <c r="O1566" s="27"/>
      <c r="P1566" s="27"/>
    </row>
    <row r="1567" spans="1:16" s="28" customFormat="1" ht="34.5" customHeight="1">
      <c r="A1567" s="159" t="s">
        <v>442</v>
      </c>
      <c r="B1567" s="160" t="s">
        <v>441</v>
      </c>
      <c r="C1567" s="160"/>
      <c r="D1567" s="161"/>
      <c r="J1567" s="27"/>
      <c r="K1567" s="27"/>
      <c r="L1567" s="27"/>
      <c r="M1567" s="27"/>
      <c r="N1567" s="27"/>
      <c r="O1567" s="27"/>
      <c r="P1567" s="27"/>
    </row>
    <row r="1568" spans="1:16" s="28" customFormat="1" ht="34.5" customHeight="1" thickBot="1">
      <c r="A1568" s="162"/>
      <c r="B1568" s="163"/>
      <c r="C1568" s="163"/>
      <c r="D1568" s="164"/>
      <c r="J1568" s="27"/>
      <c r="K1568" s="27"/>
      <c r="L1568" s="27"/>
      <c r="M1568" s="27"/>
      <c r="N1568" s="27"/>
      <c r="O1568" s="27"/>
      <c r="P1568" s="27"/>
    </row>
    <row r="1569" spans="1:16" s="28" customFormat="1" ht="34.5" customHeight="1" thickBot="1">
      <c r="A1569" s="142" t="s">
        <v>11</v>
      </c>
      <c r="B1569" s="143"/>
      <c r="C1569" s="165" t="s">
        <v>591</v>
      </c>
      <c r="D1569" s="143"/>
      <c r="J1569" s="27"/>
      <c r="K1569" s="27"/>
      <c r="L1569" s="27"/>
      <c r="M1569" s="27"/>
      <c r="N1569" s="27"/>
      <c r="O1569" s="27"/>
      <c r="P1569" s="27"/>
    </row>
    <row r="1570" spans="1:16" s="28" customFormat="1" ht="34.5" customHeight="1" thickBot="1">
      <c r="A1570" s="137" t="s">
        <v>428</v>
      </c>
      <c r="B1570" s="138"/>
      <c r="C1570" s="138"/>
      <c r="D1570" s="139"/>
      <c r="J1570" s="27"/>
      <c r="K1570" s="27"/>
      <c r="L1570" s="27"/>
      <c r="M1570" s="27"/>
      <c r="N1570" s="27"/>
      <c r="O1570" s="27"/>
      <c r="P1570" s="27"/>
    </row>
    <row r="1571" spans="1:16" s="28" customFormat="1" ht="34.5" customHeight="1" thickBot="1">
      <c r="A1571" s="34" t="s">
        <v>458</v>
      </c>
      <c r="B1571" s="32" t="s">
        <v>438</v>
      </c>
      <c r="C1571" s="34">
        <v>54</v>
      </c>
      <c r="D1571" s="32" t="s">
        <v>0</v>
      </c>
      <c r="J1571" s="27"/>
      <c r="K1571" s="27"/>
      <c r="L1571" s="27"/>
      <c r="M1571" s="27"/>
      <c r="N1571" s="27"/>
      <c r="O1571" s="27"/>
      <c r="P1571" s="27"/>
    </row>
    <row r="1572" spans="1:16" s="28" customFormat="1" ht="34.5" customHeight="1" thickBot="1">
      <c r="A1572" s="37" t="s">
        <v>673</v>
      </c>
      <c r="B1572" s="36" t="s">
        <v>1</v>
      </c>
      <c r="C1572" s="34" t="s">
        <v>674</v>
      </c>
      <c r="D1572" s="32" t="s">
        <v>2</v>
      </c>
      <c r="J1572" s="27"/>
      <c r="K1572" s="27"/>
      <c r="L1572" s="27"/>
      <c r="M1572" s="27"/>
      <c r="N1572" s="27"/>
      <c r="O1572" s="27"/>
      <c r="P1572" s="27"/>
    </row>
    <row r="1573" spans="1:16" s="28" customFormat="1" ht="34.5" customHeight="1" thickBot="1">
      <c r="A1573" s="140">
        <v>120</v>
      </c>
      <c r="B1573" s="141"/>
      <c r="C1573" s="142" t="s">
        <v>3</v>
      </c>
      <c r="D1573" s="143"/>
      <c r="J1573" s="27"/>
      <c r="K1573" s="27"/>
      <c r="L1573" s="27"/>
      <c r="M1573" s="27"/>
      <c r="N1573" s="27"/>
      <c r="O1573" s="27"/>
      <c r="P1573" s="27"/>
    </row>
    <row r="1574" spans="1:16" s="28" customFormat="1" ht="34.5" customHeight="1" thickBot="1">
      <c r="A1574" s="140">
        <v>148</v>
      </c>
      <c r="B1574" s="141"/>
      <c r="C1574" s="144" t="s">
        <v>4</v>
      </c>
      <c r="D1574" s="145"/>
      <c r="J1574" s="27"/>
      <c r="K1574" s="27"/>
      <c r="L1574" s="27"/>
      <c r="M1574" s="27"/>
      <c r="N1574" s="27"/>
      <c r="O1574" s="27"/>
      <c r="P1574" s="27"/>
    </row>
    <row r="1575" spans="1:16" s="28" customFormat="1" ht="34.5" customHeight="1" thickBot="1">
      <c r="A1575" s="146">
        <f>A1574-A1573</f>
        <v>28</v>
      </c>
      <c r="B1575" s="147"/>
      <c r="C1575" s="148"/>
      <c r="D1575" s="35" t="s">
        <v>5</v>
      </c>
      <c r="J1575" s="27"/>
      <c r="K1575" s="27"/>
      <c r="L1575" s="27"/>
      <c r="M1575" s="27"/>
      <c r="N1575" s="27"/>
      <c r="O1575" s="27"/>
      <c r="P1575" s="27"/>
    </row>
    <row r="1576" spans="1:16" s="28" customFormat="1" ht="34.5" customHeight="1" thickBot="1">
      <c r="A1576" s="149">
        <v>23</v>
      </c>
      <c r="B1576" s="150"/>
      <c r="C1576" s="151"/>
      <c r="D1576" s="35" t="s">
        <v>6</v>
      </c>
      <c r="J1576" s="27"/>
      <c r="K1576" s="27"/>
      <c r="L1576" s="27"/>
      <c r="M1576" s="27"/>
      <c r="N1576" s="27"/>
      <c r="O1576" s="27"/>
      <c r="P1576" s="27"/>
    </row>
    <row r="1577" spans="1:16" s="28" customFormat="1" ht="34.5" customHeight="1" thickBot="1">
      <c r="A1577" s="144">
        <f>A1576*A1575</f>
        <v>644</v>
      </c>
      <c r="B1577" s="152"/>
      <c r="C1577" s="145"/>
      <c r="D1577" s="35" t="s">
        <v>7</v>
      </c>
      <c r="J1577" s="27"/>
      <c r="K1577" s="27"/>
      <c r="L1577" s="27"/>
      <c r="M1577" s="27"/>
      <c r="N1577" s="27"/>
      <c r="O1577" s="27"/>
      <c r="P1577" s="27"/>
    </row>
    <row r="1578" spans="1:16" s="28" customFormat="1" ht="34.5" customHeight="1" thickBot="1">
      <c r="A1578" s="144">
        <v>0</v>
      </c>
      <c r="B1578" s="152"/>
      <c r="C1578" s="145"/>
      <c r="D1578" s="35" t="s">
        <v>437</v>
      </c>
      <c r="J1578" s="27"/>
      <c r="K1578" s="27"/>
      <c r="L1578" s="27"/>
      <c r="M1578" s="27"/>
      <c r="N1578" s="27"/>
      <c r="O1578" s="27"/>
      <c r="P1578" s="27"/>
    </row>
    <row r="1579" spans="1:16" s="28" customFormat="1" ht="34.5" customHeight="1" thickBot="1">
      <c r="A1579" s="34">
        <v>0</v>
      </c>
      <c r="B1579" s="32" t="s">
        <v>8</v>
      </c>
      <c r="C1579" s="33">
        <v>650</v>
      </c>
      <c r="D1579" s="32" t="s">
        <v>9</v>
      </c>
      <c r="J1579" s="27"/>
      <c r="K1579" s="27"/>
      <c r="L1579" s="27"/>
      <c r="M1579" s="27"/>
      <c r="N1579" s="27"/>
      <c r="O1579" s="27"/>
      <c r="P1579" s="27"/>
    </row>
    <row r="1580" spans="1:16" s="28" customFormat="1" ht="34.5" customHeight="1" thickBot="1">
      <c r="A1580" s="153" t="s">
        <v>436</v>
      </c>
      <c r="B1580" s="154"/>
      <c r="C1580" s="154"/>
      <c r="D1580" s="155"/>
      <c r="J1580" s="27"/>
      <c r="K1580" s="27"/>
      <c r="L1580" s="27"/>
      <c r="M1580" s="27"/>
      <c r="N1580" s="27"/>
      <c r="O1580" s="27"/>
      <c r="P1580" s="27"/>
    </row>
    <row r="1581" spans="1:16" s="28" customFormat="1" ht="34.5" customHeight="1" thickBot="1">
      <c r="A1581" s="156" t="s">
        <v>435</v>
      </c>
      <c r="B1581" s="157"/>
      <c r="C1581" s="157"/>
      <c r="D1581" s="158"/>
      <c r="J1581" s="27"/>
      <c r="K1581" s="27"/>
      <c r="L1581" s="27"/>
      <c r="M1581" s="27"/>
      <c r="N1581" s="27"/>
      <c r="O1581" s="27"/>
      <c r="P1581" s="27"/>
    </row>
    <row r="1582" spans="1:16" s="28" customFormat="1" ht="34.5" customHeight="1">
      <c r="A1582" s="159" t="s">
        <v>442</v>
      </c>
      <c r="B1582" s="160" t="s">
        <v>441</v>
      </c>
      <c r="C1582" s="160"/>
      <c r="D1582" s="161"/>
      <c r="J1582" s="27"/>
      <c r="K1582" s="27"/>
      <c r="L1582" s="27"/>
      <c r="M1582" s="27"/>
      <c r="N1582" s="27"/>
      <c r="O1582" s="27"/>
      <c r="P1582" s="27"/>
    </row>
    <row r="1583" spans="1:16" s="28" customFormat="1" ht="34.5" customHeight="1" thickBot="1">
      <c r="A1583" s="162"/>
      <c r="B1583" s="163"/>
      <c r="C1583" s="163"/>
      <c r="D1583" s="164"/>
      <c r="J1583" s="27"/>
      <c r="K1583" s="27"/>
      <c r="L1583" s="27"/>
      <c r="M1583" s="27"/>
      <c r="N1583" s="27"/>
      <c r="O1583" s="27"/>
      <c r="P1583" s="27"/>
    </row>
    <row r="1584" spans="1:16" s="28" customFormat="1" ht="34.5" customHeight="1" thickBot="1">
      <c r="A1584" s="142" t="s">
        <v>11</v>
      </c>
      <c r="B1584" s="143"/>
      <c r="C1584" s="165" t="s">
        <v>591</v>
      </c>
      <c r="D1584" s="143"/>
      <c r="J1584" s="27"/>
      <c r="K1584" s="27"/>
      <c r="L1584" s="27"/>
      <c r="M1584" s="27"/>
      <c r="N1584" s="27"/>
      <c r="O1584" s="27"/>
      <c r="P1584" s="27"/>
    </row>
    <row r="1585" spans="1:16" s="28" customFormat="1" ht="34.5" customHeight="1" thickBot="1">
      <c r="A1585" s="137" t="s">
        <v>460</v>
      </c>
      <c r="B1585" s="138"/>
      <c r="C1585" s="138"/>
      <c r="D1585" s="139"/>
      <c r="J1585" s="27"/>
      <c r="K1585" s="27"/>
      <c r="L1585" s="27"/>
      <c r="M1585" s="27"/>
      <c r="N1585" s="27"/>
      <c r="O1585" s="27"/>
      <c r="P1585" s="27"/>
    </row>
    <row r="1586" spans="1:16" s="28" customFormat="1" ht="34.5" customHeight="1" thickBot="1">
      <c r="A1586" s="34" t="s">
        <v>458</v>
      </c>
      <c r="B1586" s="32" t="s">
        <v>438</v>
      </c>
      <c r="C1586" s="34">
        <v>55</v>
      </c>
      <c r="D1586" s="32" t="s">
        <v>0</v>
      </c>
      <c r="J1586" s="27"/>
      <c r="K1586" s="27"/>
      <c r="L1586" s="27"/>
      <c r="M1586" s="27"/>
      <c r="N1586" s="27"/>
      <c r="O1586" s="27"/>
      <c r="P1586" s="27"/>
    </row>
    <row r="1587" spans="1:16" s="28" customFormat="1" ht="34.5" customHeight="1" thickBot="1">
      <c r="A1587" s="37" t="s">
        <v>673</v>
      </c>
      <c r="B1587" s="36" t="s">
        <v>1</v>
      </c>
      <c r="C1587" s="34" t="s">
        <v>674</v>
      </c>
      <c r="D1587" s="32" t="s">
        <v>2</v>
      </c>
      <c r="J1587" s="27"/>
      <c r="K1587" s="27"/>
      <c r="L1587" s="27"/>
      <c r="M1587" s="27"/>
      <c r="N1587" s="27"/>
      <c r="O1587" s="27"/>
      <c r="P1587" s="27"/>
    </row>
    <row r="1588" spans="1:16" s="28" customFormat="1" ht="34.5" customHeight="1" thickBot="1">
      <c r="A1588" s="140">
        <v>187</v>
      </c>
      <c r="B1588" s="141"/>
      <c r="C1588" s="142" t="s">
        <v>3</v>
      </c>
      <c r="D1588" s="143"/>
      <c r="J1588" s="27"/>
      <c r="K1588" s="27"/>
      <c r="L1588" s="27"/>
      <c r="M1588" s="27"/>
      <c r="N1588" s="27"/>
      <c r="O1588" s="27"/>
      <c r="P1588" s="27"/>
    </row>
    <row r="1589" spans="1:16" s="28" customFormat="1" ht="34.5" customHeight="1" thickBot="1">
      <c r="A1589" s="140">
        <v>187</v>
      </c>
      <c r="B1589" s="141"/>
      <c r="C1589" s="144" t="s">
        <v>4</v>
      </c>
      <c r="D1589" s="145"/>
      <c r="J1589" s="27"/>
      <c r="K1589" s="27"/>
      <c r="L1589" s="27"/>
      <c r="M1589" s="27"/>
      <c r="N1589" s="27"/>
      <c r="O1589" s="27"/>
      <c r="P1589" s="27"/>
    </row>
    <row r="1590" spans="1:16" s="28" customFormat="1" ht="34.5" customHeight="1" thickBot="1">
      <c r="A1590" s="146">
        <f>A1589-A1588</f>
        <v>0</v>
      </c>
      <c r="B1590" s="147"/>
      <c r="C1590" s="148"/>
      <c r="D1590" s="35" t="s">
        <v>5</v>
      </c>
      <c r="J1590" s="27"/>
      <c r="K1590" s="27"/>
      <c r="L1590" s="27"/>
      <c r="M1590" s="27"/>
      <c r="N1590" s="27"/>
      <c r="O1590" s="27"/>
      <c r="P1590" s="27"/>
    </row>
    <row r="1591" spans="1:16" s="28" customFormat="1" ht="34.5" customHeight="1" thickBot="1">
      <c r="A1591" s="149">
        <v>23</v>
      </c>
      <c r="B1591" s="150"/>
      <c r="C1591" s="151"/>
      <c r="D1591" s="35" t="s">
        <v>6</v>
      </c>
      <c r="J1591" s="27"/>
      <c r="K1591" s="27"/>
      <c r="L1591" s="27"/>
      <c r="M1591" s="27"/>
      <c r="N1591" s="27"/>
      <c r="O1591" s="27"/>
      <c r="P1591" s="27"/>
    </row>
    <row r="1592" spans="1:16" s="28" customFormat="1" ht="34.5" customHeight="1" thickBot="1">
      <c r="A1592" s="144">
        <f>A1591*A1590</f>
        <v>0</v>
      </c>
      <c r="B1592" s="152"/>
      <c r="C1592" s="145"/>
      <c r="D1592" s="35" t="s">
        <v>7</v>
      </c>
      <c r="J1592" s="27"/>
      <c r="K1592" s="27"/>
      <c r="L1592" s="27"/>
      <c r="M1592" s="27"/>
      <c r="N1592" s="27"/>
      <c r="O1592" s="27"/>
      <c r="P1592" s="27"/>
    </row>
    <row r="1593" spans="1:16" s="28" customFormat="1" ht="34.5" customHeight="1" thickBot="1">
      <c r="A1593" s="144">
        <v>0</v>
      </c>
      <c r="B1593" s="152"/>
      <c r="C1593" s="145"/>
      <c r="D1593" s="35" t="s">
        <v>437</v>
      </c>
      <c r="J1593" s="27"/>
      <c r="K1593" s="27"/>
      <c r="L1593" s="27"/>
      <c r="M1593" s="27"/>
      <c r="N1593" s="27"/>
      <c r="O1593" s="27"/>
      <c r="P1593" s="27"/>
    </row>
    <row r="1594" spans="1:16" s="28" customFormat="1" ht="34.5" customHeight="1" thickBot="1">
      <c r="A1594" s="34">
        <v>0</v>
      </c>
      <c r="B1594" s="32" t="s">
        <v>8</v>
      </c>
      <c r="C1594" s="33">
        <v>440</v>
      </c>
      <c r="D1594" s="32" t="s">
        <v>9</v>
      </c>
      <c r="J1594" s="27"/>
      <c r="K1594" s="27"/>
      <c r="L1594" s="27"/>
      <c r="M1594" s="27"/>
      <c r="N1594" s="27"/>
      <c r="O1594" s="27"/>
      <c r="P1594" s="27"/>
    </row>
    <row r="1595" spans="1:16" s="28" customFormat="1" ht="34.5" customHeight="1" thickBot="1">
      <c r="A1595" s="153" t="s">
        <v>436</v>
      </c>
      <c r="B1595" s="154"/>
      <c r="C1595" s="154"/>
      <c r="D1595" s="155"/>
      <c r="J1595" s="27"/>
      <c r="K1595" s="27"/>
      <c r="L1595" s="27"/>
      <c r="M1595" s="27"/>
      <c r="N1595" s="27"/>
      <c r="O1595" s="27"/>
      <c r="P1595" s="27"/>
    </row>
    <row r="1596" spans="1:16" s="28" customFormat="1" ht="34.5" customHeight="1" thickBot="1">
      <c r="A1596" s="156" t="s">
        <v>435</v>
      </c>
      <c r="B1596" s="157"/>
      <c r="C1596" s="157"/>
      <c r="D1596" s="158"/>
      <c r="J1596" s="27"/>
      <c r="K1596" s="27"/>
      <c r="L1596" s="27"/>
      <c r="M1596" s="27"/>
      <c r="N1596" s="27"/>
      <c r="O1596" s="27"/>
      <c r="P1596" s="27"/>
    </row>
    <row r="1597" spans="1:16" s="28" customFormat="1" ht="34.5" customHeight="1" thickBot="1">
      <c r="A1597" s="40"/>
      <c r="B1597" s="39"/>
      <c r="C1597" s="39"/>
      <c r="D1597" s="38"/>
      <c r="J1597" s="27"/>
      <c r="K1597" s="27"/>
      <c r="L1597" s="27"/>
      <c r="M1597" s="27"/>
      <c r="N1597" s="27"/>
      <c r="O1597" s="27"/>
      <c r="P1597" s="27"/>
    </row>
    <row r="1598" spans="1:16" s="28" customFormat="1" ht="34.5" customHeight="1">
      <c r="A1598" s="159" t="s">
        <v>442</v>
      </c>
      <c r="B1598" s="160" t="s">
        <v>441</v>
      </c>
      <c r="C1598" s="160"/>
      <c r="D1598" s="161"/>
      <c r="J1598" s="27"/>
      <c r="K1598" s="27"/>
      <c r="L1598" s="27"/>
      <c r="M1598" s="27"/>
      <c r="N1598" s="27"/>
      <c r="O1598" s="27"/>
      <c r="P1598" s="27"/>
    </row>
    <row r="1599" spans="1:16" s="28" customFormat="1" ht="34.5" customHeight="1" thickBot="1">
      <c r="A1599" s="162"/>
      <c r="B1599" s="163"/>
      <c r="C1599" s="163"/>
      <c r="D1599" s="164"/>
      <c r="J1599" s="27"/>
      <c r="K1599" s="27"/>
      <c r="L1599" s="27"/>
      <c r="M1599" s="27"/>
      <c r="N1599" s="27"/>
      <c r="O1599" s="27"/>
      <c r="P1599" s="27"/>
    </row>
    <row r="1600" spans="1:16" s="28" customFormat="1" ht="34.5" customHeight="1" thickBot="1">
      <c r="A1600" s="142" t="s">
        <v>11</v>
      </c>
      <c r="B1600" s="143"/>
      <c r="C1600" s="165" t="s">
        <v>591</v>
      </c>
      <c r="D1600" s="143"/>
      <c r="J1600" s="27"/>
      <c r="K1600" s="27"/>
      <c r="L1600" s="27"/>
      <c r="M1600" s="27"/>
      <c r="N1600" s="27"/>
      <c r="O1600" s="27"/>
      <c r="P1600" s="27"/>
    </row>
    <row r="1601" spans="1:16" s="28" customFormat="1" ht="34.5" customHeight="1" thickBot="1">
      <c r="A1601" s="137" t="s">
        <v>460</v>
      </c>
      <c r="B1601" s="138"/>
      <c r="C1601" s="138"/>
      <c r="D1601" s="139"/>
      <c r="J1601" s="27"/>
      <c r="K1601" s="27"/>
      <c r="L1601" s="27"/>
      <c r="M1601" s="27"/>
      <c r="N1601" s="27"/>
      <c r="O1601" s="27"/>
      <c r="P1601" s="27"/>
    </row>
    <row r="1602" spans="1:16" s="28" customFormat="1" ht="34.5" customHeight="1" thickBot="1">
      <c r="A1602" s="34" t="s">
        <v>458</v>
      </c>
      <c r="B1602" s="32" t="s">
        <v>438</v>
      </c>
      <c r="C1602" s="34">
        <v>55</v>
      </c>
      <c r="D1602" s="32" t="s">
        <v>0</v>
      </c>
      <c r="J1602" s="27"/>
      <c r="K1602" s="27"/>
      <c r="L1602" s="27"/>
      <c r="M1602" s="27"/>
      <c r="N1602" s="27"/>
      <c r="O1602" s="27"/>
      <c r="P1602" s="27"/>
    </row>
    <row r="1603" spans="1:16" s="28" customFormat="1" ht="34.5" customHeight="1" thickBot="1">
      <c r="A1603" s="37" t="s">
        <v>673</v>
      </c>
      <c r="B1603" s="36" t="s">
        <v>1</v>
      </c>
      <c r="C1603" s="34" t="s">
        <v>674</v>
      </c>
      <c r="D1603" s="32" t="s">
        <v>2</v>
      </c>
      <c r="J1603" s="27"/>
      <c r="K1603" s="27"/>
      <c r="L1603" s="27"/>
      <c r="M1603" s="27"/>
      <c r="N1603" s="27"/>
      <c r="O1603" s="27"/>
      <c r="P1603" s="27"/>
    </row>
    <row r="1604" spans="1:16" s="28" customFormat="1" ht="34.5" customHeight="1" thickBot="1">
      <c r="A1604" s="140">
        <v>168</v>
      </c>
      <c r="B1604" s="141"/>
      <c r="C1604" s="142" t="s">
        <v>3</v>
      </c>
      <c r="D1604" s="143"/>
      <c r="J1604" s="27"/>
      <c r="K1604" s="27"/>
      <c r="L1604" s="27"/>
      <c r="M1604" s="27"/>
      <c r="N1604" s="27"/>
      <c r="O1604" s="27"/>
      <c r="P1604" s="27"/>
    </row>
    <row r="1605" spans="1:16" s="28" customFormat="1" ht="34.5" customHeight="1" thickBot="1">
      <c r="A1605" s="140">
        <v>187</v>
      </c>
      <c r="B1605" s="141"/>
      <c r="C1605" s="144" t="s">
        <v>4</v>
      </c>
      <c r="D1605" s="145"/>
      <c r="J1605" s="27"/>
      <c r="K1605" s="27"/>
      <c r="L1605" s="27"/>
      <c r="M1605" s="27"/>
      <c r="N1605" s="27"/>
      <c r="O1605" s="27"/>
      <c r="P1605" s="27"/>
    </row>
    <row r="1606" spans="1:16" s="28" customFormat="1" ht="34.5" customHeight="1" thickBot="1">
      <c r="A1606" s="146">
        <f>A1605-A1604</f>
        <v>19</v>
      </c>
      <c r="B1606" s="147"/>
      <c r="C1606" s="148"/>
      <c r="D1606" s="35" t="s">
        <v>5</v>
      </c>
      <c r="J1606" s="27"/>
      <c r="K1606" s="27"/>
      <c r="L1606" s="27"/>
      <c r="M1606" s="27"/>
      <c r="N1606" s="27"/>
      <c r="O1606" s="27"/>
      <c r="P1606" s="27"/>
    </row>
    <row r="1607" spans="1:16" s="28" customFormat="1" ht="34.5" customHeight="1" thickBot="1">
      <c r="A1607" s="149">
        <v>23</v>
      </c>
      <c r="B1607" s="150"/>
      <c r="C1607" s="151"/>
      <c r="D1607" s="35" t="s">
        <v>6</v>
      </c>
      <c r="J1607" s="27"/>
      <c r="K1607" s="27"/>
      <c r="L1607" s="27"/>
      <c r="M1607" s="27"/>
      <c r="N1607" s="27"/>
      <c r="O1607" s="27"/>
      <c r="P1607" s="27"/>
    </row>
    <row r="1608" spans="1:16" s="28" customFormat="1" ht="34.5" customHeight="1" thickBot="1">
      <c r="A1608" s="144">
        <f>A1607*A1606</f>
        <v>437</v>
      </c>
      <c r="B1608" s="152"/>
      <c r="C1608" s="145"/>
      <c r="D1608" s="35" t="s">
        <v>7</v>
      </c>
      <c r="J1608" s="27"/>
      <c r="K1608" s="27"/>
      <c r="L1608" s="27"/>
      <c r="M1608" s="27"/>
      <c r="N1608" s="27"/>
      <c r="O1608" s="27"/>
      <c r="P1608" s="27"/>
    </row>
    <row r="1609" spans="1:16" s="28" customFormat="1" ht="34.5" customHeight="1" thickBot="1">
      <c r="A1609" s="144">
        <v>0</v>
      </c>
      <c r="B1609" s="152"/>
      <c r="C1609" s="145"/>
      <c r="D1609" s="35" t="s">
        <v>437</v>
      </c>
      <c r="J1609" s="27"/>
      <c r="K1609" s="27"/>
      <c r="L1609" s="27"/>
      <c r="M1609" s="27"/>
      <c r="N1609" s="27"/>
      <c r="O1609" s="27"/>
      <c r="P1609" s="27"/>
    </row>
    <row r="1610" spans="1:16" s="28" customFormat="1" ht="34.5" customHeight="1" thickBot="1">
      <c r="A1610" s="34">
        <v>0</v>
      </c>
      <c r="B1610" s="32" t="s">
        <v>8</v>
      </c>
      <c r="C1610" s="33">
        <v>440</v>
      </c>
      <c r="D1610" s="32" t="s">
        <v>9</v>
      </c>
      <c r="J1610" s="27"/>
      <c r="K1610" s="27"/>
      <c r="L1610" s="27"/>
      <c r="M1610" s="27"/>
      <c r="N1610" s="27"/>
      <c r="O1610" s="27"/>
      <c r="P1610" s="27"/>
    </row>
    <row r="1611" spans="1:16" s="28" customFormat="1" ht="34.5" customHeight="1" thickBot="1">
      <c r="A1611" s="153" t="s">
        <v>436</v>
      </c>
      <c r="B1611" s="154"/>
      <c r="C1611" s="154"/>
      <c r="D1611" s="155"/>
      <c r="J1611" s="27"/>
      <c r="K1611" s="27"/>
      <c r="L1611" s="27"/>
      <c r="M1611" s="27"/>
      <c r="N1611" s="27"/>
      <c r="O1611" s="27"/>
      <c r="P1611" s="27"/>
    </row>
    <row r="1612" spans="1:16" s="28" customFormat="1" ht="34.5" customHeight="1" thickBot="1">
      <c r="A1612" s="156" t="s">
        <v>435</v>
      </c>
      <c r="B1612" s="157"/>
      <c r="C1612" s="157"/>
      <c r="D1612" s="158"/>
      <c r="J1612" s="27"/>
      <c r="K1612" s="27"/>
      <c r="L1612" s="27"/>
      <c r="M1612" s="27"/>
      <c r="N1612" s="27"/>
      <c r="O1612" s="27"/>
      <c r="P1612" s="27"/>
    </row>
    <row r="1613" spans="1:16" s="28" customFormat="1" ht="34.5" customHeight="1">
      <c r="A1613" s="159" t="s">
        <v>442</v>
      </c>
      <c r="B1613" s="160" t="s">
        <v>441</v>
      </c>
      <c r="C1613" s="160"/>
      <c r="D1613" s="161"/>
      <c r="J1613" s="27"/>
      <c r="K1613" s="27"/>
      <c r="L1613" s="27"/>
      <c r="M1613" s="27"/>
      <c r="N1613" s="27"/>
      <c r="O1613" s="27"/>
      <c r="P1613" s="27"/>
    </row>
    <row r="1614" spans="1:16" s="28" customFormat="1" ht="34.5" customHeight="1" thickBot="1">
      <c r="A1614" s="162"/>
      <c r="B1614" s="163"/>
      <c r="C1614" s="163"/>
      <c r="D1614" s="164"/>
      <c r="J1614" s="27"/>
      <c r="K1614" s="27"/>
      <c r="L1614" s="27"/>
      <c r="M1614" s="27"/>
      <c r="N1614" s="27"/>
      <c r="O1614" s="27"/>
      <c r="P1614" s="27"/>
    </row>
    <row r="1615" spans="1:16" s="28" customFormat="1" ht="34.5" customHeight="1" thickBot="1">
      <c r="A1615" s="142" t="s">
        <v>11</v>
      </c>
      <c r="B1615" s="143"/>
      <c r="C1615" s="165" t="s">
        <v>591</v>
      </c>
      <c r="D1615" s="143"/>
      <c r="J1615" s="27"/>
      <c r="K1615" s="27"/>
      <c r="L1615" s="27"/>
      <c r="M1615" s="27"/>
      <c r="N1615" s="27"/>
      <c r="O1615" s="27"/>
      <c r="P1615" s="27"/>
    </row>
    <row r="1616" spans="1:16" s="28" customFormat="1" ht="34.5" customHeight="1" thickBot="1">
      <c r="A1616" s="137" t="s">
        <v>307</v>
      </c>
      <c r="B1616" s="138"/>
      <c r="C1616" s="138"/>
      <c r="D1616" s="139"/>
      <c r="J1616" s="27"/>
      <c r="K1616" s="27"/>
      <c r="L1616" s="27"/>
      <c r="M1616" s="27"/>
      <c r="N1616" s="27"/>
      <c r="O1616" s="27"/>
      <c r="P1616" s="27"/>
    </row>
    <row r="1617" spans="1:16" s="28" customFormat="1" ht="34.5" customHeight="1" thickBot="1">
      <c r="A1617" s="34" t="s">
        <v>458</v>
      </c>
      <c r="B1617" s="32" t="s">
        <v>438</v>
      </c>
      <c r="C1617" s="34">
        <v>57</v>
      </c>
      <c r="D1617" s="32" t="s">
        <v>0</v>
      </c>
      <c r="J1617" s="27"/>
      <c r="K1617" s="27"/>
      <c r="L1617" s="27"/>
      <c r="M1617" s="27"/>
      <c r="N1617" s="27"/>
      <c r="O1617" s="27"/>
      <c r="P1617" s="27"/>
    </row>
    <row r="1618" spans="1:16" s="28" customFormat="1" ht="34.5" customHeight="1" thickBot="1">
      <c r="A1618" s="37" t="s">
        <v>673</v>
      </c>
      <c r="B1618" s="36" t="s">
        <v>1</v>
      </c>
      <c r="C1618" s="34" t="s">
        <v>674</v>
      </c>
      <c r="D1618" s="32" t="s">
        <v>2</v>
      </c>
      <c r="J1618" s="27"/>
      <c r="K1618" s="27"/>
      <c r="L1618" s="27"/>
      <c r="M1618" s="27"/>
      <c r="N1618" s="27"/>
      <c r="O1618" s="27"/>
      <c r="P1618" s="27"/>
    </row>
    <row r="1619" spans="1:16" s="28" customFormat="1" ht="34.5" customHeight="1" thickBot="1">
      <c r="A1619" s="140">
        <v>131</v>
      </c>
      <c r="B1619" s="141"/>
      <c r="C1619" s="142" t="s">
        <v>3</v>
      </c>
      <c r="D1619" s="143"/>
      <c r="J1619" s="27"/>
      <c r="K1619" s="27"/>
      <c r="L1619" s="27"/>
      <c r="M1619" s="27"/>
      <c r="N1619" s="27"/>
      <c r="O1619" s="27"/>
      <c r="P1619" s="27"/>
    </row>
    <row r="1620" spans="1:16" s="28" customFormat="1" ht="34.5" customHeight="1" thickBot="1">
      <c r="A1620" s="140">
        <v>131</v>
      </c>
      <c r="B1620" s="141"/>
      <c r="C1620" s="144" t="s">
        <v>4</v>
      </c>
      <c r="D1620" s="145"/>
      <c r="J1620" s="27"/>
      <c r="K1620" s="27"/>
      <c r="L1620" s="27"/>
      <c r="M1620" s="27"/>
      <c r="N1620" s="27"/>
      <c r="O1620" s="27"/>
      <c r="P1620" s="27"/>
    </row>
    <row r="1621" spans="1:16" s="28" customFormat="1" ht="34.5" customHeight="1" thickBot="1">
      <c r="A1621" s="146">
        <f>A1620-A1619</f>
        <v>0</v>
      </c>
      <c r="B1621" s="147"/>
      <c r="C1621" s="148"/>
      <c r="D1621" s="35" t="s">
        <v>5</v>
      </c>
      <c r="J1621" s="27"/>
      <c r="K1621" s="27"/>
      <c r="L1621" s="27"/>
      <c r="M1621" s="27"/>
      <c r="N1621" s="27"/>
      <c r="O1621" s="27"/>
      <c r="P1621" s="27"/>
    </row>
    <row r="1622" spans="1:16" s="28" customFormat="1" ht="34.5" customHeight="1" thickBot="1">
      <c r="A1622" s="149">
        <v>23</v>
      </c>
      <c r="B1622" s="150"/>
      <c r="C1622" s="151"/>
      <c r="D1622" s="35" t="s">
        <v>6</v>
      </c>
      <c r="J1622" s="27"/>
      <c r="K1622" s="27"/>
      <c r="L1622" s="27"/>
      <c r="M1622" s="27"/>
      <c r="N1622" s="27"/>
      <c r="O1622" s="27"/>
      <c r="P1622" s="27"/>
    </row>
    <row r="1623" spans="1:16" s="28" customFormat="1" ht="34.5" customHeight="1" thickBot="1">
      <c r="A1623" s="144">
        <f>A1622*A1621</f>
        <v>0</v>
      </c>
      <c r="B1623" s="152"/>
      <c r="C1623" s="145"/>
      <c r="D1623" s="35" t="s">
        <v>7</v>
      </c>
      <c r="J1623" s="27"/>
      <c r="K1623" s="27"/>
      <c r="L1623" s="27"/>
      <c r="M1623" s="27"/>
      <c r="N1623" s="27"/>
      <c r="O1623" s="27"/>
      <c r="P1623" s="27"/>
    </row>
    <row r="1624" spans="1:16" s="28" customFormat="1" ht="34.5" customHeight="1" thickBot="1">
      <c r="A1624" s="144">
        <v>0</v>
      </c>
      <c r="B1624" s="152"/>
      <c r="C1624" s="145"/>
      <c r="D1624" s="35" t="s">
        <v>437</v>
      </c>
      <c r="J1624" s="27"/>
      <c r="K1624" s="27"/>
      <c r="L1624" s="27"/>
      <c r="M1624" s="27"/>
      <c r="N1624" s="27"/>
      <c r="O1624" s="27"/>
      <c r="P1624" s="27"/>
    </row>
    <row r="1625" spans="1:16" s="28" customFormat="1" ht="34.5" customHeight="1" thickBot="1">
      <c r="A1625" s="34">
        <v>0</v>
      </c>
      <c r="B1625" s="32" t="s">
        <v>8</v>
      </c>
      <c r="C1625" s="33">
        <v>350</v>
      </c>
      <c r="D1625" s="32" t="s">
        <v>9</v>
      </c>
      <c r="J1625" s="27"/>
      <c r="K1625" s="27"/>
      <c r="L1625" s="27"/>
      <c r="M1625" s="27"/>
      <c r="N1625" s="27"/>
      <c r="O1625" s="27"/>
      <c r="P1625" s="27"/>
    </row>
    <row r="1626" spans="1:16" s="28" customFormat="1" ht="34.5" customHeight="1" thickBot="1">
      <c r="A1626" s="153" t="s">
        <v>436</v>
      </c>
      <c r="B1626" s="154"/>
      <c r="C1626" s="154"/>
      <c r="D1626" s="155"/>
      <c r="J1626" s="27"/>
      <c r="K1626" s="27"/>
      <c r="L1626" s="27"/>
      <c r="M1626" s="27"/>
      <c r="N1626" s="27"/>
      <c r="O1626" s="27"/>
      <c r="P1626" s="27"/>
    </row>
    <row r="1627" spans="1:16" s="28" customFormat="1" ht="34.5" customHeight="1" thickBot="1">
      <c r="A1627" s="156" t="s">
        <v>435</v>
      </c>
      <c r="B1627" s="157"/>
      <c r="C1627" s="157"/>
      <c r="D1627" s="158"/>
      <c r="J1627" s="27"/>
      <c r="K1627" s="27"/>
      <c r="L1627" s="27"/>
      <c r="M1627" s="27"/>
      <c r="N1627" s="27"/>
      <c r="O1627" s="27"/>
      <c r="P1627" s="27"/>
    </row>
    <row r="1628" spans="1:16" s="28" customFormat="1" ht="34.5" customHeight="1" thickBot="1">
      <c r="A1628" s="40"/>
      <c r="B1628" s="39"/>
      <c r="C1628" s="39"/>
      <c r="D1628" s="38"/>
      <c r="J1628" s="27"/>
      <c r="K1628" s="27"/>
      <c r="L1628" s="27"/>
      <c r="M1628" s="27"/>
      <c r="N1628" s="27"/>
      <c r="O1628" s="27"/>
      <c r="P1628" s="27"/>
    </row>
    <row r="1629" spans="1:16" s="28" customFormat="1" ht="34.5" customHeight="1">
      <c r="A1629" s="159" t="s">
        <v>442</v>
      </c>
      <c r="B1629" s="160" t="s">
        <v>441</v>
      </c>
      <c r="C1629" s="160"/>
      <c r="D1629" s="161"/>
      <c r="J1629" s="27"/>
      <c r="K1629" s="27"/>
      <c r="L1629" s="27"/>
      <c r="M1629" s="27"/>
      <c r="N1629" s="27"/>
      <c r="O1629" s="27"/>
      <c r="P1629" s="27"/>
    </row>
    <row r="1630" spans="1:16" s="28" customFormat="1" ht="34.5" customHeight="1" thickBot="1">
      <c r="A1630" s="162"/>
      <c r="B1630" s="163"/>
      <c r="C1630" s="163"/>
      <c r="D1630" s="164"/>
      <c r="J1630" s="27"/>
      <c r="K1630" s="27"/>
      <c r="L1630" s="27"/>
      <c r="M1630" s="27"/>
      <c r="N1630" s="27"/>
      <c r="O1630" s="27"/>
      <c r="P1630" s="27"/>
    </row>
    <row r="1631" spans="1:16" s="28" customFormat="1" ht="34.5" customHeight="1" thickBot="1">
      <c r="A1631" s="142" t="s">
        <v>11</v>
      </c>
      <c r="B1631" s="143"/>
      <c r="C1631" s="165" t="s">
        <v>591</v>
      </c>
      <c r="D1631" s="143"/>
      <c r="J1631" s="27"/>
      <c r="K1631" s="27"/>
      <c r="L1631" s="27"/>
      <c r="M1631" s="27"/>
      <c r="N1631" s="27"/>
      <c r="O1631" s="27"/>
      <c r="P1631" s="27"/>
    </row>
    <row r="1632" spans="1:16" s="28" customFormat="1" ht="34.5" customHeight="1" thickBot="1">
      <c r="A1632" s="137" t="s">
        <v>307</v>
      </c>
      <c r="B1632" s="138"/>
      <c r="C1632" s="138"/>
      <c r="D1632" s="139"/>
      <c r="J1632" s="27"/>
      <c r="K1632" s="27"/>
      <c r="L1632" s="27"/>
      <c r="M1632" s="27"/>
      <c r="N1632" s="27"/>
      <c r="O1632" s="27"/>
      <c r="P1632" s="27"/>
    </row>
    <row r="1633" spans="1:16" s="28" customFormat="1" ht="34.5" customHeight="1" thickBot="1">
      <c r="A1633" s="34" t="s">
        <v>458</v>
      </c>
      <c r="B1633" s="32" t="s">
        <v>438</v>
      </c>
      <c r="C1633" s="34">
        <v>57</v>
      </c>
      <c r="D1633" s="32" t="s">
        <v>0</v>
      </c>
      <c r="J1633" s="27"/>
      <c r="K1633" s="27"/>
      <c r="L1633" s="27"/>
      <c r="M1633" s="27"/>
      <c r="N1633" s="27"/>
      <c r="O1633" s="27"/>
      <c r="P1633" s="27"/>
    </row>
    <row r="1634" spans="1:16" s="28" customFormat="1" ht="34.5" customHeight="1" thickBot="1">
      <c r="A1634" s="37" t="s">
        <v>673</v>
      </c>
      <c r="B1634" s="36" t="s">
        <v>1</v>
      </c>
      <c r="C1634" s="34" t="s">
        <v>674</v>
      </c>
      <c r="D1634" s="32" t="s">
        <v>2</v>
      </c>
      <c r="J1634" s="27"/>
      <c r="K1634" s="27"/>
      <c r="L1634" s="27"/>
      <c r="M1634" s="27"/>
      <c r="N1634" s="27"/>
      <c r="O1634" s="27"/>
      <c r="P1634" s="27"/>
    </row>
    <row r="1635" spans="1:16" s="28" customFormat="1" ht="34.5" customHeight="1" thickBot="1">
      <c r="A1635" s="140">
        <v>116</v>
      </c>
      <c r="B1635" s="141"/>
      <c r="C1635" s="142" t="s">
        <v>3</v>
      </c>
      <c r="D1635" s="143"/>
      <c r="J1635" s="27"/>
      <c r="K1635" s="27"/>
      <c r="L1635" s="27"/>
      <c r="M1635" s="27"/>
      <c r="N1635" s="27"/>
      <c r="O1635" s="27"/>
      <c r="P1635" s="27"/>
    </row>
    <row r="1636" spans="1:16" s="28" customFormat="1" ht="34.5" customHeight="1" thickBot="1">
      <c r="A1636" s="140">
        <v>131</v>
      </c>
      <c r="B1636" s="141"/>
      <c r="C1636" s="144" t="s">
        <v>4</v>
      </c>
      <c r="D1636" s="145"/>
      <c r="J1636" s="27"/>
      <c r="K1636" s="27"/>
      <c r="L1636" s="27"/>
      <c r="M1636" s="27"/>
      <c r="N1636" s="27"/>
      <c r="O1636" s="27"/>
      <c r="P1636" s="27"/>
    </row>
    <row r="1637" spans="1:16" s="28" customFormat="1" ht="34.5" customHeight="1" thickBot="1">
      <c r="A1637" s="146">
        <f>A1636-A1635</f>
        <v>15</v>
      </c>
      <c r="B1637" s="147"/>
      <c r="C1637" s="148"/>
      <c r="D1637" s="35" t="s">
        <v>5</v>
      </c>
      <c r="J1637" s="27"/>
      <c r="K1637" s="27"/>
      <c r="L1637" s="27"/>
      <c r="M1637" s="27"/>
      <c r="N1637" s="27"/>
      <c r="O1637" s="27"/>
      <c r="P1637" s="27"/>
    </row>
    <row r="1638" spans="1:16" s="28" customFormat="1" ht="34.5" customHeight="1" thickBot="1">
      <c r="A1638" s="149">
        <v>23</v>
      </c>
      <c r="B1638" s="150"/>
      <c r="C1638" s="151"/>
      <c r="D1638" s="35" t="s">
        <v>6</v>
      </c>
      <c r="J1638" s="27"/>
      <c r="K1638" s="27"/>
      <c r="L1638" s="27"/>
      <c r="M1638" s="27"/>
      <c r="N1638" s="27"/>
      <c r="O1638" s="27"/>
      <c r="P1638" s="27"/>
    </row>
    <row r="1639" spans="1:16" s="28" customFormat="1" ht="34.5" customHeight="1" thickBot="1">
      <c r="A1639" s="144">
        <f>A1638*A1637</f>
        <v>345</v>
      </c>
      <c r="B1639" s="152"/>
      <c r="C1639" s="145"/>
      <c r="D1639" s="35" t="s">
        <v>7</v>
      </c>
      <c r="J1639" s="27"/>
      <c r="K1639" s="27"/>
      <c r="L1639" s="27"/>
      <c r="M1639" s="27"/>
      <c r="N1639" s="27"/>
      <c r="O1639" s="27"/>
      <c r="P1639" s="27"/>
    </row>
    <row r="1640" spans="1:16" s="28" customFormat="1" ht="34.5" customHeight="1" thickBot="1">
      <c r="A1640" s="144">
        <v>0</v>
      </c>
      <c r="B1640" s="152"/>
      <c r="C1640" s="145"/>
      <c r="D1640" s="35" t="s">
        <v>437</v>
      </c>
      <c r="J1640" s="27"/>
      <c r="K1640" s="27"/>
      <c r="L1640" s="27"/>
      <c r="M1640" s="27"/>
      <c r="N1640" s="27"/>
      <c r="O1640" s="27"/>
      <c r="P1640" s="27"/>
    </row>
    <row r="1641" spans="1:16" s="28" customFormat="1" ht="34.5" customHeight="1" thickBot="1">
      <c r="A1641" s="34">
        <v>0</v>
      </c>
      <c r="B1641" s="32" t="s">
        <v>8</v>
      </c>
      <c r="C1641" s="33">
        <v>350</v>
      </c>
      <c r="D1641" s="32" t="s">
        <v>9</v>
      </c>
      <c r="J1641" s="27"/>
      <c r="K1641" s="27"/>
      <c r="L1641" s="27"/>
      <c r="M1641" s="27"/>
      <c r="N1641" s="27"/>
      <c r="O1641" s="27"/>
      <c r="P1641" s="27"/>
    </row>
    <row r="1642" spans="1:16" s="28" customFormat="1" ht="34.5" customHeight="1" thickBot="1">
      <c r="A1642" s="153" t="s">
        <v>436</v>
      </c>
      <c r="B1642" s="154"/>
      <c r="C1642" s="154"/>
      <c r="D1642" s="155"/>
      <c r="J1642" s="27"/>
      <c r="K1642" s="27"/>
      <c r="L1642" s="27"/>
      <c r="M1642" s="27"/>
      <c r="N1642" s="27"/>
      <c r="O1642" s="27"/>
      <c r="P1642" s="27"/>
    </row>
    <row r="1643" spans="1:16" s="28" customFormat="1" ht="34.5" customHeight="1" thickBot="1">
      <c r="A1643" s="156" t="s">
        <v>435</v>
      </c>
      <c r="B1643" s="157"/>
      <c r="C1643" s="157"/>
      <c r="D1643" s="158"/>
      <c r="J1643" s="27"/>
      <c r="K1643" s="27"/>
      <c r="L1643" s="27"/>
      <c r="M1643" s="27"/>
      <c r="N1643" s="27"/>
      <c r="O1643" s="27"/>
      <c r="P1643" s="27"/>
    </row>
    <row r="1644" spans="1:16" s="28" customFormat="1" ht="34.5" customHeight="1">
      <c r="A1644" s="159" t="s">
        <v>442</v>
      </c>
      <c r="B1644" s="160" t="s">
        <v>441</v>
      </c>
      <c r="C1644" s="160"/>
      <c r="D1644" s="161"/>
      <c r="J1644" s="27"/>
      <c r="K1644" s="27"/>
      <c r="L1644" s="27"/>
      <c r="M1644" s="27"/>
      <c r="N1644" s="27"/>
      <c r="O1644" s="27"/>
      <c r="P1644" s="27"/>
    </row>
    <row r="1645" spans="1:16" s="28" customFormat="1" ht="34.5" customHeight="1" thickBot="1">
      <c r="A1645" s="162"/>
      <c r="B1645" s="163"/>
      <c r="C1645" s="163"/>
      <c r="D1645" s="164"/>
      <c r="J1645" s="27"/>
      <c r="K1645" s="27"/>
      <c r="L1645" s="27"/>
      <c r="M1645" s="27"/>
      <c r="N1645" s="27"/>
      <c r="O1645" s="27"/>
      <c r="P1645" s="27"/>
    </row>
    <row r="1646" spans="1:16" s="28" customFormat="1" ht="34.5" customHeight="1" thickBot="1">
      <c r="A1646" s="142" t="s">
        <v>11</v>
      </c>
      <c r="B1646" s="143"/>
      <c r="C1646" s="165" t="s">
        <v>591</v>
      </c>
      <c r="D1646" s="143"/>
      <c r="J1646" s="27"/>
      <c r="K1646" s="27"/>
      <c r="L1646" s="27"/>
      <c r="M1646" s="27"/>
      <c r="N1646" s="27"/>
      <c r="O1646" s="27"/>
      <c r="P1646" s="27"/>
    </row>
    <row r="1647" spans="1:16" s="28" customFormat="1" ht="34.5" customHeight="1" thickBot="1">
      <c r="A1647" s="137" t="s">
        <v>459</v>
      </c>
      <c r="B1647" s="138"/>
      <c r="C1647" s="138"/>
      <c r="D1647" s="139"/>
      <c r="J1647" s="27"/>
      <c r="K1647" s="27"/>
      <c r="L1647" s="27"/>
      <c r="M1647" s="27"/>
      <c r="N1647" s="27"/>
      <c r="O1647" s="27"/>
      <c r="P1647" s="27"/>
    </row>
    <row r="1648" spans="1:16" s="28" customFormat="1" ht="34.5" customHeight="1" thickBot="1">
      <c r="A1648" s="34" t="s">
        <v>458</v>
      </c>
      <c r="B1648" s="32" t="s">
        <v>438</v>
      </c>
      <c r="C1648" s="34">
        <v>58</v>
      </c>
      <c r="D1648" s="32" t="s">
        <v>0</v>
      </c>
      <c r="J1648" s="27"/>
      <c r="K1648" s="27"/>
      <c r="L1648" s="27"/>
      <c r="M1648" s="27"/>
      <c r="N1648" s="27"/>
      <c r="O1648" s="27"/>
      <c r="P1648" s="27"/>
    </row>
    <row r="1649" spans="1:16" s="28" customFormat="1" ht="34.5" customHeight="1" thickBot="1">
      <c r="A1649" s="37" t="s">
        <v>673</v>
      </c>
      <c r="B1649" s="36" t="s">
        <v>1</v>
      </c>
      <c r="C1649" s="34" t="s">
        <v>674</v>
      </c>
      <c r="D1649" s="32" t="s">
        <v>2</v>
      </c>
      <c r="J1649" s="27"/>
      <c r="K1649" s="27"/>
      <c r="L1649" s="27"/>
      <c r="M1649" s="27"/>
      <c r="N1649" s="27"/>
      <c r="O1649" s="27"/>
      <c r="P1649" s="27"/>
    </row>
    <row r="1650" spans="1:16" s="28" customFormat="1" ht="34.5" customHeight="1" thickBot="1">
      <c r="A1650" s="140">
        <v>202</v>
      </c>
      <c r="B1650" s="141"/>
      <c r="C1650" s="142" t="s">
        <v>3</v>
      </c>
      <c r="D1650" s="143"/>
      <c r="J1650" s="27"/>
      <c r="K1650" s="27"/>
      <c r="L1650" s="27"/>
      <c r="M1650" s="27"/>
      <c r="N1650" s="27"/>
      <c r="O1650" s="27"/>
      <c r="P1650" s="27"/>
    </row>
    <row r="1651" spans="1:16" s="28" customFormat="1" ht="34.5" customHeight="1" thickBot="1">
      <c r="A1651" s="140">
        <v>202</v>
      </c>
      <c r="B1651" s="141"/>
      <c r="C1651" s="144" t="s">
        <v>4</v>
      </c>
      <c r="D1651" s="145"/>
      <c r="J1651" s="27"/>
      <c r="K1651" s="27"/>
      <c r="L1651" s="27"/>
      <c r="M1651" s="27"/>
      <c r="N1651" s="27"/>
      <c r="O1651" s="27"/>
      <c r="P1651" s="27"/>
    </row>
    <row r="1652" spans="1:16" s="28" customFormat="1" ht="34.5" customHeight="1" thickBot="1">
      <c r="A1652" s="146">
        <f>A1651-A1650</f>
        <v>0</v>
      </c>
      <c r="B1652" s="147"/>
      <c r="C1652" s="148"/>
      <c r="D1652" s="35" t="s">
        <v>5</v>
      </c>
      <c r="J1652" s="27"/>
      <c r="K1652" s="27"/>
      <c r="L1652" s="27"/>
      <c r="M1652" s="27"/>
      <c r="N1652" s="27"/>
      <c r="O1652" s="27"/>
      <c r="P1652" s="27"/>
    </row>
    <row r="1653" spans="1:16" s="28" customFormat="1" ht="34.5" customHeight="1" thickBot="1">
      <c r="A1653" s="149">
        <v>23</v>
      </c>
      <c r="B1653" s="150"/>
      <c r="C1653" s="151"/>
      <c r="D1653" s="35" t="s">
        <v>6</v>
      </c>
      <c r="J1653" s="27"/>
      <c r="K1653" s="27"/>
      <c r="L1653" s="27"/>
      <c r="M1653" s="27"/>
      <c r="N1653" s="27"/>
      <c r="O1653" s="27"/>
      <c r="P1653" s="27"/>
    </row>
    <row r="1654" spans="1:16" s="28" customFormat="1" ht="34.5" customHeight="1" thickBot="1">
      <c r="A1654" s="144">
        <f>A1653*A1652</f>
        <v>0</v>
      </c>
      <c r="B1654" s="152"/>
      <c r="C1654" s="145"/>
      <c r="D1654" s="35" t="s">
        <v>7</v>
      </c>
      <c r="J1654" s="27"/>
      <c r="K1654" s="27"/>
      <c r="L1654" s="27"/>
      <c r="M1654" s="27"/>
      <c r="N1654" s="27"/>
      <c r="O1654" s="27"/>
      <c r="P1654" s="27"/>
    </row>
    <row r="1655" spans="1:16" s="28" customFormat="1" ht="34.5" customHeight="1" thickBot="1">
      <c r="A1655" s="144">
        <v>0</v>
      </c>
      <c r="B1655" s="152"/>
      <c r="C1655" s="145"/>
      <c r="D1655" s="35" t="s">
        <v>437</v>
      </c>
      <c r="J1655" s="27"/>
      <c r="K1655" s="27"/>
      <c r="L1655" s="27"/>
      <c r="M1655" s="27"/>
      <c r="N1655" s="27"/>
      <c r="O1655" s="27"/>
      <c r="P1655" s="27"/>
    </row>
    <row r="1656" spans="1:16" s="28" customFormat="1" ht="34.5" customHeight="1" thickBot="1">
      <c r="A1656" s="34">
        <v>0</v>
      </c>
      <c r="B1656" s="32" t="s">
        <v>8</v>
      </c>
      <c r="C1656" s="33">
        <v>320</v>
      </c>
      <c r="D1656" s="32" t="s">
        <v>9</v>
      </c>
      <c r="J1656" s="27"/>
      <c r="K1656" s="27"/>
      <c r="L1656" s="27"/>
      <c r="M1656" s="27"/>
      <c r="N1656" s="27"/>
      <c r="O1656" s="27"/>
      <c r="P1656" s="27"/>
    </row>
    <row r="1657" spans="1:16" s="28" customFormat="1" ht="34.5" customHeight="1" thickBot="1">
      <c r="A1657" s="153" t="s">
        <v>436</v>
      </c>
      <c r="B1657" s="154"/>
      <c r="C1657" s="154"/>
      <c r="D1657" s="155"/>
      <c r="J1657" s="27"/>
      <c r="K1657" s="27"/>
      <c r="L1657" s="27"/>
      <c r="M1657" s="27"/>
      <c r="N1657" s="27"/>
      <c r="O1657" s="27"/>
      <c r="P1657" s="27"/>
    </row>
    <row r="1658" spans="1:16" s="28" customFormat="1" ht="34.5" customHeight="1" thickBot="1">
      <c r="A1658" s="156" t="s">
        <v>435</v>
      </c>
      <c r="B1658" s="157"/>
      <c r="C1658" s="157"/>
      <c r="D1658" s="158"/>
      <c r="J1658" s="27"/>
      <c r="K1658" s="27"/>
      <c r="L1658" s="27"/>
      <c r="M1658" s="27"/>
      <c r="N1658" s="27"/>
      <c r="O1658" s="27"/>
      <c r="P1658" s="27"/>
    </row>
    <row r="1659" spans="1:16" s="28" customFormat="1" ht="34.5" customHeight="1" thickBot="1">
      <c r="A1659" s="40"/>
      <c r="B1659" s="39"/>
      <c r="C1659" s="39"/>
      <c r="D1659" s="38"/>
      <c r="J1659" s="27"/>
      <c r="K1659" s="27"/>
      <c r="L1659" s="27"/>
      <c r="M1659" s="27"/>
      <c r="N1659" s="27"/>
      <c r="O1659" s="27"/>
      <c r="P1659" s="27"/>
    </row>
    <row r="1660" spans="1:16" s="28" customFormat="1" ht="34.5" customHeight="1">
      <c r="A1660" s="159" t="s">
        <v>442</v>
      </c>
      <c r="B1660" s="160" t="s">
        <v>441</v>
      </c>
      <c r="C1660" s="160"/>
      <c r="D1660" s="161"/>
      <c r="J1660" s="27"/>
      <c r="K1660" s="27"/>
      <c r="L1660" s="27"/>
      <c r="M1660" s="27"/>
      <c r="N1660" s="27"/>
      <c r="O1660" s="27"/>
      <c r="P1660" s="27"/>
    </row>
    <row r="1661" spans="1:16" s="28" customFormat="1" ht="34.5" customHeight="1" thickBot="1">
      <c r="A1661" s="162"/>
      <c r="B1661" s="163"/>
      <c r="C1661" s="163"/>
      <c r="D1661" s="164"/>
      <c r="J1661" s="27"/>
      <c r="K1661" s="27"/>
      <c r="L1661" s="27"/>
      <c r="M1661" s="27"/>
      <c r="N1661" s="27"/>
      <c r="O1661" s="27"/>
      <c r="P1661" s="27"/>
    </row>
    <row r="1662" spans="1:16" s="28" customFormat="1" ht="34.5" customHeight="1" thickBot="1">
      <c r="A1662" s="142" t="s">
        <v>11</v>
      </c>
      <c r="B1662" s="143"/>
      <c r="C1662" s="165" t="s">
        <v>591</v>
      </c>
      <c r="D1662" s="143"/>
      <c r="J1662" s="27"/>
      <c r="K1662" s="27"/>
      <c r="L1662" s="27"/>
      <c r="M1662" s="27"/>
      <c r="N1662" s="27"/>
      <c r="O1662" s="27"/>
      <c r="P1662" s="27"/>
    </row>
    <row r="1663" spans="1:16" s="28" customFormat="1" ht="34.5" customHeight="1" thickBot="1">
      <c r="A1663" s="137" t="s">
        <v>459</v>
      </c>
      <c r="B1663" s="138"/>
      <c r="C1663" s="138"/>
      <c r="D1663" s="139"/>
      <c r="J1663" s="27"/>
      <c r="K1663" s="27"/>
      <c r="L1663" s="27"/>
      <c r="M1663" s="27"/>
      <c r="N1663" s="27"/>
      <c r="O1663" s="27"/>
      <c r="P1663" s="27"/>
    </row>
    <row r="1664" spans="1:16" s="28" customFormat="1" ht="34.5" customHeight="1" thickBot="1">
      <c r="A1664" s="34" t="s">
        <v>458</v>
      </c>
      <c r="B1664" s="32" t="s">
        <v>438</v>
      </c>
      <c r="C1664" s="34">
        <v>58</v>
      </c>
      <c r="D1664" s="32" t="s">
        <v>0</v>
      </c>
      <c r="J1664" s="27"/>
      <c r="K1664" s="27"/>
      <c r="L1664" s="27"/>
      <c r="M1664" s="27"/>
      <c r="N1664" s="27"/>
      <c r="O1664" s="27"/>
      <c r="P1664" s="27"/>
    </row>
    <row r="1665" spans="1:16" s="28" customFormat="1" ht="34.5" customHeight="1" thickBot="1">
      <c r="A1665" s="37" t="s">
        <v>673</v>
      </c>
      <c r="B1665" s="36" t="s">
        <v>1</v>
      </c>
      <c r="C1665" s="34" t="s">
        <v>674</v>
      </c>
      <c r="D1665" s="32" t="s">
        <v>2</v>
      </c>
      <c r="J1665" s="27"/>
      <c r="K1665" s="27"/>
      <c r="L1665" s="27"/>
      <c r="M1665" s="27"/>
      <c r="N1665" s="27"/>
      <c r="O1665" s="27"/>
      <c r="P1665" s="27"/>
    </row>
    <row r="1666" spans="1:16" s="28" customFormat="1" ht="34.5" customHeight="1" thickBot="1">
      <c r="A1666" s="140">
        <v>188</v>
      </c>
      <c r="B1666" s="141"/>
      <c r="C1666" s="142" t="s">
        <v>3</v>
      </c>
      <c r="D1666" s="143"/>
      <c r="J1666" s="27"/>
      <c r="K1666" s="27"/>
      <c r="L1666" s="27"/>
      <c r="M1666" s="27"/>
      <c r="N1666" s="27"/>
      <c r="O1666" s="27"/>
      <c r="P1666" s="27"/>
    </row>
    <row r="1667" spans="1:16" s="28" customFormat="1" ht="34.5" customHeight="1" thickBot="1">
      <c r="A1667" s="140">
        <v>202</v>
      </c>
      <c r="B1667" s="141"/>
      <c r="C1667" s="144" t="s">
        <v>4</v>
      </c>
      <c r="D1667" s="145"/>
      <c r="J1667" s="27"/>
      <c r="K1667" s="27"/>
      <c r="L1667" s="27"/>
      <c r="M1667" s="27"/>
      <c r="N1667" s="27"/>
      <c r="O1667" s="27"/>
      <c r="P1667" s="27"/>
    </row>
    <row r="1668" spans="1:16" s="28" customFormat="1" ht="34.5" customHeight="1" thickBot="1">
      <c r="A1668" s="146">
        <f>A1667-A1666</f>
        <v>14</v>
      </c>
      <c r="B1668" s="147"/>
      <c r="C1668" s="148"/>
      <c r="D1668" s="35" t="s">
        <v>5</v>
      </c>
      <c r="J1668" s="27"/>
      <c r="K1668" s="27"/>
      <c r="L1668" s="27"/>
      <c r="M1668" s="27"/>
      <c r="N1668" s="27"/>
      <c r="O1668" s="27"/>
      <c r="P1668" s="27"/>
    </row>
    <row r="1669" spans="1:16" s="28" customFormat="1" ht="34.5" customHeight="1" thickBot="1">
      <c r="A1669" s="149">
        <v>23</v>
      </c>
      <c r="B1669" s="150"/>
      <c r="C1669" s="151"/>
      <c r="D1669" s="35" t="s">
        <v>6</v>
      </c>
      <c r="J1669" s="27"/>
      <c r="K1669" s="27"/>
      <c r="L1669" s="27"/>
      <c r="M1669" s="27"/>
      <c r="N1669" s="27"/>
      <c r="O1669" s="27"/>
      <c r="P1669" s="27"/>
    </row>
    <row r="1670" spans="1:16" s="28" customFormat="1" ht="34.5" customHeight="1" thickBot="1">
      <c r="A1670" s="144">
        <f>A1669*A1668</f>
        <v>322</v>
      </c>
      <c r="B1670" s="152"/>
      <c r="C1670" s="145"/>
      <c r="D1670" s="35" t="s">
        <v>7</v>
      </c>
      <c r="J1670" s="27"/>
      <c r="K1670" s="27"/>
      <c r="L1670" s="27"/>
      <c r="M1670" s="27"/>
      <c r="N1670" s="27"/>
      <c r="O1670" s="27"/>
      <c r="P1670" s="27"/>
    </row>
    <row r="1671" spans="1:16" s="28" customFormat="1" ht="34.5" customHeight="1" thickBot="1">
      <c r="A1671" s="144">
        <v>0</v>
      </c>
      <c r="B1671" s="152"/>
      <c r="C1671" s="145"/>
      <c r="D1671" s="35" t="s">
        <v>437</v>
      </c>
      <c r="J1671" s="27"/>
      <c r="K1671" s="27"/>
      <c r="L1671" s="27"/>
      <c r="M1671" s="27"/>
      <c r="N1671" s="27"/>
      <c r="O1671" s="27"/>
      <c r="P1671" s="27"/>
    </row>
    <row r="1672" spans="1:16" s="28" customFormat="1" ht="34.5" customHeight="1" thickBot="1">
      <c r="A1672" s="34">
        <v>0</v>
      </c>
      <c r="B1672" s="32" t="s">
        <v>8</v>
      </c>
      <c r="C1672" s="33">
        <v>320</v>
      </c>
      <c r="D1672" s="32" t="s">
        <v>9</v>
      </c>
      <c r="J1672" s="27"/>
      <c r="K1672" s="27"/>
      <c r="L1672" s="27"/>
      <c r="M1672" s="27"/>
      <c r="N1672" s="27"/>
      <c r="O1672" s="27"/>
      <c r="P1672" s="27"/>
    </row>
    <row r="1673" spans="1:16" s="28" customFormat="1" ht="34.5" customHeight="1" thickBot="1">
      <c r="A1673" s="153" t="s">
        <v>436</v>
      </c>
      <c r="B1673" s="154"/>
      <c r="C1673" s="154"/>
      <c r="D1673" s="155"/>
      <c r="J1673" s="27"/>
      <c r="K1673" s="27"/>
      <c r="L1673" s="27"/>
      <c r="M1673" s="27"/>
      <c r="N1673" s="27"/>
      <c r="O1673" s="27"/>
      <c r="P1673" s="27"/>
    </row>
    <row r="1674" spans="1:16" s="28" customFormat="1" ht="34.5" customHeight="1" thickBot="1">
      <c r="A1674" s="156" t="s">
        <v>435</v>
      </c>
      <c r="B1674" s="157"/>
      <c r="C1674" s="157"/>
      <c r="D1674" s="158"/>
      <c r="J1674" s="27"/>
      <c r="K1674" s="27"/>
      <c r="L1674" s="27"/>
      <c r="M1674" s="27"/>
      <c r="N1674" s="27"/>
      <c r="O1674" s="27"/>
      <c r="P1674" s="27"/>
    </row>
    <row r="1675" spans="1:16" s="28" customFormat="1" ht="34.5" customHeight="1">
      <c r="A1675" s="159" t="s">
        <v>442</v>
      </c>
      <c r="B1675" s="160" t="s">
        <v>441</v>
      </c>
      <c r="C1675" s="160"/>
      <c r="D1675" s="161"/>
      <c r="J1675" s="27"/>
      <c r="K1675" s="27"/>
      <c r="L1675" s="27"/>
      <c r="M1675" s="27"/>
      <c r="N1675" s="27"/>
      <c r="O1675" s="27"/>
      <c r="P1675" s="27"/>
    </row>
    <row r="1676" spans="1:16" s="28" customFormat="1" ht="34.5" customHeight="1" thickBot="1">
      <c r="A1676" s="162"/>
      <c r="B1676" s="163"/>
      <c r="C1676" s="163"/>
      <c r="D1676" s="164"/>
      <c r="J1676" s="27"/>
      <c r="K1676" s="27"/>
      <c r="L1676" s="27"/>
      <c r="M1676" s="27"/>
      <c r="N1676" s="27"/>
      <c r="O1676" s="27"/>
      <c r="P1676" s="27"/>
    </row>
    <row r="1677" spans="1:16" s="28" customFormat="1" ht="34.5" customHeight="1" thickBot="1">
      <c r="A1677" s="142" t="s">
        <v>11</v>
      </c>
      <c r="B1677" s="143"/>
      <c r="C1677" s="165" t="s">
        <v>591</v>
      </c>
      <c r="D1677" s="143"/>
      <c r="J1677" s="27"/>
      <c r="K1677" s="27"/>
      <c r="L1677" s="27"/>
      <c r="M1677" s="27"/>
      <c r="N1677" s="27"/>
      <c r="O1677" s="27"/>
      <c r="P1677" s="27"/>
    </row>
    <row r="1678" spans="1:16" s="28" customFormat="1" ht="34.5" customHeight="1" thickBot="1">
      <c r="A1678" s="137" t="s">
        <v>113</v>
      </c>
      <c r="B1678" s="138"/>
      <c r="C1678" s="138"/>
      <c r="D1678" s="139"/>
      <c r="J1678" s="27"/>
      <c r="K1678" s="27"/>
      <c r="L1678" s="27"/>
      <c r="M1678" s="27"/>
      <c r="N1678" s="27"/>
      <c r="O1678" s="27"/>
      <c r="P1678" s="27"/>
    </row>
    <row r="1679" spans="1:16" s="28" customFormat="1" ht="34.5" customHeight="1" thickBot="1">
      <c r="A1679" s="34" t="s">
        <v>458</v>
      </c>
      <c r="B1679" s="32" t="s">
        <v>438</v>
      </c>
      <c r="C1679" s="34">
        <v>59</v>
      </c>
      <c r="D1679" s="32" t="s">
        <v>0</v>
      </c>
      <c r="J1679" s="27"/>
      <c r="K1679" s="27"/>
      <c r="L1679" s="27"/>
      <c r="M1679" s="27"/>
      <c r="N1679" s="27"/>
      <c r="O1679" s="27"/>
      <c r="P1679" s="27"/>
    </row>
    <row r="1680" spans="1:16" s="28" customFormat="1" ht="34.5" customHeight="1" thickBot="1">
      <c r="A1680" s="37" t="s">
        <v>673</v>
      </c>
      <c r="B1680" s="36" t="s">
        <v>1</v>
      </c>
      <c r="C1680" s="34" t="s">
        <v>674</v>
      </c>
      <c r="D1680" s="32" t="s">
        <v>2</v>
      </c>
      <c r="J1680" s="27"/>
      <c r="K1680" s="27"/>
      <c r="L1680" s="27"/>
      <c r="M1680" s="27"/>
      <c r="N1680" s="27"/>
      <c r="O1680" s="27"/>
      <c r="P1680" s="27"/>
    </row>
    <row r="1681" spans="1:16" s="28" customFormat="1" ht="34.5" customHeight="1" thickBot="1">
      <c r="A1681" s="140">
        <v>165</v>
      </c>
      <c r="B1681" s="141"/>
      <c r="C1681" s="142" t="s">
        <v>3</v>
      </c>
      <c r="D1681" s="143"/>
      <c r="J1681" s="27"/>
      <c r="K1681" s="27"/>
      <c r="L1681" s="27"/>
      <c r="M1681" s="27"/>
      <c r="N1681" s="27"/>
      <c r="O1681" s="27"/>
      <c r="P1681" s="27"/>
    </row>
    <row r="1682" spans="1:16" s="28" customFormat="1" ht="34.5" customHeight="1" thickBot="1">
      <c r="A1682" s="140">
        <v>165</v>
      </c>
      <c r="B1682" s="141"/>
      <c r="C1682" s="144" t="s">
        <v>4</v>
      </c>
      <c r="D1682" s="145"/>
      <c r="J1682" s="27"/>
      <c r="K1682" s="27"/>
      <c r="L1682" s="27"/>
      <c r="M1682" s="27"/>
      <c r="N1682" s="27"/>
      <c r="O1682" s="27"/>
      <c r="P1682" s="27"/>
    </row>
    <row r="1683" spans="1:16" s="28" customFormat="1" ht="34.5" customHeight="1" thickBot="1">
      <c r="A1683" s="146">
        <f>A1682-A1681</f>
        <v>0</v>
      </c>
      <c r="B1683" s="147"/>
      <c r="C1683" s="148"/>
      <c r="D1683" s="35" t="s">
        <v>5</v>
      </c>
      <c r="J1683" s="27"/>
      <c r="K1683" s="27"/>
      <c r="L1683" s="27"/>
      <c r="M1683" s="27"/>
      <c r="N1683" s="27"/>
      <c r="O1683" s="27"/>
      <c r="P1683" s="27"/>
    </row>
    <row r="1684" spans="1:16" s="28" customFormat="1" ht="34.5" customHeight="1" thickBot="1">
      <c r="A1684" s="149">
        <v>23</v>
      </c>
      <c r="B1684" s="150"/>
      <c r="C1684" s="151"/>
      <c r="D1684" s="35" t="s">
        <v>6</v>
      </c>
      <c r="J1684" s="27"/>
      <c r="K1684" s="27"/>
      <c r="L1684" s="27"/>
      <c r="M1684" s="27"/>
      <c r="N1684" s="27"/>
      <c r="O1684" s="27"/>
      <c r="P1684" s="27"/>
    </row>
    <row r="1685" spans="1:16" s="28" customFormat="1" ht="34.5" customHeight="1" thickBot="1">
      <c r="A1685" s="144">
        <f>A1684*A1683</f>
        <v>0</v>
      </c>
      <c r="B1685" s="152"/>
      <c r="C1685" s="145"/>
      <c r="D1685" s="35" t="s">
        <v>7</v>
      </c>
      <c r="J1685" s="27"/>
      <c r="K1685" s="27"/>
      <c r="L1685" s="27"/>
      <c r="M1685" s="27"/>
      <c r="N1685" s="27"/>
      <c r="O1685" s="27"/>
      <c r="P1685" s="27"/>
    </row>
    <row r="1686" spans="1:16" s="28" customFormat="1" ht="34.5" customHeight="1" thickBot="1">
      <c r="A1686" s="144">
        <v>0</v>
      </c>
      <c r="B1686" s="152"/>
      <c r="C1686" s="145"/>
      <c r="D1686" s="35" t="s">
        <v>437</v>
      </c>
      <c r="J1686" s="27"/>
      <c r="K1686" s="27"/>
      <c r="L1686" s="27"/>
      <c r="M1686" s="27"/>
      <c r="N1686" s="27"/>
      <c r="O1686" s="27"/>
      <c r="P1686" s="27"/>
    </row>
    <row r="1687" spans="1:16" s="28" customFormat="1" ht="34.5" customHeight="1" thickBot="1">
      <c r="A1687" s="34">
        <v>0</v>
      </c>
      <c r="B1687" s="32" t="s">
        <v>8</v>
      </c>
      <c r="C1687" s="33">
        <v>530</v>
      </c>
      <c r="D1687" s="32" t="s">
        <v>9</v>
      </c>
      <c r="J1687" s="27"/>
      <c r="K1687" s="27"/>
      <c r="L1687" s="27"/>
      <c r="M1687" s="27"/>
      <c r="N1687" s="27"/>
      <c r="O1687" s="27"/>
      <c r="P1687" s="27"/>
    </row>
    <row r="1688" spans="1:16" s="28" customFormat="1" ht="34.5" customHeight="1" thickBot="1">
      <c r="A1688" s="153" t="s">
        <v>436</v>
      </c>
      <c r="B1688" s="154"/>
      <c r="C1688" s="154"/>
      <c r="D1688" s="155"/>
      <c r="J1688" s="27"/>
      <c r="K1688" s="27"/>
      <c r="L1688" s="27"/>
      <c r="M1688" s="27"/>
      <c r="N1688" s="27"/>
      <c r="O1688" s="27"/>
      <c r="P1688" s="27"/>
    </row>
    <row r="1689" spans="1:16" s="28" customFormat="1" ht="34.5" customHeight="1" thickBot="1">
      <c r="A1689" s="156" t="s">
        <v>435</v>
      </c>
      <c r="B1689" s="157"/>
      <c r="C1689" s="157"/>
      <c r="D1689" s="158"/>
      <c r="J1689" s="27"/>
      <c r="K1689" s="27"/>
      <c r="L1689" s="27"/>
      <c r="M1689" s="27"/>
      <c r="N1689" s="27"/>
      <c r="O1689" s="27"/>
      <c r="P1689" s="27"/>
    </row>
    <row r="1690" spans="1:16" s="28" customFormat="1" ht="34.5" customHeight="1" thickBot="1">
      <c r="A1690" s="40"/>
      <c r="B1690" s="39"/>
      <c r="C1690" s="39"/>
      <c r="D1690" s="38"/>
      <c r="J1690" s="27"/>
      <c r="K1690" s="27"/>
      <c r="L1690" s="27"/>
      <c r="M1690" s="27"/>
      <c r="N1690" s="27"/>
      <c r="O1690" s="27"/>
      <c r="P1690" s="27"/>
    </row>
    <row r="1691" spans="1:16" s="28" customFormat="1" ht="34.5" customHeight="1">
      <c r="A1691" s="159" t="s">
        <v>442</v>
      </c>
      <c r="B1691" s="160" t="s">
        <v>441</v>
      </c>
      <c r="C1691" s="160"/>
      <c r="D1691" s="161"/>
      <c r="J1691" s="27"/>
      <c r="K1691" s="27"/>
      <c r="L1691" s="27"/>
      <c r="M1691" s="27"/>
      <c r="N1691" s="27"/>
      <c r="O1691" s="27"/>
      <c r="P1691" s="27"/>
    </row>
    <row r="1692" spans="1:16" s="28" customFormat="1" ht="34.5" customHeight="1" thickBot="1">
      <c r="A1692" s="162"/>
      <c r="B1692" s="163"/>
      <c r="C1692" s="163"/>
      <c r="D1692" s="164"/>
      <c r="J1692" s="27"/>
      <c r="K1692" s="27"/>
      <c r="L1692" s="27"/>
      <c r="M1692" s="27"/>
      <c r="N1692" s="27"/>
      <c r="O1692" s="27"/>
      <c r="P1692" s="27"/>
    </row>
    <row r="1693" spans="1:16" s="28" customFormat="1" ht="34.5" customHeight="1" thickBot="1">
      <c r="A1693" s="142" t="s">
        <v>11</v>
      </c>
      <c r="B1693" s="143"/>
      <c r="C1693" s="165" t="s">
        <v>591</v>
      </c>
      <c r="D1693" s="143"/>
      <c r="J1693" s="27"/>
      <c r="K1693" s="27"/>
      <c r="L1693" s="27"/>
      <c r="M1693" s="27"/>
      <c r="N1693" s="27"/>
      <c r="O1693" s="27"/>
      <c r="P1693" s="27"/>
    </row>
    <row r="1694" spans="1:16" s="28" customFormat="1" ht="34.5" customHeight="1" thickBot="1">
      <c r="A1694" s="137" t="s">
        <v>113</v>
      </c>
      <c r="B1694" s="138"/>
      <c r="C1694" s="138"/>
      <c r="D1694" s="139"/>
      <c r="J1694" s="27"/>
      <c r="K1694" s="27"/>
      <c r="L1694" s="27"/>
      <c r="M1694" s="27"/>
      <c r="N1694" s="27"/>
      <c r="O1694" s="27"/>
      <c r="P1694" s="27"/>
    </row>
    <row r="1695" spans="1:16" s="28" customFormat="1" ht="34.5" customHeight="1" thickBot="1">
      <c r="A1695" s="34" t="s">
        <v>458</v>
      </c>
      <c r="B1695" s="32" t="s">
        <v>438</v>
      </c>
      <c r="C1695" s="34">
        <v>59</v>
      </c>
      <c r="D1695" s="32" t="s">
        <v>0</v>
      </c>
      <c r="J1695" s="27"/>
      <c r="K1695" s="27"/>
      <c r="L1695" s="27"/>
      <c r="M1695" s="27"/>
      <c r="N1695" s="27"/>
      <c r="O1695" s="27"/>
      <c r="P1695" s="27"/>
    </row>
    <row r="1696" spans="1:16" s="28" customFormat="1" ht="34.5" customHeight="1" thickBot="1">
      <c r="A1696" s="37" t="s">
        <v>673</v>
      </c>
      <c r="B1696" s="36" t="s">
        <v>1</v>
      </c>
      <c r="C1696" s="34" t="s">
        <v>674</v>
      </c>
      <c r="D1696" s="32" t="s">
        <v>2</v>
      </c>
      <c r="J1696" s="27"/>
      <c r="K1696" s="27"/>
      <c r="L1696" s="27"/>
      <c r="M1696" s="27"/>
      <c r="N1696" s="27"/>
      <c r="O1696" s="27"/>
      <c r="P1696" s="27"/>
    </row>
    <row r="1697" spans="1:16" s="28" customFormat="1" ht="34.5" customHeight="1" thickBot="1">
      <c r="A1697" s="140">
        <v>142</v>
      </c>
      <c r="B1697" s="141"/>
      <c r="C1697" s="142" t="s">
        <v>3</v>
      </c>
      <c r="D1697" s="143"/>
      <c r="J1697" s="27"/>
      <c r="K1697" s="27"/>
      <c r="L1697" s="27"/>
      <c r="M1697" s="27"/>
      <c r="N1697" s="27"/>
      <c r="O1697" s="27"/>
      <c r="P1697" s="27"/>
    </row>
    <row r="1698" spans="1:16" s="28" customFormat="1" ht="34.5" customHeight="1" thickBot="1">
      <c r="A1698" s="140">
        <v>165</v>
      </c>
      <c r="B1698" s="141"/>
      <c r="C1698" s="144" t="s">
        <v>4</v>
      </c>
      <c r="D1698" s="145"/>
      <c r="J1698" s="27"/>
      <c r="K1698" s="27"/>
      <c r="L1698" s="27"/>
      <c r="M1698" s="27"/>
      <c r="N1698" s="27"/>
      <c r="O1698" s="27"/>
      <c r="P1698" s="27"/>
    </row>
    <row r="1699" spans="1:16" s="28" customFormat="1" ht="34.5" customHeight="1" thickBot="1">
      <c r="A1699" s="146">
        <f>A1698-A1697</f>
        <v>23</v>
      </c>
      <c r="B1699" s="147"/>
      <c r="C1699" s="148"/>
      <c r="D1699" s="35" t="s">
        <v>5</v>
      </c>
      <c r="J1699" s="27"/>
      <c r="K1699" s="27"/>
      <c r="L1699" s="27"/>
      <c r="M1699" s="27"/>
      <c r="N1699" s="27"/>
      <c r="O1699" s="27"/>
      <c r="P1699" s="27"/>
    </row>
    <row r="1700" spans="1:16" s="28" customFormat="1" ht="34.5" customHeight="1" thickBot="1">
      <c r="A1700" s="149">
        <v>23</v>
      </c>
      <c r="B1700" s="150"/>
      <c r="C1700" s="151"/>
      <c r="D1700" s="35" t="s">
        <v>6</v>
      </c>
      <c r="J1700" s="27"/>
      <c r="K1700" s="27"/>
      <c r="L1700" s="27"/>
      <c r="M1700" s="27"/>
      <c r="N1700" s="27"/>
      <c r="O1700" s="27"/>
      <c r="P1700" s="27"/>
    </row>
    <row r="1701" spans="1:16" s="28" customFormat="1" ht="34.5" customHeight="1" thickBot="1">
      <c r="A1701" s="144">
        <f>A1700*A1699</f>
        <v>529</v>
      </c>
      <c r="B1701" s="152"/>
      <c r="C1701" s="145"/>
      <c r="D1701" s="35" t="s">
        <v>7</v>
      </c>
      <c r="J1701" s="27"/>
      <c r="K1701" s="27"/>
      <c r="L1701" s="27"/>
      <c r="M1701" s="27"/>
      <c r="N1701" s="27"/>
      <c r="O1701" s="27"/>
      <c r="P1701" s="27"/>
    </row>
    <row r="1702" spans="1:16" s="28" customFormat="1" ht="34.5" customHeight="1" thickBot="1">
      <c r="A1702" s="144">
        <v>0</v>
      </c>
      <c r="B1702" s="152"/>
      <c r="C1702" s="145"/>
      <c r="D1702" s="35" t="s">
        <v>437</v>
      </c>
      <c r="J1702" s="27"/>
      <c r="K1702" s="27"/>
      <c r="L1702" s="27"/>
      <c r="M1702" s="27"/>
      <c r="N1702" s="27"/>
      <c r="O1702" s="27"/>
      <c r="P1702" s="27"/>
    </row>
    <row r="1703" spans="1:16" s="28" customFormat="1" ht="34.5" customHeight="1" thickBot="1">
      <c r="A1703" s="34">
        <v>0</v>
      </c>
      <c r="B1703" s="32" t="s">
        <v>8</v>
      </c>
      <c r="C1703" s="33">
        <v>530</v>
      </c>
      <c r="D1703" s="32" t="s">
        <v>9</v>
      </c>
      <c r="J1703" s="27"/>
      <c r="K1703" s="27"/>
      <c r="L1703" s="27"/>
      <c r="M1703" s="27"/>
      <c r="N1703" s="27"/>
      <c r="O1703" s="27"/>
      <c r="P1703" s="27"/>
    </row>
    <row r="1704" spans="1:16" s="28" customFormat="1" ht="34.5" customHeight="1" thickBot="1">
      <c r="A1704" s="153" t="s">
        <v>436</v>
      </c>
      <c r="B1704" s="154"/>
      <c r="C1704" s="154"/>
      <c r="D1704" s="155"/>
      <c r="J1704" s="27"/>
      <c r="K1704" s="27"/>
      <c r="L1704" s="27"/>
      <c r="M1704" s="27"/>
      <c r="N1704" s="27"/>
      <c r="O1704" s="27"/>
      <c r="P1704" s="27"/>
    </row>
    <row r="1705" spans="1:16" s="28" customFormat="1" ht="34.5" customHeight="1" thickBot="1">
      <c r="A1705" s="156" t="s">
        <v>435</v>
      </c>
      <c r="B1705" s="157"/>
      <c r="C1705" s="157"/>
      <c r="D1705" s="158"/>
      <c r="J1705" s="27"/>
      <c r="K1705" s="27"/>
      <c r="L1705" s="27"/>
      <c r="M1705" s="27"/>
      <c r="N1705" s="27"/>
      <c r="O1705" s="27"/>
      <c r="P1705" s="27"/>
    </row>
    <row r="1706" spans="1:16" s="28" customFormat="1" ht="34.5" customHeight="1">
      <c r="A1706" s="159" t="s">
        <v>442</v>
      </c>
      <c r="B1706" s="160" t="s">
        <v>441</v>
      </c>
      <c r="C1706" s="160"/>
      <c r="D1706" s="161"/>
      <c r="J1706" s="27"/>
      <c r="K1706" s="27"/>
      <c r="L1706" s="27"/>
      <c r="M1706" s="27"/>
      <c r="N1706" s="27"/>
      <c r="O1706" s="27"/>
      <c r="P1706" s="27"/>
    </row>
    <row r="1707" spans="1:16" s="28" customFormat="1" ht="34.5" customHeight="1" thickBot="1">
      <c r="A1707" s="162"/>
      <c r="B1707" s="163"/>
      <c r="C1707" s="163"/>
      <c r="D1707" s="164"/>
      <c r="J1707" s="27"/>
      <c r="K1707" s="27"/>
      <c r="L1707" s="27"/>
      <c r="M1707" s="27"/>
      <c r="N1707" s="27"/>
      <c r="O1707" s="27"/>
      <c r="P1707" s="27"/>
    </row>
    <row r="1708" spans="1:16" s="28" customFormat="1" ht="34.5" customHeight="1" thickBot="1">
      <c r="A1708" s="142" t="s">
        <v>11</v>
      </c>
      <c r="B1708" s="143"/>
      <c r="C1708" s="165" t="s">
        <v>591</v>
      </c>
      <c r="D1708" s="143"/>
      <c r="J1708" s="27"/>
      <c r="K1708" s="27"/>
      <c r="L1708" s="27"/>
      <c r="M1708" s="27"/>
      <c r="N1708" s="27"/>
      <c r="O1708" s="27"/>
      <c r="P1708" s="27"/>
    </row>
    <row r="1709" spans="1:16" s="28" customFormat="1" ht="34.5" customHeight="1" thickBot="1">
      <c r="A1709" s="137" t="s">
        <v>59</v>
      </c>
      <c r="B1709" s="138"/>
      <c r="C1709" s="138"/>
      <c r="D1709" s="139"/>
      <c r="J1709" s="27"/>
      <c r="K1709" s="27"/>
      <c r="L1709" s="27"/>
      <c r="M1709" s="27"/>
      <c r="N1709" s="27"/>
      <c r="O1709" s="27"/>
      <c r="P1709" s="27"/>
    </row>
    <row r="1710" spans="1:16" s="28" customFormat="1" ht="34.5" customHeight="1" thickBot="1">
      <c r="A1710" s="34" t="s">
        <v>458</v>
      </c>
      <c r="B1710" s="32" t="s">
        <v>438</v>
      </c>
      <c r="C1710" s="34">
        <v>60</v>
      </c>
      <c r="D1710" s="32" t="s">
        <v>0</v>
      </c>
      <c r="J1710" s="27"/>
      <c r="K1710" s="27"/>
      <c r="L1710" s="27"/>
      <c r="M1710" s="27"/>
      <c r="N1710" s="27"/>
      <c r="O1710" s="27"/>
      <c r="P1710" s="27"/>
    </row>
    <row r="1711" spans="1:16" s="28" customFormat="1" ht="34.5" customHeight="1" thickBot="1">
      <c r="A1711" s="37" t="s">
        <v>673</v>
      </c>
      <c r="B1711" s="36" t="s">
        <v>1</v>
      </c>
      <c r="C1711" s="34" t="s">
        <v>674</v>
      </c>
      <c r="D1711" s="32" t="s">
        <v>2</v>
      </c>
      <c r="J1711" s="27"/>
      <c r="K1711" s="27"/>
      <c r="L1711" s="27"/>
      <c r="M1711" s="27"/>
      <c r="N1711" s="27"/>
      <c r="O1711" s="27"/>
      <c r="P1711" s="27"/>
    </row>
    <row r="1712" spans="1:16" s="28" customFormat="1" ht="34.5" customHeight="1" thickBot="1">
      <c r="A1712" s="140">
        <v>130</v>
      </c>
      <c r="B1712" s="141"/>
      <c r="C1712" s="142" t="s">
        <v>3</v>
      </c>
      <c r="D1712" s="143"/>
      <c r="J1712" s="27"/>
      <c r="K1712" s="27"/>
      <c r="L1712" s="27"/>
      <c r="M1712" s="27"/>
      <c r="N1712" s="27"/>
      <c r="O1712" s="27"/>
      <c r="P1712" s="27"/>
    </row>
    <row r="1713" spans="1:16" s="28" customFormat="1" ht="34.5" customHeight="1" thickBot="1">
      <c r="A1713" s="140">
        <v>130</v>
      </c>
      <c r="B1713" s="141"/>
      <c r="C1713" s="144" t="s">
        <v>4</v>
      </c>
      <c r="D1713" s="145"/>
      <c r="J1713" s="27"/>
      <c r="K1713" s="27"/>
      <c r="L1713" s="27"/>
      <c r="M1713" s="27"/>
      <c r="N1713" s="27"/>
      <c r="O1713" s="27"/>
      <c r="P1713" s="27"/>
    </row>
    <row r="1714" spans="1:16" s="28" customFormat="1" ht="34.5" customHeight="1" thickBot="1">
      <c r="A1714" s="146">
        <f>A1713-A1712</f>
        <v>0</v>
      </c>
      <c r="B1714" s="147"/>
      <c r="C1714" s="148"/>
      <c r="D1714" s="35" t="s">
        <v>5</v>
      </c>
      <c r="J1714" s="27"/>
      <c r="K1714" s="27"/>
      <c r="L1714" s="27"/>
      <c r="M1714" s="27"/>
      <c r="N1714" s="27"/>
      <c r="O1714" s="27"/>
      <c r="P1714" s="27"/>
    </row>
    <row r="1715" spans="1:16" s="28" customFormat="1" ht="34.5" customHeight="1" thickBot="1">
      <c r="A1715" s="149">
        <v>23</v>
      </c>
      <c r="B1715" s="150"/>
      <c r="C1715" s="151"/>
      <c r="D1715" s="35" t="s">
        <v>6</v>
      </c>
      <c r="J1715" s="27"/>
      <c r="K1715" s="27"/>
      <c r="L1715" s="27"/>
      <c r="M1715" s="27"/>
      <c r="N1715" s="27"/>
      <c r="O1715" s="27"/>
      <c r="P1715" s="27"/>
    </row>
    <row r="1716" spans="1:16" s="28" customFormat="1" ht="34.5" customHeight="1" thickBot="1">
      <c r="A1716" s="144">
        <f>A1715*A1714</f>
        <v>0</v>
      </c>
      <c r="B1716" s="152"/>
      <c r="C1716" s="145"/>
      <c r="D1716" s="35" t="s">
        <v>7</v>
      </c>
      <c r="J1716" s="27"/>
      <c r="K1716" s="27"/>
      <c r="L1716" s="27"/>
      <c r="M1716" s="27"/>
      <c r="N1716" s="27"/>
      <c r="O1716" s="27"/>
      <c r="P1716" s="27"/>
    </row>
    <row r="1717" spans="1:16" s="28" customFormat="1" ht="34.5" customHeight="1" thickBot="1">
      <c r="A1717" s="144">
        <v>0</v>
      </c>
      <c r="B1717" s="152"/>
      <c r="C1717" s="145"/>
      <c r="D1717" s="35" t="s">
        <v>437</v>
      </c>
      <c r="J1717" s="27"/>
      <c r="K1717" s="27"/>
      <c r="L1717" s="27"/>
      <c r="M1717" s="27"/>
      <c r="N1717" s="27"/>
      <c r="O1717" s="27"/>
      <c r="P1717" s="27"/>
    </row>
    <row r="1718" spans="1:16" s="28" customFormat="1" ht="34.5" customHeight="1" thickBot="1">
      <c r="A1718" s="34">
        <v>0</v>
      </c>
      <c r="B1718" s="32" t="s">
        <v>8</v>
      </c>
      <c r="C1718" s="33">
        <v>480</v>
      </c>
      <c r="D1718" s="32" t="s">
        <v>9</v>
      </c>
      <c r="J1718" s="27"/>
      <c r="K1718" s="27"/>
      <c r="L1718" s="27"/>
      <c r="M1718" s="27"/>
      <c r="N1718" s="27"/>
      <c r="O1718" s="27"/>
      <c r="P1718" s="27"/>
    </row>
    <row r="1719" spans="1:16" s="28" customFormat="1" ht="34.5" customHeight="1" thickBot="1">
      <c r="A1719" s="153" t="s">
        <v>436</v>
      </c>
      <c r="B1719" s="154"/>
      <c r="C1719" s="154"/>
      <c r="D1719" s="155"/>
      <c r="J1719" s="27"/>
      <c r="K1719" s="27"/>
      <c r="L1719" s="27"/>
      <c r="M1719" s="27"/>
      <c r="N1719" s="27"/>
      <c r="O1719" s="27"/>
      <c r="P1719" s="27"/>
    </row>
    <row r="1720" spans="1:16" s="28" customFormat="1" ht="34.5" customHeight="1" thickBot="1">
      <c r="A1720" s="156" t="s">
        <v>435</v>
      </c>
      <c r="B1720" s="157"/>
      <c r="C1720" s="157"/>
      <c r="D1720" s="158"/>
      <c r="J1720" s="27"/>
      <c r="K1720" s="27"/>
      <c r="L1720" s="27"/>
      <c r="M1720" s="27"/>
      <c r="N1720" s="27"/>
      <c r="O1720" s="27"/>
      <c r="P1720" s="27"/>
    </row>
    <row r="1721" spans="1:16" s="28" customFormat="1" ht="34.5" customHeight="1" thickBot="1">
      <c r="A1721" s="40"/>
      <c r="B1721" s="39"/>
      <c r="C1721" s="39"/>
      <c r="D1721" s="38"/>
      <c r="J1721" s="27"/>
      <c r="K1721" s="27"/>
      <c r="L1721" s="27"/>
      <c r="M1721" s="27"/>
      <c r="N1721" s="27"/>
      <c r="O1721" s="27"/>
      <c r="P1721" s="27"/>
    </row>
    <row r="1722" spans="1:16" s="28" customFormat="1" ht="34.5" customHeight="1">
      <c r="A1722" s="159" t="s">
        <v>442</v>
      </c>
      <c r="B1722" s="160" t="s">
        <v>441</v>
      </c>
      <c r="C1722" s="160"/>
      <c r="D1722" s="161"/>
      <c r="J1722" s="27"/>
      <c r="K1722" s="27"/>
      <c r="L1722" s="27"/>
      <c r="M1722" s="27"/>
      <c r="N1722" s="27"/>
      <c r="O1722" s="27"/>
      <c r="P1722" s="27"/>
    </row>
    <row r="1723" spans="1:16" s="28" customFormat="1" ht="34.5" customHeight="1" thickBot="1">
      <c r="A1723" s="162"/>
      <c r="B1723" s="163"/>
      <c r="C1723" s="163"/>
      <c r="D1723" s="164"/>
      <c r="J1723" s="27"/>
      <c r="K1723" s="27"/>
      <c r="L1723" s="27"/>
      <c r="M1723" s="27"/>
      <c r="N1723" s="27"/>
      <c r="O1723" s="27"/>
      <c r="P1723" s="27"/>
    </row>
    <row r="1724" spans="1:16" s="28" customFormat="1" ht="34.5" customHeight="1" thickBot="1">
      <c r="A1724" s="142" t="s">
        <v>11</v>
      </c>
      <c r="B1724" s="143"/>
      <c r="C1724" s="165" t="s">
        <v>591</v>
      </c>
      <c r="D1724" s="143"/>
      <c r="J1724" s="27"/>
      <c r="K1724" s="27"/>
      <c r="L1724" s="27"/>
      <c r="M1724" s="27"/>
      <c r="N1724" s="27"/>
      <c r="O1724" s="27"/>
      <c r="P1724" s="27"/>
    </row>
    <row r="1725" spans="1:16" s="28" customFormat="1" ht="34.5" customHeight="1" thickBot="1">
      <c r="A1725" s="137" t="s">
        <v>59</v>
      </c>
      <c r="B1725" s="138"/>
      <c r="C1725" s="138"/>
      <c r="D1725" s="139"/>
      <c r="J1725" s="27"/>
      <c r="K1725" s="27"/>
      <c r="L1725" s="27"/>
      <c r="M1725" s="27"/>
      <c r="N1725" s="27"/>
      <c r="O1725" s="27"/>
      <c r="P1725" s="27"/>
    </row>
    <row r="1726" spans="1:16" s="28" customFormat="1" ht="34.5" customHeight="1" thickBot="1">
      <c r="A1726" s="34" t="s">
        <v>458</v>
      </c>
      <c r="B1726" s="32" t="s">
        <v>438</v>
      </c>
      <c r="C1726" s="34">
        <v>60</v>
      </c>
      <c r="D1726" s="32" t="s">
        <v>0</v>
      </c>
      <c r="J1726" s="27"/>
      <c r="K1726" s="27"/>
      <c r="L1726" s="27"/>
      <c r="M1726" s="27"/>
      <c r="N1726" s="27"/>
      <c r="O1726" s="27"/>
      <c r="P1726" s="27"/>
    </row>
    <row r="1727" spans="1:16" s="28" customFormat="1" ht="34.5" customHeight="1" thickBot="1">
      <c r="A1727" s="37" t="s">
        <v>673</v>
      </c>
      <c r="B1727" s="36" t="s">
        <v>1</v>
      </c>
      <c r="C1727" s="34" t="s">
        <v>674</v>
      </c>
      <c r="D1727" s="32" t="s">
        <v>2</v>
      </c>
      <c r="J1727" s="27"/>
      <c r="K1727" s="27"/>
      <c r="L1727" s="27"/>
      <c r="M1727" s="27"/>
      <c r="N1727" s="27"/>
      <c r="O1727" s="27"/>
      <c r="P1727" s="27"/>
    </row>
    <row r="1728" spans="1:16" s="28" customFormat="1" ht="34.5" customHeight="1" thickBot="1">
      <c r="A1728" s="140">
        <v>109</v>
      </c>
      <c r="B1728" s="141"/>
      <c r="C1728" s="142" t="s">
        <v>3</v>
      </c>
      <c r="D1728" s="143"/>
      <c r="J1728" s="27"/>
      <c r="K1728" s="27"/>
      <c r="L1728" s="27"/>
      <c r="M1728" s="27"/>
      <c r="N1728" s="27"/>
      <c r="O1728" s="27"/>
      <c r="P1728" s="27"/>
    </row>
    <row r="1729" spans="1:16" s="28" customFormat="1" ht="34.5" customHeight="1" thickBot="1">
      <c r="A1729" s="140">
        <v>130</v>
      </c>
      <c r="B1729" s="141"/>
      <c r="C1729" s="144" t="s">
        <v>4</v>
      </c>
      <c r="D1729" s="145"/>
      <c r="J1729" s="27"/>
      <c r="K1729" s="27"/>
      <c r="L1729" s="27"/>
      <c r="M1729" s="27"/>
      <c r="N1729" s="27"/>
      <c r="O1729" s="27"/>
      <c r="P1729" s="27"/>
    </row>
    <row r="1730" spans="1:16" s="28" customFormat="1" ht="34.5" customHeight="1" thickBot="1">
      <c r="A1730" s="146">
        <f>A1729-A1728</f>
        <v>21</v>
      </c>
      <c r="B1730" s="147"/>
      <c r="C1730" s="148"/>
      <c r="D1730" s="35" t="s">
        <v>5</v>
      </c>
      <c r="J1730" s="27"/>
      <c r="K1730" s="27"/>
      <c r="L1730" s="27"/>
      <c r="M1730" s="27"/>
      <c r="N1730" s="27"/>
      <c r="O1730" s="27"/>
      <c r="P1730" s="27"/>
    </row>
    <row r="1731" spans="1:16" s="28" customFormat="1" ht="34.5" customHeight="1" thickBot="1">
      <c r="A1731" s="149">
        <v>23</v>
      </c>
      <c r="B1731" s="150"/>
      <c r="C1731" s="151"/>
      <c r="D1731" s="35" t="s">
        <v>6</v>
      </c>
      <c r="J1731" s="27"/>
      <c r="K1731" s="27"/>
      <c r="L1731" s="27"/>
      <c r="M1731" s="27"/>
      <c r="N1731" s="27"/>
      <c r="O1731" s="27"/>
      <c r="P1731" s="27"/>
    </row>
    <row r="1732" spans="1:16" s="28" customFormat="1" ht="34.5" customHeight="1" thickBot="1">
      <c r="A1732" s="144">
        <f>A1731*A1730</f>
        <v>483</v>
      </c>
      <c r="B1732" s="152"/>
      <c r="C1732" s="145"/>
      <c r="D1732" s="35" t="s">
        <v>7</v>
      </c>
      <c r="J1732" s="27"/>
      <c r="K1732" s="27"/>
      <c r="L1732" s="27"/>
      <c r="M1732" s="27"/>
      <c r="N1732" s="27"/>
      <c r="O1732" s="27"/>
      <c r="P1732" s="27"/>
    </row>
    <row r="1733" spans="1:16" s="28" customFormat="1" ht="34.5" customHeight="1" thickBot="1">
      <c r="A1733" s="144">
        <v>0</v>
      </c>
      <c r="B1733" s="152"/>
      <c r="C1733" s="145"/>
      <c r="D1733" s="35" t="s">
        <v>437</v>
      </c>
      <c r="J1733" s="27"/>
      <c r="K1733" s="27"/>
      <c r="L1733" s="27"/>
      <c r="M1733" s="27"/>
      <c r="N1733" s="27"/>
      <c r="O1733" s="27"/>
      <c r="P1733" s="27"/>
    </row>
    <row r="1734" spans="1:16" s="28" customFormat="1" ht="34.5" customHeight="1" thickBot="1">
      <c r="A1734" s="34">
        <v>0</v>
      </c>
      <c r="B1734" s="32" t="s">
        <v>8</v>
      </c>
      <c r="C1734" s="33">
        <v>480</v>
      </c>
      <c r="D1734" s="32" t="s">
        <v>9</v>
      </c>
      <c r="J1734" s="27"/>
      <c r="K1734" s="27"/>
      <c r="L1734" s="27"/>
      <c r="M1734" s="27"/>
      <c r="N1734" s="27"/>
      <c r="O1734" s="27"/>
      <c r="P1734" s="27"/>
    </row>
    <row r="1735" spans="1:16" s="28" customFormat="1" ht="34.5" customHeight="1" thickBot="1">
      <c r="A1735" s="153" t="s">
        <v>436</v>
      </c>
      <c r="B1735" s="154"/>
      <c r="C1735" s="154"/>
      <c r="D1735" s="155"/>
      <c r="J1735" s="27"/>
      <c r="K1735" s="27"/>
      <c r="L1735" s="27"/>
      <c r="M1735" s="27"/>
      <c r="N1735" s="27"/>
      <c r="O1735" s="27"/>
      <c r="P1735" s="27"/>
    </row>
    <row r="1736" spans="1:16" s="28" customFormat="1" ht="34.5" customHeight="1" thickBot="1">
      <c r="A1736" s="156" t="s">
        <v>435</v>
      </c>
      <c r="B1736" s="157"/>
      <c r="C1736" s="157"/>
      <c r="D1736" s="158"/>
      <c r="J1736" s="27"/>
      <c r="K1736" s="27"/>
      <c r="L1736" s="27"/>
      <c r="M1736" s="27"/>
      <c r="N1736" s="27"/>
      <c r="O1736" s="27"/>
      <c r="P1736" s="27"/>
    </row>
    <row r="1737" spans="1:16" s="28" customFormat="1" ht="34.5" customHeight="1">
      <c r="A1737" s="159" t="s">
        <v>441</v>
      </c>
      <c r="B1737" s="160"/>
      <c r="C1737" s="160"/>
      <c r="D1737" s="161"/>
      <c r="J1737" s="27"/>
      <c r="K1737" s="27"/>
      <c r="L1737" s="27"/>
      <c r="M1737" s="27"/>
      <c r="N1737" s="27"/>
      <c r="O1737" s="27"/>
      <c r="P1737" s="27"/>
    </row>
    <row r="1738" spans="1:16" s="28" customFormat="1" ht="34.5" customHeight="1" thickBot="1">
      <c r="A1738" s="162"/>
      <c r="B1738" s="163"/>
      <c r="C1738" s="163"/>
      <c r="D1738" s="164"/>
      <c r="J1738" s="27"/>
      <c r="K1738" s="27"/>
      <c r="L1738" s="27"/>
      <c r="M1738" s="27"/>
      <c r="N1738" s="27"/>
      <c r="O1738" s="27"/>
      <c r="P1738" s="27"/>
    </row>
    <row r="1739" spans="1:16" s="28" customFormat="1" ht="34.5" customHeight="1" thickBot="1">
      <c r="A1739" s="142" t="s">
        <v>11</v>
      </c>
      <c r="B1739" s="143"/>
      <c r="C1739" s="165" t="s">
        <v>591</v>
      </c>
      <c r="D1739" s="143"/>
      <c r="J1739" s="27"/>
      <c r="K1739" s="27"/>
      <c r="L1739" s="27"/>
      <c r="M1739" s="27"/>
      <c r="N1739" s="27"/>
      <c r="O1739" s="27"/>
      <c r="P1739" s="27"/>
    </row>
    <row r="1740" spans="1:16" s="28" customFormat="1" ht="34.5" customHeight="1" thickBot="1">
      <c r="A1740" s="137" t="s">
        <v>592</v>
      </c>
      <c r="B1740" s="138"/>
      <c r="C1740" s="138"/>
      <c r="D1740" s="139"/>
      <c r="J1740" s="27"/>
      <c r="K1740" s="27"/>
      <c r="L1740" s="27"/>
      <c r="M1740" s="27"/>
      <c r="N1740" s="27"/>
      <c r="O1740" s="27"/>
      <c r="P1740" s="27"/>
    </row>
    <row r="1741" spans="1:16" s="28" customFormat="1" ht="34.5" customHeight="1" thickBot="1">
      <c r="A1741" s="34" t="s">
        <v>447</v>
      </c>
      <c r="B1741" s="32" t="s">
        <v>438</v>
      </c>
      <c r="C1741" s="34">
        <v>61</v>
      </c>
      <c r="D1741" s="32" t="s">
        <v>0</v>
      </c>
      <c r="J1741" s="27"/>
      <c r="K1741" s="27"/>
      <c r="L1741" s="27"/>
      <c r="M1741" s="27"/>
      <c r="N1741" s="27"/>
      <c r="O1741" s="27"/>
      <c r="P1741" s="27"/>
    </row>
    <row r="1742" spans="1:16" s="28" customFormat="1" ht="34.5" customHeight="1" thickBot="1">
      <c r="A1742" s="37" t="s">
        <v>673</v>
      </c>
      <c r="B1742" s="36" t="s">
        <v>1</v>
      </c>
      <c r="C1742" s="34" t="s">
        <v>674</v>
      </c>
      <c r="D1742" s="32" t="s">
        <v>2</v>
      </c>
      <c r="J1742" s="27"/>
      <c r="K1742" s="27"/>
      <c r="L1742" s="27"/>
      <c r="M1742" s="27"/>
      <c r="N1742" s="27"/>
      <c r="O1742" s="27"/>
      <c r="P1742" s="27"/>
    </row>
    <row r="1743" spans="1:16" s="28" customFormat="1" ht="34.5" customHeight="1" thickBot="1">
      <c r="A1743" s="140">
        <v>298</v>
      </c>
      <c r="B1743" s="141"/>
      <c r="C1743" s="142" t="s">
        <v>3</v>
      </c>
      <c r="D1743" s="143"/>
      <c r="J1743" s="27"/>
      <c r="K1743" s="27"/>
      <c r="L1743" s="27"/>
      <c r="M1743" s="27"/>
      <c r="N1743" s="27"/>
      <c r="O1743" s="27"/>
      <c r="P1743" s="27"/>
    </row>
    <row r="1744" spans="1:16" s="28" customFormat="1" ht="34.5" customHeight="1" thickBot="1">
      <c r="A1744" s="140">
        <v>298</v>
      </c>
      <c r="B1744" s="141"/>
      <c r="C1744" s="144" t="s">
        <v>4</v>
      </c>
      <c r="D1744" s="145"/>
      <c r="J1744" s="27"/>
      <c r="K1744" s="27"/>
      <c r="L1744" s="27"/>
      <c r="M1744" s="27"/>
      <c r="N1744" s="27"/>
      <c r="O1744" s="27"/>
      <c r="P1744" s="27"/>
    </row>
    <row r="1745" spans="1:16" s="28" customFormat="1" ht="34.5" customHeight="1" thickBot="1">
      <c r="A1745" s="146">
        <f>A1744-A1743</f>
        <v>0</v>
      </c>
      <c r="B1745" s="147"/>
      <c r="C1745" s="148"/>
      <c r="D1745" s="35" t="s">
        <v>5</v>
      </c>
      <c r="J1745" s="27"/>
      <c r="K1745" s="27"/>
      <c r="L1745" s="27"/>
      <c r="M1745" s="27"/>
      <c r="N1745" s="27"/>
      <c r="O1745" s="27"/>
      <c r="P1745" s="27"/>
    </row>
    <row r="1746" spans="1:16" s="28" customFormat="1" ht="34.5" customHeight="1" thickBot="1">
      <c r="A1746" s="149">
        <v>23</v>
      </c>
      <c r="B1746" s="150"/>
      <c r="C1746" s="151"/>
      <c r="D1746" s="35" t="s">
        <v>6</v>
      </c>
      <c r="J1746" s="27"/>
      <c r="K1746" s="27"/>
      <c r="L1746" s="27"/>
      <c r="M1746" s="27"/>
      <c r="N1746" s="27"/>
      <c r="O1746" s="27"/>
      <c r="P1746" s="27"/>
    </row>
    <row r="1747" spans="1:16" s="28" customFormat="1" ht="34.5" customHeight="1" thickBot="1">
      <c r="A1747" s="144">
        <f>A1746*A1745</f>
        <v>0</v>
      </c>
      <c r="B1747" s="152"/>
      <c r="C1747" s="145"/>
      <c r="D1747" s="35" t="s">
        <v>7</v>
      </c>
      <c r="J1747" s="27"/>
      <c r="K1747" s="27"/>
      <c r="L1747" s="27"/>
      <c r="M1747" s="27"/>
      <c r="N1747" s="27"/>
      <c r="O1747" s="27"/>
      <c r="P1747" s="27"/>
    </row>
    <row r="1748" spans="1:16" s="28" customFormat="1" ht="34.5" customHeight="1" thickBot="1">
      <c r="A1748" s="144">
        <v>0</v>
      </c>
      <c r="B1748" s="152"/>
      <c r="C1748" s="145"/>
      <c r="D1748" s="35" t="s">
        <v>437</v>
      </c>
      <c r="J1748" s="27"/>
      <c r="K1748" s="27"/>
      <c r="L1748" s="27"/>
      <c r="M1748" s="27"/>
      <c r="N1748" s="27"/>
      <c r="O1748" s="27"/>
      <c r="P1748" s="27"/>
    </row>
    <row r="1749" spans="1:16" s="28" customFormat="1" ht="34.5" customHeight="1" thickBot="1">
      <c r="A1749" s="34">
        <v>0</v>
      </c>
      <c r="B1749" s="32" t="s">
        <v>8</v>
      </c>
      <c r="C1749" s="33">
        <v>0</v>
      </c>
      <c r="D1749" s="32" t="s">
        <v>9</v>
      </c>
      <c r="J1749" s="27"/>
      <c r="K1749" s="27"/>
      <c r="L1749" s="27"/>
      <c r="M1749" s="27"/>
      <c r="N1749" s="27"/>
      <c r="O1749" s="27"/>
      <c r="P1749" s="27"/>
    </row>
    <row r="1750" spans="1:16" s="28" customFormat="1" ht="34.5" customHeight="1" thickBot="1">
      <c r="A1750" s="153" t="s">
        <v>436</v>
      </c>
      <c r="B1750" s="154"/>
      <c r="C1750" s="154"/>
      <c r="D1750" s="155"/>
      <c r="J1750" s="27"/>
      <c r="K1750" s="27"/>
      <c r="L1750" s="27"/>
      <c r="M1750" s="27"/>
      <c r="N1750" s="27"/>
      <c r="O1750" s="27"/>
      <c r="P1750" s="27"/>
    </row>
    <row r="1751" spans="1:16" s="28" customFormat="1" ht="34.5" customHeight="1" thickBot="1">
      <c r="A1751" s="156" t="s">
        <v>435</v>
      </c>
      <c r="B1751" s="157"/>
      <c r="C1751" s="157"/>
      <c r="D1751" s="158"/>
      <c r="J1751" s="27"/>
      <c r="K1751" s="27"/>
      <c r="L1751" s="27"/>
      <c r="M1751" s="27"/>
      <c r="N1751" s="27"/>
      <c r="O1751" s="27"/>
      <c r="P1751" s="27"/>
    </row>
    <row r="1752" spans="1:16" s="28" customFormat="1" ht="34.5" customHeight="1" thickBot="1">
      <c r="A1752" s="40"/>
      <c r="B1752" s="39"/>
      <c r="C1752" s="39"/>
      <c r="D1752" s="38"/>
      <c r="J1752" s="27"/>
      <c r="K1752" s="27"/>
      <c r="L1752" s="27"/>
      <c r="M1752" s="27"/>
      <c r="N1752" s="27"/>
      <c r="O1752" s="27"/>
      <c r="P1752" s="27"/>
    </row>
    <row r="1753" spans="1:16" s="28" customFormat="1" ht="34.5" customHeight="1">
      <c r="A1753" s="159" t="s">
        <v>442</v>
      </c>
      <c r="B1753" s="160" t="s">
        <v>441</v>
      </c>
      <c r="C1753" s="160"/>
      <c r="D1753" s="161"/>
      <c r="J1753" s="27"/>
      <c r="K1753" s="27"/>
      <c r="L1753" s="27"/>
      <c r="M1753" s="27"/>
      <c r="N1753" s="27"/>
      <c r="O1753" s="27"/>
      <c r="P1753" s="27"/>
    </row>
    <row r="1754" spans="1:16" s="28" customFormat="1" ht="34.5" customHeight="1" thickBot="1">
      <c r="A1754" s="162"/>
      <c r="B1754" s="163"/>
      <c r="C1754" s="163"/>
      <c r="D1754" s="164"/>
      <c r="J1754" s="27"/>
      <c r="K1754" s="27"/>
      <c r="L1754" s="27"/>
      <c r="M1754" s="27"/>
      <c r="N1754" s="27"/>
      <c r="O1754" s="27"/>
      <c r="P1754" s="27"/>
    </row>
    <row r="1755" spans="1:16" s="28" customFormat="1" ht="34.5" customHeight="1" thickBot="1">
      <c r="A1755" s="142" t="s">
        <v>11</v>
      </c>
      <c r="B1755" s="143"/>
      <c r="C1755" s="165" t="s">
        <v>591</v>
      </c>
      <c r="D1755" s="143"/>
      <c r="J1755" s="27"/>
      <c r="K1755" s="27"/>
      <c r="L1755" s="27"/>
      <c r="M1755" s="27"/>
      <c r="N1755" s="27"/>
      <c r="O1755" s="27"/>
      <c r="P1755" s="27"/>
    </row>
    <row r="1756" spans="1:16" s="28" customFormat="1" ht="34.5" customHeight="1" thickBot="1">
      <c r="A1756" s="137" t="s">
        <v>592</v>
      </c>
      <c r="B1756" s="138"/>
      <c r="C1756" s="138"/>
      <c r="D1756" s="139"/>
      <c r="J1756" s="27"/>
      <c r="K1756" s="27"/>
      <c r="L1756" s="27"/>
      <c r="M1756" s="27"/>
      <c r="N1756" s="27"/>
      <c r="O1756" s="27"/>
      <c r="P1756" s="27"/>
    </row>
    <row r="1757" spans="1:16" s="28" customFormat="1" ht="34.5" customHeight="1" thickBot="1">
      <c r="A1757" s="34" t="s">
        <v>447</v>
      </c>
      <c r="B1757" s="32" t="s">
        <v>438</v>
      </c>
      <c r="C1757" s="34">
        <v>61</v>
      </c>
      <c r="D1757" s="32" t="s">
        <v>0</v>
      </c>
      <c r="J1757" s="27"/>
      <c r="K1757" s="27"/>
      <c r="L1757" s="27"/>
      <c r="M1757" s="27"/>
      <c r="N1757" s="27"/>
      <c r="O1757" s="27"/>
      <c r="P1757" s="27"/>
    </row>
    <row r="1758" spans="1:16" s="28" customFormat="1" ht="34.5" customHeight="1" thickBot="1">
      <c r="A1758" s="37" t="s">
        <v>673</v>
      </c>
      <c r="B1758" s="36" t="s">
        <v>1</v>
      </c>
      <c r="C1758" s="34" t="s">
        <v>674</v>
      </c>
      <c r="D1758" s="32" t="s">
        <v>2</v>
      </c>
      <c r="J1758" s="27"/>
      <c r="K1758" s="27"/>
      <c r="L1758" s="27"/>
      <c r="M1758" s="27"/>
      <c r="N1758" s="27"/>
      <c r="O1758" s="27"/>
      <c r="P1758" s="27"/>
    </row>
    <row r="1759" spans="1:16" s="28" customFormat="1" ht="34.5" customHeight="1" thickBot="1">
      <c r="A1759" s="140">
        <v>286</v>
      </c>
      <c r="B1759" s="141"/>
      <c r="C1759" s="142" t="s">
        <v>3</v>
      </c>
      <c r="D1759" s="143"/>
      <c r="J1759" s="27"/>
      <c r="K1759" s="27"/>
      <c r="L1759" s="27"/>
      <c r="M1759" s="27"/>
      <c r="N1759" s="27"/>
      <c r="O1759" s="27"/>
      <c r="P1759" s="27"/>
    </row>
    <row r="1760" spans="1:16" s="28" customFormat="1" ht="34.5" customHeight="1" thickBot="1">
      <c r="A1760" s="140">
        <v>298</v>
      </c>
      <c r="B1760" s="141"/>
      <c r="C1760" s="144" t="s">
        <v>4</v>
      </c>
      <c r="D1760" s="145"/>
      <c r="J1760" s="27"/>
      <c r="K1760" s="27"/>
      <c r="L1760" s="27"/>
      <c r="M1760" s="27"/>
      <c r="N1760" s="27"/>
      <c r="O1760" s="27"/>
      <c r="P1760" s="27"/>
    </row>
    <row r="1761" spans="1:16" s="28" customFormat="1" ht="34.5" customHeight="1" thickBot="1">
      <c r="A1761" s="146">
        <f>A1760-A1759</f>
        <v>12</v>
      </c>
      <c r="B1761" s="147"/>
      <c r="C1761" s="148"/>
      <c r="D1761" s="35" t="s">
        <v>5</v>
      </c>
      <c r="J1761" s="27"/>
      <c r="K1761" s="27"/>
      <c r="L1761" s="27"/>
      <c r="M1761" s="27"/>
      <c r="N1761" s="27"/>
      <c r="O1761" s="27"/>
      <c r="P1761" s="27"/>
    </row>
    <row r="1762" spans="1:16" s="28" customFormat="1" ht="34.5" customHeight="1" thickBot="1">
      <c r="A1762" s="149">
        <v>23</v>
      </c>
      <c r="B1762" s="150"/>
      <c r="C1762" s="151"/>
      <c r="D1762" s="35" t="s">
        <v>6</v>
      </c>
      <c r="J1762" s="27"/>
      <c r="K1762" s="27"/>
      <c r="L1762" s="27"/>
      <c r="M1762" s="27"/>
      <c r="N1762" s="27"/>
      <c r="O1762" s="27"/>
      <c r="P1762" s="27"/>
    </row>
    <row r="1763" spans="1:16" s="28" customFormat="1" ht="34.5" customHeight="1" thickBot="1">
      <c r="A1763" s="144">
        <f>A1762*A1761</f>
        <v>276</v>
      </c>
      <c r="B1763" s="152"/>
      <c r="C1763" s="145"/>
      <c r="D1763" s="35" t="s">
        <v>7</v>
      </c>
      <c r="J1763" s="27"/>
      <c r="K1763" s="27"/>
      <c r="L1763" s="27"/>
      <c r="M1763" s="27"/>
      <c r="N1763" s="27"/>
      <c r="O1763" s="27"/>
      <c r="P1763" s="27"/>
    </row>
    <row r="1764" spans="1:16" s="28" customFormat="1" ht="34.5" customHeight="1" thickBot="1">
      <c r="A1764" s="144">
        <v>0</v>
      </c>
      <c r="B1764" s="152"/>
      <c r="C1764" s="145"/>
      <c r="D1764" s="35" t="s">
        <v>437</v>
      </c>
      <c r="J1764" s="27"/>
      <c r="K1764" s="27"/>
      <c r="L1764" s="27"/>
      <c r="M1764" s="27"/>
      <c r="N1764" s="27"/>
      <c r="O1764" s="27"/>
      <c r="P1764" s="27"/>
    </row>
    <row r="1765" spans="1:16" s="28" customFormat="1" ht="34.5" customHeight="1" thickBot="1">
      <c r="A1765" s="34">
        <v>0</v>
      </c>
      <c r="B1765" s="32" t="s">
        <v>8</v>
      </c>
      <c r="C1765" s="33">
        <v>270</v>
      </c>
      <c r="D1765" s="32" t="s">
        <v>9</v>
      </c>
      <c r="J1765" s="27"/>
      <c r="K1765" s="27"/>
      <c r="L1765" s="27"/>
      <c r="M1765" s="27"/>
      <c r="N1765" s="27"/>
      <c r="O1765" s="27"/>
      <c r="P1765" s="27"/>
    </row>
    <row r="1766" spans="1:16" s="28" customFormat="1" ht="34.5" customHeight="1" thickBot="1">
      <c r="A1766" s="153" t="s">
        <v>436</v>
      </c>
      <c r="B1766" s="154"/>
      <c r="C1766" s="154"/>
      <c r="D1766" s="155"/>
      <c r="J1766" s="27"/>
      <c r="K1766" s="27"/>
      <c r="L1766" s="27"/>
      <c r="M1766" s="27"/>
      <c r="N1766" s="27"/>
      <c r="O1766" s="27"/>
      <c r="P1766" s="27"/>
    </row>
    <row r="1767" spans="1:16" s="28" customFormat="1" ht="34.5" customHeight="1" thickBot="1">
      <c r="A1767" s="156" t="s">
        <v>435</v>
      </c>
      <c r="B1767" s="157"/>
      <c r="C1767" s="157"/>
      <c r="D1767" s="158"/>
      <c r="J1767" s="27"/>
      <c r="K1767" s="27"/>
      <c r="L1767" s="27"/>
      <c r="M1767" s="27"/>
      <c r="N1767" s="27"/>
      <c r="O1767" s="27"/>
      <c r="P1767" s="27"/>
    </row>
    <row r="1768" spans="1:16" ht="34.5" customHeight="1">
      <c r="A1768" s="159" t="s">
        <v>441</v>
      </c>
      <c r="B1768" s="160"/>
      <c r="C1768" s="160"/>
      <c r="D1768" s="161"/>
    </row>
    <row r="1769" spans="1:16" ht="34.5" customHeight="1" thickBot="1">
      <c r="A1769" s="162"/>
      <c r="B1769" s="163"/>
      <c r="C1769" s="163"/>
      <c r="D1769" s="164"/>
    </row>
    <row r="1770" spans="1:16" ht="34.5" customHeight="1" thickBot="1">
      <c r="A1770" s="142" t="s">
        <v>11</v>
      </c>
      <c r="B1770" s="143"/>
      <c r="C1770" s="165" t="s">
        <v>591</v>
      </c>
      <c r="D1770" s="143"/>
    </row>
    <row r="1771" spans="1:16" ht="34.5" customHeight="1" thickBot="1">
      <c r="A1771" s="137" t="s">
        <v>638</v>
      </c>
      <c r="B1771" s="138"/>
      <c r="C1771" s="138"/>
      <c r="D1771" s="139"/>
    </row>
    <row r="1772" spans="1:16" ht="34.5" customHeight="1" thickBot="1">
      <c r="A1772" s="34" t="s">
        <v>447</v>
      </c>
      <c r="B1772" s="32" t="s">
        <v>438</v>
      </c>
      <c r="C1772" s="34">
        <v>61</v>
      </c>
      <c r="D1772" s="32" t="s">
        <v>0</v>
      </c>
    </row>
    <row r="1773" spans="1:16" ht="34.5" customHeight="1" thickBot="1">
      <c r="A1773" s="37" t="s">
        <v>673</v>
      </c>
      <c r="B1773" s="36" t="s">
        <v>1</v>
      </c>
      <c r="C1773" s="34" t="s">
        <v>674</v>
      </c>
      <c r="D1773" s="32" t="s">
        <v>2</v>
      </c>
    </row>
    <row r="1774" spans="1:16" ht="34.5" customHeight="1" thickBot="1">
      <c r="A1774" s="140">
        <v>48</v>
      </c>
      <c r="B1774" s="141"/>
      <c r="C1774" s="142" t="s">
        <v>3</v>
      </c>
      <c r="D1774" s="143"/>
    </row>
    <row r="1775" spans="1:16" ht="34.5" customHeight="1" thickBot="1">
      <c r="A1775" s="140">
        <v>48</v>
      </c>
      <c r="B1775" s="141"/>
      <c r="C1775" s="144" t="s">
        <v>4</v>
      </c>
      <c r="D1775" s="145"/>
    </row>
    <row r="1776" spans="1:16" ht="34.5" customHeight="1" thickBot="1">
      <c r="A1776" s="146">
        <f>A1775-A1774</f>
        <v>0</v>
      </c>
      <c r="B1776" s="147"/>
      <c r="C1776" s="148"/>
      <c r="D1776" s="35" t="s">
        <v>5</v>
      </c>
    </row>
    <row r="1777" spans="1:4" ht="34.5" customHeight="1" thickBot="1">
      <c r="A1777" s="149">
        <v>23</v>
      </c>
      <c r="B1777" s="150"/>
      <c r="C1777" s="151"/>
      <c r="D1777" s="35" t="s">
        <v>6</v>
      </c>
    </row>
    <row r="1778" spans="1:4" ht="34.5" customHeight="1" thickBot="1">
      <c r="A1778" s="144">
        <f>A1777*A1776</f>
        <v>0</v>
      </c>
      <c r="B1778" s="152"/>
      <c r="C1778" s="145"/>
      <c r="D1778" s="35" t="s">
        <v>7</v>
      </c>
    </row>
    <row r="1779" spans="1:4" ht="34.5" customHeight="1" thickBot="1">
      <c r="A1779" s="144">
        <v>0</v>
      </c>
      <c r="B1779" s="152"/>
      <c r="C1779" s="145"/>
      <c r="D1779" s="35" t="s">
        <v>437</v>
      </c>
    </row>
    <row r="1780" spans="1:4" ht="34.5" customHeight="1" thickBot="1">
      <c r="A1780" s="34">
        <v>0</v>
      </c>
      <c r="B1780" s="32" t="s">
        <v>8</v>
      </c>
      <c r="C1780" s="33">
        <v>280</v>
      </c>
      <c r="D1780" s="32" t="s">
        <v>9</v>
      </c>
    </row>
    <row r="1781" spans="1:4" ht="34.5" customHeight="1" thickBot="1">
      <c r="A1781" s="153" t="s">
        <v>436</v>
      </c>
      <c r="B1781" s="154"/>
      <c r="C1781" s="154"/>
      <c r="D1781" s="155"/>
    </row>
    <row r="1782" spans="1:4" ht="34.5" customHeight="1" thickBot="1">
      <c r="A1782" s="156" t="s">
        <v>435</v>
      </c>
      <c r="B1782" s="157"/>
      <c r="C1782" s="157"/>
      <c r="D1782" s="158"/>
    </row>
    <row r="1783" spans="1:4" ht="34.5" customHeight="1" thickBot="1">
      <c r="A1783" s="40"/>
      <c r="B1783" s="39"/>
      <c r="C1783" s="39"/>
      <c r="D1783" s="38"/>
    </row>
    <row r="1784" spans="1:4" ht="34.5" customHeight="1">
      <c r="A1784" s="159" t="s">
        <v>442</v>
      </c>
      <c r="B1784" s="160" t="s">
        <v>441</v>
      </c>
      <c r="C1784" s="160"/>
      <c r="D1784" s="161"/>
    </row>
    <row r="1785" spans="1:4" ht="34.5" customHeight="1" thickBot="1">
      <c r="A1785" s="162"/>
      <c r="B1785" s="163"/>
      <c r="C1785" s="163"/>
      <c r="D1785" s="164"/>
    </row>
    <row r="1786" spans="1:4" ht="34.5" customHeight="1" thickBot="1">
      <c r="A1786" s="142" t="s">
        <v>11</v>
      </c>
      <c r="B1786" s="143"/>
      <c r="C1786" s="165" t="s">
        <v>591</v>
      </c>
      <c r="D1786" s="143"/>
    </row>
    <row r="1787" spans="1:4" ht="34.5" customHeight="1" thickBot="1">
      <c r="A1787" s="137" t="s">
        <v>638</v>
      </c>
      <c r="B1787" s="138"/>
      <c r="C1787" s="138"/>
      <c r="D1787" s="139"/>
    </row>
    <row r="1788" spans="1:4" ht="34.5" customHeight="1" thickBot="1">
      <c r="A1788" s="34" t="s">
        <v>447</v>
      </c>
      <c r="B1788" s="32" t="s">
        <v>438</v>
      </c>
      <c r="C1788" s="34">
        <v>61</v>
      </c>
      <c r="D1788" s="32" t="s">
        <v>0</v>
      </c>
    </row>
    <row r="1789" spans="1:4" ht="34.5" customHeight="1" thickBot="1">
      <c r="A1789" s="37" t="s">
        <v>673</v>
      </c>
      <c r="B1789" s="36" t="s">
        <v>1</v>
      </c>
      <c r="C1789" s="34" t="s">
        <v>674</v>
      </c>
      <c r="D1789" s="32" t="s">
        <v>2</v>
      </c>
    </row>
    <row r="1790" spans="1:4" ht="34.5" customHeight="1" thickBot="1">
      <c r="A1790" s="140">
        <v>36</v>
      </c>
      <c r="B1790" s="141"/>
      <c r="C1790" s="142" t="s">
        <v>3</v>
      </c>
      <c r="D1790" s="143"/>
    </row>
    <row r="1791" spans="1:4" ht="34.5" customHeight="1" thickBot="1">
      <c r="A1791" s="140">
        <v>48</v>
      </c>
      <c r="B1791" s="141"/>
      <c r="C1791" s="144" t="s">
        <v>4</v>
      </c>
      <c r="D1791" s="145"/>
    </row>
    <row r="1792" spans="1:4" ht="34.5" customHeight="1" thickBot="1">
      <c r="A1792" s="146">
        <f>A1791-A1790</f>
        <v>12</v>
      </c>
      <c r="B1792" s="147"/>
      <c r="C1792" s="148"/>
      <c r="D1792" s="35" t="s">
        <v>5</v>
      </c>
    </row>
    <row r="1793" spans="1:4" ht="34.5" customHeight="1" thickBot="1">
      <c r="A1793" s="149">
        <v>23</v>
      </c>
      <c r="B1793" s="150"/>
      <c r="C1793" s="151"/>
      <c r="D1793" s="35" t="s">
        <v>6</v>
      </c>
    </row>
    <row r="1794" spans="1:4" ht="34.5" customHeight="1" thickBot="1">
      <c r="A1794" s="144">
        <f>A1793*A1792</f>
        <v>276</v>
      </c>
      <c r="B1794" s="152"/>
      <c r="C1794" s="145"/>
      <c r="D1794" s="35" t="s">
        <v>7</v>
      </c>
    </row>
    <row r="1795" spans="1:4" ht="34.5" customHeight="1" thickBot="1">
      <c r="A1795" s="144">
        <v>0</v>
      </c>
      <c r="B1795" s="152"/>
      <c r="C1795" s="145"/>
      <c r="D1795" s="35" t="s">
        <v>437</v>
      </c>
    </row>
    <row r="1796" spans="1:4" ht="34.5" customHeight="1" thickBot="1">
      <c r="A1796" s="34">
        <v>0</v>
      </c>
      <c r="B1796" s="32" t="s">
        <v>8</v>
      </c>
      <c r="C1796" s="33">
        <v>280</v>
      </c>
      <c r="D1796" s="32" t="s">
        <v>9</v>
      </c>
    </row>
    <row r="1797" spans="1:4" ht="34.5" customHeight="1" thickBot="1">
      <c r="A1797" s="153" t="s">
        <v>436</v>
      </c>
      <c r="B1797" s="154"/>
      <c r="C1797" s="154"/>
      <c r="D1797" s="155"/>
    </row>
    <row r="1798" spans="1:4" ht="34.5" customHeight="1" thickBot="1">
      <c r="A1798" s="156" t="s">
        <v>435</v>
      </c>
      <c r="B1798" s="157"/>
      <c r="C1798" s="157"/>
      <c r="D1798" s="158"/>
    </row>
  </sheetData>
  <mergeCells count="1625">
    <mergeCell ref="A1764:C1764"/>
    <mergeCell ref="A1766:D1766"/>
    <mergeCell ref="A1767:D1767"/>
    <mergeCell ref="A1745:C1745"/>
    <mergeCell ref="A1746:C1746"/>
    <mergeCell ref="A1747:C1747"/>
    <mergeCell ref="A1748:C1748"/>
    <mergeCell ref="A1750:D1750"/>
    <mergeCell ref="A1751:D1751"/>
    <mergeCell ref="A1753:D1754"/>
    <mergeCell ref="A1755:B1755"/>
    <mergeCell ref="C1755:D1755"/>
    <mergeCell ref="A1756:D1756"/>
    <mergeCell ref="A1759:B1759"/>
    <mergeCell ref="C1759:D1759"/>
    <mergeCell ref="A1760:B1760"/>
    <mergeCell ref="C1760:D1760"/>
    <mergeCell ref="A1761:C1761"/>
    <mergeCell ref="A1762:C1762"/>
    <mergeCell ref="A1763:C1763"/>
    <mergeCell ref="A1728:B1728"/>
    <mergeCell ref="C1728:D1728"/>
    <mergeCell ref="A1729:B1729"/>
    <mergeCell ref="C1729:D1729"/>
    <mergeCell ref="A1730:C1730"/>
    <mergeCell ref="A1731:C1731"/>
    <mergeCell ref="A1732:C1732"/>
    <mergeCell ref="A1733:C1733"/>
    <mergeCell ref="A1735:D1735"/>
    <mergeCell ref="A1736:D1736"/>
    <mergeCell ref="A1737:D1738"/>
    <mergeCell ref="A1739:B1739"/>
    <mergeCell ref="C1739:D1739"/>
    <mergeCell ref="A1740:D1740"/>
    <mergeCell ref="A1743:B1743"/>
    <mergeCell ref="C1743:D1743"/>
    <mergeCell ref="A1744:B1744"/>
    <mergeCell ref="C1744:D1744"/>
    <mergeCell ref="A1708:B1708"/>
    <mergeCell ref="C1708:D1708"/>
    <mergeCell ref="A1709:D1709"/>
    <mergeCell ref="A1712:B1712"/>
    <mergeCell ref="C1712:D1712"/>
    <mergeCell ref="A1713:B1713"/>
    <mergeCell ref="C1713:D1713"/>
    <mergeCell ref="A1714:C1714"/>
    <mergeCell ref="A1715:C1715"/>
    <mergeCell ref="A1716:C1716"/>
    <mergeCell ref="A1717:C1717"/>
    <mergeCell ref="A1719:D1719"/>
    <mergeCell ref="A1720:D1720"/>
    <mergeCell ref="A1722:D1723"/>
    <mergeCell ref="A1724:B1724"/>
    <mergeCell ref="C1724:D1724"/>
    <mergeCell ref="A1725:D1725"/>
    <mergeCell ref="A1688:D1688"/>
    <mergeCell ref="A1689:D1689"/>
    <mergeCell ref="A1691:D1692"/>
    <mergeCell ref="A1693:B1693"/>
    <mergeCell ref="C1693:D1693"/>
    <mergeCell ref="A1694:D1694"/>
    <mergeCell ref="A1697:B1697"/>
    <mergeCell ref="C1697:D1697"/>
    <mergeCell ref="A1698:B1698"/>
    <mergeCell ref="C1698:D1698"/>
    <mergeCell ref="A1699:C1699"/>
    <mergeCell ref="A1700:C1700"/>
    <mergeCell ref="A1701:C1701"/>
    <mergeCell ref="A1702:C1702"/>
    <mergeCell ref="A1704:D1704"/>
    <mergeCell ref="A1705:D1705"/>
    <mergeCell ref="A1706:D1707"/>
    <mergeCell ref="A1669:C1669"/>
    <mergeCell ref="A1670:C1670"/>
    <mergeCell ref="A1671:C1671"/>
    <mergeCell ref="A1673:D1673"/>
    <mergeCell ref="A1674:D1674"/>
    <mergeCell ref="A1675:D1676"/>
    <mergeCell ref="A1677:B1677"/>
    <mergeCell ref="C1677:D1677"/>
    <mergeCell ref="A1678:D1678"/>
    <mergeCell ref="A1681:B1681"/>
    <mergeCell ref="C1681:D1681"/>
    <mergeCell ref="A1682:B1682"/>
    <mergeCell ref="C1682:D1682"/>
    <mergeCell ref="A1683:C1683"/>
    <mergeCell ref="A1684:C1684"/>
    <mergeCell ref="A1685:C1685"/>
    <mergeCell ref="A1686:C1686"/>
    <mergeCell ref="A1651:B1651"/>
    <mergeCell ref="C1651:D1651"/>
    <mergeCell ref="A1652:C1652"/>
    <mergeCell ref="A1653:C1653"/>
    <mergeCell ref="A1654:C1654"/>
    <mergeCell ref="A1655:C1655"/>
    <mergeCell ref="A1657:D1657"/>
    <mergeCell ref="A1658:D1658"/>
    <mergeCell ref="A1660:D1661"/>
    <mergeCell ref="A1662:B1662"/>
    <mergeCell ref="C1662:D1662"/>
    <mergeCell ref="A1663:D1663"/>
    <mergeCell ref="A1666:B1666"/>
    <mergeCell ref="C1666:D1666"/>
    <mergeCell ref="A1667:B1667"/>
    <mergeCell ref="C1667:D1667"/>
    <mergeCell ref="A1668:C1668"/>
    <mergeCell ref="A1632:D1632"/>
    <mergeCell ref="A1635:B1635"/>
    <mergeCell ref="C1635:D1635"/>
    <mergeCell ref="A1636:B1636"/>
    <mergeCell ref="C1636:D1636"/>
    <mergeCell ref="A1637:C1637"/>
    <mergeCell ref="A1638:C1638"/>
    <mergeCell ref="A1639:C1639"/>
    <mergeCell ref="A1640:C1640"/>
    <mergeCell ref="A1642:D1642"/>
    <mergeCell ref="A1643:D1643"/>
    <mergeCell ref="A1644:D1645"/>
    <mergeCell ref="A1646:B1646"/>
    <mergeCell ref="C1646:D1646"/>
    <mergeCell ref="A1647:D1647"/>
    <mergeCell ref="A1650:B1650"/>
    <mergeCell ref="C1650:D1650"/>
    <mergeCell ref="A1613:D1614"/>
    <mergeCell ref="A1615:B1615"/>
    <mergeCell ref="C1615:D1615"/>
    <mergeCell ref="A1616:D1616"/>
    <mergeCell ref="A1619:B1619"/>
    <mergeCell ref="C1619:D1619"/>
    <mergeCell ref="A1620:B1620"/>
    <mergeCell ref="C1620:D1620"/>
    <mergeCell ref="A1621:C1621"/>
    <mergeCell ref="A1622:C1622"/>
    <mergeCell ref="A1623:C1623"/>
    <mergeCell ref="A1624:C1624"/>
    <mergeCell ref="A1626:D1626"/>
    <mergeCell ref="A1627:D1627"/>
    <mergeCell ref="A1629:D1630"/>
    <mergeCell ref="A1631:B1631"/>
    <mergeCell ref="C1631:D1631"/>
    <mergeCell ref="A1606:C1606"/>
    <mergeCell ref="A1607:C1607"/>
    <mergeCell ref="A1608:C1608"/>
    <mergeCell ref="A1609:C1609"/>
    <mergeCell ref="A1611:D1611"/>
    <mergeCell ref="A1612:D1612"/>
    <mergeCell ref="A1588:B1588"/>
    <mergeCell ref="C1588:D1588"/>
    <mergeCell ref="A1589:B1589"/>
    <mergeCell ref="C1589:D1589"/>
    <mergeCell ref="A1590:C1590"/>
    <mergeCell ref="A1591:C1591"/>
    <mergeCell ref="A1592:C1592"/>
    <mergeCell ref="A1593:C1593"/>
    <mergeCell ref="A1595:D1595"/>
    <mergeCell ref="A1596:D1596"/>
    <mergeCell ref="A1598:D1599"/>
    <mergeCell ref="A1600:B1600"/>
    <mergeCell ref="C1600:D1600"/>
    <mergeCell ref="A1601:D1601"/>
    <mergeCell ref="A1604:B1604"/>
    <mergeCell ref="C1604:D1604"/>
    <mergeCell ref="A1605:B1605"/>
    <mergeCell ref="C1605:D1605"/>
    <mergeCell ref="A1569:B1569"/>
    <mergeCell ref="C1569:D1569"/>
    <mergeCell ref="A1570:D1570"/>
    <mergeCell ref="A1573:B1573"/>
    <mergeCell ref="C1573:D1573"/>
    <mergeCell ref="A1574:B1574"/>
    <mergeCell ref="C1574:D1574"/>
    <mergeCell ref="A1575:C1575"/>
    <mergeCell ref="A1576:C1576"/>
    <mergeCell ref="A1577:C1577"/>
    <mergeCell ref="A1578:C1578"/>
    <mergeCell ref="A1580:D1580"/>
    <mergeCell ref="A1581:D1581"/>
    <mergeCell ref="A1582:D1583"/>
    <mergeCell ref="A1584:B1584"/>
    <mergeCell ref="C1584:D1584"/>
    <mergeCell ref="A1585:D1585"/>
    <mergeCell ref="A1549:D1549"/>
    <mergeCell ref="A1550:D1550"/>
    <mergeCell ref="A1551:D1552"/>
    <mergeCell ref="A1553:B1553"/>
    <mergeCell ref="C1553:D1553"/>
    <mergeCell ref="A1554:D1554"/>
    <mergeCell ref="A1557:B1557"/>
    <mergeCell ref="C1557:D1557"/>
    <mergeCell ref="A1558:B1558"/>
    <mergeCell ref="C1558:D1558"/>
    <mergeCell ref="A1559:C1559"/>
    <mergeCell ref="A1560:C1560"/>
    <mergeCell ref="A1561:C1561"/>
    <mergeCell ref="A1562:C1562"/>
    <mergeCell ref="A1564:D1564"/>
    <mergeCell ref="A1565:D1565"/>
    <mergeCell ref="A1567:D1568"/>
    <mergeCell ref="A1529:C1529"/>
    <mergeCell ref="A1530:C1530"/>
    <mergeCell ref="A1531:C1531"/>
    <mergeCell ref="A1533:D1533"/>
    <mergeCell ref="A1534:D1534"/>
    <mergeCell ref="A1536:D1537"/>
    <mergeCell ref="A1538:B1538"/>
    <mergeCell ref="C1538:D1538"/>
    <mergeCell ref="A1539:D1539"/>
    <mergeCell ref="A1542:B1542"/>
    <mergeCell ref="C1542:D1542"/>
    <mergeCell ref="A1543:B1543"/>
    <mergeCell ref="C1543:D1543"/>
    <mergeCell ref="A1544:C1544"/>
    <mergeCell ref="A1545:C1545"/>
    <mergeCell ref="A1546:C1546"/>
    <mergeCell ref="A1547:C1547"/>
    <mergeCell ref="A1512:B1512"/>
    <mergeCell ref="C1512:D1512"/>
    <mergeCell ref="A1513:C1513"/>
    <mergeCell ref="A1514:C1514"/>
    <mergeCell ref="A1515:C1515"/>
    <mergeCell ref="A1516:C1516"/>
    <mergeCell ref="A1518:D1518"/>
    <mergeCell ref="A1519:D1519"/>
    <mergeCell ref="A1520:D1521"/>
    <mergeCell ref="A1522:B1522"/>
    <mergeCell ref="C1522:D1522"/>
    <mergeCell ref="A1523:D1523"/>
    <mergeCell ref="A1526:B1526"/>
    <mergeCell ref="C1526:D1526"/>
    <mergeCell ref="A1527:B1527"/>
    <mergeCell ref="C1527:D1527"/>
    <mergeCell ref="A1528:C1528"/>
    <mergeCell ref="A1492:D1492"/>
    <mergeCell ref="A1495:B1495"/>
    <mergeCell ref="C1495:D1495"/>
    <mergeCell ref="A1496:B1496"/>
    <mergeCell ref="C1496:D1496"/>
    <mergeCell ref="A1497:C1497"/>
    <mergeCell ref="A1498:C1498"/>
    <mergeCell ref="A1499:C1499"/>
    <mergeCell ref="A1500:C1500"/>
    <mergeCell ref="A1502:D1502"/>
    <mergeCell ref="A1503:D1503"/>
    <mergeCell ref="A1505:D1506"/>
    <mergeCell ref="A1507:B1507"/>
    <mergeCell ref="C1507:D1507"/>
    <mergeCell ref="A1508:D1508"/>
    <mergeCell ref="A1511:B1511"/>
    <mergeCell ref="C1511:D1511"/>
    <mergeCell ref="A1474:D1475"/>
    <mergeCell ref="A1476:B1476"/>
    <mergeCell ref="C1476:D1476"/>
    <mergeCell ref="A1477:D1477"/>
    <mergeCell ref="A1480:B1480"/>
    <mergeCell ref="C1480:D1480"/>
    <mergeCell ref="A1481:B1481"/>
    <mergeCell ref="C1481:D1481"/>
    <mergeCell ref="A1482:C1482"/>
    <mergeCell ref="A1483:C1483"/>
    <mergeCell ref="A1484:C1484"/>
    <mergeCell ref="A1485:C1485"/>
    <mergeCell ref="A1487:D1487"/>
    <mergeCell ref="A1488:D1488"/>
    <mergeCell ref="A1489:D1490"/>
    <mergeCell ref="A1491:B1491"/>
    <mergeCell ref="C1491:D1491"/>
    <mergeCell ref="A1454:C1454"/>
    <mergeCell ref="A1456:D1456"/>
    <mergeCell ref="A1457:D1457"/>
    <mergeCell ref="A1458:D1459"/>
    <mergeCell ref="A1460:B1460"/>
    <mergeCell ref="C1460:D1460"/>
    <mergeCell ref="A1461:D1461"/>
    <mergeCell ref="A1464:B1464"/>
    <mergeCell ref="C1464:D1464"/>
    <mergeCell ref="A1465:B1465"/>
    <mergeCell ref="C1465:D1465"/>
    <mergeCell ref="A1466:C1466"/>
    <mergeCell ref="A1467:C1467"/>
    <mergeCell ref="A1468:C1468"/>
    <mergeCell ref="A1469:C1469"/>
    <mergeCell ref="A1471:D1471"/>
    <mergeCell ref="A1472:D1472"/>
    <mergeCell ref="A1435:C1435"/>
    <mergeCell ref="A1436:C1436"/>
    <mergeCell ref="A1437:C1437"/>
    <mergeCell ref="A1438:C1438"/>
    <mergeCell ref="A1440:D1440"/>
    <mergeCell ref="A1441:D1441"/>
    <mergeCell ref="A1443:D1444"/>
    <mergeCell ref="A1445:B1445"/>
    <mergeCell ref="C1445:D1445"/>
    <mergeCell ref="A1446:D1446"/>
    <mergeCell ref="A1449:B1449"/>
    <mergeCell ref="C1449:D1449"/>
    <mergeCell ref="A1450:B1450"/>
    <mergeCell ref="C1450:D1450"/>
    <mergeCell ref="A1451:C1451"/>
    <mergeCell ref="A1452:C1452"/>
    <mergeCell ref="A1453:C1453"/>
    <mergeCell ref="A1418:B1418"/>
    <mergeCell ref="C1418:D1418"/>
    <mergeCell ref="A1419:B1419"/>
    <mergeCell ref="C1419:D1419"/>
    <mergeCell ref="A1420:C1420"/>
    <mergeCell ref="A1421:C1421"/>
    <mergeCell ref="A1422:C1422"/>
    <mergeCell ref="A1423:C1423"/>
    <mergeCell ref="A1425:D1425"/>
    <mergeCell ref="A1426:D1426"/>
    <mergeCell ref="A1427:D1428"/>
    <mergeCell ref="A1429:B1429"/>
    <mergeCell ref="C1429:D1429"/>
    <mergeCell ref="A1430:D1430"/>
    <mergeCell ref="A1433:B1433"/>
    <mergeCell ref="C1433:D1433"/>
    <mergeCell ref="A1434:B1434"/>
    <mergeCell ref="C1434:D1434"/>
    <mergeCell ref="A1398:B1398"/>
    <mergeCell ref="C1398:D1398"/>
    <mergeCell ref="A1399:D1399"/>
    <mergeCell ref="A1402:B1402"/>
    <mergeCell ref="C1402:D1402"/>
    <mergeCell ref="A1403:B1403"/>
    <mergeCell ref="C1403:D1403"/>
    <mergeCell ref="A1404:C1404"/>
    <mergeCell ref="A1405:C1405"/>
    <mergeCell ref="A1406:C1406"/>
    <mergeCell ref="A1407:C1407"/>
    <mergeCell ref="A1409:D1409"/>
    <mergeCell ref="A1410:D1410"/>
    <mergeCell ref="A1412:D1413"/>
    <mergeCell ref="A1414:B1414"/>
    <mergeCell ref="C1414:D1414"/>
    <mergeCell ref="A1415:D1415"/>
    <mergeCell ref="A1378:D1378"/>
    <mergeCell ref="A1379:D1379"/>
    <mergeCell ref="A1381:D1382"/>
    <mergeCell ref="A1383:B1383"/>
    <mergeCell ref="C1383:D1383"/>
    <mergeCell ref="A1384:D1384"/>
    <mergeCell ref="A1387:B1387"/>
    <mergeCell ref="C1387:D1387"/>
    <mergeCell ref="A1388:B1388"/>
    <mergeCell ref="C1388:D1388"/>
    <mergeCell ref="A1389:C1389"/>
    <mergeCell ref="A1390:C1390"/>
    <mergeCell ref="A1391:C1391"/>
    <mergeCell ref="A1392:C1392"/>
    <mergeCell ref="A1394:D1394"/>
    <mergeCell ref="A1395:D1395"/>
    <mergeCell ref="A1396:D1397"/>
    <mergeCell ref="A1359:C1359"/>
    <mergeCell ref="A1360:C1360"/>
    <mergeCell ref="A1361:C1361"/>
    <mergeCell ref="A1363:D1363"/>
    <mergeCell ref="A1364:D1364"/>
    <mergeCell ref="A1365:D1366"/>
    <mergeCell ref="A1367:B1367"/>
    <mergeCell ref="C1367:D1367"/>
    <mergeCell ref="A1368:D1368"/>
    <mergeCell ref="A1371:B1371"/>
    <mergeCell ref="C1371:D1371"/>
    <mergeCell ref="A1372:B1372"/>
    <mergeCell ref="C1372:D1372"/>
    <mergeCell ref="A1373:C1373"/>
    <mergeCell ref="A1374:C1374"/>
    <mergeCell ref="A1375:C1375"/>
    <mergeCell ref="A1376:C1376"/>
    <mergeCell ref="A1341:B1341"/>
    <mergeCell ref="C1341:D1341"/>
    <mergeCell ref="A1342:C1342"/>
    <mergeCell ref="A1343:C1343"/>
    <mergeCell ref="A1344:C1344"/>
    <mergeCell ref="A1345:C1345"/>
    <mergeCell ref="A1347:D1347"/>
    <mergeCell ref="A1348:D1348"/>
    <mergeCell ref="A1350:D1351"/>
    <mergeCell ref="A1352:B1352"/>
    <mergeCell ref="C1352:D1352"/>
    <mergeCell ref="A1353:D1353"/>
    <mergeCell ref="A1356:B1356"/>
    <mergeCell ref="C1356:D1356"/>
    <mergeCell ref="A1357:B1357"/>
    <mergeCell ref="C1357:D1357"/>
    <mergeCell ref="A1358:C1358"/>
    <mergeCell ref="A1322:D1322"/>
    <mergeCell ref="A1325:B1325"/>
    <mergeCell ref="C1325:D1325"/>
    <mergeCell ref="A1326:B1326"/>
    <mergeCell ref="C1326:D1326"/>
    <mergeCell ref="A1334:D1335"/>
    <mergeCell ref="A1336:B1336"/>
    <mergeCell ref="C1336:D1336"/>
    <mergeCell ref="A1327:C1327"/>
    <mergeCell ref="A1328:C1328"/>
    <mergeCell ref="A1329:C1329"/>
    <mergeCell ref="A1330:C1330"/>
    <mergeCell ref="A1332:D1332"/>
    <mergeCell ref="A1333:D1333"/>
    <mergeCell ref="A1337:D1337"/>
    <mergeCell ref="A1340:B1340"/>
    <mergeCell ref="C1340:D1340"/>
    <mergeCell ref="A1303:D1304"/>
    <mergeCell ref="A1305:B1305"/>
    <mergeCell ref="C1305:D1305"/>
    <mergeCell ref="A1306:D1306"/>
    <mergeCell ref="A1309:B1309"/>
    <mergeCell ref="C1309:D1309"/>
    <mergeCell ref="A1310:B1310"/>
    <mergeCell ref="C1310:D1310"/>
    <mergeCell ref="A1311:C1311"/>
    <mergeCell ref="A1312:C1312"/>
    <mergeCell ref="A1313:C1313"/>
    <mergeCell ref="A1314:C1314"/>
    <mergeCell ref="A1316:D1316"/>
    <mergeCell ref="A1317:D1317"/>
    <mergeCell ref="A1319:D1320"/>
    <mergeCell ref="A1321:B1321"/>
    <mergeCell ref="C1321:D1321"/>
    <mergeCell ref="A1283:C1283"/>
    <mergeCell ref="A1285:D1285"/>
    <mergeCell ref="A1286:D1286"/>
    <mergeCell ref="A1288:D1289"/>
    <mergeCell ref="A1290:B1290"/>
    <mergeCell ref="C1290:D1290"/>
    <mergeCell ref="A1291:D1291"/>
    <mergeCell ref="A1294:B1294"/>
    <mergeCell ref="C1294:D1294"/>
    <mergeCell ref="A1295:B1295"/>
    <mergeCell ref="C1295:D1295"/>
    <mergeCell ref="A1296:C1296"/>
    <mergeCell ref="A1297:C1297"/>
    <mergeCell ref="A1298:C1298"/>
    <mergeCell ref="A1299:C1299"/>
    <mergeCell ref="A1301:D1301"/>
    <mergeCell ref="A1302:D1302"/>
    <mergeCell ref="A1265:C1265"/>
    <mergeCell ref="A1266:C1266"/>
    <mergeCell ref="A1267:C1267"/>
    <mergeCell ref="A1268:C1268"/>
    <mergeCell ref="A1270:D1270"/>
    <mergeCell ref="A1271:D1271"/>
    <mergeCell ref="A1272:D1273"/>
    <mergeCell ref="A1274:B1274"/>
    <mergeCell ref="C1274:D1274"/>
    <mergeCell ref="A1275:D1275"/>
    <mergeCell ref="A1278:B1278"/>
    <mergeCell ref="C1278:D1278"/>
    <mergeCell ref="A1279:B1279"/>
    <mergeCell ref="C1279:D1279"/>
    <mergeCell ref="A1280:C1280"/>
    <mergeCell ref="A1281:C1281"/>
    <mergeCell ref="A1282:C1282"/>
    <mergeCell ref="A1247:B1247"/>
    <mergeCell ref="C1247:D1247"/>
    <mergeCell ref="A1248:B1248"/>
    <mergeCell ref="C1248:D1248"/>
    <mergeCell ref="A1249:C1249"/>
    <mergeCell ref="A1250:C1250"/>
    <mergeCell ref="A1251:C1251"/>
    <mergeCell ref="A1252:C1252"/>
    <mergeCell ref="A1254:D1254"/>
    <mergeCell ref="A1255:D1255"/>
    <mergeCell ref="A1257:D1258"/>
    <mergeCell ref="A1259:B1259"/>
    <mergeCell ref="C1259:D1259"/>
    <mergeCell ref="A1260:D1260"/>
    <mergeCell ref="A1263:B1263"/>
    <mergeCell ref="C1263:D1263"/>
    <mergeCell ref="A1264:B1264"/>
    <mergeCell ref="C1264:D1264"/>
    <mergeCell ref="A1228:B1228"/>
    <mergeCell ref="C1228:D1228"/>
    <mergeCell ref="A1229:D1229"/>
    <mergeCell ref="A1232:B1232"/>
    <mergeCell ref="C1232:D1232"/>
    <mergeCell ref="A1233:B1233"/>
    <mergeCell ref="C1233:D1233"/>
    <mergeCell ref="A1234:C1234"/>
    <mergeCell ref="A1235:C1235"/>
    <mergeCell ref="A1236:C1236"/>
    <mergeCell ref="A1237:C1237"/>
    <mergeCell ref="A1239:D1239"/>
    <mergeCell ref="A1240:D1240"/>
    <mergeCell ref="A1241:D1242"/>
    <mergeCell ref="A1243:B1243"/>
    <mergeCell ref="C1243:D1243"/>
    <mergeCell ref="A1244:D1244"/>
    <mergeCell ref="A1208:D1208"/>
    <mergeCell ref="A1209:D1209"/>
    <mergeCell ref="A1210:D1211"/>
    <mergeCell ref="A1212:B1212"/>
    <mergeCell ref="C1212:D1212"/>
    <mergeCell ref="A1213:D1213"/>
    <mergeCell ref="A1216:B1216"/>
    <mergeCell ref="C1216:D1216"/>
    <mergeCell ref="A1217:B1217"/>
    <mergeCell ref="C1217:D1217"/>
    <mergeCell ref="A1218:C1218"/>
    <mergeCell ref="A1219:C1219"/>
    <mergeCell ref="A1220:C1220"/>
    <mergeCell ref="A1221:C1221"/>
    <mergeCell ref="A1223:D1223"/>
    <mergeCell ref="A1224:D1224"/>
    <mergeCell ref="A1226:D1227"/>
    <mergeCell ref="A1188:C1188"/>
    <mergeCell ref="A1189:C1189"/>
    <mergeCell ref="A1190:C1190"/>
    <mergeCell ref="A1192:D1192"/>
    <mergeCell ref="A1193:D1193"/>
    <mergeCell ref="A1195:D1196"/>
    <mergeCell ref="A1197:B1197"/>
    <mergeCell ref="C1197:D1197"/>
    <mergeCell ref="A1198:D1198"/>
    <mergeCell ref="A1201:B1201"/>
    <mergeCell ref="C1201:D1201"/>
    <mergeCell ref="A1202:B1202"/>
    <mergeCell ref="C1202:D1202"/>
    <mergeCell ref="A1203:C1203"/>
    <mergeCell ref="A1204:C1204"/>
    <mergeCell ref="A1205:C1205"/>
    <mergeCell ref="A1206:C1206"/>
    <mergeCell ref="A1171:B1171"/>
    <mergeCell ref="C1171:D1171"/>
    <mergeCell ref="A1172:C1172"/>
    <mergeCell ref="A1173:C1173"/>
    <mergeCell ref="A1174:C1174"/>
    <mergeCell ref="A1175:C1175"/>
    <mergeCell ref="A1177:D1177"/>
    <mergeCell ref="A1178:D1178"/>
    <mergeCell ref="A1179:D1180"/>
    <mergeCell ref="A1181:B1181"/>
    <mergeCell ref="C1181:D1181"/>
    <mergeCell ref="A1182:D1182"/>
    <mergeCell ref="A1185:B1185"/>
    <mergeCell ref="C1185:D1185"/>
    <mergeCell ref="A1186:B1186"/>
    <mergeCell ref="C1186:D1186"/>
    <mergeCell ref="A1187:C1187"/>
    <mergeCell ref="A1151:D1151"/>
    <mergeCell ref="A1154:B1154"/>
    <mergeCell ref="C1154:D1154"/>
    <mergeCell ref="A1155:B1155"/>
    <mergeCell ref="C1155:D1155"/>
    <mergeCell ref="A1156:C1156"/>
    <mergeCell ref="A1157:C1157"/>
    <mergeCell ref="A1158:C1158"/>
    <mergeCell ref="A1159:C1159"/>
    <mergeCell ref="A1161:D1161"/>
    <mergeCell ref="A1162:D1162"/>
    <mergeCell ref="A1164:D1165"/>
    <mergeCell ref="A1166:B1166"/>
    <mergeCell ref="C1166:D1166"/>
    <mergeCell ref="A1167:D1167"/>
    <mergeCell ref="A1170:B1170"/>
    <mergeCell ref="C1170:D1170"/>
    <mergeCell ref="A1133:D1134"/>
    <mergeCell ref="A1135:B1135"/>
    <mergeCell ref="C1135:D1135"/>
    <mergeCell ref="A1136:D1136"/>
    <mergeCell ref="A1139:B1139"/>
    <mergeCell ref="C1139:D1139"/>
    <mergeCell ref="A1140:B1140"/>
    <mergeCell ref="C1140:D1140"/>
    <mergeCell ref="A1141:C1141"/>
    <mergeCell ref="A1142:C1142"/>
    <mergeCell ref="A1143:C1143"/>
    <mergeCell ref="A1144:C1144"/>
    <mergeCell ref="A1146:D1146"/>
    <mergeCell ref="A1147:D1147"/>
    <mergeCell ref="A1148:D1149"/>
    <mergeCell ref="A1150:B1150"/>
    <mergeCell ref="C1150:D1150"/>
    <mergeCell ref="A1113:C1113"/>
    <mergeCell ref="A1115:D1115"/>
    <mergeCell ref="A1116:D1116"/>
    <mergeCell ref="A1117:D1118"/>
    <mergeCell ref="A1119:B1119"/>
    <mergeCell ref="C1119:D1119"/>
    <mergeCell ref="A1120:D1120"/>
    <mergeCell ref="A1123:B1123"/>
    <mergeCell ref="C1123:D1123"/>
    <mergeCell ref="A1124:B1124"/>
    <mergeCell ref="C1124:D1124"/>
    <mergeCell ref="A1125:C1125"/>
    <mergeCell ref="A1126:C1126"/>
    <mergeCell ref="A1127:C1127"/>
    <mergeCell ref="A1128:C1128"/>
    <mergeCell ref="A1130:D1130"/>
    <mergeCell ref="A1131:D1131"/>
    <mergeCell ref="A1094:C1094"/>
    <mergeCell ref="A1095:C1095"/>
    <mergeCell ref="A1096:C1096"/>
    <mergeCell ref="A1097:C1097"/>
    <mergeCell ref="A1099:D1099"/>
    <mergeCell ref="A1100:D1100"/>
    <mergeCell ref="A1102:D1103"/>
    <mergeCell ref="A1104:B1104"/>
    <mergeCell ref="C1104:D1104"/>
    <mergeCell ref="A1105:D1105"/>
    <mergeCell ref="A1108:B1108"/>
    <mergeCell ref="C1108:D1108"/>
    <mergeCell ref="A1109:B1109"/>
    <mergeCell ref="C1109:D1109"/>
    <mergeCell ref="A1110:C1110"/>
    <mergeCell ref="A1111:C1111"/>
    <mergeCell ref="A1112:C1112"/>
    <mergeCell ref="A1077:B1077"/>
    <mergeCell ref="C1077:D1077"/>
    <mergeCell ref="A1078:B1078"/>
    <mergeCell ref="C1078:D1078"/>
    <mergeCell ref="A1079:C1079"/>
    <mergeCell ref="A1080:C1080"/>
    <mergeCell ref="A1081:C1081"/>
    <mergeCell ref="A1082:C1082"/>
    <mergeCell ref="A1084:D1084"/>
    <mergeCell ref="A1085:D1085"/>
    <mergeCell ref="A1086:D1087"/>
    <mergeCell ref="A1088:B1088"/>
    <mergeCell ref="C1088:D1088"/>
    <mergeCell ref="A1089:D1089"/>
    <mergeCell ref="A1092:B1092"/>
    <mergeCell ref="C1092:D1092"/>
    <mergeCell ref="A1093:B1093"/>
    <mergeCell ref="C1093:D1093"/>
    <mergeCell ref="A1057:B1057"/>
    <mergeCell ref="C1057:D1057"/>
    <mergeCell ref="A1058:D1058"/>
    <mergeCell ref="A1061:B1061"/>
    <mergeCell ref="C1061:D1061"/>
    <mergeCell ref="A1062:B1062"/>
    <mergeCell ref="C1062:D1062"/>
    <mergeCell ref="A1063:C1063"/>
    <mergeCell ref="A1064:C1064"/>
    <mergeCell ref="A1065:C1065"/>
    <mergeCell ref="A1066:C1066"/>
    <mergeCell ref="A1068:D1068"/>
    <mergeCell ref="A1069:D1069"/>
    <mergeCell ref="A1071:D1072"/>
    <mergeCell ref="A1073:B1073"/>
    <mergeCell ref="C1073:D1073"/>
    <mergeCell ref="A1074:D1074"/>
    <mergeCell ref="A1037:D1037"/>
    <mergeCell ref="A1038:D1038"/>
    <mergeCell ref="A1040:D1041"/>
    <mergeCell ref="A1042:B1042"/>
    <mergeCell ref="C1042:D1042"/>
    <mergeCell ref="A1043:D1043"/>
    <mergeCell ref="A1046:B1046"/>
    <mergeCell ref="C1046:D1046"/>
    <mergeCell ref="A1047:B1047"/>
    <mergeCell ref="C1047:D1047"/>
    <mergeCell ref="A1048:C1048"/>
    <mergeCell ref="A1049:C1049"/>
    <mergeCell ref="A1050:C1050"/>
    <mergeCell ref="A1051:C1051"/>
    <mergeCell ref="A1053:D1053"/>
    <mergeCell ref="A1054:D1054"/>
    <mergeCell ref="A1055:D1056"/>
    <mergeCell ref="A1018:C1018"/>
    <mergeCell ref="A1019:C1019"/>
    <mergeCell ref="A1020:C1020"/>
    <mergeCell ref="A1022:D1022"/>
    <mergeCell ref="A1023:D1023"/>
    <mergeCell ref="A1024:D1025"/>
    <mergeCell ref="A1026:B1026"/>
    <mergeCell ref="C1026:D1026"/>
    <mergeCell ref="A1027:D1027"/>
    <mergeCell ref="A1030:B1030"/>
    <mergeCell ref="C1030:D1030"/>
    <mergeCell ref="A1031:B1031"/>
    <mergeCell ref="C1031:D1031"/>
    <mergeCell ref="A1032:C1032"/>
    <mergeCell ref="A1033:C1033"/>
    <mergeCell ref="A1034:C1034"/>
    <mergeCell ref="A1035:C1035"/>
    <mergeCell ref="A1000:B1000"/>
    <mergeCell ref="C1000:D1000"/>
    <mergeCell ref="A1001:C1001"/>
    <mergeCell ref="A1002:C1002"/>
    <mergeCell ref="A1003:C1003"/>
    <mergeCell ref="A1004:C1004"/>
    <mergeCell ref="A1006:D1006"/>
    <mergeCell ref="A1007:D1007"/>
    <mergeCell ref="A1009:D1010"/>
    <mergeCell ref="A1011:B1011"/>
    <mergeCell ref="C1011:D1011"/>
    <mergeCell ref="A1012:D1012"/>
    <mergeCell ref="A1015:B1015"/>
    <mergeCell ref="C1015:D1015"/>
    <mergeCell ref="A1016:B1016"/>
    <mergeCell ref="C1016:D1016"/>
    <mergeCell ref="A1017:C1017"/>
    <mergeCell ref="A981:D981"/>
    <mergeCell ref="A984:B984"/>
    <mergeCell ref="C984:D984"/>
    <mergeCell ref="A985:B985"/>
    <mergeCell ref="C985:D985"/>
    <mergeCell ref="A986:C986"/>
    <mergeCell ref="A987:C987"/>
    <mergeCell ref="A988:C988"/>
    <mergeCell ref="A989:C989"/>
    <mergeCell ref="A991:D991"/>
    <mergeCell ref="A992:D992"/>
    <mergeCell ref="A993:D994"/>
    <mergeCell ref="A995:B995"/>
    <mergeCell ref="C995:D995"/>
    <mergeCell ref="A996:D996"/>
    <mergeCell ref="A999:B999"/>
    <mergeCell ref="C999:D999"/>
    <mergeCell ref="A962:D963"/>
    <mergeCell ref="A964:B964"/>
    <mergeCell ref="C964:D964"/>
    <mergeCell ref="A965:D965"/>
    <mergeCell ref="A968:B968"/>
    <mergeCell ref="C968:D968"/>
    <mergeCell ref="A969:B969"/>
    <mergeCell ref="C969:D969"/>
    <mergeCell ref="A970:C970"/>
    <mergeCell ref="A971:C971"/>
    <mergeCell ref="A972:C972"/>
    <mergeCell ref="A973:C973"/>
    <mergeCell ref="A975:D975"/>
    <mergeCell ref="A976:D976"/>
    <mergeCell ref="A978:D979"/>
    <mergeCell ref="A980:B980"/>
    <mergeCell ref="C980:D980"/>
    <mergeCell ref="A942:C942"/>
    <mergeCell ref="A944:D944"/>
    <mergeCell ref="A945:D945"/>
    <mergeCell ref="A947:D948"/>
    <mergeCell ref="A949:B949"/>
    <mergeCell ref="C949:D949"/>
    <mergeCell ref="A950:D950"/>
    <mergeCell ref="A953:B953"/>
    <mergeCell ref="C953:D953"/>
    <mergeCell ref="A954:B954"/>
    <mergeCell ref="C954:D954"/>
    <mergeCell ref="A955:C955"/>
    <mergeCell ref="A956:C956"/>
    <mergeCell ref="A957:C957"/>
    <mergeCell ref="A958:C958"/>
    <mergeCell ref="A960:D960"/>
    <mergeCell ref="A961:D961"/>
    <mergeCell ref="A924:C924"/>
    <mergeCell ref="A925:C925"/>
    <mergeCell ref="A926:C926"/>
    <mergeCell ref="A927:C927"/>
    <mergeCell ref="A929:D929"/>
    <mergeCell ref="A930:D930"/>
    <mergeCell ref="A931:D932"/>
    <mergeCell ref="A933:B933"/>
    <mergeCell ref="C933:D933"/>
    <mergeCell ref="A934:D934"/>
    <mergeCell ref="A937:B937"/>
    <mergeCell ref="C937:D937"/>
    <mergeCell ref="A938:B938"/>
    <mergeCell ref="C938:D938"/>
    <mergeCell ref="A939:C939"/>
    <mergeCell ref="A940:C940"/>
    <mergeCell ref="A941:C941"/>
    <mergeCell ref="A906:B906"/>
    <mergeCell ref="C906:D906"/>
    <mergeCell ref="A907:B907"/>
    <mergeCell ref="C907:D907"/>
    <mergeCell ref="A908:C908"/>
    <mergeCell ref="A909:C909"/>
    <mergeCell ref="A910:C910"/>
    <mergeCell ref="A911:C911"/>
    <mergeCell ref="A913:D913"/>
    <mergeCell ref="A914:D914"/>
    <mergeCell ref="A916:D917"/>
    <mergeCell ref="A918:B918"/>
    <mergeCell ref="C918:D918"/>
    <mergeCell ref="A919:D919"/>
    <mergeCell ref="A922:B922"/>
    <mergeCell ref="C922:D922"/>
    <mergeCell ref="A923:B923"/>
    <mergeCell ref="C923:D923"/>
    <mergeCell ref="A887:B887"/>
    <mergeCell ref="C887:D887"/>
    <mergeCell ref="A888:D888"/>
    <mergeCell ref="A891:B891"/>
    <mergeCell ref="C891:D891"/>
    <mergeCell ref="A892:B892"/>
    <mergeCell ref="C892:D892"/>
    <mergeCell ref="A893:C893"/>
    <mergeCell ref="A894:C894"/>
    <mergeCell ref="A895:C895"/>
    <mergeCell ref="A896:C896"/>
    <mergeCell ref="A898:D898"/>
    <mergeCell ref="A899:D899"/>
    <mergeCell ref="A900:D901"/>
    <mergeCell ref="A902:B902"/>
    <mergeCell ref="C902:D902"/>
    <mergeCell ref="A903:D903"/>
    <mergeCell ref="A867:D867"/>
    <mergeCell ref="A868:D868"/>
    <mergeCell ref="A869:D870"/>
    <mergeCell ref="A871:B871"/>
    <mergeCell ref="C871:D871"/>
    <mergeCell ref="A872:D872"/>
    <mergeCell ref="A875:B875"/>
    <mergeCell ref="C875:D875"/>
    <mergeCell ref="A876:B876"/>
    <mergeCell ref="C876:D876"/>
    <mergeCell ref="A877:C877"/>
    <mergeCell ref="A878:C878"/>
    <mergeCell ref="A879:C879"/>
    <mergeCell ref="A880:C880"/>
    <mergeCell ref="A882:D882"/>
    <mergeCell ref="A883:D883"/>
    <mergeCell ref="A885:D886"/>
    <mergeCell ref="A847:C847"/>
    <mergeCell ref="A848:C848"/>
    <mergeCell ref="A849:C849"/>
    <mergeCell ref="A851:D851"/>
    <mergeCell ref="A852:D852"/>
    <mergeCell ref="A854:D855"/>
    <mergeCell ref="A856:B856"/>
    <mergeCell ref="C856:D856"/>
    <mergeCell ref="A857:D857"/>
    <mergeCell ref="A860:B860"/>
    <mergeCell ref="C860:D860"/>
    <mergeCell ref="A861:B861"/>
    <mergeCell ref="C861:D861"/>
    <mergeCell ref="A862:C862"/>
    <mergeCell ref="A863:C863"/>
    <mergeCell ref="A864:C864"/>
    <mergeCell ref="A865:C865"/>
    <mergeCell ref="A830:B830"/>
    <mergeCell ref="C830:D830"/>
    <mergeCell ref="A831:C831"/>
    <mergeCell ref="A832:C832"/>
    <mergeCell ref="A833:C833"/>
    <mergeCell ref="A834:C834"/>
    <mergeCell ref="A836:D836"/>
    <mergeCell ref="A837:D837"/>
    <mergeCell ref="A838:D839"/>
    <mergeCell ref="A840:B840"/>
    <mergeCell ref="C840:D840"/>
    <mergeCell ref="A841:D841"/>
    <mergeCell ref="A844:B844"/>
    <mergeCell ref="C844:D844"/>
    <mergeCell ref="A845:B845"/>
    <mergeCell ref="C845:D845"/>
    <mergeCell ref="A846:C846"/>
    <mergeCell ref="A810:D810"/>
    <mergeCell ref="A813:B813"/>
    <mergeCell ref="C813:D813"/>
    <mergeCell ref="A814:B814"/>
    <mergeCell ref="C814:D814"/>
    <mergeCell ref="A815:C815"/>
    <mergeCell ref="A816:C816"/>
    <mergeCell ref="A817:C817"/>
    <mergeCell ref="A818:C818"/>
    <mergeCell ref="A820:D820"/>
    <mergeCell ref="A821:D821"/>
    <mergeCell ref="A823:D824"/>
    <mergeCell ref="A825:B825"/>
    <mergeCell ref="C825:D825"/>
    <mergeCell ref="A826:D826"/>
    <mergeCell ref="A829:B829"/>
    <mergeCell ref="C829:D829"/>
    <mergeCell ref="A792:D793"/>
    <mergeCell ref="A794:B794"/>
    <mergeCell ref="C794:D794"/>
    <mergeCell ref="A795:D795"/>
    <mergeCell ref="A798:B798"/>
    <mergeCell ref="C798:D798"/>
    <mergeCell ref="A799:B799"/>
    <mergeCell ref="C799:D799"/>
    <mergeCell ref="A800:C800"/>
    <mergeCell ref="A801:C801"/>
    <mergeCell ref="A802:C802"/>
    <mergeCell ref="A803:C803"/>
    <mergeCell ref="A805:D805"/>
    <mergeCell ref="A806:D806"/>
    <mergeCell ref="A807:D808"/>
    <mergeCell ref="A809:B809"/>
    <mergeCell ref="C809:D809"/>
    <mergeCell ref="A774:D774"/>
    <mergeCell ref="A775:D775"/>
    <mergeCell ref="E775:F775"/>
    <mergeCell ref="A776:D777"/>
    <mergeCell ref="A778:B778"/>
    <mergeCell ref="C778:D778"/>
    <mergeCell ref="A779:D779"/>
    <mergeCell ref="A782:B782"/>
    <mergeCell ref="C782:D782"/>
    <mergeCell ref="A783:B783"/>
    <mergeCell ref="C783:D783"/>
    <mergeCell ref="A784:C784"/>
    <mergeCell ref="A785:C785"/>
    <mergeCell ref="A786:C786"/>
    <mergeCell ref="A787:C787"/>
    <mergeCell ref="A789:D789"/>
    <mergeCell ref="A790:D790"/>
    <mergeCell ref="A754:C754"/>
    <mergeCell ref="A755:C755"/>
    <mergeCell ref="A756:C756"/>
    <mergeCell ref="A758:D758"/>
    <mergeCell ref="A759:D759"/>
    <mergeCell ref="A761:D762"/>
    <mergeCell ref="A763:B763"/>
    <mergeCell ref="C763:D763"/>
    <mergeCell ref="A764:D764"/>
    <mergeCell ref="A767:B767"/>
    <mergeCell ref="C767:D767"/>
    <mergeCell ref="A768:B768"/>
    <mergeCell ref="C768:D768"/>
    <mergeCell ref="A769:C769"/>
    <mergeCell ref="A770:C770"/>
    <mergeCell ref="A771:C771"/>
    <mergeCell ref="A772:C772"/>
    <mergeCell ref="A737:B737"/>
    <mergeCell ref="C737:D737"/>
    <mergeCell ref="A738:C738"/>
    <mergeCell ref="A739:C739"/>
    <mergeCell ref="A740:C740"/>
    <mergeCell ref="A741:C741"/>
    <mergeCell ref="A743:D743"/>
    <mergeCell ref="A744:D744"/>
    <mergeCell ref="A745:D746"/>
    <mergeCell ref="A747:B747"/>
    <mergeCell ref="C747:D747"/>
    <mergeCell ref="A748:D748"/>
    <mergeCell ref="A751:B751"/>
    <mergeCell ref="C751:D751"/>
    <mergeCell ref="A752:B752"/>
    <mergeCell ref="C752:D752"/>
    <mergeCell ref="A753:C753"/>
    <mergeCell ref="A717:D717"/>
    <mergeCell ref="A720:B720"/>
    <mergeCell ref="C720:D720"/>
    <mergeCell ref="A721:B721"/>
    <mergeCell ref="C721:D721"/>
    <mergeCell ref="A722:C722"/>
    <mergeCell ref="A723:C723"/>
    <mergeCell ref="A724:C724"/>
    <mergeCell ref="A725:C725"/>
    <mergeCell ref="A727:D727"/>
    <mergeCell ref="A728:D728"/>
    <mergeCell ref="A730:D731"/>
    <mergeCell ref="A732:B732"/>
    <mergeCell ref="C732:D732"/>
    <mergeCell ref="A733:D733"/>
    <mergeCell ref="A736:B736"/>
    <mergeCell ref="C736:D736"/>
    <mergeCell ref="A699:D700"/>
    <mergeCell ref="A701:B701"/>
    <mergeCell ref="C701:D701"/>
    <mergeCell ref="A702:D702"/>
    <mergeCell ref="A705:B705"/>
    <mergeCell ref="C705:D705"/>
    <mergeCell ref="A706:B706"/>
    <mergeCell ref="C706:D706"/>
    <mergeCell ref="A707:C707"/>
    <mergeCell ref="A708:C708"/>
    <mergeCell ref="A709:C709"/>
    <mergeCell ref="A710:C710"/>
    <mergeCell ref="A712:D712"/>
    <mergeCell ref="A713:D713"/>
    <mergeCell ref="A714:D715"/>
    <mergeCell ref="A716:B716"/>
    <mergeCell ref="C716:D716"/>
    <mergeCell ref="A679:C679"/>
    <mergeCell ref="A681:D681"/>
    <mergeCell ref="A682:D682"/>
    <mergeCell ref="A683:D684"/>
    <mergeCell ref="A685:B685"/>
    <mergeCell ref="C685:D685"/>
    <mergeCell ref="A686:D686"/>
    <mergeCell ref="A689:B689"/>
    <mergeCell ref="C689:D689"/>
    <mergeCell ref="A690:B690"/>
    <mergeCell ref="C690:D690"/>
    <mergeCell ref="A691:C691"/>
    <mergeCell ref="A692:C692"/>
    <mergeCell ref="A693:C693"/>
    <mergeCell ref="A694:C694"/>
    <mergeCell ref="A696:D696"/>
    <mergeCell ref="A697:D697"/>
    <mergeCell ref="A660:C660"/>
    <mergeCell ref="A661:C661"/>
    <mergeCell ref="A662:C662"/>
    <mergeCell ref="A663:C663"/>
    <mergeCell ref="A665:D665"/>
    <mergeCell ref="A666:D666"/>
    <mergeCell ref="A668:D669"/>
    <mergeCell ref="A670:B670"/>
    <mergeCell ref="C670:D670"/>
    <mergeCell ref="A671:D671"/>
    <mergeCell ref="A674:B674"/>
    <mergeCell ref="C674:D674"/>
    <mergeCell ref="A675:B675"/>
    <mergeCell ref="C675:D675"/>
    <mergeCell ref="A676:C676"/>
    <mergeCell ref="A677:C677"/>
    <mergeCell ref="A678:C678"/>
    <mergeCell ref="A651:D651"/>
    <mergeCell ref="A643:B643"/>
    <mergeCell ref="C643:D643"/>
    <mergeCell ref="A644:B644"/>
    <mergeCell ref="C644:D644"/>
    <mergeCell ref="A645:C645"/>
    <mergeCell ref="A646:C646"/>
    <mergeCell ref="A652:D653"/>
    <mergeCell ref="A654:B654"/>
    <mergeCell ref="C654:D654"/>
    <mergeCell ref="A655:D655"/>
    <mergeCell ref="A658:B658"/>
    <mergeCell ref="C658:D658"/>
    <mergeCell ref="A659:B659"/>
    <mergeCell ref="C659:D659"/>
    <mergeCell ref="A615:C615"/>
    <mergeCell ref="A647:C647"/>
    <mergeCell ref="A650:D650"/>
    <mergeCell ref="A616:C616"/>
    <mergeCell ref="A617:C617"/>
    <mergeCell ref="A619:D619"/>
    <mergeCell ref="A620:D620"/>
    <mergeCell ref="A621:D622"/>
    <mergeCell ref="A623:B623"/>
    <mergeCell ref="C623:D623"/>
    <mergeCell ref="A624:D624"/>
    <mergeCell ref="A627:B627"/>
    <mergeCell ref="C627:D627"/>
    <mergeCell ref="A628:B628"/>
    <mergeCell ref="C628:D628"/>
    <mergeCell ref="A629:C629"/>
    <mergeCell ref="A630:C630"/>
    <mergeCell ref="A631:C631"/>
    <mergeCell ref="A632:C632"/>
    <mergeCell ref="A634:D634"/>
    <mergeCell ref="A635:D635"/>
    <mergeCell ref="A640:D640"/>
    <mergeCell ref="A648:C648"/>
    <mergeCell ref="A637:D638"/>
    <mergeCell ref="A639:B639"/>
    <mergeCell ref="C639:D639"/>
    <mergeCell ref="A597:B597"/>
    <mergeCell ref="C597:D597"/>
    <mergeCell ref="A598:C598"/>
    <mergeCell ref="A599:C599"/>
    <mergeCell ref="A600:C600"/>
    <mergeCell ref="A601:C601"/>
    <mergeCell ref="A603:D603"/>
    <mergeCell ref="A604:D604"/>
    <mergeCell ref="A606:D607"/>
    <mergeCell ref="A608:B608"/>
    <mergeCell ref="C608:D608"/>
    <mergeCell ref="A609:D609"/>
    <mergeCell ref="A612:B612"/>
    <mergeCell ref="C612:D612"/>
    <mergeCell ref="A613:B613"/>
    <mergeCell ref="C613:D613"/>
    <mergeCell ref="A614:C614"/>
    <mergeCell ref="A578:D578"/>
    <mergeCell ref="A581:B581"/>
    <mergeCell ref="C581:D581"/>
    <mergeCell ref="A582:B582"/>
    <mergeCell ref="C582:D582"/>
    <mergeCell ref="A583:C583"/>
    <mergeCell ref="A584:C584"/>
    <mergeCell ref="A585:C585"/>
    <mergeCell ref="A586:C586"/>
    <mergeCell ref="A588:D588"/>
    <mergeCell ref="A589:D589"/>
    <mergeCell ref="A590:D591"/>
    <mergeCell ref="A592:B592"/>
    <mergeCell ref="C592:D592"/>
    <mergeCell ref="A593:D593"/>
    <mergeCell ref="A596:B596"/>
    <mergeCell ref="C596:D596"/>
    <mergeCell ref="A559:D560"/>
    <mergeCell ref="A561:B561"/>
    <mergeCell ref="C561:D561"/>
    <mergeCell ref="A562:D562"/>
    <mergeCell ref="A565:B565"/>
    <mergeCell ref="C565:D565"/>
    <mergeCell ref="A566:B566"/>
    <mergeCell ref="C566:D566"/>
    <mergeCell ref="A567:C567"/>
    <mergeCell ref="A568:C568"/>
    <mergeCell ref="A569:C569"/>
    <mergeCell ref="A570:C570"/>
    <mergeCell ref="A572:D572"/>
    <mergeCell ref="A573:D573"/>
    <mergeCell ref="A575:D576"/>
    <mergeCell ref="A577:B577"/>
    <mergeCell ref="C577:D577"/>
    <mergeCell ref="A539:C539"/>
    <mergeCell ref="A541:D541"/>
    <mergeCell ref="A542:D542"/>
    <mergeCell ref="A544:D545"/>
    <mergeCell ref="A546:B546"/>
    <mergeCell ref="C546:D546"/>
    <mergeCell ref="A547:D547"/>
    <mergeCell ref="A550:B550"/>
    <mergeCell ref="C550:D550"/>
    <mergeCell ref="A551:B551"/>
    <mergeCell ref="C551:D551"/>
    <mergeCell ref="A552:C552"/>
    <mergeCell ref="A553:C553"/>
    <mergeCell ref="A554:C554"/>
    <mergeCell ref="A555:C555"/>
    <mergeCell ref="A557:D557"/>
    <mergeCell ref="A558:D558"/>
    <mergeCell ref="A521:C521"/>
    <mergeCell ref="A522:C522"/>
    <mergeCell ref="A523:C523"/>
    <mergeCell ref="A524:C524"/>
    <mergeCell ref="A526:D526"/>
    <mergeCell ref="A527:D527"/>
    <mergeCell ref="A528:D529"/>
    <mergeCell ref="A530:B530"/>
    <mergeCell ref="C530:D530"/>
    <mergeCell ref="A531:D531"/>
    <mergeCell ref="A534:B534"/>
    <mergeCell ref="C534:D534"/>
    <mergeCell ref="A535:B535"/>
    <mergeCell ref="C535:D535"/>
    <mergeCell ref="A536:C536"/>
    <mergeCell ref="A537:C537"/>
    <mergeCell ref="A538:C538"/>
    <mergeCell ref="A503:B503"/>
    <mergeCell ref="C503:D503"/>
    <mergeCell ref="A504:B504"/>
    <mergeCell ref="C504:D504"/>
    <mergeCell ref="A505:C505"/>
    <mergeCell ref="A506:C506"/>
    <mergeCell ref="A507:C507"/>
    <mergeCell ref="A508:C508"/>
    <mergeCell ref="A510:D510"/>
    <mergeCell ref="A511:D511"/>
    <mergeCell ref="A513:D514"/>
    <mergeCell ref="A515:B515"/>
    <mergeCell ref="C515:D515"/>
    <mergeCell ref="A516:D516"/>
    <mergeCell ref="A519:B519"/>
    <mergeCell ref="C519:D519"/>
    <mergeCell ref="A520:B520"/>
    <mergeCell ref="C520:D520"/>
    <mergeCell ref="A484:B484"/>
    <mergeCell ref="C484:D484"/>
    <mergeCell ref="A485:D485"/>
    <mergeCell ref="A488:B488"/>
    <mergeCell ref="C488:D488"/>
    <mergeCell ref="A489:B489"/>
    <mergeCell ref="C489:D489"/>
    <mergeCell ref="A490:C490"/>
    <mergeCell ref="A491:C491"/>
    <mergeCell ref="A492:C492"/>
    <mergeCell ref="A493:C493"/>
    <mergeCell ref="A495:D495"/>
    <mergeCell ref="A496:D496"/>
    <mergeCell ref="A497:D498"/>
    <mergeCell ref="A499:B499"/>
    <mergeCell ref="C499:D499"/>
    <mergeCell ref="A500:D500"/>
    <mergeCell ref="A464:D464"/>
    <mergeCell ref="A465:D465"/>
    <mergeCell ref="A466:D467"/>
    <mergeCell ref="A468:B468"/>
    <mergeCell ref="C468:D468"/>
    <mergeCell ref="A469:D469"/>
    <mergeCell ref="A472:B472"/>
    <mergeCell ref="C472:D472"/>
    <mergeCell ref="A473:B473"/>
    <mergeCell ref="C473:D473"/>
    <mergeCell ref="A474:C474"/>
    <mergeCell ref="A475:C475"/>
    <mergeCell ref="A476:C476"/>
    <mergeCell ref="A477:C477"/>
    <mergeCell ref="A479:D479"/>
    <mergeCell ref="A480:D480"/>
    <mergeCell ref="A482:D483"/>
    <mergeCell ref="A444:C444"/>
    <mergeCell ref="A445:C445"/>
    <mergeCell ref="A446:C446"/>
    <mergeCell ref="A448:D448"/>
    <mergeCell ref="A449:D449"/>
    <mergeCell ref="A451:D452"/>
    <mergeCell ref="A453:B453"/>
    <mergeCell ref="C453:D453"/>
    <mergeCell ref="A454:D454"/>
    <mergeCell ref="A457:B457"/>
    <mergeCell ref="C457:D457"/>
    <mergeCell ref="A458:B458"/>
    <mergeCell ref="C458:D458"/>
    <mergeCell ref="A459:C459"/>
    <mergeCell ref="A460:C460"/>
    <mergeCell ref="A461:C461"/>
    <mergeCell ref="A462:C462"/>
    <mergeCell ref="A435:D436"/>
    <mergeCell ref="A437:B437"/>
    <mergeCell ref="C437:D437"/>
    <mergeCell ref="A438:D438"/>
    <mergeCell ref="A441:B441"/>
    <mergeCell ref="C441:D441"/>
    <mergeCell ref="A442:B442"/>
    <mergeCell ref="C442:D442"/>
    <mergeCell ref="A443:C443"/>
    <mergeCell ref="A420:D421"/>
    <mergeCell ref="A422:B422"/>
    <mergeCell ref="C422:D422"/>
    <mergeCell ref="A423:D423"/>
    <mergeCell ref="A426:B426"/>
    <mergeCell ref="C426:D426"/>
    <mergeCell ref="A427:B427"/>
    <mergeCell ref="C427:D427"/>
    <mergeCell ref="A428:C428"/>
    <mergeCell ref="A429:C429"/>
    <mergeCell ref="A430:C430"/>
    <mergeCell ref="A431:C431"/>
    <mergeCell ref="A433:D433"/>
    <mergeCell ref="A434:D434"/>
    <mergeCell ref="A411:B411"/>
    <mergeCell ref="C411:D411"/>
    <mergeCell ref="A412:C412"/>
    <mergeCell ref="A413:C413"/>
    <mergeCell ref="A414:C414"/>
    <mergeCell ref="A415:C415"/>
    <mergeCell ref="A417:D417"/>
    <mergeCell ref="A418:D418"/>
    <mergeCell ref="A386:D386"/>
    <mergeCell ref="A387:D387"/>
    <mergeCell ref="A389:D390"/>
    <mergeCell ref="A391:B391"/>
    <mergeCell ref="C391:D391"/>
    <mergeCell ref="A392:D392"/>
    <mergeCell ref="A395:B395"/>
    <mergeCell ref="C395:D395"/>
    <mergeCell ref="A396:B396"/>
    <mergeCell ref="C396:D396"/>
    <mergeCell ref="A397:C397"/>
    <mergeCell ref="A398:C398"/>
    <mergeCell ref="A399:C399"/>
    <mergeCell ref="A400:C400"/>
    <mergeCell ref="A402:D402"/>
    <mergeCell ref="A403:D403"/>
    <mergeCell ref="A375:B375"/>
    <mergeCell ref="C375:D375"/>
    <mergeCell ref="A376:D376"/>
    <mergeCell ref="A379:B379"/>
    <mergeCell ref="C379:D379"/>
    <mergeCell ref="A380:B380"/>
    <mergeCell ref="C380:D380"/>
    <mergeCell ref="A381:C381"/>
    <mergeCell ref="A382:C382"/>
    <mergeCell ref="A383:C383"/>
    <mergeCell ref="A384:C384"/>
    <mergeCell ref="A404:D405"/>
    <mergeCell ref="A406:B406"/>
    <mergeCell ref="C406:D406"/>
    <mergeCell ref="A407:D407"/>
    <mergeCell ref="A410:B410"/>
    <mergeCell ref="C410:D410"/>
    <mergeCell ref="A355:D355"/>
    <mergeCell ref="A356:D356"/>
    <mergeCell ref="A358:D359"/>
    <mergeCell ref="A360:B360"/>
    <mergeCell ref="C360:D360"/>
    <mergeCell ref="A361:D361"/>
    <mergeCell ref="A364:B364"/>
    <mergeCell ref="C364:D364"/>
    <mergeCell ref="A365:B365"/>
    <mergeCell ref="C365:D365"/>
    <mergeCell ref="A366:C366"/>
    <mergeCell ref="A367:C367"/>
    <mergeCell ref="A368:C368"/>
    <mergeCell ref="A369:C369"/>
    <mergeCell ref="A371:D371"/>
    <mergeCell ref="A372:D372"/>
    <mergeCell ref="A373:D374"/>
    <mergeCell ref="A336:C336"/>
    <mergeCell ref="A337:C337"/>
    <mergeCell ref="A338:C338"/>
    <mergeCell ref="A340:D340"/>
    <mergeCell ref="A341:D341"/>
    <mergeCell ref="A342:D343"/>
    <mergeCell ref="A344:B344"/>
    <mergeCell ref="C344:D344"/>
    <mergeCell ref="A345:D345"/>
    <mergeCell ref="A348:B348"/>
    <mergeCell ref="C348:D348"/>
    <mergeCell ref="A349:B349"/>
    <mergeCell ref="C349:D349"/>
    <mergeCell ref="A350:C350"/>
    <mergeCell ref="A351:C351"/>
    <mergeCell ref="A352:C352"/>
    <mergeCell ref="A353:C353"/>
    <mergeCell ref="A318:B318"/>
    <mergeCell ref="C318:D318"/>
    <mergeCell ref="A319:C319"/>
    <mergeCell ref="A320:C320"/>
    <mergeCell ref="A321:C321"/>
    <mergeCell ref="A322:C322"/>
    <mergeCell ref="A324:D324"/>
    <mergeCell ref="A325:D325"/>
    <mergeCell ref="A327:D328"/>
    <mergeCell ref="A329:B329"/>
    <mergeCell ref="C329:D329"/>
    <mergeCell ref="A330:D330"/>
    <mergeCell ref="A333:B333"/>
    <mergeCell ref="C333:D333"/>
    <mergeCell ref="A334:B334"/>
    <mergeCell ref="C334:D334"/>
    <mergeCell ref="A335:C335"/>
    <mergeCell ref="A299:D299"/>
    <mergeCell ref="A302:B302"/>
    <mergeCell ref="C302:D302"/>
    <mergeCell ref="A303:B303"/>
    <mergeCell ref="C303:D303"/>
    <mergeCell ref="A304:C304"/>
    <mergeCell ref="A305:C305"/>
    <mergeCell ref="A306:C306"/>
    <mergeCell ref="A307:C307"/>
    <mergeCell ref="A309:D309"/>
    <mergeCell ref="A310:D310"/>
    <mergeCell ref="A311:D312"/>
    <mergeCell ref="A313:B313"/>
    <mergeCell ref="C313:D313"/>
    <mergeCell ref="A314:D314"/>
    <mergeCell ref="A317:B317"/>
    <mergeCell ref="C317:D317"/>
    <mergeCell ref="A280:D281"/>
    <mergeCell ref="A282:B282"/>
    <mergeCell ref="C282:D282"/>
    <mergeCell ref="A283:D283"/>
    <mergeCell ref="A286:B286"/>
    <mergeCell ref="C286:D286"/>
    <mergeCell ref="A287:B287"/>
    <mergeCell ref="C287:D287"/>
    <mergeCell ref="A288:C288"/>
    <mergeCell ref="A289:C289"/>
    <mergeCell ref="A290:C290"/>
    <mergeCell ref="A291:C291"/>
    <mergeCell ref="A293:D293"/>
    <mergeCell ref="A294:D294"/>
    <mergeCell ref="A296:D297"/>
    <mergeCell ref="A298:B298"/>
    <mergeCell ref="C298:D298"/>
    <mergeCell ref="A260:C260"/>
    <mergeCell ref="A262:D262"/>
    <mergeCell ref="A263:D263"/>
    <mergeCell ref="A265:D266"/>
    <mergeCell ref="A267:B267"/>
    <mergeCell ref="C267:D267"/>
    <mergeCell ref="A268:D268"/>
    <mergeCell ref="A271:B271"/>
    <mergeCell ref="C271:D271"/>
    <mergeCell ref="A272:B272"/>
    <mergeCell ref="C272:D272"/>
    <mergeCell ref="A273:C273"/>
    <mergeCell ref="A274:C274"/>
    <mergeCell ref="A275:C275"/>
    <mergeCell ref="A276:C276"/>
    <mergeCell ref="A278:D278"/>
    <mergeCell ref="A279:D279"/>
    <mergeCell ref="A242:C242"/>
    <mergeCell ref="A243:C243"/>
    <mergeCell ref="A244:C244"/>
    <mergeCell ref="A245:C245"/>
    <mergeCell ref="A247:D247"/>
    <mergeCell ref="A248:D248"/>
    <mergeCell ref="A249:D250"/>
    <mergeCell ref="A251:B251"/>
    <mergeCell ref="C251:D251"/>
    <mergeCell ref="A252:D252"/>
    <mergeCell ref="A255:B255"/>
    <mergeCell ref="C255:D255"/>
    <mergeCell ref="A256:B256"/>
    <mergeCell ref="C256:D256"/>
    <mergeCell ref="A257:C257"/>
    <mergeCell ref="A258:C258"/>
    <mergeCell ref="A259:C259"/>
    <mergeCell ref="A224:B224"/>
    <mergeCell ref="C224:D224"/>
    <mergeCell ref="A225:B225"/>
    <mergeCell ref="C225:D225"/>
    <mergeCell ref="A226:C226"/>
    <mergeCell ref="A227:C227"/>
    <mergeCell ref="A228:C228"/>
    <mergeCell ref="A229:C229"/>
    <mergeCell ref="A231:D231"/>
    <mergeCell ref="A232:D232"/>
    <mergeCell ref="A234:D235"/>
    <mergeCell ref="A236:B236"/>
    <mergeCell ref="C236:D236"/>
    <mergeCell ref="A237:D237"/>
    <mergeCell ref="A240:B240"/>
    <mergeCell ref="C240:D240"/>
    <mergeCell ref="A241:B241"/>
    <mergeCell ref="C241:D241"/>
    <mergeCell ref="A205:B205"/>
    <mergeCell ref="C205:D205"/>
    <mergeCell ref="A206:D206"/>
    <mergeCell ref="A209:B209"/>
    <mergeCell ref="C209:D209"/>
    <mergeCell ref="A210:B210"/>
    <mergeCell ref="C210:D210"/>
    <mergeCell ref="A211:C211"/>
    <mergeCell ref="A212:C212"/>
    <mergeCell ref="A213:C213"/>
    <mergeCell ref="A214:C214"/>
    <mergeCell ref="A216:D216"/>
    <mergeCell ref="A217:D217"/>
    <mergeCell ref="A218:D219"/>
    <mergeCell ref="A220:B220"/>
    <mergeCell ref="C220:D220"/>
    <mergeCell ref="A221:D221"/>
    <mergeCell ref="A185:D185"/>
    <mergeCell ref="A186:D186"/>
    <mergeCell ref="A187:D188"/>
    <mergeCell ref="A189:B189"/>
    <mergeCell ref="C189:D189"/>
    <mergeCell ref="A190:D190"/>
    <mergeCell ref="A193:B193"/>
    <mergeCell ref="C193:D193"/>
    <mergeCell ref="A194:B194"/>
    <mergeCell ref="C194:D194"/>
    <mergeCell ref="A195:C195"/>
    <mergeCell ref="A196:C196"/>
    <mergeCell ref="A197:C197"/>
    <mergeCell ref="A198:C198"/>
    <mergeCell ref="A200:D200"/>
    <mergeCell ref="A201:D201"/>
    <mergeCell ref="A203:D204"/>
    <mergeCell ref="A165:C165"/>
    <mergeCell ref="A166:C166"/>
    <mergeCell ref="A167:C167"/>
    <mergeCell ref="A169:D169"/>
    <mergeCell ref="A170:D170"/>
    <mergeCell ref="A172:D173"/>
    <mergeCell ref="A174:B174"/>
    <mergeCell ref="C174:D174"/>
    <mergeCell ref="A175:D175"/>
    <mergeCell ref="A178:B178"/>
    <mergeCell ref="C178:D178"/>
    <mergeCell ref="A179:B179"/>
    <mergeCell ref="C179:D179"/>
    <mergeCell ref="A180:C180"/>
    <mergeCell ref="A181:C181"/>
    <mergeCell ref="A182:C182"/>
    <mergeCell ref="A183:C183"/>
    <mergeCell ref="A148:B148"/>
    <mergeCell ref="C148:D148"/>
    <mergeCell ref="A149:C149"/>
    <mergeCell ref="A150:C150"/>
    <mergeCell ref="A151:C151"/>
    <mergeCell ref="A152:C152"/>
    <mergeCell ref="A154:D154"/>
    <mergeCell ref="A155:D155"/>
    <mergeCell ref="A156:D157"/>
    <mergeCell ref="A158:B158"/>
    <mergeCell ref="C158:D158"/>
    <mergeCell ref="A159:D159"/>
    <mergeCell ref="A162:B162"/>
    <mergeCell ref="C162:D162"/>
    <mergeCell ref="A163:B163"/>
    <mergeCell ref="C163:D163"/>
    <mergeCell ref="A164:C164"/>
    <mergeCell ref="A128:D128"/>
    <mergeCell ref="A131:B131"/>
    <mergeCell ref="C131:D131"/>
    <mergeCell ref="A132:B132"/>
    <mergeCell ref="C132:D132"/>
    <mergeCell ref="A133:C133"/>
    <mergeCell ref="A134:C134"/>
    <mergeCell ref="A135:C135"/>
    <mergeCell ref="A136:C136"/>
    <mergeCell ref="A138:D138"/>
    <mergeCell ref="A139:D139"/>
    <mergeCell ref="A141:D142"/>
    <mergeCell ref="A143:B143"/>
    <mergeCell ref="C143:D143"/>
    <mergeCell ref="A144:D144"/>
    <mergeCell ref="A147:B147"/>
    <mergeCell ref="C147:D147"/>
    <mergeCell ref="A110:D111"/>
    <mergeCell ref="A112:B112"/>
    <mergeCell ref="C112:D112"/>
    <mergeCell ref="A113:D113"/>
    <mergeCell ref="A116:B116"/>
    <mergeCell ref="C116:D116"/>
    <mergeCell ref="A117:B117"/>
    <mergeCell ref="C117:D117"/>
    <mergeCell ref="A118:C118"/>
    <mergeCell ref="A119:C119"/>
    <mergeCell ref="A120:C120"/>
    <mergeCell ref="A121:C121"/>
    <mergeCell ref="A123:D123"/>
    <mergeCell ref="A124:D124"/>
    <mergeCell ref="A125:D126"/>
    <mergeCell ref="A127:B127"/>
    <mergeCell ref="C127:D127"/>
    <mergeCell ref="A92:D92"/>
    <mergeCell ref="A93:D93"/>
    <mergeCell ref="A94:D95"/>
    <mergeCell ref="A96:B96"/>
    <mergeCell ref="C96:D96"/>
    <mergeCell ref="A97:D97"/>
    <mergeCell ref="A100:B100"/>
    <mergeCell ref="C100:D100"/>
    <mergeCell ref="A101:B101"/>
    <mergeCell ref="C101:D101"/>
    <mergeCell ref="A89:C89"/>
    <mergeCell ref="A102:C102"/>
    <mergeCell ref="A103:C103"/>
    <mergeCell ref="A104:C104"/>
    <mergeCell ref="A105:C105"/>
    <mergeCell ref="A107:D107"/>
    <mergeCell ref="A108:D108"/>
    <mergeCell ref="A62:D62"/>
    <mergeCell ref="A71:C71"/>
    <mergeCell ref="A72:C72"/>
    <mergeCell ref="A39:B39"/>
    <mergeCell ref="C39:D39"/>
    <mergeCell ref="A40:C40"/>
    <mergeCell ref="A73:C73"/>
    <mergeCell ref="A74:C74"/>
    <mergeCell ref="A63:D64"/>
    <mergeCell ref="A65:B65"/>
    <mergeCell ref="A85:B85"/>
    <mergeCell ref="C85:D85"/>
    <mergeCell ref="A86:B86"/>
    <mergeCell ref="C86:D86"/>
    <mergeCell ref="A87:C87"/>
    <mergeCell ref="A88:C88"/>
    <mergeCell ref="A90:C90"/>
    <mergeCell ref="A14:D14"/>
    <mergeCell ref="A15:D15"/>
    <mergeCell ref="A17:D18"/>
    <mergeCell ref="A19:B19"/>
    <mergeCell ref="C19:D19"/>
    <mergeCell ref="A20:D20"/>
    <mergeCell ref="A23:B23"/>
    <mergeCell ref="C23:D23"/>
    <mergeCell ref="A24:B24"/>
    <mergeCell ref="C24:D24"/>
    <mergeCell ref="A79:D80"/>
    <mergeCell ref="A81:B81"/>
    <mergeCell ref="C81:D81"/>
    <mergeCell ref="A82:D82"/>
    <mergeCell ref="A70:B70"/>
    <mergeCell ref="C70:D70"/>
    <mergeCell ref="A34:B34"/>
    <mergeCell ref="C34:D34"/>
    <mergeCell ref="A54:B54"/>
    <mergeCell ref="C54:D54"/>
    <mergeCell ref="A55:B55"/>
    <mergeCell ref="C55:D55"/>
    <mergeCell ref="A41:C41"/>
    <mergeCell ref="A42:C42"/>
    <mergeCell ref="A43:C43"/>
    <mergeCell ref="A45:D45"/>
    <mergeCell ref="A46:D46"/>
    <mergeCell ref="A56:C56"/>
    <mergeCell ref="A57:C57"/>
    <mergeCell ref="A58:C58"/>
    <mergeCell ref="A59:C59"/>
    <mergeCell ref="A61:D61"/>
    <mergeCell ref="A25:C25"/>
    <mergeCell ref="A26:C26"/>
    <mergeCell ref="A48:D49"/>
    <mergeCell ref="A35:D35"/>
    <mergeCell ref="A38:B38"/>
    <mergeCell ref="C38:D38"/>
    <mergeCell ref="A28:C28"/>
    <mergeCell ref="A30:D30"/>
    <mergeCell ref="A31:D31"/>
    <mergeCell ref="A32:D33"/>
    <mergeCell ref="C65:D65"/>
    <mergeCell ref="A66:D66"/>
    <mergeCell ref="A69:B69"/>
    <mergeCell ref="C69:D69"/>
    <mergeCell ref="A76:D76"/>
    <mergeCell ref="A77:D77"/>
    <mergeCell ref="A1:D2"/>
    <mergeCell ref="A3:B3"/>
    <mergeCell ref="C3:D3"/>
    <mergeCell ref="A4:D4"/>
    <mergeCell ref="A7:B7"/>
    <mergeCell ref="C7:D7"/>
    <mergeCell ref="A50:B50"/>
    <mergeCell ref="C50:D50"/>
    <mergeCell ref="A51:D51"/>
    <mergeCell ref="A8:B8"/>
    <mergeCell ref="C8:D8"/>
    <mergeCell ref="A9:C9"/>
    <mergeCell ref="A10:C10"/>
    <mergeCell ref="A11:C11"/>
    <mergeCell ref="A12:C12"/>
    <mergeCell ref="A27:C27"/>
    <mergeCell ref="A1787:D1787"/>
    <mergeCell ref="A1790:B1790"/>
    <mergeCell ref="C1790:D1790"/>
    <mergeCell ref="A1791:B1791"/>
    <mergeCell ref="C1791:D1791"/>
    <mergeCell ref="A1792:C1792"/>
    <mergeCell ref="A1793:C1793"/>
    <mergeCell ref="A1794:C1794"/>
    <mergeCell ref="A1795:C1795"/>
    <mergeCell ref="A1797:D1797"/>
    <mergeCell ref="A1798:D1798"/>
    <mergeCell ref="A1768:D1769"/>
    <mergeCell ref="A1770:B1770"/>
    <mergeCell ref="C1770:D1770"/>
    <mergeCell ref="A1771:D1771"/>
    <mergeCell ref="A1774:B1774"/>
    <mergeCell ref="C1774:D1774"/>
    <mergeCell ref="A1775:B1775"/>
    <mergeCell ref="C1775:D1775"/>
    <mergeCell ref="A1776:C1776"/>
    <mergeCell ref="A1777:C1777"/>
    <mergeCell ref="A1778:C1778"/>
    <mergeCell ref="A1779:C1779"/>
    <mergeCell ref="A1781:D1781"/>
    <mergeCell ref="A1782:D1782"/>
    <mergeCell ref="A1784:D1785"/>
    <mergeCell ref="A1786:B1786"/>
    <mergeCell ref="C1786:D1786"/>
  </mergeCells>
  <printOptions horizontalCentered="1" verticalCentered="1"/>
  <pageMargins left="2.3622047244094491" right="2.2834645669291338" top="0.94488188976377963" bottom="0.23622047244094491" header="0.39370078740157483" footer="0.15748031496062992"/>
  <pageSetup scale="68" orientation="portrait" r:id="rId1"/>
  <headerFooter>
    <oddHeader>&amp;C&amp;P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1147"/>
  <sheetViews>
    <sheetView showRuler="0" view="pageLayout" topLeftCell="A1179" zoomScale="55" zoomScaleNormal="70" zoomScalePageLayoutView="55" workbookViewId="0">
      <selection activeCell="A1189" sqref="A1189"/>
    </sheetView>
  </sheetViews>
  <sheetFormatPr defaultColWidth="10.7109375" defaultRowHeight="34.5" customHeight="1"/>
  <cols>
    <col min="1" max="1" width="14.7109375" style="31" customWidth="1"/>
    <col min="2" max="2" width="15.140625" style="30" customWidth="1"/>
    <col min="3" max="3" width="21.85546875" style="30" customWidth="1"/>
    <col min="4" max="4" width="19.7109375" style="29" customWidth="1"/>
    <col min="5" max="5" width="24.85546875" style="28" customWidth="1"/>
    <col min="6" max="6" width="25.28515625" style="28" customWidth="1"/>
    <col min="7" max="7" width="12" style="28" customWidth="1"/>
    <col min="8" max="8" width="13.28515625" style="28" customWidth="1"/>
    <col min="9" max="9" width="31.28515625" style="28" customWidth="1"/>
    <col min="10" max="10" width="13.5703125" style="27" customWidth="1"/>
    <col min="11" max="11" width="14" style="27" customWidth="1"/>
    <col min="12" max="12" width="22.7109375" style="27" customWidth="1"/>
    <col min="13" max="16384" width="10.7109375" style="27"/>
  </cols>
  <sheetData>
    <row r="1" spans="1:16" ht="34.5" customHeight="1">
      <c r="A1" s="159" t="s">
        <v>442</v>
      </c>
      <c r="B1" s="160" t="s">
        <v>441</v>
      </c>
      <c r="C1" s="160"/>
      <c r="D1" s="161"/>
      <c r="E1" s="44"/>
      <c r="K1" s="53"/>
      <c r="L1" s="52"/>
      <c r="M1" s="52"/>
      <c r="N1" s="52"/>
      <c r="O1" s="52"/>
      <c r="P1" s="51"/>
    </row>
    <row r="2" spans="1:16" ht="34.5" customHeight="1" thickBot="1">
      <c r="A2" s="162"/>
      <c r="B2" s="163"/>
      <c r="C2" s="163"/>
      <c r="D2" s="164"/>
      <c r="E2" s="44"/>
      <c r="K2" s="53"/>
      <c r="L2" s="58" t="s">
        <v>486</v>
      </c>
      <c r="M2" s="52"/>
      <c r="N2" s="52"/>
      <c r="O2" s="52"/>
      <c r="P2" s="51"/>
    </row>
    <row r="3" spans="1:16" ht="34.5" customHeight="1" thickBot="1">
      <c r="A3" s="142" t="s">
        <v>11</v>
      </c>
      <c r="B3" s="143"/>
      <c r="C3" s="165" t="s">
        <v>591</v>
      </c>
      <c r="D3" s="143"/>
      <c r="E3" s="57"/>
      <c r="K3" s="53"/>
      <c r="L3" s="52"/>
      <c r="M3" s="52"/>
      <c r="N3" s="52"/>
      <c r="O3" s="52"/>
      <c r="P3" s="51"/>
    </row>
    <row r="4" spans="1:16" ht="34.5" customHeight="1" thickBot="1">
      <c r="A4" s="137" t="s">
        <v>364</v>
      </c>
      <c r="B4" s="138"/>
      <c r="C4" s="138"/>
      <c r="D4" s="139"/>
      <c r="E4" s="56"/>
      <c r="F4" s="55"/>
      <c r="G4" s="55"/>
      <c r="H4" s="55"/>
      <c r="K4" s="53"/>
      <c r="L4" s="52" t="e">
        <f>SUM(C13+C44+#REF!+#REF!+C137+#REF!+#REF!+#REF!+C261+C292+#REF!+#REF!+#REF!+#REF!+#REF!+#REF!+#REF!+#REF!+#REF!+#REF!+#REF!+#REF!+#REF!+#REF!+#REF!+#REF!+#REF!+#REF!+#REF!+#REF!+#REF!+#REF!+#REF!+#REF!+#REF!+#REF!+#REF!+#REF!+#REF!+#REF!+#REF!+#REF!+#REF!+#REF!+#REF!+#REF!+#REF!+#REF!+#REF!+#REF!+#REF!+#REF!+#REF!+C1036)</f>
        <v>#REF!</v>
      </c>
      <c r="M4" s="52"/>
      <c r="N4" s="52"/>
      <c r="O4" s="52"/>
      <c r="P4" s="51"/>
    </row>
    <row r="5" spans="1:16" ht="34.5" customHeight="1" thickBot="1">
      <c r="A5" s="34" t="s">
        <v>447</v>
      </c>
      <c r="B5" s="32" t="s">
        <v>438</v>
      </c>
      <c r="C5" s="34">
        <v>1</v>
      </c>
      <c r="D5" s="32" t="s">
        <v>0</v>
      </c>
      <c r="E5" s="54">
        <f>C13+C44+C75+C106+C137+C168+C199+C230+C261+C292+C323+C354+C385+C416+C447+C478+C509+C540+C571+C602+C633+C664+C695+C726+C757+C788+C819+C850+C881+C912+C943+C974+C1005+C1036+C1067+C1098+C1129</f>
        <v>28680</v>
      </c>
      <c r="K5" s="53"/>
      <c r="L5" s="52"/>
      <c r="M5" s="52"/>
      <c r="N5" s="52"/>
      <c r="O5" s="52"/>
      <c r="P5" s="51"/>
    </row>
    <row r="6" spans="1:16" ht="34.5" customHeight="1" thickBot="1">
      <c r="A6" s="37" t="s">
        <v>673</v>
      </c>
      <c r="B6" s="36" t="s">
        <v>1</v>
      </c>
      <c r="C6" s="34" t="s">
        <v>674</v>
      </c>
      <c r="D6" s="32" t="s">
        <v>2</v>
      </c>
      <c r="E6" s="47"/>
      <c r="K6" s="50"/>
      <c r="L6" s="49"/>
      <c r="M6" s="49"/>
      <c r="N6" s="49"/>
      <c r="O6" s="49"/>
      <c r="P6" s="48"/>
    </row>
    <row r="7" spans="1:16" ht="34.5" customHeight="1" thickBot="1">
      <c r="A7" s="140">
        <v>208</v>
      </c>
      <c r="B7" s="141"/>
      <c r="C7" s="142" t="s">
        <v>3</v>
      </c>
      <c r="D7" s="143"/>
      <c r="E7" s="47">
        <f>SUM(A9+A40+A71+A102+A133+A164+A195+A226+A257+A288+A319+A350+A381+A412+A443+A474+A505+A536+A567+A598+A629+A660+A691+A722+A753+A784+A815+A846+A877+A908+A939+A970+A1001+A1032+A1063+A1094+A1125)</f>
        <v>0</v>
      </c>
    </row>
    <row r="8" spans="1:16" ht="34.5" customHeight="1" thickBot="1">
      <c r="A8" s="140">
        <v>208</v>
      </c>
      <c r="B8" s="141"/>
      <c r="C8" s="144" t="s">
        <v>4</v>
      </c>
      <c r="D8" s="145"/>
      <c r="E8" s="41"/>
    </row>
    <row r="9" spans="1:16" ht="34.5" customHeight="1" thickBot="1">
      <c r="A9" s="146">
        <f>A8-A7</f>
        <v>0</v>
      </c>
      <c r="B9" s="147"/>
      <c r="C9" s="148"/>
      <c r="D9" s="35" t="s">
        <v>5</v>
      </c>
      <c r="E9" s="41"/>
    </row>
    <row r="10" spans="1:16" ht="34.5" customHeight="1" thickBot="1">
      <c r="A10" s="149">
        <v>23</v>
      </c>
      <c r="B10" s="150"/>
      <c r="C10" s="151"/>
      <c r="D10" s="35" t="s">
        <v>6</v>
      </c>
      <c r="E10" s="41"/>
    </row>
    <row r="11" spans="1:16" ht="34.5" customHeight="1" thickBot="1">
      <c r="A11" s="144">
        <f>A10*A9</f>
        <v>0</v>
      </c>
      <c r="B11" s="152"/>
      <c r="C11" s="145"/>
      <c r="D11" s="35" t="s">
        <v>7</v>
      </c>
      <c r="E11" s="41"/>
    </row>
    <row r="12" spans="1:16" ht="34.5" customHeight="1" thickBot="1">
      <c r="A12" s="144">
        <v>0</v>
      </c>
      <c r="B12" s="152"/>
      <c r="C12" s="145"/>
      <c r="D12" s="35" t="s">
        <v>437</v>
      </c>
      <c r="E12" s="41"/>
    </row>
    <row r="13" spans="1:16" ht="34.5" customHeight="1" thickBot="1">
      <c r="A13" s="34">
        <v>0</v>
      </c>
      <c r="B13" s="32" t="s">
        <v>8</v>
      </c>
      <c r="C13" s="33">
        <v>690</v>
      </c>
      <c r="D13" s="32" t="s">
        <v>9</v>
      </c>
      <c r="E13" s="41"/>
    </row>
    <row r="14" spans="1:16" ht="34.5" customHeight="1" thickBot="1">
      <c r="A14" s="153" t="s">
        <v>436</v>
      </c>
      <c r="B14" s="154"/>
      <c r="C14" s="154"/>
      <c r="D14" s="155"/>
      <c r="E14" s="41"/>
    </row>
    <row r="15" spans="1:16" ht="34.5" customHeight="1" thickBot="1">
      <c r="A15" s="156" t="s">
        <v>435</v>
      </c>
      <c r="B15" s="157"/>
      <c r="C15" s="157"/>
      <c r="D15" s="158"/>
      <c r="E15" s="41"/>
    </row>
    <row r="16" spans="1:16" ht="34.5" customHeight="1" thickBot="1">
      <c r="A16" s="40"/>
      <c r="B16" s="39"/>
      <c r="C16" s="39"/>
      <c r="D16" s="38"/>
      <c r="E16" s="41"/>
    </row>
    <row r="17" spans="1:5" ht="34.5" customHeight="1">
      <c r="A17" s="159" t="s">
        <v>442</v>
      </c>
      <c r="B17" s="160" t="s">
        <v>441</v>
      </c>
      <c r="C17" s="160"/>
      <c r="D17" s="161"/>
      <c r="E17" s="44"/>
    </row>
    <row r="18" spans="1:5" ht="34.5" customHeight="1" thickBot="1">
      <c r="A18" s="162"/>
      <c r="B18" s="163"/>
      <c r="C18" s="163"/>
      <c r="D18" s="164"/>
      <c r="E18" s="44"/>
    </row>
    <row r="19" spans="1:5" ht="34.5" customHeight="1" thickBot="1">
      <c r="A19" s="142" t="s">
        <v>11</v>
      </c>
      <c r="B19" s="143"/>
      <c r="C19" s="165" t="s">
        <v>591</v>
      </c>
      <c r="D19" s="143"/>
      <c r="E19" s="43"/>
    </row>
    <row r="20" spans="1:5" ht="34.5" customHeight="1" thickBot="1">
      <c r="A20" s="137" t="s">
        <v>364</v>
      </c>
      <c r="B20" s="138"/>
      <c r="C20" s="138"/>
      <c r="D20" s="139"/>
      <c r="E20" s="43"/>
    </row>
    <row r="21" spans="1:5" ht="34.5" customHeight="1" thickBot="1">
      <c r="A21" s="34" t="s">
        <v>447</v>
      </c>
      <c r="B21" s="32" t="s">
        <v>438</v>
      </c>
      <c r="C21" s="34">
        <v>1</v>
      </c>
      <c r="D21" s="32" t="s">
        <v>0</v>
      </c>
      <c r="E21" s="42"/>
    </row>
    <row r="22" spans="1:5" ht="34.5" customHeight="1" thickBot="1">
      <c r="A22" s="37" t="s">
        <v>673</v>
      </c>
      <c r="B22" s="36" t="s">
        <v>1</v>
      </c>
      <c r="C22" s="34" t="s">
        <v>674</v>
      </c>
      <c r="D22" s="32" t="s">
        <v>2</v>
      </c>
      <c r="E22" s="41"/>
    </row>
    <row r="23" spans="1:5" ht="34.5" customHeight="1" thickBot="1">
      <c r="A23" s="140">
        <v>178</v>
      </c>
      <c r="B23" s="141"/>
      <c r="C23" s="142" t="s">
        <v>3</v>
      </c>
      <c r="D23" s="143"/>
      <c r="E23" s="41"/>
    </row>
    <row r="24" spans="1:5" ht="34.5" customHeight="1" thickBot="1">
      <c r="A24" s="140">
        <v>208</v>
      </c>
      <c r="B24" s="141"/>
      <c r="C24" s="144" t="s">
        <v>4</v>
      </c>
      <c r="D24" s="145"/>
      <c r="E24" s="41"/>
    </row>
    <row r="25" spans="1:5" ht="34.5" customHeight="1" thickBot="1">
      <c r="A25" s="146">
        <f>A24-A23</f>
        <v>30</v>
      </c>
      <c r="B25" s="147"/>
      <c r="C25" s="148"/>
      <c r="D25" s="35" t="s">
        <v>5</v>
      </c>
      <c r="E25" s="41"/>
    </row>
    <row r="26" spans="1:5" ht="34.5" customHeight="1" thickBot="1">
      <c r="A26" s="149">
        <v>23</v>
      </c>
      <c r="B26" s="150"/>
      <c r="C26" s="151"/>
      <c r="D26" s="35" t="s">
        <v>6</v>
      </c>
      <c r="E26" s="41"/>
    </row>
    <row r="27" spans="1:5" ht="34.5" customHeight="1" thickBot="1">
      <c r="A27" s="144">
        <f>A26*A25</f>
        <v>690</v>
      </c>
      <c r="B27" s="152"/>
      <c r="C27" s="145"/>
      <c r="D27" s="35" t="s">
        <v>7</v>
      </c>
      <c r="E27" s="41"/>
    </row>
    <row r="28" spans="1:5" ht="34.5" customHeight="1" thickBot="1">
      <c r="A28" s="144">
        <v>0</v>
      </c>
      <c r="B28" s="152"/>
      <c r="C28" s="145"/>
      <c r="D28" s="35" t="s">
        <v>437</v>
      </c>
      <c r="E28" s="41" t="s">
        <v>10</v>
      </c>
    </row>
    <row r="29" spans="1:5" ht="34.5" customHeight="1" thickBot="1">
      <c r="A29" s="34">
        <v>0</v>
      </c>
      <c r="B29" s="32" t="s">
        <v>8</v>
      </c>
      <c r="C29" s="33">
        <v>690</v>
      </c>
      <c r="D29" s="32" t="s">
        <v>9</v>
      </c>
      <c r="E29" s="41"/>
    </row>
    <row r="30" spans="1:5" ht="34.5" customHeight="1" thickBot="1">
      <c r="A30" s="153" t="s">
        <v>436</v>
      </c>
      <c r="B30" s="154"/>
      <c r="C30" s="154"/>
      <c r="D30" s="155"/>
      <c r="E30" s="41"/>
    </row>
    <row r="31" spans="1:5" ht="34.5" customHeight="1" thickBot="1">
      <c r="A31" s="156" t="s">
        <v>435</v>
      </c>
      <c r="B31" s="157"/>
      <c r="C31" s="157"/>
      <c r="D31" s="158"/>
      <c r="E31" s="41"/>
    </row>
    <row r="32" spans="1:5" ht="34.5" customHeight="1">
      <c r="A32" s="159" t="s">
        <v>442</v>
      </c>
      <c r="B32" s="160" t="s">
        <v>441</v>
      </c>
      <c r="C32" s="160"/>
      <c r="D32" s="161"/>
      <c r="E32" s="44"/>
    </row>
    <row r="33" spans="1:5" ht="34.5" customHeight="1" thickBot="1">
      <c r="A33" s="162"/>
      <c r="B33" s="163"/>
      <c r="C33" s="163"/>
      <c r="D33" s="164"/>
      <c r="E33" s="44"/>
    </row>
    <row r="34" spans="1:5" ht="34.5" customHeight="1" thickBot="1">
      <c r="A34" s="142" t="s">
        <v>11</v>
      </c>
      <c r="B34" s="143"/>
      <c r="C34" s="165" t="s">
        <v>591</v>
      </c>
      <c r="D34" s="143"/>
      <c r="E34" s="43"/>
    </row>
    <row r="35" spans="1:5" ht="34.5" customHeight="1" thickBot="1">
      <c r="A35" s="137" t="s">
        <v>512</v>
      </c>
      <c r="B35" s="138"/>
      <c r="C35" s="138"/>
      <c r="D35" s="139"/>
      <c r="E35" s="43"/>
    </row>
    <row r="36" spans="1:5" ht="34.5" customHeight="1" thickBot="1">
      <c r="A36" s="34" t="s">
        <v>447</v>
      </c>
      <c r="B36" s="32" t="s">
        <v>438</v>
      </c>
      <c r="C36" s="34">
        <v>2</v>
      </c>
      <c r="D36" s="32" t="s">
        <v>0</v>
      </c>
      <c r="E36" s="42"/>
    </row>
    <row r="37" spans="1:5" ht="34.5" customHeight="1" thickBot="1">
      <c r="A37" s="37" t="s">
        <v>673</v>
      </c>
      <c r="B37" s="36" t="s">
        <v>1</v>
      </c>
      <c r="C37" s="34" t="s">
        <v>674</v>
      </c>
      <c r="D37" s="32" t="s">
        <v>2</v>
      </c>
      <c r="E37" s="41"/>
    </row>
    <row r="38" spans="1:5" ht="34.5" customHeight="1" thickBot="1">
      <c r="A38" s="140">
        <v>338</v>
      </c>
      <c r="B38" s="141"/>
      <c r="C38" s="142" t="s">
        <v>3</v>
      </c>
      <c r="D38" s="143"/>
      <c r="E38" s="41"/>
    </row>
    <row r="39" spans="1:5" ht="34.5" customHeight="1" thickBot="1">
      <c r="A39" s="140">
        <v>338</v>
      </c>
      <c r="B39" s="141"/>
      <c r="C39" s="144" t="s">
        <v>4</v>
      </c>
      <c r="D39" s="145"/>
      <c r="E39" s="41"/>
    </row>
    <row r="40" spans="1:5" ht="34.5" customHeight="1" thickBot="1">
      <c r="A40" s="146">
        <f>A39-A38</f>
        <v>0</v>
      </c>
      <c r="B40" s="147"/>
      <c r="C40" s="148"/>
      <c r="D40" s="35" t="s">
        <v>5</v>
      </c>
      <c r="E40" s="41"/>
    </row>
    <row r="41" spans="1:5" ht="34.5" customHeight="1" thickBot="1">
      <c r="A41" s="149">
        <v>23</v>
      </c>
      <c r="B41" s="150"/>
      <c r="C41" s="151"/>
      <c r="D41" s="35" t="s">
        <v>6</v>
      </c>
      <c r="E41" s="41"/>
    </row>
    <row r="42" spans="1:5" ht="34.5" customHeight="1" thickBot="1">
      <c r="A42" s="144">
        <f>A41*A40</f>
        <v>0</v>
      </c>
      <c r="B42" s="152"/>
      <c r="C42" s="145"/>
      <c r="D42" s="35" t="s">
        <v>7</v>
      </c>
      <c r="E42" s="41"/>
    </row>
    <row r="43" spans="1:5" ht="34.5" customHeight="1" thickBot="1">
      <c r="A43" s="144">
        <v>0</v>
      </c>
      <c r="B43" s="152"/>
      <c r="C43" s="145"/>
      <c r="D43" s="35" t="s">
        <v>437</v>
      </c>
      <c r="E43" s="41"/>
    </row>
    <row r="44" spans="1:5" ht="34.5" customHeight="1" thickBot="1">
      <c r="A44" s="34">
        <v>0</v>
      </c>
      <c r="B44" s="32" t="s">
        <v>8</v>
      </c>
      <c r="C44" s="33">
        <v>1040</v>
      </c>
      <c r="D44" s="32" t="s">
        <v>9</v>
      </c>
      <c r="E44" s="41"/>
    </row>
    <row r="45" spans="1:5" ht="34.5" customHeight="1" thickBot="1">
      <c r="A45" s="153" t="s">
        <v>436</v>
      </c>
      <c r="B45" s="154"/>
      <c r="C45" s="154"/>
      <c r="D45" s="155"/>
      <c r="E45" s="41"/>
    </row>
    <row r="46" spans="1:5" ht="34.5" customHeight="1" thickBot="1">
      <c r="A46" s="156" t="s">
        <v>435</v>
      </c>
      <c r="B46" s="157"/>
      <c r="C46" s="157"/>
      <c r="D46" s="158"/>
      <c r="E46" s="41"/>
    </row>
    <row r="47" spans="1:5" ht="34.5" customHeight="1" thickBot="1">
      <c r="A47" s="40"/>
      <c r="B47" s="39"/>
      <c r="C47" s="39"/>
      <c r="D47" s="38"/>
      <c r="E47" s="41"/>
    </row>
    <row r="48" spans="1:5" ht="34.5" customHeight="1">
      <c r="A48" s="159" t="s">
        <v>442</v>
      </c>
      <c r="B48" s="160" t="s">
        <v>441</v>
      </c>
      <c r="C48" s="160"/>
      <c r="D48" s="161"/>
      <c r="E48" s="44"/>
    </row>
    <row r="49" spans="1:5" ht="34.5" customHeight="1" thickBot="1">
      <c r="A49" s="162"/>
      <c r="B49" s="163"/>
      <c r="C49" s="163"/>
      <c r="D49" s="164"/>
      <c r="E49" s="44"/>
    </row>
    <row r="50" spans="1:5" ht="34.5" customHeight="1" thickBot="1">
      <c r="A50" s="142" t="s">
        <v>11</v>
      </c>
      <c r="B50" s="143"/>
      <c r="C50" s="142" t="s">
        <v>591</v>
      </c>
      <c r="D50" s="143"/>
      <c r="E50" s="43"/>
    </row>
    <row r="51" spans="1:5" ht="34.5" customHeight="1" thickBot="1">
      <c r="A51" s="137" t="s">
        <v>512</v>
      </c>
      <c r="B51" s="138"/>
      <c r="C51" s="138"/>
      <c r="D51" s="139"/>
      <c r="E51" s="43"/>
    </row>
    <row r="52" spans="1:5" ht="34.5" customHeight="1" thickBot="1">
      <c r="A52" s="34" t="s">
        <v>447</v>
      </c>
      <c r="B52" s="32" t="s">
        <v>438</v>
      </c>
      <c r="C52" s="34">
        <v>2</v>
      </c>
      <c r="D52" s="32" t="s">
        <v>0</v>
      </c>
      <c r="E52" s="42"/>
    </row>
    <row r="53" spans="1:5" ht="34.5" customHeight="1" thickBot="1">
      <c r="A53" s="37" t="s">
        <v>673</v>
      </c>
      <c r="B53" s="36" t="s">
        <v>1</v>
      </c>
      <c r="C53" s="34" t="s">
        <v>674</v>
      </c>
      <c r="D53" s="32" t="s">
        <v>2</v>
      </c>
      <c r="E53" s="41"/>
    </row>
    <row r="54" spans="1:5" ht="34.5" customHeight="1" thickBot="1">
      <c r="A54" s="140">
        <v>293</v>
      </c>
      <c r="B54" s="141"/>
      <c r="C54" s="142" t="s">
        <v>3</v>
      </c>
      <c r="D54" s="143"/>
      <c r="E54" s="41"/>
    </row>
    <row r="55" spans="1:5" ht="34.5" customHeight="1" thickBot="1">
      <c r="A55" s="140">
        <v>338</v>
      </c>
      <c r="B55" s="141"/>
      <c r="C55" s="144" t="s">
        <v>4</v>
      </c>
      <c r="D55" s="145"/>
      <c r="E55" s="41"/>
    </row>
    <row r="56" spans="1:5" ht="34.5" customHeight="1" thickBot="1">
      <c r="A56" s="146">
        <f>A55-A54</f>
        <v>45</v>
      </c>
      <c r="B56" s="147"/>
      <c r="C56" s="148"/>
      <c r="D56" s="35" t="s">
        <v>5</v>
      </c>
      <c r="E56" s="41"/>
    </row>
    <row r="57" spans="1:5" ht="34.5" customHeight="1" thickBot="1">
      <c r="A57" s="149">
        <v>23</v>
      </c>
      <c r="B57" s="150"/>
      <c r="C57" s="151"/>
      <c r="D57" s="35" t="s">
        <v>6</v>
      </c>
      <c r="E57" s="41"/>
    </row>
    <row r="58" spans="1:5" ht="34.5" customHeight="1" thickBot="1">
      <c r="A58" s="144">
        <f>A57*A56</f>
        <v>1035</v>
      </c>
      <c r="B58" s="152"/>
      <c r="C58" s="145"/>
      <c r="D58" s="35" t="s">
        <v>7</v>
      </c>
      <c r="E58" s="41"/>
    </row>
    <row r="59" spans="1:5" ht="34.5" customHeight="1" thickBot="1">
      <c r="A59" s="144">
        <v>0</v>
      </c>
      <c r="B59" s="152"/>
      <c r="C59" s="145"/>
      <c r="D59" s="35" t="s">
        <v>437</v>
      </c>
      <c r="E59" s="41"/>
    </row>
    <row r="60" spans="1:5" ht="34.5" customHeight="1" thickBot="1">
      <c r="A60" s="34">
        <v>0</v>
      </c>
      <c r="B60" s="32" t="s">
        <v>8</v>
      </c>
      <c r="C60" s="33">
        <v>1040</v>
      </c>
      <c r="D60" s="32" t="s">
        <v>9</v>
      </c>
      <c r="E60" s="41"/>
    </row>
    <row r="61" spans="1:5" ht="34.5" customHeight="1" thickBot="1">
      <c r="A61" s="153" t="s">
        <v>436</v>
      </c>
      <c r="B61" s="154"/>
      <c r="C61" s="154"/>
      <c r="D61" s="155"/>
      <c r="E61" s="41"/>
    </row>
    <row r="62" spans="1:5" ht="34.5" customHeight="1" thickBot="1">
      <c r="A62" s="156" t="s">
        <v>435</v>
      </c>
      <c r="B62" s="157"/>
      <c r="C62" s="157"/>
      <c r="D62" s="158"/>
      <c r="E62" s="41"/>
    </row>
    <row r="63" spans="1:5" ht="34.5" customHeight="1">
      <c r="A63" s="159" t="s">
        <v>442</v>
      </c>
      <c r="B63" s="160"/>
      <c r="C63" s="160"/>
      <c r="D63" s="161"/>
      <c r="E63" s="44"/>
    </row>
    <row r="64" spans="1:5" ht="34.5" customHeight="1" thickBot="1">
      <c r="A64" s="162"/>
      <c r="B64" s="163"/>
      <c r="C64" s="163"/>
      <c r="D64" s="164"/>
      <c r="E64" s="44"/>
    </row>
    <row r="65" spans="1:5" ht="34.5" customHeight="1" thickBot="1">
      <c r="A65" s="142" t="s">
        <v>11</v>
      </c>
      <c r="B65" s="143"/>
      <c r="C65" s="165" t="s">
        <v>591</v>
      </c>
      <c r="D65" s="143"/>
      <c r="E65" s="43"/>
    </row>
    <row r="66" spans="1:5" ht="34.5" customHeight="1" thickBot="1">
      <c r="A66" s="137" t="s">
        <v>511</v>
      </c>
      <c r="B66" s="138"/>
      <c r="C66" s="138"/>
      <c r="D66" s="139"/>
      <c r="E66" s="43"/>
    </row>
    <row r="67" spans="1:5" ht="34.5" customHeight="1" thickBot="1">
      <c r="A67" s="34" t="s">
        <v>447</v>
      </c>
      <c r="B67" s="32" t="s">
        <v>438</v>
      </c>
      <c r="C67" s="34">
        <v>3</v>
      </c>
      <c r="D67" s="32" t="s">
        <v>0</v>
      </c>
      <c r="E67" s="42"/>
    </row>
    <row r="68" spans="1:5" ht="34.5" customHeight="1" thickBot="1">
      <c r="A68" s="37" t="s">
        <v>673</v>
      </c>
      <c r="B68" s="36" t="s">
        <v>1</v>
      </c>
      <c r="C68" s="34" t="s">
        <v>674</v>
      </c>
      <c r="D68" s="32" t="s">
        <v>2</v>
      </c>
      <c r="E68" s="41"/>
    </row>
    <row r="69" spans="1:5" ht="34.5" customHeight="1" thickBot="1">
      <c r="A69" s="140">
        <v>372</v>
      </c>
      <c r="B69" s="141"/>
      <c r="C69" s="142" t="s">
        <v>3</v>
      </c>
      <c r="D69" s="143"/>
      <c r="E69" s="41"/>
    </row>
    <row r="70" spans="1:5" ht="34.5" customHeight="1" thickBot="1">
      <c r="A70" s="140">
        <v>372</v>
      </c>
      <c r="B70" s="141"/>
      <c r="C70" s="144" t="s">
        <v>4</v>
      </c>
      <c r="D70" s="145"/>
      <c r="E70" s="41"/>
    </row>
    <row r="71" spans="1:5" ht="34.5" customHeight="1" thickBot="1">
      <c r="A71" s="146">
        <f>A70-A69</f>
        <v>0</v>
      </c>
      <c r="B71" s="147"/>
      <c r="C71" s="148"/>
      <c r="D71" s="35" t="s">
        <v>5</v>
      </c>
      <c r="E71" s="41"/>
    </row>
    <row r="72" spans="1:5" ht="34.5" customHeight="1" thickBot="1">
      <c r="A72" s="149">
        <v>23</v>
      </c>
      <c r="B72" s="150"/>
      <c r="C72" s="151"/>
      <c r="D72" s="35" t="s">
        <v>6</v>
      </c>
      <c r="E72" s="41"/>
    </row>
    <row r="73" spans="1:5" ht="34.5" customHeight="1" thickBot="1">
      <c r="A73" s="144">
        <f>A72*A71</f>
        <v>0</v>
      </c>
      <c r="B73" s="152"/>
      <c r="C73" s="145"/>
      <c r="D73" s="35" t="s">
        <v>7</v>
      </c>
      <c r="E73" s="41"/>
    </row>
    <row r="74" spans="1:5" ht="34.5" customHeight="1" thickBot="1">
      <c r="A74" s="144">
        <v>0</v>
      </c>
      <c r="B74" s="152"/>
      <c r="C74" s="145"/>
      <c r="D74" s="35" t="s">
        <v>437</v>
      </c>
      <c r="E74" s="41"/>
    </row>
    <row r="75" spans="1:5" ht="34.5" customHeight="1" thickBot="1">
      <c r="A75" s="34">
        <v>0</v>
      </c>
      <c r="B75" s="32" t="s">
        <v>8</v>
      </c>
      <c r="C75" s="33">
        <v>1080</v>
      </c>
      <c r="D75" s="32" t="s">
        <v>9</v>
      </c>
      <c r="E75" s="41"/>
    </row>
    <row r="76" spans="1:5" ht="34.5" customHeight="1" thickBot="1">
      <c r="A76" s="153" t="s">
        <v>436</v>
      </c>
      <c r="B76" s="154"/>
      <c r="C76" s="154"/>
      <c r="D76" s="155"/>
      <c r="E76" s="41"/>
    </row>
    <row r="77" spans="1:5" ht="34.5" customHeight="1" thickBot="1">
      <c r="A77" s="156" t="s">
        <v>435</v>
      </c>
      <c r="B77" s="157"/>
      <c r="C77" s="157"/>
      <c r="D77" s="158"/>
      <c r="E77" s="41"/>
    </row>
    <row r="78" spans="1:5" ht="34.5" customHeight="1" thickBot="1">
      <c r="A78" s="40"/>
      <c r="B78" s="39"/>
      <c r="C78" s="39"/>
      <c r="D78" s="38"/>
      <c r="E78" s="41"/>
    </row>
    <row r="79" spans="1:5" ht="34.5" customHeight="1">
      <c r="A79" s="159" t="s">
        <v>442</v>
      </c>
      <c r="B79" s="160"/>
      <c r="C79" s="160"/>
      <c r="D79" s="161"/>
      <c r="E79" s="44"/>
    </row>
    <row r="80" spans="1:5" ht="34.5" customHeight="1" thickBot="1">
      <c r="A80" s="162"/>
      <c r="B80" s="163"/>
      <c r="C80" s="163"/>
      <c r="D80" s="164"/>
      <c r="E80" s="44"/>
    </row>
    <row r="81" spans="1:5" ht="34.5" customHeight="1" thickBot="1">
      <c r="A81" s="142" t="s">
        <v>11</v>
      </c>
      <c r="B81" s="143"/>
      <c r="C81" s="165" t="s">
        <v>591</v>
      </c>
      <c r="D81" s="143"/>
      <c r="E81" s="43"/>
    </row>
    <row r="82" spans="1:5" ht="34.5" customHeight="1" thickBot="1">
      <c r="A82" s="137" t="s">
        <v>511</v>
      </c>
      <c r="B82" s="138"/>
      <c r="C82" s="138"/>
      <c r="D82" s="139"/>
      <c r="E82" s="43"/>
    </row>
    <row r="83" spans="1:5" ht="34.5" customHeight="1" thickBot="1">
      <c r="A83" s="34" t="s">
        <v>447</v>
      </c>
      <c r="B83" s="32" t="s">
        <v>438</v>
      </c>
      <c r="C83" s="34">
        <v>3</v>
      </c>
      <c r="D83" s="32" t="s">
        <v>0</v>
      </c>
      <c r="E83" s="42"/>
    </row>
    <row r="84" spans="1:5" ht="34.5" customHeight="1" thickBot="1">
      <c r="A84" s="37" t="s">
        <v>673</v>
      </c>
      <c r="B84" s="36" t="s">
        <v>1</v>
      </c>
      <c r="C84" s="34" t="s">
        <v>674</v>
      </c>
      <c r="D84" s="32" t="s">
        <v>2</v>
      </c>
      <c r="E84" s="41"/>
    </row>
    <row r="85" spans="1:5" ht="34.5" customHeight="1" thickBot="1">
      <c r="A85" s="140">
        <v>325</v>
      </c>
      <c r="B85" s="141"/>
      <c r="C85" s="142" t="s">
        <v>3</v>
      </c>
      <c r="D85" s="143"/>
      <c r="E85" s="41"/>
    </row>
    <row r="86" spans="1:5" ht="34.5" customHeight="1" thickBot="1">
      <c r="A86" s="140">
        <v>372</v>
      </c>
      <c r="B86" s="141"/>
      <c r="C86" s="144" t="s">
        <v>4</v>
      </c>
      <c r="D86" s="145"/>
      <c r="E86" s="41"/>
    </row>
    <row r="87" spans="1:5" ht="34.5" customHeight="1" thickBot="1">
      <c r="A87" s="146">
        <f>A86-A85</f>
        <v>47</v>
      </c>
      <c r="B87" s="147"/>
      <c r="C87" s="148"/>
      <c r="D87" s="35" t="s">
        <v>5</v>
      </c>
      <c r="E87" s="41"/>
    </row>
    <row r="88" spans="1:5" ht="34.5" customHeight="1" thickBot="1">
      <c r="A88" s="149">
        <v>23</v>
      </c>
      <c r="B88" s="150"/>
      <c r="C88" s="151"/>
      <c r="D88" s="35" t="s">
        <v>6</v>
      </c>
      <c r="E88" s="41"/>
    </row>
    <row r="89" spans="1:5" ht="34.5" customHeight="1" thickBot="1">
      <c r="A89" s="144">
        <f>A88*A87</f>
        <v>1081</v>
      </c>
      <c r="B89" s="152"/>
      <c r="C89" s="145"/>
      <c r="D89" s="35" t="s">
        <v>7</v>
      </c>
      <c r="E89" s="41"/>
    </row>
    <row r="90" spans="1:5" ht="34.5" customHeight="1" thickBot="1">
      <c r="A90" s="144">
        <v>0</v>
      </c>
      <c r="B90" s="152"/>
      <c r="C90" s="145"/>
      <c r="D90" s="35" t="s">
        <v>437</v>
      </c>
      <c r="E90" s="41"/>
    </row>
    <row r="91" spans="1:5" ht="34.5" customHeight="1" thickBot="1">
      <c r="A91" s="34">
        <v>0</v>
      </c>
      <c r="B91" s="32" t="s">
        <v>8</v>
      </c>
      <c r="C91" s="33">
        <v>1080</v>
      </c>
      <c r="D91" s="32" t="s">
        <v>9</v>
      </c>
      <c r="E91" s="41"/>
    </row>
    <row r="92" spans="1:5" ht="34.5" customHeight="1" thickBot="1">
      <c r="A92" s="153" t="s">
        <v>436</v>
      </c>
      <c r="B92" s="154"/>
      <c r="C92" s="154"/>
      <c r="D92" s="155"/>
      <c r="E92" s="41"/>
    </row>
    <row r="93" spans="1:5" ht="34.5" customHeight="1" thickBot="1">
      <c r="A93" s="156" t="s">
        <v>435</v>
      </c>
      <c r="B93" s="157"/>
      <c r="C93" s="157"/>
      <c r="D93" s="158"/>
      <c r="E93" s="41"/>
    </row>
    <row r="94" spans="1:5" ht="34.5" customHeight="1">
      <c r="A94" s="159" t="s">
        <v>442</v>
      </c>
      <c r="B94" s="160" t="s">
        <v>441</v>
      </c>
      <c r="C94" s="160"/>
      <c r="D94" s="161"/>
      <c r="E94" s="44"/>
    </row>
    <row r="95" spans="1:5" ht="34.5" customHeight="1" thickBot="1">
      <c r="A95" s="162"/>
      <c r="B95" s="163"/>
      <c r="C95" s="163"/>
      <c r="D95" s="164"/>
      <c r="E95" s="44"/>
    </row>
    <row r="96" spans="1:5" ht="34.5" customHeight="1" thickBot="1">
      <c r="A96" s="142" t="s">
        <v>11</v>
      </c>
      <c r="B96" s="143"/>
      <c r="C96" s="165" t="s">
        <v>591</v>
      </c>
      <c r="D96" s="143"/>
      <c r="E96" s="43"/>
    </row>
    <row r="97" spans="1:5" ht="34.5" customHeight="1" thickBot="1">
      <c r="A97" s="137" t="s">
        <v>428</v>
      </c>
      <c r="B97" s="138"/>
      <c r="C97" s="138"/>
      <c r="D97" s="139"/>
      <c r="E97" s="43"/>
    </row>
    <row r="98" spans="1:5" ht="34.5" customHeight="1" thickBot="1">
      <c r="A98" s="34" t="s">
        <v>447</v>
      </c>
      <c r="B98" s="32" t="s">
        <v>438</v>
      </c>
      <c r="C98" s="34">
        <v>4</v>
      </c>
      <c r="D98" s="32" t="s">
        <v>0</v>
      </c>
      <c r="E98" s="42"/>
    </row>
    <row r="99" spans="1:5" ht="34.5" customHeight="1" thickBot="1">
      <c r="A99" s="37" t="s">
        <v>673</v>
      </c>
      <c r="B99" s="36" t="s">
        <v>1</v>
      </c>
      <c r="C99" s="34" t="s">
        <v>674</v>
      </c>
      <c r="D99" s="32" t="s">
        <v>2</v>
      </c>
      <c r="E99" s="41"/>
    </row>
    <row r="100" spans="1:5" ht="34.5" customHeight="1" thickBot="1">
      <c r="A100" s="140">
        <v>200</v>
      </c>
      <c r="B100" s="141"/>
      <c r="C100" s="142" t="s">
        <v>3</v>
      </c>
      <c r="D100" s="143"/>
      <c r="E100" s="41"/>
    </row>
    <row r="101" spans="1:5" ht="34.5" customHeight="1" thickBot="1">
      <c r="A101" s="140">
        <v>200</v>
      </c>
      <c r="B101" s="141"/>
      <c r="C101" s="144" t="s">
        <v>4</v>
      </c>
      <c r="D101" s="145"/>
      <c r="E101" s="41"/>
    </row>
    <row r="102" spans="1:5" ht="34.5" customHeight="1" thickBot="1">
      <c r="A102" s="146">
        <f>A101-A100</f>
        <v>0</v>
      </c>
      <c r="B102" s="147"/>
      <c r="C102" s="148"/>
      <c r="D102" s="35" t="s">
        <v>5</v>
      </c>
      <c r="E102" s="41"/>
    </row>
    <row r="103" spans="1:5" ht="34.5" customHeight="1" thickBot="1">
      <c r="A103" s="149">
        <v>23</v>
      </c>
      <c r="B103" s="150"/>
      <c r="C103" s="151"/>
      <c r="D103" s="35" t="s">
        <v>6</v>
      </c>
      <c r="E103" s="41"/>
    </row>
    <row r="104" spans="1:5" ht="34.5" customHeight="1" thickBot="1">
      <c r="A104" s="144">
        <f>A103*A102</f>
        <v>0</v>
      </c>
      <c r="B104" s="152"/>
      <c r="C104" s="145"/>
      <c r="D104" s="35" t="s">
        <v>7</v>
      </c>
      <c r="E104" s="41"/>
    </row>
    <row r="105" spans="1:5" ht="34.5" customHeight="1" thickBot="1">
      <c r="A105" s="144">
        <v>0</v>
      </c>
      <c r="B105" s="152"/>
      <c r="C105" s="145"/>
      <c r="D105" s="35" t="s">
        <v>437</v>
      </c>
      <c r="E105" s="41"/>
    </row>
    <row r="106" spans="1:5" ht="34.5" customHeight="1" thickBot="1">
      <c r="A106" s="34">
        <v>0</v>
      </c>
      <c r="B106" s="32" t="s">
        <v>8</v>
      </c>
      <c r="C106" s="33">
        <v>440</v>
      </c>
      <c r="D106" s="32" t="s">
        <v>9</v>
      </c>
      <c r="E106" s="41"/>
    </row>
    <row r="107" spans="1:5" ht="34.5" customHeight="1" thickBot="1">
      <c r="A107" s="153" t="s">
        <v>436</v>
      </c>
      <c r="B107" s="154"/>
      <c r="C107" s="154"/>
      <c r="D107" s="155"/>
      <c r="E107" s="41"/>
    </row>
    <row r="108" spans="1:5" ht="34.5" customHeight="1" thickBot="1">
      <c r="A108" s="156" t="s">
        <v>435</v>
      </c>
      <c r="B108" s="157"/>
      <c r="C108" s="157"/>
      <c r="D108" s="158"/>
      <c r="E108" s="41"/>
    </row>
    <row r="109" spans="1:5" ht="34.5" customHeight="1" thickBot="1">
      <c r="A109" s="40"/>
      <c r="B109" s="39"/>
      <c r="C109" s="39"/>
      <c r="D109" s="38"/>
      <c r="E109" s="41"/>
    </row>
    <row r="110" spans="1:5" ht="34.5" customHeight="1">
      <c r="A110" s="159" t="s">
        <v>442</v>
      </c>
      <c r="B110" s="160" t="s">
        <v>441</v>
      </c>
      <c r="C110" s="160"/>
      <c r="D110" s="161"/>
      <c r="E110" s="44"/>
    </row>
    <row r="111" spans="1:5" ht="34.5" customHeight="1" thickBot="1">
      <c r="A111" s="162"/>
      <c r="B111" s="163"/>
      <c r="C111" s="163"/>
      <c r="D111" s="164"/>
      <c r="E111" s="44"/>
    </row>
    <row r="112" spans="1:5" ht="34.5" customHeight="1" thickBot="1">
      <c r="A112" s="142" t="s">
        <v>11</v>
      </c>
      <c r="B112" s="143"/>
      <c r="C112" s="165" t="s">
        <v>591</v>
      </c>
      <c r="D112" s="143"/>
      <c r="E112" s="43"/>
    </row>
    <row r="113" spans="1:5" ht="34.5" customHeight="1" thickBot="1">
      <c r="A113" s="137" t="s">
        <v>428</v>
      </c>
      <c r="B113" s="138"/>
      <c r="C113" s="138"/>
      <c r="D113" s="139"/>
      <c r="E113" s="43"/>
    </row>
    <row r="114" spans="1:5" ht="34.5" customHeight="1" thickBot="1">
      <c r="A114" s="34" t="s">
        <v>447</v>
      </c>
      <c r="B114" s="32" t="s">
        <v>438</v>
      </c>
      <c r="C114" s="34">
        <v>4</v>
      </c>
      <c r="D114" s="32" t="s">
        <v>0</v>
      </c>
      <c r="E114" s="42"/>
    </row>
    <row r="115" spans="1:5" ht="34.5" customHeight="1" thickBot="1">
      <c r="A115" s="37" t="s">
        <v>673</v>
      </c>
      <c r="B115" s="36" t="s">
        <v>1</v>
      </c>
      <c r="C115" s="34" t="s">
        <v>674</v>
      </c>
      <c r="D115" s="32" t="s">
        <v>2</v>
      </c>
      <c r="E115" s="41"/>
    </row>
    <row r="116" spans="1:5" ht="34.5" customHeight="1" thickBot="1">
      <c r="A116" s="140">
        <v>181</v>
      </c>
      <c r="B116" s="141"/>
      <c r="C116" s="142" t="s">
        <v>3</v>
      </c>
      <c r="D116" s="143"/>
      <c r="E116" s="41"/>
    </row>
    <row r="117" spans="1:5" ht="34.5" customHeight="1" thickBot="1">
      <c r="A117" s="140">
        <v>200</v>
      </c>
      <c r="B117" s="141"/>
      <c r="C117" s="144" t="s">
        <v>4</v>
      </c>
      <c r="D117" s="145"/>
      <c r="E117" s="41"/>
    </row>
    <row r="118" spans="1:5" ht="34.5" customHeight="1" thickBot="1">
      <c r="A118" s="146">
        <f>A117-A116</f>
        <v>19</v>
      </c>
      <c r="B118" s="147"/>
      <c r="C118" s="148"/>
      <c r="D118" s="35" t="s">
        <v>5</v>
      </c>
      <c r="E118" s="41"/>
    </row>
    <row r="119" spans="1:5" ht="34.5" customHeight="1" thickBot="1">
      <c r="A119" s="149">
        <v>23</v>
      </c>
      <c r="B119" s="150"/>
      <c r="C119" s="151"/>
      <c r="D119" s="35" t="s">
        <v>6</v>
      </c>
      <c r="E119" s="41"/>
    </row>
    <row r="120" spans="1:5" ht="34.5" customHeight="1" thickBot="1">
      <c r="A120" s="144">
        <f>A119*A118</f>
        <v>437</v>
      </c>
      <c r="B120" s="152"/>
      <c r="C120" s="145"/>
      <c r="D120" s="35" t="s">
        <v>7</v>
      </c>
      <c r="E120" s="41"/>
    </row>
    <row r="121" spans="1:5" ht="34.5" customHeight="1" thickBot="1">
      <c r="A121" s="144">
        <v>0</v>
      </c>
      <c r="B121" s="152"/>
      <c r="C121" s="145"/>
      <c r="D121" s="35" t="s">
        <v>437</v>
      </c>
      <c r="E121" s="41"/>
    </row>
    <row r="122" spans="1:5" ht="34.5" customHeight="1" thickBot="1">
      <c r="A122" s="34">
        <v>0</v>
      </c>
      <c r="B122" s="32" t="s">
        <v>8</v>
      </c>
      <c r="C122" s="33">
        <v>440</v>
      </c>
      <c r="D122" s="32" t="s">
        <v>9</v>
      </c>
      <c r="E122" s="41"/>
    </row>
    <row r="123" spans="1:5" ht="34.5" customHeight="1" thickBot="1">
      <c r="A123" s="153" t="s">
        <v>436</v>
      </c>
      <c r="B123" s="154"/>
      <c r="C123" s="154"/>
      <c r="D123" s="155"/>
      <c r="E123" s="41"/>
    </row>
    <row r="124" spans="1:5" ht="34.5" customHeight="1" thickBot="1">
      <c r="A124" s="156" t="s">
        <v>435</v>
      </c>
      <c r="B124" s="157"/>
      <c r="C124" s="157"/>
      <c r="D124" s="158"/>
      <c r="E124" s="41"/>
    </row>
    <row r="125" spans="1:5" ht="34.5" customHeight="1">
      <c r="A125" s="159" t="s">
        <v>442</v>
      </c>
      <c r="B125" s="160" t="s">
        <v>441</v>
      </c>
      <c r="C125" s="160"/>
      <c r="D125" s="161"/>
      <c r="E125" s="44"/>
    </row>
    <row r="126" spans="1:5" ht="34.5" customHeight="1" thickBot="1">
      <c r="A126" s="162"/>
      <c r="B126" s="163"/>
      <c r="C126" s="163"/>
      <c r="D126" s="164"/>
      <c r="E126" s="44"/>
    </row>
    <row r="127" spans="1:5" ht="34.5" customHeight="1" thickBot="1">
      <c r="A127" s="142" t="s">
        <v>11</v>
      </c>
      <c r="B127" s="143"/>
      <c r="C127" s="165" t="s">
        <v>591</v>
      </c>
      <c r="D127" s="143"/>
      <c r="E127" s="43"/>
    </row>
    <row r="128" spans="1:5" ht="34.5" customHeight="1" thickBot="1">
      <c r="A128" s="137" t="s">
        <v>614</v>
      </c>
      <c r="B128" s="138"/>
      <c r="C128" s="138"/>
      <c r="D128" s="139"/>
      <c r="E128" s="43"/>
    </row>
    <row r="129" spans="1:5" ht="34.5" customHeight="1" thickBot="1">
      <c r="A129" s="34" t="s">
        <v>447</v>
      </c>
      <c r="B129" s="32" t="s">
        <v>438</v>
      </c>
      <c r="C129" s="34">
        <v>5</v>
      </c>
      <c r="D129" s="32" t="s">
        <v>0</v>
      </c>
      <c r="E129" s="42"/>
    </row>
    <row r="130" spans="1:5" ht="34.5" customHeight="1" thickBot="1">
      <c r="A130" s="37" t="s">
        <v>673</v>
      </c>
      <c r="B130" s="36" t="s">
        <v>1</v>
      </c>
      <c r="C130" s="34" t="s">
        <v>674</v>
      </c>
      <c r="D130" s="32" t="s">
        <v>2</v>
      </c>
      <c r="E130" s="41"/>
    </row>
    <row r="131" spans="1:5" ht="34.5" customHeight="1" thickBot="1">
      <c r="A131" s="140">
        <v>142</v>
      </c>
      <c r="B131" s="141"/>
      <c r="C131" s="142" t="s">
        <v>3</v>
      </c>
      <c r="D131" s="143"/>
      <c r="E131" s="41"/>
    </row>
    <row r="132" spans="1:5" ht="34.5" customHeight="1" thickBot="1">
      <c r="A132" s="140">
        <v>142</v>
      </c>
      <c r="B132" s="141"/>
      <c r="C132" s="144" t="s">
        <v>4</v>
      </c>
      <c r="D132" s="145"/>
      <c r="E132" s="41"/>
    </row>
    <row r="133" spans="1:5" ht="34.5" customHeight="1" thickBot="1">
      <c r="A133" s="146">
        <f>A132-A131</f>
        <v>0</v>
      </c>
      <c r="B133" s="147"/>
      <c r="C133" s="148"/>
      <c r="D133" s="35" t="s">
        <v>5</v>
      </c>
      <c r="E133" s="41"/>
    </row>
    <row r="134" spans="1:5" ht="34.5" customHeight="1" thickBot="1">
      <c r="A134" s="149">
        <v>23</v>
      </c>
      <c r="B134" s="150"/>
      <c r="C134" s="151"/>
      <c r="D134" s="35" t="s">
        <v>6</v>
      </c>
      <c r="E134" s="41"/>
    </row>
    <row r="135" spans="1:5" ht="34.5" customHeight="1" thickBot="1">
      <c r="A135" s="144">
        <f>A134*A133</f>
        <v>0</v>
      </c>
      <c r="B135" s="152"/>
      <c r="C135" s="145"/>
      <c r="D135" s="35" t="s">
        <v>7</v>
      </c>
      <c r="E135" s="41"/>
    </row>
    <row r="136" spans="1:5" ht="34.5" customHeight="1" thickBot="1">
      <c r="A136" s="144">
        <v>0</v>
      </c>
      <c r="B136" s="152"/>
      <c r="C136" s="145"/>
      <c r="D136" s="35" t="s">
        <v>437</v>
      </c>
      <c r="E136" s="41"/>
    </row>
    <row r="137" spans="1:5" ht="34.5" customHeight="1" thickBot="1">
      <c r="A137" s="34">
        <v>0</v>
      </c>
      <c r="B137" s="32" t="s">
        <v>8</v>
      </c>
      <c r="C137" s="33">
        <v>280</v>
      </c>
      <c r="D137" s="32" t="s">
        <v>9</v>
      </c>
      <c r="E137" s="41"/>
    </row>
    <row r="138" spans="1:5" ht="34.5" customHeight="1" thickBot="1">
      <c r="A138" s="153" t="s">
        <v>436</v>
      </c>
      <c r="B138" s="154"/>
      <c r="C138" s="154"/>
      <c r="D138" s="155"/>
      <c r="E138" s="41"/>
    </row>
    <row r="139" spans="1:5" ht="34.5" customHeight="1" thickBot="1">
      <c r="A139" s="156" t="s">
        <v>435</v>
      </c>
      <c r="B139" s="157"/>
      <c r="C139" s="157"/>
      <c r="D139" s="158"/>
      <c r="E139" s="41"/>
    </row>
    <row r="140" spans="1:5" ht="34.5" customHeight="1" thickBot="1">
      <c r="A140" s="40"/>
      <c r="B140" s="39"/>
      <c r="C140" s="39"/>
      <c r="D140" s="38"/>
      <c r="E140" s="41"/>
    </row>
    <row r="141" spans="1:5" ht="34.5" customHeight="1">
      <c r="A141" s="159" t="s">
        <v>442</v>
      </c>
      <c r="B141" s="160" t="s">
        <v>441</v>
      </c>
      <c r="C141" s="160"/>
      <c r="D141" s="161"/>
      <c r="E141" s="44"/>
    </row>
    <row r="142" spans="1:5" ht="34.5" customHeight="1" thickBot="1">
      <c r="A142" s="162"/>
      <c r="B142" s="163"/>
      <c r="C142" s="163"/>
      <c r="D142" s="164"/>
      <c r="E142" s="44"/>
    </row>
    <row r="143" spans="1:5" ht="34.5" customHeight="1" thickBot="1">
      <c r="A143" s="142" t="s">
        <v>11</v>
      </c>
      <c r="B143" s="143"/>
      <c r="C143" s="165" t="s">
        <v>591</v>
      </c>
      <c r="D143" s="143"/>
      <c r="E143" s="43"/>
    </row>
    <row r="144" spans="1:5" ht="34.5" customHeight="1" thickBot="1">
      <c r="A144" s="137" t="s">
        <v>614</v>
      </c>
      <c r="B144" s="138"/>
      <c r="C144" s="138"/>
      <c r="D144" s="139"/>
      <c r="E144" s="43"/>
    </row>
    <row r="145" spans="1:5" ht="34.5" customHeight="1" thickBot="1">
      <c r="A145" s="34" t="s">
        <v>447</v>
      </c>
      <c r="B145" s="32" t="s">
        <v>438</v>
      </c>
      <c r="C145" s="34">
        <v>5</v>
      </c>
      <c r="D145" s="32" t="s">
        <v>0</v>
      </c>
      <c r="E145" s="42"/>
    </row>
    <row r="146" spans="1:5" ht="34.5" customHeight="1" thickBot="1">
      <c r="A146" s="37" t="s">
        <v>673</v>
      </c>
      <c r="B146" s="36" t="s">
        <v>1</v>
      </c>
      <c r="C146" s="34" t="s">
        <v>674</v>
      </c>
      <c r="D146" s="32" t="s">
        <v>2</v>
      </c>
      <c r="E146" s="41"/>
    </row>
    <row r="147" spans="1:5" ht="34.5" customHeight="1" thickBot="1">
      <c r="A147" s="140">
        <v>130</v>
      </c>
      <c r="B147" s="141"/>
      <c r="C147" s="142" t="s">
        <v>3</v>
      </c>
      <c r="D147" s="143"/>
      <c r="E147" s="41"/>
    </row>
    <row r="148" spans="1:5" ht="34.5" customHeight="1" thickBot="1">
      <c r="A148" s="140">
        <v>142</v>
      </c>
      <c r="B148" s="141"/>
      <c r="C148" s="144" t="s">
        <v>4</v>
      </c>
      <c r="D148" s="145"/>
      <c r="E148" s="41"/>
    </row>
    <row r="149" spans="1:5" ht="34.5" customHeight="1" thickBot="1">
      <c r="A149" s="146">
        <f>A148-A147</f>
        <v>12</v>
      </c>
      <c r="B149" s="147"/>
      <c r="C149" s="148"/>
      <c r="D149" s="35" t="s">
        <v>5</v>
      </c>
      <c r="E149" s="41"/>
    </row>
    <row r="150" spans="1:5" ht="34.5" customHeight="1" thickBot="1">
      <c r="A150" s="149">
        <v>23</v>
      </c>
      <c r="B150" s="150"/>
      <c r="C150" s="151"/>
      <c r="D150" s="35" t="s">
        <v>6</v>
      </c>
      <c r="E150" s="41"/>
    </row>
    <row r="151" spans="1:5" ht="34.5" customHeight="1" thickBot="1">
      <c r="A151" s="144">
        <f>A150*A149</f>
        <v>276</v>
      </c>
      <c r="B151" s="152"/>
      <c r="C151" s="145"/>
      <c r="D151" s="35" t="s">
        <v>7</v>
      </c>
      <c r="E151" s="41"/>
    </row>
    <row r="152" spans="1:5" ht="34.5" customHeight="1" thickBot="1">
      <c r="A152" s="144">
        <v>0</v>
      </c>
      <c r="B152" s="152"/>
      <c r="C152" s="145"/>
      <c r="D152" s="35" t="s">
        <v>437</v>
      </c>
      <c r="E152" s="41"/>
    </row>
    <row r="153" spans="1:5" ht="34.5" customHeight="1" thickBot="1">
      <c r="A153" s="34">
        <v>0</v>
      </c>
      <c r="B153" s="32" t="s">
        <v>8</v>
      </c>
      <c r="C153" s="33">
        <v>280</v>
      </c>
      <c r="D153" s="32" t="s">
        <v>9</v>
      </c>
      <c r="E153" s="41"/>
    </row>
    <row r="154" spans="1:5" ht="34.5" customHeight="1" thickBot="1">
      <c r="A154" s="153" t="s">
        <v>436</v>
      </c>
      <c r="B154" s="154"/>
      <c r="C154" s="154"/>
      <c r="D154" s="155"/>
      <c r="E154" s="41"/>
    </row>
    <row r="155" spans="1:5" ht="34.5" customHeight="1" thickBot="1">
      <c r="A155" s="156" t="s">
        <v>435</v>
      </c>
      <c r="B155" s="157"/>
      <c r="C155" s="157"/>
      <c r="D155" s="158"/>
      <c r="E155" s="41"/>
    </row>
    <row r="156" spans="1:5" ht="34.5" customHeight="1">
      <c r="A156" s="159" t="s">
        <v>442</v>
      </c>
      <c r="B156" s="160" t="s">
        <v>441</v>
      </c>
      <c r="C156" s="160"/>
      <c r="D156" s="161"/>
      <c r="E156" s="44"/>
    </row>
    <row r="157" spans="1:5" ht="34.5" customHeight="1" thickBot="1">
      <c r="A157" s="162"/>
      <c r="B157" s="163"/>
      <c r="C157" s="163"/>
      <c r="D157" s="164"/>
      <c r="E157" s="44"/>
    </row>
    <row r="158" spans="1:5" ht="34.5" customHeight="1" thickBot="1">
      <c r="A158" s="142" t="s">
        <v>11</v>
      </c>
      <c r="B158" s="143"/>
      <c r="C158" s="165" t="s">
        <v>591</v>
      </c>
      <c r="D158" s="143"/>
      <c r="E158" s="43"/>
    </row>
    <row r="159" spans="1:5" ht="34.5" customHeight="1" thickBot="1">
      <c r="A159" s="137" t="s">
        <v>323</v>
      </c>
      <c r="B159" s="138"/>
      <c r="C159" s="138"/>
      <c r="D159" s="139"/>
      <c r="E159" s="43"/>
    </row>
    <row r="160" spans="1:5" ht="34.5" customHeight="1" thickBot="1">
      <c r="A160" s="34" t="s">
        <v>447</v>
      </c>
      <c r="B160" s="32" t="s">
        <v>438</v>
      </c>
      <c r="C160" s="34">
        <v>6</v>
      </c>
      <c r="D160" s="32" t="s">
        <v>0</v>
      </c>
      <c r="E160" s="42"/>
    </row>
    <row r="161" spans="1:5" ht="34.5" customHeight="1" thickBot="1">
      <c r="A161" s="37" t="s">
        <v>673</v>
      </c>
      <c r="B161" s="36" t="s">
        <v>1</v>
      </c>
      <c r="C161" s="34" t="s">
        <v>674</v>
      </c>
      <c r="D161" s="32" t="s">
        <v>2</v>
      </c>
      <c r="E161" s="41"/>
    </row>
    <row r="162" spans="1:5" ht="34.5" customHeight="1" thickBot="1">
      <c r="A162" s="140">
        <v>210</v>
      </c>
      <c r="B162" s="141"/>
      <c r="C162" s="142" t="s">
        <v>3</v>
      </c>
      <c r="D162" s="143"/>
      <c r="E162" s="41"/>
    </row>
    <row r="163" spans="1:5" ht="34.5" customHeight="1" thickBot="1">
      <c r="A163" s="140">
        <v>210</v>
      </c>
      <c r="B163" s="141"/>
      <c r="C163" s="144" t="s">
        <v>4</v>
      </c>
      <c r="D163" s="145"/>
      <c r="E163" s="41"/>
    </row>
    <row r="164" spans="1:5" ht="34.5" customHeight="1" thickBot="1">
      <c r="A164" s="146">
        <f>A163-A162</f>
        <v>0</v>
      </c>
      <c r="B164" s="147"/>
      <c r="C164" s="148"/>
      <c r="D164" s="35" t="s">
        <v>5</v>
      </c>
      <c r="E164" s="41"/>
    </row>
    <row r="165" spans="1:5" ht="34.5" customHeight="1" thickBot="1">
      <c r="A165" s="149">
        <v>23</v>
      </c>
      <c r="B165" s="150"/>
      <c r="C165" s="151"/>
      <c r="D165" s="35" t="s">
        <v>6</v>
      </c>
      <c r="E165" s="41"/>
    </row>
    <row r="166" spans="1:5" ht="34.5" customHeight="1" thickBot="1">
      <c r="A166" s="144">
        <f>A165*A164</f>
        <v>0</v>
      </c>
      <c r="B166" s="152"/>
      <c r="C166" s="145"/>
      <c r="D166" s="35" t="s">
        <v>7</v>
      </c>
      <c r="E166" s="41"/>
    </row>
    <row r="167" spans="1:5" ht="34.5" customHeight="1" thickBot="1">
      <c r="A167" s="144">
        <v>0</v>
      </c>
      <c r="B167" s="152"/>
      <c r="C167" s="145"/>
      <c r="D167" s="35" t="s">
        <v>437</v>
      </c>
      <c r="E167" s="41"/>
    </row>
    <row r="168" spans="1:5" ht="34.5" customHeight="1" thickBot="1">
      <c r="A168" s="34">
        <v>0</v>
      </c>
      <c r="B168" s="32" t="s">
        <v>8</v>
      </c>
      <c r="C168" s="33">
        <v>690</v>
      </c>
      <c r="D168" s="32" t="s">
        <v>9</v>
      </c>
      <c r="E168" s="41"/>
    </row>
    <row r="169" spans="1:5" ht="34.5" customHeight="1" thickBot="1">
      <c r="A169" s="153" t="s">
        <v>436</v>
      </c>
      <c r="B169" s="154"/>
      <c r="C169" s="154"/>
      <c r="D169" s="155"/>
      <c r="E169" s="41"/>
    </row>
    <row r="170" spans="1:5" ht="34.5" customHeight="1" thickBot="1">
      <c r="A170" s="156" t="s">
        <v>435</v>
      </c>
      <c r="B170" s="157"/>
      <c r="C170" s="157"/>
      <c r="D170" s="158"/>
      <c r="E170" s="41"/>
    </row>
    <row r="171" spans="1:5" ht="34.5" customHeight="1" thickBot="1">
      <c r="A171" s="40"/>
      <c r="B171" s="39"/>
      <c r="C171" s="39"/>
      <c r="D171" s="38"/>
      <c r="E171" s="41"/>
    </row>
    <row r="172" spans="1:5" ht="34.5" customHeight="1">
      <c r="A172" s="159" t="s">
        <v>442</v>
      </c>
      <c r="B172" s="160" t="s">
        <v>441</v>
      </c>
      <c r="C172" s="160"/>
      <c r="D172" s="161"/>
      <c r="E172" s="44"/>
    </row>
    <row r="173" spans="1:5" ht="34.5" customHeight="1" thickBot="1">
      <c r="A173" s="162"/>
      <c r="B173" s="163"/>
      <c r="C173" s="163"/>
      <c r="D173" s="164"/>
      <c r="E173" s="44"/>
    </row>
    <row r="174" spans="1:5" ht="34.5" customHeight="1" thickBot="1">
      <c r="A174" s="142" t="s">
        <v>11</v>
      </c>
      <c r="B174" s="143"/>
      <c r="C174" s="165" t="s">
        <v>591</v>
      </c>
      <c r="D174" s="143"/>
      <c r="E174" s="43"/>
    </row>
    <row r="175" spans="1:5" ht="34.5" customHeight="1" thickBot="1">
      <c r="A175" s="137" t="s">
        <v>323</v>
      </c>
      <c r="B175" s="138"/>
      <c r="C175" s="138"/>
      <c r="D175" s="139"/>
      <c r="E175" s="43"/>
    </row>
    <row r="176" spans="1:5" ht="34.5" customHeight="1" thickBot="1">
      <c r="A176" s="34" t="s">
        <v>447</v>
      </c>
      <c r="B176" s="32" t="s">
        <v>438</v>
      </c>
      <c r="C176" s="34">
        <v>6</v>
      </c>
      <c r="D176" s="32" t="s">
        <v>0</v>
      </c>
      <c r="E176" s="42"/>
    </row>
    <row r="177" spans="1:5" ht="34.5" customHeight="1" thickBot="1">
      <c r="A177" s="37" t="s">
        <v>673</v>
      </c>
      <c r="B177" s="36" t="s">
        <v>1</v>
      </c>
      <c r="C177" s="34" t="s">
        <v>674</v>
      </c>
      <c r="D177" s="32" t="s">
        <v>2</v>
      </c>
      <c r="E177" s="41"/>
    </row>
    <row r="178" spans="1:5" ht="34.5" customHeight="1" thickBot="1">
      <c r="A178" s="140">
        <v>180</v>
      </c>
      <c r="B178" s="141"/>
      <c r="C178" s="142" t="s">
        <v>3</v>
      </c>
      <c r="D178" s="143"/>
      <c r="E178" s="41"/>
    </row>
    <row r="179" spans="1:5" ht="34.5" customHeight="1" thickBot="1">
      <c r="A179" s="140">
        <v>210</v>
      </c>
      <c r="B179" s="141"/>
      <c r="C179" s="144" t="s">
        <v>4</v>
      </c>
      <c r="D179" s="145"/>
      <c r="E179" s="41"/>
    </row>
    <row r="180" spans="1:5" ht="34.5" customHeight="1" thickBot="1">
      <c r="A180" s="146">
        <f>A179-A178</f>
        <v>30</v>
      </c>
      <c r="B180" s="147"/>
      <c r="C180" s="148"/>
      <c r="D180" s="35" t="s">
        <v>5</v>
      </c>
      <c r="E180" s="41"/>
    </row>
    <row r="181" spans="1:5" ht="34.5" customHeight="1" thickBot="1">
      <c r="A181" s="149">
        <v>23</v>
      </c>
      <c r="B181" s="150"/>
      <c r="C181" s="151"/>
      <c r="D181" s="35" t="s">
        <v>6</v>
      </c>
      <c r="E181" s="41"/>
    </row>
    <row r="182" spans="1:5" ht="34.5" customHeight="1" thickBot="1">
      <c r="A182" s="144">
        <f>A181*A180</f>
        <v>690</v>
      </c>
      <c r="B182" s="152"/>
      <c r="C182" s="145"/>
      <c r="D182" s="35" t="s">
        <v>7</v>
      </c>
      <c r="E182" s="41"/>
    </row>
    <row r="183" spans="1:5" ht="34.5" customHeight="1" thickBot="1">
      <c r="A183" s="144">
        <v>0</v>
      </c>
      <c r="B183" s="152"/>
      <c r="C183" s="145"/>
      <c r="D183" s="35" t="s">
        <v>437</v>
      </c>
      <c r="E183" s="41"/>
    </row>
    <row r="184" spans="1:5" ht="34.5" customHeight="1" thickBot="1">
      <c r="A184" s="34">
        <v>0</v>
      </c>
      <c r="B184" s="32" t="s">
        <v>8</v>
      </c>
      <c r="C184" s="33">
        <v>690</v>
      </c>
      <c r="D184" s="32" t="s">
        <v>9</v>
      </c>
      <c r="E184" s="41"/>
    </row>
    <row r="185" spans="1:5" ht="34.5" customHeight="1" thickBot="1">
      <c r="A185" s="153" t="s">
        <v>436</v>
      </c>
      <c r="B185" s="154"/>
      <c r="C185" s="154"/>
      <c r="D185" s="155"/>
      <c r="E185" s="41"/>
    </row>
    <row r="186" spans="1:5" ht="34.5" customHeight="1" thickBot="1">
      <c r="A186" s="156" t="s">
        <v>435</v>
      </c>
      <c r="B186" s="157"/>
      <c r="C186" s="157"/>
      <c r="D186" s="158"/>
      <c r="E186" s="41"/>
    </row>
    <row r="187" spans="1:5" ht="34.5" customHeight="1">
      <c r="A187" s="159" t="s">
        <v>442</v>
      </c>
      <c r="B187" s="160" t="s">
        <v>441</v>
      </c>
      <c r="C187" s="160"/>
      <c r="D187" s="161"/>
      <c r="E187" s="44"/>
    </row>
    <row r="188" spans="1:5" ht="34.5" customHeight="1" thickBot="1">
      <c r="A188" s="162"/>
      <c r="B188" s="163"/>
      <c r="C188" s="163"/>
      <c r="D188" s="164"/>
      <c r="E188" s="44"/>
    </row>
    <row r="189" spans="1:5" ht="34.5" customHeight="1" thickBot="1">
      <c r="A189" s="142" t="s">
        <v>11</v>
      </c>
      <c r="B189" s="143"/>
      <c r="C189" s="165" t="s">
        <v>591</v>
      </c>
      <c r="D189" s="143"/>
      <c r="E189" s="43"/>
    </row>
    <row r="190" spans="1:5" ht="34.5" customHeight="1" thickBot="1">
      <c r="A190" s="137" t="s">
        <v>510</v>
      </c>
      <c r="B190" s="138"/>
      <c r="C190" s="138"/>
      <c r="D190" s="139"/>
      <c r="E190" s="43"/>
    </row>
    <row r="191" spans="1:5" ht="34.5" customHeight="1" thickBot="1">
      <c r="A191" s="34" t="s">
        <v>447</v>
      </c>
      <c r="B191" s="32" t="s">
        <v>438</v>
      </c>
      <c r="C191" s="34">
        <v>7</v>
      </c>
      <c r="D191" s="32" t="s">
        <v>0</v>
      </c>
      <c r="E191" s="42"/>
    </row>
    <row r="192" spans="1:5" ht="34.5" customHeight="1" thickBot="1">
      <c r="A192" s="37" t="s">
        <v>673</v>
      </c>
      <c r="B192" s="36" t="s">
        <v>1</v>
      </c>
      <c r="C192" s="34" t="s">
        <v>674</v>
      </c>
      <c r="D192" s="32" t="s">
        <v>2</v>
      </c>
      <c r="E192" s="41"/>
    </row>
    <row r="193" spans="1:5" ht="34.5" customHeight="1" thickBot="1">
      <c r="A193" s="140">
        <v>118</v>
      </c>
      <c r="B193" s="141"/>
      <c r="C193" s="142" t="s">
        <v>3</v>
      </c>
      <c r="D193" s="143"/>
      <c r="E193" s="41"/>
    </row>
    <row r="194" spans="1:5" ht="34.5" customHeight="1" thickBot="1">
      <c r="A194" s="140">
        <v>118</v>
      </c>
      <c r="B194" s="141"/>
      <c r="C194" s="144" t="s">
        <v>4</v>
      </c>
      <c r="D194" s="145"/>
      <c r="E194" s="41"/>
    </row>
    <row r="195" spans="1:5" ht="34.5" customHeight="1" thickBot="1">
      <c r="A195" s="146">
        <f>A194-A193</f>
        <v>0</v>
      </c>
      <c r="B195" s="147"/>
      <c r="C195" s="148"/>
      <c r="D195" s="35" t="s">
        <v>5</v>
      </c>
      <c r="E195" s="41"/>
    </row>
    <row r="196" spans="1:5" ht="34.5" customHeight="1" thickBot="1">
      <c r="A196" s="149">
        <v>23</v>
      </c>
      <c r="B196" s="150"/>
      <c r="C196" s="151"/>
      <c r="D196" s="35" t="s">
        <v>6</v>
      </c>
      <c r="E196" s="41"/>
    </row>
    <row r="197" spans="1:5" ht="34.5" customHeight="1" thickBot="1">
      <c r="A197" s="144">
        <f>A196*A195</f>
        <v>0</v>
      </c>
      <c r="B197" s="152"/>
      <c r="C197" s="145"/>
      <c r="D197" s="35" t="s">
        <v>7</v>
      </c>
      <c r="E197" s="41"/>
    </row>
    <row r="198" spans="1:5" ht="34.5" customHeight="1" thickBot="1">
      <c r="A198" s="144">
        <v>0</v>
      </c>
      <c r="B198" s="152"/>
      <c r="C198" s="145"/>
      <c r="D198" s="35" t="s">
        <v>437</v>
      </c>
      <c r="E198" s="41"/>
    </row>
    <row r="199" spans="1:5" ht="34.5" customHeight="1" thickBot="1">
      <c r="A199" s="34">
        <v>0</v>
      </c>
      <c r="B199" s="32" t="s">
        <v>8</v>
      </c>
      <c r="C199" s="33">
        <v>410</v>
      </c>
      <c r="D199" s="32" t="s">
        <v>9</v>
      </c>
      <c r="E199" s="41"/>
    </row>
    <row r="200" spans="1:5" ht="34.5" customHeight="1" thickBot="1">
      <c r="A200" s="153" t="s">
        <v>436</v>
      </c>
      <c r="B200" s="154"/>
      <c r="C200" s="154"/>
      <c r="D200" s="155"/>
      <c r="E200" s="41"/>
    </row>
    <row r="201" spans="1:5" ht="34.5" customHeight="1" thickBot="1">
      <c r="A201" s="156" t="s">
        <v>435</v>
      </c>
      <c r="B201" s="157"/>
      <c r="C201" s="157"/>
      <c r="D201" s="158"/>
      <c r="E201" s="41"/>
    </row>
    <row r="202" spans="1:5" ht="34.5" customHeight="1" thickBot="1">
      <c r="A202" s="40"/>
      <c r="B202" s="39"/>
      <c r="C202" s="39"/>
      <c r="D202" s="38"/>
      <c r="E202" s="41"/>
    </row>
    <row r="203" spans="1:5" ht="34.5" customHeight="1">
      <c r="A203" s="159" t="s">
        <v>442</v>
      </c>
      <c r="B203" s="160" t="s">
        <v>441</v>
      </c>
      <c r="C203" s="160"/>
      <c r="D203" s="161"/>
      <c r="E203" s="44"/>
    </row>
    <row r="204" spans="1:5" ht="34.5" customHeight="1" thickBot="1">
      <c r="A204" s="162"/>
      <c r="B204" s="163"/>
      <c r="C204" s="163"/>
      <c r="D204" s="164"/>
      <c r="E204" s="44"/>
    </row>
    <row r="205" spans="1:5" ht="34.5" customHeight="1" thickBot="1">
      <c r="A205" s="142" t="s">
        <v>11</v>
      </c>
      <c r="B205" s="143"/>
      <c r="C205" s="165" t="s">
        <v>591</v>
      </c>
      <c r="D205" s="143"/>
      <c r="E205" s="43"/>
    </row>
    <row r="206" spans="1:5" ht="34.5" customHeight="1" thickBot="1">
      <c r="A206" s="137" t="s">
        <v>510</v>
      </c>
      <c r="B206" s="138"/>
      <c r="C206" s="138"/>
      <c r="D206" s="139"/>
      <c r="E206" s="43"/>
    </row>
    <row r="207" spans="1:5" ht="34.5" customHeight="1" thickBot="1">
      <c r="A207" s="34" t="s">
        <v>447</v>
      </c>
      <c r="B207" s="32" t="s">
        <v>438</v>
      </c>
      <c r="C207" s="34">
        <v>7</v>
      </c>
      <c r="D207" s="32" t="s">
        <v>0</v>
      </c>
      <c r="E207" s="42"/>
    </row>
    <row r="208" spans="1:5" ht="34.5" customHeight="1" thickBot="1">
      <c r="A208" s="37" t="s">
        <v>673</v>
      </c>
      <c r="B208" s="36" t="s">
        <v>1</v>
      </c>
      <c r="C208" s="34" t="s">
        <v>674</v>
      </c>
      <c r="D208" s="32" t="s">
        <v>2</v>
      </c>
      <c r="E208" s="41"/>
    </row>
    <row r="209" spans="1:5" ht="34.5" customHeight="1" thickBot="1">
      <c r="A209" s="140">
        <v>100</v>
      </c>
      <c r="B209" s="141"/>
      <c r="C209" s="142" t="s">
        <v>3</v>
      </c>
      <c r="D209" s="143"/>
      <c r="E209" s="41"/>
    </row>
    <row r="210" spans="1:5" ht="34.5" customHeight="1" thickBot="1">
      <c r="A210" s="140">
        <v>118</v>
      </c>
      <c r="B210" s="141"/>
      <c r="C210" s="144" t="s">
        <v>4</v>
      </c>
      <c r="D210" s="145"/>
      <c r="E210" s="41"/>
    </row>
    <row r="211" spans="1:5" ht="34.5" customHeight="1" thickBot="1">
      <c r="A211" s="146">
        <f>A210-A209</f>
        <v>18</v>
      </c>
      <c r="B211" s="147"/>
      <c r="C211" s="148"/>
      <c r="D211" s="35" t="s">
        <v>5</v>
      </c>
      <c r="E211" s="41"/>
    </row>
    <row r="212" spans="1:5" ht="34.5" customHeight="1" thickBot="1">
      <c r="A212" s="149">
        <v>23</v>
      </c>
      <c r="B212" s="150"/>
      <c r="C212" s="151"/>
      <c r="D212" s="35" t="s">
        <v>6</v>
      </c>
      <c r="E212" s="41"/>
    </row>
    <row r="213" spans="1:5" ht="34.5" customHeight="1" thickBot="1">
      <c r="A213" s="144">
        <f>A212*A211</f>
        <v>414</v>
      </c>
      <c r="B213" s="152"/>
      <c r="C213" s="145"/>
      <c r="D213" s="35" t="s">
        <v>7</v>
      </c>
      <c r="E213" s="41"/>
    </row>
    <row r="214" spans="1:5" ht="34.5" customHeight="1" thickBot="1">
      <c r="A214" s="144">
        <v>0</v>
      </c>
      <c r="B214" s="152"/>
      <c r="C214" s="145"/>
      <c r="D214" s="35" t="s">
        <v>437</v>
      </c>
      <c r="E214" s="41"/>
    </row>
    <row r="215" spans="1:5" ht="34.5" customHeight="1" thickBot="1">
      <c r="A215" s="34">
        <v>0</v>
      </c>
      <c r="B215" s="32" t="s">
        <v>8</v>
      </c>
      <c r="C215" s="33">
        <v>410</v>
      </c>
      <c r="D215" s="32" t="s">
        <v>9</v>
      </c>
      <c r="E215" s="41"/>
    </row>
    <row r="216" spans="1:5" ht="34.5" customHeight="1" thickBot="1">
      <c r="A216" s="153" t="s">
        <v>436</v>
      </c>
      <c r="B216" s="154"/>
      <c r="C216" s="154"/>
      <c r="D216" s="155"/>
      <c r="E216" s="41"/>
    </row>
    <row r="217" spans="1:5" ht="34.5" customHeight="1" thickBot="1">
      <c r="A217" s="156" t="s">
        <v>435</v>
      </c>
      <c r="B217" s="157"/>
      <c r="C217" s="157"/>
      <c r="D217" s="158"/>
      <c r="E217" s="41"/>
    </row>
    <row r="218" spans="1:5" ht="34.5" customHeight="1">
      <c r="A218" s="159" t="s">
        <v>442</v>
      </c>
      <c r="B218" s="160" t="s">
        <v>441</v>
      </c>
      <c r="C218" s="160"/>
      <c r="D218" s="161"/>
      <c r="E218" s="44"/>
    </row>
    <row r="219" spans="1:5" ht="34.5" customHeight="1" thickBot="1">
      <c r="A219" s="162"/>
      <c r="B219" s="163"/>
      <c r="C219" s="163"/>
      <c r="D219" s="164"/>
      <c r="E219" s="44"/>
    </row>
    <row r="220" spans="1:5" ht="34.5" customHeight="1" thickBot="1">
      <c r="A220" s="142" t="s">
        <v>11</v>
      </c>
      <c r="B220" s="143"/>
      <c r="C220" s="165" t="s">
        <v>591</v>
      </c>
      <c r="D220" s="143"/>
      <c r="E220" s="43"/>
    </row>
    <row r="221" spans="1:5" ht="34.5" customHeight="1" thickBot="1">
      <c r="A221" s="137" t="s">
        <v>509</v>
      </c>
      <c r="B221" s="138"/>
      <c r="C221" s="138"/>
      <c r="D221" s="139"/>
      <c r="E221" s="43"/>
    </row>
    <row r="222" spans="1:5" ht="34.5" customHeight="1" thickBot="1">
      <c r="A222" s="34" t="s">
        <v>447</v>
      </c>
      <c r="B222" s="32" t="s">
        <v>438</v>
      </c>
      <c r="C222" s="34">
        <v>8</v>
      </c>
      <c r="D222" s="32" t="s">
        <v>0</v>
      </c>
      <c r="E222" s="42"/>
    </row>
    <row r="223" spans="1:5" ht="34.5" customHeight="1" thickBot="1">
      <c r="A223" s="37" t="s">
        <v>673</v>
      </c>
      <c r="B223" s="36" t="s">
        <v>1</v>
      </c>
      <c r="C223" s="34" t="s">
        <v>674</v>
      </c>
      <c r="D223" s="32" t="s">
        <v>2</v>
      </c>
      <c r="E223" s="41"/>
    </row>
    <row r="224" spans="1:5" ht="34.5" customHeight="1" thickBot="1">
      <c r="A224" s="140">
        <v>188</v>
      </c>
      <c r="B224" s="141"/>
      <c r="C224" s="142" t="s">
        <v>3</v>
      </c>
      <c r="D224" s="143"/>
      <c r="E224" s="41"/>
    </row>
    <row r="225" spans="1:5" ht="34.5" customHeight="1" thickBot="1">
      <c r="A225" s="140">
        <v>188</v>
      </c>
      <c r="B225" s="141"/>
      <c r="C225" s="144" t="s">
        <v>4</v>
      </c>
      <c r="D225" s="145"/>
      <c r="E225" s="41"/>
    </row>
    <row r="226" spans="1:5" ht="34.5" customHeight="1" thickBot="1">
      <c r="A226" s="146">
        <f>A225-A224</f>
        <v>0</v>
      </c>
      <c r="B226" s="147"/>
      <c r="C226" s="148"/>
      <c r="D226" s="35" t="s">
        <v>5</v>
      </c>
      <c r="E226" s="41"/>
    </row>
    <row r="227" spans="1:5" ht="34.5" customHeight="1" thickBot="1">
      <c r="A227" s="149">
        <v>23</v>
      </c>
      <c r="B227" s="150"/>
      <c r="C227" s="151"/>
      <c r="D227" s="35" t="s">
        <v>6</v>
      </c>
      <c r="E227" s="41"/>
    </row>
    <row r="228" spans="1:5" ht="34.5" customHeight="1" thickBot="1">
      <c r="A228" s="144">
        <f>A227*A226</f>
        <v>0</v>
      </c>
      <c r="B228" s="152"/>
      <c r="C228" s="145"/>
      <c r="D228" s="35" t="s">
        <v>7</v>
      </c>
      <c r="E228" s="41"/>
    </row>
    <row r="229" spans="1:5" ht="34.5" customHeight="1" thickBot="1">
      <c r="A229" s="144">
        <v>0</v>
      </c>
      <c r="B229" s="152"/>
      <c r="C229" s="145"/>
      <c r="D229" s="35" t="s">
        <v>437</v>
      </c>
      <c r="E229" s="41"/>
    </row>
    <row r="230" spans="1:5" ht="34.5" customHeight="1" thickBot="1">
      <c r="A230" s="34">
        <v>0</v>
      </c>
      <c r="B230" s="32" t="s">
        <v>8</v>
      </c>
      <c r="C230" s="33">
        <v>500</v>
      </c>
      <c r="D230" s="32" t="s">
        <v>9</v>
      </c>
      <c r="E230" s="41"/>
    </row>
    <row r="231" spans="1:5" ht="34.5" customHeight="1" thickBot="1">
      <c r="A231" s="153" t="s">
        <v>436</v>
      </c>
      <c r="B231" s="154"/>
      <c r="C231" s="154"/>
      <c r="D231" s="155"/>
      <c r="E231" s="41"/>
    </row>
    <row r="232" spans="1:5" ht="34.5" customHeight="1" thickBot="1">
      <c r="A232" s="156" t="s">
        <v>435</v>
      </c>
      <c r="B232" s="157"/>
      <c r="C232" s="157"/>
      <c r="D232" s="158"/>
      <c r="E232" s="41"/>
    </row>
    <row r="233" spans="1:5" ht="34.5" customHeight="1" thickBot="1">
      <c r="A233" s="40"/>
      <c r="B233" s="39"/>
      <c r="C233" s="39"/>
      <c r="D233" s="38"/>
      <c r="E233" s="41"/>
    </row>
    <row r="234" spans="1:5" ht="34.5" customHeight="1">
      <c r="A234" s="159" t="s">
        <v>442</v>
      </c>
      <c r="B234" s="160" t="s">
        <v>441</v>
      </c>
      <c r="C234" s="160"/>
      <c r="D234" s="161"/>
      <c r="E234" s="44"/>
    </row>
    <row r="235" spans="1:5" ht="34.5" customHeight="1" thickBot="1">
      <c r="A235" s="162"/>
      <c r="B235" s="163"/>
      <c r="C235" s="163"/>
      <c r="D235" s="164"/>
      <c r="E235" s="44"/>
    </row>
    <row r="236" spans="1:5" ht="34.5" customHeight="1" thickBot="1">
      <c r="A236" s="142" t="s">
        <v>11</v>
      </c>
      <c r="B236" s="143"/>
      <c r="C236" s="165" t="s">
        <v>591</v>
      </c>
      <c r="D236" s="143"/>
      <c r="E236" s="43"/>
    </row>
    <row r="237" spans="1:5" ht="34.5" customHeight="1" thickBot="1">
      <c r="A237" s="137" t="s">
        <v>509</v>
      </c>
      <c r="B237" s="138"/>
      <c r="C237" s="138"/>
      <c r="D237" s="139"/>
      <c r="E237" s="43"/>
    </row>
    <row r="238" spans="1:5" ht="34.5" customHeight="1" thickBot="1">
      <c r="A238" s="34" t="s">
        <v>447</v>
      </c>
      <c r="B238" s="32" t="s">
        <v>438</v>
      </c>
      <c r="C238" s="34">
        <v>8</v>
      </c>
      <c r="D238" s="32" t="s">
        <v>0</v>
      </c>
      <c r="E238" s="42"/>
    </row>
    <row r="239" spans="1:5" ht="34.5" customHeight="1" thickBot="1">
      <c r="A239" s="37" t="s">
        <v>673</v>
      </c>
      <c r="B239" s="36" t="s">
        <v>1</v>
      </c>
      <c r="C239" s="34" t="s">
        <v>674</v>
      </c>
      <c r="D239" s="32" t="s">
        <v>2</v>
      </c>
      <c r="E239" s="41"/>
    </row>
    <row r="240" spans="1:5" ht="34.5" customHeight="1" thickBot="1">
      <c r="A240" s="140">
        <v>166</v>
      </c>
      <c r="B240" s="141"/>
      <c r="C240" s="142" t="s">
        <v>3</v>
      </c>
      <c r="D240" s="143"/>
      <c r="E240" s="41"/>
    </row>
    <row r="241" spans="1:5" ht="34.5" customHeight="1" thickBot="1">
      <c r="A241" s="140">
        <v>188</v>
      </c>
      <c r="B241" s="141"/>
      <c r="C241" s="144" t="s">
        <v>4</v>
      </c>
      <c r="D241" s="145"/>
      <c r="E241" s="41"/>
    </row>
    <row r="242" spans="1:5" ht="34.5" customHeight="1" thickBot="1">
      <c r="A242" s="146">
        <f>A241-A240</f>
        <v>22</v>
      </c>
      <c r="B242" s="147"/>
      <c r="C242" s="148"/>
      <c r="D242" s="35" t="s">
        <v>5</v>
      </c>
      <c r="E242" s="41"/>
    </row>
    <row r="243" spans="1:5" ht="34.5" customHeight="1" thickBot="1">
      <c r="A243" s="149">
        <v>23</v>
      </c>
      <c r="B243" s="150"/>
      <c r="C243" s="151"/>
      <c r="D243" s="35" t="s">
        <v>6</v>
      </c>
      <c r="E243" s="41"/>
    </row>
    <row r="244" spans="1:5" ht="34.5" customHeight="1" thickBot="1">
      <c r="A244" s="144">
        <f>A243*A242</f>
        <v>506</v>
      </c>
      <c r="B244" s="152"/>
      <c r="C244" s="145"/>
      <c r="D244" s="35" t="s">
        <v>7</v>
      </c>
      <c r="E244" s="41"/>
    </row>
    <row r="245" spans="1:5" ht="34.5" customHeight="1" thickBot="1">
      <c r="A245" s="144">
        <v>0</v>
      </c>
      <c r="B245" s="152"/>
      <c r="C245" s="145"/>
      <c r="D245" s="35" t="s">
        <v>437</v>
      </c>
      <c r="E245" s="41"/>
    </row>
    <row r="246" spans="1:5" ht="34.5" customHeight="1" thickBot="1">
      <c r="A246" s="34">
        <v>0</v>
      </c>
      <c r="B246" s="32" t="s">
        <v>8</v>
      </c>
      <c r="C246" s="33">
        <v>500</v>
      </c>
      <c r="D246" s="32" t="s">
        <v>9</v>
      </c>
      <c r="E246" s="41"/>
    </row>
    <row r="247" spans="1:5" ht="34.5" customHeight="1" thickBot="1">
      <c r="A247" s="153" t="s">
        <v>436</v>
      </c>
      <c r="B247" s="154"/>
      <c r="C247" s="154"/>
      <c r="D247" s="155"/>
      <c r="E247" s="41"/>
    </row>
    <row r="248" spans="1:5" ht="34.5" customHeight="1" thickBot="1">
      <c r="A248" s="156" t="s">
        <v>435</v>
      </c>
      <c r="B248" s="157"/>
      <c r="C248" s="157"/>
      <c r="D248" s="158"/>
      <c r="E248" s="41"/>
    </row>
    <row r="249" spans="1:5" ht="34.5" customHeight="1">
      <c r="A249" s="159" t="s">
        <v>442</v>
      </c>
      <c r="B249" s="160" t="s">
        <v>441</v>
      </c>
      <c r="C249" s="160"/>
      <c r="D249" s="161"/>
      <c r="E249" s="44"/>
    </row>
    <row r="250" spans="1:5" ht="34.5" customHeight="1" thickBot="1">
      <c r="A250" s="162"/>
      <c r="B250" s="163"/>
      <c r="C250" s="163"/>
      <c r="D250" s="164"/>
      <c r="E250" s="44"/>
    </row>
    <row r="251" spans="1:5" ht="34.5" customHeight="1" thickBot="1">
      <c r="A251" s="142" t="s">
        <v>11</v>
      </c>
      <c r="B251" s="143"/>
      <c r="C251" s="165" t="s">
        <v>591</v>
      </c>
      <c r="D251" s="143"/>
      <c r="E251" s="43"/>
    </row>
    <row r="252" spans="1:5" ht="34.5" customHeight="1" thickBot="1">
      <c r="A252" s="137" t="s">
        <v>150</v>
      </c>
      <c r="B252" s="138"/>
      <c r="C252" s="138"/>
      <c r="D252" s="139"/>
      <c r="E252" s="43"/>
    </row>
    <row r="253" spans="1:5" ht="34.5" customHeight="1" thickBot="1">
      <c r="A253" s="34" t="s">
        <v>447</v>
      </c>
      <c r="B253" s="32" t="s">
        <v>438</v>
      </c>
      <c r="C253" s="34">
        <v>9</v>
      </c>
      <c r="D253" s="32" t="s">
        <v>0</v>
      </c>
      <c r="E253" s="42"/>
    </row>
    <row r="254" spans="1:5" ht="34.5" customHeight="1" thickBot="1">
      <c r="A254" s="37" t="s">
        <v>673</v>
      </c>
      <c r="B254" s="36" t="s">
        <v>1</v>
      </c>
      <c r="C254" s="34" t="s">
        <v>674</v>
      </c>
      <c r="D254" s="32" t="s">
        <v>2</v>
      </c>
      <c r="E254" s="41"/>
    </row>
    <row r="255" spans="1:5" ht="34.5" customHeight="1" thickBot="1">
      <c r="A255" s="140">
        <v>194</v>
      </c>
      <c r="B255" s="141"/>
      <c r="C255" s="142" t="s">
        <v>3</v>
      </c>
      <c r="D255" s="143"/>
      <c r="E255" s="41"/>
    </row>
    <row r="256" spans="1:5" ht="34.5" customHeight="1" thickBot="1">
      <c r="A256" s="140">
        <v>194</v>
      </c>
      <c r="B256" s="141"/>
      <c r="C256" s="144" t="s">
        <v>4</v>
      </c>
      <c r="D256" s="145"/>
      <c r="E256" s="41"/>
    </row>
    <row r="257" spans="1:5" ht="34.5" customHeight="1" thickBot="1">
      <c r="A257" s="146">
        <f>A256-A255</f>
        <v>0</v>
      </c>
      <c r="B257" s="147"/>
      <c r="C257" s="148"/>
      <c r="D257" s="35" t="s">
        <v>5</v>
      </c>
      <c r="E257" s="41"/>
    </row>
    <row r="258" spans="1:5" ht="34.5" customHeight="1" thickBot="1">
      <c r="A258" s="149">
        <v>23</v>
      </c>
      <c r="B258" s="150"/>
      <c r="C258" s="151"/>
      <c r="D258" s="35" t="s">
        <v>6</v>
      </c>
      <c r="E258" s="41"/>
    </row>
    <row r="259" spans="1:5" ht="34.5" customHeight="1" thickBot="1">
      <c r="A259" s="144">
        <f>A258*A257</f>
        <v>0</v>
      </c>
      <c r="B259" s="152"/>
      <c r="C259" s="145"/>
      <c r="D259" s="35" t="s">
        <v>7</v>
      </c>
      <c r="E259" s="41"/>
    </row>
    <row r="260" spans="1:5" ht="34.5" customHeight="1" thickBot="1">
      <c r="A260" s="144">
        <v>0</v>
      </c>
      <c r="B260" s="152"/>
      <c r="C260" s="145"/>
      <c r="D260" s="35" t="s">
        <v>437</v>
      </c>
      <c r="E260" s="41"/>
    </row>
    <row r="261" spans="1:5" ht="34.5" customHeight="1" thickBot="1">
      <c r="A261" s="34">
        <v>0</v>
      </c>
      <c r="B261" s="32" t="s">
        <v>8</v>
      </c>
      <c r="C261" s="33">
        <v>550</v>
      </c>
      <c r="D261" s="32" t="s">
        <v>9</v>
      </c>
      <c r="E261" s="41"/>
    </row>
    <row r="262" spans="1:5" ht="34.5" customHeight="1" thickBot="1">
      <c r="A262" s="153" t="s">
        <v>436</v>
      </c>
      <c r="B262" s="154"/>
      <c r="C262" s="154"/>
      <c r="D262" s="155"/>
      <c r="E262" s="41"/>
    </row>
    <row r="263" spans="1:5" ht="34.5" customHeight="1" thickBot="1">
      <c r="A263" s="156" t="s">
        <v>435</v>
      </c>
      <c r="B263" s="157"/>
      <c r="C263" s="157"/>
      <c r="D263" s="158"/>
      <c r="E263" s="41"/>
    </row>
    <row r="264" spans="1:5" ht="34.5" customHeight="1" thickBot="1">
      <c r="A264" s="40"/>
      <c r="B264" s="39"/>
      <c r="C264" s="39"/>
      <c r="D264" s="38"/>
      <c r="E264" s="41"/>
    </row>
    <row r="265" spans="1:5" ht="34.5" customHeight="1">
      <c r="A265" s="159" t="s">
        <v>442</v>
      </c>
      <c r="B265" s="160" t="s">
        <v>441</v>
      </c>
      <c r="C265" s="160"/>
      <c r="D265" s="161"/>
      <c r="E265" s="44"/>
    </row>
    <row r="266" spans="1:5" ht="34.5" customHeight="1" thickBot="1">
      <c r="A266" s="162"/>
      <c r="B266" s="163"/>
      <c r="C266" s="163"/>
      <c r="D266" s="164"/>
      <c r="E266" s="44"/>
    </row>
    <row r="267" spans="1:5" ht="34.5" customHeight="1" thickBot="1">
      <c r="A267" s="142" t="s">
        <v>11</v>
      </c>
      <c r="B267" s="143"/>
      <c r="C267" s="165" t="s">
        <v>591</v>
      </c>
      <c r="D267" s="143"/>
      <c r="E267" s="43"/>
    </row>
    <row r="268" spans="1:5" ht="34.5" customHeight="1" thickBot="1">
      <c r="A268" s="137" t="s">
        <v>150</v>
      </c>
      <c r="B268" s="138"/>
      <c r="C268" s="138"/>
      <c r="D268" s="139"/>
      <c r="E268" s="43"/>
    </row>
    <row r="269" spans="1:5" ht="34.5" customHeight="1" thickBot="1">
      <c r="A269" s="34" t="s">
        <v>447</v>
      </c>
      <c r="B269" s="32" t="s">
        <v>438</v>
      </c>
      <c r="C269" s="34">
        <v>9</v>
      </c>
      <c r="D269" s="32" t="s">
        <v>0</v>
      </c>
      <c r="E269" s="42"/>
    </row>
    <row r="270" spans="1:5" ht="34.5" customHeight="1" thickBot="1">
      <c r="A270" s="37" t="s">
        <v>673</v>
      </c>
      <c r="B270" s="36" t="s">
        <v>1</v>
      </c>
      <c r="C270" s="34" t="s">
        <v>674</v>
      </c>
      <c r="D270" s="32" t="s">
        <v>2</v>
      </c>
      <c r="E270" s="41"/>
    </row>
    <row r="271" spans="1:5" ht="34.5" customHeight="1" thickBot="1">
      <c r="A271" s="140">
        <v>170</v>
      </c>
      <c r="B271" s="141"/>
      <c r="C271" s="142" t="s">
        <v>3</v>
      </c>
      <c r="D271" s="143"/>
      <c r="E271" s="41"/>
    </row>
    <row r="272" spans="1:5" ht="34.5" customHeight="1" thickBot="1">
      <c r="A272" s="140">
        <v>194</v>
      </c>
      <c r="B272" s="141"/>
      <c r="C272" s="144" t="s">
        <v>4</v>
      </c>
      <c r="D272" s="145"/>
      <c r="E272" s="41"/>
    </row>
    <row r="273" spans="1:5" ht="34.5" customHeight="1" thickBot="1">
      <c r="A273" s="146">
        <f>A272-A271</f>
        <v>24</v>
      </c>
      <c r="B273" s="147"/>
      <c r="C273" s="148"/>
      <c r="D273" s="35" t="s">
        <v>5</v>
      </c>
      <c r="E273" s="41"/>
    </row>
    <row r="274" spans="1:5" ht="34.5" customHeight="1" thickBot="1">
      <c r="A274" s="149">
        <v>23</v>
      </c>
      <c r="B274" s="150"/>
      <c r="C274" s="151"/>
      <c r="D274" s="35" t="s">
        <v>6</v>
      </c>
      <c r="E274" s="41"/>
    </row>
    <row r="275" spans="1:5" ht="34.5" customHeight="1" thickBot="1">
      <c r="A275" s="144">
        <f>A274*A273</f>
        <v>552</v>
      </c>
      <c r="B275" s="152"/>
      <c r="C275" s="145"/>
      <c r="D275" s="35" t="s">
        <v>7</v>
      </c>
      <c r="E275" s="41"/>
    </row>
    <row r="276" spans="1:5" ht="34.5" customHeight="1" thickBot="1">
      <c r="A276" s="144">
        <v>0</v>
      </c>
      <c r="B276" s="152"/>
      <c r="C276" s="145"/>
      <c r="D276" s="35" t="s">
        <v>437</v>
      </c>
      <c r="E276" s="41"/>
    </row>
    <row r="277" spans="1:5" ht="34.5" customHeight="1" thickBot="1">
      <c r="A277" s="34">
        <v>0</v>
      </c>
      <c r="B277" s="32" t="s">
        <v>8</v>
      </c>
      <c r="C277" s="33">
        <v>550</v>
      </c>
      <c r="D277" s="32" t="s">
        <v>9</v>
      </c>
      <c r="E277" s="41"/>
    </row>
    <row r="278" spans="1:5" ht="34.5" customHeight="1" thickBot="1">
      <c r="A278" s="153" t="s">
        <v>436</v>
      </c>
      <c r="B278" s="154"/>
      <c r="C278" s="154"/>
      <c r="D278" s="155"/>
      <c r="E278" s="41"/>
    </row>
    <row r="279" spans="1:5" ht="34.5" customHeight="1" thickBot="1">
      <c r="A279" s="156" t="s">
        <v>435</v>
      </c>
      <c r="B279" s="157"/>
      <c r="C279" s="157"/>
      <c r="D279" s="158"/>
      <c r="E279" s="41"/>
    </row>
    <row r="280" spans="1:5" ht="34.5" customHeight="1">
      <c r="A280" s="159" t="s">
        <v>442</v>
      </c>
      <c r="B280" s="160" t="s">
        <v>441</v>
      </c>
      <c r="C280" s="160"/>
      <c r="D280" s="161"/>
      <c r="E280" s="44"/>
    </row>
    <row r="281" spans="1:5" ht="34.5" customHeight="1" thickBot="1">
      <c r="A281" s="162"/>
      <c r="B281" s="163"/>
      <c r="C281" s="163"/>
      <c r="D281" s="164"/>
      <c r="E281" s="44"/>
    </row>
    <row r="282" spans="1:5" ht="34.5" customHeight="1" thickBot="1">
      <c r="A282" s="142" t="s">
        <v>11</v>
      </c>
      <c r="B282" s="143"/>
      <c r="C282" s="165" t="s">
        <v>591</v>
      </c>
      <c r="D282" s="143"/>
      <c r="E282" s="43"/>
    </row>
    <row r="283" spans="1:5" ht="34.5" customHeight="1" thickBot="1">
      <c r="A283" s="137" t="s">
        <v>508</v>
      </c>
      <c r="B283" s="138"/>
      <c r="C283" s="138"/>
      <c r="D283" s="139"/>
      <c r="E283" s="43"/>
    </row>
    <row r="284" spans="1:5" ht="34.5" customHeight="1" thickBot="1">
      <c r="A284" s="34" t="s">
        <v>447</v>
      </c>
      <c r="B284" s="32" t="s">
        <v>438</v>
      </c>
      <c r="C284" s="34">
        <v>10</v>
      </c>
      <c r="D284" s="32" t="s">
        <v>0</v>
      </c>
      <c r="E284" s="42"/>
    </row>
    <row r="285" spans="1:5" ht="34.5" customHeight="1" thickBot="1">
      <c r="A285" s="37" t="s">
        <v>673</v>
      </c>
      <c r="B285" s="36" t="s">
        <v>1</v>
      </c>
      <c r="C285" s="34" t="s">
        <v>674</v>
      </c>
      <c r="D285" s="32" t="s">
        <v>2</v>
      </c>
      <c r="E285" s="41"/>
    </row>
    <row r="286" spans="1:5" ht="34.5" customHeight="1" thickBot="1">
      <c r="A286" s="140">
        <v>158</v>
      </c>
      <c r="B286" s="141"/>
      <c r="C286" s="142" t="s">
        <v>3</v>
      </c>
      <c r="D286" s="143"/>
      <c r="E286" s="41"/>
    </row>
    <row r="287" spans="1:5" ht="34.5" customHeight="1" thickBot="1">
      <c r="A287" s="140">
        <v>158</v>
      </c>
      <c r="B287" s="141"/>
      <c r="C287" s="144" t="s">
        <v>4</v>
      </c>
      <c r="D287" s="145"/>
      <c r="E287" s="41"/>
    </row>
    <row r="288" spans="1:5" ht="34.5" customHeight="1" thickBot="1">
      <c r="A288" s="146">
        <f>A287-A286</f>
        <v>0</v>
      </c>
      <c r="B288" s="147"/>
      <c r="C288" s="148"/>
      <c r="D288" s="35" t="s">
        <v>5</v>
      </c>
      <c r="E288" s="41"/>
    </row>
    <row r="289" spans="1:5" ht="34.5" customHeight="1" thickBot="1">
      <c r="A289" s="149">
        <v>23</v>
      </c>
      <c r="B289" s="150"/>
      <c r="C289" s="151"/>
      <c r="D289" s="35" t="s">
        <v>6</v>
      </c>
      <c r="E289" s="41"/>
    </row>
    <row r="290" spans="1:5" ht="34.5" customHeight="1" thickBot="1">
      <c r="A290" s="144">
        <f>A289*A288</f>
        <v>0</v>
      </c>
      <c r="B290" s="152"/>
      <c r="C290" s="145"/>
      <c r="D290" s="35" t="s">
        <v>7</v>
      </c>
      <c r="E290" s="41"/>
    </row>
    <row r="291" spans="1:5" ht="34.5" customHeight="1" thickBot="1">
      <c r="A291" s="144">
        <v>0</v>
      </c>
      <c r="B291" s="152"/>
      <c r="C291" s="145"/>
      <c r="D291" s="35" t="s">
        <v>437</v>
      </c>
      <c r="E291" s="41"/>
    </row>
    <row r="292" spans="1:5" ht="34.5" customHeight="1" thickBot="1">
      <c r="A292" s="34">
        <v>0</v>
      </c>
      <c r="B292" s="32" t="s">
        <v>8</v>
      </c>
      <c r="C292" s="33">
        <v>460</v>
      </c>
      <c r="D292" s="32" t="s">
        <v>9</v>
      </c>
      <c r="E292" s="41"/>
    </row>
    <row r="293" spans="1:5" ht="34.5" customHeight="1" thickBot="1">
      <c r="A293" s="153" t="s">
        <v>436</v>
      </c>
      <c r="B293" s="154"/>
      <c r="C293" s="154"/>
      <c r="D293" s="155"/>
      <c r="E293" s="41"/>
    </row>
    <row r="294" spans="1:5" ht="34.5" customHeight="1" thickBot="1">
      <c r="A294" s="156" t="s">
        <v>435</v>
      </c>
      <c r="B294" s="157"/>
      <c r="C294" s="157"/>
      <c r="D294" s="158"/>
      <c r="E294" s="41"/>
    </row>
    <row r="295" spans="1:5" ht="34.5" customHeight="1" thickBot="1">
      <c r="A295" s="40"/>
      <c r="B295" s="39"/>
      <c r="C295" s="39"/>
      <c r="D295" s="38"/>
      <c r="E295" s="41"/>
    </row>
    <row r="296" spans="1:5" ht="34.5" customHeight="1">
      <c r="A296" s="159" t="s">
        <v>442</v>
      </c>
      <c r="B296" s="160" t="s">
        <v>441</v>
      </c>
      <c r="C296" s="160"/>
      <c r="D296" s="161"/>
      <c r="E296" s="44"/>
    </row>
    <row r="297" spans="1:5" ht="34.5" customHeight="1" thickBot="1">
      <c r="A297" s="162"/>
      <c r="B297" s="163"/>
      <c r="C297" s="163"/>
      <c r="D297" s="164"/>
      <c r="E297" s="44"/>
    </row>
    <row r="298" spans="1:5" ht="34.5" customHeight="1" thickBot="1">
      <c r="A298" s="142" t="s">
        <v>11</v>
      </c>
      <c r="B298" s="143"/>
      <c r="C298" s="165" t="s">
        <v>591</v>
      </c>
      <c r="D298" s="143"/>
      <c r="E298" s="43"/>
    </row>
    <row r="299" spans="1:5" ht="34.5" customHeight="1" thickBot="1">
      <c r="A299" s="137" t="s">
        <v>508</v>
      </c>
      <c r="B299" s="138"/>
      <c r="C299" s="138"/>
      <c r="D299" s="139"/>
      <c r="E299" s="43"/>
    </row>
    <row r="300" spans="1:5" ht="34.5" customHeight="1" thickBot="1">
      <c r="A300" s="34" t="s">
        <v>447</v>
      </c>
      <c r="B300" s="32" t="s">
        <v>438</v>
      </c>
      <c r="C300" s="34">
        <v>10</v>
      </c>
      <c r="D300" s="32" t="s">
        <v>0</v>
      </c>
      <c r="E300" s="42"/>
    </row>
    <row r="301" spans="1:5" ht="34.5" customHeight="1" thickBot="1">
      <c r="A301" s="37" t="s">
        <v>673</v>
      </c>
      <c r="B301" s="36" t="s">
        <v>1</v>
      </c>
      <c r="C301" s="34" t="s">
        <v>674</v>
      </c>
      <c r="D301" s="32" t="s">
        <v>2</v>
      </c>
      <c r="E301" s="41"/>
    </row>
    <row r="302" spans="1:5" ht="34.5" customHeight="1" thickBot="1">
      <c r="A302" s="140">
        <v>138</v>
      </c>
      <c r="B302" s="141"/>
      <c r="C302" s="142" t="s">
        <v>3</v>
      </c>
      <c r="D302" s="143"/>
      <c r="E302" s="41"/>
    </row>
    <row r="303" spans="1:5" ht="34.5" customHeight="1" thickBot="1">
      <c r="A303" s="140">
        <v>158</v>
      </c>
      <c r="B303" s="141"/>
      <c r="C303" s="144" t="s">
        <v>4</v>
      </c>
      <c r="D303" s="145"/>
      <c r="E303" s="41"/>
    </row>
    <row r="304" spans="1:5" ht="34.5" customHeight="1" thickBot="1">
      <c r="A304" s="146">
        <f>A303-A302</f>
        <v>20</v>
      </c>
      <c r="B304" s="147"/>
      <c r="C304" s="148"/>
      <c r="D304" s="35" t="s">
        <v>5</v>
      </c>
      <c r="E304" s="41"/>
    </row>
    <row r="305" spans="1:5" ht="34.5" customHeight="1" thickBot="1">
      <c r="A305" s="149">
        <v>23</v>
      </c>
      <c r="B305" s="150"/>
      <c r="C305" s="151"/>
      <c r="D305" s="35" t="s">
        <v>6</v>
      </c>
      <c r="E305" s="41"/>
    </row>
    <row r="306" spans="1:5" ht="34.5" customHeight="1" thickBot="1">
      <c r="A306" s="144">
        <f>A305*A304</f>
        <v>460</v>
      </c>
      <c r="B306" s="152"/>
      <c r="C306" s="145"/>
      <c r="D306" s="35" t="s">
        <v>7</v>
      </c>
      <c r="E306" s="41"/>
    </row>
    <row r="307" spans="1:5" ht="34.5" customHeight="1" thickBot="1">
      <c r="A307" s="144">
        <v>0</v>
      </c>
      <c r="B307" s="152"/>
      <c r="C307" s="145"/>
      <c r="D307" s="35" t="s">
        <v>437</v>
      </c>
      <c r="E307" s="41"/>
    </row>
    <row r="308" spans="1:5" ht="34.5" customHeight="1" thickBot="1">
      <c r="A308" s="34">
        <v>0</v>
      </c>
      <c r="B308" s="32" t="s">
        <v>8</v>
      </c>
      <c r="C308" s="33">
        <v>460</v>
      </c>
      <c r="D308" s="32" t="s">
        <v>9</v>
      </c>
      <c r="E308" s="41"/>
    </row>
    <row r="309" spans="1:5" ht="34.5" customHeight="1" thickBot="1">
      <c r="A309" s="153" t="s">
        <v>436</v>
      </c>
      <c r="B309" s="154"/>
      <c r="C309" s="154"/>
      <c r="D309" s="155"/>
      <c r="E309" s="41"/>
    </row>
    <row r="310" spans="1:5" ht="34.5" customHeight="1" thickBot="1">
      <c r="A310" s="156" t="s">
        <v>435</v>
      </c>
      <c r="B310" s="157"/>
      <c r="C310" s="157"/>
      <c r="D310" s="158"/>
      <c r="E310" s="41"/>
    </row>
    <row r="311" spans="1:5" ht="34.5" customHeight="1">
      <c r="A311" s="159" t="s">
        <v>442</v>
      </c>
      <c r="B311" s="160" t="s">
        <v>441</v>
      </c>
      <c r="C311" s="160"/>
      <c r="D311" s="161"/>
      <c r="E311" s="44"/>
    </row>
    <row r="312" spans="1:5" ht="34.5" customHeight="1" thickBot="1">
      <c r="A312" s="162"/>
      <c r="B312" s="163"/>
      <c r="C312" s="163"/>
      <c r="D312" s="164"/>
      <c r="E312" s="44"/>
    </row>
    <row r="313" spans="1:5" ht="34.5" customHeight="1" thickBot="1">
      <c r="A313" s="142" t="s">
        <v>11</v>
      </c>
      <c r="B313" s="143"/>
      <c r="C313" s="165" t="s">
        <v>591</v>
      </c>
      <c r="D313" s="143"/>
      <c r="E313" s="43"/>
    </row>
    <row r="314" spans="1:5" ht="34.5" customHeight="1" thickBot="1">
      <c r="A314" s="166" t="s">
        <v>507</v>
      </c>
      <c r="B314" s="167"/>
      <c r="C314" s="167"/>
      <c r="D314" s="168"/>
      <c r="E314" s="43"/>
    </row>
    <row r="315" spans="1:5" ht="34.5" customHeight="1" thickBot="1">
      <c r="A315" s="34" t="s">
        <v>447</v>
      </c>
      <c r="B315" s="32" t="s">
        <v>438</v>
      </c>
      <c r="C315" s="34">
        <v>11</v>
      </c>
      <c r="D315" s="32" t="s">
        <v>0</v>
      </c>
      <c r="E315" s="42"/>
    </row>
    <row r="316" spans="1:5" ht="34.5" customHeight="1" thickBot="1">
      <c r="A316" s="37" t="s">
        <v>673</v>
      </c>
      <c r="B316" s="36" t="s">
        <v>1</v>
      </c>
      <c r="C316" s="34" t="s">
        <v>674</v>
      </c>
      <c r="D316" s="32" t="s">
        <v>2</v>
      </c>
      <c r="E316" s="41"/>
    </row>
    <row r="317" spans="1:5" ht="34.5" customHeight="1" thickBot="1">
      <c r="A317" s="140">
        <v>95</v>
      </c>
      <c r="B317" s="141"/>
      <c r="C317" s="142" t="s">
        <v>3</v>
      </c>
      <c r="D317" s="143"/>
      <c r="E317" s="41"/>
    </row>
    <row r="318" spans="1:5" ht="34.5" customHeight="1" thickBot="1">
      <c r="A318" s="140">
        <v>95</v>
      </c>
      <c r="B318" s="141"/>
      <c r="C318" s="144" t="s">
        <v>4</v>
      </c>
      <c r="D318" s="145"/>
      <c r="E318" s="41"/>
    </row>
    <row r="319" spans="1:5" ht="34.5" customHeight="1" thickBot="1">
      <c r="A319" s="146">
        <f>A318-A317</f>
        <v>0</v>
      </c>
      <c r="B319" s="147"/>
      <c r="C319" s="148"/>
      <c r="D319" s="35" t="s">
        <v>5</v>
      </c>
      <c r="E319" s="41"/>
    </row>
    <row r="320" spans="1:5" ht="34.5" customHeight="1" thickBot="1">
      <c r="A320" s="149">
        <v>23</v>
      </c>
      <c r="B320" s="150"/>
      <c r="C320" s="151"/>
      <c r="D320" s="35" t="s">
        <v>6</v>
      </c>
      <c r="E320" s="41"/>
    </row>
    <row r="321" spans="1:5" ht="34.5" customHeight="1" thickBot="1">
      <c r="A321" s="144">
        <f>A320*A319</f>
        <v>0</v>
      </c>
      <c r="B321" s="152"/>
      <c r="C321" s="145"/>
      <c r="D321" s="35" t="s">
        <v>7</v>
      </c>
      <c r="E321" s="41"/>
    </row>
    <row r="322" spans="1:5" ht="34.5" customHeight="1" thickBot="1">
      <c r="A322" s="144">
        <v>0</v>
      </c>
      <c r="B322" s="152"/>
      <c r="C322" s="145"/>
      <c r="D322" s="35" t="s">
        <v>437</v>
      </c>
      <c r="E322" s="41"/>
    </row>
    <row r="323" spans="1:5" ht="34.5" customHeight="1" thickBot="1">
      <c r="A323" s="34">
        <v>0</v>
      </c>
      <c r="B323" s="32" t="s">
        <v>8</v>
      </c>
      <c r="C323" s="33">
        <v>300</v>
      </c>
      <c r="D323" s="32" t="s">
        <v>9</v>
      </c>
      <c r="E323" s="41"/>
    </row>
    <row r="324" spans="1:5" ht="34.5" customHeight="1" thickBot="1">
      <c r="A324" s="153" t="s">
        <v>436</v>
      </c>
      <c r="B324" s="154"/>
      <c r="C324" s="154"/>
      <c r="D324" s="155"/>
      <c r="E324" s="41"/>
    </row>
    <row r="325" spans="1:5" ht="34.5" customHeight="1" thickBot="1">
      <c r="A325" s="156" t="s">
        <v>435</v>
      </c>
      <c r="B325" s="157"/>
      <c r="C325" s="157"/>
      <c r="D325" s="158"/>
      <c r="E325" s="41"/>
    </row>
    <row r="326" spans="1:5" ht="34.5" customHeight="1" thickBot="1">
      <c r="A326" s="40"/>
      <c r="B326" s="39"/>
      <c r="C326" s="39"/>
      <c r="D326" s="38"/>
      <c r="E326" s="41"/>
    </row>
    <row r="327" spans="1:5" ht="34.5" customHeight="1">
      <c r="A327" s="159" t="s">
        <v>442</v>
      </c>
      <c r="B327" s="160" t="s">
        <v>441</v>
      </c>
      <c r="C327" s="160"/>
      <c r="D327" s="161"/>
      <c r="E327" s="44"/>
    </row>
    <row r="328" spans="1:5" ht="34.5" customHeight="1" thickBot="1">
      <c r="A328" s="162"/>
      <c r="B328" s="163"/>
      <c r="C328" s="163"/>
      <c r="D328" s="164"/>
      <c r="E328" s="44"/>
    </row>
    <row r="329" spans="1:5" ht="34.5" customHeight="1" thickBot="1">
      <c r="A329" s="142" t="s">
        <v>11</v>
      </c>
      <c r="B329" s="143"/>
      <c r="C329" s="165" t="s">
        <v>591</v>
      </c>
      <c r="D329" s="143"/>
      <c r="E329" s="43"/>
    </row>
    <row r="330" spans="1:5" ht="34.5" customHeight="1" thickBot="1">
      <c r="A330" s="166" t="s">
        <v>507</v>
      </c>
      <c r="B330" s="167"/>
      <c r="C330" s="167"/>
      <c r="D330" s="168"/>
      <c r="E330" s="43"/>
    </row>
    <row r="331" spans="1:5" ht="34.5" customHeight="1" thickBot="1">
      <c r="A331" s="34" t="s">
        <v>447</v>
      </c>
      <c r="B331" s="32" t="s">
        <v>438</v>
      </c>
      <c r="C331" s="34">
        <v>11</v>
      </c>
      <c r="D331" s="32" t="s">
        <v>0</v>
      </c>
      <c r="E331" s="42"/>
    </row>
    <row r="332" spans="1:5" ht="34.5" customHeight="1" thickBot="1">
      <c r="A332" s="37" t="s">
        <v>673</v>
      </c>
      <c r="B332" s="36" t="s">
        <v>1</v>
      </c>
      <c r="C332" s="34" t="s">
        <v>674</v>
      </c>
      <c r="D332" s="32" t="s">
        <v>2</v>
      </c>
      <c r="E332" s="41"/>
    </row>
    <row r="333" spans="1:5" ht="34.5" customHeight="1" thickBot="1">
      <c r="A333" s="140">
        <v>82</v>
      </c>
      <c r="B333" s="141"/>
      <c r="C333" s="142" t="s">
        <v>3</v>
      </c>
      <c r="D333" s="143"/>
      <c r="E333" s="41"/>
    </row>
    <row r="334" spans="1:5" ht="34.5" customHeight="1" thickBot="1">
      <c r="A334" s="140">
        <v>95</v>
      </c>
      <c r="B334" s="141"/>
      <c r="C334" s="144" t="s">
        <v>4</v>
      </c>
      <c r="D334" s="145"/>
      <c r="E334" s="41"/>
    </row>
    <row r="335" spans="1:5" ht="34.5" customHeight="1" thickBot="1">
      <c r="A335" s="146">
        <f>A334-A333</f>
        <v>13</v>
      </c>
      <c r="B335" s="147"/>
      <c r="C335" s="148"/>
      <c r="D335" s="35" t="s">
        <v>5</v>
      </c>
      <c r="E335" s="41"/>
    </row>
    <row r="336" spans="1:5" ht="34.5" customHeight="1" thickBot="1">
      <c r="A336" s="149">
        <v>23</v>
      </c>
      <c r="B336" s="150"/>
      <c r="C336" s="151"/>
      <c r="D336" s="35" t="s">
        <v>6</v>
      </c>
      <c r="E336" s="41"/>
    </row>
    <row r="337" spans="1:5" ht="34.5" customHeight="1" thickBot="1">
      <c r="A337" s="144">
        <f>A336*A335</f>
        <v>299</v>
      </c>
      <c r="B337" s="152"/>
      <c r="C337" s="145"/>
      <c r="D337" s="35" t="s">
        <v>7</v>
      </c>
      <c r="E337" s="41"/>
    </row>
    <row r="338" spans="1:5" ht="34.5" customHeight="1" thickBot="1">
      <c r="A338" s="144">
        <v>0</v>
      </c>
      <c r="B338" s="152"/>
      <c r="C338" s="145"/>
      <c r="D338" s="35" t="s">
        <v>437</v>
      </c>
      <c r="E338" s="41"/>
    </row>
    <row r="339" spans="1:5" ht="34.5" customHeight="1" thickBot="1">
      <c r="A339" s="34">
        <v>0</v>
      </c>
      <c r="B339" s="32" t="s">
        <v>8</v>
      </c>
      <c r="C339" s="33">
        <v>300</v>
      </c>
      <c r="D339" s="32" t="s">
        <v>9</v>
      </c>
      <c r="E339" s="41"/>
    </row>
    <row r="340" spans="1:5" ht="34.5" customHeight="1" thickBot="1">
      <c r="A340" s="153" t="s">
        <v>436</v>
      </c>
      <c r="B340" s="154"/>
      <c r="C340" s="154"/>
      <c r="D340" s="155"/>
      <c r="E340" s="41"/>
    </row>
    <row r="341" spans="1:5" ht="34.5" customHeight="1" thickBot="1">
      <c r="A341" s="156" t="s">
        <v>435</v>
      </c>
      <c r="B341" s="157"/>
      <c r="C341" s="157"/>
      <c r="D341" s="158"/>
      <c r="E341" s="41"/>
    </row>
    <row r="342" spans="1:5" ht="34.5" customHeight="1">
      <c r="A342" s="159" t="s">
        <v>442</v>
      </c>
      <c r="B342" s="160" t="s">
        <v>441</v>
      </c>
      <c r="C342" s="160"/>
      <c r="D342" s="161"/>
      <c r="E342" s="44"/>
    </row>
    <row r="343" spans="1:5" ht="34.5" customHeight="1" thickBot="1">
      <c r="A343" s="162"/>
      <c r="B343" s="163"/>
      <c r="C343" s="163"/>
      <c r="D343" s="164"/>
      <c r="E343" s="44"/>
    </row>
    <row r="344" spans="1:5" ht="34.5" customHeight="1" thickBot="1">
      <c r="A344" s="142" t="s">
        <v>11</v>
      </c>
      <c r="B344" s="143"/>
      <c r="C344" s="165" t="s">
        <v>591</v>
      </c>
      <c r="D344" s="143"/>
      <c r="E344" s="43"/>
    </row>
    <row r="345" spans="1:5" ht="34.5" customHeight="1" thickBot="1">
      <c r="A345" s="137" t="s">
        <v>506</v>
      </c>
      <c r="B345" s="138"/>
      <c r="C345" s="138"/>
      <c r="D345" s="139"/>
      <c r="E345" s="43"/>
    </row>
    <row r="346" spans="1:5" ht="34.5" customHeight="1" thickBot="1">
      <c r="A346" s="34" t="s">
        <v>447</v>
      </c>
      <c r="B346" s="32" t="s">
        <v>438</v>
      </c>
      <c r="C346" s="34">
        <v>12</v>
      </c>
      <c r="D346" s="32" t="s">
        <v>0</v>
      </c>
      <c r="E346" s="42"/>
    </row>
    <row r="347" spans="1:5" ht="34.5" customHeight="1" thickBot="1">
      <c r="A347" s="37" t="s">
        <v>673</v>
      </c>
      <c r="B347" s="36" t="s">
        <v>1</v>
      </c>
      <c r="C347" s="34" t="s">
        <v>674</v>
      </c>
      <c r="D347" s="32" t="s">
        <v>2</v>
      </c>
      <c r="E347" s="41"/>
    </row>
    <row r="348" spans="1:5" ht="34.5" customHeight="1" thickBot="1">
      <c r="A348" s="140">
        <v>185</v>
      </c>
      <c r="B348" s="141"/>
      <c r="C348" s="142" t="s">
        <v>3</v>
      </c>
      <c r="D348" s="143"/>
      <c r="E348" s="41"/>
    </row>
    <row r="349" spans="1:5" ht="34.5" customHeight="1" thickBot="1">
      <c r="A349" s="140">
        <v>185</v>
      </c>
      <c r="B349" s="141"/>
      <c r="C349" s="144" t="s">
        <v>4</v>
      </c>
      <c r="D349" s="145"/>
      <c r="E349" s="41"/>
    </row>
    <row r="350" spans="1:5" ht="34.5" customHeight="1" thickBot="1">
      <c r="A350" s="146">
        <f>A349-A348</f>
        <v>0</v>
      </c>
      <c r="B350" s="147"/>
      <c r="C350" s="148"/>
      <c r="D350" s="35" t="s">
        <v>5</v>
      </c>
      <c r="E350" s="41"/>
    </row>
    <row r="351" spans="1:5" ht="34.5" customHeight="1" thickBot="1">
      <c r="A351" s="149">
        <v>23</v>
      </c>
      <c r="B351" s="150"/>
      <c r="C351" s="151"/>
      <c r="D351" s="35" t="s">
        <v>6</v>
      </c>
      <c r="E351" s="41"/>
    </row>
    <row r="352" spans="1:5" ht="34.5" customHeight="1" thickBot="1">
      <c r="A352" s="144">
        <f>A351*A350</f>
        <v>0</v>
      </c>
      <c r="B352" s="152"/>
      <c r="C352" s="145"/>
      <c r="D352" s="35" t="s">
        <v>7</v>
      </c>
      <c r="E352" s="41"/>
    </row>
    <row r="353" spans="1:5" ht="34.5" customHeight="1" thickBot="1">
      <c r="A353" s="144">
        <v>0</v>
      </c>
      <c r="B353" s="152"/>
      <c r="C353" s="145"/>
      <c r="D353" s="35" t="s">
        <v>437</v>
      </c>
      <c r="E353" s="41"/>
    </row>
    <row r="354" spans="1:5" ht="34.5" customHeight="1" thickBot="1">
      <c r="A354" s="34">
        <v>0</v>
      </c>
      <c r="B354" s="32" t="s">
        <v>8</v>
      </c>
      <c r="C354" s="33">
        <v>580</v>
      </c>
      <c r="D354" s="32" t="s">
        <v>9</v>
      </c>
      <c r="E354" s="41"/>
    </row>
    <row r="355" spans="1:5" ht="34.5" customHeight="1" thickBot="1">
      <c r="A355" s="153" t="s">
        <v>436</v>
      </c>
      <c r="B355" s="154"/>
      <c r="C355" s="154"/>
      <c r="D355" s="155"/>
      <c r="E355" s="41"/>
    </row>
    <row r="356" spans="1:5" ht="34.5" customHeight="1" thickBot="1">
      <c r="A356" s="156" t="s">
        <v>435</v>
      </c>
      <c r="B356" s="157"/>
      <c r="C356" s="157"/>
      <c r="D356" s="158"/>
      <c r="E356" s="41"/>
    </row>
    <row r="357" spans="1:5" ht="34.5" customHeight="1" thickBot="1">
      <c r="A357" s="40"/>
      <c r="B357" s="39"/>
      <c r="C357" s="39"/>
      <c r="D357" s="38"/>
      <c r="E357" s="41"/>
    </row>
    <row r="358" spans="1:5" ht="34.5" customHeight="1">
      <c r="A358" s="159" t="s">
        <v>442</v>
      </c>
      <c r="B358" s="160" t="s">
        <v>441</v>
      </c>
      <c r="C358" s="160"/>
      <c r="D358" s="161"/>
      <c r="E358" s="44"/>
    </row>
    <row r="359" spans="1:5" ht="34.5" customHeight="1" thickBot="1">
      <c r="A359" s="162"/>
      <c r="B359" s="163"/>
      <c r="C359" s="163"/>
      <c r="D359" s="164"/>
      <c r="E359" s="44"/>
    </row>
    <row r="360" spans="1:5" ht="34.5" customHeight="1" thickBot="1">
      <c r="A360" s="142" t="s">
        <v>11</v>
      </c>
      <c r="B360" s="143"/>
      <c r="C360" s="165" t="s">
        <v>591</v>
      </c>
      <c r="D360" s="143"/>
      <c r="E360" s="43"/>
    </row>
    <row r="361" spans="1:5" ht="34.5" customHeight="1" thickBot="1">
      <c r="A361" s="137" t="s">
        <v>506</v>
      </c>
      <c r="B361" s="138"/>
      <c r="C361" s="138"/>
      <c r="D361" s="139"/>
      <c r="E361" s="43"/>
    </row>
    <row r="362" spans="1:5" ht="34.5" customHeight="1" thickBot="1">
      <c r="A362" s="34" t="s">
        <v>447</v>
      </c>
      <c r="B362" s="32" t="s">
        <v>438</v>
      </c>
      <c r="C362" s="34">
        <v>12</v>
      </c>
      <c r="D362" s="32" t="s">
        <v>0</v>
      </c>
      <c r="E362" s="42"/>
    </row>
    <row r="363" spans="1:5" ht="34.5" customHeight="1" thickBot="1">
      <c r="A363" s="37" t="s">
        <v>673</v>
      </c>
      <c r="B363" s="36" t="s">
        <v>1</v>
      </c>
      <c r="C363" s="34" t="s">
        <v>674</v>
      </c>
      <c r="D363" s="32" t="s">
        <v>2</v>
      </c>
      <c r="E363" s="41"/>
    </row>
    <row r="364" spans="1:5" ht="34.5" customHeight="1" thickBot="1">
      <c r="A364" s="140">
        <v>160</v>
      </c>
      <c r="B364" s="141"/>
      <c r="C364" s="142" t="s">
        <v>3</v>
      </c>
      <c r="D364" s="143"/>
      <c r="E364" s="41"/>
    </row>
    <row r="365" spans="1:5" ht="34.5" customHeight="1" thickBot="1">
      <c r="A365" s="140">
        <v>185</v>
      </c>
      <c r="B365" s="141"/>
      <c r="C365" s="144" t="s">
        <v>4</v>
      </c>
      <c r="D365" s="145"/>
      <c r="E365" s="41"/>
    </row>
    <row r="366" spans="1:5" ht="34.5" customHeight="1" thickBot="1">
      <c r="A366" s="146">
        <f>A365-A364</f>
        <v>25</v>
      </c>
      <c r="B366" s="147"/>
      <c r="C366" s="148"/>
      <c r="D366" s="35" t="s">
        <v>5</v>
      </c>
      <c r="E366" s="41"/>
    </row>
    <row r="367" spans="1:5" ht="34.5" customHeight="1" thickBot="1">
      <c r="A367" s="149">
        <v>23</v>
      </c>
      <c r="B367" s="150"/>
      <c r="C367" s="151"/>
      <c r="D367" s="35" t="s">
        <v>6</v>
      </c>
      <c r="E367" s="41"/>
    </row>
    <row r="368" spans="1:5" ht="34.5" customHeight="1" thickBot="1">
      <c r="A368" s="144">
        <f>A367*A366</f>
        <v>575</v>
      </c>
      <c r="B368" s="152"/>
      <c r="C368" s="145"/>
      <c r="D368" s="35" t="s">
        <v>7</v>
      </c>
      <c r="E368" s="41"/>
    </row>
    <row r="369" spans="1:5" ht="34.5" customHeight="1" thickBot="1">
      <c r="A369" s="144">
        <v>0</v>
      </c>
      <c r="B369" s="152"/>
      <c r="C369" s="145"/>
      <c r="D369" s="35" t="s">
        <v>437</v>
      </c>
      <c r="E369" s="41"/>
    </row>
    <row r="370" spans="1:5" ht="34.5" customHeight="1" thickBot="1">
      <c r="A370" s="34">
        <v>0</v>
      </c>
      <c r="B370" s="32" t="s">
        <v>8</v>
      </c>
      <c r="C370" s="33">
        <v>580</v>
      </c>
      <c r="D370" s="32" t="s">
        <v>9</v>
      </c>
      <c r="E370" s="41"/>
    </row>
    <row r="371" spans="1:5" ht="34.5" customHeight="1" thickBot="1">
      <c r="A371" s="153" t="s">
        <v>436</v>
      </c>
      <c r="B371" s="154"/>
      <c r="C371" s="154"/>
      <c r="D371" s="155"/>
      <c r="E371" s="41"/>
    </row>
    <row r="372" spans="1:5" ht="34.5" customHeight="1" thickBot="1">
      <c r="A372" s="156" t="s">
        <v>435</v>
      </c>
      <c r="B372" s="157"/>
      <c r="C372" s="157"/>
      <c r="D372" s="158"/>
      <c r="E372" s="41"/>
    </row>
    <row r="373" spans="1:5" ht="34.5" customHeight="1">
      <c r="A373" s="159" t="s">
        <v>442</v>
      </c>
      <c r="B373" s="160" t="s">
        <v>441</v>
      </c>
      <c r="C373" s="160"/>
      <c r="D373" s="161"/>
      <c r="E373" s="44"/>
    </row>
    <row r="374" spans="1:5" ht="34.5" customHeight="1" thickBot="1">
      <c r="A374" s="162"/>
      <c r="B374" s="163"/>
      <c r="C374" s="163"/>
      <c r="D374" s="164"/>
      <c r="E374" s="44"/>
    </row>
    <row r="375" spans="1:5" ht="34.5" customHeight="1" thickBot="1">
      <c r="A375" s="142" t="s">
        <v>11</v>
      </c>
      <c r="B375" s="143"/>
      <c r="C375" s="165" t="s">
        <v>591</v>
      </c>
      <c r="D375" s="143"/>
      <c r="E375" s="43"/>
    </row>
    <row r="376" spans="1:5" ht="34.5" customHeight="1" thickBot="1">
      <c r="A376" s="137" t="s">
        <v>192</v>
      </c>
      <c r="B376" s="138"/>
      <c r="C376" s="138"/>
      <c r="D376" s="139"/>
      <c r="E376" s="43"/>
    </row>
    <row r="377" spans="1:5" ht="34.5" customHeight="1" thickBot="1">
      <c r="A377" s="34" t="s">
        <v>447</v>
      </c>
      <c r="B377" s="32" t="s">
        <v>438</v>
      </c>
      <c r="C377" s="34">
        <v>13</v>
      </c>
      <c r="D377" s="32" t="s">
        <v>0</v>
      </c>
      <c r="E377" s="42"/>
    </row>
    <row r="378" spans="1:5" ht="34.5" customHeight="1" thickBot="1">
      <c r="A378" s="37" t="s">
        <v>673</v>
      </c>
      <c r="B378" s="36" t="s">
        <v>1</v>
      </c>
      <c r="C378" s="34" t="s">
        <v>674</v>
      </c>
      <c r="D378" s="32" t="s">
        <v>2</v>
      </c>
      <c r="E378" s="41"/>
    </row>
    <row r="379" spans="1:5" ht="34.5" customHeight="1" thickBot="1">
      <c r="A379" s="140">
        <v>185</v>
      </c>
      <c r="B379" s="141"/>
      <c r="C379" s="142" t="s">
        <v>3</v>
      </c>
      <c r="D379" s="143"/>
      <c r="E379" s="41"/>
    </row>
    <row r="380" spans="1:5" ht="34.5" customHeight="1" thickBot="1">
      <c r="A380" s="140">
        <v>185</v>
      </c>
      <c r="B380" s="141"/>
      <c r="C380" s="144" t="s">
        <v>4</v>
      </c>
      <c r="D380" s="145"/>
      <c r="E380" s="41"/>
    </row>
    <row r="381" spans="1:5" ht="34.5" customHeight="1" thickBot="1">
      <c r="A381" s="146">
        <f>A380-A379</f>
        <v>0</v>
      </c>
      <c r="B381" s="147"/>
      <c r="C381" s="148"/>
      <c r="D381" s="35" t="s">
        <v>5</v>
      </c>
      <c r="E381" s="41"/>
    </row>
    <row r="382" spans="1:5" ht="34.5" customHeight="1" thickBot="1">
      <c r="A382" s="149">
        <v>23</v>
      </c>
      <c r="B382" s="150"/>
      <c r="C382" s="151"/>
      <c r="D382" s="35" t="s">
        <v>6</v>
      </c>
      <c r="E382" s="41"/>
    </row>
    <row r="383" spans="1:5" ht="34.5" customHeight="1" thickBot="1">
      <c r="A383" s="144">
        <f>A382*A381</f>
        <v>0</v>
      </c>
      <c r="B383" s="152"/>
      <c r="C383" s="145"/>
      <c r="D383" s="35" t="s">
        <v>7</v>
      </c>
      <c r="E383" s="41"/>
    </row>
    <row r="384" spans="1:5" ht="34.5" customHeight="1" thickBot="1">
      <c r="A384" s="144">
        <v>0</v>
      </c>
      <c r="B384" s="152"/>
      <c r="C384" s="145"/>
      <c r="D384" s="35" t="s">
        <v>437</v>
      </c>
      <c r="E384" s="41"/>
    </row>
    <row r="385" spans="1:5" ht="34.5" customHeight="1" thickBot="1">
      <c r="A385" s="34">
        <v>0</v>
      </c>
      <c r="B385" s="32" t="s">
        <v>8</v>
      </c>
      <c r="C385" s="33">
        <v>480</v>
      </c>
      <c r="D385" s="32" t="s">
        <v>9</v>
      </c>
      <c r="E385" s="41"/>
    </row>
    <row r="386" spans="1:5" ht="34.5" customHeight="1" thickBot="1">
      <c r="A386" s="153" t="s">
        <v>436</v>
      </c>
      <c r="B386" s="154"/>
      <c r="C386" s="154"/>
      <c r="D386" s="155"/>
      <c r="E386" s="41"/>
    </row>
    <row r="387" spans="1:5" ht="34.5" customHeight="1" thickBot="1">
      <c r="A387" s="156" t="s">
        <v>435</v>
      </c>
      <c r="B387" s="157"/>
      <c r="C387" s="157"/>
      <c r="D387" s="158"/>
      <c r="E387" s="41"/>
    </row>
    <row r="388" spans="1:5" ht="34.5" customHeight="1" thickBot="1">
      <c r="A388" s="40"/>
      <c r="B388" s="39"/>
      <c r="C388" s="39"/>
      <c r="D388" s="38"/>
      <c r="E388" s="41"/>
    </row>
    <row r="389" spans="1:5" ht="34.5" customHeight="1">
      <c r="A389" s="159" t="s">
        <v>442</v>
      </c>
      <c r="B389" s="160" t="s">
        <v>441</v>
      </c>
      <c r="C389" s="160"/>
      <c r="D389" s="161"/>
      <c r="E389" s="44"/>
    </row>
    <row r="390" spans="1:5" ht="34.5" customHeight="1" thickBot="1">
      <c r="A390" s="162"/>
      <c r="B390" s="163"/>
      <c r="C390" s="163"/>
      <c r="D390" s="164"/>
      <c r="E390" s="44"/>
    </row>
    <row r="391" spans="1:5" ht="34.5" customHeight="1" thickBot="1">
      <c r="A391" s="142" t="s">
        <v>11</v>
      </c>
      <c r="B391" s="143"/>
      <c r="C391" s="165" t="s">
        <v>591</v>
      </c>
      <c r="D391" s="143"/>
      <c r="E391" s="43"/>
    </row>
    <row r="392" spans="1:5" ht="34.5" customHeight="1" thickBot="1">
      <c r="A392" s="137" t="s">
        <v>192</v>
      </c>
      <c r="B392" s="138"/>
      <c r="C392" s="138"/>
      <c r="D392" s="139"/>
      <c r="E392" s="43"/>
    </row>
    <row r="393" spans="1:5" ht="34.5" customHeight="1" thickBot="1">
      <c r="A393" s="34" t="s">
        <v>447</v>
      </c>
      <c r="B393" s="32" t="s">
        <v>438</v>
      </c>
      <c r="C393" s="34">
        <v>13</v>
      </c>
      <c r="D393" s="32" t="s">
        <v>0</v>
      </c>
      <c r="E393" s="42"/>
    </row>
    <row r="394" spans="1:5" ht="34.5" customHeight="1" thickBot="1">
      <c r="A394" s="37" t="s">
        <v>673</v>
      </c>
      <c r="B394" s="36" t="s">
        <v>1</v>
      </c>
      <c r="C394" s="34" t="s">
        <v>674</v>
      </c>
      <c r="D394" s="32" t="s">
        <v>2</v>
      </c>
      <c r="E394" s="41"/>
    </row>
    <row r="395" spans="1:5" ht="34.5" customHeight="1" thickBot="1">
      <c r="A395" s="140">
        <v>164</v>
      </c>
      <c r="B395" s="141"/>
      <c r="C395" s="142" t="s">
        <v>3</v>
      </c>
      <c r="D395" s="143"/>
      <c r="E395" s="41"/>
    </row>
    <row r="396" spans="1:5" ht="34.5" customHeight="1" thickBot="1">
      <c r="A396" s="140">
        <v>185</v>
      </c>
      <c r="B396" s="141"/>
      <c r="C396" s="144" t="s">
        <v>4</v>
      </c>
      <c r="D396" s="145"/>
      <c r="E396" s="41"/>
    </row>
    <row r="397" spans="1:5" ht="34.5" customHeight="1" thickBot="1">
      <c r="A397" s="146">
        <f>A396-A395</f>
        <v>21</v>
      </c>
      <c r="B397" s="147"/>
      <c r="C397" s="148"/>
      <c r="D397" s="35" t="s">
        <v>5</v>
      </c>
      <c r="E397" s="41"/>
    </row>
    <row r="398" spans="1:5" ht="34.5" customHeight="1" thickBot="1">
      <c r="A398" s="149">
        <v>23</v>
      </c>
      <c r="B398" s="150"/>
      <c r="C398" s="151"/>
      <c r="D398" s="35" t="s">
        <v>6</v>
      </c>
      <c r="E398" s="41"/>
    </row>
    <row r="399" spans="1:5" ht="34.5" customHeight="1" thickBot="1">
      <c r="A399" s="144">
        <f>A398*A397</f>
        <v>483</v>
      </c>
      <c r="B399" s="152"/>
      <c r="C399" s="145"/>
      <c r="D399" s="35" t="s">
        <v>7</v>
      </c>
      <c r="E399" s="41"/>
    </row>
    <row r="400" spans="1:5" ht="34.5" customHeight="1" thickBot="1">
      <c r="A400" s="144">
        <v>0</v>
      </c>
      <c r="B400" s="152"/>
      <c r="C400" s="145"/>
      <c r="D400" s="35" t="s">
        <v>437</v>
      </c>
      <c r="E400" s="41"/>
    </row>
    <row r="401" spans="1:5" ht="34.5" customHeight="1" thickBot="1">
      <c r="A401" s="34">
        <v>0</v>
      </c>
      <c r="B401" s="32" t="s">
        <v>8</v>
      </c>
      <c r="C401" s="33">
        <v>480</v>
      </c>
      <c r="D401" s="32" t="s">
        <v>9</v>
      </c>
      <c r="E401" s="41"/>
    </row>
    <row r="402" spans="1:5" ht="34.5" customHeight="1" thickBot="1">
      <c r="A402" s="153" t="s">
        <v>436</v>
      </c>
      <c r="B402" s="154"/>
      <c r="C402" s="154"/>
      <c r="D402" s="155"/>
      <c r="E402" s="41"/>
    </row>
    <row r="403" spans="1:5" ht="34.5" customHeight="1" thickBot="1">
      <c r="A403" s="156" t="s">
        <v>435</v>
      </c>
      <c r="B403" s="157"/>
      <c r="C403" s="157"/>
      <c r="D403" s="158"/>
      <c r="E403" s="41"/>
    </row>
    <row r="404" spans="1:5" s="45" customFormat="1" ht="34.5" customHeight="1">
      <c r="A404" s="159" t="s">
        <v>442</v>
      </c>
      <c r="B404" s="160" t="s">
        <v>441</v>
      </c>
      <c r="C404" s="160"/>
      <c r="D404" s="161"/>
      <c r="E404" s="46"/>
    </row>
    <row r="405" spans="1:5" ht="34.5" customHeight="1" thickBot="1">
      <c r="A405" s="162"/>
      <c r="B405" s="163"/>
      <c r="C405" s="163"/>
      <c r="D405" s="164"/>
      <c r="E405" s="44"/>
    </row>
    <row r="406" spans="1:5" ht="34.5" customHeight="1" thickBot="1">
      <c r="A406" s="142" t="s">
        <v>11</v>
      </c>
      <c r="B406" s="143"/>
      <c r="C406" s="165" t="s">
        <v>591</v>
      </c>
      <c r="D406" s="143"/>
      <c r="E406" s="44"/>
    </row>
    <row r="407" spans="1:5" ht="34.5" customHeight="1" thickBot="1">
      <c r="A407" s="137" t="s">
        <v>505</v>
      </c>
      <c r="B407" s="138"/>
      <c r="C407" s="138"/>
      <c r="D407" s="139"/>
      <c r="E407" s="43"/>
    </row>
    <row r="408" spans="1:5" ht="34.5" customHeight="1" thickBot="1">
      <c r="A408" s="34" t="s">
        <v>447</v>
      </c>
      <c r="B408" s="32" t="s">
        <v>438</v>
      </c>
      <c r="C408" s="34">
        <v>14</v>
      </c>
      <c r="D408" s="32" t="s">
        <v>0</v>
      </c>
      <c r="E408" s="43"/>
    </row>
    <row r="409" spans="1:5" ht="34.5" customHeight="1" thickBot="1">
      <c r="A409" s="37" t="s">
        <v>673</v>
      </c>
      <c r="B409" s="140">
        <v>75</v>
      </c>
      <c r="C409" s="141"/>
      <c r="D409" s="32" t="s">
        <v>2</v>
      </c>
      <c r="E409" s="42"/>
    </row>
    <row r="410" spans="1:5" ht="34.5" customHeight="1" thickBot="1">
      <c r="A410" s="140">
        <v>149</v>
      </c>
      <c r="B410" s="141"/>
      <c r="C410" s="142" t="s">
        <v>3</v>
      </c>
      <c r="D410" s="143"/>
      <c r="E410" s="41"/>
    </row>
    <row r="411" spans="1:5" ht="34.5" customHeight="1" thickBot="1">
      <c r="A411" s="140">
        <v>149</v>
      </c>
      <c r="B411" s="141"/>
      <c r="C411" s="144" t="s">
        <v>4</v>
      </c>
      <c r="D411" s="145"/>
      <c r="E411" s="41"/>
    </row>
    <row r="412" spans="1:5" ht="34.5" customHeight="1" thickBot="1">
      <c r="A412" s="146">
        <f>A411-A410</f>
        <v>0</v>
      </c>
      <c r="B412" s="147"/>
      <c r="C412" s="148"/>
      <c r="D412" s="35" t="s">
        <v>5</v>
      </c>
      <c r="E412" s="41"/>
    </row>
    <row r="413" spans="1:5" ht="34.5" customHeight="1" thickBot="1">
      <c r="A413" s="149">
        <v>23</v>
      </c>
      <c r="B413" s="150"/>
      <c r="C413" s="151"/>
      <c r="D413" s="35" t="s">
        <v>6</v>
      </c>
      <c r="E413" s="41"/>
    </row>
    <row r="414" spans="1:5" ht="34.5" customHeight="1" thickBot="1">
      <c r="A414" s="144">
        <f>A413*A412</f>
        <v>0</v>
      </c>
      <c r="B414" s="152"/>
      <c r="C414" s="145"/>
      <c r="D414" s="35" t="s">
        <v>7</v>
      </c>
      <c r="E414" s="41"/>
    </row>
    <row r="415" spans="1:5" ht="34.5" customHeight="1" thickBot="1">
      <c r="A415" s="144">
        <v>0</v>
      </c>
      <c r="B415" s="152"/>
      <c r="C415" s="145"/>
      <c r="D415" s="35" t="s">
        <v>437</v>
      </c>
      <c r="E415" s="41"/>
    </row>
    <row r="416" spans="1:5" ht="34.5" customHeight="1" thickBot="1">
      <c r="A416" s="34">
        <v>0</v>
      </c>
      <c r="B416" s="32" t="s">
        <v>8</v>
      </c>
      <c r="C416" s="33">
        <v>370</v>
      </c>
      <c r="D416" s="32" t="s">
        <v>9</v>
      </c>
      <c r="E416" s="41"/>
    </row>
    <row r="417" spans="1:5" ht="34.5" customHeight="1" thickBot="1">
      <c r="A417" s="153" t="s">
        <v>436</v>
      </c>
      <c r="B417" s="154"/>
      <c r="C417" s="154"/>
      <c r="D417" s="155"/>
      <c r="E417" s="41"/>
    </row>
    <row r="418" spans="1:5" ht="34.5" customHeight="1" thickBot="1">
      <c r="A418" s="156" t="s">
        <v>435</v>
      </c>
      <c r="B418" s="157"/>
      <c r="C418" s="157"/>
      <c r="D418" s="158"/>
      <c r="E418" s="41"/>
    </row>
    <row r="419" spans="1:5" ht="34.5" customHeight="1" thickBot="1">
      <c r="A419" s="40"/>
      <c r="B419" s="39"/>
      <c r="C419" s="39"/>
      <c r="D419" s="38"/>
      <c r="E419" s="41"/>
    </row>
    <row r="420" spans="1:5" ht="34.5" customHeight="1">
      <c r="A420" s="159" t="s">
        <v>442</v>
      </c>
      <c r="B420" s="160" t="s">
        <v>441</v>
      </c>
      <c r="C420" s="160"/>
      <c r="D420" s="161"/>
      <c r="E420" s="41"/>
    </row>
    <row r="421" spans="1:5" ht="34.5" customHeight="1" thickBot="1">
      <c r="A421" s="162"/>
      <c r="B421" s="163"/>
      <c r="C421" s="163"/>
      <c r="D421" s="164"/>
      <c r="E421" s="44"/>
    </row>
    <row r="422" spans="1:5" ht="34.5" customHeight="1" thickBot="1">
      <c r="A422" s="142" t="s">
        <v>11</v>
      </c>
      <c r="B422" s="143"/>
      <c r="C422" s="165" t="s">
        <v>591</v>
      </c>
      <c r="D422" s="143"/>
      <c r="E422" s="44"/>
    </row>
    <row r="423" spans="1:5" ht="34.5" customHeight="1" thickBot="1">
      <c r="A423" s="137" t="s">
        <v>505</v>
      </c>
      <c r="B423" s="138"/>
      <c r="C423" s="138"/>
      <c r="D423" s="139"/>
      <c r="E423" s="43"/>
    </row>
    <row r="424" spans="1:5" ht="34.5" customHeight="1" thickBot="1">
      <c r="A424" s="34" t="s">
        <v>447</v>
      </c>
      <c r="B424" s="32" t="s">
        <v>438</v>
      </c>
      <c r="C424" s="34">
        <v>14</v>
      </c>
      <c r="D424" s="32" t="s">
        <v>0</v>
      </c>
      <c r="E424" s="43"/>
    </row>
    <row r="425" spans="1:5" ht="34.5" customHeight="1" thickBot="1">
      <c r="A425" s="37" t="s">
        <v>673</v>
      </c>
      <c r="B425" s="140">
        <v>75</v>
      </c>
      <c r="C425" s="141"/>
      <c r="D425" s="32" t="s">
        <v>2</v>
      </c>
      <c r="E425" s="42"/>
    </row>
    <row r="426" spans="1:5" ht="34.5" customHeight="1" thickBot="1">
      <c r="A426" s="140">
        <v>133</v>
      </c>
      <c r="B426" s="141"/>
      <c r="C426" s="142" t="s">
        <v>3</v>
      </c>
      <c r="D426" s="143"/>
      <c r="E426" s="41"/>
    </row>
    <row r="427" spans="1:5" ht="34.5" customHeight="1" thickBot="1">
      <c r="A427" s="140">
        <v>149</v>
      </c>
      <c r="B427" s="141"/>
      <c r="C427" s="144" t="s">
        <v>4</v>
      </c>
      <c r="D427" s="145"/>
      <c r="E427" s="41"/>
    </row>
    <row r="428" spans="1:5" ht="34.5" customHeight="1" thickBot="1">
      <c r="A428" s="146">
        <f>A427-A426</f>
        <v>16</v>
      </c>
      <c r="B428" s="147"/>
      <c r="C428" s="148"/>
      <c r="D428" s="35" t="s">
        <v>5</v>
      </c>
      <c r="E428" s="41"/>
    </row>
    <row r="429" spans="1:5" ht="34.5" customHeight="1" thickBot="1">
      <c r="A429" s="149">
        <v>23</v>
      </c>
      <c r="B429" s="150"/>
      <c r="C429" s="151"/>
      <c r="D429" s="35" t="s">
        <v>6</v>
      </c>
      <c r="E429" s="41"/>
    </row>
    <row r="430" spans="1:5" ht="34.5" customHeight="1" thickBot="1">
      <c r="A430" s="144">
        <f>A429*A428</f>
        <v>368</v>
      </c>
      <c r="B430" s="152"/>
      <c r="C430" s="145"/>
      <c r="D430" s="35" t="s">
        <v>7</v>
      </c>
      <c r="E430" s="41" t="s">
        <v>15</v>
      </c>
    </row>
    <row r="431" spans="1:5" ht="34.5" customHeight="1" thickBot="1">
      <c r="A431" s="144">
        <v>0</v>
      </c>
      <c r="B431" s="152"/>
      <c r="C431" s="145"/>
      <c r="D431" s="35" t="s">
        <v>437</v>
      </c>
      <c r="E431" s="41"/>
    </row>
    <row r="432" spans="1:5" ht="34.5" customHeight="1" thickBot="1">
      <c r="A432" s="34">
        <v>0</v>
      </c>
      <c r="B432" s="32" t="s">
        <v>8</v>
      </c>
      <c r="C432" s="33">
        <v>370</v>
      </c>
      <c r="D432" s="32" t="s">
        <v>9</v>
      </c>
      <c r="E432" s="41"/>
    </row>
    <row r="433" spans="1:5" ht="34.5" customHeight="1" thickBot="1">
      <c r="A433" s="153" t="s">
        <v>436</v>
      </c>
      <c r="B433" s="154"/>
      <c r="C433" s="154"/>
      <c r="D433" s="155"/>
      <c r="E433" s="41"/>
    </row>
    <row r="434" spans="1:5" ht="34.5" customHeight="1" thickBot="1">
      <c r="A434" s="156" t="s">
        <v>435</v>
      </c>
      <c r="B434" s="157"/>
      <c r="C434" s="157"/>
      <c r="D434" s="158"/>
      <c r="E434" s="41"/>
    </row>
    <row r="435" spans="1:5" ht="34.5" customHeight="1">
      <c r="A435" s="159" t="s">
        <v>442</v>
      </c>
      <c r="B435" s="160" t="s">
        <v>441</v>
      </c>
      <c r="C435" s="160"/>
      <c r="D435" s="161"/>
      <c r="E435" s="41"/>
    </row>
    <row r="436" spans="1:5" ht="34.5" customHeight="1" thickBot="1">
      <c r="A436" s="162"/>
      <c r="B436" s="163"/>
      <c r="C436" s="163"/>
      <c r="D436" s="164"/>
      <c r="E436" s="44"/>
    </row>
    <row r="437" spans="1:5" ht="34.5" customHeight="1" thickBot="1">
      <c r="A437" s="142" t="s">
        <v>11</v>
      </c>
      <c r="B437" s="143"/>
      <c r="C437" s="165" t="s">
        <v>591</v>
      </c>
      <c r="D437" s="143"/>
      <c r="E437" s="44"/>
    </row>
    <row r="438" spans="1:5" ht="34.5" customHeight="1" thickBot="1">
      <c r="A438" s="137" t="s">
        <v>611</v>
      </c>
      <c r="B438" s="138"/>
      <c r="C438" s="138"/>
      <c r="D438" s="139"/>
      <c r="E438" s="43"/>
    </row>
    <row r="439" spans="1:5" ht="34.5" customHeight="1" thickBot="1">
      <c r="A439" s="34" t="s">
        <v>447</v>
      </c>
      <c r="B439" s="32" t="s">
        <v>438</v>
      </c>
      <c r="C439" s="34">
        <v>15</v>
      </c>
      <c r="D439" s="32" t="s">
        <v>0</v>
      </c>
      <c r="E439" s="43"/>
    </row>
    <row r="440" spans="1:5" ht="34.5" customHeight="1" thickBot="1">
      <c r="A440" s="37" t="s">
        <v>673</v>
      </c>
      <c r="B440" s="36" t="s">
        <v>1</v>
      </c>
      <c r="C440" s="34" t="s">
        <v>674</v>
      </c>
      <c r="D440" s="32" t="s">
        <v>2</v>
      </c>
      <c r="E440" s="42"/>
    </row>
    <row r="441" spans="1:5" ht="34.5" customHeight="1" thickBot="1">
      <c r="A441" s="140">
        <v>562</v>
      </c>
      <c r="B441" s="141"/>
      <c r="C441" s="142" t="s">
        <v>3</v>
      </c>
      <c r="D441" s="143"/>
      <c r="E441" s="41"/>
    </row>
    <row r="442" spans="1:5" ht="34.5" customHeight="1" thickBot="1">
      <c r="A442" s="140">
        <v>562</v>
      </c>
      <c r="B442" s="141"/>
      <c r="C442" s="144" t="s">
        <v>4</v>
      </c>
      <c r="D442" s="145"/>
      <c r="E442" s="41"/>
    </row>
    <row r="443" spans="1:5" ht="34.5" customHeight="1" thickBot="1">
      <c r="A443" s="146">
        <f>A442-A441</f>
        <v>0</v>
      </c>
      <c r="B443" s="147"/>
      <c r="C443" s="148"/>
      <c r="D443" s="35" t="s">
        <v>5</v>
      </c>
      <c r="E443" s="41"/>
    </row>
    <row r="444" spans="1:5" ht="34.5" customHeight="1" thickBot="1">
      <c r="A444" s="149">
        <v>23</v>
      </c>
      <c r="B444" s="150"/>
      <c r="C444" s="151"/>
      <c r="D444" s="35" t="s">
        <v>6</v>
      </c>
      <c r="E444" s="41"/>
    </row>
    <row r="445" spans="1:5" ht="34.5" customHeight="1" thickBot="1">
      <c r="A445" s="144">
        <f>A444*A443</f>
        <v>0</v>
      </c>
      <c r="B445" s="152"/>
      <c r="C445" s="145"/>
      <c r="D445" s="35" t="s">
        <v>7</v>
      </c>
      <c r="E445" s="41"/>
    </row>
    <row r="446" spans="1:5" ht="34.5" customHeight="1" thickBot="1">
      <c r="A446" s="144">
        <v>0</v>
      </c>
      <c r="B446" s="152"/>
      <c r="C446" s="145"/>
      <c r="D446" s="35" t="s">
        <v>437</v>
      </c>
      <c r="E446" s="41"/>
    </row>
    <row r="447" spans="1:5" ht="34.5" customHeight="1" thickBot="1">
      <c r="A447" s="34">
        <v>0</v>
      </c>
      <c r="B447" s="32" t="s">
        <v>8</v>
      </c>
      <c r="C447" s="33">
        <v>2300</v>
      </c>
      <c r="D447" s="32" t="s">
        <v>9</v>
      </c>
      <c r="E447" s="41"/>
    </row>
    <row r="448" spans="1:5" ht="34.5" customHeight="1" thickBot="1">
      <c r="A448" s="153" t="s">
        <v>436</v>
      </c>
      <c r="B448" s="154"/>
      <c r="C448" s="154"/>
      <c r="D448" s="155"/>
      <c r="E448" s="41"/>
    </row>
    <row r="449" spans="1:5" ht="34.5" customHeight="1" thickBot="1">
      <c r="A449" s="156" t="s">
        <v>435</v>
      </c>
      <c r="B449" s="157"/>
      <c r="C449" s="157"/>
      <c r="D449" s="158"/>
      <c r="E449" s="41"/>
    </row>
    <row r="450" spans="1:5" ht="34.5" customHeight="1" thickBot="1">
      <c r="A450" s="40"/>
      <c r="B450" s="39"/>
      <c r="C450" s="39"/>
      <c r="D450" s="38"/>
      <c r="E450" s="41"/>
    </row>
    <row r="451" spans="1:5" ht="34.5" customHeight="1">
      <c r="A451" s="159" t="s">
        <v>442</v>
      </c>
      <c r="B451" s="160" t="s">
        <v>441</v>
      </c>
      <c r="C451" s="160"/>
      <c r="D451" s="161"/>
      <c r="E451" s="41"/>
    </row>
    <row r="452" spans="1:5" ht="34.5" customHeight="1" thickBot="1">
      <c r="A452" s="162"/>
      <c r="B452" s="163"/>
      <c r="C452" s="163"/>
      <c r="D452" s="164"/>
      <c r="E452" s="44"/>
    </row>
    <row r="453" spans="1:5" ht="34.5" customHeight="1" thickBot="1">
      <c r="A453" s="142" t="s">
        <v>11</v>
      </c>
      <c r="B453" s="143"/>
      <c r="C453" s="165" t="s">
        <v>591</v>
      </c>
      <c r="D453" s="143"/>
      <c r="E453" s="44"/>
    </row>
    <row r="454" spans="1:5" ht="34.5" customHeight="1" thickBot="1">
      <c r="A454" s="137" t="s">
        <v>611</v>
      </c>
      <c r="B454" s="138"/>
      <c r="C454" s="138"/>
      <c r="D454" s="139"/>
      <c r="E454" s="43"/>
    </row>
    <row r="455" spans="1:5" ht="34.5" customHeight="1" thickBot="1">
      <c r="A455" s="34" t="s">
        <v>447</v>
      </c>
      <c r="B455" s="32" t="s">
        <v>438</v>
      </c>
      <c r="C455" s="34">
        <v>15</v>
      </c>
      <c r="D455" s="32" t="s">
        <v>0</v>
      </c>
      <c r="E455" s="43"/>
    </row>
    <row r="456" spans="1:5" ht="34.5" customHeight="1" thickBot="1">
      <c r="A456" s="37" t="s">
        <v>673</v>
      </c>
      <c r="B456" s="36" t="s">
        <v>1</v>
      </c>
      <c r="C456" s="34" t="s">
        <v>674</v>
      </c>
      <c r="D456" s="32" t="s">
        <v>2</v>
      </c>
      <c r="E456" s="42"/>
    </row>
    <row r="457" spans="1:5" ht="34.5" customHeight="1" thickBot="1">
      <c r="A457" s="140">
        <v>462</v>
      </c>
      <c r="B457" s="141"/>
      <c r="C457" s="142" t="s">
        <v>3</v>
      </c>
      <c r="D457" s="143"/>
      <c r="E457" s="41"/>
    </row>
    <row r="458" spans="1:5" ht="34.5" customHeight="1" thickBot="1">
      <c r="A458" s="140">
        <v>562</v>
      </c>
      <c r="B458" s="141"/>
      <c r="C458" s="144" t="s">
        <v>4</v>
      </c>
      <c r="D458" s="145"/>
      <c r="E458" s="41"/>
    </row>
    <row r="459" spans="1:5" ht="34.5" customHeight="1" thickBot="1">
      <c r="A459" s="146">
        <f>A458-A457</f>
        <v>100</v>
      </c>
      <c r="B459" s="147"/>
      <c r="C459" s="148"/>
      <c r="D459" s="35" t="s">
        <v>5</v>
      </c>
      <c r="E459" s="41"/>
    </row>
    <row r="460" spans="1:5" ht="34.5" customHeight="1" thickBot="1">
      <c r="A460" s="149">
        <v>23</v>
      </c>
      <c r="B460" s="150"/>
      <c r="C460" s="151"/>
      <c r="D460" s="35" t="s">
        <v>6</v>
      </c>
      <c r="E460" s="41"/>
    </row>
    <row r="461" spans="1:5" ht="34.5" customHeight="1" thickBot="1">
      <c r="A461" s="144">
        <f>A460*A459</f>
        <v>2300</v>
      </c>
      <c r="B461" s="152"/>
      <c r="C461" s="145"/>
      <c r="D461" s="35" t="s">
        <v>7</v>
      </c>
      <c r="E461" s="41"/>
    </row>
    <row r="462" spans="1:5" ht="34.5" customHeight="1" thickBot="1">
      <c r="A462" s="144">
        <v>0</v>
      </c>
      <c r="B462" s="152"/>
      <c r="C462" s="145"/>
      <c r="D462" s="35" t="s">
        <v>437</v>
      </c>
      <c r="E462" s="41"/>
    </row>
    <row r="463" spans="1:5" ht="34.5" customHeight="1" thickBot="1">
      <c r="A463" s="34">
        <v>0</v>
      </c>
      <c r="B463" s="32" t="s">
        <v>8</v>
      </c>
      <c r="C463" s="33">
        <v>2300</v>
      </c>
      <c r="D463" s="32" t="s">
        <v>9</v>
      </c>
      <c r="E463" s="41"/>
    </row>
    <row r="464" spans="1:5" ht="34.5" customHeight="1" thickBot="1">
      <c r="A464" s="153" t="s">
        <v>436</v>
      </c>
      <c r="B464" s="154"/>
      <c r="C464" s="154"/>
      <c r="D464" s="155"/>
      <c r="E464" s="41"/>
    </row>
    <row r="465" spans="1:5" ht="34.5" customHeight="1" thickBot="1">
      <c r="A465" s="156" t="s">
        <v>435</v>
      </c>
      <c r="B465" s="157"/>
      <c r="C465" s="157"/>
      <c r="D465" s="158"/>
      <c r="E465" s="41"/>
    </row>
    <row r="466" spans="1:5" ht="34.5" customHeight="1">
      <c r="A466" s="159" t="s">
        <v>442</v>
      </c>
      <c r="B466" s="160" t="s">
        <v>441</v>
      </c>
      <c r="C466" s="160"/>
      <c r="D466" s="161"/>
      <c r="E466" s="41"/>
    </row>
    <row r="467" spans="1:5" ht="34.5" customHeight="1" thickBot="1">
      <c r="A467" s="162"/>
      <c r="B467" s="163"/>
      <c r="C467" s="163"/>
      <c r="D467" s="164"/>
      <c r="E467" s="44"/>
    </row>
    <row r="468" spans="1:5" ht="34.5" customHeight="1" thickBot="1">
      <c r="A468" s="142" t="s">
        <v>11</v>
      </c>
      <c r="B468" s="143"/>
      <c r="C468" s="165" t="s">
        <v>591</v>
      </c>
      <c r="D468" s="143"/>
      <c r="E468" s="44"/>
    </row>
    <row r="469" spans="1:5" ht="34.5" customHeight="1" thickBot="1">
      <c r="A469" s="137" t="s">
        <v>83</v>
      </c>
      <c r="B469" s="138"/>
      <c r="C469" s="138"/>
      <c r="D469" s="139"/>
      <c r="E469" s="43"/>
    </row>
    <row r="470" spans="1:5" ht="34.5" customHeight="1" thickBot="1">
      <c r="A470" s="34" t="s">
        <v>447</v>
      </c>
      <c r="B470" s="32" t="s">
        <v>438</v>
      </c>
      <c r="C470" s="34">
        <v>16</v>
      </c>
      <c r="D470" s="32" t="s">
        <v>0</v>
      </c>
      <c r="E470" s="43"/>
    </row>
    <row r="471" spans="1:5" ht="34.5" customHeight="1" thickBot="1">
      <c r="A471" s="37" t="s">
        <v>673</v>
      </c>
      <c r="B471" s="36" t="s">
        <v>1</v>
      </c>
      <c r="C471" s="34" t="s">
        <v>674</v>
      </c>
      <c r="D471" s="32" t="s">
        <v>2</v>
      </c>
      <c r="E471" s="42"/>
    </row>
    <row r="472" spans="1:5" ht="34.5" customHeight="1" thickBot="1">
      <c r="A472" s="140">
        <v>230</v>
      </c>
      <c r="B472" s="141"/>
      <c r="C472" s="142" t="s">
        <v>3</v>
      </c>
      <c r="D472" s="143"/>
      <c r="E472" s="41"/>
    </row>
    <row r="473" spans="1:5" ht="34.5" customHeight="1" thickBot="1">
      <c r="A473" s="140">
        <v>230</v>
      </c>
      <c r="B473" s="141"/>
      <c r="C473" s="144" t="s">
        <v>4</v>
      </c>
      <c r="D473" s="145"/>
      <c r="E473" s="41"/>
    </row>
    <row r="474" spans="1:5" ht="34.5" customHeight="1" thickBot="1">
      <c r="A474" s="146">
        <f>A473-A472</f>
        <v>0</v>
      </c>
      <c r="B474" s="147"/>
      <c r="C474" s="148"/>
      <c r="D474" s="35" t="s">
        <v>5</v>
      </c>
      <c r="E474" s="41"/>
    </row>
    <row r="475" spans="1:5" ht="34.5" customHeight="1" thickBot="1">
      <c r="A475" s="149">
        <v>23</v>
      </c>
      <c r="B475" s="150"/>
      <c r="C475" s="151"/>
      <c r="D475" s="35" t="s">
        <v>6</v>
      </c>
      <c r="E475" s="41"/>
    </row>
    <row r="476" spans="1:5" ht="34.5" customHeight="1" thickBot="1">
      <c r="A476" s="144">
        <f>A475*A474</f>
        <v>0</v>
      </c>
      <c r="B476" s="152"/>
      <c r="C476" s="145"/>
      <c r="D476" s="35" t="s">
        <v>7</v>
      </c>
      <c r="E476" s="41"/>
    </row>
    <row r="477" spans="1:5" ht="34.5" customHeight="1" thickBot="1">
      <c r="A477" s="144">
        <v>0</v>
      </c>
      <c r="B477" s="152"/>
      <c r="C477" s="145"/>
      <c r="D477" s="35" t="s">
        <v>437</v>
      </c>
      <c r="E477" s="41"/>
    </row>
    <row r="478" spans="1:5" ht="34.5" customHeight="1" thickBot="1">
      <c r="A478" s="34">
        <v>0</v>
      </c>
      <c r="B478" s="32" t="s">
        <v>8</v>
      </c>
      <c r="C478" s="33">
        <v>1040</v>
      </c>
      <c r="D478" s="32" t="s">
        <v>9</v>
      </c>
      <c r="E478" s="41"/>
    </row>
    <row r="479" spans="1:5" ht="34.5" customHeight="1" thickBot="1">
      <c r="A479" s="153" t="s">
        <v>436</v>
      </c>
      <c r="B479" s="154"/>
      <c r="C479" s="154"/>
      <c r="D479" s="155"/>
      <c r="E479" s="41"/>
    </row>
    <row r="480" spans="1:5" ht="34.5" customHeight="1" thickBot="1">
      <c r="A480" s="156" t="s">
        <v>435</v>
      </c>
      <c r="B480" s="157"/>
      <c r="C480" s="157"/>
      <c r="D480" s="158"/>
      <c r="E480" s="41"/>
    </row>
    <row r="481" spans="1:5" ht="34.5" customHeight="1" thickBot="1">
      <c r="A481" s="40"/>
      <c r="B481" s="39"/>
      <c r="C481" s="39"/>
      <c r="D481" s="38"/>
      <c r="E481" s="41"/>
    </row>
    <row r="482" spans="1:5" ht="34.5" customHeight="1">
      <c r="A482" s="159" t="s">
        <v>442</v>
      </c>
      <c r="B482" s="160" t="s">
        <v>441</v>
      </c>
      <c r="C482" s="160"/>
      <c r="D482" s="161"/>
      <c r="E482" s="41"/>
    </row>
    <row r="483" spans="1:5" ht="34.5" customHeight="1" thickBot="1">
      <c r="A483" s="162"/>
      <c r="B483" s="163"/>
      <c r="C483" s="163"/>
      <c r="D483" s="164"/>
      <c r="E483" s="44"/>
    </row>
    <row r="484" spans="1:5" ht="34.5" customHeight="1" thickBot="1">
      <c r="A484" s="142" t="s">
        <v>11</v>
      </c>
      <c r="B484" s="143"/>
      <c r="C484" s="165" t="s">
        <v>591</v>
      </c>
      <c r="D484" s="143"/>
      <c r="E484" s="44"/>
    </row>
    <row r="485" spans="1:5" ht="34.5" customHeight="1" thickBot="1">
      <c r="A485" s="137" t="s">
        <v>83</v>
      </c>
      <c r="B485" s="138"/>
      <c r="C485" s="138"/>
      <c r="D485" s="139"/>
      <c r="E485" s="43"/>
    </row>
    <row r="486" spans="1:5" ht="34.5" customHeight="1" thickBot="1">
      <c r="A486" s="34" t="s">
        <v>447</v>
      </c>
      <c r="B486" s="32" t="s">
        <v>438</v>
      </c>
      <c r="C486" s="34">
        <v>16</v>
      </c>
      <c r="D486" s="32" t="s">
        <v>0</v>
      </c>
      <c r="E486" s="43"/>
    </row>
    <row r="487" spans="1:5" ht="34.5" customHeight="1" thickBot="1">
      <c r="A487" s="37" t="s">
        <v>673</v>
      </c>
      <c r="B487" s="36" t="s">
        <v>1</v>
      </c>
      <c r="C487" s="34" t="s">
        <v>674</v>
      </c>
      <c r="D487" s="32" t="s">
        <v>2</v>
      </c>
      <c r="E487" s="42"/>
    </row>
    <row r="488" spans="1:5" ht="34.5" customHeight="1" thickBot="1">
      <c r="A488" s="140">
        <v>185</v>
      </c>
      <c r="B488" s="141"/>
      <c r="C488" s="142" t="s">
        <v>3</v>
      </c>
      <c r="D488" s="143"/>
      <c r="E488" s="41"/>
    </row>
    <row r="489" spans="1:5" ht="34.5" customHeight="1" thickBot="1">
      <c r="A489" s="140">
        <v>230</v>
      </c>
      <c r="B489" s="141"/>
      <c r="C489" s="144" t="s">
        <v>4</v>
      </c>
      <c r="D489" s="145"/>
      <c r="E489" s="41"/>
    </row>
    <row r="490" spans="1:5" ht="34.5" customHeight="1" thickBot="1">
      <c r="A490" s="146">
        <f>A489-A488</f>
        <v>45</v>
      </c>
      <c r="B490" s="147"/>
      <c r="C490" s="148"/>
      <c r="D490" s="35" t="s">
        <v>5</v>
      </c>
      <c r="E490" s="41"/>
    </row>
    <row r="491" spans="1:5" ht="34.5" customHeight="1" thickBot="1">
      <c r="A491" s="149">
        <v>23</v>
      </c>
      <c r="B491" s="150"/>
      <c r="C491" s="151"/>
      <c r="D491" s="35" t="s">
        <v>6</v>
      </c>
      <c r="E491" s="41"/>
    </row>
    <row r="492" spans="1:5" ht="34.5" customHeight="1" thickBot="1">
      <c r="A492" s="144">
        <f>A491*A490</f>
        <v>1035</v>
      </c>
      <c r="B492" s="152"/>
      <c r="C492" s="145"/>
      <c r="D492" s="35" t="s">
        <v>7</v>
      </c>
      <c r="E492" s="41"/>
    </row>
    <row r="493" spans="1:5" ht="34.5" customHeight="1" thickBot="1">
      <c r="A493" s="144">
        <v>0</v>
      </c>
      <c r="B493" s="152"/>
      <c r="C493" s="145"/>
      <c r="D493" s="35" t="s">
        <v>437</v>
      </c>
      <c r="E493" s="41"/>
    </row>
    <row r="494" spans="1:5" ht="34.5" customHeight="1" thickBot="1">
      <c r="A494" s="34">
        <v>0</v>
      </c>
      <c r="B494" s="32" t="s">
        <v>8</v>
      </c>
      <c r="C494" s="33">
        <v>1040</v>
      </c>
      <c r="D494" s="32" t="s">
        <v>9</v>
      </c>
      <c r="E494" s="41"/>
    </row>
    <row r="495" spans="1:5" ht="34.5" customHeight="1" thickBot="1">
      <c r="A495" s="153" t="s">
        <v>436</v>
      </c>
      <c r="B495" s="154"/>
      <c r="C495" s="154"/>
      <c r="D495" s="155"/>
      <c r="E495" s="41"/>
    </row>
    <row r="496" spans="1:5" ht="34.5" customHeight="1" thickBot="1">
      <c r="A496" s="156" t="s">
        <v>435</v>
      </c>
      <c r="B496" s="157"/>
      <c r="C496" s="157"/>
      <c r="D496" s="158"/>
      <c r="E496" s="41"/>
    </row>
    <row r="497" spans="1:5" ht="34.5" customHeight="1">
      <c r="A497" s="159" t="s">
        <v>442</v>
      </c>
      <c r="B497" s="160" t="s">
        <v>441</v>
      </c>
      <c r="C497" s="160"/>
      <c r="D497" s="161"/>
      <c r="E497" s="41"/>
    </row>
    <row r="498" spans="1:5" ht="34.5" customHeight="1" thickBot="1">
      <c r="A498" s="162"/>
      <c r="B498" s="163"/>
      <c r="C498" s="163"/>
      <c r="D498" s="164"/>
      <c r="E498" s="44"/>
    </row>
    <row r="499" spans="1:5" ht="34.5" customHeight="1" thickBot="1">
      <c r="A499" s="142" t="s">
        <v>11</v>
      </c>
      <c r="B499" s="143"/>
      <c r="C499" s="165" t="s">
        <v>591</v>
      </c>
      <c r="D499" s="143"/>
      <c r="E499" s="44"/>
    </row>
    <row r="500" spans="1:5" ht="34.5" customHeight="1" thickBot="1">
      <c r="A500" s="137" t="s">
        <v>504</v>
      </c>
      <c r="B500" s="138"/>
      <c r="C500" s="138"/>
      <c r="D500" s="139"/>
      <c r="E500" s="43"/>
    </row>
    <row r="501" spans="1:5" ht="34.5" customHeight="1" thickBot="1">
      <c r="A501" s="34" t="s">
        <v>447</v>
      </c>
      <c r="B501" s="32" t="s">
        <v>438</v>
      </c>
      <c r="C501" s="34">
        <v>17</v>
      </c>
      <c r="D501" s="32" t="s">
        <v>0</v>
      </c>
      <c r="E501" s="43"/>
    </row>
    <row r="502" spans="1:5" ht="34.5" customHeight="1" thickBot="1">
      <c r="A502" s="37" t="s">
        <v>673</v>
      </c>
      <c r="B502" s="36" t="s">
        <v>1</v>
      </c>
      <c r="C502" s="34" t="s">
        <v>674</v>
      </c>
      <c r="D502" s="32" t="s">
        <v>2</v>
      </c>
      <c r="E502" s="42"/>
    </row>
    <row r="503" spans="1:5" ht="34.5" customHeight="1" thickBot="1">
      <c r="A503" s="140">
        <v>353</v>
      </c>
      <c r="B503" s="141"/>
      <c r="C503" s="142" t="s">
        <v>3</v>
      </c>
      <c r="D503" s="143"/>
      <c r="E503" s="41"/>
    </row>
    <row r="504" spans="1:5" ht="34.5" customHeight="1" thickBot="1">
      <c r="A504" s="140">
        <v>353</v>
      </c>
      <c r="B504" s="141"/>
      <c r="C504" s="144" t="s">
        <v>4</v>
      </c>
      <c r="D504" s="145"/>
      <c r="E504" s="41"/>
    </row>
    <row r="505" spans="1:5" ht="34.5" customHeight="1" thickBot="1">
      <c r="A505" s="146">
        <f>A504-A503</f>
        <v>0</v>
      </c>
      <c r="B505" s="147"/>
      <c r="C505" s="148"/>
      <c r="D505" s="35" t="s">
        <v>5</v>
      </c>
      <c r="E505" s="41"/>
    </row>
    <row r="506" spans="1:5" ht="34.5" customHeight="1" thickBot="1">
      <c r="A506" s="149">
        <v>23</v>
      </c>
      <c r="B506" s="150"/>
      <c r="C506" s="151"/>
      <c r="D506" s="35" t="s">
        <v>6</v>
      </c>
      <c r="E506" s="41"/>
    </row>
    <row r="507" spans="1:5" ht="34.5" customHeight="1" thickBot="1">
      <c r="A507" s="144">
        <f>A506*A505</f>
        <v>0</v>
      </c>
      <c r="B507" s="152"/>
      <c r="C507" s="145"/>
      <c r="D507" s="35" t="s">
        <v>7</v>
      </c>
      <c r="E507" s="41"/>
    </row>
    <row r="508" spans="1:5" ht="34.5" customHeight="1" thickBot="1">
      <c r="A508" s="144">
        <v>0</v>
      </c>
      <c r="B508" s="152"/>
      <c r="C508" s="145"/>
      <c r="D508" s="35" t="s">
        <v>437</v>
      </c>
      <c r="E508" s="41"/>
    </row>
    <row r="509" spans="1:5" ht="34.5" customHeight="1" thickBot="1">
      <c r="A509" s="34">
        <v>0</v>
      </c>
      <c r="B509" s="32" t="s">
        <v>8</v>
      </c>
      <c r="C509" s="33">
        <v>1080</v>
      </c>
      <c r="D509" s="32" t="s">
        <v>9</v>
      </c>
      <c r="E509" s="41"/>
    </row>
    <row r="510" spans="1:5" ht="34.5" customHeight="1" thickBot="1">
      <c r="A510" s="153" t="s">
        <v>436</v>
      </c>
      <c r="B510" s="154"/>
      <c r="C510" s="154"/>
      <c r="D510" s="155"/>
      <c r="E510" s="41"/>
    </row>
    <row r="511" spans="1:5" ht="34.5" customHeight="1" thickBot="1">
      <c r="A511" s="156" t="s">
        <v>435</v>
      </c>
      <c r="B511" s="157"/>
      <c r="C511" s="157"/>
      <c r="D511" s="158"/>
      <c r="E511" s="41"/>
    </row>
    <row r="512" spans="1:5" ht="34.5" customHeight="1" thickBot="1">
      <c r="A512" s="40"/>
      <c r="B512" s="39"/>
      <c r="C512" s="39"/>
      <c r="D512" s="38"/>
      <c r="E512" s="41"/>
    </row>
    <row r="513" spans="1:5" ht="34.5" customHeight="1">
      <c r="A513" s="159" t="s">
        <v>442</v>
      </c>
      <c r="B513" s="160" t="s">
        <v>441</v>
      </c>
      <c r="C513" s="160"/>
      <c r="D513" s="161"/>
      <c r="E513" s="41"/>
    </row>
    <row r="514" spans="1:5" ht="34.5" customHeight="1" thickBot="1">
      <c r="A514" s="162"/>
      <c r="B514" s="163"/>
      <c r="C514" s="163"/>
      <c r="D514" s="164"/>
      <c r="E514" s="44"/>
    </row>
    <row r="515" spans="1:5" ht="34.5" customHeight="1" thickBot="1">
      <c r="A515" s="142" t="s">
        <v>11</v>
      </c>
      <c r="B515" s="143"/>
      <c r="C515" s="165" t="s">
        <v>591</v>
      </c>
      <c r="D515" s="143"/>
      <c r="E515" s="44"/>
    </row>
    <row r="516" spans="1:5" ht="34.5" customHeight="1" thickBot="1">
      <c r="A516" s="137" t="s">
        <v>504</v>
      </c>
      <c r="B516" s="138"/>
      <c r="C516" s="138"/>
      <c r="D516" s="139"/>
      <c r="E516" s="43"/>
    </row>
    <row r="517" spans="1:5" ht="34.5" customHeight="1" thickBot="1">
      <c r="A517" s="34" t="s">
        <v>447</v>
      </c>
      <c r="B517" s="32" t="s">
        <v>438</v>
      </c>
      <c r="C517" s="34">
        <v>17</v>
      </c>
      <c r="D517" s="32" t="s">
        <v>0</v>
      </c>
      <c r="E517" s="43"/>
    </row>
    <row r="518" spans="1:5" ht="34.5" customHeight="1" thickBot="1">
      <c r="A518" s="37" t="s">
        <v>673</v>
      </c>
      <c r="B518" s="36" t="s">
        <v>1</v>
      </c>
      <c r="C518" s="34" t="s">
        <v>674</v>
      </c>
      <c r="D518" s="32" t="s">
        <v>2</v>
      </c>
      <c r="E518" s="42"/>
    </row>
    <row r="519" spans="1:5" ht="34.5" customHeight="1" thickBot="1">
      <c r="A519" s="140">
        <v>306</v>
      </c>
      <c r="B519" s="141"/>
      <c r="C519" s="142" t="s">
        <v>3</v>
      </c>
      <c r="D519" s="143"/>
      <c r="E519" s="41"/>
    </row>
    <row r="520" spans="1:5" ht="34.5" customHeight="1" thickBot="1">
      <c r="A520" s="140">
        <v>353</v>
      </c>
      <c r="B520" s="141"/>
      <c r="C520" s="144" t="s">
        <v>4</v>
      </c>
      <c r="D520" s="145"/>
      <c r="E520" s="41"/>
    </row>
    <row r="521" spans="1:5" ht="34.5" customHeight="1" thickBot="1">
      <c r="A521" s="146">
        <f>A520-A519</f>
        <v>47</v>
      </c>
      <c r="B521" s="147"/>
      <c r="C521" s="148"/>
      <c r="D521" s="35" t="s">
        <v>5</v>
      </c>
      <c r="E521" s="41"/>
    </row>
    <row r="522" spans="1:5" ht="34.5" customHeight="1" thickBot="1">
      <c r="A522" s="149">
        <v>23</v>
      </c>
      <c r="B522" s="150"/>
      <c r="C522" s="151"/>
      <c r="D522" s="35" t="s">
        <v>6</v>
      </c>
      <c r="E522" s="41"/>
    </row>
    <row r="523" spans="1:5" ht="34.5" customHeight="1" thickBot="1">
      <c r="A523" s="144">
        <f>A522*A521</f>
        <v>1081</v>
      </c>
      <c r="B523" s="152"/>
      <c r="C523" s="145"/>
      <c r="D523" s="35" t="s">
        <v>7</v>
      </c>
      <c r="E523" s="41"/>
    </row>
    <row r="524" spans="1:5" ht="34.5" customHeight="1" thickBot="1">
      <c r="A524" s="144">
        <v>0</v>
      </c>
      <c r="B524" s="152"/>
      <c r="C524" s="145"/>
      <c r="D524" s="35" t="s">
        <v>437</v>
      </c>
      <c r="E524" s="41"/>
    </row>
    <row r="525" spans="1:5" ht="34.5" customHeight="1" thickBot="1">
      <c r="A525" s="34">
        <v>0</v>
      </c>
      <c r="B525" s="32" t="s">
        <v>8</v>
      </c>
      <c r="C525" s="33">
        <v>1080</v>
      </c>
      <c r="D525" s="32" t="s">
        <v>9</v>
      </c>
      <c r="E525" s="41"/>
    </row>
    <row r="526" spans="1:5" ht="34.5" customHeight="1" thickBot="1">
      <c r="A526" s="153" t="s">
        <v>436</v>
      </c>
      <c r="B526" s="154"/>
      <c r="C526" s="154"/>
      <c r="D526" s="155"/>
      <c r="E526" s="41"/>
    </row>
    <row r="527" spans="1:5" ht="34.5" customHeight="1" thickBot="1">
      <c r="A527" s="156" t="s">
        <v>435</v>
      </c>
      <c r="B527" s="157"/>
      <c r="C527" s="157"/>
      <c r="D527" s="158"/>
      <c r="E527" s="41"/>
    </row>
    <row r="528" spans="1:5" ht="34.5" customHeight="1">
      <c r="A528" s="159" t="s">
        <v>442</v>
      </c>
      <c r="B528" s="160" t="s">
        <v>441</v>
      </c>
      <c r="C528" s="160"/>
      <c r="D528" s="161"/>
      <c r="E528" s="41"/>
    </row>
    <row r="529" spans="1:5" ht="34.5" customHeight="1" thickBot="1">
      <c r="A529" s="162"/>
      <c r="B529" s="163"/>
      <c r="C529" s="163"/>
      <c r="D529" s="164"/>
      <c r="E529" s="44"/>
    </row>
    <row r="530" spans="1:5" ht="34.5" customHeight="1" thickBot="1">
      <c r="A530" s="142" t="s">
        <v>11</v>
      </c>
      <c r="B530" s="143"/>
      <c r="C530" s="165" t="s">
        <v>591</v>
      </c>
      <c r="D530" s="143"/>
      <c r="E530" s="44"/>
    </row>
    <row r="531" spans="1:5" ht="34.5" customHeight="1" thickBot="1">
      <c r="A531" s="137" t="s">
        <v>87</v>
      </c>
      <c r="B531" s="138"/>
      <c r="C531" s="138"/>
      <c r="D531" s="139"/>
      <c r="E531" s="43"/>
    </row>
    <row r="532" spans="1:5" ht="34.5" customHeight="1" thickBot="1">
      <c r="A532" s="34" t="s">
        <v>447</v>
      </c>
      <c r="B532" s="32" t="s">
        <v>438</v>
      </c>
      <c r="C532" s="34">
        <v>18</v>
      </c>
      <c r="D532" s="32" t="s">
        <v>0</v>
      </c>
      <c r="E532" s="43"/>
    </row>
    <row r="533" spans="1:5" ht="34.5" customHeight="1" thickBot="1">
      <c r="A533" s="37" t="s">
        <v>673</v>
      </c>
      <c r="B533" s="36" t="s">
        <v>1</v>
      </c>
      <c r="C533" s="34" t="s">
        <v>674</v>
      </c>
      <c r="D533" s="32" t="s">
        <v>2</v>
      </c>
      <c r="E533" s="42"/>
    </row>
    <row r="534" spans="1:5" ht="34.5" customHeight="1" thickBot="1">
      <c r="A534" s="140">
        <v>121</v>
      </c>
      <c r="B534" s="141"/>
      <c r="C534" s="142" t="s">
        <v>3</v>
      </c>
      <c r="D534" s="143"/>
      <c r="E534" s="41"/>
    </row>
    <row r="535" spans="1:5" ht="34.5" customHeight="1" thickBot="1">
      <c r="A535" s="140">
        <v>121</v>
      </c>
      <c r="B535" s="141"/>
      <c r="C535" s="144" t="s">
        <v>4</v>
      </c>
      <c r="D535" s="145"/>
      <c r="E535" s="41"/>
    </row>
    <row r="536" spans="1:5" ht="34.5" customHeight="1" thickBot="1">
      <c r="A536" s="146">
        <f>A535-A534</f>
        <v>0</v>
      </c>
      <c r="B536" s="147"/>
      <c r="C536" s="148"/>
      <c r="D536" s="35" t="s">
        <v>5</v>
      </c>
      <c r="E536" s="41"/>
    </row>
    <row r="537" spans="1:5" ht="34.5" customHeight="1" thickBot="1">
      <c r="A537" s="149">
        <v>23</v>
      </c>
      <c r="B537" s="150"/>
      <c r="C537" s="151"/>
      <c r="D537" s="35" t="s">
        <v>6</v>
      </c>
      <c r="E537" s="41"/>
    </row>
    <row r="538" spans="1:5" ht="34.5" customHeight="1" thickBot="1">
      <c r="A538" s="144">
        <f>A537*A536</f>
        <v>0</v>
      </c>
      <c r="B538" s="152"/>
      <c r="C538" s="145"/>
      <c r="D538" s="35" t="s">
        <v>7</v>
      </c>
      <c r="E538" s="41"/>
    </row>
    <row r="539" spans="1:5" ht="34.5" customHeight="1" thickBot="1">
      <c r="A539" s="144">
        <v>0</v>
      </c>
      <c r="B539" s="152"/>
      <c r="C539" s="145"/>
      <c r="D539" s="35" t="s">
        <v>437</v>
      </c>
      <c r="E539" s="41"/>
    </row>
    <row r="540" spans="1:5" ht="34.5" customHeight="1" thickBot="1">
      <c r="A540" s="34">
        <v>0</v>
      </c>
      <c r="B540" s="32" t="s">
        <v>8</v>
      </c>
      <c r="C540" s="33">
        <v>0</v>
      </c>
      <c r="D540" s="32" t="s">
        <v>9</v>
      </c>
      <c r="E540" s="41"/>
    </row>
    <row r="541" spans="1:5" ht="34.5" customHeight="1" thickBot="1">
      <c r="A541" s="153" t="s">
        <v>436</v>
      </c>
      <c r="B541" s="154"/>
      <c r="C541" s="154"/>
      <c r="D541" s="155"/>
      <c r="E541" s="41"/>
    </row>
    <row r="542" spans="1:5" ht="34.5" customHeight="1" thickBot="1">
      <c r="A542" s="156" t="s">
        <v>435</v>
      </c>
      <c r="B542" s="157"/>
      <c r="C542" s="157"/>
      <c r="D542" s="158"/>
      <c r="E542" s="41"/>
    </row>
    <row r="543" spans="1:5" ht="34.5" customHeight="1" thickBot="1">
      <c r="A543" s="40"/>
      <c r="B543" s="39"/>
      <c r="C543" s="39"/>
      <c r="D543" s="38"/>
      <c r="E543" s="41"/>
    </row>
    <row r="544" spans="1:5" ht="34.5" customHeight="1">
      <c r="A544" s="159" t="s">
        <v>442</v>
      </c>
      <c r="B544" s="160" t="s">
        <v>441</v>
      </c>
      <c r="C544" s="160"/>
      <c r="D544" s="161"/>
      <c r="E544" s="41"/>
    </row>
    <row r="545" spans="1:5" ht="34.5" customHeight="1" thickBot="1">
      <c r="A545" s="162"/>
      <c r="B545" s="163"/>
      <c r="C545" s="163"/>
      <c r="D545" s="164"/>
      <c r="E545" s="44"/>
    </row>
    <row r="546" spans="1:5" ht="34.5" customHeight="1" thickBot="1">
      <c r="A546" s="142" t="s">
        <v>11</v>
      </c>
      <c r="B546" s="143"/>
      <c r="C546" s="165" t="s">
        <v>591</v>
      </c>
      <c r="D546" s="143"/>
      <c r="E546" s="44"/>
    </row>
    <row r="547" spans="1:5" ht="34.5" customHeight="1" thickBot="1">
      <c r="A547" s="137" t="s">
        <v>87</v>
      </c>
      <c r="B547" s="138"/>
      <c r="C547" s="138"/>
      <c r="D547" s="139"/>
      <c r="E547" s="43"/>
    </row>
    <row r="548" spans="1:5" ht="34.5" customHeight="1" thickBot="1">
      <c r="A548" s="34" t="s">
        <v>447</v>
      </c>
      <c r="B548" s="32" t="s">
        <v>438</v>
      </c>
      <c r="C548" s="34">
        <v>18</v>
      </c>
      <c r="D548" s="32" t="s">
        <v>0</v>
      </c>
      <c r="E548" s="43"/>
    </row>
    <row r="549" spans="1:5" ht="34.5" customHeight="1" thickBot="1">
      <c r="A549" s="37" t="s">
        <v>673</v>
      </c>
      <c r="B549" s="36" t="s">
        <v>1</v>
      </c>
      <c r="C549" s="34" t="s">
        <v>674</v>
      </c>
      <c r="D549" s="32" t="s">
        <v>2</v>
      </c>
      <c r="E549" s="42"/>
    </row>
    <row r="550" spans="1:5" ht="34.5" customHeight="1" thickBot="1">
      <c r="A550" s="140">
        <v>119</v>
      </c>
      <c r="B550" s="141"/>
      <c r="C550" s="142" t="s">
        <v>3</v>
      </c>
      <c r="D550" s="143"/>
      <c r="E550" s="41"/>
    </row>
    <row r="551" spans="1:5" ht="34.5" customHeight="1" thickBot="1">
      <c r="A551" s="140">
        <v>121</v>
      </c>
      <c r="B551" s="141"/>
      <c r="C551" s="144" t="s">
        <v>4</v>
      </c>
      <c r="D551" s="145"/>
      <c r="E551" s="41"/>
    </row>
    <row r="552" spans="1:5" ht="34.5" customHeight="1" thickBot="1">
      <c r="A552" s="146">
        <f>A551-A550</f>
        <v>2</v>
      </c>
      <c r="B552" s="147"/>
      <c r="C552" s="148"/>
      <c r="D552" s="35" t="s">
        <v>5</v>
      </c>
      <c r="E552" s="41"/>
    </row>
    <row r="553" spans="1:5" ht="34.5" customHeight="1" thickBot="1">
      <c r="A553" s="149">
        <v>23</v>
      </c>
      <c r="B553" s="150"/>
      <c r="C553" s="151"/>
      <c r="D553" s="35" t="s">
        <v>6</v>
      </c>
      <c r="E553" s="41"/>
    </row>
    <row r="554" spans="1:5" ht="34.5" customHeight="1" thickBot="1">
      <c r="A554" s="144">
        <f>A553*A552</f>
        <v>46</v>
      </c>
      <c r="B554" s="152"/>
      <c r="C554" s="145"/>
      <c r="D554" s="35" t="s">
        <v>7</v>
      </c>
      <c r="E554" s="41"/>
    </row>
    <row r="555" spans="1:5" ht="34.5" customHeight="1" thickBot="1">
      <c r="A555" s="144">
        <v>0</v>
      </c>
      <c r="B555" s="152"/>
      <c r="C555" s="145"/>
      <c r="D555" s="35" t="s">
        <v>437</v>
      </c>
      <c r="E555" s="41"/>
    </row>
    <row r="556" spans="1:5" ht="34.5" customHeight="1" thickBot="1">
      <c r="A556" s="34">
        <v>0</v>
      </c>
      <c r="B556" s="32" t="s">
        <v>8</v>
      </c>
      <c r="C556" s="33">
        <v>50</v>
      </c>
      <c r="D556" s="32" t="s">
        <v>9</v>
      </c>
      <c r="E556" s="41"/>
    </row>
    <row r="557" spans="1:5" ht="34.5" customHeight="1" thickBot="1">
      <c r="A557" s="153" t="s">
        <v>436</v>
      </c>
      <c r="B557" s="154"/>
      <c r="C557" s="154"/>
      <c r="D557" s="155"/>
      <c r="E557" s="41"/>
    </row>
    <row r="558" spans="1:5" ht="34.5" customHeight="1" thickBot="1">
      <c r="A558" s="156" t="s">
        <v>435</v>
      </c>
      <c r="B558" s="157"/>
      <c r="C558" s="157"/>
      <c r="D558" s="158"/>
      <c r="E558" s="41"/>
    </row>
    <row r="559" spans="1:5" ht="34.5" customHeight="1">
      <c r="A559" s="159" t="s">
        <v>442</v>
      </c>
      <c r="B559" s="160" t="s">
        <v>441</v>
      </c>
      <c r="C559" s="160"/>
      <c r="D559" s="161"/>
      <c r="E559" s="41"/>
    </row>
    <row r="560" spans="1:5" ht="34.5" customHeight="1" thickBot="1">
      <c r="A560" s="162"/>
      <c r="B560" s="163"/>
      <c r="C560" s="163"/>
      <c r="D560" s="164"/>
      <c r="E560" s="44"/>
    </row>
    <row r="561" spans="1:5" ht="34.5" customHeight="1" thickBot="1">
      <c r="A561" s="142" t="s">
        <v>11</v>
      </c>
      <c r="B561" s="143"/>
      <c r="C561" s="165" t="s">
        <v>591</v>
      </c>
      <c r="D561" s="143"/>
      <c r="E561" s="44"/>
    </row>
    <row r="562" spans="1:5" ht="34.5" customHeight="1" thickBot="1">
      <c r="A562" s="137" t="s">
        <v>503</v>
      </c>
      <c r="B562" s="138"/>
      <c r="C562" s="138"/>
      <c r="D562" s="139"/>
      <c r="E562" s="43"/>
    </row>
    <row r="563" spans="1:5" ht="34.5" customHeight="1" thickBot="1">
      <c r="A563" s="34" t="s">
        <v>447</v>
      </c>
      <c r="B563" s="32" t="s">
        <v>438</v>
      </c>
      <c r="C563" s="34">
        <v>19</v>
      </c>
      <c r="D563" s="32" t="s">
        <v>0</v>
      </c>
      <c r="E563" s="43"/>
    </row>
    <row r="564" spans="1:5" ht="34.5" customHeight="1" thickBot="1">
      <c r="A564" s="37" t="s">
        <v>673</v>
      </c>
      <c r="B564" s="36" t="s">
        <v>1</v>
      </c>
      <c r="C564" s="34" t="s">
        <v>674</v>
      </c>
      <c r="D564" s="32" t="s">
        <v>2</v>
      </c>
      <c r="E564" s="42"/>
    </row>
    <row r="565" spans="1:5" ht="34.5" customHeight="1" thickBot="1">
      <c r="A565" s="140">
        <v>370</v>
      </c>
      <c r="B565" s="141"/>
      <c r="C565" s="142" t="s">
        <v>3</v>
      </c>
      <c r="D565" s="143"/>
      <c r="E565" s="41"/>
    </row>
    <row r="566" spans="1:5" ht="34.5" customHeight="1" thickBot="1">
      <c r="A566" s="140">
        <v>370</v>
      </c>
      <c r="B566" s="141"/>
      <c r="C566" s="144" t="s">
        <v>4</v>
      </c>
      <c r="D566" s="145"/>
      <c r="E566" s="41"/>
    </row>
    <row r="567" spans="1:5" ht="34.5" customHeight="1" thickBot="1">
      <c r="A567" s="146">
        <f>A566-A565</f>
        <v>0</v>
      </c>
      <c r="B567" s="147"/>
      <c r="C567" s="148"/>
      <c r="D567" s="35" t="s">
        <v>5</v>
      </c>
      <c r="E567" s="41"/>
    </row>
    <row r="568" spans="1:5" ht="34.5" customHeight="1" thickBot="1">
      <c r="A568" s="149">
        <v>23</v>
      </c>
      <c r="B568" s="150"/>
      <c r="C568" s="151"/>
      <c r="D568" s="35" t="s">
        <v>6</v>
      </c>
      <c r="E568" s="41"/>
    </row>
    <row r="569" spans="1:5" ht="34.5" customHeight="1" thickBot="1">
      <c r="A569" s="144">
        <f>A568*A567</f>
        <v>0</v>
      </c>
      <c r="B569" s="152"/>
      <c r="C569" s="145"/>
      <c r="D569" s="35" t="s">
        <v>7</v>
      </c>
      <c r="E569" s="41"/>
    </row>
    <row r="570" spans="1:5" ht="34.5" customHeight="1" thickBot="1">
      <c r="A570" s="144">
        <v>0</v>
      </c>
      <c r="B570" s="152"/>
      <c r="C570" s="145"/>
      <c r="D570" s="35" t="s">
        <v>437</v>
      </c>
      <c r="E570" s="41"/>
    </row>
    <row r="571" spans="1:5" ht="34.5" customHeight="1" thickBot="1">
      <c r="A571" s="34">
        <v>0</v>
      </c>
      <c r="B571" s="32" t="s">
        <v>8</v>
      </c>
      <c r="C571" s="33">
        <v>1150</v>
      </c>
      <c r="D571" s="32" t="s">
        <v>9</v>
      </c>
      <c r="E571" s="41"/>
    </row>
    <row r="572" spans="1:5" ht="34.5" customHeight="1" thickBot="1">
      <c r="A572" s="153" t="s">
        <v>436</v>
      </c>
      <c r="B572" s="154"/>
      <c r="C572" s="154"/>
      <c r="D572" s="155"/>
      <c r="E572" s="41"/>
    </row>
    <row r="573" spans="1:5" ht="34.5" customHeight="1" thickBot="1">
      <c r="A573" s="156" t="s">
        <v>435</v>
      </c>
      <c r="B573" s="157"/>
      <c r="C573" s="157"/>
      <c r="D573" s="158"/>
      <c r="E573" s="41"/>
    </row>
    <row r="574" spans="1:5" ht="34.5" customHeight="1" thickBot="1">
      <c r="A574" s="40"/>
      <c r="B574" s="39"/>
      <c r="C574" s="39"/>
      <c r="D574" s="38"/>
      <c r="E574" s="41"/>
    </row>
    <row r="575" spans="1:5" ht="34.5" customHeight="1">
      <c r="A575" s="159" t="s">
        <v>442</v>
      </c>
      <c r="B575" s="160" t="s">
        <v>441</v>
      </c>
      <c r="C575" s="160"/>
      <c r="D575" s="161"/>
      <c r="E575" s="41"/>
    </row>
    <row r="576" spans="1:5" ht="34.5" customHeight="1" thickBot="1">
      <c r="A576" s="162"/>
      <c r="B576" s="163"/>
      <c r="C576" s="163"/>
      <c r="D576" s="164"/>
      <c r="E576" s="44"/>
    </row>
    <row r="577" spans="1:5" ht="34.5" customHeight="1" thickBot="1">
      <c r="A577" s="142" t="s">
        <v>11</v>
      </c>
      <c r="B577" s="143"/>
      <c r="C577" s="165" t="s">
        <v>591</v>
      </c>
      <c r="D577" s="143"/>
      <c r="E577" s="44"/>
    </row>
    <row r="578" spans="1:5" ht="34.5" customHeight="1" thickBot="1">
      <c r="A578" s="137" t="s">
        <v>503</v>
      </c>
      <c r="B578" s="138"/>
      <c r="C578" s="138"/>
      <c r="D578" s="139"/>
      <c r="E578" s="43"/>
    </row>
    <row r="579" spans="1:5" ht="34.5" customHeight="1" thickBot="1">
      <c r="A579" s="34" t="s">
        <v>447</v>
      </c>
      <c r="B579" s="32" t="s">
        <v>438</v>
      </c>
      <c r="C579" s="34">
        <v>19</v>
      </c>
      <c r="D579" s="32" t="s">
        <v>0</v>
      </c>
      <c r="E579" s="43"/>
    </row>
    <row r="580" spans="1:5" ht="34.5" customHeight="1" thickBot="1">
      <c r="A580" s="37" t="s">
        <v>673</v>
      </c>
      <c r="B580" s="36" t="s">
        <v>1</v>
      </c>
      <c r="C580" s="34" t="s">
        <v>674</v>
      </c>
      <c r="D580" s="32" t="s">
        <v>2</v>
      </c>
      <c r="E580" s="42"/>
    </row>
    <row r="581" spans="1:5" ht="34.5" customHeight="1" thickBot="1">
      <c r="A581" s="140">
        <v>320</v>
      </c>
      <c r="B581" s="141"/>
      <c r="C581" s="142" t="s">
        <v>3</v>
      </c>
      <c r="D581" s="143"/>
      <c r="E581" s="41"/>
    </row>
    <row r="582" spans="1:5" ht="34.5" customHeight="1" thickBot="1">
      <c r="A582" s="140">
        <v>370</v>
      </c>
      <c r="B582" s="141"/>
      <c r="C582" s="144" t="s">
        <v>4</v>
      </c>
      <c r="D582" s="145"/>
      <c r="E582" s="41"/>
    </row>
    <row r="583" spans="1:5" ht="34.5" customHeight="1" thickBot="1">
      <c r="A583" s="146">
        <f>A582-A581</f>
        <v>50</v>
      </c>
      <c r="B583" s="147"/>
      <c r="C583" s="148"/>
      <c r="D583" s="35" t="s">
        <v>5</v>
      </c>
      <c r="E583" s="41"/>
    </row>
    <row r="584" spans="1:5" ht="34.5" customHeight="1" thickBot="1">
      <c r="A584" s="149">
        <v>23</v>
      </c>
      <c r="B584" s="150"/>
      <c r="C584" s="151"/>
      <c r="D584" s="35" t="s">
        <v>6</v>
      </c>
      <c r="E584" s="41"/>
    </row>
    <row r="585" spans="1:5" ht="34.5" customHeight="1" thickBot="1">
      <c r="A585" s="144">
        <f>A584*A583</f>
        <v>1150</v>
      </c>
      <c r="B585" s="152"/>
      <c r="C585" s="145"/>
      <c r="D585" s="35" t="s">
        <v>7</v>
      </c>
      <c r="E585" s="41"/>
    </row>
    <row r="586" spans="1:5" ht="34.5" customHeight="1" thickBot="1">
      <c r="A586" s="144">
        <v>0</v>
      </c>
      <c r="B586" s="152"/>
      <c r="C586" s="145"/>
      <c r="D586" s="35" t="s">
        <v>437</v>
      </c>
      <c r="E586" s="41"/>
    </row>
    <row r="587" spans="1:5" ht="34.5" customHeight="1" thickBot="1">
      <c r="A587" s="34">
        <v>0</v>
      </c>
      <c r="B587" s="32" t="s">
        <v>8</v>
      </c>
      <c r="C587" s="33">
        <v>1150</v>
      </c>
      <c r="D587" s="32" t="s">
        <v>9</v>
      </c>
      <c r="E587" s="41"/>
    </row>
    <row r="588" spans="1:5" ht="34.5" customHeight="1" thickBot="1">
      <c r="A588" s="153" t="s">
        <v>436</v>
      </c>
      <c r="B588" s="154"/>
      <c r="C588" s="154"/>
      <c r="D588" s="155"/>
      <c r="E588" s="41"/>
    </row>
    <row r="589" spans="1:5" ht="34.5" customHeight="1" thickBot="1">
      <c r="A589" s="156" t="s">
        <v>435</v>
      </c>
      <c r="B589" s="157"/>
      <c r="C589" s="157"/>
      <c r="D589" s="158"/>
      <c r="E589" s="41"/>
    </row>
    <row r="590" spans="1:5" ht="34.5" customHeight="1">
      <c r="A590" s="159" t="s">
        <v>442</v>
      </c>
      <c r="B590" s="160" t="s">
        <v>441</v>
      </c>
      <c r="C590" s="160"/>
      <c r="D590" s="161"/>
      <c r="E590" s="41"/>
    </row>
    <row r="591" spans="1:5" ht="34.5" customHeight="1" thickBot="1">
      <c r="A591" s="162"/>
      <c r="B591" s="163"/>
      <c r="C591" s="163"/>
      <c r="D591" s="164"/>
      <c r="E591" s="44"/>
    </row>
    <row r="592" spans="1:5" ht="34.5" customHeight="1" thickBot="1">
      <c r="A592" s="142" t="s">
        <v>11</v>
      </c>
      <c r="B592" s="143"/>
      <c r="C592" s="165" t="s">
        <v>591</v>
      </c>
      <c r="D592" s="143"/>
      <c r="E592" s="44"/>
    </row>
    <row r="593" spans="1:5" ht="34.5" customHeight="1" thickBot="1">
      <c r="A593" s="137" t="s">
        <v>258</v>
      </c>
      <c r="B593" s="138"/>
      <c r="C593" s="138"/>
      <c r="D593" s="139"/>
      <c r="E593" s="43"/>
    </row>
    <row r="594" spans="1:5" ht="34.5" customHeight="1" thickBot="1">
      <c r="A594" s="34" t="s">
        <v>447</v>
      </c>
      <c r="B594" s="32" t="s">
        <v>438</v>
      </c>
      <c r="C594" s="34">
        <v>20</v>
      </c>
      <c r="D594" s="32" t="s">
        <v>0</v>
      </c>
      <c r="E594" s="43"/>
    </row>
    <row r="595" spans="1:5" ht="34.5" customHeight="1" thickBot="1">
      <c r="A595" s="37" t="s">
        <v>673</v>
      </c>
      <c r="B595" s="36" t="s">
        <v>1</v>
      </c>
      <c r="C595" s="34" t="s">
        <v>674</v>
      </c>
      <c r="D595" s="32" t="s">
        <v>2</v>
      </c>
      <c r="E595" s="42"/>
    </row>
    <row r="596" spans="1:5" ht="34.5" customHeight="1" thickBot="1">
      <c r="A596" s="140">
        <v>289</v>
      </c>
      <c r="B596" s="141"/>
      <c r="C596" s="142" t="s">
        <v>3</v>
      </c>
      <c r="D596" s="143"/>
      <c r="E596" s="41"/>
    </row>
    <row r="597" spans="1:5" ht="34.5" customHeight="1" thickBot="1">
      <c r="A597" s="140">
        <v>289</v>
      </c>
      <c r="B597" s="141"/>
      <c r="C597" s="144" t="s">
        <v>4</v>
      </c>
      <c r="D597" s="145"/>
      <c r="E597" s="41"/>
    </row>
    <row r="598" spans="1:5" ht="34.5" customHeight="1" thickBot="1">
      <c r="A598" s="146">
        <f>A597-A596</f>
        <v>0</v>
      </c>
      <c r="B598" s="147"/>
      <c r="C598" s="148"/>
      <c r="D598" s="35" t="s">
        <v>5</v>
      </c>
      <c r="E598" s="41"/>
    </row>
    <row r="599" spans="1:5" ht="34.5" customHeight="1" thickBot="1">
      <c r="A599" s="149">
        <v>23</v>
      </c>
      <c r="B599" s="150"/>
      <c r="C599" s="151"/>
      <c r="D599" s="35" t="s">
        <v>6</v>
      </c>
      <c r="E599" s="41"/>
    </row>
    <row r="600" spans="1:5" ht="34.5" customHeight="1" thickBot="1">
      <c r="A600" s="144">
        <f>A599*A598</f>
        <v>0</v>
      </c>
      <c r="B600" s="152"/>
      <c r="C600" s="145"/>
      <c r="D600" s="35" t="s">
        <v>7</v>
      </c>
      <c r="E600" s="41"/>
    </row>
    <row r="601" spans="1:5" ht="34.5" customHeight="1" thickBot="1">
      <c r="A601" s="144">
        <v>0</v>
      </c>
      <c r="B601" s="152"/>
      <c r="C601" s="145"/>
      <c r="D601" s="35" t="s">
        <v>437</v>
      </c>
      <c r="E601" s="41"/>
    </row>
    <row r="602" spans="1:5" ht="34.5" customHeight="1" thickBot="1">
      <c r="A602" s="34">
        <v>0</v>
      </c>
      <c r="B602" s="32" t="s">
        <v>8</v>
      </c>
      <c r="C602" s="33">
        <v>990</v>
      </c>
      <c r="D602" s="32" t="s">
        <v>9</v>
      </c>
      <c r="E602" s="41"/>
    </row>
    <row r="603" spans="1:5" ht="34.5" customHeight="1" thickBot="1">
      <c r="A603" s="153" t="s">
        <v>436</v>
      </c>
      <c r="B603" s="154"/>
      <c r="C603" s="154"/>
      <c r="D603" s="155"/>
      <c r="E603" s="41"/>
    </row>
    <row r="604" spans="1:5" ht="34.5" customHeight="1" thickBot="1">
      <c r="A604" s="156" t="s">
        <v>435</v>
      </c>
      <c r="B604" s="157"/>
      <c r="C604" s="157"/>
      <c r="D604" s="158"/>
      <c r="E604" s="41"/>
    </row>
    <row r="605" spans="1:5" ht="34.5" customHeight="1" thickBot="1">
      <c r="A605" s="40"/>
      <c r="B605" s="39"/>
      <c r="C605" s="39"/>
      <c r="D605" s="38"/>
      <c r="E605" s="41"/>
    </row>
    <row r="606" spans="1:5" ht="34.5" customHeight="1">
      <c r="A606" s="159" t="s">
        <v>442</v>
      </c>
      <c r="B606" s="160" t="s">
        <v>441</v>
      </c>
      <c r="C606" s="160"/>
      <c r="D606" s="161"/>
      <c r="E606" s="41"/>
    </row>
    <row r="607" spans="1:5" ht="34.5" customHeight="1" thickBot="1">
      <c r="A607" s="162"/>
      <c r="B607" s="163"/>
      <c r="C607" s="163"/>
      <c r="D607" s="164"/>
      <c r="E607" s="44"/>
    </row>
    <row r="608" spans="1:5" ht="34.5" customHeight="1" thickBot="1">
      <c r="A608" s="142" t="s">
        <v>11</v>
      </c>
      <c r="B608" s="143"/>
      <c r="C608" s="165" t="s">
        <v>591</v>
      </c>
      <c r="D608" s="143"/>
      <c r="E608" s="44"/>
    </row>
    <row r="609" spans="1:5" ht="34.5" customHeight="1" thickBot="1">
      <c r="A609" s="137" t="s">
        <v>258</v>
      </c>
      <c r="B609" s="138"/>
      <c r="C609" s="138"/>
      <c r="D609" s="139"/>
      <c r="E609" s="43"/>
    </row>
    <row r="610" spans="1:5" ht="34.5" customHeight="1" thickBot="1">
      <c r="A610" s="34" t="s">
        <v>447</v>
      </c>
      <c r="B610" s="32" t="s">
        <v>438</v>
      </c>
      <c r="C610" s="34">
        <v>20</v>
      </c>
      <c r="D610" s="32" t="s">
        <v>0</v>
      </c>
      <c r="E610" s="43"/>
    </row>
    <row r="611" spans="1:5" ht="34.5" customHeight="1" thickBot="1">
      <c r="A611" s="37" t="s">
        <v>673</v>
      </c>
      <c r="B611" s="36" t="s">
        <v>1</v>
      </c>
      <c r="C611" s="34" t="s">
        <v>674</v>
      </c>
      <c r="D611" s="32" t="s">
        <v>2</v>
      </c>
      <c r="E611" s="42"/>
    </row>
    <row r="612" spans="1:5" ht="34.5" customHeight="1" thickBot="1">
      <c r="A612" s="140">
        <v>246</v>
      </c>
      <c r="B612" s="141"/>
      <c r="C612" s="142" t="s">
        <v>3</v>
      </c>
      <c r="D612" s="143"/>
      <c r="E612" s="41"/>
    </row>
    <row r="613" spans="1:5" ht="34.5" customHeight="1" thickBot="1">
      <c r="A613" s="140">
        <v>289</v>
      </c>
      <c r="B613" s="141"/>
      <c r="C613" s="144" t="s">
        <v>4</v>
      </c>
      <c r="D613" s="145"/>
      <c r="E613" s="41"/>
    </row>
    <row r="614" spans="1:5" ht="34.5" customHeight="1" thickBot="1">
      <c r="A614" s="146">
        <f>A613-A612</f>
        <v>43</v>
      </c>
      <c r="B614" s="147"/>
      <c r="C614" s="148"/>
      <c r="D614" s="35" t="s">
        <v>5</v>
      </c>
      <c r="E614" s="41"/>
    </row>
    <row r="615" spans="1:5" ht="34.5" customHeight="1" thickBot="1">
      <c r="A615" s="149">
        <v>23</v>
      </c>
      <c r="B615" s="150"/>
      <c r="C615" s="151"/>
      <c r="D615" s="35" t="s">
        <v>6</v>
      </c>
      <c r="E615" s="41"/>
    </row>
    <row r="616" spans="1:5" ht="34.5" customHeight="1" thickBot="1">
      <c r="A616" s="144">
        <f>A615*A614</f>
        <v>989</v>
      </c>
      <c r="B616" s="152"/>
      <c r="C616" s="145"/>
      <c r="D616" s="35" t="s">
        <v>7</v>
      </c>
      <c r="E616" s="41"/>
    </row>
    <row r="617" spans="1:5" ht="34.5" customHeight="1" thickBot="1">
      <c r="A617" s="144">
        <v>0</v>
      </c>
      <c r="B617" s="152"/>
      <c r="C617" s="145"/>
      <c r="D617" s="35" t="s">
        <v>437</v>
      </c>
      <c r="E617" s="41"/>
    </row>
    <row r="618" spans="1:5" ht="34.5" customHeight="1" thickBot="1">
      <c r="A618" s="34">
        <v>0</v>
      </c>
      <c r="B618" s="32" t="s">
        <v>8</v>
      </c>
      <c r="C618" s="33">
        <v>990</v>
      </c>
      <c r="D618" s="32" t="s">
        <v>9</v>
      </c>
      <c r="E618" s="41"/>
    </row>
    <row r="619" spans="1:5" ht="34.5" customHeight="1" thickBot="1">
      <c r="A619" s="153" t="s">
        <v>436</v>
      </c>
      <c r="B619" s="154"/>
      <c r="C619" s="154"/>
      <c r="D619" s="155"/>
      <c r="E619" s="41"/>
    </row>
    <row r="620" spans="1:5" ht="34.5" customHeight="1" thickBot="1">
      <c r="A620" s="156" t="s">
        <v>435</v>
      </c>
      <c r="B620" s="157"/>
      <c r="C620" s="157"/>
      <c r="D620" s="158"/>
      <c r="E620" s="41"/>
    </row>
    <row r="621" spans="1:5" ht="34.5" customHeight="1">
      <c r="A621" s="159" t="s">
        <v>442</v>
      </c>
      <c r="B621" s="160" t="s">
        <v>441</v>
      </c>
      <c r="C621" s="160"/>
      <c r="D621" s="161"/>
      <c r="E621" s="41"/>
    </row>
    <row r="622" spans="1:5" ht="34.5" customHeight="1" thickBot="1">
      <c r="A622" s="162"/>
      <c r="B622" s="163"/>
      <c r="C622" s="163"/>
      <c r="D622" s="164"/>
      <c r="E622" s="44"/>
    </row>
    <row r="623" spans="1:5" ht="34.5" customHeight="1" thickBot="1">
      <c r="A623" s="142" t="s">
        <v>11</v>
      </c>
      <c r="B623" s="143"/>
      <c r="C623" s="165" t="s">
        <v>591</v>
      </c>
      <c r="D623" s="143"/>
      <c r="E623" s="44"/>
    </row>
    <row r="624" spans="1:5" ht="34.5" customHeight="1" thickBot="1">
      <c r="A624" s="137" t="s">
        <v>502</v>
      </c>
      <c r="B624" s="138"/>
      <c r="C624" s="138"/>
      <c r="D624" s="139"/>
      <c r="E624" s="43"/>
    </row>
    <row r="625" spans="1:5" ht="34.5" customHeight="1" thickBot="1">
      <c r="A625" s="34" t="s">
        <v>447</v>
      </c>
      <c r="B625" s="32" t="s">
        <v>438</v>
      </c>
      <c r="C625" s="34">
        <v>21</v>
      </c>
      <c r="D625" s="32" t="s">
        <v>0</v>
      </c>
      <c r="E625" s="43"/>
    </row>
    <row r="626" spans="1:5" ht="34.5" customHeight="1" thickBot="1">
      <c r="A626" s="37" t="s">
        <v>673</v>
      </c>
      <c r="B626" s="36" t="s">
        <v>1</v>
      </c>
      <c r="C626" s="34" t="s">
        <v>674</v>
      </c>
      <c r="D626" s="32" t="s">
        <v>2</v>
      </c>
      <c r="E626" s="42"/>
    </row>
    <row r="627" spans="1:5" ht="34.5" customHeight="1" thickBot="1">
      <c r="A627" s="140">
        <v>263</v>
      </c>
      <c r="B627" s="141"/>
      <c r="C627" s="142" t="s">
        <v>3</v>
      </c>
      <c r="D627" s="143"/>
      <c r="E627" s="41"/>
    </row>
    <row r="628" spans="1:5" ht="34.5" customHeight="1" thickBot="1">
      <c r="A628" s="140">
        <v>263</v>
      </c>
      <c r="B628" s="141"/>
      <c r="C628" s="144" t="s">
        <v>4</v>
      </c>
      <c r="D628" s="145"/>
      <c r="E628" s="41"/>
    </row>
    <row r="629" spans="1:5" ht="34.5" customHeight="1" thickBot="1">
      <c r="A629" s="146">
        <f>A628-A627</f>
        <v>0</v>
      </c>
      <c r="B629" s="147"/>
      <c r="C629" s="148"/>
      <c r="D629" s="35" t="s">
        <v>5</v>
      </c>
      <c r="E629" s="41"/>
    </row>
    <row r="630" spans="1:5" ht="34.5" customHeight="1" thickBot="1">
      <c r="A630" s="149">
        <v>23</v>
      </c>
      <c r="B630" s="150"/>
      <c r="C630" s="151"/>
      <c r="D630" s="35" t="s">
        <v>6</v>
      </c>
      <c r="E630" s="41"/>
    </row>
    <row r="631" spans="1:5" ht="34.5" customHeight="1" thickBot="1">
      <c r="A631" s="144">
        <f>A630*A629</f>
        <v>0</v>
      </c>
      <c r="B631" s="152"/>
      <c r="C631" s="145"/>
      <c r="D631" s="35" t="s">
        <v>7</v>
      </c>
      <c r="E631" s="41"/>
    </row>
    <row r="632" spans="1:5" ht="34.5" customHeight="1" thickBot="1">
      <c r="A632" s="144">
        <v>0</v>
      </c>
      <c r="B632" s="152"/>
      <c r="C632" s="145"/>
      <c r="D632" s="35" t="s">
        <v>437</v>
      </c>
      <c r="E632" s="41"/>
    </row>
    <row r="633" spans="1:5" ht="34.5" customHeight="1" thickBot="1">
      <c r="A633" s="34">
        <v>0</v>
      </c>
      <c r="B633" s="32" t="s">
        <v>8</v>
      </c>
      <c r="C633" s="33">
        <v>870</v>
      </c>
      <c r="D633" s="32" t="s">
        <v>9</v>
      </c>
      <c r="E633" s="41"/>
    </row>
    <row r="634" spans="1:5" ht="34.5" customHeight="1" thickBot="1">
      <c r="A634" s="153" t="s">
        <v>436</v>
      </c>
      <c r="B634" s="154"/>
      <c r="C634" s="154"/>
      <c r="D634" s="155"/>
      <c r="E634" s="41"/>
    </row>
    <row r="635" spans="1:5" ht="34.5" customHeight="1" thickBot="1">
      <c r="A635" s="156" t="s">
        <v>435</v>
      </c>
      <c r="B635" s="157"/>
      <c r="C635" s="157"/>
      <c r="D635" s="158"/>
      <c r="E635" s="41"/>
    </row>
    <row r="636" spans="1:5" ht="34.5" customHeight="1" thickBot="1">
      <c r="A636" s="40"/>
      <c r="B636" s="39"/>
      <c r="C636" s="39"/>
      <c r="D636" s="38"/>
      <c r="E636" s="41"/>
    </row>
    <row r="637" spans="1:5" ht="34.5" customHeight="1">
      <c r="A637" s="159" t="s">
        <v>442</v>
      </c>
      <c r="B637" s="160" t="s">
        <v>441</v>
      </c>
      <c r="C637" s="160"/>
      <c r="D637" s="161"/>
      <c r="E637" s="41"/>
    </row>
    <row r="638" spans="1:5" ht="34.5" customHeight="1" thickBot="1">
      <c r="A638" s="162"/>
      <c r="B638" s="163"/>
      <c r="C638" s="163"/>
      <c r="D638" s="164"/>
      <c r="E638" s="44"/>
    </row>
    <row r="639" spans="1:5" ht="34.5" customHeight="1" thickBot="1">
      <c r="A639" s="142" t="s">
        <v>11</v>
      </c>
      <c r="B639" s="143"/>
      <c r="C639" s="165" t="s">
        <v>591</v>
      </c>
      <c r="D639" s="143"/>
      <c r="E639" s="44"/>
    </row>
    <row r="640" spans="1:5" ht="34.5" customHeight="1" thickBot="1">
      <c r="A640" s="137" t="s">
        <v>502</v>
      </c>
      <c r="B640" s="138"/>
      <c r="C640" s="138"/>
      <c r="D640" s="139"/>
      <c r="E640" s="43"/>
    </row>
    <row r="641" spans="1:5" ht="34.5" customHeight="1" thickBot="1">
      <c r="A641" s="34" t="s">
        <v>447</v>
      </c>
      <c r="B641" s="32" t="s">
        <v>438</v>
      </c>
      <c r="C641" s="34">
        <v>21</v>
      </c>
      <c r="D641" s="32" t="s">
        <v>0</v>
      </c>
      <c r="E641" s="43"/>
    </row>
    <row r="642" spans="1:5" ht="34.5" customHeight="1" thickBot="1">
      <c r="A642" s="37" t="s">
        <v>673</v>
      </c>
      <c r="B642" s="36" t="s">
        <v>1</v>
      </c>
      <c r="C642" s="34" t="s">
        <v>674</v>
      </c>
      <c r="D642" s="32" t="s">
        <v>2</v>
      </c>
      <c r="E642" s="42"/>
    </row>
    <row r="643" spans="1:5" ht="34.5" customHeight="1" thickBot="1">
      <c r="A643" s="140">
        <v>225</v>
      </c>
      <c r="B643" s="141"/>
      <c r="C643" s="142" t="s">
        <v>3</v>
      </c>
      <c r="D643" s="143"/>
      <c r="E643" s="41"/>
    </row>
    <row r="644" spans="1:5" ht="34.5" customHeight="1" thickBot="1">
      <c r="A644" s="140">
        <v>263</v>
      </c>
      <c r="B644" s="141"/>
      <c r="C644" s="144" t="s">
        <v>4</v>
      </c>
      <c r="D644" s="145"/>
      <c r="E644" s="41"/>
    </row>
    <row r="645" spans="1:5" ht="34.5" customHeight="1" thickBot="1">
      <c r="A645" s="146">
        <f>A644-A643</f>
        <v>38</v>
      </c>
      <c r="B645" s="147"/>
      <c r="C645" s="148"/>
      <c r="D645" s="35" t="s">
        <v>5</v>
      </c>
      <c r="E645" s="41"/>
    </row>
    <row r="646" spans="1:5" ht="34.5" customHeight="1" thickBot="1">
      <c r="A646" s="149">
        <v>23</v>
      </c>
      <c r="B646" s="150"/>
      <c r="C646" s="151"/>
      <c r="D646" s="35" t="s">
        <v>6</v>
      </c>
      <c r="E646" s="41"/>
    </row>
    <row r="647" spans="1:5" ht="34.5" customHeight="1" thickBot="1">
      <c r="A647" s="144">
        <f>A646*A645</f>
        <v>874</v>
      </c>
      <c r="B647" s="152"/>
      <c r="C647" s="145"/>
      <c r="D647" s="35" t="s">
        <v>7</v>
      </c>
      <c r="E647" s="41"/>
    </row>
    <row r="648" spans="1:5" ht="34.5" customHeight="1" thickBot="1">
      <c r="A648" s="144">
        <v>0</v>
      </c>
      <c r="B648" s="152"/>
      <c r="C648" s="145"/>
      <c r="D648" s="35" t="s">
        <v>437</v>
      </c>
      <c r="E648" s="41"/>
    </row>
    <row r="649" spans="1:5" ht="34.5" customHeight="1" thickBot="1">
      <c r="A649" s="34">
        <v>0</v>
      </c>
      <c r="B649" s="32" t="s">
        <v>8</v>
      </c>
      <c r="C649" s="33">
        <v>870</v>
      </c>
      <c r="D649" s="32" t="s">
        <v>9</v>
      </c>
      <c r="E649" s="41"/>
    </row>
    <row r="650" spans="1:5" ht="34.5" customHeight="1" thickBot="1">
      <c r="A650" s="153" t="s">
        <v>436</v>
      </c>
      <c r="B650" s="154"/>
      <c r="C650" s="154"/>
      <c r="D650" s="155"/>
      <c r="E650" s="41"/>
    </row>
    <row r="651" spans="1:5" ht="34.5" customHeight="1" thickBot="1">
      <c r="A651" s="156" t="s">
        <v>435</v>
      </c>
      <c r="B651" s="157"/>
      <c r="C651" s="157"/>
      <c r="D651" s="158"/>
      <c r="E651" s="41"/>
    </row>
    <row r="652" spans="1:5" ht="34.5" customHeight="1">
      <c r="A652" s="159" t="s">
        <v>442</v>
      </c>
      <c r="B652" s="160" t="s">
        <v>441</v>
      </c>
      <c r="C652" s="160"/>
      <c r="D652" s="161"/>
      <c r="E652" s="41"/>
    </row>
    <row r="653" spans="1:5" ht="34.5" customHeight="1" thickBot="1">
      <c r="A653" s="162"/>
      <c r="B653" s="163"/>
      <c r="C653" s="163"/>
      <c r="D653" s="164"/>
      <c r="E653" s="44"/>
    </row>
    <row r="654" spans="1:5" ht="34.5" customHeight="1" thickBot="1">
      <c r="A654" s="142" t="s">
        <v>11</v>
      </c>
      <c r="B654" s="143"/>
      <c r="C654" s="165" t="s">
        <v>591</v>
      </c>
      <c r="D654" s="143"/>
      <c r="E654" s="44"/>
    </row>
    <row r="655" spans="1:5" ht="34.5" customHeight="1" thickBot="1">
      <c r="A655" s="137" t="s">
        <v>205</v>
      </c>
      <c r="B655" s="138"/>
      <c r="C655" s="138"/>
      <c r="D655" s="139"/>
      <c r="E655" s="43"/>
    </row>
    <row r="656" spans="1:5" ht="34.5" customHeight="1" thickBot="1">
      <c r="A656" s="34" t="s">
        <v>447</v>
      </c>
      <c r="B656" s="32" t="s">
        <v>438</v>
      </c>
      <c r="C656" s="34">
        <v>22</v>
      </c>
      <c r="D656" s="32" t="s">
        <v>0</v>
      </c>
      <c r="E656" s="43"/>
    </row>
    <row r="657" spans="1:5" ht="34.5" customHeight="1" thickBot="1">
      <c r="A657" s="37" t="s">
        <v>673</v>
      </c>
      <c r="B657" s="36" t="s">
        <v>1</v>
      </c>
      <c r="C657" s="34" t="s">
        <v>674</v>
      </c>
      <c r="D657" s="32" t="s">
        <v>2</v>
      </c>
      <c r="E657" s="42"/>
    </row>
    <row r="658" spans="1:5" ht="34.5" customHeight="1" thickBot="1">
      <c r="A658" s="140">
        <v>122</v>
      </c>
      <c r="B658" s="141"/>
      <c r="C658" s="142" t="s">
        <v>3</v>
      </c>
      <c r="D658" s="143"/>
      <c r="E658" s="41"/>
    </row>
    <row r="659" spans="1:5" ht="34.5" customHeight="1" thickBot="1">
      <c r="A659" s="140">
        <v>122</v>
      </c>
      <c r="B659" s="141"/>
      <c r="C659" s="144" t="s">
        <v>4</v>
      </c>
      <c r="D659" s="145"/>
      <c r="E659" s="41"/>
    </row>
    <row r="660" spans="1:5" ht="34.5" customHeight="1" thickBot="1">
      <c r="A660" s="146">
        <f>A659-A658</f>
        <v>0</v>
      </c>
      <c r="B660" s="147"/>
      <c r="C660" s="148"/>
      <c r="D660" s="35" t="s">
        <v>5</v>
      </c>
      <c r="E660" s="41"/>
    </row>
    <row r="661" spans="1:5" ht="34.5" customHeight="1" thickBot="1">
      <c r="A661" s="149">
        <v>23</v>
      </c>
      <c r="B661" s="150"/>
      <c r="C661" s="151"/>
      <c r="D661" s="35" t="s">
        <v>6</v>
      </c>
      <c r="E661" s="41"/>
    </row>
    <row r="662" spans="1:5" ht="34.5" customHeight="1" thickBot="1">
      <c r="A662" s="144">
        <f>A661*A660</f>
        <v>0</v>
      </c>
      <c r="B662" s="152"/>
      <c r="C662" s="145"/>
      <c r="D662" s="35" t="s">
        <v>7</v>
      </c>
      <c r="E662" s="41"/>
    </row>
    <row r="663" spans="1:5" ht="34.5" customHeight="1" thickBot="1">
      <c r="A663" s="144">
        <v>0</v>
      </c>
      <c r="B663" s="152"/>
      <c r="C663" s="145"/>
      <c r="D663" s="35" t="s">
        <v>437</v>
      </c>
      <c r="E663" s="41"/>
    </row>
    <row r="664" spans="1:5" ht="34.5" customHeight="1" thickBot="1">
      <c r="A664" s="34">
        <v>0</v>
      </c>
      <c r="B664" s="32" t="s">
        <v>8</v>
      </c>
      <c r="C664" s="33">
        <v>350</v>
      </c>
      <c r="D664" s="32" t="s">
        <v>9</v>
      </c>
      <c r="E664" s="41"/>
    </row>
    <row r="665" spans="1:5" ht="34.5" customHeight="1" thickBot="1">
      <c r="A665" s="153" t="s">
        <v>436</v>
      </c>
      <c r="B665" s="154"/>
      <c r="C665" s="154"/>
      <c r="D665" s="155"/>
      <c r="E665" s="41"/>
    </row>
    <row r="666" spans="1:5" ht="34.5" customHeight="1" thickBot="1">
      <c r="A666" s="156" t="s">
        <v>435</v>
      </c>
      <c r="B666" s="157"/>
      <c r="C666" s="157"/>
      <c r="D666" s="158"/>
      <c r="E666" s="41"/>
    </row>
    <row r="667" spans="1:5" ht="34.5" customHeight="1" thickBot="1">
      <c r="A667" s="40"/>
      <c r="B667" s="39"/>
      <c r="C667" s="39"/>
      <c r="D667" s="38"/>
      <c r="E667" s="41"/>
    </row>
    <row r="668" spans="1:5" ht="34.5" customHeight="1">
      <c r="A668" s="159" t="s">
        <v>442</v>
      </c>
      <c r="B668" s="160" t="s">
        <v>441</v>
      </c>
      <c r="C668" s="160"/>
      <c r="D668" s="161"/>
      <c r="E668" s="41"/>
    </row>
    <row r="669" spans="1:5" ht="34.5" customHeight="1" thickBot="1">
      <c r="A669" s="162"/>
      <c r="B669" s="163"/>
      <c r="C669" s="163"/>
      <c r="D669" s="164"/>
      <c r="E669" s="44"/>
    </row>
    <row r="670" spans="1:5" ht="34.5" customHeight="1" thickBot="1">
      <c r="A670" s="142" t="s">
        <v>11</v>
      </c>
      <c r="B670" s="143"/>
      <c r="C670" s="165" t="s">
        <v>591</v>
      </c>
      <c r="D670" s="143"/>
      <c r="E670" s="44"/>
    </row>
    <row r="671" spans="1:5" ht="34.5" customHeight="1" thickBot="1">
      <c r="A671" s="137" t="s">
        <v>205</v>
      </c>
      <c r="B671" s="138"/>
      <c r="C671" s="138"/>
      <c r="D671" s="139"/>
      <c r="E671" s="43"/>
    </row>
    <row r="672" spans="1:5" ht="34.5" customHeight="1" thickBot="1">
      <c r="A672" s="34" t="s">
        <v>447</v>
      </c>
      <c r="B672" s="32" t="s">
        <v>438</v>
      </c>
      <c r="C672" s="34">
        <v>22</v>
      </c>
      <c r="D672" s="32" t="s">
        <v>0</v>
      </c>
      <c r="E672" s="43"/>
    </row>
    <row r="673" spans="1:5" ht="34.5" customHeight="1" thickBot="1">
      <c r="A673" s="37" t="s">
        <v>673</v>
      </c>
      <c r="B673" s="36" t="s">
        <v>1</v>
      </c>
      <c r="C673" s="34" t="s">
        <v>674</v>
      </c>
      <c r="D673" s="32" t="s">
        <v>2</v>
      </c>
      <c r="E673" s="42"/>
    </row>
    <row r="674" spans="1:5" ht="34.5" customHeight="1" thickBot="1">
      <c r="A674" s="140">
        <v>107</v>
      </c>
      <c r="B674" s="141"/>
      <c r="C674" s="142" t="s">
        <v>3</v>
      </c>
      <c r="D674" s="143"/>
      <c r="E674" s="41"/>
    </row>
    <row r="675" spans="1:5" ht="34.5" customHeight="1" thickBot="1">
      <c r="A675" s="140">
        <v>122</v>
      </c>
      <c r="B675" s="141"/>
      <c r="C675" s="144" t="s">
        <v>4</v>
      </c>
      <c r="D675" s="145"/>
      <c r="E675" s="41"/>
    </row>
    <row r="676" spans="1:5" ht="34.5" customHeight="1" thickBot="1">
      <c r="A676" s="146">
        <f>A675-A674</f>
        <v>15</v>
      </c>
      <c r="B676" s="147"/>
      <c r="C676" s="148"/>
      <c r="D676" s="35" t="s">
        <v>5</v>
      </c>
      <c r="E676" s="41"/>
    </row>
    <row r="677" spans="1:5" ht="34.5" customHeight="1" thickBot="1">
      <c r="A677" s="149">
        <v>23</v>
      </c>
      <c r="B677" s="150"/>
      <c r="C677" s="151"/>
      <c r="D677" s="35" t="s">
        <v>6</v>
      </c>
      <c r="E677" s="41"/>
    </row>
    <row r="678" spans="1:5" ht="34.5" customHeight="1" thickBot="1">
      <c r="A678" s="144">
        <f>A677*A676</f>
        <v>345</v>
      </c>
      <c r="B678" s="152"/>
      <c r="C678" s="145"/>
      <c r="D678" s="35" t="s">
        <v>7</v>
      </c>
      <c r="E678" s="41"/>
    </row>
    <row r="679" spans="1:5" ht="34.5" customHeight="1" thickBot="1">
      <c r="A679" s="144">
        <v>0</v>
      </c>
      <c r="B679" s="152"/>
      <c r="C679" s="145"/>
      <c r="D679" s="35" t="s">
        <v>437</v>
      </c>
      <c r="E679" s="41"/>
    </row>
    <row r="680" spans="1:5" ht="34.5" customHeight="1" thickBot="1">
      <c r="A680" s="34">
        <v>0</v>
      </c>
      <c r="B680" s="32" t="s">
        <v>8</v>
      </c>
      <c r="C680" s="33">
        <v>350</v>
      </c>
      <c r="D680" s="32" t="s">
        <v>9</v>
      </c>
      <c r="E680" s="41"/>
    </row>
    <row r="681" spans="1:5" ht="34.5" customHeight="1" thickBot="1">
      <c r="A681" s="153" t="s">
        <v>436</v>
      </c>
      <c r="B681" s="154"/>
      <c r="C681" s="154"/>
      <c r="D681" s="155"/>
      <c r="E681" s="41"/>
    </row>
    <row r="682" spans="1:5" ht="34.5" customHeight="1" thickBot="1">
      <c r="A682" s="156" t="s">
        <v>435</v>
      </c>
      <c r="B682" s="157"/>
      <c r="C682" s="157"/>
      <c r="D682" s="158"/>
      <c r="E682" s="41"/>
    </row>
    <row r="683" spans="1:5" ht="34.5" customHeight="1">
      <c r="A683" s="159" t="s">
        <v>442</v>
      </c>
      <c r="B683" s="160" t="s">
        <v>441</v>
      </c>
      <c r="C683" s="160"/>
      <c r="D683" s="161"/>
      <c r="E683" s="41"/>
    </row>
    <row r="684" spans="1:5" ht="34.5" customHeight="1" thickBot="1">
      <c r="A684" s="162"/>
      <c r="B684" s="163"/>
      <c r="C684" s="163"/>
      <c r="D684" s="164"/>
      <c r="E684" s="44"/>
    </row>
    <row r="685" spans="1:5" ht="34.5" customHeight="1" thickBot="1">
      <c r="A685" s="142" t="s">
        <v>11</v>
      </c>
      <c r="B685" s="143"/>
      <c r="C685" s="165" t="s">
        <v>591</v>
      </c>
      <c r="D685" s="143"/>
      <c r="E685" s="44"/>
    </row>
    <row r="686" spans="1:5" ht="34.5" customHeight="1" thickBot="1">
      <c r="A686" s="137" t="s">
        <v>206</v>
      </c>
      <c r="B686" s="138"/>
      <c r="C686" s="138"/>
      <c r="D686" s="139"/>
      <c r="E686" s="43"/>
    </row>
    <row r="687" spans="1:5" ht="34.5" customHeight="1" thickBot="1">
      <c r="A687" s="34" t="s">
        <v>447</v>
      </c>
      <c r="B687" s="32" t="s">
        <v>438</v>
      </c>
      <c r="C687" s="34">
        <v>23</v>
      </c>
      <c r="D687" s="32" t="s">
        <v>0</v>
      </c>
      <c r="E687" s="43"/>
    </row>
    <row r="688" spans="1:5" ht="34.5" customHeight="1" thickBot="1">
      <c r="A688" s="37" t="s">
        <v>673</v>
      </c>
      <c r="B688" s="36" t="s">
        <v>1</v>
      </c>
      <c r="C688" s="34" t="s">
        <v>674</v>
      </c>
      <c r="D688" s="32" t="s">
        <v>2</v>
      </c>
      <c r="E688" s="42"/>
    </row>
    <row r="689" spans="1:5" ht="34.5" customHeight="1" thickBot="1">
      <c r="A689" s="140">
        <v>144</v>
      </c>
      <c r="B689" s="141"/>
      <c r="C689" s="142" t="s">
        <v>3</v>
      </c>
      <c r="D689" s="143"/>
      <c r="E689" s="41"/>
    </row>
    <row r="690" spans="1:5" ht="34.5" customHeight="1" thickBot="1">
      <c r="A690" s="140">
        <v>144</v>
      </c>
      <c r="B690" s="141"/>
      <c r="C690" s="144" t="s">
        <v>4</v>
      </c>
      <c r="D690" s="145"/>
      <c r="E690" s="41"/>
    </row>
    <row r="691" spans="1:5" ht="34.5" customHeight="1" thickBot="1">
      <c r="A691" s="146">
        <f>A690-A689</f>
        <v>0</v>
      </c>
      <c r="B691" s="147"/>
      <c r="C691" s="148"/>
      <c r="D691" s="35" t="s">
        <v>5</v>
      </c>
      <c r="E691" s="41"/>
    </row>
    <row r="692" spans="1:5" ht="34.5" customHeight="1" thickBot="1">
      <c r="A692" s="149">
        <v>23</v>
      </c>
      <c r="B692" s="150"/>
      <c r="C692" s="151"/>
      <c r="D692" s="35" t="s">
        <v>6</v>
      </c>
      <c r="E692" s="41"/>
    </row>
    <row r="693" spans="1:5" ht="34.5" customHeight="1" thickBot="1">
      <c r="A693" s="144">
        <f>A692*A691</f>
        <v>0</v>
      </c>
      <c r="B693" s="152"/>
      <c r="C693" s="145"/>
      <c r="D693" s="35" t="s">
        <v>7</v>
      </c>
      <c r="E693" s="41"/>
    </row>
    <row r="694" spans="1:5" ht="34.5" customHeight="1" thickBot="1">
      <c r="A694" s="144">
        <v>0</v>
      </c>
      <c r="B694" s="152"/>
      <c r="C694" s="145"/>
      <c r="D694" s="35" t="s">
        <v>437</v>
      </c>
      <c r="E694" s="41"/>
    </row>
    <row r="695" spans="1:5" ht="34.5" customHeight="1" thickBot="1">
      <c r="A695" s="34">
        <v>0</v>
      </c>
      <c r="B695" s="32" t="s">
        <v>8</v>
      </c>
      <c r="C695" s="33">
        <v>620</v>
      </c>
      <c r="D695" s="32" t="s">
        <v>9</v>
      </c>
      <c r="E695" s="41"/>
    </row>
    <row r="696" spans="1:5" ht="34.5" customHeight="1" thickBot="1">
      <c r="A696" s="153" t="s">
        <v>436</v>
      </c>
      <c r="B696" s="154"/>
      <c r="C696" s="154"/>
      <c r="D696" s="155"/>
      <c r="E696" s="41"/>
    </row>
    <row r="697" spans="1:5" ht="34.5" customHeight="1" thickBot="1">
      <c r="A697" s="156" t="s">
        <v>435</v>
      </c>
      <c r="B697" s="157"/>
      <c r="C697" s="157"/>
      <c r="D697" s="158"/>
      <c r="E697" s="41"/>
    </row>
    <row r="698" spans="1:5" ht="34.5" customHeight="1" thickBot="1">
      <c r="A698" s="40"/>
      <c r="B698" s="39"/>
      <c r="C698" s="39"/>
      <c r="D698" s="38"/>
      <c r="E698" s="41"/>
    </row>
    <row r="699" spans="1:5" ht="34.5" customHeight="1">
      <c r="A699" s="159" t="s">
        <v>442</v>
      </c>
      <c r="B699" s="160" t="s">
        <v>441</v>
      </c>
      <c r="C699" s="160"/>
      <c r="D699" s="161"/>
      <c r="E699" s="41"/>
    </row>
    <row r="700" spans="1:5" ht="34.5" customHeight="1" thickBot="1">
      <c r="A700" s="162"/>
      <c r="B700" s="163"/>
      <c r="C700" s="163"/>
      <c r="D700" s="164"/>
      <c r="E700" s="44"/>
    </row>
    <row r="701" spans="1:5" ht="34.5" customHeight="1" thickBot="1">
      <c r="A701" s="142" t="s">
        <v>11</v>
      </c>
      <c r="B701" s="143"/>
      <c r="C701" s="165" t="s">
        <v>591</v>
      </c>
      <c r="D701" s="143"/>
      <c r="E701" s="44"/>
    </row>
    <row r="702" spans="1:5" ht="34.5" customHeight="1" thickBot="1">
      <c r="A702" s="137" t="s">
        <v>206</v>
      </c>
      <c r="B702" s="138"/>
      <c r="C702" s="138"/>
      <c r="D702" s="139"/>
      <c r="E702" s="43"/>
    </row>
    <row r="703" spans="1:5" ht="34.5" customHeight="1" thickBot="1">
      <c r="A703" s="34" t="s">
        <v>447</v>
      </c>
      <c r="B703" s="32" t="s">
        <v>438</v>
      </c>
      <c r="C703" s="34">
        <v>23</v>
      </c>
      <c r="D703" s="32" t="s">
        <v>0</v>
      </c>
      <c r="E703" s="43"/>
    </row>
    <row r="704" spans="1:5" ht="34.5" customHeight="1" thickBot="1">
      <c r="A704" s="37" t="s">
        <v>673</v>
      </c>
      <c r="B704" s="36" t="s">
        <v>1</v>
      </c>
      <c r="C704" s="34" t="s">
        <v>674</v>
      </c>
      <c r="D704" s="32" t="s">
        <v>2</v>
      </c>
      <c r="E704" s="42"/>
    </row>
    <row r="705" spans="1:5" ht="34.5" customHeight="1" thickBot="1">
      <c r="A705" s="140">
        <v>117</v>
      </c>
      <c r="B705" s="141"/>
      <c r="C705" s="142" t="s">
        <v>3</v>
      </c>
      <c r="D705" s="143"/>
      <c r="E705" s="41"/>
    </row>
    <row r="706" spans="1:5" ht="34.5" customHeight="1" thickBot="1">
      <c r="A706" s="140">
        <v>144</v>
      </c>
      <c r="B706" s="141"/>
      <c r="C706" s="144" t="s">
        <v>4</v>
      </c>
      <c r="D706" s="145"/>
      <c r="E706" s="41"/>
    </row>
    <row r="707" spans="1:5" ht="34.5" customHeight="1" thickBot="1">
      <c r="A707" s="146">
        <f>A706-A705</f>
        <v>27</v>
      </c>
      <c r="B707" s="147"/>
      <c r="C707" s="148"/>
      <c r="D707" s="35" t="s">
        <v>5</v>
      </c>
      <c r="E707" s="41"/>
    </row>
    <row r="708" spans="1:5" ht="34.5" customHeight="1" thickBot="1">
      <c r="A708" s="149">
        <v>23</v>
      </c>
      <c r="B708" s="150"/>
      <c r="C708" s="151"/>
      <c r="D708" s="35" t="s">
        <v>6</v>
      </c>
      <c r="E708" s="41"/>
    </row>
    <row r="709" spans="1:5" ht="34.5" customHeight="1" thickBot="1">
      <c r="A709" s="144">
        <f>A708*A707</f>
        <v>621</v>
      </c>
      <c r="B709" s="152"/>
      <c r="C709" s="145"/>
      <c r="D709" s="35" t="s">
        <v>7</v>
      </c>
      <c r="E709" s="41"/>
    </row>
    <row r="710" spans="1:5" ht="34.5" customHeight="1" thickBot="1">
      <c r="A710" s="144">
        <v>0</v>
      </c>
      <c r="B710" s="152"/>
      <c r="C710" s="145"/>
      <c r="D710" s="35" t="s">
        <v>437</v>
      </c>
      <c r="E710" s="41"/>
    </row>
    <row r="711" spans="1:5" ht="34.5" customHeight="1" thickBot="1">
      <c r="A711" s="34">
        <v>0</v>
      </c>
      <c r="B711" s="32" t="s">
        <v>8</v>
      </c>
      <c r="C711" s="33">
        <v>620</v>
      </c>
      <c r="D711" s="32" t="s">
        <v>9</v>
      </c>
      <c r="E711" s="41"/>
    </row>
    <row r="712" spans="1:5" ht="34.5" customHeight="1" thickBot="1">
      <c r="A712" s="153" t="s">
        <v>436</v>
      </c>
      <c r="B712" s="154"/>
      <c r="C712" s="154"/>
      <c r="D712" s="155"/>
      <c r="E712" s="41"/>
    </row>
    <row r="713" spans="1:5" ht="34.5" customHeight="1" thickBot="1">
      <c r="A713" s="156" t="s">
        <v>435</v>
      </c>
      <c r="B713" s="157"/>
      <c r="C713" s="157"/>
      <c r="D713" s="158"/>
      <c r="E713" s="41"/>
    </row>
    <row r="714" spans="1:5" ht="34.5" customHeight="1">
      <c r="A714" s="159" t="s">
        <v>442</v>
      </c>
      <c r="B714" s="160" t="s">
        <v>441</v>
      </c>
      <c r="C714" s="160"/>
      <c r="D714" s="161"/>
      <c r="E714" s="44"/>
    </row>
    <row r="715" spans="1:5" ht="34.5" customHeight="1" thickBot="1">
      <c r="A715" s="162"/>
      <c r="B715" s="163"/>
      <c r="C715" s="163"/>
      <c r="D715" s="164"/>
      <c r="E715" s="44"/>
    </row>
    <row r="716" spans="1:5" ht="34.5" customHeight="1" thickBot="1">
      <c r="A716" s="142" t="s">
        <v>11</v>
      </c>
      <c r="B716" s="143"/>
      <c r="C716" s="165" t="s">
        <v>591</v>
      </c>
      <c r="D716" s="143"/>
      <c r="E716" s="43"/>
    </row>
    <row r="717" spans="1:5" ht="34.5" customHeight="1" thickBot="1">
      <c r="A717" s="137" t="s">
        <v>127</v>
      </c>
      <c r="B717" s="138"/>
      <c r="C717" s="138"/>
      <c r="D717" s="139"/>
      <c r="E717" s="43"/>
    </row>
    <row r="718" spans="1:5" ht="34.5" customHeight="1" thickBot="1">
      <c r="A718" s="34" t="s">
        <v>447</v>
      </c>
      <c r="B718" s="32" t="s">
        <v>438</v>
      </c>
      <c r="C718" s="34">
        <v>24</v>
      </c>
      <c r="D718" s="32" t="s">
        <v>0</v>
      </c>
      <c r="E718" s="42"/>
    </row>
    <row r="719" spans="1:5" ht="34.5" customHeight="1" thickBot="1">
      <c r="A719" s="37" t="s">
        <v>673</v>
      </c>
      <c r="B719" s="36" t="s">
        <v>1</v>
      </c>
      <c r="C719" s="34" t="s">
        <v>674</v>
      </c>
      <c r="D719" s="32" t="s">
        <v>2</v>
      </c>
      <c r="E719" s="41"/>
    </row>
    <row r="720" spans="1:5" ht="34.5" customHeight="1" thickBot="1">
      <c r="A720" s="140">
        <v>307</v>
      </c>
      <c r="B720" s="141"/>
      <c r="C720" s="142" t="s">
        <v>3</v>
      </c>
      <c r="D720" s="143"/>
      <c r="E720" s="41"/>
    </row>
    <row r="721" spans="1:5" ht="34.5" customHeight="1" thickBot="1">
      <c r="A721" s="140">
        <v>307</v>
      </c>
      <c r="B721" s="141"/>
      <c r="C721" s="144" t="s">
        <v>4</v>
      </c>
      <c r="D721" s="145"/>
      <c r="E721" s="41"/>
    </row>
    <row r="722" spans="1:5" ht="34.5" customHeight="1" thickBot="1">
      <c r="A722" s="146">
        <f>A721-A720</f>
        <v>0</v>
      </c>
      <c r="B722" s="147"/>
      <c r="C722" s="148"/>
      <c r="D722" s="35" t="s">
        <v>5</v>
      </c>
      <c r="E722" s="41"/>
    </row>
    <row r="723" spans="1:5" ht="34.5" customHeight="1" thickBot="1">
      <c r="A723" s="149">
        <v>23</v>
      </c>
      <c r="B723" s="150"/>
      <c r="C723" s="151"/>
      <c r="D723" s="35" t="s">
        <v>6</v>
      </c>
      <c r="E723" s="41"/>
    </row>
    <row r="724" spans="1:5" ht="34.5" customHeight="1" thickBot="1">
      <c r="A724" s="144">
        <f>A723*A722</f>
        <v>0</v>
      </c>
      <c r="B724" s="152"/>
      <c r="C724" s="145"/>
      <c r="D724" s="35" t="s">
        <v>7</v>
      </c>
      <c r="E724" s="41"/>
    </row>
    <row r="725" spans="1:5" ht="34.5" customHeight="1" thickBot="1">
      <c r="A725" s="144">
        <v>0</v>
      </c>
      <c r="B725" s="152"/>
      <c r="C725" s="145"/>
      <c r="D725" s="35" t="s">
        <v>437</v>
      </c>
      <c r="E725" s="41"/>
    </row>
    <row r="726" spans="1:5" ht="34.5" customHeight="1" thickBot="1">
      <c r="A726" s="34">
        <v>0</v>
      </c>
      <c r="B726" s="32" t="s">
        <v>8</v>
      </c>
      <c r="C726" s="33">
        <v>710</v>
      </c>
      <c r="D726" s="32" t="s">
        <v>9</v>
      </c>
      <c r="E726" s="41"/>
    </row>
    <row r="727" spans="1:5" ht="34.5" customHeight="1" thickBot="1">
      <c r="A727" s="153" t="s">
        <v>436</v>
      </c>
      <c r="B727" s="154"/>
      <c r="C727" s="154"/>
      <c r="D727" s="155"/>
      <c r="E727" s="41"/>
    </row>
    <row r="728" spans="1:5" ht="34.5" customHeight="1" thickBot="1">
      <c r="A728" s="156" t="s">
        <v>435</v>
      </c>
      <c r="B728" s="157"/>
      <c r="C728" s="157"/>
      <c r="D728" s="158"/>
      <c r="E728" s="41"/>
    </row>
    <row r="729" spans="1:5" ht="34.5" customHeight="1" thickBot="1">
      <c r="A729" s="40"/>
      <c r="B729" s="39"/>
      <c r="C729" s="39"/>
      <c r="D729" s="38"/>
      <c r="E729" s="41"/>
    </row>
    <row r="730" spans="1:5" ht="34.5" customHeight="1">
      <c r="A730" s="159" t="s">
        <v>442</v>
      </c>
      <c r="B730" s="160" t="s">
        <v>441</v>
      </c>
      <c r="C730" s="160"/>
      <c r="D730" s="161"/>
      <c r="E730" s="44"/>
    </row>
    <row r="731" spans="1:5" ht="34.5" customHeight="1" thickBot="1">
      <c r="A731" s="162"/>
      <c r="B731" s="163"/>
      <c r="C731" s="163"/>
      <c r="D731" s="164"/>
      <c r="E731" s="44"/>
    </row>
    <row r="732" spans="1:5" ht="34.5" customHeight="1" thickBot="1">
      <c r="A732" s="142" t="s">
        <v>11</v>
      </c>
      <c r="B732" s="143"/>
      <c r="C732" s="165" t="s">
        <v>591</v>
      </c>
      <c r="D732" s="143"/>
      <c r="E732" s="43"/>
    </row>
    <row r="733" spans="1:5" ht="34.5" customHeight="1" thickBot="1">
      <c r="A733" s="137" t="s">
        <v>127</v>
      </c>
      <c r="B733" s="138"/>
      <c r="C733" s="138"/>
      <c r="D733" s="139"/>
      <c r="E733" s="43"/>
    </row>
    <row r="734" spans="1:5" ht="34.5" customHeight="1" thickBot="1">
      <c r="A734" s="34" t="s">
        <v>447</v>
      </c>
      <c r="B734" s="32" t="s">
        <v>438</v>
      </c>
      <c r="C734" s="34">
        <v>24</v>
      </c>
      <c r="D734" s="32" t="s">
        <v>0</v>
      </c>
      <c r="E734" s="42"/>
    </row>
    <row r="735" spans="1:5" ht="34.5" customHeight="1" thickBot="1">
      <c r="A735" s="37" t="s">
        <v>673</v>
      </c>
      <c r="B735" s="36" t="s">
        <v>1</v>
      </c>
      <c r="C735" s="34" t="s">
        <v>674</v>
      </c>
      <c r="D735" s="32" t="s">
        <v>2</v>
      </c>
      <c r="E735" s="41"/>
    </row>
    <row r="736" spans="1:5" ht="34.5" customHeight="1" thickBot="1">
      <c r="A736" s="140">
        <v>276</v>
      </c>
      <c r="B736" s="141"/>
      <c r="C736" s="142" t="s">
        <v>3</v>
      </c>
      <c r="D736" s="143"/>
      <c r="E736" s="41"/>
    </row>
    <row r="737" spans="1:5" ht="34.5" customHeight="1" thickBot="1">
      <c r="A737" s="140">
        <v>307</v>
      </c>
      <c r="B737" s="141"/>
      <c r="C737" s="144" t="s">
        <v>4</v>
      </c>
      <c r="D737" s="145"/>
      <c r="E737" s="41"/>
    </row>
    <row r="738" spans="1:5" ht="34.5" customHeight="1" thickBot="1">
      <c r="A738" s="146">
        <f>A737-A736</f>
        <v>31</v>
      </c>
      <c r="B738" s="147"/>
      <c r="C738" s="148"/>
      <c r="D738" s="35" t="s">
        <v>5</v>
      </c>
      <c r="E738" s="41"/>
    </row>
    <row r="739" spans="1:5" ht="34.5" customHeight="1" thickBot="1">
      <c r="A739" s="149">
        <v>23</v>
      </c>
      <c r="B739" s="150"/>
      <c r="C739" s="151"/>
      <c r="D739" s="35" t="s">
        <v>6</v>
      </c>
      <c r="E739" s="41"/>
    </row>
    <row r="740" spans="1:5" ht="34.5" customHeight="1" thickBot="1">
      <c r="A740" s="144">
        <f>A739*A738</f>
        <v>713</v>
      </c>
      <c r="B740" s="152"/>
      <c r="C740" s="145"/>
      <c r="D740" s="35" t="s">
        <v>7</v>
      </c>
      <c r="E740" s="41"/>
    </row>
    <row r="741" spans="1:5" ht="34.5" customHeight="1" thickBot="1">
      <c r="A741" s="144">
        <v>0</v>
      </c>
      <c r="B741" s="152"/>
      <c r="C741" s="145"/>
      <c r="D741" s="35" t="s">
        <v>437</v>
      </c>
      <c r="E741" s="41"/>
    </row>
    <row r="742" spans="1:5" ht="34.5" customHeight="1" thickBot="1">
      <c r="A742" s="34">
        <v>0</v>
      </c>
      <c r="B742" s="32" t="s">
        <v>8</v>
      </c>
      <c r="C742" s="33">
        <v>710</v>
      </c>
      <c r="D742" s="32" t="s">
        <v>9</v>
      </c>
      <c r="E742" s="41"/>
    </row>
    <row r="743" spans="1:5" ht="34.5" customHeight="1" thickBot="1">
      <c r="A743" s="153" t="s">
        <v>436</v>
      </c>
      <c r="B743" s="154"/>
      <c r="C743" s="154"/>
      <c r="D743" s="155"/>
      <c r="E743" s="41"/>
    </row>
    <row r="744" spans="1:5" ht="34.5" customHeight="1" thickBot="1">
      <c r="A744" s="156" t="s">
        <v>435</v>
      </c>
      <c r="B744" s="157"/>
      <c r="C744" s="157"/>
      <c r="D744" s="158"/>
      <c r="E744" s="41"/>
    </row>
    <row r="745" spans="1:5" ht="34.5" customHeight="1">
      <c r="A745" s="159" t="s">
        <v>442</v>
      </c>
      <c r="B745" s="160" t="s">
        <v>441</v>
      </c>
      <c r="C745" s="160"/>
      <c r="D745" s="161"/>
      <c r="E745" s="44"/>
    </row>
    <row r="746" spans="1:5" ht="34.5" customHeight="1" thickBot="1">
      <c r="A746" s="162"/>
      <c r="B746" s="163"/>
      <c r="C746" s="163"/>
      <c r="D746" s="164"/>
      <c r="E746" s="44"/>
    </row>
    <row r="747" spans="1:5" ht="34.5" customHeight="1" thickBot="1">
      <c r="A747" s="142" t="s">
        <v>11</v>
      </c>
      <c r="B747" s="143"/>
      <c r="C747" s="165" t="s">
        <v>591</v>
      </c>
      <c r="D747" s="143"/>
      <c r="E747" s="43"/>
    </row>
    <row r="748" spans="1:5" ht="34.5" customHeight="1" thickBot="1">
      <c r="A748" s="137" t="s">
        <v>501</v>
      </c>
      <c r="B748" s="138"/>
      <c r="C748" s="138"/>
      <c r="D748" s="139"/>
      <c r="E748" s="43"/>
    </row>
    <row r="749" spans="1:5" ht="34.5" customHeight="1" thickBot="1">
      <c r="A749" s="34" t="s">
        <v>447</v>
      </c>
      <c r="B749" s="32" t="s">
        <v>438</v>
      </c>
      <c r="C749" s="34">
        <v>25</v>
      </c>
      <c r="D749" s="32" t="s">
        <v>0</v>
      </c>
      <c r="E749" s="42"/>
    </row>
    <row r="750" spans="1:5" ht="34.5" customHeight="1" thickBot="1">
      <c r="A750" s="37" t="s">
        <v>673</v>
      </c>
      <c r="B750" s="36" t="s">
        <v>1</v>
      </c>
      <c r="C750" s="34" t="s">
        <v>674</v>
      </c>
      <c r="D750" s="32" t="s">
        <v>2</v>
      </c>
      <c r="E750" s="41"/>
    </row>
    <row r="751" spans="1:5" ht="34.5" customHeight="1" thickBot="1">
      <c r="A751" s="140">
        <v>413</v>
      </c>
      <c r="B751" s="141"/>
      <c r="C751" s="142" t="s">
        <v>3</v>
      </c>
      <c r="D751" s="143"/>
      <c r="E751" s="41"/>
    </row>
    <row r="752" spans="1:5" ht="34.5" customHeight="1" thickBot="1">
      <c r="A752" s="140">
        <v>413</v>
      </c>
      <c r="B752" s="141"/>
      <c r="C752" s="144" t="s">
        <v>4</v>
      </c>
      <c r="D752" s="145"/>
      <c r="E752" s="41"/>
    </row>
    <row r="753" spans="1:5" ht="34.5" customHeight="1" thickBot="1">
      <c r="A753" s="146">
        <f>A752-A751</f>
        <v>0</v>
      </c>
      <c r="B753" s="147"/>
      <c r="C753" s="148"/>
      <c r="D753" s="35" t="s">
        <v>5</v>
      </c>
      <c r="E753" s="41"/>
    </row>
    <row r="754" spans="1:5" ht="34.5" customHeight="1" thickBot="1">
      <c r="A754" s="149">
        <v>23</v>
      </c>
      <c r="B754" s="150"/>
      <c r="C754" s="151"/>
      <c r="D754" s="35" t="s">
        <v>6</v>
      </c>
      <c r="E754" s="41"/>
    </row>
    <row r="755" spans="1:5" ht="34.5" customHeight="1" thickBot="1">
      <c r="A755" s="144">
        <f>A754*A753</f>
        <v>0</v>
      </c>
      <c r="B755" s="152"/>
      <c r="C755" s="145"/>
      <c r="D755" s="35" t="s">
        <v>7</v>
      </c>
      <c r="E755" s="41"/>
    </row>
    <row r="756" spans="1:5" ht="34.5" customHeight="1" thickBot="1">
      <c r="A756" s="144">
        <v>0</v>
      </c>
      <c r="B756" s="152"/>
      <c r="C756" s="145"/>
      <c r="D756" s="35" t="s">
        <v>437</v>
      </c>
      <c r="E756" s="41"/>
    </row>
    <row r="757" spans="1:5" ht="34.5" customHeight="1" thickBot="1">
      <c r="A757" s="34">
        <v>0</v>
      </c>
      <c r="B757" s="32" t="s">
        <v>8</v>
      </c>
      <c r="C757" s="33">
        <v>1030</v>
      </c>
      <c r="D757" s="32" t="s">
        <v>9</v>
      </c>
      <c r="E757" s="41"/>
    </row>
    <row r="758" spans="1:5" ht="34.5" customHeight="1" thickBot="1">
      <c r="A758" s="153" t="s">
        <v>436</v>
      </c>
      <c r="B758" s="154"/>
      <c r="C758" s="154"/>
      <c r="D758" s="155"/>
      <c r="E758" s="41"/>
    </row>
    <row r="759" spans="1:5" ht="34.5" customHeight="1" thickBot="1">
      <c r="A759" s="156" t="s">
        <v>435</v>
      </c>
      <c r="B759" s="157"/>
      <c r="C759" s="157"/>
      <c r="D759" s="158"/>
      <c r="E759" s="41"/>
    </row>
    <row r="760" spans="1:5" ht="34.5" customHeight="1" thickBot="1">
      <c r="A760" s="40"/>
      <c r="B760" s="39"/>
      <c r="C760" s="39"/>
      <c r="D760" s="38"/>
      <c r="E760" s="41"/>
    </row>
    <row r="761" spans="1:5" ht="34.5" customHeight="1">
      <c r="A761" s="159" t="s">
        <v>442</v>
      </c>
      <c r="B761" s="160" t="s">
        <v>441</v>
      </c>
      <c r="C761" s="160"/>
      <c r="D761" s="161"/>
      <c r="E761" s="44"/>
    </row>
    <row r="762" spans="1:5" ht="34.5" customHeight="1" thickBot="1">
      <c r="A762" s="162"/>
      <c r="B762" s="163"/>
      <c r="C762" s="163"/>
      <c r="D762" s="164"/>
      <c r="E762" s="44"/>
    </row>
    <row r="763" spans="1:5" ht="34.5" customHeight="1" thickBot="1">
      <c r="A763" s="142" t="s">
        <v>11</v>
      </c>
      <c r="B763" s="143"/>
      <c r="C763" s="165" t="s">
        <v>591</v>
      </c>
      <c r="D763" s="143"/>
      <c r="E763" s="43"/>
    </row>
    <row r="764" spans="1:5" ht="34.5" customHeight="1" thickBot="1">
      <c r="A764" s="137" t="s">
        <v>501</v>
      </c>
      <c r="B764" s="138"/>
      <c r="C764" s="138"/>
      <c r="D764" s="139"/>
      <c r="E764" s="43"/>
    </row>
    <row r="765" spans="1:5" ht="34.5" customHeight="1" thickBot="1">
      <c r="A765" s="34" t="s">
        <v>447</v>
      </c>
      <c r="B765" s="32" t="s">
        <v>438</v>
      </c>
      <c r="C765" s="34">
        <v>25</v>
      </c>
      <c r="D765" s="32" t="s">
        <v>0</v>
      </c>
      <c r="E765" s="42"/>
    </row>
    <row r="766" spans="1:5" ht="34.5" customHeight="1" thickBot="1">
      <c r="A766" s="37" t="s">
        <v>673</v>
      </c>
      <c r="B766" s="36" t="s">
        <v>1</v>
      </c>
      <c r="C766" s="34" t="s">
        <v>674</v>
      </c>
      <c r="D766" s="32" t="s">
        <v>2</v>
      </c>
      <c r="E766" s="41"/>
    </row>
    <row r="767" spans="1:5" ht="34.5" customHeight="1" thickBot="1">
      <c r="A767" s="140">
        <v>368</v>
      </c>
      <c r="B767" s="141"/>
      <c r="C767" s="142" t="s">
        <v>3</v>
      </c>
      <c r="D767" s="143"/>
      <c r="E767" s="41"/>
    </row>
    <row r="768" spans="1:5" ht="34.5" customHeight="1" thickBot="1">
      <c r="A768" s="140">
        <v>413</v>
      </c>
      <c r="B768" s="141"/>
      <c r="C768" s="144" t="s">
        <v>4</v>
      </c>
      <c r="D768" s="145"/>
      <c r="E768" s="41"/>
    </row>
    <row r="769" spans="1:5" ht="34.5" customHeight="1" thickBot="1">
      <c r="A769" s="146">
        <f>A768-A767</f>
        <v>45</v>
      </c>
      <c r="B769" s="147"/>
      <c r="C769" s="148"/>
      <c r="D769" s="35" t="s">
        <v>5</v>
      </c>
      <c r="E769" s="41"/>
    </row>
    <row r="770" spans="1:5" ht="34.5" customHeight="1" thickBot="1">
      <c r="A770" s="149">
        <v>23</v>
      </c>
      <c r="B770" s="150"/>
      <c r="C770" s="151"/>
      <c r="D770" s="35" t="s">
        <v>6</v>
      </c>
      <c r="E770" s="41"/>
    </row>
    <row r="771" spans="1:5" ht="34.5" customHeight="1" thickBot="1">
      <c r="A771" s="144">
        <f>A770*A769</f>
        <v>1035</v>
      </c>
      <c r="B771" s="152"/>
      <c r="C771" s="145"/>
      <c r="D771" s="35" t="s">
        <v>7</v>
      </c>
      <c r="E771" s="41"/>
    </row>
    <row r="772" spans="1:5" ht="34.5" customHeight="1" thickBot="1">
      <c r="A772" s="144">
        <v>0</v>
      </c>
      <c r="B772" s="152"/>
      <c r="C772" s="145"/>
      <c r="D772" s="35" t="s">
        <v>437</v>
      </c>
      <c r="E772" s="41"/>
    </row>
    <row r="773" spans="1:5" ht="34.5" customHeight="1" thickBot="1">
      <c r="A773" s="34">
        <v>0</v>
      </c>
      <c r="B773" s="32" t="s">
        <v>8</v>
      </c>
      <c r="C773" s="33">
        <v>1030</v>
      </c>
      <c r="D773" s="32" t="s">
        <v>9</v>
      </c>
      <c r="E773" s="41"/>
    </row>
    <row r="774" spans="1:5" ht="34.5" customHeight="1" thickBot="1">
      <c r="A774" s="153" t="s">
        <v>436</v>
      </c>
      <c r="B774" s="154"/>
      <c r="C774" s="154"/>
      <c r="D774" s="155"/>
      <c r="E774" s="41"/>
    </row>
    <row r="775" spans="1:5" ht="34.5" customHeight="1" thickBot="1">
      <c r="A775" s="156" t="s">
        <v>435</v>
      </c>
      <c r="B775" s="157"/>
      <c r="C775" s="157"/>
      <c r="D775" s="158"/>
      <c r="E775" s="41"/>
    </row>
    <row r="776" spans="1:5" ht="34.5" customHeight="1">
      <c r="A776" s="159" t="s">
        <v>442</v>
      </c>
      <c r="B776" s="160" t="s">
        <v>441</v>
      </c>
      <c r="C776" s="160"/>
      <c r="D776" s="161"/>
      <c r="E776" s="44"/>
    </row>
    <row r="777" spans="1:5" ht="34.5" customHeight="1" thickBot="1">
      <c r="A777" s="162"/>
      <c r="B777" s="163"/>
      <c r="C777" s="163"/>
      <c r="D777" s="164"/>
      <c r="E777" s="44"/>
    </row>
    <row r="778" spans="1:5" ht="34.5" customHeight="1" thickBot="1">
      <c r="A778" s="142" t="s">
        <v>11</v>
      </c>
      <c r="B778" s="143"/>
      <c r="C778" s="165" t="s">
        <v>591</v>
      </c>
      <c r="D778" s="143"/>
      <c r="E778" s="43"/>
    </row>
    <row r="779" spans="1:5" ht="34.5" customHeight="1" thickBot="1">
      <c r="A779" s="137" t="s">
        <v>500</v>
      </c>
      <c r="B779" s="138"/>
      <c r="C779" s="138"/>
      <c r="D779" s="139"/>
      <c r="E779" s="43"/>
    </row>
    <row r="780" spans="1:5" ht="34.5" customHeight="1" thickBot="1">
      <c r="A780" s="34" t="s">
        <v>447</v>
      </c>
      <c r="B780" s="32" t="s">
        <v>438</v>
      </c>
      <c r="C780" s="34">
        <v>26</v>
      </c>
      <c r="D780" s="32" t="s">
        <v>0</v>
      </c>
      <c r="E780" s="42"/>
    </row>
    <row r="781" spans="1:5" ht="34.5" customHeight="1" thickBot="1">
      <c r="A781" s="37" t="s">
        <v>673</v>
      </c>
      <c r="B781" s="36" t="s">
        <v>1</v>
      </c>
      <c r="C781" s="34" t="s">
        <v>674</v>
      </c>
      <c r="D781" s="32" t="s">
        <v>2</v>
      </c>
      <c r="E781" s="41"/>
    </row>
    <row r="782" spans="1:5" ht="34.5" customHeight="1" thickBot="1">
      <c r="A782" s="140">
        <v>236</v>
      </c>
      <c r="B782" s="141"/>
      <c r="C782" s="142" t="s">
        <v>3</v>
      </c>
      <c r="D782" s="143"/>
      <c r="E782" s="41"/>
    </row>
    <row r="783" spans="1:5" ht="34.5" customHeight="1" thickBot="1">
      <c r="A783" s="140">
        <v>236</v>
      </c>
      <c r="B783" s="141"/>
      <c r="C783" s="144" t="s">
        <v>4</v>
      </c>
      <c r="D783" s="145"/>
      <c r="E783" s="41"/>
    </row>
    <row r="784" spans="1:5" ht="34.5" customHeight="1" thickBot="1">
      <c r="A784" s="146">
        <f>A783-A782</f>
        <v>0</v>
      </c>
      <c r="B784" s="147"/>
      <c r="C784" s="148"/>
      <c r="D784" s="35" t="s">
        <v>5</v>
      </c>
      <c r="E784" s="41"/>
    </row>
    <row r="785" spans="1:5" ht="34.5" customHeight="1" thickBot="1">
      <c r="A785" s="149">
        <v>23</v>
      </c>
      <c r="B785" s="150"/>
      <c r="C785" s="151"/>
      <c r="D785" s="35" t="s">
        <v>6</v>
      </c>
      <c r="E785" s="41"/>
    </row>
    <row r="786" spans="1:5" ht="34.5" customHeight="1" thickBot="1">
      <c r="A786" s="144">
        <f>A785*A784</f>
        <v>0</v>
      </c>
      <c r="B786" s="152"/>
      <c r="C786" s="145"/>
      <c r="D786" s="35" t="s">
        <v>7</v>
      </c>
      <c r="E786" s="41"/>
    </row>
    <row r="787" spans="1:5" ht="34.5" customHeight="1" thickBot="1">
      <c r="A787" s="144">
        <v>0</v>
      </c>
      <c r="B787" s="152"/>
      <c r="C787" s="145"/>
      <c r="D787" s="35" t="s">
        <v>437</v>
      </c>
      <c r="E787" s="41"/>
    </row>
    <row r="788" spans="1:5" ht="34.5" customHeight="1" thickBot="1">
      <c r="A788" s="34">
        <v>0</v>
      </c>
      <c r="B788" s="32" t="s">
        <v>8</v>
      </c>
      <c r="C788" s="33">
        <v>550</v>
      </c>
      <c r="D788" s="32" t="s">
        <v>9</v>
      </c>
      <c r="E788" s="41"/>
    </row>
    <row r="789" spans="1:5" ht="34.5" customHeight="1" thickBot="1">
      <c r="A789" s="153" t="s">
        <v>436</v>
      </c>
      <c r="B789" s="154"/>
      <c r="C789" s="154"/>
      <c r="D789" s="155"/>
      <c r="E789" s="41"/>
    </row>
    <row r="790" spans="1:5" ht="34.5" customHeight="1" thickBot="1">
      <c r="A790" s="156" t="s">
        <v>435</v>
      </c>
      <c r="B790" s="157"/>
      <c r="C790" s="157"/>
      <c r="D790" s="158"/>
      <c r="E790" s="41"/>
    </row>
    <row r="791" spans="1:5" ht="34.5" customHeight="1" thickBot="1">
      <c r="A791" s="40"/>
      <c r="B791" s="39"/>
      <c r="C791" s="39"/>
      <c r="D791" s="38"/>
      <c r="E791" s="41"/>
    </row>
    <row r="792" spans="1:5" ht="34.5" customHeight="1">
      <c r="A792" s="159" t="s">
        <v>442</v>
      </c>
      <c r="B792" s="160" t="s">
        <v>441</v>
      </c>
      <c r="C792" s="160"/>
      <c r="D792" s="161"/>
      <c r="E792" s="44"/>
    </row>
    <row r="793" spans="1:5" ht="34.5" customHeight="1" thickBot="1">
      <c r="A793" s="162"/>
      <c r="B793" s="163"/>
      <c r="C793" s="163"/>
      <c r="D793" s="164"/>
      <c r="E793" s="44"/>
    </row>
    <row r="794" spans="1:5" ht="34.5" customHeight="1" thickBot="1">
      <c r="A794" s="142" t="s">
        <v>11</v>
      </c>
      <c r="B794" s="143"/>
      <c r="C794" s="165" t="s">
        <v>591</v>
      </c>
      <c r="D794" s="143"/>
      <c r="E794" s="43"/>
    </row>
    <row r="795" spans="1:5" ht="34.5" customHeight="1" thickBot="1">
      <c r="A795" s="137" t="s">
        <v>500</v>
      </c>
      <c r="B795" s="138"/>
      <c r="C795" s="138"/>
      <c r="D795" s="139"/>
      <c r="E795" s="43"/>
    </row>
    <row r="796" spans="1:5" ht="34.5" customHeight="1" thickBot="1">
      <c r="A796" s="34" t="s">
        <v>447</v>
      </c>
      <c r="B796" s="32" t="s">
        <v>438</v>
      </c>
      <c r="C796" s="34">
        <v>26</v>
      </c>
      <c r="D796" s="32" t="s">
        <v>0</v>
      </c>
      <c r="E796" s="42"/>
    </row>
    <row r="797" spans="1:5" ht="34.5" customHeight="1" thickBot="1">
      <c r="A797" s="37" t="s">
        <v>673</v>
      </c>
      <c r="B797" s="36" t="s">
        <v>1</v>
      </c>
      <c r="C797" s="34" t="s">
        <v>674</v>
      </c>
      <c r="D797" s="32" t="s">
        <v>2</v>
      </c>
      <c r="E797" s="41"/>
    </row>
    <row r="798" spans="1:5" ht="34.5" customHeight="1" thickBot="1">
      <c r="A798" s="140">
        <v>212</v>
      </c>
      <c r="B798" s="141"/>
      <c r="C798" s="142" t="s">
        <v>3</v>
      </c>
      <c r="D798" s="143"/>
      <c r="E798" s="41"/>
    </row>
    <row r="799" spans="1:5" ht="34.5" customHeight="1" thickBot="1">
      <c r="A799" s="140">
        <v>236</v>
      </c>
      <c r="B799" s="141"/>
      <c r="C799" s="144" t="s">
        <v>4</v>
      </c>
      <c r="D799" s="145"/>
      <c r="E799" s="41"/>
    </row>
    <row r="800" spans="1:5" ht="34.5" customHeight="1" thickBot="1">
      <c r="A800" s="146">
        <f>A799-A798</f>
        <v>24</v>
      </c>
      <c r="B800" s="147"/>
      <c r="C800" s="148"/>
      <c r="D800" s="35" t="s">
        <v>5</v>
      </c>
      <c r="E800" s="41"/>
    </row>
    <row r="801" spans="1:5" ht="34.5" customHeight="1" thickBot="1">
      <c r="A801" s="149">
        <v>23</v>
      </c>
      <c r="B801" s="150"/>
      <c r="C801" s="151"/>
      <c r="D801" s="35" t="s">
        <v>6</v>
      </c>
      <c r="E801" s="41"/>
    </row>
    <row r="802" spans="1:5" ht="34.5" customHeight="1" thickBot="1">
      <c r="A802" s="144">
        <f>A801*A800</f>
        <v>552</v>
      </c>
      <c r="B802" s="152"/>
      <c r="C802" s="145"/>
      <c r="D802" s="35" t="s">
        <v>7</v>
      </c>
      <c r="E802" s="41"/>
    </row>
    <row r="803" spans="1:5" ht="34.5" customHeight="1" thickBot="1">
      <c r="A803" s="144">
        <v>0</v>
      </c>
      <c r="B803" s="152"/>
      <c r="C803" s="145"/>
      <c r="D803" s="35" t="s">
        <v>437</v>
      </c>
      <c r="E803" s="41"/>
    </row>
    <row r="804" spans="1:5" ht="34.5" customHeight="1" thickBot="1">
      <c r="A804" s="34">
        <v>0</v>
      </c>
      <c r="B804" s="32" t="s">
        <v>8</v>
      </c>
      <c r="C804" s="33">
        <v>550</v>
      </c>
      <c r="D804" s="32" t="s">
        <v>9</v>
      </c>
      <c r="E804" s="41"/>
    </row>
    <row r="805" spans="1:5" ht="34.5" customHeight="1" thickBot="1">
      <c r="A805" s="153" t="s">
        <v>436</v>
      </c>
      <c r="B805" s="154"/>
      <c r="C805" s="154"/>
      <c r="D805" s="155"/>
      <c r="E805" s="41"/>
    </row>
    <row r="806" spans="1:5" ht="34.5" customHeight="1" thickBot="1">
      <c r="A806" s="156" t="s">
        <v>435</v>
      </c>
      <c r="B806" s="157"/>
      <c r="C806" s="157"/>
      <c r="D806" s="158"/>
      <c r="E806" s="41"/>
    </row>
    <row r="807" spans="1:5" ht="34.5" customHeight="1">
      <c r="A807" s="159" t="s">
        <v>442</v>
      </c>
      <c r="B807" s="160" t="s">
        <v>441</v>
      </c>
      <c r="C807" s="160"/>
      <c r="D807" s="161"/>
      <c r="E807" s="44"/>
    </row>
    <row r="808" spans="1:5" ht="34.5" customHeight="1" thickBot="1">
      <c r="A808" s="162"/>
      <c r="B808" s="163"/>
      <c r="C808" s="163"/>
      <c r="D808" s="164"/>
      <c r="E808" s="44"/>
    </row>
    <row r="809" spans="1:5" ht="34.5" customHeight="1" thickBot="1">
      <c r="A809" s="142" t="s">
        <v>11</v>
      </c>
      <c r="B809" s="143"/>
      <c r="C809" s="165" t="s">
        <v>591</v>
      </c>
      <c r="D809" s="143"/>
      <c r="E809" s="43"/>
    </row>
    <row r="810" spans="1:5" ht="34.5" customHeight="1" thickBot="1">
      <c r="A810" s="137" t="s">
        <v>291</v>
      </c>
      <c r="B810" s="138"/>
      <c r="C810" s="138"/>
      <c r="D810" s="139"/>
      <c r="E810" s="43"/>
    </row>
    <row r="811" spans="1:5" ht="34.5" customHeight="1" thickBot="1">
      <c r="A811" s="34" t="s">
        <v>447</v>
      </c>
      <c r="B811" s="32" t="s">
        <v>438</v>
      </c>
      <c r="C811" s="34">
        <v>27</v>
      </c>
      <c r="D811" s="32" t="s">
        <v>0</v>
      </c>
      <c r="E811" s="42"/>
    </row>
    <row r="812" spans="1:5" ht="34.5" customHeight="1" thickBot="1">
      <c r="A812" s="37" t="s">
        <v>673</v>
      </c>
      <c r="B812" s="36" t="s">
        <v>1</v>
      </c>
      <c r="C812" s="34" t="s">
        <v>674</v>
      </c>
      <c r="D812" s="32" t="s">
        <v>2</v>
      </c>
      <c r="E812" s="41"/>
    </row>
    <row r="813" spans="1:5" ht="34.5" customHeight="1" thickBot="1">
      <c r="A813" s="140">
        <v>710</v>
      </c>
      <c r="B813" s="141"/>
      <c r="C813" s="142" t="s">
        <v>3</v>
      </c>
      <c r="D813" s="143"/>
      <c r="E813" s="41"/>
    </row>
    <row r="814" spans="1:5" ht="34.5" customHeight="1" thickBot="1">
      <c r="A814" s="140">
        <v>710</v>
      </c>
      <c r="B814" s="141"/>
      <c r="C814" s="144" t="s">
        <v>4</v>
      </c>
      <c r="D814" s="145"/>
      <c r="E814" s="41"/>
    </row>
    <row r="815" spans="1:5" ht="34.5" customHeight="1" thickBot="1">
      <c r="A815" s="146">
        <f>A814-A813</f>
        <v>0</v>
      </c>
      <c r="B815" s="147"/>
      <c r="C815" s="148"/>
      <c r="D815" s="35" t="s">
        <v>5</v>
      </c>
      <c r="E815" s="41"/>
    </row>
    <row r="816" spans="1:5" ht="34.5" customHeight="1" thickBot="1">
      <c r="A816" s="149">
        <v>23</v>
      </c>
      <c r="B816" s="150"/>
      <c r="C816" s="151"/>
      <c r="D816" s="35" t="s">
        <v>6</v>
      </c>
      <c r="E816" s="41"/>
    </row>
    <row r="817" spans="1:5" ht="34.5" customHeight="1" thickBot="1">
      <c r="A817" s="144">
        <f>A816*A815</f>
        <v>0</v>
      </c>
      <c r="B817" s="152"/>
      <c r="C817" s="145"/>
      <c r="D817" s="35" t="s">
        <v>7</v>
      </c>
      <c r="E817" s="41"/>
    </row>
    <row r="818" spans="1:5" ht="34.5" customHeight="1" thickBot="1">
      <c r="A818" s="144">
        <v>0</v>
      </c>
      <c r="B818" s="152"/>
      <c r="C818" s="145"/>
      <c r="D818" s="35" t="s">
        <v>437</v>
      </c>
      <c r="E818" s="41"/>
    </row>
    <row r="819" spans="1:5" ht="34.5" customHeight="1" thickBot="1">
      <c r="A819" s="34">
        <v>0</v>
      </c>
      <c r="B819" s="32" t="s">
        <v>8</v>
      </c>
      <c r="C819" s="33">
        <v>2300</v>
      </c>
      <c r="D819" s="32" t="s">
        <v>9</v>
      </c>
      <c r="E819" s="41"/>
    </row>
    <row r="820" spans="1:5" ht="34.5" customHeight="1" thickBot="1">
      <c r="A820" s="153" t="s">
        <v>436</v>
      </c>
      <c r="B820" s="154"/>
      <c r="C820" s="154"/>
      <c r="D820" s="155"/>
      <c r="E820" s="41"/>
    </row>
    <row r="821" spans="1:5" ht="34.5" customHeight="1" thickBot="1">
      <c r="A821" s="156" t="s">
        <v>435</v>
      </c>
      <c r="B821" s="157"/>
      <c r="C821" s="157"/>
      <c r="D821" s="158"/>
      <c r="E821" s="41"/>
    </row>
    <row r="822" spans="1:5" ht="34.5" customHeight="1" thickBot="1">
      <c r="A822" s="40"/>
      <c r="B822" s="39"/>
      <c r="C822" s="39"/>
      <c r="D822" s="38"/>
      <c r="E822" s="41"/>
    </row>
    <row r="823" spans="1:5" ht="34.5" customHeight="1">
      <c r="A823" s="159" t="s">
        <v>442</v>
      </c>
      <c r="B823" s="160" t="s">
        <v>441</v>
      </c>
      <c r="C823" s="160"/>
      <c r="D823" s="161"/>
      <c r="E823" s="44"/>
    </row>
    <row r="824" spans="1:5" ht="34.5" customHeight="1" thickBot="1">
      <c r="A824" s="162"/>
      <c r="B824" s="163"/>
      <c r="C824" s="163"/>
      <c r="D824" s="164"/>
      <c r="E824" s="44"/>
    </row>
    <row r="825" spans="1:5" ht="34.5" customHeight="1" thickBot="1">
      <c r="A825" s="142" t="s">
        <v>11</v>
      </c>
      <c r="B825" s="143"/>
      <c r="C825" s="165" t="s">
        <v>591</v>
      </c>
      <c r="D825" s="143"/>
      <c r="E825" s="43"/>
    </row>
    <row r="826" spans="1:5" ht="34.5" customHeight="1" thickBot="1">
      <c r="A826" s="137" t="s">
        <v>291</v>
      </c>
      <c r="B826" s="138"/>
      <c r="C826" s="138"/>
      <c r="D826" s="139"/>
      <c r="E826" s="43"/>
    </row>
    <row r="827" spans="1:5" ht="34.5" customHeight="1" thickBot="1">
      <c r="A827" s="34" t="s">
        <v>447</v>
      </c>
      <c r="B827" s="32" t="s">
        <v>438</v>
      </c>
      <c r="C827" s="34">
        <v>27</v>
      </c>
      <c r="D827" s="32" t="s">
        <v>0</v>
      </c>
      <c r="E827" s="42"/>
    </row>
    <row r="828" spans="1:5" ht="34.5" customHeight="1" thickBot="1">
      <c r="A828" s="37" t="s">
        <v>673</v>
      </c>
      <c r="B828" s="36" t="s">
        <v>1</v>
      </c>
      <c r="C828" s="34" t="s">
        <v>674</v>
      </c>
      <c r="D828" s="32" t="s">
        <v>2</v>
      </c>
      <c r="E828" s="41"/>
    </row>
    <row r="829" spans="1:5" ht="34.5" customHeight="1" thickBot="1">
      <c r="A829" s="140">
        <v>610</v>
      </c>
      <c r="B829" s="141"/>
      <c r="C829" s="142" t="s">
        <v>3</v>
      </c>
      <c r="D829" s="143"/>
      <c r="E829" s="41"/>
    </row>
    <row r="830" spans="1:5" ht="34.5" customHeight="1" thickBot="1">
      <c r="A830" s="140">
        <v>710</v>
      </c>
      <c r="B830" s="141"/>
      <c r="C830" s="144" t="s">
        <v>4</v>
      </c>
      <c r="D830" s="145"/>
      <c r="E830" s="41"/>
    </row>
    <row r="831" spans="1:5" ht="34.5" customHeight="1" thickBot="1">
      <c r="A831" s="146">
        <f>A830-A829</f>
        <v>100</v>
      </c>
      <c r="B831" s="147"/>
      <c r="C831" s="148"/>
      <c r="D831" s="35" t="s">
        <v>5</v>
      </c>
      <c r="E831" s="41"/>
    </row>
    <row r="832" spans="1:5" ht="34.5" customHeight="1" thickBot="1">
      <c r="A832" s="149">
        <v>23</v>
      </c>
      <c r="B832" s="150"/>
      <c r="C832" s="151"/>
      <c r="D832" s="35" t="s">
        <v>6</v>
      </c>
      <c r="E832" s="41"/>
    </row>
    <row r="833" spans="1:5" ht="34.5" customHeight="1" thickBot="1">
      <c r="A833" s="144">
        <f>A832*A831</f>
        <v>2300</v>
      </c>
      <c r="B833" s="152"/>
      <c r="C833" s="145"/>
      <c r="D833" s="35" t="s">
        <v>7</v>
      </c>
      <c r="E833" s="41"/>
    </row>
    <row r="834" spans="1:5" ht="34.5" customHeight="1" thickBot="1">
      <c r="A834" s="144">
        <v>0</v>
      </c>
      <c r="B834" s="152"/>
      <c r="C834" s="145"/>
      <c r="D834" s="35" t="s">
        <v>437</v>
      </c>
      <c r="E834" s="41"/>
    </row>
    <row r="835" spans="1:5" ht="34.5" customHeight="1" thickBot="1">
      <c r="A835" s="34">
        <v>0</v>
      </c>
      <c r="B835" s="32" t="s">
        <v>8</v>
      </c>
      <c r="C835" s="33">
        <v>2300</v>
      </c>
      <c r="D835" s="32" t="s">
        <v>9</v>
      </c>
      <c r="E835" s="41"/>
    </row>
    <row r="836" spans="1:5" ht="34.5" customHeight="1" thickBot="1">
      <c r="A836" s="153" t="s">
        <v>436</v>
      </c>
      <c r="B836" s="154"/>
      <c r="C836" s="154"/>
      <c r="D836" s="155"/>
      <c r="E836" s="41"/>
    </row>
    <row r="837" spans="1:5" ht="34.5" customHeight="1" thickBot="1">
      <c r="A837" s="156" t="s">
        <v>435</v>
      </c>
      <c r="B837" s="157"/>
      <c r="C837" s="157"/>
      <c r="D837" s="158"/>
      <c r="E837" s="41"/>
    </row>
    <row r="838" spans="1:5" ht="34.5" customHeight="1">
      <c r="A838" s="159" t="s">
        <v>442</v>
      </c>
      <c r="B838" s="160" t="s">
        <v>441</v>
      </c>
      <c r="C838" s="160"/>
      <c r="D838" s="161"/>
    </row>
    <row r="839" spans="1:5" ht="34.5" customHeight="1" thickBot="1">
      <c r="A839" s="162"/>
      <c r="B839" s="163"/>
      <c r="C839" s="163"/>
      <c r="D839" s="164"/>
    </row>
    <row r="840" spans="1:5" ht="34.5" customHeight="1" thickBot="1">
      <c r="A840" s="142" t="s">
        <v>11</v>
      </c>
      <c r="B840" s="143"/>
      <c r="C840" s="165" t="s">
        <v>591</v>
      </c>
      <c r="D840" s="143"/>
    </row>
    <row r="841" spans="1:5" ht="34.5" customHeight="1" thickBot="1">
      <c r="A841" s="137" t="s">
        <v>375</v>
      </c>
      <c r="B841" s="138"/>
      <c r="C841" s="138"/>
      <c r="D841" s="139"/>
    </row>
    <row r="842" spans="1:5" ht="34.5" customHeight="1" thickBot="1">
      <c r="A842" s="34" t="s">
        <v>447</v>
      </c>
      <c r="B842" s="32" t="s">
        <v>438</v>
      </c>
      <c r="C842" s="34">
        <v>28</v>
      </c>
      <c r="D842" s="32" t="s">
        <v>0</v>
      </c>
    </row>
    <row r="843" spans="1:5" ht="34.5" customHeight="1" thickBot="1">
      <c r="A843" s="37" t="s">
        <v>673</v>
      </c>
      <c r="B843" s="36" t="s">
        <v>1</v>
      </c>
      <c r="C843" s="34" t="s">
        <v>674</v>
      </c>
      <c r="D843" s="32" t="s">
        <v>2</v>
      </c>
    </row>
    <row r="844" spans="1:5" ht="34.5" customHeight="1" thickBot="1">
      <c r="A844" s="140">
        <v>420</v>
      </c>
      <c r="B844" s="141"/>
      <c r="C844" s="142" t="s">
        <v>3</v>
      </c>
      <c r="D844" s="143"/>
    </row>
    <row r="845" spans="1:5" ht="34.5" customHeight="1" thickBot="1">
      <c r="A845" s="140">
        <v>420</v>
      </c>
      <c r="B845" s="141"/>
      <c r="C845" s="144" t="s">
        <v>4</v>
      </c>
      <c r="D845" s="145"/>
    </row>
    <row r="846" spans="1:5" ht="34.5" customHeight="1" thickBot="1">
      <c r="A846" s="146">
        <f>A845-A844</f>
        <v>0</v>
      </c>
      <c r="B846" s="147"/>
      <c r="C846" s="148"/>
      <c r="D846" s="35" t="s">
        <v>5</v>
      </c>
    </row>
    <row r="847" spans="1:5" ht="34.5" customHeight="1" thickBot="1">
      <c r="A847" s="149">
        <v>23</v>
      </c>
      <c r="B847" s="150"/>
      <c r="C847" s="151"/>
      <c r="D847" s="35" t="s">
        <v>6</v>
      </c>
    </row>
    <row r="848" spans="1:5" ht="34.5" customHeight="1" thickBot="1">
      <c r="A848" s="144">
        <f>A847*A846</f>
        <v>0</v>
      </c>
      <c r="B848" s="152"/>
      <c r="C848" s="145"/>
      <c r="D848" s="35" t="s">
        <v>7</v>
      </c>
    </row>
    <row r="849" spans="1:4" ht="34.5" customHeight="1" thickBot="1">
      <c r="A849" s="144">
        <v>0</v>
      </c>
      <c r="B849" s="152"/>
      <c r="C849" s="145"/>
      <c r="D849" s="35" t="s">
        <v>437</v>
      </c>
    </row>
    <row r="850" spans="1:4" ht="34.5" customHeight="1" thickBot="1">
      <c r="A850" s="34">
        <v>0</v>
      </c>
      <c r="B850" s="32" t="s">
        <v>8</v>
      </c>
      <c r="C850" s="33">
        <v>1200</v>
      </c>
      <c r="D850" s="32" t="s">
        <v>9</v>
      </c>
    </row>
    <row r="851" spans="1:4" ht="34.5" customHeight="1" thickBot="1">
      <c r="A851" s="153" t="s">
        <v>436</v>
      </c>
      <c r="B851" s="154"/>
      <c r="C851" s="154"/>
      <c r="D851" s="155"/>
    </row>
    <row r="852" spans="1:4" ht="34.5" customHeight="1" thickBot="1">
      <c r="A852" s="156" t="s">
        <v>435</v>
      </c>
      <c r="B852" s="157"/>
      <c r="C852" s="157"/>
      <c r="D852" s="158"/>
    </row>
    <row r="853" spans="1:4" ht="34.5" customHeight="1" thickBot="1">
      <c r="A853" s="40"/>
      <c r="B853" s="39"/>
      <c r="C853" s="39"/>
      <c r="D853" s="38"/>
    </row>
    <row r="854" spans="1:4" ht="34.5" customHeight="1">
      <c r="A854" s="159" t="s">
        <v>442</v>
      </c>
      <c r="B854" s="160" t="s">
        <v>441</v>
      </c>
      <c r="C854" s="160"/>
      <c r="D854" s="161"/>
    </row>
    <row r="855" spans="1:4" ht="34.5" customHeight="1" thickBot="1">
      <c r="A855" s="162"/>
      <c r="B855" s="163"/>
      <c r="C855" s="163"/>
      <c r="D855" s="164"/>
    </row>
    <row r="856" spans="1:4" ht="34.5" customHeight="1" thickBot="1">
      <c r="A856" s="142" t="s">
        <v>11</v>
      </c>
      <c r="B856" s="143"/>
      <c r="C856" s="142" t="s">
        <v>591</v>
      </c>
      <c r="D856" s="143"/>
    </row>
    <row r="857" spans="1:4" ht="34.5" customHeight="1" thickBot="1">
      <c r="A857" s="137" t="s">
        <v>375</v>
      </c>
      <c r="B857" s="138"/>
      <c r="C857" s="138"/>
      <c r="D857" s="139"/>
    </row>
    <row r="858" spans="1:4" ht="34.5" customHeight="1" thickBot="1">
      <c r="A858" s="34" t="s">
        <v>447</v>
      </c>
      <c r="B858" s="32" t="s">
        <v>438</v>
      </c>
      <c r="C858" s="34">
        <v>28</v>
      </c>
      <c r="D858" s="32" t="s">
        <v>0</v>
      </c>
    </row>
    <row r="859" spans="1:4" ht="34.5" customHeight="1" thickBot="1">
      <c r="A859" s="37" t="s">
        <v>673</v>
      </c>
      <c r="B859" s="36" t="s">
        <v>1</v>
      </c>
      <c r="C859" s="34" t="s">
        <v>674</v>
      </c>
      <c r="D859" s="32" t="s">
        <v>2</v>
      </c>
    </row>
    <row r="860" spans="1:4" ht="34.5" customHeight="1" thickBot="1">
      <c r="A860" s="140">
        <v>368</v>
      </c>
      <c r="B860" s="141"/>
      <c r="C860" s="142" t="s">
        <v>3</v>
      </c>
      <c r="D860" s="143"/>
    </row>
    <row r="861" spans="1:4" ht="34.5" customHeight="1" thickBot="1">
      <c r="A861" s="140">
        <v>420</v>
      </c>
      <c r="B861" s="141"/>
      <c r="C861" s="144" t="s">
        <v>4</v>
      </c>
      <c r="D861" s="145"/>
    </row>
    <row r="862" spans="1:4" ht="34.5" customHeight="1" thickBot="1">
      <c r="A862" s="146">
        <f>A861-A860</f>
        <v>52</v>
      </c>
      <c r="B862" s="147"/>
      <c r="C862" s="148"/>
      <c r="D862" s="35" t="s">
        <v>5</v>
      </c>
    </row>
    <row r="863" spans="1:4" ht="34.5" customHeight="1" thickBot="1">
      <c r="A863" s="149">
        <v>23</v>
      </c>
      <c r="B863" s="150"/>
      <c r="C863" s="151"/>
      <c r="D863" s="35" t="s">
        <v>6</v>
      </c>
    </row>
    <row r="864" spans="1:4" ht="34.5" customHeight="1" thickBot="1">
      <c r="A864" s="144">
        <f>A863*A862</f>
        <v>1196</v>
      </c>
      <c r="B864" s="152"/>
      <c r="C864" s="145"/>
      <c r="D864" s="35" t="s">
        <v>7</v>
      </c>
    </row>
    <row r="865" spans="1:6" ht="34.5" customHeight="1" thickBot="1">
      <c r="A865" s="144">
        <v>0</v>
      </c>
      <c r="B865" s="152"/>
      <c r="C865" s="145"/>
      <c r="D865" s="35" t="s">
        <v>437</v>
      </c>
    </row>
    <row r="866" spans="1:6" ht="34.5" customHeight="1" thickBot="1">
      <c r="A866" s="34">
        <v>0</v>
      </c>
      <c r="B866" s="32" t="s">
        <v>8</v>
      </c>
      <c r="C866" s="33">
        <v>1200</v>
      </c>
      <c r="D866" s="32" t="s">
        <v>9</v>
      </c>
    </row>
    <row r="867" spans="1:6" ht="34.5" customHeight="1" thickBot="1">
      <c r="A867" s="153" t="s">
        <v>436</v>
      </c>
      <c r="B867" s="154"/>
      <c r="C867" s="154"/>
      <c r="D867" s="155"/>
    </row>
    <row r="868" spans="1:6" ht="34.5" customHeight="1" thickBot="1">
      <c r="A868" s="156" t="s">
        <v>435</v>
      </c>
      <c r="B868" s="157"/>
      <c r="C868" s="157"/>
      <c r="D868" s="158"/>
      <c r="E868" s="140">
        <v>1285</v>
      </c>
      <c r="F868" s="141"/>
    </row>
    <row r="869" spans="1:6" ht="34.5" customHeight="1">
      <c r="A869" s="159" t="s">
        <v>442</v>
      </c>
      <c r="B869" s="160" t="s">
        <v>441</v>
      </c>
      <c r="C869" s="160"/>
      <c r="D869" s="161"/>
    </row>
    <row r="870" spans="1:6" ht="34.5" customHeight="1" thickBot="1">
      <c r="A870" s="162"/>
      <c r="B870" s="163"/>
      <c r="C870" s="163"/>
      <c r="D870" s="164"/>
    </row>
    <row r="871" spans="1:6" ht="34.5" customHeight="1" thickBot="1">
      <c r="A871" s="142" t="s">
        <v>11</v>
      </c>
      <c r="B871" s="143"/>
      <c r="C871" s="165" t="s">
        <v>591</v>
      </c>
      <c r="D871" s="143"/>
    </row>
    <row r="872" spans="1:6" ht="34.5" customHeight="1" thickBot="1">
      <c r="A872" s="137" t="s">
        <v>499</v>
      </c>
      <c r="B872" s="138"/>
      <c r="C872" s="138"/>
      <c r="D872" s="139"/>
    </row>
    <row r="873" spans="1:6" ht="34.5" customHeight="1" thickBot="1">
      <c r="A873" s="34" t="s">
        <v>447</v>
      </c>
      <c r="B873" s="32" t="s">
        <v>438</v>
      </c>
      <c r="C873" s="34">
        <v>29</v>
      </c>
      <c r="D873" s="32" t="s">
        <v>0</v>
      </c>
    </row>
    <row r="874" spans="1:6" ht="34.5" customHeight="1" thickBot="1">
      <c r="A874" s="37" t="s">
        <v>673</v>
      </c>
      <c r="B874" s="36" t="s">
        <v>1</v>
      </c>
      <c r="C874" s="34" t="s">
        <v>674</v>
      </c>
      <c r="D874" s="32" t="s">
        <v>2</v>
      </c>
    </row>
    <row r="875" spans="1:6" ht="34.5" customHeight="1" thickBot="1">
      <c r="A875" s="146">
        <v>173</v>
      </c>
      <c r="B875" s="148"/>
      <c r="C875" s="142" t="s">
        <v>3</v>
      </c>
      <c r="D875" s="143"/>
    </row>
    <row r="876" spans="1:6" ht="34.5" customHeight="1" thickBot="1">
      <c r="A876" s="146">
        <v>173</v>
      </c>
      <c r="B876" s="148"/>
      <c r="C876" s="144" t="s">
        <v>4</v>
      </c>
      <c r="D876" s="145"/>
    </row>
    <row r="877" spans="1:6" ht="34.5" customHeight="1" thickBot="1">
      <c r="A877" s="146">
        <f>A876-A875</f>
        <v>0</v>
      </c>
      <c r="B877" s="147"/>
      <c r="C877" s="148"/>
      <c r="D877" s="35" t="s">
        <v>5</v>
      </c>
    </row>
    <row r="878" spans="1:6" ht="34.5" customHeight="1" thickBot="1">
      <c r="A878" s="149">
        <v>23</v>
      </c>
      <c r="B878" s="150"/>
      <c r="C878" s="151"/>
      <c r="D878" s="35" t="s">
        <v>6</v>
      </c>
    </row>
    <row r="879" spans="1:6" ht="34.5" customHeight="1" thickBot="1">
      <c r="A879" s="144">
        <f>A878*A877</f>
        <v>0</v>
      </c>
      <c r="B879" s="152"/>
      <c r="C879" s="145"/>
      <c r="D879" s="35" t="s">
        <v>7</v>
      </c>
    </row>
    <row r="880" spans="1:6" ht="34.5" customHeight="1" thickBot="1">
      <c r="A880" s="144">
        <v>0</v>
      </c>
      <c r="B880" s="152"/>
      <c r="C880" s="145"/>
      <c r="D880" s="35" t="s">
        <v>437</v>
      </c>
    </row>
    <row r="881" spans="1:4" ht="34.5" customHeight="1" thickBot="1">
      <c r="A881" s="34">
        <v>0</v>
      </c>
      <c r="B881" s="32" t="s">
        <v>8</v>
      </c>
      <c r="C881" s="33">
        <v>650</v>
      </c>
      <c r="D881" s="32" t="s">
        <v>9</v>
      </c>
    </row>
    <row r="882" spans="1:4" ht="34.5" customHeight="1" thickBot="1">
      <c r="A882" s="153"/>
      <c r="B882" s="154"/>
      <c r="C882" s="154"/>
      <c r="D882" s="155"/>
    </row>
    <row r="883" spans="1:4" ht="34.5" customHeight="1" thickBot="1">
      <c r="A883" s="156" t="s">
        <v>435</v>
      </c>
      <c r="B883" s="157"/>
      <c r="C883" s="157"/>
      <c r="D883" s="158"/>
    </row>
    <row r="884" spans="1:4" ht="34.5" customHeight="1" thickBot="1">
      <c r="A884" s="40"/>
      <c r="B884" s="39"/>
      <c r="C884" s="39"/>
      <c r="D884" s="38"/>
    </row>
    <row r="885" spans="1:4" ht="34.5" customHeight="1">
      <c r="A885" s="159" t="s">
        <v>442</v>
      </c>
      <c r="B885" s="160" t="s">
        <v>441</v>
      </c>
      <c r="C885" s="160"/>
      <c r="D885" s="161"/>
    </row>
    <row r="886" spans="1:4" ht="34.5" customHeight="1" thickBot="1">
      <c r="A886" s="162"/>
      <c r="B886" s="163"/>
      <c r="C886" s="163"/>
      <c r="D886" s="164"/>
    </row>
    <row r="887" spans="1:4" ht="34.5" customHeight="1" thickBot="1">
      <c r="A887" s="142" t="s">
        <v>11</v>
      </c>
      <c r="B887" s="143"/>
      <c r="C887" s="165" t="s">
        <v>591</v>
      </c>
      <c r="D887" s="143"/>
    </row>
    <row r="888" spans="1:4" ht="34.5" customHeight="1" thickBot="1">
      <c r="A888" s="137" t="s">
        <v>499</v>
      </c>
      <c r="B888" s="138"/>
      <c r="C888" s="138"/>
      <c r="D888" s="139"/>
    </row>
    <row r="889" spans="1:4" ht="34.5" customHeight="1" thickBot="1">
      <c r="A889" s="34" t="s">
        <v>447</v>
      </c>
      <c r="B889" s="32" t="s">
        <v>438</v>
      </c>
      <c r="C889" s="34">
        <v>29</v>
      </c>
      <c r="D889" s="32" t="s">
        <v>0</v>
      </c>
    </row>
    <row r="890" spans="1:4" ht="34.5" customHeight="1" thickBot="1">
      <c r="A890" s="37" t="s">
        <v>673</v>
      </c>
      <c r="B890" s="36" t="s">
        <v>1</v>
      </c>
      <c r="C890" s="34" t="s">
        <v>674</v>
      </c>
      <c r="D890" s="32" t="s">
        <v>2</v>
      </c>
    </row>
    <row r="891" spans="1:4" ht="34.5" customHeight="1" thickBot="1">
      <c r="A891" s="146">
        <v>145</v>
      </c>
      <c r="B891" s="148"/>
      <c r="C891" s="142" t="s">
        <v>3</v>
      </c>
      <c r="D891" s="143"/>
    </row>
    <row r="892" spans="1:4" ht="34.5" customHeight="1" thickBot="1">
      <c r="A892" s="146">
        <v>173</v>
      </c>
      <c r="B892" s="148"/>
      <c r="C892" s="144" t="s">
        <v>4</v>
      </c>
      <c r="D892" s="145"/>
    </row>
    <row r="893" spans="1:4" ht="34.5" customHeight="1" thickBot="1">
      <c r="A893" s="146">
        <f>A892-A891</f>
        <v>28</v>
      </c>
      <c r="B893" s="147"/>
      <c r="C893" s="148"/>
      <c r="D893" s="35" t="s">
        <v>5</v>
      </c>
    </row>
    <row r="894" spans="1:4" ht="34.5" customHeight="1" thickBot="1">
      <c r="A894" s="149">
        <v>23</v>
      </c>
      <c r="B894" s="150"/>
      <c r="C894" s="151"/>
      <c r="D894" s="35" t="s">
        <v>6</v>
      </c>
    </row>
    <row r="895" spans="1:4" ht="34.5" customHeight="1" thickBot="1">
      <c r="A895" s="144">
        <f>A894*A893</f>
        <v>644</v>
      </c>
      <c r="B895" s="152"/>
      <c r="C895" s="145"/>
      <c r="D895" s="35" t="s">
        <v>7</v>
      </c>
    </row>
    <row r="896" spans="1:4" ht="34.5" customHeight="1" thickBot="1">
      <c r="A896" s="144">
        <v>0</v>
      </c>
      <c r="B896" s="152"/>
      <c r="C896" s="145"/>
      <c r="D896" s="35" t="s">
        <v>437</v>
      </c>
    </row>
    <row r="897" spans="1:4" ht="34.5" customHeight="1" thickBot="1">
      <c r="A897" s="34">
        <v>0</v>
      </c>
      <c r="B897" s="32" t="s">
        <v>8</v>
      </c>
      <c r="C897" s="33">
        <v>650</v>
      </c>
      <c r="D897" s="32" t="s">
        <v>9</v>
      </c>
    </row>
    <row r="898" spans="1:4" ht="34.5" customHeight="1" thickBot="1">
      <c r="A898" s="153"/>
      <c r="B898" s="154"/>
      <c r="C898" s="154"/>
      <c r="D898" s="155"/>
    </row>
    <row r="899" spans="1:4" ht="34.5" customHeight="1" thickBot="1">
      <c r="A899" s="156" t="s">
        <v>435</v>
      </c>
      <c r="B899" s="157"/>
      <c r="C899" s="157"/>
      <c r="D899" s="158"/>
    </row>
    <row r="900" spans="1:4" ht="34.5" customHeight="1">
      <c r="A900" s="159" t="s">
        <v>442</v>
      </c>
      <c r="B900" s="160" t="s">
        <v>441</v>
      </c>
      <c r="C900" s="160"/>
      <c r="D900" s="161"/>
    </row>
    <row r="901" spans="1:4" ht="34.5" customHeight="1" thickBot="1">
      <c r="A901" s="162"/>
      <c r="B901" s="163"/>
      <c r="C901" s="163"/>
      <c r="D901" s="164"/>
    </row>
    <row r="902" spans="1:4" ht="34.5" customHeight="1" thickBot="1">
      <c r="A902" s="142" t="s">
        <v>11</v>
      </c>
      <c r="B902" s="143"/>
      <c r="C902" s="165" t="s">
        <v>591</v>
      </c>
      <c r="D902" s="143"/>
    </row>
    <row r="903" spans="1:4" ht="34.5" customHeight="1" thickBot="1">
      <c r="A903" s="137" t="s">
        <v>58</v>
      </c>
      <c r="B903" s="138"/>
      <c r="C903" s="138"/>
      <c r="D903" s="139"/>
    </row>
    <row r="904" spans="1:4" ht="34.5" customHeight="1" thickBot="1">
      <c r="A904" s="34" t="s">
        <v>447</v>
      </c>
      <c r="B904" s="32" t="s">
        <v>438</v>
      </c>
      <c r="C904" s="34">
        <v>30</v>
      </c>
      <c r="D904" s="32" t="s">
        <v>0</v>
      </c>
    </row>
    <row r="905" spans="1:4" ht="34.5" customHeight="1" thickBot="1">
      <c r="A905" s="37" t="s">
        <v>673</v>
      </c>
      <c r="B905" s="36" t="s">
        <v>1</v>
      </c>
      <c r="C905" s="34" t="s">
        <v>674</v>
      </c>
      <c r="D905" s="32" t="s">
        <v>2</v>
      </c>
    </row>
    <row r="906" spans="1:4" ht="34.5" customHeight="1" thickBot="1">
      <c r="A906" s="140">
        <v>143</v>
      </c>
      <c r="B906" s="141"/>
      <c r="C906" s="142" t="s">
        <v>3</v>
      </c>
      <c r="D906" s="143"/>
    </row>
    <row r="907" spans="1:4" ht="34.5" customHeight="1" thickBot="1">
      <c r="A907" s="140">
        <v>143</v>
      </c>
      <c r="B907" s="141"/>
      <c r="C907" s="144" t="s">
        <v>4</v>
      </c>
      <c r="D907" s="145"/>
    </row>
    <row r="908" spans="1:4" ht="34.5" customHeight="1" thickBot="1">
      <c r="A908" s="146">
        <f>A907-A906</f>
        <v>0</v>
      </c>
      <c r="B908" s="147"/>
      <c r="C908" s="148"/>
      <c r="D908" s="35" t="s">
        <v>5</v>
      </c>
    </row>
    <row r="909" spans="1:4" ht="34.5" customHeight="1" thickBot="1">
      <c r="A909" s="149">
        <v>23</v>
      </c>
      <c r="B909" s="150"/>
      <c r="C909" s="151"/>
      <c r="D909" s="35" t="s">
        <v>6</v>
      </c>
    </row>
    <row r="910" spans="1:4" ht="34.5" customHeight="1" thickBot="1">
      <c r="A910" s="144">
        <f>A909*A908</f>
        <v>0</v>
      </c>
      <c r="B910" s="152"/>
      <c r="C910" s="145"/>
      <c r="D910" s="35" t="s">
        <v>7</v>
      </c>
    </row>
    <row r="911" spans="1:4" ht="34.5" customHeight="1" thickBot="1">
      <c r="A911" s="144">
        <v>0</v>
      </c>
      <c r="B911" s="152"/>
      <c r="C911" s="145"/>
      <c r="D911" s="35" t="s">
        <v>437</v>
      </c>
    </row>
    <row r="912" spans="1:4" ht="34.5" customHeight="1" thickBot="1">
      <c r="A912" s="34">
        <v>0</v>
      </c>
      <c r="B912" s="32" t="s">
        <v>8</v>
      </c>
      <c r="C912" s="33">
        <v>800</v>
      </c>
      <c r="D912" s="32" t="s">
        <v>9</v>
      </c>
    </row>
    <row r="913" spans="1:4" ht="34.5" customHeight="1" thickBot="1">
      <c r="A913" s="153" t="s">
        <v>436</v>
      </c>
      <c r="B913" s="154"/>
      <c r="C913" s="154"/>
      <c r="D913" s="155"/>
    </row>
    <row r="914" spans="1:4" ht="34.5" customHeight="1" thickBot="1">
      <c r="A914" s="156" t="s">
        <v>435</v>
      </c>
      <c r="B914" s="157"/>
      <c r="C914" s="157"/>
      <c r="D914" s="158"/>
    </row>
    <row r="915" spans="1:4" ht="34.5" customHeight="1" thickBot="1">
      <c r="A915" s="40"/>
      <c r="B915" s="39"/>
      <c r="C915" s="39"/>
      <c r="D915" s="38"/>
    </row>
    <row r="916" spans="1:4" ht="34.5" customHeight="1">
      <c r="A916" s="159" t="s">
        <v>442</v>
      </c>
      <c r="B916" s="160" t="s">
        <v>441</v>
      </c>
      <c r="C916" s="160"/>
      <c r="D916" s="161"/>
    </row>
    <row r="917" spans="1:4" ht="34.5" customHeight="1" thickBot="1">
      <c r="A917" s="162"/>
      <c r="B917" s="163"/>
      <c r="C917" s="163"/>
      <c r="D917" s="164"/>
    </row>
    <row r="918" spans="1:4" ht="34.5" customHeight="1" thickBot="1">
      <c r="A918" s="142" t="s">
        <v>11</v>
      </c>
      <c r="B918" s="143"/>
      <c r="C918" s="165" t="s">
        <v>591</v>
      </c>
      <c r="D918" s="143"/>
    </row>
    <row r="919" spans="1:4" ht="34.5" customHeight="1" thickBot="1">
      <c r="A919" s="137" t="s">
        <v>58</v>
      </c>
      <c r="B919" s="138"/>
      <c r="C919" s="138"/>
      <c r="D919" s="139"/>
    </row>
    <row r="920" spans="1:4" ht="34.5" customHeight="1" thickBot="1">
      <c r="A920" s="34" t="s">
        <v>447</v>
      </c>
      <c r="B920" s="32" t="s">
        <v>438</v>
      </c>
      <c r="C920" s="34">
        <v>30</v>
      </c>
      <c r="D920" s="32" t="s">
        <v>0</v>
      </c>
    </row>
    <row r="921" spans="1:4" ht="34.5" customHeight="1" thickBot="1">
      <c r="A921" s="37" t="s">
        <v>673</v>
      </c>
      <c r="B921" s="36" t="s">
        <v>1</v>
      </c>
      <c r="C921" s="34" t="s">
        <v>674</v>
      </c>
      <c r="D921" s="32" t="s">
        <v>2</v>
      </c>
    </row>
    <row r="922" spans="1:4" ht="34.5" customHeight="1" thickBot="1">
      <c r="A922" s="140">
        <v>108</v>
      </c>
      <c r="B922" s="141"/>
      <c r="C922" s="142" t="s">
        <v>3</v>
      </c>
      <c r="D922" s="143"/>
    </row>
    <row r="923" spans="1:4" ht="34.5" customHeight="1" thickBot="1">
      <c r="A923" s="140">
        <v>143</v>
      </c>
      <c r="B923" s="141"/>
      <c r="C923" s="144" t="s">
        <v>4</v>
      </c>
      <c r="D923" s="145"/>
    </row>
    <row r="924" spans="1:4" ht="34.5" customHeight="1" thickBot="1">
      <c r="A924" s="146">
        <f>A923-A922</f>
        <v>35</v>
      </c>
      <c r="B924" s="147"/>
      <c r="C924" s="148"/>
      <c r="D924" s="35" t="s">
        <v>5</v>
      </c>
    </row>
    <row r="925" spans="1:4" ht="34.5" customHeight="1" thickBot="1">
      <c r="A925" s="149">
        <v>23</v>
      </c>
      <c r="B925" s="150"/>
      <c r="C925" s="151"/>
      <c r="D925" s="35" t="s">
        <v>6</v>
      </c>
    </row>
    <row r="926" spans="1:4" ht="34.5" customHeight="1" thickBot="1">
      <c r="A926" s="144">
        <f>A925*A924</f>
        <v>805</v>
      </c>
      <c r="B926" s="152"/>
      <c r="C926" s="145"/>
      <c r="D926" s="35" t="s">
        <v>7</v>
      </c>
    </row>
    <row r="927" spans="1:4" ht="34.5" customHeight="1" thickBot="1">
      <c r="A927" s="144">
        <v>0</v>
      </c>
      <c r="B927" s="152"/>
      <c r="C927" s="145"/>
      <c r="D927" s="35" t="s">
        <v>437</v>
      </c>
    </row>
    <row r="928" spans="1:4" ht="34.5" customHeight="1" thickBot="1">
      <c r="A928" s="34">
        <v>0</v>
      </c>
      <c r="B928" s="32" t="s">
        <v>8</v>
      </c>
      <c r="C928" s="33">
        <v>800</v>
      </c>
      <c r="D928" s="32" t="s">
        <v>9</v>
      </c>
    </row>
    <row r="929" spans="1:4" ht="34.5" customHeight="1" thickBot="1">
      <c r="A929" s="153" t="s">
        <v>436</v>
      </c>
      <c r="B929" s="154"/>
      <c r="C929" s="154"/>
      <c r="D929" s="155"/>
    </row>
    <row r="930" spans="1:4" ht="34.5" customHeight="1" thickBot="1">
      <c r="A930" s="156" t="s">
        <v>435</v>
      </c>
      <c r="B930" s="157"/>
      <c r="C930" s="157"/>
      <c r="D930" s="158"/>
    </row>
    <row r="931" spans="1:4" ht="34.5" customHeight="1">
      <c r="A931" s="159" t="s">
        <v>442</v>
      </c>
      <c r="B931" s="160" t="s">
        <v>441</v>
      </c>
      <c r="C931" s="160"/>
      <c r="D931" s="161"/>
    </row>
    <row r="932" spans="1:4" ht="34.5" customHeight="1" thickBot="1">
      <c r="A932" s="162"/>
      <c r="B932" s="163"/>
      <c r="C932" s="163"/>
      <c r="D932" s="164"/>
    </row>
    <row r="933" spans="1:4" ht="34.5" customHeight="1" thickBot="1">
      <c r="A933" s="142" t="s">
        <v>11</v>
      </c>
      <c r="B933" s="143"/>
      <c r="C933" s="165" t="s">
        <v>591</v>
      </c>
      <c r="D933" s="143"/>
    </row>
    <row r="934" spans="1:4" ht="34.5" customHeight="1" thickBot="1">
      <c r="A934" s="137" t="s">
        <v>216</v>
      </c>
      <c r="B934" s="138"/>
      <c r="C934" s="138"/>
      <c r="D934" s="139"/>
    </row>
    <row r="935" spans="1:4" ht="34.5" customHeight="1" thickBot="1">
      <c r="A935" s="34" t="s">
        <v>447</v>
      </c>
      <c r="B935" s="32" t="s">
        <v>438</v>
      </c>
      <c r="C935" s="34">
        <v>31</v>
      </c>
      <c r="D935" s="32" t="s">
        <v>0</v>
      </c>
    </row>
    <row r="936" spans="1:4" ht="34.5" customHeight="1" thickBot="1">
      <c r="A936" s="37" t="s">
        <v>673</v>
      </c>
      <c r="B936" s="36" t="s">
        <v>1</v>
      </c>
      <c r="C936" s="34" t="s">
        <v>674</v>
      </c>
      <c r="D936" s="32" t="s">
        <v>2</v>
      </c>
    </row>
    <row r="937" spans="1:4" ht="34.5" customHeight="1" thickBot="1">
      <c r="A937" s="140">
        <v>365</v>
      </c>
      <c r="B937" s="141"/>
      <c r="C937" s="142" t="s">
        <v>3</v>
      </c>
      <c r="D937" s="143"/>
    </row>
    <row r="938" spans="1:4" ht="34.5" customHeight="1" thickBot="1">
      <c r="A938" s="140">
        <v>365</v>
      </c>
      <c r="B938" s="141"/>
      <c r="C938" s="144" t="s">
        <v>4</v>
      </c>
      <c r="D938" s="145"/>
    </row>
    <row r="939" spans="1:4" ht="34.5" customHeight="1" thickBot="1">
      <c r="A939" s="146">
        <f>A938-A937</f>
        <v>0</v>
      </c>
      <c r="B939" s="147"/>
      <c r="C939" s="148"/>
      <c r="D939" s="35" t="s">
        <v>5</v>
      </c>
    </row>
    <row r="940" spans="1:4" ht="34.5" customHeight="1" thickBot="1">
      <c r="A940" s="149">
        <v>23</v>
      </c>
      <c r="B940" s="150"/>
      <c r="C940" s="151"/>
      <c r="D940" s="35" t="s">
        <v>6</v>
      </c>
    </row>
    <row r="941" spans="1:4" ht="34.5" customHeight="1" thickBot="1">
      <c r="A941" s="144">
        <f>A940*A939</f>
        <v>0</v>
      </c>
      <c r="B941" s="152"/>
      <c r="C941" s="145"/>
      <c r="D941" s="35" t="s">
        <v>7</v>
      </c>
    </row>
    <row r="942" spans="1:4" ht="34.5" customHeight="1" thickBot="1">
      <c r="A942" s="144">
        <v>0</v>
      </c>
      <c r="B942" s="152"/>
      <c r="C942" s="145"/>
      <c r="D942" s="35" t="s">
        <v>437</v>
      </c>
    </row>
    <row r="943" spans="1:4" ht="34.5" customHeight="1" thickBot="1">
      <c r="A943" s="34">
        <v>0</v>
      </c>
      <c r="B943" s="32" t="s">
        <v>8</v>
      </c>
      <c r="C943" s="33">
        <v>650</v>
      </c>
      <c r="D943" s="32" t="s">
        <v>9</v>
      </c>
    </row>
    <row r="944" spans="1:4" ht="34.5" customHeight="1" thickBot="1">
      <c r="A944" s="153" t="s">
        <v>436</v>
      </c>
      <c r="B944" s="154"/>
      <c r="C944" s="154"/>
      <c r="D944" s="155"/>
    </row>
    <row r="945" spans="1:4" ht="34.5" customHeight="1" thickBot="1">
      <c r="A945" s="156" t="s">
        <v>435</v>
      </c>
      <c r="B945" s="157"/>
      <c r="C945" s="157"/>
      <c r="D945" s="158"/>
    </row>
    <row r="946" spans="1:4" ht="34.5" customHeight="1" thickBot="1">
      <c r="A946" s="40"/>
      <c r="B946" s="39"/>
      <c r="C946" s="39"/>
      <c r="D946" s="38"/>
    </row>
    <row r="947" spans="1:4" ht="34.5" customHeight="1">
      <c r="A947" s="159" t="s">
        <v>442</v>
      </c>
      <c r="B947" s="160" t="s">
        <v>441</v>
      </c>
      <c r="C947" s="160"/>
      <c r="D947" s="161"/>
    </row>
    <row r="948" spans="1:4" ht="34.5" customHeight="1" thickBot="1">
      <c r="A948" s="162"/>
      <c r="B948" s="163"/>
      <c r="C948" s="163"/>
      <c r="D948" s="164"/>
    </row>
    <row r="949" spans="1:4" ht="34.5" customHeight="1" thickBot="1">
      <c r="A949" s="142" t="s">
        <v>11</v>
      </c>
      <c r="B949" s="143"/>
      <c r="C949" s="165" t="s">
        <v>591</v>
      </c>
      <c r="D949" s="143"/>
    </row>
    <row r="950" spans="1:4" ht="34.5" customHeight="1" thickBot="1">
      <c r="A950" s="137" t="s">
        <v>216</v>
      </c>
      <c r="B950" s="138"/>
      <c r="C950" s="138"/>
      <c r="D950" s="139"/>
    </row>
    <row r="951" spans="1:4" ht="34.5" customHeight="1" thickBot="1">
      <c r="A951" s="34" t="s">
        <v>447</v>
      </c>
      <c r="B951" s="32" t="s">
        <v>438</v>
      </c>
      <c r="C951" s="34">
        <v>31</v>
      </c>
      <c r="D951" s="32" t="s">
        <v>0</v>
      </c>
    </row>
    <row r="952" spans="1:4" ht="34.5" customHeight="1" thickBot="1">
      <c r="A952" s="37" t="s">
        <v>673</v>
      </c>
      <c r="B952" s="36" t="s">
        <v>1</v>
      </c>
      <c r="C952" s="34" t="s">
        <v>674</v>
      </c>
      <c r="D952" s="32" t="s">
        <v>2</v>
      </c>
    </row>
    <row r="953" spans="1:4" ht="34.5" customHeight="1" thickBot="1">
      <c r="A953" s="140">
        <v>337</v>
      </c>
      <c r="B953" s="141"/>
      <c r="C953" s="142" t="s">
        <v>3</v>
      </c>
      <c r="D953" s="143"/>
    </row>
    <row r="954" spans="1:4" ht="34.5" customHeight="1" thickBot="1">
      <c r="A954" s="140">
        <v>365</v>
      </c>
      <c r="B954" s="141"/>
      <c r="C954" s="144" t="s">
        <v>4</v>
      </c>
      <c r="D954" s="145"/>
    </row>
    <row r="955" spans="1:4" ht="34.5" customHeight="1" thickBot="1">
      <c r="A955" s="146">
        <f>A954-A953</f>
        <v>28</v>
      </c>
      <c r="B955" s="147"/>
      <c r="C955" s="148"/>
      <c r="D955" s="35" t="s">
        <v>5</v>
      </c>
    </row>
    <row r="956" spans="1:4" ht="34.5" customHeight="1" thickBot="1">
      <c r="A956" s="149">
        <v>23</v>
      </c>
      <c r="B956" s="150"/>
      <c r="C956" s="151"/>
      <c r="D956" s="35" t="s">
        <v>6</v>
      </c>
    </row>
    <row r="957" spans="1:4" ht="34.5" customHeight="1" thickBot="1">
      <c r="A957" s="144">
        <f>A956*A955</f>
        <v>644</v>
      </c>
      <c r="B957" s="152"/>
      <c r="C957" s="145"/>
      <c r="D957" s="35" t="s">
        <v>7</v>
      </c>
    </row>
    <row r="958" spans="1:4" ht="34.5" customHeight="1" thickBot="1">
      <c r="A958" s="144">
        <v>0</v>
      </c>
      <c r="B958" s="152"/>
      <c r="C958" s="145"/>
      <c r="D958" s="35" t="s">
        <v>437</v>
      </c>
    </row>
    <row r="959" spans="1:4" ht="34.5" customHeight="1" thickBot="1">
      <c r="A959" s="34">
        <v>0</v>
      </c>
      <c r="B959" s="32" t="s">
        <v>8</v>
      </c>
      <c r="C959" s="33">
        <v>650</v>
      </c>
      <c r="D959" s="32" t="s">
        <v>9</v>
      </c>
    </row>
    <row r="960" spans="1:4" ht="34.5" customHeight="1" thickBot="1">
      <c r="A960" s="153" t="s">
        <v>436</v>
      </c>
      <c r="B960" s="154"/>
      <c r="C960" s="154"/>
      <c r="D960" s="155"/>
    </row>
    <row r="961" spans="1:4" ht="34.5" customHeight="1" thickBot="1">
      <c r="A961" s="156" t="s">
        <v>435</v>
      </c>
      <c r="B961" s="157"/>
      <c r="C961" s="157"/>
      <c r="D961" s="158"/>
    </row>
    <row r="962" spans="1:4" ht="34.5" customHeight="1">
      <c r="A962" s="159" t="s">
        <v>442</v>
      </c>
      <c r="B962" s="160" t="s">
        <v>441</v>
      </c>
      <c r="C962" s="160"/>
      <c r="D962" s="161"/>
    </row>
    <row r="963" spans="1:4" ht="34.5" customHeight="1" thickBot="1">
      <c r="A963" s="162"/>
      <c r="B963" s="163"/>
      <c r="C963" s="163"/>
      <c r="D963" s="164"/>
    </row>
    <row r="964" spans="1:4" ht="34.5" customHeight="1" thickBot="1">
      <c r="A964" s="142" t="s">
        <v>11</v>
      </c>
      <c r="B964" s="143"/>
      <c r="C964" s="165" t="s">
        <v>591</v>
      </c>
      <c r="D964" s="143"/>
    </row>
    <row r="965" spans="1:4" ht="34.5" customHeight="1" thickBot="1">
      <c r="A965" s="137" t="s">
        <v>430</v>
      </c>
      <c r="B965" s="138"/>
      <c r="C965" s="138"/>
      <c r="D965" s="139"/>
    </row>
    <row r="966" spans="1:4" ht="34.5" customHeight="1" thickBot="1">
      <c r="A966" s="34" t="s">
        <v>447</v>
      </c>
      <c r="B966" s="32" t="s">
        <v>438</v>
      </c>
      <c r="C966" s="34">
        <v>32</v>
      </c>
      <c r="D966" s="32" t="s">
        <v>0</v>
      </c>
    </row>
    <row r="967" spans="1:4" ht="34.5" customHeight="1" thickBot="1">
      <c r="A967" s="37" t="s">
        <v>673</v>
      </c>
      <c r="B967" s="36" t="s">
        <v>1</v>
      </c>
      <c r="C967" s="34" t="s">
        <v>674</v>
      </c>
      <c r="D967" s="32" t="s">
        <v>2</v>
      </c>
    </row>
    <row r="968" spans="1:4" ht="34.5" customHeight="1" thickBot="1">
      <c r="A968" s="140">
        <v>223</v>
      </c>
      <c r="B968" s="141"/>
      <c r="C968" s="142" t="s">
        <v>3</v>
      </c>
      <c r="D968" s="143"/>
    </row>
    <row r="969" spans="1:4" ht="34.5" customHeight="1" thickBot="1">
      <c r="A969" s="140">
        <v>223</v>
      </c>
      <c r="B969" s="141"/>
      <c r="C969" s="144" t="s">
        <v>4</v>
      </c>
      <c r="D969" s="145"/>
    </row>
    <row r="970" spans="1:4" ht="34.5" customHeight="1" thickBot="1">
      <c r="A970" s="146">
        <f>A969-A968</f>
        <v>0</v>
      </c>
      <c r="B970" s="147"/>
      <c r="C970" s="148"/>
      <c r="D970" s="35" t="s">
        <v>5</v>
      </c>
    </row>
    <row r="971" spans="1:4" ht="34.5" customHeight="1" thickBot="1">
      <c r="A971" s="149">
        <v>23</v>
      </c>
      <c r="B971" s="150"/>
      <c r="C971" s="151"/>
      <c r="D971" s="35" t="s">
        <v>6</v>
      </c>
    </row>
    <row r="972" spans="1:4" ht="34.5" customHeight="1" thickBot="1">
      <c r="A972" s="144">
        <f>A971*A970</f>
        <v>0</v>
      </c>
      <c r="B972" s="152"/>
      <c r="C972" s="145"/>
      <c r="D972" s="35" t="s">
        <v>7</v>
      </c>
    </row>
    <row r="973" spans="1:4" ht="34.5" customHeight="1" thickBot="1">
      <c r="A973" s="144">
        <v>0</v>
      </c>
      <c r="B973" s="152"/>
      <c r="C973" s="145"/>
      <c r="D973" s="35" t="s">
        <v>437</v>
      </c>
    </row>
    <row r="974" spans="1:4" ht="34.5" customHeight="1" thickBot="1">
      <c r="A974" s="34">
        <v>0</v>
      </c>
      <c r="B974" s="32" t="s">
        <v>8</v>
      </c>
      <c r="C974" s="33">
        <v>850</v>
      </c>
      <c r="D974" s="32" t="s">
        <v>9</v>
      </c>
    </row>
    <row r="975" spans="1:4" ht="34.5" customHeight="1" thickBot="1">
      <c r="A975" s="153" t="s">
        <v>436</v>
      </c>
      <c r="B975" s="154"/>
      <c r="C975" s="154"/>
      <c r="D975" s="155"/>
    </row>
    <row r="976" spans="1:4" ht="34.5" customHeight="1" thickBot="1">
      <c r="A976" s="156" t="s">
        <v>435</v>
      </c>
      <c r="B976" s="157"/>
      <c r="C976" s="157"/>
      <c r="D976" s="158"/>
    </row>
    <row r="977" spans="1:4" ht="34.5" customHeight="1" thickBot="1">
      <c r="A977" s="40"/>
      <c r="B977" s="39"/>
      <c r="C977" s="39"/>
      <c r="D977" s="38"/>
    </row>
    <row r="978" spans="1:4" ht="34.5" customHeight="1">
      <c r="A978" s="159" t="s">
        <v>442</v>
      </c>
      <c r="B978" s="160" t="s">
        <v>441</v>
      </c>
      <c r="C978" s="160"/>
      <c r="D978" s="161"/>
    </row>
    <row r="979" spans="1:4" ht="34.5" customHeight="1" thickBot="1">
      <c r="A979" s="162"/>
      <c r="B979" s="163"/>
      <c r="C979" s="163"/>
      <c r="D979" s="164"/>
    </row>
    <row r="980" spans="1:4" ht="34.5" customHeight="1" thickBot="1">
      <c r="A980" s="142" t="s">
        <v>11</v>
      </c>
      <c r="B980" s="143"/>
      <c r="C980" s="165" t="s">
        <v>591</v>
      </c>
      <c r="D980" s="143"/>
    </row>
    <row r="981" spans="1:4" ht="34.5" customHeight="1" thickBot="1">
      <c r="A981" s="137" t="s">
        <v>430</v>
      </c>
      <c r="B981" s="138"/>
      <c r="C981" s="138"/>
      <c r="D981" s="139"/>
    </row>
    <row r="982" spans="1:4" ht="34.5" customHeight="1" thickBot="1">
      <c r="A982" s="34" t="s">
        <v>447</v>
      </c>
      <c r="B982" s="32" t="s">
        <v>438</v>
      </c>
      <c r="C982" s="34">
        <v>32</v>
      </c>
      <c r="D982" s="32" t="s">
        <v>0</v>
      </c>
    </row>
    <row r="983" spans="1:4" ht="34.5" customHeight="1" thickBot="1">
      <c r="A983" s="37" t="s">
        <v>673</v>
      </c>
      <c r="B983" s="36" t="s">
        <v>1</v>
      </c>
      <c r="C983" s="34" t="s">
        <v>674</v>
      </c>
      <c r="D983" s="32" t="s">
        <v>2</v>
      </c>
    </row>
    <row r="984" spans="1:4" ht="34.5" customHeight="1" thickBot="1">
      <c r="A984" s="140">
        <v>186</v>
      </c>
      <c r="B984" s="141"/>
      <c r="C984" s="142" t="s">
        <v>3</v>
      </c>
      <c r="D984" s="143"/>
    </row>
    <row r="985" spans="1:4" ht="34.5" customHeight="1" thickBot="1">
      <c r="A985" s="140">
        <v>223</v>
      </c>
      <c r="B985" s="141"/>
      <c r="C985" s="144" t="s">
        <v>4</v>
      </c>
      <c r="D985" s="145"/>
    </row>
    <row r="986" spans="1:4" ht="34.5" customHeight="1" thickBot="1">
      <c r="A986" s="146">
        <f>A985-A984</f>
        <v>37</v>
      </c>
      <c r="B986" s="147"/>
      <c r="C986" s="148"/>
      <c r="D986" s="35" t="s">
        <v>5</v>
      </c>
    </row>
    <row r="987" spans="1:4" ht="34.5" customHeight="1" thickBot="1">
      <c r="A987" s="149">
        <v>23</v>
      </c>
      <c r="B987" s="150"/>
      <c r="C987" s="151"/>
      <c r="D987" s="35" t="s">
        <v>6</v>
      </c>
    </row>
    <row r="988" spans="1:4" ht="34.5" customHeight="1" thickBot="1">
      <c r="A988" s="144">
        <f>A987*A986</f>
        <v>851</v>
      </c>
      <c r="B988" s="152"/>
      <c r="C988" s="145"/>
      <c r="D988" s="35" t="s">
        <v>7</v>
      </c>
    </row>
    <row r="989" spans="1:4" ht="34.5" customHeight="1" thickBot="1">
      <c r="A989" s="144">
        <v>0</v>
      </c>
      <c r="B989" s="152"/>
      <c r="C989" s="145"/>
      <c r="D989" s="35" t="s">
        <v>437</v>
      </c>
    </row>
    <row r="990" spans="1:4" ht="34.5" customHeight="1" thickBot="1">
      <c r="A990" s="34">
        <v>0</v>
      </c>
      <c r="B990" s="32" t="s">
        <v>8</v>
      </c>
      <c r="C990" s="33">
        <v>850</v>
      </c>
      <c r="D990" s="32" t="s">
        <v>9</v>
      </c>
    </row>
    <row r="991" spans="1:4" ht="34.5" customHeight="1" thickBot="1">
      <c r="A991" s="153" t="s">
        <v>436</v>
      </c>
      <c r="B991" s="154"/>
      <c r="C991" s="154"/>
      <c r="D991" s="155"/>
    </row>
    <row r="992" spans="1:4" ht="34.5" customHeight="1" thickBot="1">
      <c r="A992" s="156" t="s">
        <v>435</v>
      </c>
      <c r="B992" s="157"/>
      <c r="C992" s="157"/>
      <c r="D992" s="158"/>
    </row>
    <row r="993" spans="1:4" ht="34.5" customHeight="1">
      <c r="A993" s="159" t="s">
        <v>442</v>
      </c>
      <c r="B993" s="160" t="s">
        <v>441</v>
      </c>
      <c r="C993" s="160"/>
      <c r="D993" s="161"/>
    </row>
    <row r="994" spans="1:4" ht="34.5" customHeight="1" thickBot="1">
      <c r="A994" s="162"/>
      <c r="B994" s="163"/>
      <c r="C994" s="163"/>
      <c r="D994" s="164"/>
    </row>
    <row r="995" spans="1:4" ht="34.5" customHeight="1" thickBot="1">
      <c r="A995" s="142" t="s">
        <v>11</v>
      </c>
      <c r="B995" s="143"/>
      <c r="C995" s="165" t="s">
        <v>591</v>
      </c>
      <c r="D995" s="143"/>
    </row>
    <row r="996" spans="1:4" ht="34.5" customHeight="1" thickBot="1">
      <c r="A996" s="137" t="s">
        <v>598</v>
      </c>
      <c r="B996" s="138"/>
      <c r="C996" s="138"/>
      <c r="D996" s="139"/>
    </row>
    <row r="997" spans="1:4" ht="34.5" customHeight="1" thickBot="1">
      <c r="A997" s="34" t="s">
        <v>447</v>
      </c>
      <c r="B997" s="32" t="s">
        <v>438</v>
      </c>
      <c r="C997" s="34">
        <v>33</v>
      </c>
      <c r="D997" s="32" t="s">
        <v>0</v>
      </c>
    </row>
    <row r="998" spans="1:4" ht="34.5" customHeight="1" thickBot="1">
      <c r="A998" s="37" t="s">
        <v>673</v>
      </c>
      <c r="B998" s="36" t="s">
        <v>1</v>
      </c>
      <c r="C998" s="34" t="s">
        <v>674</v>
      </c>
      <c r="D998" s="32" t="s">
        <v>2</v>
      </c>
    </row>
    <row r="999" spans="1:4" ht="34.5" customHeight="1" thickBot="1">
      <c r="A999" s="140">
        <v>308</v>
      </c>
      <c r="B999" s="141"/>
      <c r="C999" s="142" t="s">
        <v>3</v>
      </c>
      <c r="D999" s="143"/>
    </row>
    <row r="1000" spans="1:4" ht="34.5" customHeight="1" thickBot="1">
      <c r="A1000" s="140">
        <v>308</v>
      </c>
      <c r="B1000" s="141"/>
      <c r="C1000" s="144" t="s">
        <v>4</v>
      </c>
      <c r="D1000" s="145"/>
    </row>
    <row r="1001" spans="1:4" ht="34.5" customHeight="1" thickBot="1">
      <c r="A1001" s="146">
        <f>A1000-A999</f>
        <v>0</v>
      </c>
      <c r="B1001" s="147"/>
      <c r="C1001" s="148"/>
      <c r="D1001" s="35" t="s">
        <v>5</v>
      </c>
    </row>
    <row r="1002" spans="1:4" ht="34.5" customHeight="1" thickBot="1">
      <c r="A1002" s="149">
        <v>23</v>
      </c>
      <c r="B1002" s="150"/>
      <c r="C1002" s="151"/>
      <c r="D1002" s="35" t="s">
        <v>6</v>
      </c>
    </row>
    <row r="1003" spans="1:4" ht="34.5" customHeight="1" thickBot="1">
      <c r="A1003" s="144">
        <f>A1002*A1001</f>
        <v>0</v>
      </c>
      <c r="B1003" s="152"/>
      <c r="C1003" s="145"/>
      <c r="D1003" s="35" t="s">
        <v>7</v>
      </c>
    </row>
    <row r="1004" spans="1:4" ht="34.5" customHeight="1" thickBot="1">
      <c r="A1004" s="144">
        <v>0</v>
      </c>
      <c r="B1004" s="152"/>
      <c r="C1004" s="145"/>
      <c r="D1004" s="35" t="s">
        <v>437</v>
      </c>
    </row>
    <row r="1005" spans="1:4" ht="34.5" customHeight="1" thickBot="1">
      <c r="A1005" s="34">
        <v>0</v>
      </c>
      <c r="B1005" s="32" t="s">
        <v>8</v>
      </c>
      <c r="C1005" s="33">
        <v>960</v>
      </c>
      <c r="D1005" s="32" t="s">
        <v>9</v>
      </c>
    </row>
    <row r="1006" spans="1:4" ht="34.5" customHeight="1" thickBot="1">
      <c r="A1006" s="153" t="s">
        <v>436</v>
      </c>
      <c r="B1006" s="154"/>
      <c r="C1006" s="154"/>
      <c r="D1006" s="155"/>
    </row>
    <row r="1007" spans="1:4" ht="34.5" customHeight="1" thickBot="1">
      <c r="A1007" s="156" t="s">
        <v>435</v>
      </c>
      <c r="B1007" s="157"/>
      <c r="C1007" s="157"/>
      <c r="D1007" s="158"/>
    </row>
    <row r="1008" spans="1:4" ht="34.5" customHeight="1" thickBot="1">
      <c r="A1008" s="40"/>
      <c r="B1008" s="39"/>
      <c r="C1008" s="39"/>
      <c r="D1008" s="38"/>
    </row>
    <row r="1009" spans="1:4" ht="34.5" customHeight="1">
      <c r="A1009" s="159" t="s">
        <v>442</v>
      </c>
      <c r="B1009" s="160" t="s">
        <v>441</v>
      </c>
      <c r="C1009" s="160"/>
      <c r="D1009" s="161"/>
    </row>
    <row r="1010" spans="1:4" ht="34.5" customHeight="1" thickBot="1">
      <c r="A1010" s="162"/>
      <c r="B1010" s="163"/>
      <c r="C1010" s="163"/>
      <c r="D1010" s="164"/>
    </row>
    <row r="1011" spans="1:4" ht="34.5" customHeight="1" thickBot="1">
      <c r="A1011" s="142" t="s">
        <v>11</v>
      </c>
      <c r="B1011" s="143"/>
      <c r="C1011" s="165" t="s">
        <v>591</v>
      </c>
      <c r="D1011" s="143"/>
    </row>
    <row r="1012" spans="1:4" ht="34.5" customHeight="1" thickBot="1">
      <c r="A1012" s="137" t="s">
        <v>598</v>
      </c>
      <c r="B1012" s="138"/>
      <c r="C1012" s="138"/>
      <c r="D1012" s="139"/>
    </row>
    <row r="1013" spans="1:4" ht="34.5" customHeight="1" thickBot="1">
      <c r="A1013" s="34" t="s">
        <v>447</v>
      </c>
      <c r="B1013" s="32" t="s">
        <v>438</v>
      </c>
      <c r="C1013" s="34">
        <v>33</v>
      </c>
      <c r="D1013" s="32" t="s">
        <v>0</v>
      </c>
    </row>
    <row r="1014" spans="1:4" ht="34.5" customHeight="1" thickBot="1">
      <c r="A1014" s="37" t="s">
        <v>673</v>
      </c>
      <c r="B1014" s="36" t="s">
        <v>1</v>
      </c>
      <c r="C1014" s="34" t="s">
        <v>674</v>
      </c>
      <c r="D1014" s="32" t="s">
        <v>2</v>
      </c>
    </row>
    <row r="1015" spans="1:4" ht="34.5" customHeight="1" thickBot="1">
      <c r="A1015" s="140">
        <v>266</v>
      </c>
      <c r="B1015" s="141"/>
      <c r="C1015" s="142" t="s">
        <v>3</v>
      </c>
      <c r="D1015" s="143"/>
    </row>
    <row r="1016" spans="1:4" ht="34.5" customHeight="1" thickBot="1">
      <c r="A1016" s="140">
        <v>308</v>
      </c>
      <c r="B1016" s="141"/>
      <c r="C1016" s="144" t="s">
        <v>4</v>
      </c>
      <c r="D1016" s="145"/>
    </row>
    <row r="1017" spans="1:4" ht="34.5" customHeight="1" thickBot="1">
      <c r="A1017" s="146">
        <f>A1016-A1015</f>
        <v>42</v>
      </c>
      <c r="B1017" s="147"/>
      <c r="C1017" s="148"/>
      <c r="D1017" s="35" t="s">
        <v>5</v>
      </c>
    </row>
    <row r="1018" spans="1:4" ht="34.5" customHeight="1" thickBot="1">
      <c r="A1018" s="149">
        <v>23</v>
      </c>
      <c r="B1018" s="150"/>
      <c r="C1018" s="151"/>
      <c r="D1018" s="35" t="s">
        <v>6</v>
      </c>
    </row>
    <row r="1019" spans="1:4" ht="34.5" customHeight="1" thickBot="1">
      <c r="A1019" s="144">
        <f>A1018*A1017</f>
        <v>966</v>
      </c>
      <c r="B1019" s="152"/>
      <c r="C1019" s="145"/>
      <c r="D1019" s="35" t="s">
        <v>7</v>
      </c>
    </row>
    <row r="1020" spans="1:4" ht="34.5" customHeight="1" thickBot="1">
      <c r="A1020" s="144">
        <v>0</v>
      </c>
      <c r="B1020" s="152"/>
      <c r="C1020" s="145"/>
      <c r="D1020" s="35" t="s">
        <v>437</v>
      </c>
    </row>
    <row r="1021" spans="1:4" ht="34.5" customHeight="1" thickBot="1">
      <c r="A1021" s="34">
        <v>0</v>
      </c>
      <c r="B1021" s="32" t="s">
        <v>8</v>
      </c>
      <c r="C1021" s="33">
        <v>960</v>
      </c>
      <c r="D1021" s="32" t="s">
        <v>9</v>
      </c>
    </row>
    <row r="1022" spans="1:4" ht="34.5" customHeight="1" thickBot="1">
      <c r="A1022" s="153" t="s">
        <v>436</v>
      </c>
      <c r="B1022" s="154"/>
      <c r="C1022" s="154"/>
      <c r="D1022" s="155"/>
    </row>
    <row r="1023" spans="1:4" ht="34.5" customHeight="1" thickBot="1">
      <c r="A1023" s="156" t="s">
        <v>435</v>
      </c>
      <c r="B1023" s="157"/>
      <c r="C1023" s="157"/>
      <c r="D1023" s="158"/>
    </row>
    <row r="1024" spans="1:4" ht="34.5" customHeight="1">
      <c r="A1024" s="159" t="s">
        <v>442</v>
      </c>
      <c r="B1024" s="160" t="s">
        <v>441</v>
      </c>
      <c r="C1024" s="160"/>
      <c r="D1024" s="161"/>
    </row>
    <row r="1025" spans="1:4" ht="34.5" customHeight="1" thickBot="1">
      <c r="A1025" s="162"/>
      <c r="B1025" s="163"/>
      <c r="C1025" s="163"/>
      <c r="D1025" s="164"/>
    </row>
    <row r="1026" spans="1:4" ht="34.5" customHeight="1" thickBot="1">
      <c r="A1026" s="142" t="s">
        <v>11</v>
      </c>
      <c r="B1026" s="143"/>
      <c r="C1026" s="165" t="s">
        <v>591</v>
      </c>
      <c r="D1026" s="143"/>
    </row>
    <row r="1027" spans="1:4" ht="34.5" customHeight="1" thickBot="1">
      <c r="A1027" s="137" t="s">
        <v>599</v>
      </c>
      <c r="B1027" s="138"/>
      <c r="C1027" s="138"/>
      <c r="D1027" s="139"/>
    </row>
    <row r="1028" spans="1:4" ht="34.5" customHeight="1" thickBot="1">
      <c r="A1028" s="34" t="s">
        <v>447</v>
      </c>
      <c r="B1028" s="32" t="s">
        <v>438</v>
      </c>
      <c r="C1028" s="34">
        <v>34</v>
      </c>
      <c r="D1028" s="32" t="s">
        <v>0</v>
      </c>
    </row>
    <row r="1029" spans="1:4" ht="34.5" customHeight="1" thickBot="1">
      <c r="A1029" s="37" t="s">
        <v>673</v>
      </c>
      <c r="B1029" s="36" t="s">
        <v>1</v>
      </c>
      <c r="C1029" s="34" t="s">
        <v>674</v>
      </c>
      <c r="D1029" s="32" t="s">
        <v>2</v>
      </c>
    </row>
    <row r="1030" spans="1:4" ht="34.5" customHeight="1" thickBot="1">
      <c r="A1030" s="140">
        <v>190</v>
      </c>
      <c r="B1030" s="141"/>
      <c r="C1030" s="142" t="s">
        <v>3</v>
      </c>
      <c r="D1030" s="143"/>
    </row>
    <row r="1031" spans="1:4" ht="34.5" customHeight="1" thickBot="1">
      <c r="A1031" s="140">
        <v>190</v>
      </c>
      <c r="B1031" s="141"/>
      <c r="C1031" s="144" t="s">
        <v>4</v>
      </c>
      <c r="D1031" s="145"/>
    </row>
    <row r="1032" spans="1:4" ht="34.5" customHeight="1" thickBot="1">
      <c r="A1032" s="146">
        <f>A1031-A1030</f>
        <v>0</v>
      </c>
      <c r="B1032" s="147"/>
      <c r="C1032" s="148"/>
      <c r="D1032" s="35" t="s">
        <v>5</v>
      </c>
    </row>
    <row r="1033" spans="1:4" ht="34.5" customHeight="1" thickBot="1">
      <c r="A1033" s="149">
        <v>23</v>
      </c>
      <c r="B1033" s="150"/>
      <c r="C1033" s="151"/>
      <c r="D1033" s="35" t="s">
        <v>6</v>
      </c>
    </row>
    <row r="1034" spans="1:4" ht="34.5" customHeight="1" thickBot="1">
      <c r="A1034" s="144">
        <f>A1033*A1032</f>
        <v>0</v>
      </c>
      <c r="B1034" s="152"/>
      <c r="C1034" s="145"/>
      <c r="D1034" s="35" t="s">
        <v>7</v>
      </c>
    </row>
    <row r="1035" spans="1:4" ht="34.5" customHeight="1" thickBot="1">
      <c r="A1035" s="144">
        <v>0</v>
      </c>
      <c r="B1035" s="152"/>
      <c r="C1035" s="145"/>
      <c r="D1035" s="35" t="s">
        <v>437</v>
      </c>
    </row>
    <row r="1036" spans="1:4" ht="34.5" customHeight="1" thickBot="1">
      <c r="A1036" s="34">
        <v>0</v>
      </c>
      <c r="B1036" s="32" t="s">
        <v>8</v>
      </c>
      <c r="C1036" s="33">
        <v>650</v>
      </c>
      <c r="D1036" s="32" t="s">
        <v>9</v>
      </c>
    </row>
    <row r="1037" spans="1:4" ht="34.5" customHeight="1" thickBot="1">
      <c r="A1037" s="153" t="s">
        <v>436</v>
      </c>
      <c r="B1037" s="154"/>
      <c r="C1037" s="154"/>
      <c r="D1037" s="155"/>
    </row>
    <row r="1038" spans="1:4" ht="34.5" customHeight="1" thickBot="1">
      <c r="A1038" s="156" t="s">
        <v>435</v>
      </c>
      <c r="B1038" s="157"/>
      <c r="C1038" s="157"/>
      <c r="D1038" s="158"/>
    </row>
    <row r="1039" spans="1:4" ht="34.5" customHeight="1" thickBot="1">
      <c r="A1039" s="40"/>
      <c r="B1039" s="39"/>
      <c r="C1039" s="39"/>
      <c r="D1039" s="38"/>
    </row>
    <row r="1040" spans="1:4" ht="34.5" customHeight="1">
      <c r="A1040" s="159" t="s">
        <v>442</v>
      </c>
      <c r="B1040" s="160" t="s">
        <v>441</v>
      </c>
      <c r="C1040" s="160"/>
      <c r="D1040" s="161"/>
    </row>
    <row r="1041" spans="1:4" ht="34.5" customHeight="1" thickBot="1">
      <c r="A1041" s="162"/>
      <c r="B1041" s="163"/>
      <c r="C1041" s="163"/>
      <c r="D1041" s="164"/>
    </row>
    <row r="1042" spans="1:4" ht="34.5" customHeight="1" thickBot="1">
      <c r="A1042" s="142" t="s">
        <v>11</v>
      </c>
      <c r="B1042" s="143"/>
      <c r="C1042" s="165" t="s">
        <v>591</v>
      </c>
      <c r="D1042" s="143"/>
    </row>
    <row r="1043" spans="1:4" ht="34.5" customHeight="1" thickBot="1">
      <c r="A1043" s="137" t="s">
        <v>599</v>
      </c>
      <c r="B1043" s="138"/>
      <c r="C1043" s="138"/>
      <c r="D1043" s="139"/>
    </row>
    <row r="1044" spans="1:4" ht="34.5" customHeight="1" thickBot="1">
      <c r="A1044" s="34" t="s">
        <v>447</v>
      </c>
      <c r="B1044" s="32" t="s">
        <v>438</v>
      </c>
      <c r="C1044" s="34">
        <v>34</v>
      </c>
      <c r="D1044" s="32" t="s">
        <v>0</v>
      </c>
    </row>
    <row r="1045" spans="1:4" ht="34.5" customHeight="1" thickBot="1">
      <c r="A1045" s="37" t="s">
        <v>673</v>
      </c>
      <c r="B1045" s="36" t="s">
        <v>1</v>
      </c>
      <c r="C1045" s="34" t="s">
        <v>674</v>
      </c>
      <c r="D1045" s="32" t="s">
        <v>2</v>
      </c>
    </row>
    <row r="1046" spans="1:4" ht="34.5" customHeight="1" thickBot="1">
      <c r="A1046" s="140">
        <v>162</v>
      </c>
      <c r="B1046" s="141"/>
      <c r="C1046" s="142" t="s">
        <v>3</v>
      </c>
      <c r="D1046" s="143"/>
    </row>
    <row r="1047" spans="1:4" ht="34.5" customHeight="1" thickBot="1">
      <c r="A1047" s="140">
        <v>190</v>
      </c>
      <c r="B1047" s="141"/>
      <c r="C1047" s="144" t="s">
        <v>4</v>
      </c>
      <c r="D1047" s="145"/>
    </row>
    <row r="1048" spans="1:4" ht="34.5" customHeight="1" thickBot="1">
      <c r="A1048" s="146">
        <f>A1047-A1046</f>
        <v>28</v>
      </c>
      <c r="B1048" s="147"/>
      <c r="C1048" s="148"/>
      <c r="D1048" s="35" t="s">
        <v>5</v>
      </c>
    </row>
    <row r="1049" spans="1:4" ht="34.5" customHeight="1" thickBot="1">
      <c r="A1049" s="149">
        <v>23</v>
      </c>
      <c r="B1049" s="150"/>
      <c r="C1049" s="151"/>
      <c r="D1049" s="35" t="s">
        <v>6</v>
      </c>
    </row>
    <row r="1050" spans="1:4" ht="34.5" customHeight="1" thickBot="1">
      <c r="A1050" s="144">
        <f>A1049*A1048</f>
        <v>644</v>
      </c>
      <c r="B1050" s="152"/>
      <c r="C1050" s="145"/>
      <c r="D1050" s="35" t="s">
        <v>7</v>
      </c>
    </row>
    <row r="1051" spans="1:4" ht="34.5" customHeight="1" thickBot="1">
      <c r="A1051" s="144">
        <v>0</v>
      </c>
      <c r="B1051" s="152"/>
      <c r="C1051" s="145"/>
      <c r="D1051" s="35" t="s">
        <v>437</v>
      </c>
    </row>
    <row r="1052" spans="1:4" ht="34.5" customHeight="1" thickBot="1">
      <c r="A1052" s="34">
        <v>0</v>
      </c>
      <c r="B1052" s="32" t="s">
        <v>8</v>
      </c>
      <c r="C1052" s="33">
        <v>650</v>
      </c>
      <c r="D1052" s="32" t="s">
        <v>9</v>
      </c>
    </row>
    <row r="1053" spans="1:4" ht="34.5" customHeight="1" thickBot="1">
      <c r="A1053" s="153" t="s">
        <v>436</v>
      </c>
      <c r="B1053" s="154"/>
      <c r="C1053" s="154"/>
      <c r="D1053" s="155"/>
    </row>
    <row r="1054" spans="1:4" ht="34.5" customHeight="1" thickBot="1">
      <c r="A1054" s="156" t="s">
        <v>435</v>
      </c>
      <c r="B1054" s="157"/>
      <c r="C1054" s="157"/>
      <c r="D1054" s="158"/>
    </row>
    <row r="1055" spans="1:4" ht="34.5" customHeight="1">
      <c r="A1055" s="159" t="s">
        <v>442</v>
      </c>
      <c r="B1055" s="160" t="s">
        <v>441</v>
      </c>
      <c r="C1055" s="160"/>
      <c r="D1055" s="161"/>
    </row>
    <row r="1056" spans="1:4" ht="34.5" customHeight="1" thickBot="1">
      <c r="A1056" s="162"/>
      <c r="B1056" s="163"/>
      <c r="C1056" s="163"/>
      <c r="D1056" s="164"/>
    </row>
    <row r="1057" spans="1:4" ht="34.5" customHeight="1" thickBot="1">
      <c r="A1057" s="142" t="s">
        <v>11</v>
      </c>
      <c r="B1057" s="143"/>
      <c r="C1057" s="165" t="s">
        <v>591</v>
      </c>
      <c r="D1057" s="143"/>
    </row>
    <row r="1058" spans="1:4" ht="34.5" customHeight="1" thickBot="1">
      <c r="A1058" s="137" t="s">
        <v>600</v>
      </c>
      <c r="B1058" s="138"/>
      <c r="C1058" s="138"/>
      <c r="D1058" s="139"/>
    </row>
    <row r="1059" spans="1:4" ht="34.5" customHeight="1" thickBot="1">
      <c r="A1059" s="34" t="s">
        <v>447</v>
      </c>
      <c r="B1059" s="32" t="s">
        <v>438</v>
      </c>
      <c r="C1059" s="34">
        <v>35</v>
      </c>
      <c r="D1059" s="32" t="s">
        <v>0</v>
      </c>
    </row>
    <row r="1060" spans="1:4" ht="34.5" customHeight="1" thickBot="1">
      <c r="A1060" s="37" t="s">
        <v>673</v>
      </c>
      <c r="B1060" s="36" t="s">
        <v>1</v>
      </c>
      <c r="C1060" s="34" t="s">
        <v>674</v>
      </c>
      <c r="D1060" s="32" t="s">
        <v>2</v>
      </c>
    </row>
    <row r="1061" spans="1:4" ht="34.5" customHeight="1" thickBot="1">
      <c r="A1061" s="140">
        <v>136</v>
      </c>
      <c r="B1061" s="141"/>
      <c r="C1061" s="142" t="s">
        <v>3</v>
      </c>
      <c r="D1061" s="143"/>
    </row>
    <row r="1062" spans="1:4" ht="34.5" customHeight="1" thickBot="1">
      <c r="A1062" s="140">
        <v>136</v>
      </c>
      <c r="B1062" s="141"/>
      <c r="C1062" s="144" t="s">
        <v>4</v>
      </c>
      <c r="D1062" s="145"/>
    </row>
    <row r="1063" spans="1:4" ht="34.5" customHeight="1" thickBot="1">
      <c r="A1063" s="146">
        <f>A1062-A1061</f>
        <v>0</v>
      </c>
      <c r="B1063" s="147"/>
      <c r="C1063" s="148"/>
      <c r="D1063" s="35" t="s">
        <v>5</v>
      </c>
    </row>
    <row r="1064" spans="1:4" ht="34.5" customHeight="1" thickBot="1">
      <c r="A1064" s="149">
        <v>23</v>
      </c>
      <c r="B1064" s="150"/>
      <c r="C1064" s="151"/>
      <c r="D1064" s="35" t="s">
        <v>6</v>
      </c>
    </row>
    <row r="1065" spans="1:4" ht="34.5" customHeight="1" thickBot="1">
      <c r="A1065" s="144">
        <f>A1064*A1063</f>
        <v>0</v>
      </c>
      <c r="B1065" s="152"/>
      <c r="C1065" s="145"/>
      <c r="D1065" s="35" t="s">
        <v>7</v>
      </c>
    </row>
    <row r="1066" spans="1:4" ht="34.5" customHeight="1" thickBot="1">
      <c r="A1066" s="144">
        <v>0</v>
      </c>
      <c r="B1066" s="152"/>
      <c r="C1066" s="145"/>
      <c r="D1066" s="35" t="s">
        <v>437</v>
      </c>
    </row>
    <row r="1067" spans="1:4" ht="34.5" customHeight="1" thickBot="1">
      <c r="A1067" s="34">
        <v>0</v>
      </c>
      <c r="B1067" s="32" t="s">
        <v>8</v>
      </c>
      <c r="C1067" s="33">
        <v>600</v>
      </c>
      <c r="D1067" s="32" t="s">
        <v>9</v>
      </c>
    </row>
    <row r="1068" spans="1:4" ht="34.5" customHeight="1" thickBot="1">
      <c r="A1068" s="153" t="s">
        <v>436</v>
      </c>
      <c r="B1068" s="154"/>
      <c r="C1068" s="154"/>
      <c r="D1068" s="155"/>
    </row>
    <row r="1069" spans="1:4" ht="34.5" customHeight="1" thickBot="1">
      <c r="A1069" s="156" t="s">
        <v>435</v>
      </c>
      <c r="B1069" s="157"/>
      <c r="C1069" s="157"/>
      <c r="D1069" s="158"/>
    </row>
    <row r="1070" spans="1:4" ht="34.5" customHeight="1" thickBot="1">
      <c r="A1070" s="40"/>
      <c r="B1070" s="39"/>
      <c r="C1070" s="39"/>
      <c r="D1070" s="38"/>
    </row>
    <row r="1071" spans="1:4" ht="34.5" customHeight="1">
      <c r="A1071" s="159" t="s">
        <v>442</v>
      </c>
      <c r="B1071" s="160" t="s">
        <v>441</v>
      </c>
      <c r="C1071" s="160"/>
      <c r="D1071" s="161"/>
    </row>
    <row r="1072" spans="1:4" ht="34.5" customHeight="1" thickBot="1">
      <c r="A1072" s="162"/>
      <c r="B1072" s="163"/>
      <c r="C1072" s="163"/>
      <c r="D1072" s="164"/>
    </row>
    <row r="1073" spans="1:4" ht="34.5" customHeight="1" thickBot="1">
      <c r="A1073" s="142" t="s">
        <v>11</v>
      </c>
      <c r="B1073" s="143"/>
      <c r="C1073" s="165" t="s">
        <v>591</v>
      </c>
      <c r="D1073" s="143"/>
    </row>
    <row r="1074" spans="1:4" ht="34.5" customHeight="1" thickBot="1">
      <c r="A1074" s="137" t="s">
        <v>600</v>
      </c>
      <c r="B1074" s="138"/>
      <c r="C1074" s="138"/>
      <c r="D1074" s="139"/>
    </row>
    <row r="1075" spans="1:4" ht="34.5" customHeight="1" thickBot="1">
      <c r="A1075" s="34" t="s">
        <v>447</v>
      </c>
      <c r="B1075" s="32" t="s">
        <v>438</v>
      </c>
      <c r="C1075" s="34">
        <v>35</v>
      </c>
      <c r="D1075" s="32" t="s">
        <v>0</v>
      </c>
    </row>
    <row r="1076" spans="1:4" ht="34.5" customHeight="1" thickBot="1">
      <c r="A1076" s="37" t="s">
        <v>673</v>
      </c>
      <c r="B1076" s="36" t="s">
        <v>1</v>
      </c>
      <c r="C1076" s="34" t="s">
        <v>674</v>
      </c>
      <c r="D1076" s="32" t="s">
        <v>2</v>
      </c>
    </row>
    <row r="1077" spans="1:4" ht="34.5" customHeight="1" thickBot="1">
      <c r="A1077" s="140">
        <v>110</v>
      </c>
      <c r="B1077" s="141"/>
      <c r="C1077" s="142" t="s">
        <v>3</v>
      </c>
      <c r="D1077" s="143"/>
    </row>
    <row r="1078" spans="1:4" ht="34.5" customHeight="1" thickBot="1">
      <c r="A1078" s="140">
        <v>136</v>
      </c>
      <c r="B1078" s="141"/>
      <c r="C1078" s="144" t="s">
        <v>4</v>
      </c>
      <c r="D1078" s="145"/>
    </row>
    <row r="1079" spans="1:4" ht="34.5" customHeight="1" thickBot="1">
      <c r="A1079" s="146">
        <f>A1078-A1077</f>
        <v>26</v>
      </c>
      <c r="B1079" s="147"/>
      <c r="C1079" s="148"/>
      <c r="D1079" s="35" t="s">
        <v>5</v>
      </c>
    </row>
    <row r="1080" spans="1:4" ht="34.5" customHeight="1" thickBot="1">
      <c r="A1080" s="149">
        <v>23</v>
      </c>
      <c r="B1080" s="150"/>
      <c r="C1080" s="151"/>
      <c r="D1080" s="35" t="s">
        <v>6</v>
      </c>
    </row>
    <row r="1081" spans="1:4" ht="34.5" customHeight="1" thickBot="1">
      <c r="A1081" s="144">
        <f>A1080*A1079</f>
        <v>598</v>
      </c>
      <c r="B1081" s="152"/>
      <c r="C1081" s="145"/>
      <c r="D1081" s="35" t="s">
        <v>7</v>
      </c>
    </row>
    <row r="1082" spans="1:4" ht="34.5" customHeight="1" thickBot="1">
      <c r="A1082" s="144">
        <v>0</v>
      </c>
      <c r="B1082" s="152"/>
      <c r="C1082" s="145"/>
      <c r="D1082" s="35" t="s">
        <v>437</v>
      </c>
    </row>
    <row r="1083" spans="1:4" ht="34.5" customHeight="1" thickBot="1">
      <c r="A1083" s="34">
        <v>0</v>
      </c>
      <c r="B1083" s="32" t="s">
        <v>8</v>
      </c>
      <c r="C1083" s="33">
        <v>600</v>
      </c>
      <c r="D1083" s="32" t="s">
        <v>9</v>
      </c>
    </row>
    <row r="1084" spans="1:4" ht="34.5" customHeight="1" thickBot="1">
      <c r="A1084" s="153" t="s">
        <v>436</v>
      </c>
      <c r="B1084" s="154"/>
      <c r="C1084" s="154"/>
      <c r="D1084" s="155"/>
    </row>
    <row r="1085" spans="1:4" ht="34.5" customHeight="1" thickBot="1">
      <c r="A1085" s="156" t="s">
        <v>435</v>
      </c>
      <c r="B1085" s="157"/>
      <c r="C1085" s="157"/>
      <c r="D1085" s="158"/>
    </row>
    <row r="1086" spans="1:4" ht="34.5" customHeight="1">
      <c r="A1086" s="159" t="s">
        <v>442</v>
      </c>
      <c r="B1086" s="160" t="s">
        <v>441</v>
      </c>
      <c r="C1086" s="160"/>
      <c r="D1086" s="161"/>
    </row>
    <row r="1087" spans="1:4" ht="34.5" customHeight="1" thickBot="1">
      <c r="A1087" s="162"/>
      <c r="B1087" s="163"/>
      <c r="C1087" s="163"/>
      <c r="D1087" s="164"/>
    </row>
    <row r="1088" spans="1:4" ht="34.5" customHeight="1" thickBot="1">
      <c r="A1088" s="142" t="s">
        <v>11</v>
      </c>
      <c r="B1088" s="143"/>
      <c r="C1088" s="165" t="s">
        <v>591</v>
      </c>
      <c r="D1088" s="143"/>
    </row>
    <row r="1089" spans="1:4" ht="34.5" customHeight="1" thickBot="1">
      <c r="A1089" s="137" t="s">
        <v>496</v>
      </c>
      <c r="B1089" s="138"/>
      <c r="C1089" s="138"/>
      <c r="D1089" s="139"/>
    </row>
    <row r="1090" spans="1:4" ht="34.5" customHeight="1" thickBot="1">
      <c r="A1090" s="34" t="s">
        <v>447</v>
      </c>
      <c r="B1090" s="32" t="s">
        <v>438</v>
      </c>
      <c r="C1090" s="34">
        <v>36</v>
      </c>
      <c r="D1090" s="32" t="s">
        <v>0</v>
      </c>
    </row>
    <row r="1091" spans="1:4" ht="34.5" customHeight="1" thickBot="1">
      <c r="A1091" s="37" t="s">
        <v>673</v>
      </c>
      <c r="B1091" s="36" t="s">
        <v>1</v>
      </c>
      <c r="C1091" s="34" t="s">
        <v>674</v>
      </c>
      <c r="D1091" s="32" t="s">
        <v>2</v>
      </c>
    </row>
    <row r="1092" spans="1:4" ht="34.5" customHeight="1" thickBot="1">
      <c r="A1092" s="140">
        <v>160</v>
      </c>
      <c r="B1092" s="141"/>
      <c r="C1092" s="142" t="s">
        <v>3</v>
      </c>
      <c r="D1092" s="143"/>
    </row>
    <row r="1093" spans="1:4" ht="34.5" customHeight="1" thickBot="1">
      <c r="A1093" s="140">
        <v>160</v>
      </c>
      <c r="B1093" s="141"/>
      <c r="C1093" s="144" t="s">
        <v>4</v>
      </c>
      <c r="D1093" s="145"/>
    </row>
    <row r="1094" spans="1:4" ht="34.5" customHeight="1" thickBot="1">
      <c r="A1094" s="146">
        <f>A1093-A1092</f>
        <v>0</v>
      </c>
      <c r="B1094" s="147"/>
      <c r="C1094" s="148"/>
      <c r="D1094" s="35" t="s">
        <v>5</v>
      </c>
    </row>
    <row r="1095" spans="1:4" ht="34.5" customHeight="1" thickBot="1">
      <c r="A1095" s="149">
        <v>23</v>
      </c>
      <c r="B1095" s="150"/>
      <c r="C1095" s="151"/>
      <c r="D1095" s="35" t="s">
        <v>6</v>
      </c>
    </row>
    <row r="1096" spans="1:4" ht="34.5" customHeight="1" thickBot="1">
      <c r="A1096" s="144">
        <f>A1095*A1094</f>
        <v>0</v>
      </c>
      <c r="B1096" s="152"/>
      <c r="C1096" s="145"/>
      <c r="D1096" s="35" t="s">
        <v>7</v>
      </c>
    </row>
    <row r="1097" spans="1:4" ht="34.5" customHeight="1" thickBot="1">
      <c r="A1097" s="144">
        <v>0</v>
      </c>
      <c r="B1097" s="152"/>
      <c r="C1097" s="145"/>
      <c r="D1097" s="35" t="s">
        <v>437</v>
      </c>
    </row>
    <row r="1098" spans="1:4" ht="34.5" customHeight="1" thickBot="1">
      <c r="A1098" s="34">
        <v>0</v>
      </c>
      <c r="B1098" s="32" t="s">
        <v>8</v>
      </c>
      <c r="C1098" s="33">
        <v>580</v>
      </c>
      <c r="D1098" s="32" t="s">
        <v>9</v>
      </c>
    </row>
    <row r="1099" spans="1:4" ht="34.5" customHeight="1" thickBot="1">
      <c r="A1099" s="153" t="s">
        <v>436</v>
      </c>
      <c r="B1099" s="154"/>
      <c r="C1099" s="154"/>
      <c r="D1099" s="155"/>
    </row>
    <row r="1100" spans="1:4" ht="34.5" customHeight="1" thickBot="1">
      <c r="A1100" s="156" t="s">
        <v>435</v>
      </c>
      <c r="B1100" s="157"/>
      <c r="C1100" s="157"/>
      <c r="D1100" s="158"/>
    </row>
    <row r="1101" spans="1:4" ht="34.5" customHeight="1" thickBot="1">
      <c r="A1101" s="40"/>
      <c r="B1101" s="39"/>
      <c r="C1101" s="39"/>
      <c r="D1101" s="38"/>
    </row>
    <row r="1102" spans="1:4" ht="34.5" customHeight="1">
      <c r="A1102" s="159" t="s">
        <v>442</v>
      </c>
      <c r="B1102" s="160" t="s">
        <v>441</v>
      </c>
      <c r="C1102" s="160"/>
      <c r="D1102" s="161"/>
    </row>
    <row r="1103" spans="1:4" ht="34.5" customHeight="1" thickBot="1">
      <c r="A1103" s="162"/>
      <c r="B1103" s="163"/>
      <c r="C1103" s="163"/>
      <c r="D1103" s="164"/>
    </row>
    <row r="1104" spans="1:4" ht="34.5" customHeight="1" thickBot="1">
      <c r="A1104" s="142" t="s">
        <v>11</v>
      </c>
      <c r="B1104" s="143"/>
      <c r="C1104" s="165" t="s">
        <v>591</v>
      </c>
      <c r="D1104" s="143"/>
    </row>
    <row r="1105" spans="1:4" ht="34.5" customHeight="1" thickBot="1">
      <c r="A1105" s="137" t="s">
        <v>496</v>
      </c>
      <c r="B1105" s="138"/>
      <c r="C1105" s="138"/>
      <c r="D1105" s="139"/>
    </row>
    <row r="1106" spans="1:4" ht="34.5" customHeight="1" thickBot="1">
      <c r="A1106" s="34" t="s">
        <v>447</v>
      </c>
      <c r="B1106" s="32" t="s">
        <v>438</v>
      </c>
      <c r="C1106" s="34">
        <v>36</v>
      </c>
      <c r="D1106" s="32" t="s">
        <v>0</v>
      </c>
    </row>
    <row r="1107" spans="1:4" ht="34.5" customHeight="1" thickBot="1">
      <c r="A1107" s="37" t="s">
        <v>673</v>
      </c>
      <c r="B1107" s="36" t="s">
        <v>1</v>
      </c>
      <c r="C1107" s="34" t="s">
        <v>674</v>
      </c>
      <c r="D1107" s="32" t="s">
        <v>2</v>
      </c>
    </row>
    <row r="1108" spans="1:4" ht="34.5" customHeight="1" thickBot="1">
      <c r="A1108" s="140">
        <v>135</v>
      </c>
      <c r="B1108" s="141"/>
      <c r="C1108" s="142" t="s">
        <v>3</v>
      </c>
      <c r="D1108" s="143"/>
    </row>
    <row r="1109" spans="1:4" ht="34.5" customHeight="1" thickBot="1">
      <c r="A1109" s="140">
        <v>160</v>
      </c>
      <c r="B1109" s="141"/>
      <c r="C1109" s="144" t="s">
        <v>4</v>
      </c>
      <c r="D1109" s="145"/>
    </row>
    <row r="1110" spans="1:4" ht="34.5" customHeight="1" thickBot="1">
      <c r="A1110" s="146">
        <f>A1109-A1108</f>
        <v>25</v>
      </c>
      <c r="B1110" s="147"/>
      <c r="C1110" s="148"/>
      <c r="D1110" s="35" t="s">
        <v>5</v>
      </c>
    </row>
    <row r="1111" spans="1:4" ht="34.5" customHeight="1" thickBot="1">
      <c r="A1111" s="149">
        <v>23</v>
      </c>
      <c r="B1111" s="150"/>
      <c r="C1111" s="151"/>
      <c r="D1111" s="35" t="s">
        <v>6</v>
      </c>
    </row>
    <row r="1112" spans="1:4" ht="34.5" customHeight="1" thickBot="1">
      <c r="A1112" s="144">
        <f>A1111*A1110</f>
        <v>575</v>
      </c>
      <c r="B1112" s="152"/>
      <c r="C1112" s="145"/>
      <c r="D1112" s="35" t="s">
        <v>7</v>
      </c>
    </row>
    <row r="1113" spans="1:4" ht="34.5" customHeight="1" thickBot="1">
      <c r="A1113" s="144">
        <v>0</v>
      </c>
      <c r="B1113" s="152"/>
      <c r="C1113" s="145"/>
      <c r="D1113" s="35" t="s">
        <v>437</v>
      </c>
    </row>
    <row r="1114" spans="1:4" ht="34.5" customHeight="1" thickBot="1">
      <c r="A1114" s="34">
        <v>0</v>
      </c>
      <c r="B1114" s="32" t="s">
        <v>8</v>
      </c>
      <c r="C1114" s="33">
        <v>580</v>
      </c>
      <c r="D1114" s="32" t="s">
        <v>9</v>
      </c>
    </row>
    <row r="1115" spans="1:4" ht="34.5" customHeight="1" thickBot="1">
      <c r="A1115" s="153" t="s">
        <v>436</v>
      </c>
      <c r="B1115" s="154"/>
      <c r="C1115" s="154"/>
      <c r="D1115" s="155"/>
    </row>
    <row r="1116" spans="1:4" ht="34.5" customHeight="1" thickBot="1">
      <c r="A1116" s="156" t="s">
        <v>435</v>
      </c>
      <c r="B1116" s="157"/>
      <c r="C1116" s="157"/>
      <c r="D1116" s="158"/>
    </row>
    <row r="1117" spans="1:4" ht="34.5" customHeight="1">
      <c r="A1117" s="159" t="s">
        <v>442</v>
      </c>
      <c r="B1117" s="160" t="s">
        <v>441</v>
      </c>
      <c r="C1117" s="160"/>
      <c r="D1117" s="161"/>
    </row>
    <row r="1118" spans="1:4" ht="34.5" customHeight="1" thickBot="1">
      <c r="A1118" s="162"/>
      <c r="B1118" s="163"/>
      <c r="C1118" s="163"/>
      <c r="D1118" s="164"/>
    </row>
    <row r="1119" spans="1:4" ht="34.5" customHeight="1" thickBot="1">
      <c r="A1119" s="142" t="s">
        <v>11</v>
      </c>
      <c r="B1119" s="143"/>
      <c r="C1119" s="165" t="s">
        <v>591</v>
      </c>
      <c r="D1119" s="143"/>
    </row>
    <row r="1120" spans="1:4" ht="34.5" customHeight="1" thickBot="1">
      <c r="A1120" s="137" t="s">
        <v>615</v>
      </c>
      <c r="B1120" s="138"/>
      <c r="C1120" s="138"/>
      <c r="D1120" s="139"/>
    </row>
    <row r="1121" spans="1:4" ht="34.5" customHeight="1" thickBot="1">
      <c r="A1121" s="34" t="s">
        <v>447</v>
      </c>
      <c r="B1121" s="32" t="s">
        <v>438</v>
      </c>
      <c r="C1121" s="34">
        <v>36</v>
      </c>
      <c r="D1121" s="32" t="s">
        <v>0</v>
      </c>
    </row>
    <row r="1122" spans="1:4" ht="34.5" customHeight="1" thickBot="1">
      <c r="A1122" s="37" t="s">
        <v>673</v>
      </c>
      <c r="B1122" s="36" t="s">
        <v>1</v>
      </c>
      <c r="C1122" s="34" t="s">
        <v>674</v>
      </c>
      <c r="D1122" s="32" t="s">
        <v>2</v>
      </c>
    </row>
    <row r="1123" spans="1:4" ht="34.5" customHeight="1" thickBot="1">
      <c r="A1123" s="140">
        <v>108</v>
      </c>
      <c r="B1123" s="141"/>
      <c r="C1123" s="142" t="s">
        <v>3</v>
      </c>
      <c r="D1123" s="143"/>
    </row>
    <row r="1124" spans="1:4" ht="34.5" customHeight="1" thickBot="1">
      <c r="A1124" s="140">
        <v>108</v>
      </c>
      <c r="B1124" s="141"/>
      <c r="C1124" s="144" t="s">
        <v>4</v>
      </c>
      <c r="D1124" s="145"/>
    </row>
    <row r="1125" spans="1:4" ht="34.5" customHeight="1" thickBot="1">
      <c r="A1125" s="146">
        <f>A1124-A1123</f>
        <v>0</v>
      </c>
      <c r="B1125" s="147"/>
      <c r="C1125" s="148"/>
      <c r="D1125" s="35" t="s">
        <v>5</v>
      </c>
    </row>
    <row r="1126" spans="1:4" ht="34.5" customHeight="1" thickBot="1">
      <c r="A1126" s="149">
        <v>23</v>
      </c>
      <c r="B1126" s="150"/>
      <c r="C1126" s="151"/>
      <c r="D1126" s="35" t="s">
        <v>6</v>
      </c>
    </row>
    <row r="1127" spans="1:4" ht="34.5" customHeight="1" thickBot="1">
      <c r="A1127" s="144">
        <f>A1126*A1125</f>
        <v>0</v>
      </c>
      <c r="B1127" s="152"/>
      <c r="C1127" s="145"/>
      <c r="D1127" s="35" t="s">
        <v>7</v>
      </c>
    </row>
    <row r="1128" spans="1:4" ht="34.5" customHeight="1" thickBot="1">
      <c r="A1128" s="144">
        <v>0</v>
      </c>
      <c r="B1128" s="152"/>
      <c r="C1128" s="145"/>
      <c r="D1128" s="35" t="s">
        <v>437</v>
      </c>
    </row>
    <row r="1129" spans="1:4" ht="34.5" customHeight="1" thickBot="1">
      <c r="A1129" s="34">
        <v>0</v>
      </c>
      <c r="B1129" s="32" t="s">
        <v>8</v>
      </c>
      <c r="C1129" s="33">
        <v>880</v>
      </c>
      <c r="D1129" s="32" t="s">
        <v>9</v>
      </c>
    </row>
    <row r="1130" spans="1:4" ht="34.5" customHeight="1" thickBot="1">
      <c r="A1130" s="153" t="s">
        <v>436</v>
      </c>
      <c r="B1130" s="154"/>
      <c r="C1130" s="154"/>
      <c r="D1130" s="155"/>
    </row>
    <row r="1131" spans="1:4" ht="34.5" customHeight="1" thickBot="1">
      <c r="A1131" s="156" t="s">
        <v>435</v>
      </c>
      <c r="B1131" s="157"/>
      <c r="C1131" s="157"/>
      <c r="D1131" s="158"/>
    </row>
    <row r="1132" spans="1:4" ht="34.5" customHeight="1" thickBot="1">
      <c r="A1132" s="40"/>
      <c r="B1132" s="39"/>
      <c r="C1132" s="39"/>
      <c r="D1132" s="38"/>
    </row>
    <row r="1133" spans="1:4" ht="34.5" customHeight="1">
      <c r="A1133" s="159" t="s">
        <v>442</v>
      </c>
      <c r="B1133" s="160" t="s">
        <v>441</v>
      </c>
      <c r="C1133" s="160"/>
      <c r="D1133" s="161"/>
    </row>
    <row r="1134" spans="1:4" ht="34.5" customHeight="1" thickBot="1">
      <c r="A1134" s="162"/>
      <c r="B1134" s="163"/>
      <c r="C1134" s="163"/>
      <c r="D1134" s="164"/>
    </row>
    <row r="1135" spans="1:4" ht="34.5" customHeight="1" thickBot="1">
      <c r="A1135" s="142" t="s">
        <v>11</v>
      </c>
      <c r="B1135" s="143"/>
      <c r="C1135" s="165" t="s">
        <v>591</v>
      </c>
      <c r="D1135" s="143"/>
    </row>
    <row r="1136" spans="1:4" ht="34.5" customHeight="1" thickBot="1">
      <c r="A1136" s="137" t="s">
        <v>615</v>
      </c>
      <c r="B1136" s="138"/>
      <c r="C1136" s="138"/>
      <c r="D1136" s="139"/>
    </row>
    <row r="1137" spans="1:4" ht="34.5" customHeight="1" thickBot="1">
      <c r="A1137" s="34" t="s">
        <v>447</v>
      </c>
      <c r="B1137" s="32" t="s">
        <v>438</v>
      </c>
      <c r="C1137" s="34">
        <v>36</v>
      </c>
      <c r="D1137" s="32" t="s">
        <v>0</v>
      </c>
    </row>
    <row r="1138" spans="1:4" ht="34.5" customHeight="1" thickBot="1">
      <c r="A1138" s="37" t="s">
        <v>673</v>
      </c>
      <c r="B1138" s="36" t="s">
        <v>1</v>
      </c>
      <c r="C1138" s="34" t="s">
        <v>674</v>
      </c>
      <c r="D1138" s="32" t="s">
        <v>2</v>
      </c>
    </row>
    <row r="1139" spans="1:4" ht="34.5" customHeight="1" thickBot="1">
      <c r="A1139" s="140">
        <v>70</v>
      </c>
      <c r="B1139" s="141"/>
      <c r="C1139" s="142" t="s">
        <v>3</v>
      </c>
      <c r="D1139" s="143"/>
    </row>
    <row r="1140" spans="1:4" ht="34.5" customHeight="1" thickBot="1">
      <c r="A1140" s="140">
        <v>108</v>
      </c>
      <c r="B1140" s="141"/>
      <c r="C1140" s="144" t="s">
        <v>4</v>
      </c>
      <c r="D1140" s="145"/>
    </row>
    <row r="1141" spans="1:4" ht="34.5" customHeight="1" thickBot="1">
      <c r="A1141" s="146">
        <f>A1140-A1139</f>
        <v>38</v>
      </c>
      <c r="B1141" s="147"/>
      <c r="C1141" s="148"/>
      <c r="D1141" s="35" t="s">
        <v>5</v>
      </c>
    </row>
    <row r="1142" spans="1:4" ht="34.5" customHeight="1" thickBot="1">
      <c r="A1142" s="149">
        <v>23</v>
      </c>
      <c r="B1142" s="150"/>
      <c r="C1142" s="151"/>
      <c r="D1142" s="35" t="s">
        <v>6</v>
      </c>
    </row>
    <row r="1143" spans="1:4" ht="34.5" customHeight="1" thickBot="1">
      <c r="A1143" s="144">
        <f>A1142*A1141</f>
        <v>874</v>
      </c>
      <c r="B1143" s="152"/>
      <c r="C1143" s="145"/>
      <c r="D1143" s="35" t="s">
        <v>7</v>
      </c>
    </row>
    <row r="1144" spans="1:4" ht="34.5" customHeight="1" thickBot="1">
      <c r="A1144" s="144">
        <v>0</v>
      </c>
      <c r="B1144" s="152"/>
      <c r="C1144" s="145"/>
      <c r="D1144" s="35" t="s">
        <v>437</v>
      </c>
    </row>
    <row r="1145" spans="1:4" ht="34.5" customHeight="1" thickBot="1">
      <c r="A1145" s="34">
        <v>0</v>
      </c>
      <c r="B1145" s="32" t="s">
        <v>8</v>
      </c>
      <c r="C1145" s="33">
        <v>880</v>
      </c>
      <c r="D1145" s="32" t="s">
        <v>9</v>
      </c>
    </row>
    <row r="1146" spans="1:4" ht="34.5" customHeight="1" thickBot="1">
      <c r="A1146" s="153" t="s">
        <v>436</v>
      </c>
      <c r="B1146" s="154"/>
      <c r="C1146" s="154"/>
      <c r="D1146" s="155"/>
    </row>
    <row r="1147" spans="1:4" ht="34.5" customHeight="1" thickBot="1">
      <c r="A1147" s="156" t="s">
        <v>435</v>
      </c>
      <c r="B1147" s="157"/>
      <c r="C1147" s="157"/>
      <c r="D1147" s="158"/>
    </row>
  </sheetData>
  <mergeCells count="1039">
    <mergeCell ref="A1136:D1136"/>
    <mergeCell ref="A1139:B1139"/>
    <mergeCell ref="C1139:D1139"/>
    <mergeCell ref="A1140:B1140"/>
    <mergeCell ref="C1140:D1140"/>
    <mergeCell ref="A1141:C1141"/>
    <mergeCell ref="A1142:C1142"/>
    <mergeCell ref="A1143:C1143"/>
    <mergeCell ref="A1144:C1144"/>
    <mergeCell ref="A1146:D1146"/>
    <mergeCell ref="A1147:D1147"/>
    <mergeCell ref="A1117:D1118"/>
    <mergeCell ref="A1119:B1119"/>
    <mergeCell ref="C1119:D1119"/>
    <mergeCell ref="A1120:D1120"/>
    <mergeCell ref="A1123:B1123"/>
    <mergeCell ref="C1123:D1123"/>
    <mergeCell ref="A1124:B1124"/>
    <mergeCell ref="C1124:D1124"/>
    <mergeCell ref="A1125:C1125"/>
    <mergeCell ref="A1126:C1126"/>
    <mergeCell ref="A1127:C1127"/>
    <mergeCell ref="A1128:C1128"/>
    <mergeCell ref="A1130:D1130"/>
    <mergeCell ref="A1131:D1131"/>
    <mergeCell ref="A1133:D1134"/>
    <mergeCell ref="A1135:B1135"/>
    <mergeCell ref="C1135:D1135"/>
    <mergeCell ref="A1099:D1099"/>
    <mergeCell ref="A1100:D1100"/>
    <mergeCell ref="A1102:D1103"/>
    <mergeCell ref="A1104:B1104"/>
    <mergeCell ref="C1104:D1104"/>
    <mergeCell ref="A1105:D1105"/>
    <mergeCell ref="A1108:B1108"/>
    <mergeCell ref="C1108:D1108"/>
    <mergeCell ref="A1109:B1109"/>
    <mergeCell ref="C1109:D1109"/>
    <mergeCell ref="A1110:C1110"/>
    <mergeCell ref="A1111:C1111"/>
    <mergeCell ref="A1112:C1112"/>
    <mergeCell ref="A1113:C1113"/>
    <mergeCell ref="A1115:D1115"/>
    <mergeCell ref="A1116:D1116"/>
    <mergeCell ref="A1080:C1080"/>
    <mergeCell ref="A1081:C1081"/>
    <mergeCell ref="A1082:C1082"/>
    <mergeCell ref="A1084:D1084"/>
    <mergeCell ref="A1085:D1085"/>
    <mergeCell ref="A1086:D1087"/>
    <mergeCell ref="A1088:B1088"/>
    <mergeCell ref="C1088:D1088"/>
    <mergeCell ref="A1089:D1089"/>
    <mergeCell ref="A1092:B1092"/>
    <mergeCell ref="C1092:D1092"/>
    <mergeCell ref="A1093:B1093"/>
    <mergeCell ref="C1093:D1093"/>
    <mergeCell ref="A1094:C1094"/>
    <mergeCell ref="A1095:C1095"/>
    <mergeCell ref="A1096:C1096"/>
    <mergeCell ref="A1058:D1058"/>
    <mergeCell ref="A1061:B1061"/>
    <mergeCell ref="C1061:D1061"/>
    <mergeCell ref="A1097:C1097"/>
    <mergeCell ref="A1062:B1062"/>
    <mergeCell ref="C1062:D1062"/>
    <mergeCell ref="A1063:C1063"/>
    <mergeCell ref="A1064:C1064"/>
    <mergeCell ref="A1065:C1065"/>
    <mergeCell ref="A1066:C1066"/>
    <mergeCell ref="A1068:D1068"/>
    <mergeCell ref="A1069:D1069"/>
    <mergeCell ref="A1071:D1072"/>
    <mergeCell ref="A1073:B1073"/>
    <mergeCell ref="C1073:D1073"/>
    <mergeCell ref="A1074:D1074"/>
    <mergeCell ref="A1077:B1077"/>
    <mergeCell ref="C1077:D1077"/>
    <mergeCell ref="A1078:B1078"/>
    <mergeCell ref="C1078:D1078"/>
    <mergeCell ref="A1079:C1079"/>
    <mergeCell ref="A1040:D1041"/>
    <mergeCell ref="A1042:B1042"/>
    <mergeCell ref="C1042:D1042"/>
    <mergeCell ref="A1043:D1043"/>
    <mergeCell ref="A1046:B1046"/>
    <mergeCell ref="C1046:D1046"/>
    <mergeCell ref="A1047:B1047"/>
    <mergeCell ref="C1047:D1047"/>
    <mergeCell ref="A1048:C1048"/>
    <mergeCell ref="A1049:C1049"/>
    <mergeCell ref="A1050:C1050"/>
    <mergeCell ref="A1051:C1051"/>
    <mergeCell ref="A1053:D1053"/>
    <mergeCell ref="A1054:D1054"/>
    <mergeCell ref="A1055:D1056"/>
    <mergeCell ref="A1057:B1057"/>
    <mergeCell ref="C1057:D1057"/>
    <mergeCell ref="A1020:C1020"/>
    <mergeCell ref="A1022:D1022"/>
    <mergeCell ref="A1023:D1023"/>
    <mergeCell ref="A1024:D1025"/>
    <mergeCell ref="A1026:B1026"/>
    <mergeCell ref="C1026:D1026"/>
    <mergeCell ref="A1027:D1027"/>
    <mergeCell ref="A1030:B1030"/>
    <mergeCell ref="C1030:D1030"/>
    <mergeCell ref="A1031:B1031"/>
    <mergeCell ref="C1031:D1031"/>
    <mergeCell ref="A1032:C1032"/>
    <mergeCell ref="A1033:C1033"/>
    <mergeCell ref="A1034:C1034"/>
    <mergeCell ref="A1035:C1035"/>
    <mergeCell ref="A1037:D1037"/>
    <mergeCell ref="A1038:D1038"/>
    <mergeCell ref="A1001:C1001"/>
    <mergeCell ref="A1002:C1002"/>
    <mergeCell ref="A1003:C1003"/>
    <mergeCell ref="A1004:C1004"/>
    <mergeCell ref="A1006:D1006"/>
    <mergeCell ref="A1007:D1007"/>
    <mergeCell ref="A1009:D1010"/>
    <mergeCell ref="A1011:B1011"/>
    <mergeCell ref="C1011:D1011"/>
    <mergeCell ref="A1012:D1012"/>
    <mergeCell ref="A1015:B1015"/>
    <mergeCell ref="C1015:D1015"/>
    <mergeCell ref="A1016:B1016"/>
    <mergeCell ref="C1016:D1016"/>
    <mergeCell ref="A1017:C1017"/>
    <mergeCell ref="A1018:C1018"/>
    <mergeCell ref="A1019:C1019"/>
    <mergeCell ref="A984:B984"/>
    <mergeCell ref="C984:D984"/>
    <mergeCell ref="A985:B985"/>
    <mergeCell ref="C985:D985"/>
    <mergeCell ref="A986:C986"/>
    <mergeCell ref="A987:C987"/>
    <mergeCell ref="A988:C988"/>
    <mergeCell ref="A989:C989"/>
    <mergeCell ref="A991:D991"/>
    <mergeCell ref="A992:D992"/>
    <mergeCell ref="A993:D994"/>
    <mergeCell ref="A995:B995"/>
    <mergeCell ref="C995:D995"/>
    <mergeCell ref="A996:D996"/>
    <mergeCell ref="A999:B999"/>
    <mergeCell ref="C999:D999"/>
    <mergeCell ref="A1000:B1000"/>
    <mergeCell ref="C1000:D1000"/>
    <mergeCell ref="A964:B964"/>
    <mergeCell ref="C964:D964"/>
    <mergeCell ref="A965:D965"/>
    <mergeCell ref="A968:B968"/>
    <mergeCell ref="C968:D968"/>
    <mergeCell ref="A969:B969"/>
    <mergeCell ref="C969:D969"/>
    <mergeCell ref="A970:C970"/>
    <mergeCell ref="A971:C971"/>
    <mergeCell ref="A972:C972"/>
    <mergeCell ref="A973:C973"/>
    <mergeCell ref="A975:D975"/>
    <mergeCell ref="A976:D976"/>
    <mergeCell ref="A978:D979"/>
    <mergeCell ref="A980:B980"/>
    <mergeCell ref="C980:D980"/>
    <mergeCell ref="A981:D981"/>
    <mergeCell ref="A944:D944"/>
    <mergeCell ref="A945:D945"/>
    <mergeCell ref="A947:D948"/>
    <mergeCell ref="A949:B949"/>
    <mergeCell ref="C949:D949"/>
    <mergeCell ref="A950:D950"/>
    <mergeCell ref="A953:B953"/>
    <mergeCell ref="C953:D953"/>
    <mergeCell ref="A954:B954"/>
    <mergeCell ref="C954:D954"/>
    <mergeCell ref="A955:C955"/>
    <mergeCell ref="A956:C956"/>
    <mergeCell ref="A957:C957"/>
    <mergeCell ref="A958:C958"/>
    <mergeCell ref="A960:D960"/>
    <mergeCell ref="A961:D961"/>
    <mergeCell ref="A962:D963"/>
    <mergeCell ref="A925:C925"/>
    <mergeCell ref="A926:C926"/>
    <mergeCell ref="A927:C927"/>
    <mergeCell ref="A929:D929"/>
    <mergeCell ref="A930:D930"/>
    <mergeCell ref="A931:D932"/>
    <mergeCell ref="A933:B933"/>
    <mergeCell ref="C933:D933"/>
    <mergeCell ref="A934:D934"/>
    <mergeCell ref="A937:B937"/>
    <mergeCell ref="C937:D937"/>
    <mergeCell ref="A938:B938"/>
    <mergeCell ref="C938:D938"/>
    <mergeCell ref="A939:C939"/>
    <mergeCell ref="A940:C940"/>
    <mergeCell ref="A941:C941"/>
    <mergeCell ref="A942:C942"/>
    <mergeCell ref="A907:B907"/>
    <mergeCell ref="C907:D907"/>
    <mergeCell ref="A908:C908"/>
    <mergeCell ref="A909:C909"/>
    <mergeCell ref="A910:C910"/>
    <mergeCell ref="A911:C911"/>
    <mergeCell ref="A913:D913"/>
    <mergeCell ref="A914:D914"/>
    <mergeCell ref="A916:D917"/>
    <mergeCell ref="A918:B918"/>
    <mergeCell ref="C918:D918"/>
    <mergeCell ref="A919:D919"/>
    <mergeCell ref="A922:B922"/>
    <mergeCell ref="C922:D922"/>
    <mergeCell ref="A923:B923"/>
    <mergeCell ref="C923:D923"/>
    <mergeCell ref="A924:C924"/>
    <mergeCell ref="A888:D888"/>
    <mergeCell ref="A891:B891"/>
    <mergeCell ref="C891:D891"/>
    <mergeCell ref="A892:B892"/>
    <mergeCell ref="C892:D892"/>
    <mergeCell ref="A893:C893"/>
    <mergeCell ref="A894:C894"/>
    <mergeCell ref="A895:C895"/>
    <mergeCell ref="A896:C896"/>
    <mergeCell ref="A898:D898"/>
    <mergeCell ref="A899:D899"/>
    <mergeCell ref="A900:D901"/>
    <mergeCell ref="A902:B902"/>
    <mergeCell ref="C902:D902"/>
    <mergeCell ref="A903:D903"/>
    <mergeCell ref="A906:B906"/>
    <mergeCell ref="C906:D906"/>
    <mergeCell ref="A869:D870"/>
    <mergeCell ref="A871:B871"/>
    <mergeCell ref="C871:D871"/>
    <mergeCell ref="A872:D872"/>
    <mergeCell ref="A875:B875"/>
    <mergeCell ref="C875:D875"/>
    <mergeCell ref="A876:B876"/>
    <mergeCell ref="C876:D876"/>
    <mergeCell ref="A877:C877"/>
    <mergeCell ref="A878:C878"/>
    <mergeCell ref="A879:C879"/>
    <mergeCell ref="A880:C880"/>
    <mergeCell ref="A882:D882"/>
    <mergeCell ref="A883:D883"/>
    <mergeCell ref="A885:D886"/>
    <mergeCell ref="A887:B887"/>
    <mergeCell ref="C887:D887"/>
    <mergeCell ref="A851:D851"/>
    <mergeCell ref="A852:D852"/>
    <mergeCell ref="A854:D855"/>
    <mergeCell ref="A856:B856"/>
    <mergeCell ref="C856:D856"/>
    <mergeCell ref="A857:D857"/>
    <mergeCell ref="A860:B860"/>
    <mergeCell ref="C860:D860"/>
    <mergeCell ref="A861:B861"/>
    <mergeCell ref="C861:D861"/>
    <mergeCell ref="A862:C862"/>
    <mergeCell ref="A863:C863"/>
    <mergeCell ref="A864:C864"/>
    <mergeCell ref="A865:C865"/>
    <mergeCell ref="A867:D867"/>
    <mergeCell ref="A868:D868"/>
    <mergeCell ref="E868:F868"/>
    <mergeCell ref="A832:C832"/>
    <mergeCell ref="A833:C833"/>
    <mergeCell ref="A834:C834"/>
    <mergeCell ref="A836:D836"/>
    <mergeCell ref="A837:D837"/>
    <mergeCell ref="A838:D839"/>
    <mergeCell ref="A840:B840"/>
    <mergeCell ref="C840:D840"/>
    <mergeCell ref="A841:D841"/>
    <mergeCell ref="A844:B844"/>
    <mergeCell ref="C844:D844"/>
    <mergeCell ref="A845:B845"/>
    <mergeCell ref="C845:D845"/>
    <mergeCell ref="A846:C846"/>
    <mergeCell ref="A847:C847"/>
    <mergeCell ref="A848:C848"/>
    <mergeCell ref="A849:C849"/>
    <mergeCell ref="A814:B814"/>
    <mergeCell ref="C814:D814"/>
    <mergeCell ref="A815:C815"/>
    <mergeCell ref="A816:C816"/>
    <mergeCell ref="A817:C817"/>
    <mergeCell ref="A818:C818"/>
    <mergeCell ref="A820:D820"/>
    <mergeCell ref="A821:D821"/>
    <mergeCell ref="A823:D824"/>
    <mergeCell ref="A825:B825"/>
    <mergeCell ref="C825:D825"/>
    <mergeCell ref="A826:D826"/>
    <mergeCell ref="A829:B829"/>
    <mergeCell ref="C829:D829"/>
    <mergeCell ref="A830:B830"/>
    <mergeCell ref="C830:D830"/>
    <mergeCell ref="A831:C831"/>
    <mergeCell ref="A795:D795"/>
    <mergeCell ref="A798:B798"/>
    <mergeCell ref="C798:D798"/>
    <mergeCell ref="A799:B799"/>
    <mergeCell ref="C799:D799"/>
    <mergeCell ref="A800:C800"/>
    <mergeCell ref="A801:C801"/>
    <mergeCell ref="A802:C802"/>
    <mergeCell ref="A803:C803"/>
    <mergeCell ref="A805:D805"/>
    <mergeCell ref="A806:D806"/>
    <mergeCell ref="A807:D808"/>
    <mergeCell ref="A809:B809"/>
    <mergeCell ref="C809:D809"/>
    <mergeCell ref="A810:D810"/>
    <mergeCell ref="A813:B813"/>
    <mergeCell ref="C813:D813"/>
    <mergeCell ref="A776:D777"/>
    <mergeCell ref="A778:B778"/>
    <mergeCell ref="C778:D778"/>
    <mergeCell ref="A779:D779"/>
    <mergeCell ref="A782:B782"/>
    <mergeCell ref="C782:D782"/>
    <mergeCell ref="A783:B783"/>
    <mergeCell ref="C783:D783"/>
    <mergeCell ref="A784:C784"/>
    <mergeCell ref="A785:C785"/>
    <mergeCell ref="A786:C786"/>
    <mergeCell ref="A787:C787"/>
    <mergeCell ref="A789:D789"/>
    <mergeCell ref="A790:D790"/>
    <mergeCell ref="A792:D793"/>
    <mergeCell ref="A794:B794"/>
    <mergeCell ref="C794:D794"/>
    <mergeCell ref="A756:C756"/>
    <mergeCell ref="A758:D758"/>
    <mergeCell ref="A759:D759"/>
    <mergeCell ref="A761:D762"/>
    <mergeCell ref="A763:B763"/>
    <mergeCell ref="C763:D763"/>
    <mergeCell ref="A764:D764"/>
    <mergeCell ref="A767:B767"/>
    <mergeCell ref="C767:D767"/>
    <mergeCell ref="A768:B768"/>
    <mergeCell ref="C768:D768"/>
    <mergeCell ref="A769:C769"/>
    <mergeCell ref="A770:C770"/>
    <mergeCell ref="A771:C771"/>
    <mergeCell ref="A772:C772"/>
    <mergeCell ref="A774:D774"/>
    <mergeCell ref="A775:D775"/>
    <mergeCell ref="A738:C738"/>
    <mergeCell ref="A741:C741"/>
    <mergeCell ref="A743:D743"/>
    <mergeCell ref="A744:D744"/>
    <mergeCell ref="A745:D746"/>
    <mergeCell ref="A747:B747"/>
    <mergeCell ref="C747:D747"/>
    <mergeCell ref="A748:D748"/>
    <mergeCell ref="A751:B751"/>
    <mergeCell ref="C751:D751"/>
    <mergeCell ref="A752:B752"/>
    <mergeCell ref="C752:D752"/>
    <mergeCell ref="A753:C753"/>
    <mergeCell ref="A754:C754"/>
    <mergeCell ref="A755:C755"/>
    <mergeCell ref="A737:B737"/>
    <mergeCell ref="C737:D737"/>
    <mergeCell ref="A739:C739"/>
    <mergeCell ref="A740:C740"/>
    <mergeCell ref="A720:B720"/>
    <mergeCell ref="C720:D720"/>
    <mergeCell ref="A721:B721"/>
    <mergeCell ref="C721:D721"/>
    <mergeCell ref="A722:C722"/>
    <mergeCell ref="A723:C723"/>
    <mergeCell ref="A724:C724"/>
    <mergeCell ref="A725:C725"/>
    <mergeCell ref="A727:D727"/>
    <mergeCell ref="A728:D728"/>
    <mergeCell ref="A730:D731"/>
    <mergeCell ref="A732:B732"/>
    <mergeCell ref="C732:D732"/>
    <mergeCell ref="A733:D733"/>
    <mergeCell ref="A736:B736"/>
    <mergeCell ref="C736:D736"/>
    <mergeCell ref="A701:B701"/>
    <mergeCell ref="C701:D701"/>
    <mergeCell ref="A702:D702"/>
    <mergeCell ref="A705:B705"/>
    <mergeCell ref="C705:D705"/>
    <mergeCell ref="A706:B706"/>
    <mergeCell ref="C706:D706"/>
    <mergeCell ref="A707:C707"/>
    <mergeCell ref="A708:C708"/>
    <mergeCell ref="A709:C709"/>
    <mergeCell ref="A710:C710"/>
    <mergeCell ref="A712:D712"/>
    <mergeCell ref="A713:D713"/>
    <mergeCell ref="A714:D715"/>
    <mergeCell ref="A716:B716"/>
    <mergeCell ref="C716:D716"/>
    <mergeCell ref="A717:D717"/>
    <mergeCell ref="A681:D681"/>
    <mergeCell ref="A682:D682"/>
    <mergeCell ref="A683:D684"/>
    <mergeCell ref="A685:B685"/>
    <mergeCell ref="C685:D685"/>
    <mergeCell ref="A686:D686"/>
    <mergeCell ref="A689:B689"/>
    <mergeCell ref="C689:D689"/>
    <mergeCell ref="A690:B690"/>
    <mergeCell ref="C690:D690"/>
    <mergeCell ref="A691:C691"/>
    <mergeCell ref="A692:C692"/>
    <mergeCell ref="A693:C693"/>
    <mergeCell ref="A694:C694"/>
    <mergeCell ref="A696:D696"/>
    <mergeCell ref="A697:D697"/>
    <mergeCell ref="A699:D700"/>
    <mergeCell ref="A661:C661"/>
    <mergeCell ref="A662:C662"/>
    <mergeCell ref="A663:C663"/>
    <mergeCell ref="A665:D665"/>
    <mergeCell ref="A666:D666"/>
    <mergeCell ref="A668:D669"/>
    <mergeCell ref="A670:B670"/>
    <mergeCell ref="C670:D670"/>
    <mergeCell ref="A671:D671"/>
    <mergeCell ref="A674:B674"/>
    <mergeCell ref="C674:D674"/>
    <mergeCell ref="A675:B675"/>
    <mergeCell ref="C675:D675"/>
    <mergeCell ref="A676:C676"/>
    <mergeCell ref="A677:C677"/>
    <mergeCell ref="A678:C678"/>
    <mergeCell ref="A679:C679"/>
    <mergeCell ref="A644:B644"/>
    <mergeCell ref="C644:D644"/>
    <mergeCell ref="A645:C645"/>
    <mergeCell ref="A646:C646"/>
    <mergeCell ref="A647:C647"/>
    <mergeCell ref="A648:C648"/>
    <mergeCell ref="A650:D650"/>
    <mergeCell ref="A651:D651"/>
    <mergeCell ref="A652:D653"/>
    <mergeCell ref="A654:B654"/>
    <mergeCell ref="C654:D654"/>
    <mergeCell ref="A655:D655"/>
    <mergeCell ref="A658:B658"/>
    <mergeCell ref="C658:D658"/>
    <mergeCell ref="A659:B659"/>
    <mergeCell ref="C659:D659"/>
    <mergeCell ref="A660:C660"/>
    <mergeCell ref="A624:D624"/>
    <mergeCell ref="A627:B627"/>
    <mergeCell ref="C627:D627"/>
    <mergeCell ref="A628:B628"/>
    <mergeCell ref="C628:D628"/>
    <mergeCell ref="A629:C629"/>
    <mergeCell ref="A630:C630"/>
    <mergeCell ref="A631:C631"/>
    <mergeCell ref="A632:C632"/>
    <mergeCell ref="A634:D634"/>
    <mergeCell ref="A635:D635"/>
    <mergeCell ref="A637:D638"/>
    <mergeCell ref="A639:B639"/>
    <mergeCell ref="C639:D639"/>
    <mergeCell ref="A640:D640"/>
    <mergeCell ref="A643:B643"/>
    <mergeCell ref="C643:D643"/>
    <mergeCell ref="A606:D607"/>
    <mergeCell ref="A608:B608"/>
    <mergeCell ref="C608:D608"/>
    <mergeCell ref="A609:D609"/>
    <mergeCell ref="A612:B612"/>
    <mergeCell ref="C612:D612"/>
    <mergeCell ref="A613:B613"/>
    <mergeCell ref="C613:D613"/>
    <mergeCell ref="A614:C614"/>
    <mergeCell ref="A615:C615"/>
    <mergeCell ref="A616:C616"/>
    <mergeCell ref="A617:C617"/>
    <mergeCell ref="A619:D619"/>
    <mergeCell ref="A620:D620"/>
    <mergeCell ref="A621:D622"/>
    <mergeCell ref="A623:B623"/>
    <mergeCell ref="C623:D623"/>
    <mergeCell ref="A586:C586"/>
    <mergeCell ref="A588:D588"/>
    <mergeCell ref="A589:D589"/>
    <mergeCell ref="A590:D591"/>
    <mergeCell ref="A592:B592"/>
    <mergeCell ref="C592:D592"/>
    <mergeCell ref="A593:D593"/>
    <mergeCell ref="A596:B596"/>
    <mergeCell ref="C596:D596"/>
    <mergeCell ref="A597:B597"/>
    <mergeCell ref="C597:D597"/>
    <mergeCell ref="A598:C598"/>
    <mergeCell ref="A599:C599"/>
    <mergeCell ref="A600:C600"/>
    <mergeCell ref="A601:C601"/>
    <mergeCell ref="A603:D603"/>
    <mergeCell ref="A604:D604"/>
    <mergeCell ref="A567:C567"/>
    <mergeCell ref="A568:C568"/>
    <mergeCell ref="A569:C569"/>
    <mergeCell ref="A570:C570"/>
    <mergeCell ref="A572:D572"/>
    <mergeCell ref="A573:D573"/>
    <mergeCell ref="A575:D576"/>
    <mergeCell ref="A577:B577"/>
    <mergeCell ref="C577:D577"/>
    <mergeCell ref="A578:D578"/>
    <mergeCell ref="A581:B581"/>
    <mergeCell ref="C581:D581"/>
    <mergeCell ref="A582:B582"/>
    <mergeCell ref="C582:D582"/>
    <mergeCell ref="A583:C583"/>
    <mergeCell ref="A584:C584"/>
    <mergeCell ref="A585:C585"/>
    <mergeCell ref="A550:B550"/>
    <mergeCell ref="C550:D550"/>
    <mergeCell ref="A551:B551"/>
    <mergeCell ref="C551:D551"/>
    <mergeCell ref="A552:C552"/>
    <mergeCell ref="A553:C553"/>
    <mergeCell ref="A554:C554"/>
    <mergeCell ref="A555:C555"/>
    <mergeCell ref="A557:D557"/>
    <mergeCell ref="A558:D558"/>
    <mergeCell ref="A559:D560"/>
    <mergeCell ref="A561:B561"/>
    <mergeCell ref="C561:D561"/>
    <mergeCell ref="A562:D562"/>
    <mergeCell ref="A565:B565"/>
    <mergeCell ref="C565:D565"/>
    <mergeCell ref="A566:B566"/>
    <mergeCell ref="C566:D566"/>
    <mergeCell ref="A530:B530"/>
    <mergeCell ref="C530:D530"/>
    <mergeCell ref="A531:D531"/>
    <mergeCell ref="A534:B534"/>
    <mergeCell ref="C534:D534"/>
    <mergeCell ref="A535:B535"/>
    <mergeCell ref="C535:D535"/>
    <mergeCell ref="A536:C536"/>
    <mergeCell ref="A537:C537"/>
    <mergeCell ref="A538:C538"/>
    <mergeCell ref="A539:C539"/>
    <mergeCell ref="A541:D541"/>
    <mergeCell ref="A542:D542"/>
    <mergeCell ref="A544:D545"/>
    <mergeCell ref="A546:B546"/>
    <mergeCell ref="C546:D546"/>
    <mergeCell ref="A547:D547"/>
    <mergeCell ref="A510:D510"/>
    <mergeCell ref="A511:D511"/>
    <mergeCell ref="A513:D514"/>
    <mergeCell ref="A515:B515"/>
    <mergeCell ref="C515:D515"/>
    <mergeCell ref="A516:D516"/>
    <mergeCell ref="A519:B519"/>
    <mergeCell ref="C519:D519"/>
    <mergeCell ref="A520:B520"/>
    <mergeCell ref="C520:D520"/>
    <mergeCell ref="A521:C521"/>
    <mergeCell ref="A522:C522"/>
    <mergeCell ref="A523:C523"/>
    <mergeCell ref="A524:C524"/>
    <mergeCell ref="A526:D526"/>
    <mergeCell ref="A527:D527"/>
    <mergeCell ref="A528:D529"/>
    <mergeCell ref="A491:C491"/>
    <mergeCell ref="A492:C492"/>
    <mergeCell ref="A493:C493"/>
    <mergeCell ref="A495:D495"/>
    <mergeCell ref="A496:D496"/>
    <mergeCell ref="A497:D498"/>
    <mergeCell ref="A499:B499"/>
    <mergeCell ref="C499:D499"/>
    <mergeCell ref="A500:D500"/>
    <mergeCell ref="A503:B503"/>
    <mergeCell ref="C503:D503"/>
    <mergeCell ref="A504:B504"/>
    <mergeCell ref="C504:D504"/>
    <mergeCell ref="A505:C505"/>
    <mergeCell ref="A506:C506"/>
    <mergeCell ref="A507:C507"/>
    <mergeCell ref="A508:C508"/>
    <mergeCell ref="A473:B473"/>
    <mergeCell ref="C473:D473"/>
    <mergeCell ref="A474:C474"/>
    <mergeCell ref="A475:C475"/>
    <mergeCell ref="A476:C476"/>
    <mergeCell ref="A477:C477"/>
    <mergeCell ref="A479:D479"/>
    <mergeCell ref="A480:D480"/>
    <mergeCell ref="A482:D483"/>
    <mergeCell ref="A484:B484"/>
    <mergeCell ref="C484:D484"/>
    <mergeCell ref="A485:D485"/>
    <mergeCell ref="A488:B488"/>
    <mergeCell ref="C488:D488"/>
    <mergeCell ref="A489:B489"/>
    <mergeCell ref="C489:D489"/>
    <mergeCell ref="A490:C490"/>
    <mergeCell ref="A454:D454"/>
    <mergeCell ref="A457:B457"/>
    <mergeCell ref="C457:D457"/>
    <mergeCell ref="A458:B458"/>
    <mergeCell ref="C458:D458"/>
    <mergeCell ref="A459:C459"/>
    <mergeCell ref="A460:C460"/>
    <mergeCell ref="A461:C461"/>
    <mergeCell ref="A462:C462"/>
    <mergeCell ref="A464:D464"/>
    <mergeCell ref="A465:D465"/>
    <mergeCell ref="A466:D467"/>
    <mergeCell ref="A468:B468"/>
    <mergeCell ref="C468:D468"/>
    <mergeCell ref="A469:D469"/>
    <mergeCell ref="A472:B472"/>
    <mergeCell ref="C472:D472"/>
    <mergeCell ref="A435:D436"/>
    <mergeCell ref="A437:B437"/>
    <mergeCell ref="C437:D437"/>
    <mergeCell ref="A438:D438"/>
    <mergeCell ref="A441:B441"/>
    <mergeCell ref="C441:D441"/>
    <mergeCell ref="A442:B442"/>
    <mergeCell ref="C442:D442"/>
    <mergeCell ref="A443:C443"/>
    <mergeCell ref="A444:C444"/>
    <mergeCell ref="A445:C445"/>
    <mergeCell ref="A446:C446"/>
    <mergeCell ref="A448:D448"/>
    <mergeCell ref="A449:D449"/>
    <mergeCell ref="A451:D452"/>
    <mergeCell ref="A453:B453"/>
    <mergeCell ref="C453:D453"/>
    <mergeCell ref="A415:C415"/>
    <mergeCell ref="A417:D417"/>
    <mergeCell ref="A418:D418"/>
    <mergeCell ref="A420:D421"/>
    <mergeCell ref="A422:B422"/>
    <mergeCell ref="C422:D422"/>
    <mergeCell ref="A423:D423"/>
    <mergeCell ref="A426:B426"/>
    <mergeCell ref="C426:D426"/>
    <mergeCell ref="A427:B427"/>
    <mergeCell ref="C427:D427"/>
    <mergeCell ref="A428:C428"/>
    <mergeCell ref="A429:C429"/>
    <mergeCell ref="A430:C430"/>
    <mergeCell ref="A431:C431"/>
    <mergeCell ref="A433:D433"/>
    <mergeCell ref="A434:D434"/>
    <mergeCell ref="B425:C425"/>
    <mergeCell ref="A397:C397"/>
    <mergeCell ref="A398:C398"/>
    <mergeCell ref="A399:C399"/>
    <mergeCell ref="A400:C400"/>
    <mergeCell ref="A402:D402"/>
    <mergeCell ref="A403:D403"/>
    <mergeCell ref="A404:D405"/>
    <mergeCell ref="A406:B406"/>
    <mergeCell ref="C406:D406"/>
    <mergeCell ref="A407:D407"/>
    <mergeCell ref="A410:B410"/>
    <mergeCell ref="C410:D410"/>
    <mergeCell ref="A411:B411"/>
    <mergeCell ref="C411:D411"/>
    <mergeCell ref="A412:C412"/>
    <mergeCell ref="A413:C413"/>
    <mergeCell ref="A414:C414"/>
    <mergeCell ref="B409:C409"/>
    <mergeCell ref="A379:B379"/>
    <mergeCell ref="C379:D379"/>
    <mergeCell ref="A380:B380"/>
    <mergeCell ref="C380:D380"/>
    <mergeCell ref="A381:C381"/>
    <mergeCell ref="A382:C382"/>
    <mergeCell ref="A383:C383"/>
    <mergeCell ref="A384:C384"/>
    <mergeCell ref="A386:D386"/>
    <mergeCell ref="A387:D387"/>
    <mergeCell ref="A389:D390"/>
    <mergeCell ref="A391:B391"/>
    <mergeCell ref="C391:D391"/>
    <mergeCell ref="A392:D392"/>
    <mergeCell ref="A395:B395"/>
    <mergeCell ref="C395:D395"/>
    <mergeCell ref="A396:B396"/>
    <mergeCell ref="C396:D396"/>
    <mergeCell ref="A360:B360"/>
    <mergeCell ref="C360:D360"/>
    <mergeCell ref="A361:D361"/>
    <mergeCell ref="A364:B364"/>
    <mergeCell ref="C364:D364"/>
    <mergeCell ref="A365:B365"/>
    <mergeCell ref="C365:D365"/>
    <mergeCell ref="A366:C366"/>
    <mergeCell ref="A367:C367"/>
    <mergeCell ref="A368:C368"/>
    <mergeCell ref="A369:C369"/>
    <mergeCell ref="A371:D371"/>
    <mergeCell ref="A372:D372"/>
    <mergeCell ref="A373:D374"/>
    <mergeCell ref="A375:B375"/>
    <mergeCell ref="C375:D375"/>
    <mergeCell ref="A376:D376"/>
    <mergeCell ref="A340:D340"/>
    <mergeCell ref="A341:D341"/>
    <mergeCell ref="A342:D343"/>
    <mergeCell ref="A344:B344"/>
    <mergeCell ref="C344:D344"/>
    <mergeCell ref="A345:D345"/>
    <mergeCell ref="A348:B348"/>
    <mergeCell ref="C348:D348"/>
    <mergeCell ref="A349:B349"/>
    <mergeCell ref="C349:D349"/>
    <mergeCell ref="A350:C350"/>
    <mergeCell ref="A351:C351"/>
    <mergeCell ref="A352:C352"/>
    <mergeCell ref="A353:C353"/>
    <mergeCell ref="A355:D355"/>
    <mergeCell ref="A356:D356"/>
    <mergeCell ref="A358:D359"/>
    <mergeCell ref="A320:C320"/>
    <mergeCell ref="A321:C321"/>
    <mergeCell ref="A322:C322"/>
    <mergeCell ref="A324:D324"/>
    <mergeCell ref="A325:D325"/>
    <mergeCell ref="A327:D328"/>
    <mergeCell ref="A329:B329"/>
    <mergeCell ref="C329:D329"/>
    <mergeCell ref="A330:D330"/>
    <mergeCell ref="A333:B333"/>
    <mergeCell ref="C333:D333"/>
    <mergeCell ref="A334:B334"/>
    <mergeCell ref="C334:D334"/>
    <mergeCell ref="A335:C335"/>
    <mergeCell ref="A336:C336"/>
    <mergeCell ref="A337:C337"/>
    <mergeCell ref="A338:C338"/>
    <mergeCell ref="A303:B303"/>
    <mergeCell ref="C303:D303"/>
    <mergeCell ref="A304:C304"/>
    <mergeCell ref="A305:C305"/>
    <mergeCell ref="A306:C306"/>
    <mergeCell ref="A307:C307"/>
    <mergeCell ref="A309:D309"/>
    <mergeCell ref="A310:D310"/>
    <mergeCell ref="A311:D312"/>
    <mergeCell ref="A313:B313"/>
    <mergeCell ref="C313:D313"/>
    <mergeCell ref="A314:D314"/>
    <mergeCell ref="A317:B317"/>
    <mergeCell ref="C317:D317"/>
    <mergeCell ref="A318:B318"/>
    <mergeCell ref="C318:D318"/>
    <mergeCell ref="A319:C319"/>
    <mergeCell ref="A283:D283"/>
    <mergeCell ref="A286:B286"/>
    <mergeCell ref="C286:D286"/>
    <mergeCell ref="A287:B287"/>
    <mergeCell ref="C287:D287"/>
    <mergeCell ref="A288:C288"/>
    <mergeCell ref="A289:C289"/>
    <mergeCell ref="A290:C290"/>
    <mergeCell ref="A291:C291"/>
    <mergeCell ref="A293:D293"/>
    <mergeCell ref="A294:D294"/>
    <mergeCell ref="A296:D297"/>
    <mergeCell ref="A298:B298"/>
    <mergeCell ref="C298:D298"/>
    <mergeCell ref="A299:D299"/>
    <mergeCell ref="A302:B302"/>
    <mergeCell ref="C302:D302"/>
    <mergeCell ref="A265:D266"/>
    <mergeCell ref="A267:B267"/>
    <mergeCell ref="C267:D267"/>
    <mergeCell ref="A268:D268"/>
    <mergeCell ref="A271:B271"/>
    <mergeCell ref="C271:D271"/>
    <mergeCell ref="A272:B272"/>
    <mergeCell ref="C272:D272"/>
    <mergeCell ref="A273:C273"/>
    <mergeCell ref="A274:C274"/>
    <mergeCell ref="A275:C275"/>
    <mergeCell ref="A276:C276"/>
    <mergeCell ref="A278:D278"/>
    <mergeCell ref="A279:D279"/>
    <mergeCell ref="A280:D281"/>
    <mergeCell ref="A282:B282"/>
    <mergeCell ref="C282:D282"/>
    <mergeCell ref="A245:C245"/>
    <mergeCell ref="A247:D247"/>
    <mergeCell ref="A248:D248"/>
    <mergeCell ref="A249:D250"/>
    <mergeCell ref="A251:B251"/>
    <mergeCell ref="C251:D251"/>
    <mergeCell ref="A252:D252"/>
    <mergeCell ref="A255:B255"/>
    <mergeCell ref="C255:D255"/>
    <mergeCell ref="A256:B256"/>
    <mergeCell ref="C256:D256"/>
    <mergeCell ref="A257:C257"/>
    <mergeCell ref="A258:C258"/>
    <mergeCell ref="A259:C259"/>
    <mergeCell ref="A260:C260"/>
    <mergeCell ref="A262:D262"/>
    <mergeCell ref="A263:D263"/>
    <mergeCell ref="A226:C226"/>
    <mergeCell ref="A227:C227"/>
    <mergeCell ref="A228:C228"/>
    <mergeCell ref="A229:C229"/>
    <mergeCell ref="A231:D231"/>
    <mergeCell ref="A232:D232"/>
    <mergeCell ref="A234:D235"/>
    <mergeCell ref="A236:B236"/>
    <mergeCell ref="C236:D236"/>
    <mergeCell ref="A237:D237"/>
    <mergeCell ref="A240:B240"/>
    <mergeCell ref="C240:D240"/>
    <mergeCell ref="A241:B241"/>
    <mergeCell ref="C241:D241"/>
    <mergeCell ref="A242:C242"/>
    <mergeCell ref="A243:C243"/>
    <mergeCell ref="A244:C244"/>
    <mergeCell ref="A209:B209"/>
    <mergeCell ref="C209:D209"/>
    <mergeCell ref="A210:B210"/>
    <mergeCell ref="C210:D210"/>
    <mergeCell ref="A211:C211"/>
    <mergeCell ref="A212:C212"/>
    <mergeCell ref="A213:C213"/>
    <mergeCell ref="A214:C214"/>
    <mergeCell ref="A216:D216"/>
    <mergeCell ref="A217:D217"/>
    <mergeCell ref="A218:D219"/>
    <mergeCell ref="A220:B220"/>
    <mergeCell ref="C220:D220"/>
    <mergeCell ref="A221:D221"/>
    <mergeCell ref="A224:B224"/>
    <mergeCell ref="C224:D224"/>
    <mergeCell ref="A225:B225"/>
    <mergeCell ref="C225:D225"/>
    <mergeCell ref="A189:B189"/>
    <mergeCell ref="C189:D189"/>
    <mergeCell ref="A190:D190"/>
    <mergeCell ref="A193:B193"/>
    <mergeCell ref="C193:D193"/>
    <mergeCell ref="A194:B194"/>
    <mergeCell ref="C194:D194"/>
    <mergeCell ref="A195:C195"/>
    <mergeCell ref="A196:C196"/>
    <mergeCell ref="A197:C197"/>
    <mergeCell ref="A198:C198"/>
    <mergeCell ref="A200:D200"/>
    <mergeCell ref="A201:D201"/>
    <mergeCell ref="A203:D204"/>
    <mergeCell ref="A205:B205"/>
    <mergeCell ref="C205:D205"/>
    <mergeCell ref="A206:D206"/>
    <mergeCell ref="A169:D169"/>
    <mergeCell ref="A170:D170"/>
    <mergeCell ref="A172:D173"/>
    <mergeCell ref="A174:B174"/>
    <mergeCell ref="C174:D174"/>
    <mergeCell ref="A175:D175"/>
    <mergeCell ref="A178:B178"/>
    <mergeCell ref="C178:D178"/>
    <mergeCell ref="A179:B179"/>
    <mergeCell ref="C179:D179"/>
    <mergeCell ref="A180:C180"/>
    <mergeCell ref="A181:C181"/>
    <mergeCell ref="A182:C182"/>
    <mergeCell ref="A183:C183"/>
    <mergeCell ref="A185:D185"/>
    <mergeCell ref="A186:D186"/>
    <mergeCell ref="A187:D188"/>
    <mergeCell ref="A150:C150"/>
    <mergeCell ref="A151:C151"/>
    <mergeCell ref="A152:C152"/>
    <mergeCell ref="A154:D154"/>
    <mergeCell ref="A155:D155"/>
    <mergeCell ref="A156:D157"/>
    <mergeCell ref="A158:B158"/>
    <mergeCell ref="C158:D158"/>
    <mergeCell ref="A159:D159"/>
    <mergeCell ref="A162:B162"/>
    <mergeCell ref="C162:D162"/>
    <mergeCell ref="A163:B163"/>
    <mergeCell ref="C163:D163"/>
    <mergeCell ref="A164:C164"/>
    <mergeCell ref="A165:C165"/>
    <mergeCell ref="A166:C166"/>
    <mergeCell ref="A167:C167"/>
    <mergeCell ref="A132:B132"/>
    <mergeCell ref="C132:D132"/>
    <mergeCell ref="A133:C133"/>
    <mergeCell ref="A134:C134"/>
    <mergeCell ref="A135:C135"/>
    <mergeCell ref="A136:C136"/>
    <mergeCell ref="A138:D138"/>
    <mergeCell ref="A139:D139"/>
    <mergeCell ref="A141:D142"/>
    <mergeCell ref="A143:B143"/>
    <mergeCell ref="C143:D143"/>
    <mergeCell ref="A144:D144"/>
    <mergeCell ref="A147:B147"/>
    <mergeCell ref="C147:D147"/>
    <mergeCell ref="A148:B148"/>
    <mergeCell ref="C148:D148"/>
    <mergeCell ref="A149:C149"/>
    <mergeCell ref="A113:D113"/>
    <mergeCell ref="A116:B116"/>
    <mergeCell ref="C116:D116"/>
    <mergeCell ref="A117:B117"/>
    <mergeCell ref="C117:D117"/>
    <mergeCell ref="A118:C118"/>
    <mergeCell ref="A119:C119"/>
    <mergeCell ref="A120:C120"/>
    <mergeCell ref="A121:C121"/>
    <mergeCell ref="A123:D123"/>
    <mergeCell ref="A124:D124"/>
    <mergeCell ref="A125:D126"/>
    <mergeCell ref="A127:B127"/>
    <mergeCell ref="C127:D127"/>
    <mergeCell ref="A128:D128"/>
    <mergeCell ref="A131:B131"/>
    <mergeCell ref="C131:D131"/>
    <mergeCell ref="A94:D95"/>
    <mergeCell ref="A96:B96"/>
    <mergeCell ref="C96:D96"/>
    <mergeCell ref="A97:D97"/>
    <mergeCell ref="A100:B100"/>
    <mergeCell ref="C100:D100"/>
    <mergeCell ref="A101:B101"/>
    <mergeCell ref="C101:D101"/>
    <mergeCell ref="A102:C102"/>
    <mergeCell ref="A103:C103"/>
    <mergeCell ref="A104:C104"/>
    <mergeCell ref="A105:C105"/>
    <mergeCell ref="A107:D107"/>
    <mergeCell ref="A108:D108"/>
    <mergeCell ref="A110:D111"/>
    <mergeCell ref="A112:B112"/>
    <mergeCell ref="C112:D112"/>
    <mergeCell ref="A74:C74"/>
    <mergeCell ref="A76:D76"/>
    <mergeCell ref="A77:D77"/>
    <mergeCell ref="A79:D80"/>
    <mergeCell ref="A81:B81"/>
    <mergeCell ref="C81:D81"/>
    <mergeCell ref="A82:D82"/>
    <mergeCell ref="A85:B85"/>
    <mergeCell ref="C85:D85"/>
    <mergeCell ref="A86:B86"/>
    <mergeCell ref="C86:D86"/>
    <mergeCell ref="A87:C87"/>
    <mergeCell ref="A88:C88"/>
    <mergeCell ref="A89:C89"/>
    <mergeCell ref="A90:C90"/>
    <mergeCell ref="A92:D92"/>
    <mergeCell ref="A93:D93"/>
    <mergeCell ref="A56:C56"/>
    <mergeCell ref="A57:C57"/>
    <mergeCell ref="A58:C58"/>
    <mergeCell ref="A59:C59"/>
    <mergeCell ref="A61:D61"/>
    <mergeCell ref="A62:D62"/>
    <mergeCell ref="A63:D64"/>
    <mergeCell ref="A65:B65"/>
    <mergeCell ref="C65:D65"/>
    <mergeCell ref="A66:D66"/>
    <mergeCell ref="A69:B69"/>
    <mergeCell ref="C69:D69"/>
    <mergeCell ref="A70:B70"/>
    <mergeCell ref="C70:D70"/>
    <mergeCell ref="A71:C71"/>
    <mergeCell ref="A72:C72"/>
    <mergeCell ref="A73:C73"/>
    <mergeCell ref="A25:C25"/>
    <mergeCell ref="A26:C26"/>
    <mergeCell ref="A39:B39"/>
    <mergeCell ref="C39:D39"/>
    <mergeCell ref="A40:C40"/>
    <mergeCell ref="A41:C41"/>
    <mergeCell ref="A42:C42"/>
    <mergeCell ref="A43:C43"/>
    <mergeCell ref="A45:D45"/>
    <mergeCell ref="A46:D46"/>
    <mergeCell ref="A48:D49"/>
    <mergeCell ref="A50:B50"/>
    <mergeCell ref="C50:D50"/>
    <mergeCell ref="A51:D51"/>
    <mergeCell ref="A54:B54"/>
    <mergeCell ref="C54:D54"/>
    <mergeCell ref="A55:B55"/>
    <mergeCell ref="C55:D55"/>
    <mergeCell ref="A1:D2"/>
    <mergeCell ref="A3:B3"/>
    <mergeCell ref="C3:D3"/>
    <mergeCell ref="A4:D4"/>
    <mergeCell ref="A7:B7"/>
    <mergeCell ref="C7:D7"/>
    <mergeCell ref="A27:C27"/>
    <mergeCell ref="A28:C28"/>
    <mergeCell ref="A30:D30"/>
    <mergeCell ref="A31:D31"/>
    <mergeCell ref="A32:D33"/>
    <mergeCell ref="A34:B34"/>
    <mergeCell ref="C34:D34"/>
    <mergeCell ref="A35:D35"/>
    <mergeCell ref="A38:B38"/>
    <mergeCell ref="C38:D38"/>
    <mergeCell ref="A8:B8"/>
    <mergeCell ref="C8:D8"/>
    <mergeCell ref="A9:C9"/>
    <mergeCell ref="A10:C10"/>
    <mergeCell ref="A11:C11"/>
    <mergeCell ref="A12:C12"/>
    <mergeCell ref="A14:D14"/>
    <mergeCell ref="A15:D15"/>
    <mergeCell ref="A17:D18"/>
    <mergeCell ref="A19:B19"/>
    <mergeCell ref="C19:D19"/>
    <mergeCell ref="A20:D20"/>
    <mergeCell ref="A23:B23"/>
    <mergeCell ref="C23:D23"/>
    <mergeCell ref="A24:B24"/>
    <mergeCell ref="C24:D24"/>
  </mergeCells>
  <printOptions horizontalCentered="1" verticalCentered="1"/>
  <pageMargins left="2.3622047244094491" right="2.2834645669291338" top="0.94488188976377963" bottom="0.23622047244094491" header="0.39370078740157483" footer="0.15748031496062992"/>
  <pageSetup scale="68" orientation="portrait" r:id="rId1"/>
  <headerFooter>
    <oddHeader>&amp;C&amp;P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139"/>
  <sheetViews>
    <sheetView showRuler="0" view="pageLayout" topLeftCell="A2124" zoomScale="60" zoomScaleNormal="70" zoomScalePageLayoutView="60" workbookViewId="0">
      <selection activeCell="A2117" sqref="A2117:C2117"/>
    </sheetView>
  </sheetViews>
  <sheetFormatPr defaultColWidth="10.7109375" defaultRowHeight="34.5" customHeight="1"/>
  <cols>
    <col min="1" max="1" width="14.7109375" style="31" customWidth="1"/>
    <col min="2" max="2" width="15.140625" style="30" customWidth="1"/>
    <col min="3" max="3" width="21.85546875" style="30" customWidth="1"/>
    <col min="4" max="4" width="19.7109375" style="29" customWidth="1"/>
    <col min="5" max="5" width="24.85546875" style="28" customWidth="1"/>
    <col min="6" max="6" width="25.28515625" style="28" customWidth="1"/>
    <col min="7" max="7" width="20" style="28" customWidth="1"/>
    <col min="8" max="8" width="13.28515625" style="28" customWidth="1"/>
    <col min="9" max="9" width="31.28515625" style="28" customWidth="1"/>
    <col min="10" max="10" width="13.5703125" style="27" customWidth="1"/>
    <col min="11" max="11" width="14" style="27" customWidth="1"/>
    <col min="12" max="12" width="22.7109375" style="27" customWidth="1"/>
    <col min="13" max="16384" width="10.7109375" style="27"/>
  </cols>
  <sheetData>
    <row r="1" spans="1:16" ht="34.5" customHeight="1">
      <c r="A1" s="159" t="s">
        <v>442</v>
      </c>
      <c r="B1" s="160" t="s">
        <v>441</v>
      </c>
      <c r="C1" s="160"/>
      <c r="D1" s="161"/>
      <c r="E1" s="44"/>
      <c r="K1" s="53"/>
      <c r="L1" s="52"/>
      <c r="M1" s="52"/>
      <c r="N1" s="52"/>
      <c r="O1" s="52"/>
      <c r="P1" s="51"/>
    </row>
    <row r="2" spans="1:16" ht="34.5" customHeight="1" thickBot="1">
      <c r="A2" s="162"/>
      <c r="B2" s="163"/>
      <c r="C2" s="163"/>
      <c r="D2" s="164"/>
      <c r="E2" s="44"/>
      <c r="K2" s="53"/>
      <c r="L2" s="58" t="s">
        <v>486</v>
      </c>
      <c r="M2" s="52"/>
      <c r="N2" s="52"/>
      <c r="O2" s="52"/>
      <c r="P2" s="51"/>
    </row>
    <row r="3" spans="1:16" ht="34.5" customHeight="1" thickBot="1">
      <c r="A3" s="142" t="s">
        <v>11</v>
      </c>
      <c r="B3" s="143"/>
      <c r="C3" s="165" t="s">
        <v>591</v>
      </c>
      <c r="D3" s="143"/>
      <c r="E3" s="57"/>
      <c r="K3" s="53"/>
      <c r="L3" s="52"/>
      <c r="M3" s="52"/>
      <c r="N3" s="52"/>
      <c r="O3" s="52"/>
      <c r="P3" s="51"/>
    </row>
    <row r="4" spans="1:16" ht="34.5" customHeight="1" thickBot="1">
      <c r="A4" s="137" t="s">
        <v>513</v>
      </c>
      <c r="B4" s="138"/>
      <c r="C4" s="138"/>
      <c r="D4" s="139"/>
      <c r="E4" s="56">
        <f>SUM(C13+C44+C75+C106+C137+C168+C199+C230+C261+C292+C323+C354+C385+C416+C447+C478+C509+C540+C571+C602+C633+C664+C695+C726+C757+C788+C819+C850+C881+C912+C943+C974+C1005+C1036+C1067+C1098+C1129+C1160+C1191+C1222+C1253+C1284+C1315+C1346+C1377+C1408+C1439+C1470+C1501+C1532+C1563+C1594+C1625+C1656+C1687+C1718+C1749+C1780+C1811+C1842+C1873+C1904+C1935+C1966+C1997+C2028+C2059+C2090+C2121)</f>
        <v>67165</v>
      </c>
      <c r="F4" s="55"/>
      <c r="G4" s="55"/>
      <c r="H4" s="55"/>
      <c r="K4" s="53"/>
      <c r="L4" s="52" t="e">
        <f>SUM(C13+C44+#REF!+#REF!+C137+#REF!+#REF!+#REF!+C261+C292+#REF!+#REF!+#REF!+#REF!+#REF!+#REF!+#REF!+#REF!+#REF!+#REF!+#REF!+#REF!+#REF!+#REF!+#REF!+#REF!+#REF!+#REF!+#REF!+#REF!+#REF!+#REF!+#REF!+#REF!+#REF!+#REF!+#REF!+#REF!+#REF!+#REF!+#REF!+#REF!+#REF!+#REF!+#REF!+#REF!+#REF!+#REF!+#REF!+#REF!+#REF!+#REF!+#REF!+C1036)</f>
        <v>#REF!</v>
      </c>
      <c r="M4" s="52"/>
      <c r="N4" s="52"/>
      <c r="O4" s="52"/>
      <c r="P4" s="51"/>
    </row>
    <row r="5" spans="1:16" ht="34.5" customHeight="1" thickBot="1">
      <c r="A5" s="34" t="s">
        <v>487</v>
      </c>
      <c r="B5" s="32" t="s">
        <v>438</v>
      </c>
      <c r="C5" s="34">
        <v>1</v>
      </c>
      <c r="D5" s="32" t="s">
        <v>0</v>
      </c>
      <c r="E5" s="54"/>
      <c r="K5" s="53"/>
      <c r="L5" s="52"/>
      <c r="M5" s="52"/>
      <c r="N5" s="52"/>
      <c r="O5" s="52"/>
      <c r="P5" s="51"/>
    </row>
    <row r="6" spans="1:16" ht="34.5" customHeight="1" thickBot="1">
      <c r="A6" s="37" t="s">
        <v>673</v>
      </c>
      <c r="B6" s="36" t="s">
        <v>1</v>
      </c>
      <c r="C6" s="34" t="s">
        <v>674</v>
      </c>
      <c r="D6" s="32" t="s">
        <v>2</v>
      </c>
      <c r="E6" s="47"/>
      <c r="K6" s="50"/>
      <c r="L6" s="49"/>
      <c r="M6" s="49"/>
      <c r="N6" s="49"/>
      <c r="O6" s="49"/>
      <c r="P6" s="48"/>
    </row>
    <row r="7" spans="1:16" ht="34.5" customHeight="1" thickBot="1">
      <c r="A7" s="140">
        <v>247</v>
      </c>
      <c r="B7" s="141"/>
      <c r="C7" s="142" t="s">
        <v>3</v>
      </c>
      <c r="D7" s="143"/>
      <c r="E7" s="47">
        <f>SUM(A9+A40+A71+A102+A133+A164+A195+A226+A257+A288+A319+A350+A381+A412+A443+A474+A505+A536+A567+A598+A629+A660+A691+A722+A753+A784+A815+A846+A877+A908+A939+A970+A1001+A1032+A1063+A1094+A1125+A1156+A1187+A1218+A1249+A1280+A1311+A1342+A1373+A1404+A1435+A1466+A1497+A1528+A1559+A1590+A1621+A1652+A1683+A1714+A1745+A1776+A1807+A1838+A1869+A1900+A1931+A1962+A1993+A2024+A2055+A2086+A2117)</f>
        <v>0</v>
      </c>
      <c r="F7" s="28">
        <v>67165</v>
      </c>
      <c r="G7" s="28" t="s">
        <v>439</v>
      </c>
    </row>
    <row r="8" spans="1:16" ht="34.5" customHeight="1" thickBot="1">
      <c r="A8" s="140">
        <v>247</v>
      </c>
      <c r="B8" s="141"/>
      <c r="C8" s="144" t="s">
        <v>4</v>
      </c>
      <c r="D8" s="145"/>
      <c r="E8" s="47">
        <v>1069</v>
      </c>
      <c r="F8" s="72">
        <v>24600</v>
      </c>
      <c r="G8" s="28" t="s">
        <v>619</v>
      </c>
    </row>
    <row r="9" spans="1:16" ht="34.5" customHeight="1" thickBot="1">
      <c r="A9" s="146">
        <f>A8-A7</f>
        <v>0</v>
      </c>
      <c r="B9" s="147"/>
      <c r="C9" s="148"/>
      <c r="D9" s="35" t="s">
        <v>5</v>
      </c>
      <c r="E9" s="41">
        <v>1246</v>
      </c>
      <c r="F9" s="72">
        <v>28680</v>
      </c>
      <c r="G9" s="28" t="s">
        <v>447</v>
      </c>
    </row>
    <row r="10" spans="1:16" ht="34.5" customHeight="1" thickBot="1">
      <c r="A10" s="149">
        <v>23</v>
      </c>
      <c r="B10" s="150"/>
      <c r="C10" s="151"/>
      <c r="D10" s="35" t="s">
        <v>6</v>
      </c>
      <c r="E10" s="41">
        <f>E9+E8+E7</f>
        <v>2315</v>
      </c>
      <c r="F10" s="72">
        <f>SUM(F7:F9)</f>
        <v>120445</v>
      </c>
    </row>
    <row r="11" spans="1:16" ht="34.5" customHeight="1" thickBot="1">
      <c r="A11" s="144">
        <f>A10*A9</f>
        <v>0</v>
      </c>
      <c r="B11" s="152"/>
      <c r="C11" s="145"/>
      <c r="D11" s="35" t="s">
        <v>7</v>
      </c>
      <c r="E11" s="41">
        <v>87</v>
      </c>
    </row>
    <row r="12" spans="1:16" ht="34.5" customHeight="1" thickBot="1">
      <c r="A12" s="144">
        <v>0</v>
      </c>
      <c r="B12" s="152"/>
      <c r="C12" s="145"/>
      <c r="D12" s="35" t="s">
        <v>437</v>
      </c>
      <c r="E12" s="75">
        <f>E10-E11</f>
        <v>2228</v>
      </c>
      <c r="F12" s="28">
        <v>23</v>
      </c>
      <c r="G12" s="74">
        <f>F12*E12</f>
        <v>51244</v>
      </c>
    </row>
    <row r="13" spans="1:16" ht="34.5" customHeight="1" thickBot="1">
      <c r="A13" s="34">
        <v>0</v>
      </c>
      <c r="B13" s="32" t="s">
        <v>8</v>
      </c>
      <c r="C13" s="33">
        <v>800</v>
      </c>
      <c r="D13" s="32" t="s">
        <v>9</v>
      </c>
      <c r="E13" s="41"/>
    </row>
    <row r="14" spans="1:16" ht="34.5" customHeight="1" thickBot="1">
      <c r="A14" s="153" t="s">
        <v>436</v>
      </c>
      <c r="B14" s="154"/>
      <c r="C14" s="154"/>
      <c r="D14" s="155"/>
      <c r="E14" s="88">
        <v>87</v>
      </c>
      <c r="F14" s="76">
        <v>23</v>
      </c>
      <c r="G14" s="77">
        <f>F14*E14</f>
        <v>2001</v>
      </c>
    </row>
    <row r="15" spans="1:16" ht="34.5" customHeight="1" thickBot="1">
      <c r="A15" s="156" t="s">
        <v>435</v>
      </c>
      <c r="B15" s="157"/>
      <c r="C15" s="157"/>
      <c r="D15" s="158"/>
      <c r="E15" s="41"/>
    </row>
    <row r="16" spans="1:16" ht="34.5" customHeight="1" thickBot="1">
      <c r="A16" s="40"/>
      <c r="B16" s="39"/>
      <c r="C16" s="39"/>
      <c r="D16" s="38"/>
      <c r="E16" s="41"/>
    </row>
    <row r="17" spans="1:5" ht="34.5" customHeight="1">
      <c r="A17" s="159" t="s">
        <v>442</v>
      </c>
      <c r="B17" s="160" t="s">
        <v>441</v>
      </c>
      <c r="C17" s="160"/>
      <c r="D17" s="161"/>
      <c r="E17" s="44"/>
    </row>
    <row r="18" spans="1:5" ht="34.5" customHeight="1" thickBot="1">
      <c r="A18" s="162"/>
      <c r="B18" s="163"/>
      <c r="C18" s="163"/>
      <c r="D18" s="164"/>
      <c r="E18" s="44"/>
    </row>
    <row r="19" spans="1:5" ht="34.5" customHeight="1" thickBot="1">
      <c r="A19" s="142" t="s">
        <v>11</v>
      </c>
      <c r="B19" s="143"/>
      <c r="C19" s="165" t="s">
        <v>591</v>
      </c>
      <c r="D19" s="143"/>
      <c r="E19" s="43"/>
    </row>
    <row r="20" spans="1:5" ht="34.5" customHeight="1" thickBot="1">
      <c r="A20" s="137" t="s">
        <v>513</v>
      </c>
      <c r="B20" s="138"/>
      <c r="C20" s="138"/>
      <c r="D20" s="139"/>
      <c r="E20" s="43"/>
    </row>
    <row r="21" spans="1:5" ht="34.5" customHeight="1" thickBot="1">
      <c r="A21" s="34" t="s">
        <v>487</v>
      </c>
      <c r="B21" s="32" t="s">
        <v>438</v>
      </c>
      <c r="C21" s="34">
        <v>1</v>
      </c>
      <c r="D21" s="32" t="s">
        <v>0</v>
      </c>
      <c r="E21" s="42"/>
    </row>
    <row r="22" spans="1:5" ht="34.5" customHeight="1" thickBot="1">
      <c r="A22" s="37" t="s">
        <v>673</v>
      </c>
      <c r="B22" s="36" t="s">
        <v>1</v>
      </c>
      <c r="C22" s="34" t="s">
        <v>674</v>
      </c>
      <c r="D22" s="32" t="s">
        <v>2</v>
      </c>
      <c r="E22" s="41"/>
    </row>
    <row r="23" spans="1:5" ht="34.5" customHeight="1" thickBot="1">
      <c r="A23" s="140">
        <v>212</v>
      </c>
      <c r="B23" s="141"/>
      <c r="C23" s="142" t="s">
        <v>3</v>
      </c>
      <c r="D23" s="143"/>
      <c r="E23" s="41"/>
    </row>
    <row r="24" spans="1:5" ht="34.5" customHeight="1" thickBot="1">
      <c r="A24" s="140">
        <v>247</v>
      </c>
      <c r="B24" s="141"/>
      <c r="C24" s="144" t="s">
        <v>4</v>
      </c>
      <c r="D24" s="145"/>
      <c r="E24" s="41"/>
    </row>
    <row r="25" spans="1:5" ht="34.5" customHeight="1" thickBot="1">
      <c r="A25" s="146">
        <f>A24-A23</f>
        <v>35</v>
      </c>
      <c r="B25" s="147"/>
      <c r="C25" s="148"/>
      <c r="D25" s="35" t="s">
        <v>5</v>
      </c>
      <c r="E25" s="41"/>
    </row>
    <row r="26" spans="1:5" ht="34.5" customHeight="1" thickBot="1">
      <c r="A26" s="149">
        <v>23</v>
      </c>
      <c r="B26" s="150"/>
      <c r="C26" s="151"/>
      <c r="D26" s="35" t="s">
        <v>6</v>
      </c>
      <c r="E26" s="41"/>
    </row>
    <row r="27" spans="1:5" ht="34.5" customHeight="1" thickBot="1">
      <c r="A27" s="144">
        <f>A26*A25</f>
        <v>805</v>
      </c>
      <c r="B27" s="152"/>
      <c r="C27" s="145"/>
      <c r="D27" s="35" t="s">
        <v>7</v>
      </c>
      <c r="E27" s="41"/>
    </row>
    <row r="28" spans="1:5" ht="34.5" customHeight="1" thickBot="1">
      <c r="A28" s="144">
        <v>0</v>
      </c>
      <c r="B28" s="152"/>
      <c r="C28" s="145"/>
      <c r="D28" s="35" t="s">
        <v>437</v>
      </c>
      <c r="E28" s="41" t="s">
        <v>10</v>
      </c>
    </row>
    <row r="29" spans="1:5" ht="34.5" customHeight="1" thickBot="1">
      <c r="A29" s="34">
        <v>0</v>
      </c>
      <c r="B29" s="32" t="s">
        <v>8</v>
      </c>
      <c r="C29" s="33">
        <v>800</v>
      </c>
      <c r="D29" s="32" t="s">
        <v>9</v>
      </c>
      <c r="E29" s="41"/>
    </row>
    <row r="30" spans="1:5" ht="34.5" customHeight="1" thickBot="1">
      <c r="A30" s="153" t="s">
        <v>436</v>
      </c>
      <c r="B30" s="154"/>
      <c r="C30" s="154"/>
      <c r="D30" s="155"/>
      <c r="E30" s="41"/>
    </row>
    <row r="31" spans="1:5" ht="34.5" customHeight="1" thickBot="1">
      <c r="A31" s="156" t="s">
        <v>435</v>
      </c>
      <c r="B31" s="157"/>
      <c r="C31" s="157"/>
      <c r="D31" s="158"/>
      <c r="E31" s="41"/>
    </row>
    <row r="32" spans="1:5" ht="34.5" customHeight="1">
      <c r="A32" s="159" t="s">
        <v>442</v>
      </c>
      <c r="B32" s="160" t="s">
        <v>441</v>
      </c>
      <c r="C32" s="160"/>
      <c r="D32" s="161"/>
      <c r="E32" s="44"/>
    </row>
    <row r="33" spans="1:5" ht="34.5" customHeight="1" thickBot="1">
      <c r="A33" s="162"/>
      <c r="B33" s="163"/>
      <c r="C33" s="163"/>
      <c r="D33" s="164"/>
      <c r="E33" s="44"/>
    </row>
    <row r="34" spans="1:5" ht="34.5" customHeight="1" thickBot="1">
      <c r="A34" s="142" t="s">
        <v>11</v>
      </c>
      <c r="B34" s="143"/>
      <c r="C34" s="165" t="s">
        <v>591</v>
      </c>
      <c r="D34" s="143"/>
      <c r="E34" s="43"/>
    </row>
    <row r="35" spans="1:5" ht="34.5" customHeight="1" thickBot="1">
      <c r="A35" s="137" t="s">
        <v>525</v>
      </c>
      <c r="B35" s="138"/>
      <c r="C35" s="138"/>
      <c r="D35" s="139"/>
      <c r="E35" s="43"/>
    </row>
    <row r="36" spans="1:5" ht="34.5" customHeight="1" thickBot="1">
      <c r="A36" s="34" t="s">
        <v>487</v>
      </c>
      <c r="B36" s="32" t="s">
        <v>438</v>
      </c>
      <c r="C36" s="34">
        <v>2</v>
      </c>
      <c r="D36" s="32" t="s">
        <v>0</v>
      </c>
      <c r="E36" s="42"/>
    </row>
    <row r="37" spans="1:5" ht="34.5" customHeight="1" thickBot="1">
      <c r="A37" s="37" t="s">
        <v>673</v>
      </c>
      <c r="B37" s="36" t="s">
        <v>1</v>
      </c>
      <c r="C37" s="34" t="s">
        <v>674</v>
      </c>
      <c r="D37" s="32" t="s">
        <v>2</v>
      </c>
      <c r="E37" s="41"/>
    </row>
    <row r="38" spans="1:5" ht="34.5" customHeight="1" thickBot="1">
      <c r="A38" s="140">
        <v>140</v>
      </c>
      <c r="B38" s="141"/>
      <c r="C38" s="142" t="s">
        <v>3</v>
      </c>
      <c r="D38" s="143"/>
      <c r="E38" s="41"/>
    </row>
    <row r="39" spans="1:5" ht="34.5" customHeight="1" thickBot="1">
      <c r="A39" s="140">
        <v>140</v>
      </c>
      <c r="B39" s="141"/>
      <c r="C39" s="144" t="s">
        <v>4</v>
      </c>
      <c r="D39" s="145"/>
      <c r="E39" s="41"/>
    </row>
    <row r="40" spans="1:5" ht="34.5" customHeight="1" thickBot="1">
      <c r="A40" s="146">
        <f>A39-A38</f>
        <v>0</v>
      </c>
      <c r="B40" s="147"/>
      <c r="C40" s="148"/>
      <c r="D40" s="35" t="s">
        <v>5</v>
      </c>
      <c r="E40" s="41"/>
    </row>
    <row r="41" spans="1:5" ht="34.5" customHeight="1" thickBot="1">
      <c r="A41" s="149">
        <v>23</v>
      </c>
      <c r="B41" s="150"/>
      <c r="C41" s="151"/>
      <c r="D41" s="35" t="s">
        <v>6</v>
      </c>
      <c r="E41" s="41"/>
    </row>
    <row r="42" spans="1:5" ht="34.5" customHeight="1" thickBot="1">
      <c r="A42" s="144">
        <f>A41*A40</f>
        <v>0</v>
      </c>
      <c r="B42" s="152"/>
      <c r="C42" s="145"/>
      <c r="D42" s="35" t="s">
        <v>7</v>
      </c>
      <c r="E42" s="41"/>
    </row>
    <row r="43" spans="1:5" ht="34.5" customHeight="1" thickBot="1">
      <c r="A43" s="144">
        <v>0</v>
      </c>
      <c r="B43" s="152"/>
      <c r="C43" s="145"/>
      <c r="D43" s="35" t="s">
        <v>437</v>
      </c>
      <c r="E43" s="41"/>
    </row>
    <row r="44" spans="1:5" ht="34.5" customHeight="1" thickBot="1">
      <c r="A44" s="34">
        <v>0</v>
      </c>
      <c r="B44" s="32" t="s">
        <v>8</v>
      </c>
      <c r="C44" s="33">
        <v>650</v>
      </c>
      <c r="D44" s="32" t="s">
        <v>9</v>
      </c>
      <c r="E44" s="41"/>
    </row>
    <row r="45" spans="1:5" ht="34.5" customHeight="1" thickBot="1">
      <c r="A45" s="153" t="s">
        <v>436</v>
      </c>
      <c r="B45" s="154"/>
      <c r="C45" s="154"/>
      <c r="D45" s="155"/>
      <c r="E45" s="41"/>
    </row>
    <row r="46" spans="1:5" ht="34.5" customHeight="1" thickBot="1">
      <c r="A46" s="156" t="s">
        <v>435</v>
      </c>
      <c r="B46" s="157"/>
      <c r="C46" s="157"/>
      <c r="D46" s="158"/>
      <c r="E46" s="41"/>
    </row>
    <row r="47" spans="1:5" ht="34.5" customHeight="1" thickBot="1">
      <c r="A47" s="40"/>
      <c r="B47" s="39"/>
      <c r="C47" s="39"/>
      <c r="D47" s="38"/>
      <c r="E47" s="41"/>
    </row>
    <row r="48" spans="1:5" ht="34.5" customHeight="1">
      <c r="A48" s="159" t="s">
        <v>442</v>
      </c>
      <c r="B48" s="160" t="s">
        <v>441</v>
      </c>
      <c r="C48" s="160"/>
      <c r="D48" s="161"/>
      <c r="E48" s="44"/>
    </row>
    <row r="49" spans="1:5" ht="34.5" customHeight="1" thickBot="1">
      <c r="A49" s="162"/>
      <c r="B49" s="163"/>
      <c r="C49" s="163"/>
      <c r="D49" s="164"/>
      <c r="E49" s="44"/>
    </row>
    <row r="50" spans="1:5" ht="34.5" customHeight="1" thickBot="1">
      <c r="A50" s="142" t="s">
        <v>11</v>
      </c>
      <c r="B50" s="143"/>
      <c r="C50" s="142" t="s">
        <v>591</v>
      </c>
      <c r="D50" s="143"/>
      <c r="E50" s="43"/>
    </row>
    <row r="51" spans="1:5" ht="34.5" customHeight="1" thickBot="1">
      <c r="A51" s="137" t="s">
        <v>525</v>
      </c>
      <c r="B51" s="138"/>
      <c r="C51" s="138"/>
      <c r="D51" s="139"/>
      <c r="E51" s="43"/>
    </row>
    <row r="52" spans="1:5" ht="34.5" customHeight="1" thickBot="1">
      <c r="A52" s="34" t="s">
        <v>487</v>
      </c>
      <c r="B52" s="32" t="s">
        <v>438</v>
      </c>
      <c r="C52" s="34">
        <v>2</v>
      </c>
      <c r="D52" s="32" t="s">
        <v>0</v>
      </c>
      <c r="E52" s="42"/>
    </row>
    <row r="53" spans="1:5" ht="34.5" customHeight="1" thickBot="1">
      <c r="A53" s="37" t="s">
        <v>673</v>
      </c>
      <c r="B53" s="36" t="s">
        <v>1</v>
      </c>
      <c r="C53" s="34" t="s">
        <v>674</v>
      </c>
      <c r="D53" s="32" t="s">
        <v>2</v>
      </c>
      <c r="E53" s="41"/>
    </row>
    <row r="54" spans="1:5" ht="34.5" customHeight="1" thickBot="1">
      <c r="A54" s="140">
        <v>112</v>
      </c>
      <c r="B54" s="141"/>
      <c r="C54" s="142" t="s">
        <v>3</v>
      </c>
      <c r="D54" s="143"/>
      <c r="E54" s="41"/>
    </row>
    <row r="55" spans="1:5" ht="34.5" customHeight="1" thickBot="1">
      <c r="A55" s="140">
        <v>140</v>
      </c>
      <c r="B55" s="141"/>
      <c r="C55" s="144" t="s">
        <v>4</v>
      </c>
      <c r="D55" s="145"/>
      <c r="E55" s="41"/>
    </row>
    <row r="56" spans="1:5" ht="34.5" customHeight="1" thickBot="1">
      <c r="A56" s="146">
        <f>A55-A54</f>
        <v>28</v>
      </c>
      <c r="B56" s="147"/>
      <c r="C56" s="148"/>
      <c r="D56" s="35" t="s">
        <v>5</v>
      </c>
      <c r="E56" s="41"/>
    </row>
    <row r="57" spans="1:5" ht="34.5" customHeight="1" thickBot="1">
      <c r="A57" s="149">
        <v>23</v>
      </c>
      <c r="B57" s="150"/>
      <c r="C57" s="151"/>
      <c r="D57" s="35" t="s">
        <v>6</v>
      </c>
      <c r="E57" s="41"/>
    </row>
    <row r="58" spans="1:5" ht="34.5" customHeight="1" thickBot="1">
      <c r="A58" s="144">
        <f>A57*A56</f>
        <v>644</v>
      </c>
      <c r="B58" s="152"/>
      <c r="C58" s="145"/>
      <c r="D58" s="35" t="s">
        <v>7</v>
      </c>
      <c r="E58" s="41"/>
    </row>
    <row r="59" spans="1:5" ht="34.5" customHeight="1" thickBot="1">
      <c r="A59" s="144">
        <v>0</v>
      </c>
      <c r="B59" s="152"/>
      <c r="C59" s="145"/>
      <c r="D59" s="35" t="s">
        <v>437</v>
      </c>
      <c r="E59" s="41"/>
    </row>
    <row r="60" spans="1:5" ht="34.5" customHeight="1" thickBot="1">
      <c r="A60" s="34">
        <v>0</v>
      </c>
      <c r="B60" s="32" t="s">
        <v>8</v>
      </c>
      <c r="C60" s="33">
        <v>650</v>
      </c>
      <c r="D60" s="32" t="s">
        <v>9</v>
      </c>
      <c r="E60" s="41"/>
    </row>
    <row r="61" spans="1:5" ht="34.5" customHeight="1" thickBot="1">
      <c r="A61" s="153" t="s">
        <v>436</v>
      </c>
      <c r="B61" s="154"/>
      <c r="C61" s="154"/>
      <c r="D61" s="155"/>
      <c r="E61" s="41"/>
    </row>
    <row r="62" spans="1:5" ht="34.5" customHeight="1" thickBot="1">
      <c r="A62" s="156" t="s">
        <v>435</v>
      </c>
      <c r="B62" s="157"/>
      <c r="C62" s="157"/>
      <c r="D62" s="158"/>
      <c r="E62" s="41"/>
    </row>
    <row r="63" spans="1:5" ht="34.5" customHeight="1">
      <c r="A63" s="159" t="s">
        <v>442</v>
      </c>
      <c r="B63" s="160"/>
      <c r="C63" s="160"/>
      <c r="D63" s="161"/>
      <c r="E63" s="44"/>
    </row>
    <row r="64" spans="1:5" ht="34.5" customHeight="1" thickBot="1">
      <c r="A64" s="162"/>
      <c r="B64" s="163"/>
      <c r="C64" s="163"/>
      <c r="D64" s="164"/>
      <c r="E64" s="44"/>
    </row>
    <row r="65" spans="1:5" ht="34.5" customHeight="1" thickBot="1">
      <c r="A65" s="142" t="s">
        <v>11</v>
      </c>
      <c r="B65" s="143"/>
      <c r="C65" s="165" t="s">
        <v>591</v>
      </c>
      <c r="D65" s="143"/>
      <c r="E65" s="43"/>
    </row>
    <row r="66" spans="1:5" ht="34.5" customHeight="1" thickBot="1">
      <c r="A66" s="137" t="s">
        <v>294</v>
      </c>
      <c r="B66" s="138"/>
      <c r="C66" s="138"/>
      <c r="D66" s="139"/>
      <c r="E66" s="43"/>
    </row>
    <row r="67" spans="1:5" ht="34.5" customHeight="1" thickBot="1">
      <c r="A67" s="34" t="s">
        <v>487</v>
      </c>
      <c r="B67" s="32" t="s">
        <v>438</v>
      </c>
      <c r="C67" s="34">
        <v>3</v>
      </c>
      <c r="D67" s="32" t="s">
        <v>0</v>
      </c>
      <c r="E67" s="42"/>
    </row>
    <row r="68" spans="1:5" ht="34.5" customHeight="1" thickBot="1">
      <c r="A68" s="37" t="s">
        <v>673</v>
      </c>
      <c r="B68" s="36" t="s">
        <v>1</v>
      </c>
      <c r="C68" s="34" t="s">
        <v>674</v>
      </c>
      <c r="D68" s="32" t="s">
        <v>2</v>
      </c>
      <c r="E68" s="41"/>
    </row>
    <row r="69" spans="1:5" ht="34.5" customHeight="1" thickBot="1">
      <c r="A69" s="140">
        <v>222</v>
      </c>
      <c r="B69" s="141"/>
      <c r="C69" s="142" t="s">
        <v>3</v>
      </c>
      <c r="D69" s="143"/>
      <c r="E69" s="41"/>
    </row>
    <row r="70" spans="1:5" ht="34.5" customHeight="1" thickBot="1">
      <c r="A70" s="140">
        <v>222</v>
      </c>
      <c r="B70" s="141"/>
      <c r="C70" s="144" t="s">
        <v>4</v>
      </c>
      <c r="D70" s="145"/>
      <c r="E70" s="41"/>
    </row>
    <row r="71" spans="1:5" ht="34.5" customHeight="1" thickBot="1">
      <c r="A71" s="146">
        <f>A70-A69</f>
        <v>0</v>
      </c>
      <c r="B71" s="147"/>
      <c r="C71" s="148"/>
      <c r="D71" s="35" t="s">
        <v>5</v>
      </c>
      <c r="E71" s="41"/>
    </row>
    <row r="72" spans="1:5" ht="34.5" customHeight="1" thickBot="1">
      <c r="A72" s="149">
        <v>23</v>
      </c>
      <c r="B72" s="150"/>
      <c r="C72" s="151"/>
      <c r="D72" s="35" t="s">
        <v>6</v>
      </c>
      <c r="E72" s="41"/>
    </row>
    <row r="73" spans="1:5" ht="34.5" customHeight="1" thickBot="1">
      <c r="A73" s="144">
        <f>A72*A71</f>
        <v>0</v>
      </c>
      <c r="B73" s="152"/>
      <c r="C73" s="145"/>
      <c r="D73" s="35" t="s">
        <v>7</v>
      </c>
      <c r="E73" s="41"/>
    </row>
    <row r="74" spans="1:5" ht="34.5" customHeight="1" thickBot="1">
      <c r="A74" s="144">
        <v>0</v>
      </c>
      <c r="B74" s="152"/>
      <c r="C74" s="145"/>
      <c r="D74" s="35" t="s">
        <v>437</v>
      </c>
      <c r="E74" s="41"/>
    </row>
    <row r="75" spans="1:5" ht="34.5" customHeight="1" thickBot="1">
      <c r="A75" s="34">
        <v>0</v>
      </c>
      <c r="B75" s="32" t="s">
        <v>8</v>
      </c>
      <c r="C75" s="33">
        <v>710</v>
      </c>
      <c r="D75" s="32" t="s">
        <v>9</v>
      </c>
      <c r="E75" s="41"/>
    </row>
    <row r="76" spans="1:5" ht="34.5" customHeight="1" thickBot="1">
      <c r="A76" s="153" t="s">
        <v>436</v>
      </c>
      <c r="B76" s="154"/>
      <c r="C76" s="154"/>
      <c r="D76" s="155"/>
      <c r="E76" s="41"/>
    </row>
    <row r="77" spans="1:5" ht="34.5" customHeight="1" thickBot="1">
      <c r="A77" s="156" t="s">
        <v>435</v>
      </c>
      <c r="B77" s="157"/>
      <c r="C77" s="157"/>
      <c r="D77" s="158"/>
      <c r="E77" s="41"/>
    </row>
    <row r="78" spans="1:5" ht="34.5" customHeight="1" thickBot="1">
      <c r="A78" s="40"/>
      <c r="B78" s="39"/>
      <c r="C78" s="39"/>
      <c r="D78" s="38"/>
      <c r="E78" s="41"/>
    </row>
    <row r="79" spans="1:5" ht="34.5" customHeight="1">
      <c r="A79" s="159" t="s">
        <v>442</v>
      </c>
      <c r="B79" s="160"/>
      <c r="C79" s="160"/>
      <c r="D79" s="161"/>
      <c r="E79" s="44"/>
    </row>
    <row r="80" spans="1:5" ht="34.5" customHeight="1" thickBot="1">
      <c r="A80" s="162"/>
      <c r="B80" s="163"/>
      <c r="C80" s="163"/>
      <c r="D80" s="164"/>
      <c r="E80" s="44"/>
    </row>
    <row r="81" spans="1:5" ht="34.5" customHeight="1" thickBot="1">
      <c r="A81" s="142" t="s">
        <v>11</v>
      </c>
      <c r="B81" s="143"/>
      <c r="C81" s="165" t="s">
        <v>591</v>
      </c>
      <c r="D81" s="143"/>
      <c r="E81" s="43"/>
    </row>
    <row r="82" spans="1:5" ht="34.5" customHeight="1" thickBot="1">
      <c r="A82" s="137" t="s">
        <v>294</v>
      </c>
      <c r="B82" s="138"/>
      <c r="C82" s="138"/>
      <c r="D82" s="139"/>
      <c r="E82" s="43"/>
    </row>
    <row r="83" spans="1:5" ht="34.5" customHeight="1" thickBot="1">
      <c r="A83" s="34" t="s">
        <v>487</v>
      </c>
      <c r="B83" s="32" t="s">
        <v>438</v>
      </c>
      <c r="C83" s="34">
        <v>3</v>
      </c>
      <c r="D83" s="32" t="s">
        <v>0</v>
      </c>
      <c r="E83" s="42"/>
    </row>
    <row r="84" spans="1:5" ht="34.5" customHeight="1" thickBot="1">
      <c r="A84" s="37" t="s">
        <v>673</v>
      </c>
      <c r="B84" s="36" t="s">
        <v>1</v>
      </c>
      <c r="C84" s="34" t="s">
        <v>674</v>
      </c>
      <c r="D84" s="32" t="s">
        <v>2</v>
      </c>
      <c r="E84" s="41"/>
    </row>
    <row r="85" spans="1:5" ht="34.5" customHeight="1" thickBot="1">
      <c r="A85" s="140">
        <v>191</v>
      </c>
      <c r="B85" s="141"/>
      <c r="C85" s="142" t="s">
        <v>3</v>
      </c>
      <c r="D85" s="143"/>
      <c r="E85" s="41"/>
    </row>
    <row r="86" spans="1:5" ht="34.5" customHeight="1" thickBot="1">
      <c r="A86" s="140">
        <v>222</v>
      </c>
      <c r="B86" s="141"/>
      <c r="C86" s="144" t="s">
        <v>4</v>
      </c>
      <c r="D86" s="145"/>
      <c r="E86" s="41"/>
    </row>
    <row r="87" spans="1:5" ht="34.5" customHeight="1" thickBot="1">
      <c r="A87" s="146">
        <f>A86-A85</f>
        <v>31</v>
      </c>
      <c r="B87" s="147"/>
      <c r="C87" s="148"/>
      <c r="D87" s="35" t="s">
        <v>5</v>
      </c>
      <c r="E87" s="41"/>
    </row>
    <row r="88" spans="1:5" ht="34.5" customHeight="1" thickBot="1">
      <c r="A88" s="149">
        <v>23</v>
      </c>
      <c r="B88" s="150"/>
      <c r="C88" s="151"/>
      <c r="D88" s="35" t="s">
        <v>6</v>
      </c>
      <c r="E88" s="41"/>
    </row>
    <row r="89" spans="1:5" ht="34.5" customHeight="1" thickBot="1">
      <c r="A89" s="144">
        <f>A88*A87</f>
        <v>713</v>
      </c>
      <c r="B89" s="152"/>
      <c r="C89" s="145"/>
      <c r="D89" s="35" t="s">
        <v>7</v>
      </c>
      <c r="E89" s="41"/>
    </row>
    <row r="90" spans="1:5" ht="34.5" customHeight="1" thickBot="1">
      <c r="A90" s="144">
        <v>0</v>
      </c>
      <c r="B90" s="152"/>
      <c r="C90" s="145"/>
      <c r="D90" s="35" t="s">
        <v>437</v>
      </c>
      <c r="E90" s="41"/>
    </row>
    <row r="91" spans="1:5" ht="34.5" customHeight="1" thickBot="1">
      <c r="A91" s="34">
        <v>0</v>
      </c>
      <c r="B91" s="32" t="s">
        <v>8</v>
      </c>
      <c r="C91" s="33">
        <v>710</v>
      </c>
      <c r="D91" s="32" t="s">
        <v>9</v>
      </c>
      <c r="E91" s="41"/>
    </row>
    <row r="92" spans="1:5" ht="34.5" customHeight="1" thickBot="1">
      <c r="A92" s="153" t="s">
        <v>436</v>
      </c>
      <c r="B92" s="154"/>
      <c r="C92" s="154"/>
      <c r="D92" s="155"/>
      <c r="E92" s="41"/>
    </row>
    <row r="93" spans="1:5" ht="34.5" customHeight="1" thickBot="1">
      <c r="A93" s="156" t="s">
        <v>435</v>
      </c>
      <c r="B93" s="157"/>
      <c r="C93" s="157"/>
      <c r="D93" s="158"/>
      <c r="E93" s="41"/>
    </row>
    <row r="94" spans="1:5" ht="34.5" customHeight="1">
      <c r="A94" s="159" t="s">
        <v>442</v>
      </c>
      <c r="B94" s="160" t="s">
        <v>441</v>
      </c>
      <c r="C94" s="160"/>
      <c r="D94" s="161"/>
      <c r="E94" s="44"/>
    </row>
    <row r="95" spans="1:5" ht="34.5" customHeight="1" thickBot="1">
      <c r="A95" s="162"/>
      <c r="B95" s="163"/>
      <c r="C95" s="163"/>
      <c r="D95" s="164"/>
      <c r="E95" s="44"/>
    </row>
    <row r="96" spans="1:5" ht="34.5" customHeight="1" thickBot="1">
      <c r="A96" s="142" t="s">
        <v>11</v>
      </c>
      <c r="B96" s="143"/>
      <c r="C96" s="165" t="s">
        <v>591</v>
      </c>
      <c r="D96" s="143"/>
      <c r="E96" s="43"/>
    </row>
    <row r="97" spans="1:5" ht="34.5" customHeight="1" thickBot="1">
      <c r="A97" s="137" t="s">
        <v>514</v>
      </c>
      <c r="B97" s="138"/>
      <c r="C97" s="138"/>
      <c r="D97" s="139"/>
      <c r="E97" s="43"/>
    </row>
    <row r="98" spans="1:5" ht="34.5" customHeight="1" thickBot="1">
      <c r="A98" s="34" t="s">
        <v>487</v>
      </c>
      <c r="B98" s="32" t="s">
        <v>438</v>
      </c>
      <c r="C98" s="34">
        <v>4</v>
      </c>
      <c r="D98" s="32" t="s">
        <v>0</v>
      </c>
      <c r="E98" s="42"/>
    </row>
    <row r="99" spans="1:5" ht="34.5" customHeight="1" thickBot="1">
      <c r="A99" s="37" t="s">
        <v>673</v>
      </c>
      <c r="B99" s="36" t="s">
        <v>1</v>
      </c>
      <c r="C99" s="34" t="s">
        <v>674</v>
      </c>
      <c r="D99" s="32" t="s">
        <v>2</v>
      </c>
      <c r="E99" s="41"/>
    </row>
    <row r="100" spans="1:5" ht="34.5" customHeight="1" thickBot="1">
      <c r="A100" s="140">
        <v>190</v>
      </c>
      <c r="B100" s="141"/>
      <c r="C100" s="142" t="s">
        <v>3</v>
      </c>
      <c r="D100" s="143"/>
      <c r="E100" s="41"/>
    </row>
    <row r="101" spans="1:5" ht="34.5" customHeight="1" thickBot="1">
      <c r="A101" s="140">
        <v>190</v>
      </c>
      <c r="B101" s="141"/>
      <c r="C101" s="144" t="s">
        <v>4</v>
      </c>
      <c r="D101" s="145"/>
      <c r="E101" s="41"/>
    </row>
    <row r="102" spans="1:5" ht="34.5" customHeight="1" thickBot="1">
      <c r="A102" s="146">
        <f>A101-A100</f>
        <v>0</v>
      </c>
      <c r="B102" s="147"/>
      <c r="C102" s="148"/>
      <c r="D102" s="35" t="s">
        <v>5</v>
      </c>
      <c r="E102" s="41"/>
    </row>
    <row r="103" spans="1:5" ht="34.5" customHeight="1" thickBot="1">
      <c r="A103" s="149">
        <v>23</v>
      </c>
      <c r="B103" s="150"/>
      <c r="C103" s="151"/>
      <c r="D103" s="35" t="s">
        <v>6</v>
      </c>
      <c r="E103" s="41"/>
    </row>
    <row r="104" spans="1:5" ht="34.5" customHeight="1" thickBot="1">
      <c r="A104" s="144">
        <f>A103*A102</f>
        <v>0</v>
      </c>
      <c r="B104" s="152"/>
      <c r="C104" s="145"/>
      <c r="D104" s="35" t="s">
        <v>7</v>
      </c>
      <c r="E104" s="41"/>
    </row>
    <row r="105" spans="1:5" ht="34.5" customHeight="1" thickBot="1">
      <c r="A105" s="144">
        <v>0</v>
      </c>
      <c r="B105" s="152"/>
      <c r="C105" s="145"/>
      <c r="D105" s="35" t="s">
        <v>437</v>
      </c>
      <c r="E105" s="41"/>
    </row>
    <row r="106" spans="1:5" ht="34.5" customHeight="1" thickBot="1">
      <c r="A106" s="34">
        <v>0</v>
      </c>
      <c r="B106" s="32" t="s">
        <v>8</v>
      </c>
      <c r="C106" s="33">
        <v>920</v>
      </c>
      <c r="D106" s="32" t="s">
        <v>9</v>
      </c>
      <c r="E106" s="41"/>
    </row>
    <row r="107" spans="1:5" ht="34.5" customHeight="1" thickBot="1">
      <c r="A107" s="153" t="s">
        <v>436</v>
      </c>
      <c r="B107" s="154"/>
      <c r="C107" s="154"/>
      <c r="D107" s="155"/>
      <c r="E107" s="41"/>
    </row>
    <row r="108" spans="1:5" ht="34.5" customHeight="1" thickBot="1">
      <c r="A108" s="156" t="s">
        <v>435</v>
      </c>
      <c r="B108" s="157"/>
      <c r="C108" s="157"/>
      <c r="D108" s="158"/>
      <c r="E108" s="41"/>
    </row>
    <row r="109" spans="1:5" ht="34.5" customHeight="1" thickBot="1">
      <c r="A109" s="40"/>
      <c r="B109" s="39"/>
      <c r="C109" s="39"/>
      <c r="D109" s="38"/>
      <c r="E109" s="41"/>
    </row>
    <row r="110" spans="1:5" ht="34.5" customHeight="1">
      <c r="A110" s="159" t="s">
        <v>442</v>
      </c>
      <c r="B110" s="160" t="s">
        <v>441</v>
      </c>
      <c r="C110" s="160"/>
      <c r="D110" s="161"/>
      <c r="E110" s="44"/>
    </row>
    <row r="111" spans="1:5" ht="34.5" customHeight="1" thickBot="1">
      <c r="A111" s="162"/>
      <c r="B111" s="163"/>
      <c r="C111" s="163"/>
      <c r="D111" s="164"/>
      <c r="E111" s="44"/>
    </row>
    <row r="112" spans="1:5" ht="34.5" customHeight="1" thickBot="1">
      <c r="A112" s="142" t="s">
        <v>11</v>
      </c>
      <c r="B112" s="143"/>
      <c r="C112" s="165" t="s">
        <v>591</v>
      </c>
      <c r="D112" s="143"/>
      <c r="E112" s="43"/>
    </row>
    <row r="113" spans="1:5" ht="34.5" customHeight="1" thickBot="1">
      <c r="A113" s="137" t="s">
        <v>514</v>
      </c>
      <c r="B113" s="138"/>
      <c r="C113" s="138"/>
      <c r="D113" s="139"/>
      <c r="E113" s="43"/>
    </row>
    <row r="114" spans="1:5" ht="34.5" customHeight="1" thickBot="1">
      <c r="A114" s="34" t="s">
        <v>487</v>
      </c>
      <c r="B114" s="32" t="s">
        <v>438</v>
      </c>
      <c r="C114" s="34">
        <v>4</v>
      </c>
      <c r="D114" s="32" t="s">
        <v>0</v>
      </c>
      <c r="E114" s="42"/>
    </row>
    <row r="115" spans="1:5" ht="34.5" customHeight="1" thickBot="1">
      <c r="A115" s="37" t="s">
        <v>673</v>
      </c>
      <c r="B115" s="36" t="s">
        <v>1</v>
      </c>
      <c r="C115" s="34" t="s">
        <v>674</v>
      </c>
      <c r="D115" s="32" t="s">
        <v>2</v>
      </c>
      <c r="E115" s="41"/>
    </row>
    <row r="116" spans="1:5" ht="34.5" customHeight="1" thickBot="1">
      <c r="A116" s="140">
        <v>150</v>
      </c>
      <c r="B116" s="141"/>
      <c r="C116" s="142" t="s">
        <v>3</v>
      </c>
      <c r="D116" s="143"/>
      <c r="E116" s="41"/>
    </row>
    <row r="117" spans="1:5" ht="34.5" customHeight="1" thickBot="1">
      <c r="A117" s="140">
        <v>190</v>
      </c>
      <c r="B117" s="141"/>
      <c r="C117" s="144" t="s">
        <v>4</v>
      </c>
      <c r="D117" s="145"/>
      <c r="E117" s="41"/>
    </row>
    <row r="118" spans="1:5" ht="34.5" customHeight="1" thickBot="1">
      <c r="A118" s="146">
        <f>A117-A116</f>
        <v>40</v>
      </c>
      <c r="B118" s="147"/>
      <c r="C118" s="148"/>
      <c r="D118" s="35" t="s">
        <v>5</v>
      </c>
      <c r="E118" s="41"/>
    </row>
    <row r="119" spans="1:5" ht="34.5" customHeight="1" thickBot="1">
      <c r="A119" s="149">
        <v>23</v>
      </c>
      <c r="B119" s="150"/>
      <c r="C119" s="151"/>
      <c r="D119" s="35" t="s">
        <v>6</v>
      </c>
      <c r="E119" s="41"/>
    </row>
    <row r="120" spans="1:5" ht="34.5" customHeight="1" thickBot="1">
      <c r="A120" s="144">
        <f>A119*A118</f>
        <v>920</v>
      </c>
      <c r="B120" s="152"/>
      <c r="C120" s="145"/>
      <c r="D120" s="35" t="s">
        <v>7</v>
      </c>
      <c r="E120" s="41"/>
    </row>
    <row r="121" spans="1:5" ht="34.5" customHeight="1" thickBot="1">
      <c r="A121" s="144">
        <v>0</v>
      </c>
      <c r="B121" s="152"/>
      <c r="C121" s="145"/>
      <c r="D121" s="35" t="s">
        <v>437</v>
      </c>
      <c r="E121" s="41"/>
    </row>
    <row r="122" spans="1:5" ht="34.5" customHeight="1" thickBot="1">
      <c r="A122" s="34">
        <v>0</v>
      </c>
      <c r="B122" s="32" t="s">
        <v>8</v>
      </c>
      <c r="C122" s="33">
        <v>920</v>
      </c>
      <c r="D122" s="32" t="s">
        <v>9</v>
      </c>
      <c r="E122" s="41"/>
    </row>
    <row r="123" spans="1:5" ht="34.5" customHeight="1" thickBot="1">
      <c r="A123" s="153" t="s">
        <v>436</v>
      </c>
      <c r="B123" s="154"/>
      <c r="C123" s="154"/>
      <c r="D123" s="155"/>
      <c r="E123" s="41"/>
    </row>
    <row r="124" spans="1:5" ht="34.5" customHeight="1" thickBot="1">
      <c r="A124" s="156" t="s">
        <v>435</v>
      </c>
      <c r="B124" s="157"/>
      <c r="C124" s="157"/>
      <c r="D124" s="158"/>
      <c r="E124" s="41"/>
    </row>
    <row r="125" spans="1:5" ht="34.5" customHeight="1">
      <c r="A125" s="159" t="s">
        <v>442</v>
      </c>
      <c r="B125" s="160" t="s">
        <v>441</v>
      </c>
      <c r="C125" s="160"/>
      <c r="D125" s="161"/>
      <c r="E125" s="44"/>
    </row>
    <row r="126" spans="1:5" ht="34.5" customHeight="1" thickBot="1">
      <c r="A126" s="162"/>
      <c r="B126" s="163"/>
      <c r="C126" s="163"/>
      <c r="D126" s="164"/>
      <c r="E126" s="44"/>
    </row>
    <row r="127" spans="1:5" ht="34.5" customHeight="1" thickBot="1">
      <c r="A127" s="142" t="s">
        <v>11</v>
      </c>
      <c r="B127" s="143"/>
      <c r="C127" s="165" t="s">
        <v>591</v>
      </c>
      <c r="D127" s="143"/>
      <c r="E127" s="43"/>
    </row>
    <row r="128" spans="1:5" ht="34.5" customHeight="1" thickBot="1">
      <c r="A128" s="137" t="s">
        <v>139</v>
      </c>
      <c r="B128" s="138"/>
      <c r="C128" s="138"/>
      <c r="D128" s="139"/>
      <c r="E128" s="43"/>
    </row>
    <row r="129" spans="1:5" ht="34.5" customHeight="1" thickBot="1">
      <c r="A129" s="34" t="s">
        <v>487</v>
      </c>
      <c r="B129" s="32" t="s">
        <v>438</v>
      </c>
      <c r="C129" s="34">
        <v>5</v>
      </c>
      <c r="D129" s="32" t="s">
        <v>0</v>
      </c>
      <c r="E129" s="42"/>
    </row>
    <row r="130" spans="1:5" ht="34.5" customHeight="1" thickBot="1">
      <c r="A130" s="37" t="s">
        <v>673</v>
      </c>
      <c r="B130" s="36" t="s">
        <v>1</v>
      </c>
      <c r="C130" s="34" t="s">
        <v>674</v>
      </c>
      <c r="D130" s="32" t="s">
        <v>2</v>
      </c>
      <c r="E130" s="41"/>
    </row>
    <row r="131" spans="1:5" ht="34.5" customHeight="1" thickBot="1">
      <c r="A131" s="140">
        <v>398</v>
      </c>
      <c r="B131" s="141"/>
      <c r="C131" s="142" t="s">
        <v>3</v>
      </c>
      <c r="D131" s="143"/>
      <c r="E131" s="41"/>
    </row>
    <row r="132" spans="1:5" ht="34.5" customHeight="1" thickBot="1">
      <c r="A132" s="140">
        <v>398</v>
      </c>
      <c r="B132" s="141"/>
      <c r="C132" s="144" t="s">
        <v>4</v>
      </c>
      <c r="D132" s="145"/>
      <c r="E132" s="41"/>
    </row>
    <row r="133" spans="1:5" ht="34.5" customHeight="1" thickBot="1">
      <c r="A133" s="146">
        <f>A132-A131</f>
        <v>0</v>
      </c>
      <c r="B133" s="147"/>
      <c r="C133" s="148"/>
      <c r="D133" s="35" t="s">
        <v>5</v>
      </c>
      <c r="E133" s="41"/>
    </row>
    <row r="134" spans="1:5" ht="34.5" customHeight="1" thickBot="1">
      <c r="A134" s="149">
        <v>23</v>
      </c>
      <c r="B134" s="150"/>
      <c r="C134" s="151"/>
      <c r="D134" s="35" t="s">
        <v>6</v>
      </c>
      <c r="E134" s="41"/>
    </row>
    <row r="135" spans="1:5" ht="34.5" customHeight="1" thickBot="1">
      <c r="A135" s="144">
        <f>A134*A133</f>
        <v>0</v>
      </c>
      <c r="B135" s="152"/>
      <c r="C135" s="145"/>
      <c r="D135" s="35" t="s">
        <v>7</v>
      </c>
      <c r="E135" s="41"/>
    </row>
    <row r="136" spans="1:5" ht="34.5" customHeight="1" thickBot="1">
      <c r="A136" s="144">
        <v>0</v>
      </c>
      <c r="B136" s="152"/>
      <c r="C136" s="145"/>
      <c r="D136" s="35" t="s">
        <v>437</v>
      </c>
      <c r="E136" s="41"/>
    </row>
    <row r="137" spans="1:5" ht="34.5" customHeight="1" thickBot="1">
      <c r="A137" s="34">
        <v>0</v>
      </c>
      <c r="B137" s="32" t="s">
        <v>8</v>
      </c>
      <c r="C137" s="33">
        <v>1100</v>
      </c>
      <c r="D137" s="32" t="s">
        <v>9</v>
      </c>
      <c r="E137" s="41"/>
    </row>
    <row r="138" spans="1:5" ht="34.5" customHeight="1" thickBot="1">
      <c r="A138" s="153" t="s">
        <v>436</v>
      </c>
      <c r="B138" s="154"/>
      <c r="C138" s="154"/>
      <c r="D138" s="155"/>
      <c r="E138" s="41"/>
    </row>
    <row r="139" spans="1:5" ht="34.5" customHeight="1" thickBot="1">
      <c r="A139" s="156" t="s">
        <v>435</v>
      </c>
      <c r="B139" s="157"/>
      <c r="C139" s="157"/>
      <c r="D139" s="158"/>
      <c r="E139" s="41"/>
    </row>
    <row r="140" spans="1:5" ht="34.5" customHeight="1" thickBot="1">
      <c r="A140" s="40"/>
      <c r="B140" s="39"/>
      <c r="C140" s="39"/>
      <c r="D140" s="38"/>
      <c r="E140" s="41"/>
    </row>
    <row r="141" spans="1:5" ht="34.5" customHeight="1">
      <c r="A141" s="159" t="s">
        <v>442</v>
      </c>
      <c r="B141" s="160" t="s">
        <v>441</v>
      </c>
      <c r="C141" s="160"/>
      <c r="D141" s="161"/>
      <c r="E141" s="44"/>
    </row>
    <row r="142" spans="1:5" ht="34.5" customHeight="1" thickBot="1">
      <c r="A142" s="162"/>
      <c r="B142" s="163"/>
      <c r="C142" s="163"/>
      <c r="D142" s="164"/>
      <c r="E142" s="44"/>
    </row>
    <row r="143" spans="1:5" ht="34.5" customHeight="1" thickBot="1">
      <c r="A143" s="142" t="s">
        <v>11</v>
      </c>
      <c r="B143" s="143"/>
      <c r="C143" s="165" t="s">
        <v>591</v>
      </c>
      <c r="D143" s="143"/>
      <c r="E143" s="43"/>
    </row>
    <row r="144" spans="1:5" ht="34.5" customHeight="1" thickBot="1">
      <c r="A144" s="137" t="s">
        <v>139</v>
      </c>
      <c r="B144" s="138"/>
      <c r="C144" s="138"/>
      <c r="D144" s="139"/>
      <c r="E144" s="43"/>
    </row>
    <row r="145" spans="1:5" ht="34.5" customHeight="1" thickBot="1">
      <c r="A145" s="34" t="s">
        <v>487</v>
      </c>
      <c r="B145" s="32" t="s">
        <v>438</v>
      </c>
      <c r="C145" s="34">
        <v>5</v>
      </c>
      <c r="D145" s="32" t="s">
        <v>0</v>
      </c>
      <c r="E145" s="42"/>
    </row>
    <row r="146" spans="1:5" ht="34.5" customHeight="1" thickBot="1">
      <c r="A146" s="37" t="s">
        <v>673</v>
      </c>
      <c r="B146" s="36" t="s">
        <v>1</v>
      </c>
      <c r="C146" s="34" t="s">
        <v>674</v>
      </c>
      <c r="D146" s="32" t="s">
        <v>2</v>
      </c>
      <c r="E146" s="41"/>
    </row>
    <row r="147" spans="1:5" ht="34.5" customHeight="1" thickBot="1">
      <c r="A147" s="140">
        <v>350</v>
      </c>
      <c r="B147" s="141"/>
      <c r="C147" s="142" t="s">
        <v>3</v>
      </c>
      <c r="D147" s="143"/>
      <c r="E147" s="41"/>
    </row>
    <row r="148" spans="1:5" ht="34.5" customHeight="1" thickBot="1">
      <c r="A148" s="140">
        <v>398</v>
      </c>
      <c r="B148" s="141"/>
      <c r="C148" s="144" t="s">
        <v>4</v>
      </c>
      <c r="D148" s="145"/>
      <c r="E148" s="41"/>
    </row>
    <row r="149" spans="1:5" ht="34.5" customHeight="1" thickBot="1">
      <c r="A149" s="146">
        <f>A148-A147</f>
        <v>48</v>
      </c>
      <c r="B149" s="147"/>
      <c r="C149" s="148"/>
      <c r="D149" s="35" t="s">
        <v>5</v>
      </c>
      <c r="E149" s="41"/>
    </row>
    <row r="150" spans="1:5" ht="34.5" customHeight="1" thickBot="1">
      <c r="A150" s="149">
        <v>23</v>
      </c>
      <c r="B150" s="150"/>
      <c r="C150" s="151"/>
      <c r="D150" s="35" t="s">
        <v>6</v>
      </c>
      <c r="E150" s="41"/>
    </row>
    <row r="151" spans="1:5" ht="34.5" customHeight="1" thickBot="1">
      <c r="A151" s="144">
        <f>A150*A149</f>
        <v>1104</v>
      </c>
      <c r="B151" s="152"/>
      <c r="C151" s="145"/>
      <c r="D151" s="35" t="s">
        <v>7</v>
      </c>
      <c r="E151" s="41"/>
    </row>
    <row r="152" spans="1:5" ht="34.5" customHeight="1" thickBot="1">
      <c r="A152" s="144">
        <v>0</v>
      </c>
      <c r="B152" s="152"/>
      <c r="C152" s="145"/>
      <c r="D152" s="35" t="s">
        <v>437</v>
      </c>
      <c r="E152" s="41"/>
    </row>
    <row r="153" spans="1:5" ht="34.5" customHeight="1" thickBot="1">
      <c r="A153" s="34">
        <v>0</v>
      </c>
      <c r="B153" s="32" t="s">
        <v>8</v>
      </c>
      <c r="C153" s="33">
        <v>1100</v>
      </c>
      <c r="D153" s="32" t="s">
        <v>9</v>
      </c>
      <c r="E153" s="41"/>
    </row>
    <row r="154" spans="1:5" ht="34.5" customHeight="1" thickBot="1">
      <c r="A154" s="153" t="s">
        <v>436</v>
      </c>
      <c r="B154" s="154"/>
      <c r="C154" s="154"/>
      <c r="D154" s="155"/>
      <c r="E154" s="41"/>
    </row>
    <row r="155" spans="1:5" ht="34.5" customHeight="1" thickBot="1">
      <c r="A155" s="156" t="s">
        <v>435</v>
      </c>
      <c r="B155" s="157"/>
      <c r="C155" s="157"/>
      <c r="D155" s="158"/>
      <c r="E155" s="41"/>
    </row>
    <row r="156" spans="1:5" ht="34.5" customHeight="1">
      <c r="A156" s="159" t="s">
        <v>442</v>
      </c>
      <c r="B156" s="160" t="s">
        <v>441</v>
      </c>
      <c r="C156" s="160"/>
      <c r="D156" s="161"/>
      <c r="E156" s="44"/>
    </row>
    <row r="157" spans="1:5" ht="34.5" customHeight="1" thickBot="1">
      <c r="A157" s="162"/>
      <c r="B157" s="163"/>
      <c r="C157" s="163"/>
      <c r="D157" s="164"/>
      <c r="E157" s="44"/>
    </row>
    <row r="158" spans="1:5" ht="34.5" customHeight="1" thickBot="1">
      <c r="A158" s="142" t="s">
        <v>11</v>
      </c>
      <c r="B158" s="143"/>
      <c r="C158" s="165" t="s">
        <v>591</v>
      </c>
      <c r="D158" s="143"/>
      <c r="E158" s="43"/>
    </row>
    <row r="159" spans="1:5" ht="34.5" customHeight="1" thickBot="1">
      <c r="A159" s="137" t="s">
        <v>192</v>
      </c>
      <c r="B159" s="138"/>
      <c r="C159" s="138"/>
      <c r="D159" s="139"/>
      <c r="E159" s="43"/>
    </row>
    <row r="160" spans="1:5" ht="34.5" customHeight="1" thickBot="1">
      <c r="A160" s="34" t="s">
        <v>487</v>
      </c>
      <c r="B160" s="32" t="s">
        <v>438</v>
      </c>
      <c r="C160" s="34">
        <v>6</v>
      </c>
      <c r="D160" s="32" t="s">
        <v>0</v>
      </c>
      <c r="E160" s="42"/>
    </row>
    <row r="161" spans="1:5" ht="34.5" customHeight="1" thickBot="1">
      <c r="A161" s="37" t="s">
        <v>673</v>
      </c>
      <c r="B161" s="36" t="s">
        <v>1</v>
      </c>
      <c r="C161" s="34" t="s">
        <v>674</v>
      </c>
      <c r="D161" s="32" t="s">
        <v>2</v>
      </c>
      <c r="E161" s="41"/>
    </row>
    <row r="162" spans="1:5" ht="34.5" customHeight="1" thickBot="1">
      <c r="A162" s="140">
        <v>400</v>
      </c>
      <c r="B162" s="141"/>
      <c r="C162" s="142" t="s">
        <v>3</v>
      </c>
      <c r="D162" s="143"/>
      <c r="E162" s="41"/>
    </row>
    <row r="163" spans="1:5" ht="34.5" customHeight="1" thickBot="1">
      <c r="A163" s="140">
        <v>400</v>
      </c>
      <c r="B163" s="141"/>
      <c r="C163" s="144" t="s">
        <v>4</v>
      </c>
      <c r="D163" s="145"/>
      <c r="E163" s="41"/>
    </row>
    <row r="164" spans="1:5" ht="34.5" customHeight="1" thickBot="1">
      <c r="A164" s="146">
        <f>A163-A162</f>
        <v>0</v>
      </c>
      <c r="B164" s="147"/>
      <c r="C164" s="148"/>
      <c r="D164" s="35" t="s">
        <v>5</v>
      </c>
      <c r="E164" s="41"/>
    </row>
    <row r="165" spans="1:5" ht="34.5" customHeight="1" thickBot="1">
      <c r="A165" s="149">
        <v>23</v>
      </c>
      <c r="B165" s="150"/>
      <c r="C165" s="151"/>
      <c r="D165" s="35" t="s">
        <v>6</v>
      </c>
      <c r="E165" s="41"/>
    </row>
    <row r="166" spans="1:5" ht="34.5" customHeight="1" thickBot="1">
      <c r="A166" s="144">
        <f>A165*A164</f>
        <v>0</v>
      </c>
      <c r="B166" s="152"/>
      <c r="C166" s="145"/>
      <c r="D166" s="35" t="s">
        <v>7</v>
      </c>
      <c r="E166" s="41"/>
    </row>
    <row r="167" spans="1:5" ht="34.5" customHeight="1" thickBot="1">
      <c r="A167" s="144">
        <v>0</v>
      </c>
      <c r="B167" s="152"/>
      <c r="C167" s="145"/>
      <c r="D167" s="35" t="s">
        <v>437</v>
      </c>
      <c r="E167" s="41"/>
    </row>
    <row r="168" spans="1:5" ht="34.5" customHeight="1" thickBot="1">
      <c r="A168" s="34">
        <v>0</v>
      </c>
      <c r="B168" s="32" t="s">
        <v>8</v>
      </c>
      <c r="C168" s="33">
        <v>1150</v>
      </c>
      <c r="D168" s="32" t="s">
        <v>9</v>
      </c>
      <c r="E168" s="41"/>
    </row>
    <row r="169" spans="1:5" ht="34.5" customHeight="1" thickBot="1">
      <c r="A169" s="153" t="s">
        <v>436</v>
      </c>
      <c r="B169" s="154"/>
      <c r="C169" s="154"/>
      <c r="D169" s="155"/>
      <c r="E169" s="41"/>
    </row>
    <row r="170" spans="1:5" ht="34.5" customHeight="1" thickBot="1">
      <c r="A170" s="156" t="s">
        <v>435</v>
      </c>
      <c r="B170" s="157"/>
      <c r="C170" s="157"/>
      <c r="D170" s="158"/>
      <c r="E170" s="41"/>
    </row>
    <row r="171" spans="1:5" ht="34.5" customHeight="1" thickBot="1">
      <c r="A171" s="40"/>
      <c r="B171" s="39"/>
      <c r="C171" s="39"/>
      <c r="D171" s="38"/>
      <c r="E171" s="41"/>
    </row>
    <row r="172" spans="1:5" ht="34.5" customHeight="1">
      <c r="A172" s="159" t="s">
        <v>442</v>
      </c>
      <c r="B172" s="160" t="s">
        <v>441</v>
      </c>
      <c r="C172" s="160"/>
      <c r="D172" s="161"/>
      <c r="E172" s="44"/>
    </row>
    <row r="173" spans="1:5" ht="34.5" customHeight="1" thickBot="1">
      <c r="A173" s="162"/>
      <c r="B173" s="163"/>
      <c r="C173" s="163"/>
      <c r="D173" s="164"/>
      <c r="E173" s="44"/>
    </row>
    <row r="174" spans="1:5" ht="34.5" customHeight="1" thickBot="1">
      <c r="A174" s="142" t="s">
        <v>11</v>
      </c>
      <c r="B174" s="143"/>
      <c r="C174" s="165" t="s">
        <v>591</v>
      </c>
      <c r="D174" s="143"/>
      <c r="E174" s="43"/>
    </row>
    <row r="175" spans="1:5" ht="34.5" customHeight="1" thickBot="1">
      <c r="A175" s="137" t="s">
        <v>192</v>
      </c>
      <c r="B175" s="138"/>
      <c r="C175" s="138"/>
      <c r="D175" s="139"/>
      <c r="E175" s="43"/>
    </row>
    <row r="176" spans="1:5" ht="34.5" customHeight="1" thickBot="1">
      <c r="A176" s="34" t="s">
        <v>487</v>
      </c>
      <c r="B176" s="32" t="s">
        <v>438</v>
      </c>
      <c r="C176" s="34">
        <v>6</v>
      </c>
      <c r="D176" s="32" t="s">
        <v>0</v>
      </c>
      <c r="E176" s="42"/>
    </row>
    <row r="177" spans="1:5" ht="34.5" customHeight="1" thickBot="1">
      <c r="A177" s="37" t="s">
        <v>673</v>
      </c>
      <c r="B177" s="36" t="s">
        <v>1</v>
      </c>
      <c r="C177" s="34" t="s">
        <v>674</v>
      </c>
      <c r="D177" s="32" t="s">
        <v>2</v>
      </c>
      <c r="E177" s="41"/>
    </row>
    <row r="178" spans="1:5" ht="34.5" customHeight="1" thickBot="1">
      <c r="A178" s="140">
        <v>350</v>
      </c>
      <c r="B178" s="141"/>
      <c r="C178" s="142" t="s">
        <v>3</v>
      </c>
      <c r="D178" s="143"/>
      <c r="E178" s="41"/>
    </row>
    <row r="179" spans="1:5" ht="34.5" customHeight="1" thickBot="1">
      <c r="A179" s="140">
        <v>400</v>
      </c>
      <c r="B179" s="141"/>
      <c r="C179" s="144" t="s">
        <v>4</v>
      </c>
      <c r="D179" s="145"/>
      <c r="E179" s="41"/>
    </row>
    <row r="180" spans="1:5" ht="34.5" customHeight="1" thickBot="1">
      <c r="A180" s="146">
        <f>A179-A178</f>
        <v>50</v>
      </c>
      <c r="B180" s="147"/>
      <c r="C180" s="148"/>
      <c r="D180" s="35" t="s">
        <v>5</v>
      </c>
      <c r="E180" s="41"/>
    </row>
    <row r="181" spans="1:5" ht="34.5" customHeight="1" thickBot="1">
      <c r="A181" s="149">
        <v>23</v>
      </c>
      <c r="B181" s="150"/>
      <c r="C181" s="151"/>
      <c r="D181" s="35" t="s">
        <v>6</v>
      </c>
      <c r="E181" s="41"/>
    </row>
    <row r="182" spans="1:5" ht="34.5" customHeight="1" thickBot="1">
      <c r="A182" s="144">
        <f>A181*A180</f>
        <v>1150</v>
      </c>
      <c r="B182" s="152"/>
      <c r="C182" s="145"/>
      <c r="D182" s="35" t="s">
        <v>7</v>
      </c>
      <c r="E182" s="41"/>
    </row>
    <row r="183" spans="1:5" ht="34.5" customHeight="1" thickBot="1">
      <c r="A183" s="144">
        <v>0</v>
      </c>
      <c r="B183" s="152"/>
      <c r="C183" s="145"/>
      <c r="D183" s="35" t="s">
        <v>437</v>
      </c>
      <c r="E183" s="41"/>
    </row>
    <row r="184" spans="1:5" ht="34.5" customHeight="1" thickBot="1">
      <c r="A184" s="34">
        <v>0</v>
      </c>
      <c r="B184" s="32" t="s">
        <v>8</v>
      </c>
      <c r="C184" s="33">
        <v>1150</v>
      </c>
      <c r="D184" s="32" t="s">
        <v>9</v>
      </c>
      <c r="E184" s="41"/>
    </row>
    <row r="185" spans="1:5" ht="34.5" customHeight="1" thickBot="1">
      <c r="A185" s="153" t="s">
        <v>436</v>
      </c>
      <c r="B185" s="154"/>
      <c r="C185" s="154"/>
      <c r="D185" s="155"/>
      <c r="E185" s="41"/>
    </row>
    <row r="186" spans="1:5" ht="34.5" customHeight="1" thickBot="1">
      <c r="A186" s="156" t="s">
        <v>435</v>
      </c>
      <c r="B186" s="157"/>
      <c r="C186" s="157"/>
      <c r="D186" s="158"/>
      <c r="E186" s="41"/>
    </row>
    <row r="187" spans="1:5" ht="34.5" customHeight="1">
      <c r="A187" s="159" t="s">
        <v>442</v>
      </c>
      <c r="B187" s="160" t="s">
        <v>441</v>
      </c>
      <c r="C187" s="160"/>
      <c r="D187" s="161"/>
      <c r="E187" s="44"/>
    </row>
    <row r="188" spans="1:5" ht="34.5" customHeight="1" thickBot="1">
      <c r="A188" s="162"/>
      <c r="B188" s="163"/>
      <c r="C188" s="163"/>
      <c r="D188" s="164"/>
      <c r="E188" s="44"/>
    </row>
    <row r="189" spans="1:5" ht="34.5" customHeight="1" thickBot="1">
      <c r="A189" s="142" t="s">
        <v>11</v>
      </c>
      <c r="B189" s="143"/>
      <c r="C189" s="165" t="s">
        <v>591</v>
      </c>
      <c r="D189" s="143"/>
      <c r="E189" s="43"/>
    </row>
    <row r="190" spans="1:5" ht="34.5" customHeight="1" thickBot="1">
      <c r="A190" s="137" t="s">
        <v>515</v>
      </c>
      <c r="B190" s="138"/>
      <c r="C190" s="138"/>
      <c r="D190" s="139"/>
      <c r="E190" s="43"/>
    </row>
    <row r="191" spans="1:5" ht="34.5" customHeight="1" thickBot="1">
      <c r="A191" s="34" t="s">
        <v>487</v>
      </c>
      <c r="B191" s="32" t="s">
        <v>438</v>
      </c>
      <c r="C191" s="34">
        <v>7</v>
      </c>
      <c r="D191" s="32" t="s">
        <v>0</v>
      </c>
      <c r="E191" s="42"/>
    </row>
    <row r="192" spans="1:5" ht="34.5" customHeight="1" thickBot="1">
      <c r="A192" s="37" t="s">
        <v>673</v>
      </c>
      <c r="B192" s="36" t="s">
        <v>1</v>
      </c>
      <c r="C192" s="34" t="s">
        <v>674</v>
      </c>
      <c r="D192" s="32" t="s">
        <v>2</v>
      </c>
      <c r="E192" s="41"/>
    </row>
    <row r="193" spans="1:5" ht="34.5" customHeight="1" thickBot="1">
      <c r="A193" s="140">
        <v>360</v>
      </c>
      <c r="B193" s="141"/>
      <c r="C193" s="142" t="s">
        <v>3</v>
      </c>
      <c r="D193" s="143"/>
      <c r="E193" s="41"/>
    </row>
    <row r="194" spans="1:5" ht="34.5" customHeight="1" thickBot="1">
      <c r="A194" s="140">
        <v>360</v>
      </c>
      <c r="B194" s="141"/>
      <c r="C194" s="144" t="s">
        <v>4</v>
      </c>
      <c r="D194" s="145"/>
      <c r="E194" s="41"/>
    </row>
    <row r="195" spans="1:5" ht="34.5" customHeight="1" thickBot="1">
      <c r="A195" s="146">
        <f>A194-A193</f>
        <v>0</v>
      </c>
      <c r="B195" s="147"/>
      <c r="C195" s="148"/>
      <c r="D195" s="35" t="s">
        <v>5</v>
      </c>
      <c r="E195" s="41"/>
    </row>
    <row r="196" spans="1:5" ht="34.5" customHeight="1" thickBot="1">
      <c r="A196" s="149">
        <v>23</v>
      </c>
      <c r="B196" s="150"/>
      <c r="C196" s="151"/>
      <c r="D196" s="35" t="s">
        <v>6</v>
      </c>
      <c r="E196" s="41"/>
    </row>
    <row r="197" spans="1:5" ht="34.5" customHeight="1" thickBot="1">
      <c r="A197" s="144">
        <f>A196*A195</f>
        <v>0</v>
      </c>
      <c r="B197" s="152"/>
      <c r="C197" s="145"/>
      <c r="D197" s="35" t="s">
        <v>7</v>
      </c>
      <c r="E197" s="41"/>
    </row>
    <row r="198" spans="1:5" ht="34.5" customHeight="1" thickBot="1">
      <c r="A198" s="144">
        <v>0</v>
      </c>
      <c r="B198" s="152"/>
      <c r="C198" s="145"/>
      <c r="D198" s="35" t="s">
        <v>437</v>
      </c>
      <c r="E198" s="41"/>
    </row>
    <row r="199" spans="1:5" ht="34.5" customHeight="1" thickBot="1">
      <c r="A199" s="34">
        <v>0</v>
      </c>
      <c r="B199" s="32" t="s">
        <v>8</v>
      </c>
      <c r="C199" s="33">
        <v>1270</v>
      </c>
      <c r="D199" s="32" t="s">
        <v>9</v>
      </c>
      <c r="E199" s="41"/>
    </row>
    <row r="200" spans="1:5" ht="34.5" customHeight="1" thickBot="1">
      <c r="A200" s="153" t="s">
        <v>436</v>
      </c>
      <c r="B200" s="154"/>
      <c r="C200" s="154"/>
      <c r="D200" s="155"/>
      <c r="E200" s="41"/>
    </row>
    <row r="201" spans="1:5" ht="34.5" customHeight="1" thickBot="1">
      <c r="A201" s="156" t="s">
        <v>435</v>
      </c>
      <c r="B201" s="157"/>
      <c r="C201" s="157"/>
      <c r="D201" s="158"/>
      <c r="E201" s="41"/>
    </row>
    <row r="202" spans="1:5" ht="34.5" customHeight="1" thickBot="1">
      <c r="A202" s="40"/>
      <c r="B202" s="39"/>
      <c r="C202" s="39"/>
      <c r="D202" s="38"/>
      <c r="E202" s="41"/>
    </row>
    <row r="203" spans="1:5" ht="34.5" customHeight="1">
      <c r="A203" s="159" t="s">
        <v>442</v>
      </c>
      <c r="B203" s="160" t="s">
        <v>441</v>
      </c>
      <c r="C203" s="160"/>
      <c r="D203" s="161"/>
      <c r="E203" s="44"/>
    </row>
    <row r="204" spans="1:5" ht="34.5" customHeight="1" thickBot="1">
      <c r="A204" s="162"/>
      <c r="B204" s="163"/>
      <c r="C204" s="163"/>
      <c r="D204" s="164"/>
      <c r="E204" s="44"/>
    </row>
    <row r="205" spans="1:5" ht="34.5" customHeight="1" thickBot="1">
      <c r="A205" s="142" t="s">
        <v>11</v>
      </c>
      <c r="B205" s="143"/>
      <c r="C205" s="165" t="s">
        <v>591</v>
      </c>
      <c r="D205" s="143"/>
      <c r="E205" s="43"/>
    </row>
    <row r="206" spans="1:5" ht="34.5" customHeight="1" thickBot="1">
      <c r="A206" s="137" t="s">
        <v>515</v>
      </c>
      <c r="B206" s="138"/>
      <c r="C206" s="138"/>
      <c r="D206" s="139"/>
      <c r="E206" s="43"/>
    </row>
    <row r="207" spans="1:5" ht="34.5" customHeight="1" thickBot="1">
      <c r="A207" s="34" t="s">
        <v>487</v>
      </c>
      <c r="B207" s="32" t="s">
        <v>438</v>
      </c>
      <c r="C207" s="34">
        <v>7</v>
      </c>
      <c r="D207" s="32" t="s">
        <v>0</v>
      </c>
      <c r="E207" s="42"/>
    </row>
    <row r="208" spans="1:5" ht="34.5" customHeight="1" thickBot="1">
      <c r="A208" s="37" t="s">
        <v>673</v>
      </c>
      <c r="B208" s="36" t="s">
        <v>1</v>
      </c>
      <c r="C208" s="34" t="s">
        <v>674</v>
      </c>
      <c r="D208" s="32" t="s">
        <v>2</v>
      </c>
      <c r="E208" s="41"/>
    </row>
    <row r="209" spans="1:5" ht="34.5" customHeight="1" thickBot="1">
      <c r="A209" s="140">
        <v>305</v>
      </c>
      <c r="B209" s="141"/>
      <c r="C209" s="142" t="s">
        <v>3</v>
      </c>
      <c r="D209" s="143"/>
      <c r="E209" s="41"/>
    </row>
    <row r="210" spans="1:5" ht="34.5" customHeight="1" thickBot="1">
      <c r="A210" s="140">
        <v>360</v>
      </c>
      <c r="B210" s="141"/>
      <c r="C210" s="144" t="s">
        <v>4</v>
      </c>
      <c r="D210" s="145"/>
      <c r="E210" s="41"/>
    </row>
    <row r="211" spans="1:5" ht="34.5" customHeight="1" thickBot="1">
      <c r="A211" s="146">
        <f>A210-A209</f>
        <v>55</v>
      </c>
      <c r="B211" s="147"/>
      <c r="C211" s="148"/>
      <c r="D211" s="35" t="s">
        <v>5</v>
      </c>
      <c r="E211" s="41"/>
    </row>
    <row r="212" spans="1:5" ht="34.5" customHeight="1" thickBot="1">
      <c r="A212" s="149">
        <v>23</v>
      </c>
      <c r="B212" s="150"/>
      <c r="C212" s="151"/>
      <c r="D212" s="35" t="s">
        <v>6</v>
      </c>
      <c r="E212" s="41"/>
    </row>
    <row r="213" spans="1:5" ht="34.5" customHeight="1" thickBot="1">
      <c r="A213" s="144">
        <f>A212*A211</f>
        <v>1265</v>
      </c>
      <c r="B213" s="152"/>
      <c r="C213" s="145"/>
      <c r="D213" s="35" t="s">
        <v>7</v>
      </c>
      <c r="E213" s="41"/>
    </row>
    <row r="214" spans="1:5" ht="34.5" customHeight="1" thickBot="1">
      <c r="A214" s="144">
        <v>0</v>
      </c>
      <c r="B214" s="152"/>
      <c r="C214" s="145"/>
      <c r="D214" s="35" t="s">
        <v>437</v>
      </c>
      <c r="E214" s="41"/>
    </row>
    <row r="215" spans="1:5" ht="34.5" customHeight="1" thickBot="1">
      <c r="A215" s="34">
        <v>0</v>
      </c>
      <c r="B215" s="32" t="s">
        <v>8</v>
      </c>
      <c r="C215" s="33">
        <v>1270</v>
      </c>
      <c r="D215" s="32" t="s">
        <v>9</v>
      </c>
      <c r="E215" s="41"/>
    </row>
    <row r="216" spans="1:5" ht="34.5" customHeight="1" thickBot="1">
      <c r="A216" s="153" t="s">
        <v>436</v>
      </c>
      <c r="B216" s="154"/>
      <c r="C216" s="154"/>
      <c r="D216" s="155"/>
      <c r="E216" s="41"/>
    </row>
    <row r="217" spans="1:5" ht="34.5" customHeight="1" thickBot="1">
      <c r="A217" s="156" t="s">
        <v>435</v>
      </c>
      <c r="B217" s="157"/>
      <c r="C217" s="157"/>
      <c r="D217" s="158"/>
      <c r="E217" s="41"/>
    </row>
    <row r="218" spans="1:5" ht="34.5" customHeight="1">
      <c r="A218" s="159" t="s">
        <v>442</v>
      </c>
      <c r="B218" s="160" t="s">
        <v>441</v>
      </c>
      <c r="C218" s="160"/>
      <c r="D218" s="161"/>
      <c r="E218" s="44"/>
    </row>
    <row r="219" spans="1:5" ht="34.5" customHeight="1" thickBot="1">
      <c r="A219" s="162"/>
      <c r="B219" s="163"/>
      <c r="C219" s="163"/>
      <c r="D219" s="164"/>
      <c r="E219" s="44"/>
    </row>
    <row r="220" spans="1:5" ht="34.5" customHeight="1" thickBot="1">
      <c r="A220" s="142" t="s">
        <v>11</v>
      </c>
      <c r="B220" s="143"/>
      <c r="C220" s="165" t="s">
        <v>591</v>
      </c>
      <c r="D220" s="143"/>
      <c r="E220" s="43"/>
    </row>
    <row r="221" spans="1:5" ht="34.5" customHeight="1" thickBot="1">
      <c r="A221" s="137" t="s">
        <v>313</v>
      </c>
      <c r="B221" s="138"/>
      <c r="C221" s="138"/>
      <c r="D221" s="139"/>
      <c r="E221" s="43"/>
    </row>
    <row r="222" spans="1:5" ht="34.5" customHeight="1" thickBot="1">
      <c r="A222" s="34" t="s">
        <v>487</v>
      </c>
      <c r="B222" s="32" t="s">
        <v>438</v>
      </c>
      <c r="C222" s="34">
        <v>8</v>
      </c>
      <c r="D222" s="32" t="s">
        <v>0</v>
      </c>
      <c r="E222" s="42"/>
    </row>
    <row r="223" spans="1:5" ht="34.5" customHeight="1" thickBot="1">
      <c r="A223" s="37" t="s">
        <v>673</v>
      </c>
      <c r="B223" s="36" t="s">
        <v>1</v>
      </c>
      <c r="C223" s="34" t="s">
        <v>674</v>
      </c>
      <c r="D223" s="32" t="s">
        <v>2</v>
      </c>
      <c r="E223" s="41"/>
    </row>
    <row r="224" spans="1:5" ht="34.5" customHeight="1" thickBot="1">
      <c r="A224" s="140">
        <v>375</v>
      </c>
      <c r="B224" s="141"/>
      <c r="C224" s="142" t="s">
        <v>3</v>
      </c>
      <c r="D224" s="143"/>
      <c r="E224" s="41"/>
    </row>
    <row r="225" spans="1:5" ht="34.5" customHeight="1" thickBot="1">
      <c r="A225" s="140">
        <v>375</v>
      </c>
      <c r="B225" s="141"/>
      <c r="C225" s="144" t="s">
        <v>4</v>
      </c>
      <c r="D225" s="145"/>
      <c r="E225" s="41"/>
    </row>
    <row r="226" spans="1:5" ht="34.5" customHeight="1" thickBot="1">
      <c r="A226" s="146">
        <f>A225-A224</f>
        <v>0</v>
      </c>
      <c r="B226" s="147"/>
      <c r="C226" s="148"/>
      <c r="D226" s="35" t="s">
        <v>5</v>
      </c>
      <c r="E226" s="41"/>
    </row>
    <row r="227" spans="1:5" ht="34.5" customHeight="1" thickBot="1">
      <c r="A227" s="149">
        <v>23</v>
      </c>
      <c r="B227" s="150"/>
      <c r="C227" s="151"/>
      <c r="D227" s="35" t="s">
        <v>6</v>
      </c>
      <c r="E227" s="41"/>
    </row>
    <row r="228" spans="1:5" ht="34.5" customHeight="1" thickBot="1">
      <c r="A228" s="144">
        <f>A227*A226</f>
        <v>0</v>
      </c>
      <c r="B228" s="152"/>
      <c r="C228" s="145"/>
      <c r="D228" s="35" t="s">
        <v>7</v>
      </c>
      <c r="E228" s="41"/>
    </row>
    <row r="229" spans="1:5" ht="34.5" customHeight="1" thickBot="1">
      <c r="A229" s="144">
        <v>0</v>
      </c>
      <c r="B229" s="152"/>
      <c r="C229" s="145"/>
      <c r="D229" s="35" t="s">
        <v>437</v>
      </c>
      <c r="E229" s="41"/>
    </row>
    <row r="230" spans="1:5" ht="34.5" customHeight="1" thickBot="1">
      <c r="A230" s="34">
        <v>0</v>
      </c>
      <c r="B230" s="32" t="s">
        <v>8</v>
      </c>
      <c r="C230" s="33">
        <v>1170</v>
      </c>
      <c r="D230" s="32" t="s">
        <v>9</v>
      </c>
      <c r="E230" s="41"/>
    </row>
    <row r="231" spans="1:5" ht="34.5" customHeight="1" thickBot="1">
      <c r="A231" s="153" t="s">
        <v>436</v>
      </c>
      <c r="B231" s="154"/>
      <c r="C231" s="154"/>
      <c r="D231" s="155"/>
      <c r="E231" s="41"/>
    </row>
    <row r="232" spans="1:5" ht="34.5" customHeight="1" thickBot="1">
      <c r="A232" s="156" t="s">
        <v>435</v>
      </c>
      <c r="B232" s="157"/>
      <c r="C232" s="157"/>
      <c r="D232" s="158"/>
      <c r="E232" s="41"/>
    </row>
    <row r="233" spans="1:5" ht="34.5" customHeight="1" thickBot="1">
      <c r="A233" s="40"/>
      <c r="B233" s="39"/>
      <c r="C233" s="39"/>
      <c r="D233" s="38"/>
      <c r="E233" s="41"/>
    </row>
    <row r="234" spans="1:5" ht="34.5" customHeight="1">
      <c r="A234" s="159" t="s">
        <v>442</v>
      </c>
      <c r="B234" s="160" t="s">
        <v>441</v>
      </c>
      <c r="C234" s="160"/>
      <c r="D234" s="161"/>
      <c r="E234" s="44"/>
    </row>
    <row r="235" spans="1:5" ht="34.5" customHeight="1" thickBot="1">
      <c r="A235" s="162"/>
      <c r="B235" s="163"/>
      <c r="C235" s="163"/>
      <c r="D235" s="164"/>
      <c r="E235" s="44"/>
    </row>
    <row r="236" spans="1:5" ht="34.5" customHeight="1" thickBot="1">
      <c r="A236" s="142" t="s">
        <v>11</v>
      </c>
      <c r="B236" s="143"/>
      <c r="C236" s="165" t="s">
        <v>591</v>
      </c>
      <c r="D236" s="143"/>
      <c r="E236" s="43"/>
    </row>
    <row r="237" spans="1:5" ht="34.5" customHeight="1" thickBot="1">
      <c r="A237" s="137" t="s">
        <v>313</v>
      </c>
      <c r="B237" s="138"/>
      <c r="C237" s="138"/>
      <c r="D237" s="139"/>
      <c r="E237" s="43"/>
    </row>
    <row r="238" spans="1:5" ht="34.5" customHeight="1" thickBot="1">
      <c r="A238" s="34" t="s">
        <v>487</v>
      </c>
      <c r="B238" s="32" t="s">
        <v>438</v>
      </c>
      <c r="C238" s="34">
        <v>8</v>
      </c>
      <c r="D238" s="32" t="s">
        <v>0</v>
      </c>
      <c r="E238" s="42"/>
    </row>
    <row r="239" spans="1:5" ht="34.5" customHeight="1" thickBot="1">
      <c r="A239" s="37" t="s">
        <v>673</v>
      </c>
      <c r="B239" s="36" t="s">
        <v>1</v>
      </c>
      <c r="C239" s="34" t="s">
        <v>674</v>
      </c>
      <c r="D239" s="32" t="s">
        <v>2</v>
      </c>
      <c r="E239" s="41"/>
    </row>
    <row r="240" spans="1:5" ht="34.5" customHeight="1" thickBot="1">
      <c r="A240" s="140">
        <v>324</v>
      </c>
      <c r="B240" s="141"/>
      <c r="C240" s="142" t="s">
        <v>3</v>
      </c>
      <c r="D240" s="143"/>
      <c r="E240" s="41"/>
    </row>
    <row r="241" spans="1:5" ht="34.5" customHeight="1" thickBot="1">
      <c r="A241" s="140">
        <v>375</v>
      </c>
      <c r="B241" s="141"/>
      <c r="C241" s="144" t="s">
        <v>4</v>
      </c>
      <c r="D241" s="145"/>
      <c r="E241" s="41"/>
    </row>
    <row r="242" spans="1:5" ht="34.5" customHeight="1" thickBot="1">
      <c r="A242" s="146">
        <f>A241-A240</f>
        <v>51</v>
      </c>
      <c r="B242" s="147"/>
      <c r="C242" s="148"/>
      <c r="D242" s="35" t="s">
        <v>5</v>
      </c>
      <c r="E242" s="41"/>
    </row>
    <row r="243" spans="1:5" ht="34.5" customHeight="1" thickBot="1">
      <c r="A243" s="149">
        <v>23</v>
      </c>
      <c r="B243" s="150"/>
      <c r="C243" s="151"/>
      <c r="D243" s="35" t="s">
        <v>6</v>
      </c>
      <c r="E243" s="41"/>
    </row>
    <row r="244" spans="1:5" ht="34.5" customHeight="1" thickBot="1">
      <c r="A244" s="144">
        <f>A243*A242</f>
        <v>1173</v>
      </c>
      <c r="B244" s="152"/>
      <c r="C244" s="145"/>
      <c r="D244" s="35" t="s">
        <v>7</v>
      </c>
      <c r="E244" s="41"/>
    </row>
    <row r="245" spans="1:5" ht="34.5" customHeight="1" thickBot="1">
      <c r="A245" s="144">
        <v>0</v>
      </c>
      <c r="B245" s="152"/>
      <c r="C245" s="145"/>
      <c r="D245" s="35" t="s">
        <v>437</v>
      </c>
      <c r="E245" s="41"/>
    </row>
    <row r="246" spans="1:5" ht="34.5" customHeight="1" thickBot="1">
      <c r="A246" s="34">
        <v>0</v>
      </c>
      <c r="B246" s="32" t="s">
        <v>8</v>
      </c>
      <c r="C246" s="33">
        <v>1170</v>
      </c>
      <c r="D246" s="32" t="s">
        <v>9</v>
      </c>
      <c r="E246" s="41"/>
    </row>
    <row r="247" spans="1:5" ht="34.5" customHeight="1" thickBot="1">
      <c r="A247" s="153" t="s">
        <v>436</v>
      </c>
      <c r="B247" s="154"/>
      <c r="C247" s="154"/>
      <c r="D247" s="155"/>
      <c r="E247" s="41"/>
    </row>
    <row r="248" spans="1:5" ht="34.5" customHeight="1" thickBot="1">
      <c r="A248" s="156" t="s">
        <v>435</v>
      </c>
      <c r="B248" s="157"/>
      <c r="C248" s="157"/>
      <c r="D248" s="158"/>
      <c r="E248" s="41"/>
    </row>
    <row r="249" spans="1:5" ht="34.5" customHeight="1">
      <c r="A249" s="159" t="s">
        <v>442</v>
      </c>
      <c r="B249" s="160" t="s">
        <v>441</v>
      </c>
      <c r="C249" s="160"/>
      <c r="D249" s="161"/>
      <c r="E249" s="44"/>
    </row>
    <row r="250" spans="1:5" ht="34.5" customHeight="1" thickBot="1">
      <c r="A250" s="162"/>
      <c r="B250" s="163"/>
      <c r="C250" s="163"/>
      <c r="D250" s="164"/>
      <c r="E250" s="44"/>
    </row>
    <row r="251" spans="1:5" ht="34.5" customHeight="1" thickBot="1">
      <c r="A251" s="142" t="s">
        <v>11</v>
      </c>
      <c r="B251" s="143"/>
      <c r="C251" s="165" t="s">
        <v>591</v>
      </c>
      <c r="D251" s="143"/>
      <c r="E251" s="43"/>
    </row>
    <row r="252" spans="1:5" ht="34.5" customHeight="1" thickBot="1">
      <c r="A252" s="137" t="s">
        <v>307</v>
      </c>
      <c r="B252" s="138"/>
      <c r="C252" s="138"/>
      <c r="D252" s="139"/>
      <c r="E252" s="43"/>
    </row>
    <row r="253" spans="1:5" ht="34.5" customHeight="1" thickBot="1">
      <c r="A253" s="34" t="s">
        <v>487</v>
      </c>
      <c r="B253" s="32" t="s">
        <v>438</v>
      </c>
      <c r="C253" s="34">
        <v>9</v>
      </c>
      <c r="D253" s="32" t="s">
        <v>0</v>
      </c>
      <c r="E253" s="42"/>
    </row>
    <row r="254" spans="1:5" ht="34.5" customHeight="1" thickBot="1">
      <c r="A254" s="37" t="s">
        <v>673</v>
      </c>
      <c r="B254" s="36" t="s">
        <v>1</v>
      </c>
      <c r="C254" s="34" t="s">
        <v>674</v>
      </c>
      <c r="D254" s="32" t="s">
        <v>2</v>
      </c>
      <c r="E254" s="41"/>
    </row>
    <row r="255" spans="1:5" ht="34.5" customHeight="1" thickBot="1">
      <c r="A255" s="140">
        <v>272</v>
      </c>
      <c r="B255" s="141"/>
      <c r="C255" s="142" t="s">
        <v>3</v>
      </c>
      <c r="D255" s="143"/>
      <c r="E255" s="41"/>
    </row>
    <row r="256" spans="1:5" ht="34.5" customHeight="1" thickBot="1">
      <c r="A256" s="140">
        <v>272</v>
      </c>
      <c r="B256" s="141"/>
      <c r="C256" s="144" t="s">
        <v>4</v>
      </c>
      <c r="D256" s="145"/>
      <c r="E256" s="41"/>
    </row>
    <row r="257" spans="1:5" ht="34.5" customHeight="1" thickBot="1">
      <c r="A257" s="146">
        <f>A256-A255</f>
        <v>0</v>
      </c>
      <c r="B257" s="147"/>
      <c r="C257" s="148"/>
      <c r="D257" s="35" t="s">
        <v>5</v>
      </c>
      <c r="E257" s="41"/>
    </row>
    <row r="258" spans="1:5" ht="34.5" customHeight="1" thickBot="1">
      <c r="A258" s="149">
        <v>23</v>
      </c>
      <c r="B258" s="150"/>
      <c r="C258" s="151"/>
      <c r="D258" s="35" t="s">
        <v>6</v>
      </c>
      <c r="E258" s="41"/>
    </row>
    <row r="259" spans="1:5" ht="34.5" customHeight="1" thickBot="1">
      <c r="A259" s="144">
        <f>A258*A257</f>
        <v>0</v>
      </c>
      <c r="B259" s="152"/>
      <c r="C259" s="145"/>
      <c r="D259" s="35" t="s">
        <v>7</v>
      </c>
      <c r="E259" s="41"/>
    </row>
    <row r="260" spans="1:5" ht="34.5" customHeight="1" thickBot="1">
      <c r="A260" s="144">
        <v>0</v>
      </c>
      <c r="B260" s="152"/>
      <c r="C260" s="145"/>
      <c r="D260" s="35" t="s">
        <v>437</v>
      </c>
      <c r="E260" s="41"/>
    </row>
    <row r="261" spans="1:5" ht="34.5" customHeight="1" thickBot="1">
      <c r="A261" s="34">
        <v>0</v>
      </c>
      <c r="B261" s="32" t="s">
        <v>8</v>
      </c>
      <c r="C261" s="33">
        <v>780</v>
      </c>
      <c r="D261" s="32" t="s">
        <v>9</v>
      </c>
      <c r="E261" s="41"/>
    </row>
    <row r="262" spans="1:5" ht="34.5" customHeight="1" thickBot="1">
      <c r="A262" s="153" t="s">
        <v>436</v>
      </c>
      <c r="B262" s="154"/>
      <c r="C262" s="154"/>
      <c r="D262" s="155"/>
      <c r="E262" s="41"/>
    </row>
    <row r="263" spans="1:5" ht="34.5" customHeight="1" thickBot="1">
      <c r="A263" s="156" t="s">
        <v>435</v>
      </c>
      <c r="B263" s="157"/>
      <c r="C263" s="157"/>
      <c r="D263" s="158"/>
      <c r="E263" s="41"/>
    </row>
    <row r="264" spans="1:5" ht="34.5" customHeight="1" thickBot="1">
      <c r="A264" s="40"/>
      <c r="B264" s="39"/>
      <c r="C264" s="39"/>
      <c r="D264" s="38"/>
      <c r="E264" s="41"/>
    </row>
    <row r="265" spans="1:5" ht="34.5" customHeight="1">
      <c r="A265" s="159" t="s">
        <v>442</v>
      </c>
      <c r="B265" s="160" t="s">
        <v>441</v>
      </c>
      <c r="C265" s="160"/>
      <c r="D265" s="161"/>
      <c r="E265" s="44"/>
    </row>
    <row r="266" spans="1:5" ht="34.5" customHeight="1" thickBot="1">
      <c r="A266" s="162"/>
      <c r="B266" s="163"/>
      <c r="C266" s="163"/>
      <c r="D266" s="164"/>
      <c r="E266" s="44"/>
    </row>
    <row r="267" spans="1:5" ht="34.5" customHeight="1" thickBot="1">
      <c r="A267" s="142" t="s">
        <v>11</v>
      </c>
      <c r="B267" s="143"/>
      <c r="C267" s="165" t="s">
        <v>591</v>
      </c>
      <c r="D267" s="143"/>
      <c r="E267" s="43"/>
    </row>
    <row r="268" spans="1:5" ht="34.5" customHeight="1" thickBot="1">
      <c r="A268" s="137" t="s">
        <v>307</v>
      </c>
      <c r="B268" s="138"/>
      <c r="C268" s="138"/>
      <c r="D268" s="139"/>
      <c r="E268" s="43"/>
    </row>
    <row r="269" spans="1:5" ht="34.5" customHeight="1" thickBot="1">
      <c r="A269" s="34" t="s">
        <v>487</v>
      </c>
      <c r="B269" s="32" t="s">
        <v>438</v>
      </c>
      <c r="C269" s="34">
        <v>9</v>
      </c>
      <c r="D269" s="32" t="s">
        <v>0</v>
      </c>
      <c r="E269" s="42"/>
    </row>
    <row r="270" spans="1:5" ht="34.5" customHeight="1" thickBot="1">
      <c r="A270" s="37" t="s">
        <v>673</v>
      </c>
      <c r="B270" s="36" t="s">
        <v>1</v>
      </c>
      <c r="C270" s="34" t="s">
        <v>674</v>
      </c>
      <c r="D270" s="32" t="s">
        <v>2</v>
      </c>
      <c r="E270" s="41"/>
    </row>
    <row r="271" spans="1:5" ht="34.5" customHeight="1" thickBot="1">
      <c r="A271" s="140">
        <v>238</v>
      </c>
      <c r="B271" s="141"/>
      <c r="C271" s="142" t="s">
        <v>3</v>
      </c>
      <c r="D271" s="143"/>
      <c r="E271" s="41"/>
    </row>
    <row r="272" spans="1:5" ht="34.5" customHeight="1" thickBot="1">
      <c r="A272" s="140">
        <v>272</v>
      </c>
      <c r="B272" s="141"/>
      <c r="C272" s="144" t="s">
        <v>4</v>
      </c>
      <c r="D272" s="145"/>
      <c r="E272" s="41"/>
    </row>
    <row r="273" spans="1:5" ht="34.5" customHeight="1" thickBot="1">
      <c r="A273" s="146">
        <f>A272-A271</f>
        <v>34</v>
      </c>
      <c r="B273" s="147"/>
      <c r="C273" s="148"/>
      <c r="D273" s="35" t="s">
        <v>5</v>
      </c>
      <c r="E273" s="41"/>
    </row>
    <row r="274" spans="1:5" ht="34.5" customHeight="1" thickBot="1">
      <c r="A274" s="149">
        <v>23</v>
      </c>
      <c r="B274" s="150"/>
      <c r="C274" s="151"/>
      <c r="D274" s="35" t="s">
        <v>6</v>
      </c>
      <c r="E274" s="41"/>
    </row>
    <row r="275" spans="1:5" ht="34.5" customHeight="1" thickBot="1">
      <c r="A275" s="144">
        <f>A274*A273</f>
        <v>782</v>
      </c>
      <c r="B275" s="152"/>
      <c r="C275" s="145"/>
      <c r="D275" s="35" t="s">
        <v>7</v>
      </c>
      <c r="E275" s="41"/>
    </row>
    <row r="276" spans="1:5" ht="34.5" customHeight="1" thickBot="1">
      <c r="A276" s="144">
        <v>0</v>
      </c>
      <c r="B276" s="152"/>
      <c r="C276" s="145"/>
      <c r="D276" s="35" t="s">
        <v>437</v>
      </c>
      <c r="E276" s="41"/>
    </row>
    <row r="277" spans="1:5" ht="34.5" customHeight="1" thickBot="1">
      <c r="A277" s="34">
        <v>0</v>
      </c>
      <c r="B277" s="32" t="s">
        <v>8</v>
      </c>
      <c r="C277" s="33">
        <v>780</v>
      </c>
      <c r="D277" s="32" t="s">
        <v>9</v>
      </c>
      <c r="E277" s="41"/>
    </row>
    <row r="278" spans="1:5" ht="34.5" customHeight="1" thickBot="1">
      <c r="A278" s="153" t="s">
        <v>436</v>
      </c>
      <c r="B278" s="154"/>
      <c r="C278" s="154"/>
      <c r="D278" s="155"/>
      <c r="E278" s="41"/>
    </row>
    <row r="279" spans="1:5" ht="34.5" customHeight="1" thickBot="1">
      <c r="A279" s="156" t="s">
        <v>435</v>
      </c>
      <c r="B279" s="157"/>
      <c r="C279" s="157"/>
      <c r="D279" s="158"/>
      <c r="E279" s="41"/>
    </row>
    <row r="280" spans="1:5" ht="34.5" customHeight="1">
      <c r="A280" s="159" t="s">
        <v>442</v>
      </c>
      <c r="B280" s="160" t="s">
        <v>441</v>
      </c>
      <c r="C280" s="160"/>
      <c r="D280" s="161"/>
      <c r="E280" s="44"/>
    </row>
    <row r="281" spans="1:5" ht="34.5" customHeight="1" thickBot="1">
      <c r="A281" s="162"/>
      <c r="B281" s="163"/>
      <c r="C281" s="163"/>
      <c r="D281" s="164"/>
      <c r="E281" s="44"/>
    </row>
    <row r="282" spans="1:5" ht="34.5" customHeight="1" thickBot="1">
      <c r="A282" s="142" t="s">
        <v>11</v>
      </c>
      <c r="B282" s="143"/>
      <c r="C282" s="165" t="s">
        <v>591</v>
      </c>
      <c r="D282" s="143"/>
      <c r="E282" s="43"/>
    </row>
    <row r="283" spans="1:5" ht="34.5" customHeight="1" thickBot="1">
      <c r="A283" s="137" t="s">
        <v>516</v>
      </c>
      <c r="B283" s="138"/>
      <c r="C283" s="138"/>
      <c r="D283" s="139"/>
      <c r="E283" s="43"/>
    </row>
    <row r="284" spans="1:5" ht="34.5" customHeight="1" thickBot="1">
      <c r="A284" s="34" t="s">
        <v>487</v>
      </c>
      <c r="B284" s="32" t="s">
        <v>438</v>
      </c>
      <c r="C284" s="34">
        <v>10</v>
      </c>
      <c r="D284" s="32" t="s">
        <v>0</v>
      </c>
      <c r="E284" s="42"/>
    </row>
    <row r="285" spans="1:5" ht="34.5" customHeight="1" thickBot="1">
      <c r="A285" s="37" t="s">
        <v>673</v>
      </c>
      <c r="B285" s="36" t="s">
        <v>1</v>
      </c>
      <c r="C285" s="34" t="s">
        <v>674</v>
      </c>
      <c r="D285" s="32" t="s">
        <v>2</v>
      </c>
      <c r="E285" s="41"/>
    </row>
    <row r="286" spans="1:5" ht="34.5" customHeight="1" thickBot="1">
      <c r="A286" s="140">
        <v>285</v>
      </c>
      <c r="B286" s="141"/>
      <c r="C286" s="142" t="s">
        <v>3</v>
      </c>
      <c r="D286" s="143"/>
      <c r="E286" s="41"/>
    </row>
    <row r="287" spans="1:5" ht="34.5" customHeight="1" thickBot="1">
      <c r="A287" s="140">
        <v>285</v>
      </c>
      <c r="B287" s="141"/>
      <c r="C287" s="144" t="s">
        <v>4</v>
      </c>
      <c r="D287" s="145"/>
      <c r="E287" s="41"/>
    </row>
    <row r="288" spans="1:5" ht="34.5" customHeight="1" thickBot="1">
      <c r="A288" s="146">
        <f>A287-A286</f>
        <v>0</v>
      </c>
      <c r="B288" s="147"/>
      <c r="C288" s="148"/>
      <c r="D288" s="35" t="s">
        <v>5</v>
      </c>
      <c r="E288" s="41"/>
    </row>
    <row r="289" spans="1:5" ht="34.5" customHeight="1" thickBot="1">
      <c r="A289" s="149">
        <v>23</v>
      </c>
      <c r="B289" s="150"/>
      <c r="C289" s="151"/>
      <c r="D289" s="35" t="s">
        <v>6</v>
      </c>
      <c r="E289" s="41"/>
    </row>
    <row r="290" spans="1:5" ht="34.5" customHeight="1" thickBot="1">
      <c r="A290" s="144">
        <f>A289*A288</f>
        <v>0</v>
      </c>
      <c r="B290" s="152"/>
      <c r="C290" s="145"/>
      <c r="D290" s="35" t="s">
        <v>7</v>
      </c>
      <c r="E290" s="41"/>
    </row>
    <row r="291" spans="1:5" ht="34.5" customHeight="1" thickBot="1">
      <c r="A291" s="144">
        <v>0</v>
      </c>
      <c r="B291" s="152"/>
      <c r="C291" s="145"/>
      <c r="D291" s="35" t="s">
        <v>437</v>
      </c>
      <c r="E291" s="41"/>
    </row>
    <row r="292" spans="1:5" ht="34.5" customHeight="1" thickBot="1">
      <c r="A292" s="34">
        <v>0</v>
      </c>
      <c r="B292" s="32" t="s">
        <v>8</v>
      </c>
      <c r="C292" s="33">
        <v>800</v>
      </c>
      <c r="D292" s="32" t="s">
        <v>9</v>
      </c>
      <c r="E292" s="41"/>
    </row>
    <row r="293" spans="1:5" ht="34.5" customHeight="1" thickBot="1">
      <c r="A293" s="153" t="s">
        <v>436</v>
      </c>
      <c r="B293" s="154"/>
      <c r="C293" s="154"/>
      <c r="D293" s="155"/>
      <c r="E293" s="41"/>
    </row>
    <row r="294" spans="1:5" ht="34.5" customHeight="1" thickBot="1">
      <c r="A294" s="156" t="s">
        <v>435</v>
      </c>
      <c r="B294" s="157"/>
      <c r="C294" s="157"/>
      <c r="D294" s="158"/>
      <c r="E294" s="41"/>
    </row>
    <row r="295" spans="1:5" ht="34.5" customHeight="1" thickBot="1">
      <c r="A295" s="40"/>
      <c r="B295" s="39"/>
      <c r="C295" s="39"/>
      <c r="D295" s="38"/>
      <c r="E295" s="41"/>
    </row>
    <row r="296" spans="1:5" ht="34.5" customHeight="1">
      <c r="A296" s="159" t="s">
        <v>442</v>
      </c>
      <c r="B296" s="160" t="s">
        <v>441</v>
      </c>
      <c r="C296" s="160"/>
      <c r="D296" s="161"/>
      <c r="E296" s="44"/>
    </row>
    <row r="297" spans="1:5" ht="34.5" customHeight="1" thickBot="1">
      <c r="A297" s="162"/>
      <c r="B297" s="163"/>
      <c r="C297" s="163"/>
      <c r="D297" s="164"/>
      <c r="E297" s="44"/>
    </row>
    <row r="298" spans="1:5" ht="34.5" customHeight="1" thickBot="1">
      <c r="A298" s="142" t="s">
        <v>11</v>
      </c>
      <c r="B298" s="143"/>
      <c r="C298" s="165" t="s">
        <v>591</v>
      </c>
      <c r="D298" s="143"/>
      <c r="E298" s="43"/>
    </row>
    <row r="299" spans="1:5" ht="34.5" customHeight="1" thickBot="1">
      <c r="A299" s="137" t="s">
        <v>516</v>
      </c>
      <c r="B299" s="138"/>
      <c r="C299" s="138"/>
      <c r="D299" s="139"/>
      <c r="E299" s="43"/>
    </row>
    <row r="300" spans="1:5" ht="34.5" customHeight="1" thickBot="1">
      <c r="A300" s="34" t="s">
        <v>487</v>
      </c>
      <c r="B300" s="32" t="s">
        <v>438</v>
      </c>
      <c r="C300" s="34">
        <v>10</v>
      </c>
      <c r="D300" s="32" t="s">
        <v>0</v>
      </c>
      <c r="E300" s="42"/>
    </row>
    <row r="301" spans="1:5" ht="34.5" customHeight="1" thickBot="1">
      <c r="A301" s="37" t="s">
        <v>673</v>
      </c>
      <c r="B301" s="36" t="s">
        <v>1</v>
      </c>
      <c r="C301" s="34" t="s">
        <v>674</v>
      </c>
      <c r="D301" s="32" t="s">
        <v>2</v>
      </c>
      <c r="E301" s="41"/>
    </row>
    <row r="302" spans="1:5" ht="34.5" customHeight="1" thickBot="1">
      <c r="A302" s="140">
        <v>250</v>
      </c>
      <c r="B302" s="141"/>
      <c r="C302" s="142" t="s">
        <v>3</v>
      </c>
      <c r="D302" s="143"/>
      <c r="E302" s="41"/>
    </row>
    <row r="303" spans="1:5" ht="34.5" customHeight="1" thickBot="1">
      <c r="A303" s="140">
        <v>285</v>
      </c>
      <c r="B303" s="141"/>
      <c r="C303" s="144" t="s">
        <v>4</v>
      </c>
      <c r="D303" s="145"/>
      <c r="E303" s="41"/>
    </row>
    <row r="304" spans="1:5" ht="34.5" customHeight="1" thickBot="1">
      <c r="A304" s="146">
        <f>A303-A302</f>
        <v>35</v>
      </c>
      <c r="B304" s="147"/>
      <c r="C304" s="148"/>
      <c r="D304" s="35" t="s">
        <v>5</v>
      </c>
      <c r="E304" s="41"/>
    </row>
    <row r="305" spans="1:5" ht="34.5" customHeight="1" thickBot="1">
      <c r="A305" s="149">
        <v>23</v>
      </c>
      <c r="B305" s="150"/>
      <c r="C305" s="151"/>
      <c r="D305" s="35" t="s">
        <v>6</v>
      </c>
      <c r="E305" s="41"/>
    </row>
    <row r="306" spans="1:5" ht="34.5" customHeight="1" thickBot="1">
      <c r="A306" s="144">
        <f>A305*A304</f>
        <v>805</v>
      </c>
      <c r="B306" s="152"/>
      <c r="C306" s="145"/>
      <c r="D306" s="35" t="s">
        <v>7</v>
      </c>
      <c r="E306" s="41"/>
    </row>
    <row r="307" spans="1:5" ht="34.5" customHeight="1" thickBot="1">
      <c r="A307" s="144">
        <v>0</v>
      </c>
      <c r="B307" s="152"/>
      <c r="C307" s="145"/>
      <c r="D307" s="35" t="s">
        <v>437</v>
      </c>
      <c r="E307" s="41"/>
    </row>
    <row r="308" spans="1:5" ht="34.5" customHeight="1" thickBot="1">
      <c r="A308" s="34">
        <v>0</v>
      </c>
      <c r="B308" s="32" t="s">
        <v>8</v>
      </c>
      <c r="C308" s="33">
        <v>800</v>
      </c>
      <c r="D308" s="32" t="s">
        <v>9</v>
      </c>
      <c r="E308" s="41"/>
    </row>
    <row r="309" spans="1:5" ht="34.5" customHeight="1" thickBot="1">
      <c r="A309" s="153" t="s">
        <v>436</v>
      </c>
      <c r="B309" s="154"/>
      <c r="C309" s="154"/>
      <c r="D309" s="155"/>
      <c r="E309" s="41"/>
    </row>
    <row r="310" spans="1:5" ht="34.5" customHeight="1" thickBot="1">
      <c r="A310" s="156" t="s">
        <v>435</v>
      </c>
      <c r="B310" s="157"/>
      <c r="C310" s="157"/>
      <c r="D310" s="158"/>
      <c r="E310" s="41"/>
    </row>
    <row r="311" spans="1:5" ht="34.5" customHeight="1">
      <c r="A311" s="159" t="s">
        <v>442</v>
      </c>
      <c r="B311" s="160" t="s">
        <v>441</v>
      </c>
      <c r="C311" s="160"/>
      <c r="D311" s="161"/>
      <c r="E311" s="44"/>
    </row>
    <row r="312" spans="1:5" ht="34.5" customHeight="1" thickBot="1">
      <c r="A312" s="162"/>
      <c r="B312" s="163"/>
      <c r="C312" s="163"/>
      <c r="D312" s="164"/>
      <c r="E312" s="44"/>
    </row>
    <row r="313" spans="1:5" ht="34.5" customHeight="1" thickBot="1">
      <c r="A313" s="142" t="s">
        <v>11</v>
      </c>
      <c r="B313" s="143"/>
      <c r="C313" s="165" t="s">
        <v>591</v>
      </c>
      <c r="D313" s="143"/>
      <c r="E313" s="43"/>
    </row>
    <row r="314" spans="1:5" ht="34.5" customHeight="1" thickBot="1">
      <c r="A314" s="166" t="s">
        <v>511</v>
      </c>
      <c r="B314" s="167"/>
      <c r="C314" s="167"/>
      <c r="D314" s="168"/>
      <c r="E314" s="43"/>
    </row>
    <row r="315" spans="1:5" ht="34.5" customHeight="1" thickBot="1">
      <c r="A315" s="34" t="s">
        <v>487</v>
      </c>
      <c r="B315" s="32" t="s">
        <v>438</v>
      </c>
      <c r="C315" s="34">
        <v>11</v>
      </c>
      <c r="D315" s="32" t="s">
        <v>0</v>
      </c>
      <c r="E315" s="42"/>
    </row>
    <row r="316" spans="1:5" ht="34.5" customHeight="1" thickBot="1">
      <c r="A316" s="37" t="s">
        <v>673</v>
      </c>
      <c r="B316" s="36" t="s">
        <v>1</v>
      </c>
      <c r="C316" s="34" t="s">
        <v>674</v>
      </c>
      <c r="D316" s="32" t="s">
        <v>2</v>
      </c>
      <c r="E316" s="41"/>
    </row>
    <row r="317" spans="1:5" ht="34.5" customHeight="1" thickBot="1">
      <c r="A317" s="140">
        <v>348</v>
      </c>
      <c r="B317" s="141"/>
      <c r="C317" s="142" t="s">
        <v>3</v>
      </c>
      <c r="D317" s="143"/>
      <c r="E317" s="41"/>
    </row>
    <row r="318" spans="1:5" ht="34.5" customHeight="1" thickBot="1">
      <c r="A318" s="140">
        <v>348</v>
      </c>
      <c r="B318" s="141"/>
      <c r="C318" s="144" t="s">
        <v>4</v>
      </c>
      <c r="D318" s="145"/>
      <c r="E318" s="41"/>
    </row>
    <row r="319" spans="1:5" ht="34.5" customHeight="1" thickBot="1">
      <c r="A319" s="146">
        <f>A318-A317</f>
        <v>0</v>
      </c>
      <c r="B319" s="147"/>
      <c r="C319" s="148"/>
      <c r="D319" s="35" t="s">
        <v>5</v>
      </c>
      <c r="E319" s="41"/>
    </row>
    <row r="320" spans="1:5" ht="34.5" customHeight="1" thickBot="1">
      <c r="A320" s="149">
        <v>23</v>
      </c>
      <c r="B320" s="150"/>
      <c r="C320" s="151"/>
      <c r="D320" s="35" t="s">
        <v>6</v>
      </c>
      <c r="E320" s="41"/>
    </row>
    <row r="321" spans="1:5" ht="34.5" customHeight="1" thickBot="1">
      <c r="A321" s="144">
        <f>A320*A319</f>
        <v>0</v>
      </c>
      <c r="B321" s="152"/>
      <c r="C321" s="145"/>
      <c r="D321" s="35" t="s">
        <v>7</v>
      </c>
      <c r="E321" s="41"/>
    </row>
    <row r="322" spans="1:5" ht="34.5" customHeight="1" thickBot="1">
      <c r="A322" s="144">
        <v>0</v>
      </c>
      <c r="B322" s="152"/>
      <c r="C322" s="145"/>
      <c r="D322" s="35" t="s">
        <v>437</v>
      </c>
      <c r="E322" s="41"/>
    </row>
    <row r="323" spans="1:5" ht="34.5" customHeight="1" thickBot="1">
      <c r="A323" s="34">
        <v>0</v>
      </c>
      <c r="B323" s="32" t="s">
        <v>8</v>
      </c>
      <c r="C323" s="33">
        <v>1200</v>
      </c>
      <c r="D323" s="32" t="s">
        <v>9</v>
      </c>
      <c r="E323" s="41"/>
    </row>
    <row r="324" spans="1:5" ht="34.5" customHeight="1" thickBot="1">
      <c r="A324" s="153" t="s">
        <v>436</v>
      </c>
      <c r="B324" s="154"/>
      <c r="C324" s="154"/>
      <c r="D324" s="155"/>
      <c r="E324" s="41"/>
    </row>
    <row r="325" spans="1:5" ht="34.5" customHeight="1" thickBot="1">
      <c r="A325" s="156" t="s">
        <v>435</v>
      </c>
      <c r="B325" s="157"/>
      <c r="C325" s="157"/>
      <c r="D325" s="158"/>
      <c r="E325" s="41"/>
    </row>
    <row r="326" spans="1:5" ht="34.5" customHeight="1" thickBot="1">
      <c r="A326" s="40"/>
      <c r="B326" s="39"/>
      <c r="C326" s="39"/>
      <c r="D326" s="38"/>
      <c r="E326" s="41"/>
    </row>
    <row r="327" spans="1:5" ht="34.5" customHeight="1">
      <c r="A327" s="159" t="s">
        <v>442</v>
      </c>
      <c r="B327" s="160" t="s">
        <v>441</v>
      </c>
      <c r="C327" s="160"/>
      <c r="D327" s="161"/>
      <c r="E327" s="44"/>
    </row>
    <row r="328" spans="1:5" ht="34.5" customHeight="1" thickBot="1">
      <c r="A328" s="162"/>
      <c r="B328" s="163"/>
      <c r="C328" s="163"/>
      <c r="D328" s="164"/>
      <c r="E328" s="44"/>
    </row>
    <row r="329" spans="1:5" ht="34.5" customHeight="1" thickBot="1">
      <c r="A329" s="142" t="s">
        <v>11</v>
      </c>
      <c r="B329" s="143"/>
      <c r="C329" s="165" t="s">
        <v>591</v>
      </c>
      <c r="D329" s="143"/>
      <c r="E329" s="43"/>
    </row>
    <row r="330" spans="1:5" ht="34.5" customHeight="1" thickBot="1">
      <c r="A330" s="166" t="s">
        <v>511</v>
      </c>
      <c r="B330" s="167"/>
      <c r="C330" s="167"/>
      <c r="D330" s="168"/>
      <c r="E330" s="43"/>
    </row>
    <row r="331" spans="1:5" ht="34.5" customHeight="1" thickBot="1">
      <c r="A331" s="34" t="s">
        <v>487</v>
      </c>
      <c r="B331" s="32" t="s">
        <v>438</v>
      </c>
      <c r="C331" s="34">
        <v>11</v>
      </c>
      <c r="D331" s="32" t="s">
        <v>0</v>
      </c>
      <c r="E331" s="42"/>
    </row>
    <row r="332" spans="1:5" ht="34.5" customHeight="1" thickBot="1">
      <c r="A332" s="37" t="s">
        <v>673</v>
      </c>
      <c r="B332" s="36" t="s">
        <v>1</v>
      </c>
      <c r="C332" s="34" t="s">
        <v>674</v>
      </c>
      <c r="D332" s="32" t="s">
        <v>2</v>
      </c>
      <c r="E332" s="41"/>
    </row>
    <row r="333" spans="1:5" ht="34.5" customHeight="1" thickBot="1">
      <c r="A333" s="140">
        <v>296</v>
      </c>
      <c r="B333" s="141"/>
      <c r="C333" s="142" t="s">
        <v>3</v>
      </c>
      <c r="D333" s="143"/>
      <c r="E333" s="41"/>
    </row>
    <row r="334" spans="1:5" ht="34.5" customHeight="1" thickBot="1">
      <c r="A334" s="140">
        <v>348</v>
      </c>
      <c r="B334" s="141"/>
      <c r="C334" s="144" t="s">
        <v>4</v>
      </c>
      <c r="D334" s="145"/>
      <c r="E334" s="41"/>
    </row>
    <row r="335" spans="1:5" ht="34.5" customHeight="1" thickBot="1">
      <c r="A335" s="146">
        <f>A334-A333</f>
        <v>52</v>
      </c>
      <c r="B335" s="147"/>
      <c r="C335" s="148"/>
      <c r="D335" s="35" t="s">
        <v>5</v>
      </c>
      <c r="E335" s="41"/>
    </row>
    <row r="336" spans="1:5" ht="34.5" customHeight="1" thickBot="1">
      <c r="A336" s="149">
        <v>23</v>
      </c>
      <c r="B336" s="150"/>
      <c r="C336" s="151"/>
      <c r="D336" s="35" t="s">
        <v>6</v>
      </c>
      <c r="E336" s="41"/>
    </row>
    <row r="337" spans="1:5" ht="34.5" customHeight="1" thickBot="1">
      <c r="A337" s="144">
        <f>A336*A335</f>
        <v>1196</v>
      </c>
      <c r="B337" s="152"/>
      <c r="C337" s="145"/>
      <c r="D337" s="35" t="s">
        <v>7</v>
      </c>
      <c r="E337" s="41"/>
    </row>
    <row r="338" spans="1:5" ht="34.5" customHeight="1" thickBot="1">
      <c r="A338" s="144">
        <v>0</v>
      </c>
      <c r="B338" s="152"/>
      <c r="C338" s="145"/>
      <c r="D338" s="35" t="s">
        <v>437</v>
      </c>
      <c r="E338" s="41"/>
    </row>
    <row r="339" spans="1:5" ht="34.5" customHeight="1" thickBot="1">
      <c r="A339" s="34">
        <v>0</v>
      </c>
      <c r="B339" s="32" t="s">
        <v>8</v>
      </c>
      <c r="C339" s="33">
        <v>1200</v>
      </c>
      <c r="D339" s="32" t="s">
        <v>9</v>
      </c>
      <c r="E339" s="41"/>
    </row>
    <row r="340" spans="1:5" ht="34.5" customHeight="1" thickBot="1">
      <c r="A340" s="153" t="s">
        <v>436</v>
      </c>
      <c r="B340" s="154"/>
      <c r="C340" s="154"/>
      <c r="D340" s="155"/>
      <c r="E340" s="41"/>
    </row>
    <row r="341" spans="1:5" ht="34.5" customHeight="1" thickBot="1">
      <c r="A341" s="156" t="s">
        <v>435</v>
      </c>
      <c r="B341" s="157"/>
      <c r="C341" s="157"/>
      <c r="D341" s="158"/>
      <c r="E341" s="41"/>
    </row>
    <row r="342" spans="1:5" ht="34.5" customHeight="1">
      <c r="A342" s="159" t="s">
        <v>442</v>
      </c>
      <c r="B342" s="160" t="s">
        <v>441</v>
      </c>
      <c r="C342" s="160"/>
      <c r="D342" s="161"/>
      <c r="E342" s="44"/>
    </row>
    <row r="343" spans="1:5" ht="34.5" customHeight="1" thickBot="1">
      <c r="A343" s="162"/>
      <c r="B343" s="163"/>
      <c r="C343" s="163"/>
      <c r="D343" s="164"/>
      <c r="E343" s="44"/>
    </row>
    <row r="344" spans="1:5" ht="34.5" customHeight="1" thickBot="1">
      <c r="A344" s="142" t="s">
        <v>11</v>
      </c>
      <c r="B344" s="143"/>
      <c r="C344" s="165" t="s">
        <v>591</v>
      </c>
      <c r="D344" s="143"/>
      <c r="E344" s="43"/>
    </row>
    <row r="345" spans="1:5" ht="34.5" customHeight="1" thickBot="1">
      <c r="A345" s="137" t="s">
        <v>517</v>
      </c>
      <c r="B345" s="138"/>
      <c r="C345" s="138"/>
      <c r="D345" s="139"/>
      <c r="E345" s="43"/>
    </row>
    <row r="346" spans="1:5" ht="34.5" customHeight="1" thickBot="1">
      <c r="A346" s="34" t="s">
        <v>487</v>
      </c>
      <c r="B346" s="32" t="s">
        <v>438</v>
      </c>
      <c r="C346" s="34">
        <v>12</v>
      </c>
      <c r="D346" s="32" t="s">
        <v>0</v>
      </c>
      <c r="E346" s="42"/>
    </row>
    <row r="347" spans="1:5" ht="34.5" customHeight="1" thickBot="1">
      <c r="A347" s="37" t="s">
        <v>673</v>
      </c>
      <c r="B347" s="36" t="s">
        <v>1</v>
      </c>
      <c r="C347" s="34" t="s">
        <v>674</v>
      </c>
      <c r="D347" s="32" t="s">
        <v>2</v>
      </c>
      <c r="E347" s="41"/>
    </row>
    <row r="348" spans="1:5" ht="34.5" customHeight="1" thickBot="1">
      <c r="A348" s="140">
        <v>162</v>
      </c>
      <c r="B348" s="141"/>
      <c r="C348" s="142" t="s">
        <v>3</v>
      </c>
      <c r="D348" s="143"/>
      <c r="E348" s="41"/>
    </row>
    <row r="349" spans="1:5" ht="34.5" customHeight="1" thickBot="1">
      <c r="A349" s="140">
        <v>162</v>
      </c>
      <c r="B349" s="141"/>
      <c r="C349" s="144" t="s">
        <v>4</v>
      </c>
      <c r="D349" s="145"/>
      <c r="E349" s="41"/>
    </row>
    <row r="350" spans="1:5" ht="34.5" customHeight="1" thickBot="1">
      <c r="A350" s="146">
        <f>A349-A348</f>
        <v>0</v>
      </c>
      <c r="B350" s="147"/>
      <c r="C350" s="148"/>
      <c r="D350" s="35" t="s">
        <v>5</v>
      </c>
      <c r="E350" s="41"/>
    </row>
    <row r="351" spans="1:5" ht="34.5" customHeight="1" thickBot="1">
      <c r="A351" s="149">
        <v>23</v>
      </c>
      <c r="B351" s="150"/>
      <c r="C351" s="151"/>
      <c r="D351" s="35" t="s">
        <v>6</v>
      </c>
      <c r="E351" s="41"/>
    </row>
    <row r="352" spans="1:5" ht="34.5" customHeight="1" thickBot="1">
      <c r="A352" s="144">
        <f>A351*A350</f>
        <v>0</v>
      </c>
      <c r="B352" s="152"/>
      <c r="C352" s="145"/>
      <c r="D352" s="35" t="s">
        <v>7</v>
      </c>
      <c r="E352" s="41"/>
    </row>
    <row r="353" spans="1:5" ht="34.5" customHeight="1" thickBot="1">
      <c r="A353" s="144">
        <v>0</v>
      </c>
      <c r="B353" s="152"/>
      <c r="C353" s="145"/>
      <c r="D353" s="35" t="s">
        <v>437</v>
      </c>
      <c r="E353" s="41"/>
    </row>
    <row r="354" spans="1:5" ht="34.5" customHeight="1" thickBot="1">
      <c r="A354" s="34">
        <v>0</v>
      </c>
      <c r="B354" s="32" t="s">
        <v>8</v>
      </c>
      <c r="C354" s="33">
        <v>530</v>
      </c>
      <c r="D354" s="32" t="s">
        <v>9</v>
      </c>
      <c r="E354" s="41"/>
    </row>
    <row r="355" spans="1:5" ht="34.5" customHeight="1" thickBot="1">
      <c r="A355" s="153" t="s">
        <v>436</v>
      </c>
      <c r="B355" s="154"/>
      <c r="C355" s="154"/>
      <c r="D355" s="155"/>
      <c r="E355" s="41"/>
    </row>
    <row r="356" spans="1:5" ht="34.5" customHeight="1" thickBot="1">
      <c r="A356" s="156" t="s">
        <v>435</v>
      </c>
      <c r="B356" s="157"/>
      <c r="C356" s="157"/>
      <c r="D356" s="158"/>
      <c r="E356" s="41"/>
    </row>
    <row r="357" spans="1:5" ht="34.5" customHeight="1" thickBot="1">
      <c r="A357" s="40"/>
      <c r="B357" s="39"/>
      <c r="C357" s="39"/>
      <c r="D357" s="38"/>
      <c r="E357" s="41"/>
    </row>
    <row r="358" spans="1:5" ht="34.5" customHeight="1">
      <c r="A358" s="159" t="s">
        <v>442</v>
      </c>
      <c r="B358" s="160" t="s">
        <v>441</v>
      </c>
      <c r="C358" s="160"/>
      <c r="D358" s="161"/>
      <c r="E358" s="44"/>
    </row>
    <row r="359" spans="1:5" ht="34.5" customHeight="1" thickBot="1">
      <c r="A359" s="162"/>
      <c r="B359" s="163"/>
      <c r="C359" s="163"/>
      <c r="D359" s="164"/>
      <c r="E359" s="44"/>
    </row>
    <row r="360" spans="1:5" ht="34.5" customHeight="1" thickBot="1">
      <c r="A360" s="142" t="s">
        <v>11</v>
      </c>
      <c r="B360" s="143"/>
      <c r="C360" s="165" t="s">
        <v>591</v>
      </c>
      <c r="D360" s="143"/>
      <c r="E360" s="43"/>
    </row>
    <row r="361" spans="1:5" ht="34.5" customHeight="1" thickBot="1">
      <c r="A361" s="137" t="s">
        <v>517</v>
      </c>
      <c r="B361" s="138"/>
      <c r="C361" s="138"/>
      <c r="D361" s="139"/>
      <c r="E361" s="43"/>
    </row>
    <row r="362" spans="1:5" ht="34.5" customHeight="1" thickBot="1">
      <c r="A362" s="34" t="s">
        <v>487</v>
      </c>
      <c r="B362" s="32" t="s">
        <v>438</v>
      </c>
      <c r="C362" s="34">
        <v>12</v>
      </c>
      <c r="D362" s="32" t="s">
        <v>0</v>
      </c>
      <c r="E362" s="42"/>
    </row>
    <row r="363" spans="1:5" ht="34.5" customHeight="1" thickBot="1">
      <c r="A363" s="37" t="s">
        <v>673</v>
      </c>
      <c r="B363" s="36" t="s">
        <v>1</v>
      </c>
      <c r="C363" s="34" t="s">
        <v>674</v>
      </c>
      <c r="D363" s="32" t="s">
        <v>2</v>
      </c>
      <c r="E363" s="41"/>
    </row>
    <row r="364" spans="1:5" ht="34.5" customHeight="1" thickBot="1">
      <c r="A364" s="140">
        <v>139</v>
      </c>
      <c r="B364" s="141"/>
      <c r="C364" s="142" t="s">
        <v>3</v>
      </c>
      <c r="D364" s="143"/>
      <c r="E364" s="41"/>
    </row>
    <row r="365" spans="1:5" ht="34.5" customHeight="1" thickBot="1">
      <c r="A365" s="140">
        <v>162</v>
      </c>
      <c r="B365" s="141"/>
      <c r="C365" s="144" t="s">
        <v>4</v>
      </c>
      <c r="D365" s="145"/>
      <c r="E365" s="41"/>
    </row>
    <row r="366" spans="1:5" ht="34.5" customHeight="1" thickBot="1">
      <c r="A366" s="146">
        <f>A365-A364</f>
        <v>23</v>
      </c>
      <c r="B366" s="147"/>
      <c r="C366" s="148"/>
      <c r="D366" s="35" t="s">
        <v>5</v>
      </c>
      <c r="E366" s="41"/>
    </row>
    <row r="367" spans="1:5" ht="34.5" customHeight="1" thickBot="1">
      <c r="A367" s="149">
        <v>23</v>
      </c>
      <c r="B367" s="150"/>
      <c r="C367" s="151"/>
      <c r="D367" s="35" t="s">
        <v>6</v>
      </c>
      <c r="E367" s="41"/>
    </row>
    <row r="368" spans="1:5" ht="34.5" customHeight="1" thickBot="1">
      <c r="A368" s="144">
        <f>A367*A366</f>
        <v>529</v>
      </c>
      <c r="B368" s="152"/>
      <c r="C368" s="145"/>
      <c r="D368" s="35" t="s">
        <v>7</v>
      </c>
      <c r="E368" s="41"/>
    </row>
    <row r="369" spans="1:5" ht="34.5" customHeight="1" thickBot="1">
      <c r="A369" s="144">
        <v>0</v>
      </c>
      <c r="B369" s="152"/>
      <c r="C369" s="145"/>
      <c r="D369" s="35" t="s">
        <v>437</v>
      </c>
      <c r="E369" s="41"/>
    </row>
    <row r="370" spans="1:5" ht="34.5" customHeight="1" thickBot="1">
      <c r="A370" s="34">
        <v>0</v>
      </c>
      <c r="B370" s="32" t="s">
        <v>8</v>
      </c>
      <c r="C370" s="33">
        <v>530</v>
      </c>
      <c r="D370" s="32" t="s">
        <v>9</v>
      </c>
      <c r="E370" s="41"/>
    </row>
    <row r="371" spans="1:5" ht="34.5" customHeight="1" thickBot="1">
      <c r="A371" s="153" t="s">
        <v>436</v>
      </c>
      <c r="B371" s="154"/>
      <c r="C371" s="154"/>
      <c r="D371" s="155"/>
      <c r="E371" s="41"/>
    </row>
    <row r="372" spans="1:5" ht="34.5" customHeight="1" thickBot="1">
      <c r="A372" s="156" t="s">
        <v>435</v>
      </c>
      <c r="B372" s="157"/>
      <c r="C372" s="157"/>
      <c r="D372" s="158"/>
      <c r="E372" s="41"/>
    </row>
    <row r="373" spans="1:5" ht="34.5" customHeight="1">
      <c r="A373" s="159" t="s">
        <v>442</v>
      </c>
      <c r="B373" s="160" t="s">
        <v>441</v>
      </c>
      <c r="C373" s="160"/>
      <c r="D373" s="161"/>
      <c r="E373" s="44"/>
    </row>
    <row r="374" spans="1:5" ht="34.5" customHeight="1" thickBot="1">
      <c r="A374" s="162"/>
      <c r="B374" s="163"/>
      <c r="C374" s="163"/>
      <c r="D374" s="164"/>
      <c r="E374" s="44"/>
    </row>
    <row r="375" spans="1:5" ht="34.5" customHeight="1" thickBot="1">
      <c r="A375" s="142" t="s">
        <v>11</v>
      </c>
      <c r="B375" s="143"/>
      <c r="C375" s="165" t="s">
        <v>591</v>
      </c>
      <c r="D375" s="143"/>
      <c r="E375" s="43"/>
    </row>
    <row r="376" spans="1:5" ht="34.5" customHeight="1" thickBot="1">
      <c r="A376" s="137" t="s">
        <v>518</v>
      </c>
      <c r="B376" s="138"/>
      <c r="C376" s="138"/>
      <c r="D376" s="139"/>
      <c r="E376" s="43"/>
    </row>
    <row r="377" spans="1:5" ht="34.5" customHeight="1" thickBot="1">
      <c r="A377" s="34" t="s">
        <v>487</v>
      </c>
      <c r="B377" s="32" t="s">
        <v>438</v>
      </c>
      <c r="C377" s="34">
        <v>13</v>
      </c>
      <c r="D377" s="32" t="s">
        <v>0</v>
      </c>
      <c r="E377" s="42"/>
    </row>
    <row r="378" spans="1:5" ht="34.5" customHeight="1" thickBot="1">
      <c r="A378" s="37" t="s">
        <v>673</v>
      </c>
      <c r="B378" s="36" t="s">
        <v>1</v>
      </c>
      <c r="C378" s="34" t="s">
        <v>674</v>
      </c>
      <c r="D378" s="32" t="s">
        <v>2</v>
      </c>
      <c r="E378" s="41"/>
    </row>
    <row r="379" spans="1:5" ht="34.5" customHeight="1" thickBot="1">
      <c r="A379" s="140">
        <v>91</v>
      </c>
      <c r="B379" s="141"/>
      <c r="C379" s="142" t="s">
        <v>3</v>
      </c>
      <c r="D379" s="143"/>
      <c r="E379" s="41"/>
    </row>
    <row r="380" spans="1:5" ht="34.5" customHeight="1" thickBot="1">
      <c r="A380" s="140">
        <v>91</v>
      </c>
      <c r="B380" s="141"/>
      <c r="C380" s="144" t="s">
        <v>4</v>
      </c>
      <c r="D380" s="145"/>
      <c r="E380" s="41"/>
    </row>
    <row r="381" spans="1:5" ht="34.5" customHeight="1" thickBot="1">
      <c r="A381" s="146">
        <f>A380-A379</f>
        <v>0</v>
      </c>
      <c r="B381" s="147"/>
      <c r="C381" s="148"/>
      <c r="D381" s="35" t="s">
        <v>5</v>
      </c>
      <c r="E381" s="41"/>
    </row>
    <row r="382" spans="1:5" ht="34.5" customHeight="1" thickBot="1">
      <c r="A382" s="149">
        <v>23</v>
      </c>
      <c r="B382" s="150"/>
      <c r="C382" s="151"/>
      <c r="D382" s="35" t="s">
        <v>6</v>
      </c>
      <c r="E382" s="41"/>
    </row>
    <row r="383" spans="1:5" ht="34.5" customHeight="1" thickBot="1">
      <c r="A383" s="144">
        <f>A382*A381</f>
        <v>0</v>
      </c>
      <c r="B383" s="152"/>
      <c r="C383" s="145"/>
      <c r="D383" s="35" t="s">
        <v>7</v>
      </c>
      <c r="E383" s="41"/>
    </row>
    <row r="384" spans="1:5" ht="34.5" customHeight="1" thickBot="1">
      <c r="A384" s="144">
        <v>0</v>
      </c>
      <c r="B384" s="152"/>
      <c r="C384" s="145"/>
      <c r="D384" s="35" t="s">
        <v>437</v>
      </c>
      <c r="E384" s="41"/>
    </row>
    <row r="385" spans="1:5" ht="34.5" customHeight="1" thickBot="1">
      <c r="A385" s="34">
        <v>0</v>
      </c>
      <c r="B385" s="32" t="s">
        <v>8</v>
      </c>
      <c r="C385" s="33">
        <v>370</v>
      </c>
      <c r="D385" s="32" t="s">
        <v>9</v>
      </c>
      <c r="E385" s="41"/>
    </row>
    <row r="386" spans="1:5" ht="34.5" customHeight="1" thickBot="1">
      <c r="A386" s="153" t="s">
        <v>436</v>
      </c>
      <c r="B386" s="154"/>
      <c r="C386" s="154"/>
      <c r="D386" s="155"/>
      <c r="E386" s="41"/>
    </row>
    <row r="387" spans="1:5" ht="34.5" customHeight="1" thickBot="1">
      <c r="A387" s="156" t="s">
        <v>435</v>
      </c>
      <c r="B387" s="157"/>
      <c r="C387" s="157"/>
      <c r="D387" s="158"/>
      <c r="E387" s="41"/>
    </row>
    <row r="388" spans="1:5" ht="34.5" customHeight="1" thickBot="1">
      <c r="A388" s="40"/>
      <c r="B388" s="39"/>
      <c r="C388" s="39"/>
      <c r="D388" s="38"/>
      <c r="E388" s="41"/>
    </row>
    <row r="389" spans="1:5" ht="34.5" customHeight="1">
      <c r="A389" s="159" t="s">
        <v>442</v>
      </c>
      <c r="B389" s="160" t="s">
        <v>441</v>
      </c>
      <c r="C389" s="160"/>
      <c r="D389" s="161"/>
      <c r="E389" s="44"/>
    </row>
    <row r="390" spans="1:5" ht="34.5" customHeight="1" thickBot="1">
      <c r="A390" s="162"/>
      <c r="B390" s="163"/>
      <c r="C390" s="163"/>
      <c r="D390" s="164"/>
      <c r="E390" s="44"/>
    </row>
    <row r="391" spans="1:5" ht="34.5" customHeight="1" thickBot="1">
      <c r="A391" s="142" t="s">
        <v>11</v>
      </c>
      <c r="B391" s="143"/>
      <c r="C391" s="165" t="s">
        <v>591</v>
      </c>
      <c r="D391" s="143"/>
      <c r="E391" s="43"/>
    </row>
    <row r="392" spans="1:5" ht="34.5" customHeight="1" thickBot="1">
      <c r="A392" s="137" t="s">
        <v>518</v>
      </c>
      <c r="B392" s="138"/>
      <c r="C392" s="138"/>
      <c r="D392" s="139"/>
      <c r="E392" s="43"/>
    </row>
    <row r="393" spans="1:5" ht="34.5" customHeight="1" thickBot="1">
      <c r="A393" s="34" t="s">
        <v>487</v>
      </c>
      <c r="B393" s="32" t="s">
        <v>438</v>
      </c>
      <c r="C393" s="34">
        <v>13</v>
      </c>
      <c r="D393" s="32" t="s">
        <v>0</v>
      </c>
      <c r="E393" s="42"/>
    </row>
    <row r="394" spans="1:5" ht="34.5" customHeight="1" thickBot="1">
      <c r="A394" s="37" t="s">
        <v>673</v>
      </c>
      <c r="B394" s="36" t="s">
        <v>1</v>
      </c>
      <c r="C394" s="34" t="s">
        <v>674</v>
      </c>
      <c r="D394" s="32" t="s">
        <v>2</v>
      </c>
      <c r="E394" s="41"/>
    </row>
    <row r="395" spans="1:5" ht="34.5" customHeight="1" thickBot="1">
      <c r="A395" s="140">
        <v>75</v>
      </c>
      <c r="B395" s="141"/>
      <c r="C395" s="142" t="s">
        <v>3</v>
      </c>
      <c r="D395" s="143"/>
      <c r="E395" s="41"/>
    </row>
    <row r="396" spans="1:5" ht="34.5" customHeight="1" thickBot="1">
      <c r="A396" s="140">
        <v>91</v>
      </c>
      <c r="B396" s="141"/>
      <c r="C396" s="144" t="s">
        <v>4</v>
      </c>
      <c r="D396" s="145"/>
      <c r="E396" s="41"/>
    </row>
    <row r="397" spans="1:5" ht="34.5" customHeight="1" thickBot="1">
      <c r="A397" s="146">
        <f>A396-A395</f>
        <v>16</v>
      </c>
      <c r="B397" s="147"/>
      <c r="C397" s="148"/>
      <c r="D397" s="35" t="s">
        <v>5</v>
      </c>
      <c r="E397" s="41"/>
    </row>
    <row r="398" spans="1:5" ht="34.5" customHeight="1" thickBot="1">
      <c r="A398" s="149">
        <v>23</v>
      </c>
      <c r="B398" s="150"/>
      <c r="C398" s="151"/>
      <c r="D398" s="35" t="s">
        <v>6</v>
      </c>
      <c r="E398" s="41"/>
    </row>
    <row r="399" spans="1:5" ht="34.5" customHeight="1" thickBot="1">
      <c r="A399" s="144">
        <f>A398*A397</f>
        <v>368</v>
      </c>
      <c r="B399" s="152"/>
      <c r="C399" s="145"/>
      <c r="D399" s="35" t="s">
        <v>7</v>
      </c>
      <c r="E399" s="41"/>
    </row>
    <row r="400" spans="1:5" ht="34.5" customHeight="1" thickBot="1">
      <c r="A400" s="144">
        <v>0</v>
      </c>
      <c r="B400" s="152"/>
      <c r="C400" s="145"/>
      <c r="D400" s="35" t="s">
        <v>437</v>
      </c>
      <c r="E400" s="41"/>
    </row>
    <row r="401" spans="1:5" ht="34.5" customHeight="1" thickBot="1">
      <c r="A401" s="34">
        <v>0</v>
      </c>
      <c r="B401" s="32" t="s">
        <v>8</v>
      </c>
      <c r="C401" s="33">
        <v>370</v>
      </c>
      <c r="D401" s="32" t="s">
        <v>9</v>
      </c>
      <c r="E401" s="41"/>
    </row>
    <row r="402" spans="1:5" ht="34.5" customHeight="1" thickBot="1">
      <c r="A402" s="153" t="s">
        <v>436</v>
      </c>
      <c r="B402" s="154"/>
      <c r="C402" s="154"/>
      <c r="D402" s="155"/>
      <c r="E402" s="41"/>
    </row>
    <row r="403" spans="1:5" ht="34.5" customHeight="1" thickBot="1">
      <c r="A403" s="156" t="s">
        <v>435</v>
      </c>
      <c r="B403" s="157"/>
      <c r="C403" s="157"/>
      <c r="D403" s="158"/>
      <c r="E403" s="41"/>
    </row>
    <row r="404" spans="1:5" s="45" customFormat="1" ht="34.5" customHeight="1">
      <c r="A404" s="159" t="s">
        <v>442</v>
      </c>
      <c r="B404" s="160" t="s">
        <v>441</v>
      </c>
      <c r="C404" s="160"/>
      <c r="D404" s="161"/>
      <c r="E404" s="46"/>
    </row>
    <row r="405" spans="1:5" ht="34.5" customHeight="1" thickBot="1">
      <c r="A405" s="162"/>
      <c r="B405" s="163"/>
      <c r="C405" s="163"/>
      <c r="D405" s="164"/>
      <c r="E405" s="44"/>
    </row>
    <row r="406" spans="1:5" ht="34.5" customHeight="1" thickBot="1">
      <c r="A406" s="142" t="s">
        <v>11</v>
      </c>
      <c r="B406" s="143"/>
      <c r="C406" s="165" t="s">
        <v>591</v>
      </c>
      <c r="D406" s="143"/>
      <c r="E406" s="44"/>
    </row>
    <row r="407" spans="1:5" ht="34.5" customHeight="1" thickBot="1">
      <c r="A407" s="137" t="s">
        <v>519</v>
      </c>
      <c r="B407" s="138"/>
      <c r="C407" s="138"/>
      <c r="D407" s="139"/>
      <c r="E407" s="43"/>
    </row>
    <row r="408" spans="1:5" ht="34.5" customHeight="1" thickBot="1">
      <c r="A408" s="34" t="s">
        <v>487</v>
      </c>
      <c r="B408" s="32" t="s">
        <v>438</v>
      </c>
      <c r="C408" s="34">
        <v>14</v>
      </c>
      <c r="D408" s="32" t="s">
        <v>0</v>
      </c>
      <c r="E408" s="43"/>
    </row>
    <row r="409" spans="1:5" ht="34.5" customHeight="1" thickBot="1">
      <c r="A409" s="37" t="s">
        <v>673</v>
      </c>
      <c r="B409" s="36" t="s">
        <v>1</v>
      </c>
      <c r="C409" s="34" t="s">
        <v>674</v>
      </c>
      <c r="D409" s="32" t="s">
        <v>2</v>
      </c>
      <c r="E409" s="42"/>
    </row>
    <row r="410" spans="1:5" ht="34.5" customHeight="1" thickBot="1">
      <c r="A410" s="140">
        <v>205</v>
      </c>
      <c r="B410" s="141"/>
      <c r="C410" s="142" t="s">
        <v>3</v>
      </c>
      <c r="D410" s="143"/>
      <c r="E410" s="41"/>
    </row>
    <row r="411" spans="1:5" ht="34.5" customHeight="1" thickBot="1">
      <c r="A411" s="140">
        <v>205</v>
      </c>
      <c r="B411" s="141"/>
      <c r="C411" s="144" t="s">
        <v>4</v>
      </c>
      <c r="D411" s="145"/>
      <c r="E411" s="41"/>
    </row>
    <row r="412" spans="1:5" ht="34.5" customHeight="1" thickBot="1">
      <c r="A412" s="146">
        <f>A411-A410</f>
        <v>0</v>
      </c>
      <c r="B412" s="147"/>
      <c r="C412" s="148"/>
      <c r="D412" s="35" t="s">
        <v>5</v>
      </c>
      <c r="E412" s="41"/>
    </row>
    <row r="413" spans="1:5" ht="34.5" customHeight="1" thickBot="1">
      <c r="A413" s="149">
        <v>23</v>
      </c>
      <c r="B413" s="150"/>
      <c r="C413" s="151"/>
      <c r="D413" s="35" t="s">
        <v>6</v>
      </c>
      <c r="E413" s="41"/>
    </row>
    <row r="414" spans="1:5" ht="34.5" customHeight="1" thickBot="1">
      <c r="A414" s="144">
        <f>A413*A412</f>
        <v>0</v>
      </c>
      <c r="B414" s="152"/>
      <c r="C414" s="145"/>
      <c r="D414" s="35" t="s">
        <v>7</v>
      </c>
      <c r="E414" s="41"/>
    </row>
    <row r="415" spans="1:5" ht="34.5" customHeight="1" thickBot="1">
      <c r="A415" s="144">
        <v>0</v>
      </c>
      <c r="B415" s="152"/>
      <c r="C415" s="145"/>
      <c r="D415" s="35" t="s">
        <v>437</v>
      </c>
      <c r="E415" s="41"/>
    </row>
    <row r="416" spans="1:5" ht="34.5" customHeight="1" thickBot="1">
      <c r="A416" s="34">
        <v>0</v>
      </c>
      <c r="B416" s="32" t="s">
        <v>8</v>
      </c>
      <c r="C416" s="33">
        <v>580</v>
      </c>
      <c r="D416" s="32" t="s">
        <v>9</v>
      </c>
      <c r="E416" s="41"/>
    </row>
    <row r="417" spans="1:5" ht="34.5" customHeight="1" thickBot="1">
      <c r="A417" s="153" t="s">
        <v>436</v>
      </c>
      <c r="B417" s="154"/>
      <c r="C417" s="154"/>
      <c r="D417" s="155"/>
      <c r="E417" s="41"/>
    </row>
    <row r="418" spans="1:5" ht="34.5" customHeight="1" thickBot="1">
      <c r="A418" s="156" t="s">
        <v>435</v>
      </c>
      <c r="B418" s="157"/>
      <c r="C418" s="157"/>
      <c r="D418" s="158"/>
      <c r="E418" s="41"/>
    </row>
    <row r="419" spans="1:5" ht="34.5" customHeight="1" thickBot="1">
      <c r="A419" s="40"/>
      <c r="B419" s="39"/>
      <c r="C419" s="39"/>
      <c r="D419" s="38"/>
      <c r="E419" s="41"/>
    </row>
    <row r="420" spans="1:5" ht="34.5" customHeight="1">
      <c r="A420" s="159" t="s">
        <v>442</v>
      </c>
      <c r="B420" s="160" t="s">
        <v>441</v>
      </c>
      <c r="C420" s="160"/>
      <c r="D420" s="161"/>
      <c r="E420" s="41"/>
    </row>
    <row r="421" spans="1:5" ht="34.5" customHeight="1" thickBot="1">
      <c r="A421" s="162"/>
      <c r="B421" s="163"/>
      <c r="C421" s="163"/>
      <c r="D421" s="164"/>
      <c r="E421" s="44"/>
    </row>
    <row r="422" spans="1:5" ht="34.5" customHeight="1" thickBot="1">
      <c r="A422" s="142" t="s">
        <v>11</v>
      </c>
      <c r="B422" s="143"/>
      <c r="C422" s="165" t="s">
        <v>591</v>
      </c>
      <c r="D422" s="143"/>
      <c r="E422" s="44"/>
    </row>
    <row r="423" spans="1:5" ht="34.5" customHeight="1" thickBot="1">
      <c r="A423" s="137" t="s">
        <v>519</v>
      </c>
      <c r="B423" s="138"/>
      <c r="C423" s="138"/>
      <c r="D423" s="139"/>
      <c r="E423" s="43"/>
    </row>
    <row r="424" spans="1:5" ht="34.5" customHeight="1" thickBot="1">
      <c r="A424" s="34" t="s">
        <v>487</v>
      </c>
      <c r="B424" s="32" t="s">
        <v>438</v>
      </c>
      <c r="C424" s="34">
        <v>14</v>
      </c>
      <c r="D424" s="32" t="s">
        <v>0</v>
      </c>
      <c r="E424" s="43"/>
    </row>
    <row r="425" spans="1:5" ht="34.5" customHeight="1" thickBot="1">
      <c r="A425" s="37" t="s">
        <v>673</v>
      </c>
      <c r="B425" s="36" t="s">
        <v>1</v>
      </c>
      <c r="C425" s="34" t="s">
        <v>674</v>
      </c>
      <c r="D425" s="32" t="s">
        <v>2</v>
      </c>
      <c r="E425" s="42"/>
    </row>
    <row r="426" spans="1:5" ht="34.5" customHeight="1" thickBot="1">
      <c r="A426" s="140">
        <v>180</v>
      </c>
      <c r="B426" s="141"/>
      <c r="C426" s="142" t="s">
        <v>3</v>
      </c>
      <c r="D426" s="143"/>
      <c r="E426" s="41"/>
    </row>
    <row r="427" spans="1:5" ht="34.5" customHeight="1" thickBot="1">
      <c r="A427" s="140">
        <v>205</v>
      </c>
      <c r="B427" s="141"/>
      <c r="C427" s="144" t="s">
        <v>4</v>
      </c>
      <c r="D427" s="145"/>
      <c r="E427" s="41"/>
    </row>
    <row r="428" spans="1:5" ht="34.5" customHeight="1" thickBot="1">
      <c r="A428" s="146">
        <f>A427-A426</f>
        <v>25</v>
      </c>
      <c r="B428" s="147"/>
      <c r="C428" s="148"/>
      <c r="D428" s="35" t="s">
        <v>5</v>
      </c>
      <c r="E428" s="41"/>
    </row>
    <row r="429" spans="1:5" ht="34.5" customHeight="1" thickBot="1">
      <c r="A429" s="149">
        <v>23</v>
      </c>
      <c r="B429" s="150"/>
      <c r="C429" s="151"/>
      <c r="D429" s="35" t="s">
        <v>6</v>
      </c>
      <c r="E429" s="41"/>
    </row>
    <row r="430" spans="1:5" ht="34.5" customHeight="1" thickBot="1">
      <c r="A430" s="144">
        <f>A429*A428</f>
        <v>575</v>
      </c>
      <c r="B430" s="152"/>
      <c r="C430" s="145"/>
      <c r="D430" s="35" t="s">
        <v>7</v>
      </c>
      <c r="E430" s="41" t="s">
        <v>15</v>
      </c>
    </row>
    <row r="431" spans="1:5" ht="34.5" customHeight="1" thickBot="1">
      <c r="A431" s="144">
        <v>0</v>
      </c>
      <c r="B431" s="152"/>
      <c r="C431" s="145"/>
      <c r="D431" s="35" t="s">
        <v>437</v>
      </c>
      <c r="E431" s="41"/>
    </row>
    <row r="432" spans="1:5" ht="34.5" customHeight="1" thickBot="1">
      <c r="A432" s="34">
        <v>0</v>
      </c>
      <c r="B432" s="32" t="s">
        <v>8</v>
      </c>
      <c r="C432" s="33">
        <v>580</v>
      </c>
      <c r="D432" s="32" t="s">
        <v>9</v>
      </c>
      <c r="E432" s="41"/>
    </row>
    <row r="433" spans="1:5" ht="34.5" customHeight="1" thickBot="1">
      <c r="A433" s="153" t="s">
        <v>436</v>
      </c>
      <c r="B433" s="154"/>
      <c r="C433" s="154"/>
      <c r="D433" s="155"/>
      <c r="E433" s="41"/>
    </row>
    <row r="434" spans="1:5" ht="34.5" customHeight="1" thickBot="1">
      <c r="A434" s="156" t="s">
        <v>435</v>
      </c>
      <c r="B434" s="157"/>
      <c r="C434" s="157"/>
      <c r="D434" s="158"/>
      <c r="E434" s="41"/>
    </row>
    <row r="435" spans="1:5" ht="34.5" customHeight="1">
      <c r="A435" s="159" t="s">
        <v>442</v>
      </c>
      <c r="B435" s="160" t="s">
        <v>441</v>
      </c>
      <c r="C435" s="160"/>
      <c r="D435" s="161"/>
      <c r="E435" s="41"/>
    </row>
    <row r="436" spans="1:5" ht="34.5" customHeight="1" thickBot="1">
      <c r="A436" s="162"/>
      <c r="B436" s="163"/>
      <c r="C436" s="163"/>
      <c r="D436" s="164"/>
      <c r="E436" s="44"/>
    </row>
    <row r="437" spans="1:5" ht="34.5" customHeight="1" thickBot="1">
      <c r="A437" s="142" t="s">
        <v>11</v>
      </c>
      <c r="B437" s="143"/>
      <c r="C437" s="165" t="s">
        <v>591</v>
      </c>
      <c r="D437" s="143"/>
      <c r="E437" s="44"/>
    </row>
    <row r="438" spans="1:5" ht="34.5" customHeight="1" thickBot="1">
      <c r="A438" s="137" t="s">
        <v>520</v>
      </c>
      <c r="B438" s="138"/>
      <c r="C438" s="138"/>
      <c r="D438" s="139"/>
      <c r="E438" s="43"/>
    </row>
    <row r="439" spans="1:5" ht="34.5" customHeight="1" thickBot="1">
      <c r="A439" s="34" t="s">
        <v>487</v>
      </c>
      <c r="B439" s="32" t="s">
        <v>438</v>
      </c>
      <c r="C439" s="34">
        <v>15</v>
      </c>
      <c r="D439" s="32" t="s">
        <v>0</v>
      </c>
      <c r="E439" s="43"/>
    </row>
    <row r="440" spans="1:5" ht="34.5" customHeight="1" thickBot="1">
      <c r="A440" s="37" t="s">
        <v>673</v>
      </c>
      <c r="B440" s="36" t="s">
        <v>1</v>
      </c>
      <c r="C440" s="34" t="s">
        <v>674</v>
      </c>
      <c r="D440" s="32" t="s">
        <v>2</v>
      </c>
      <c r="E440" s="42"/>
    </row>
    <row r="441" spans="1:5" ht="34.5" customHeight="1" thickBot="1">
      <c r="A441" s="140">
        <v>202</v>
      </c>
      <c r="B441" s="141"/>
      <c r="C441" s="142" t="s">
        <v>3</v>
      </c>
      <c r="D441" s="143"/>
      <c r="E441" s="41"/>
    </row>
    <row r="442" spans="1:5" ht="34.5" customHeight="1" thickBot="1">
      <c r="A442" s="140">
        <v>202</v>
      </c>
      <c r="B442" s="141"/>
      <c r="C442" s="144" t="s">
        <v>4</v>
      </c>
      <c r="D442" s="145"/>
      <c r="E442" s="41"/>
    </row>
    <row r="443" spans="1:5" ht="34.5" customHeight="1" thickBot="1">
      <c r="A443" s="146">
        <f>A442-A441</f>
        <v>0</v>
      </c>
      <c r="B443" s="147"/>
      <c r="C443" s="148"/>
      <c r="D443" s="35" t="s">
        <v>5</v>
      </c>
      <c r="E443" s="41"/>
    </row>
    <row r="444" spans="1:5" ht="34.5" customHeight="1" thickBot="1">
      <c r="A444" s="149">
        <v>23</v>
      </c>
      <c r="B444" s="150"/>
      <c r="C444" s="151"/>
      <c r="D444" s="35" t="s">
        <v>6</v>
      </c>
      <c r="E444" s="41"/>
    </row>
    <row r="445" spans="1:5" ht="34.5" customHeight="1" thickBot="1">
      <c r="A445" s="144">
        <f>A444*A443</f>
        <v>0</v>
      </c>
      <c r="B445" s="152"/>
      <c r="C445" s="145"/>
      <c r="D445" s="35" t="s">
        <v>7</v>
      </c>
      <c r="E445" s="41"/>
    </row>
    <row r="446" spans="1:5" ht="34.5" customHeight="1" thickBot="1">
      <c r="A446" s="144">
        <v>0</v>
      </c>
      <c r="B446" s="152"/>
      <c r="C446" s="145"/>
      <c r="D446" s="35" t="s">
        <v>437</v>
      </c>
      <c r="E446" s="41"/>
    </row>
    <row r="447" spans="1:5" ht="34.5" customHeight="1" thickBot="1">
      <c r="A447" s="34">
        <v>0</v>
      </c>
      <c r="B447" s="32" t="s">
        <v>8</v>
      </c>
      <c r="C447" s="33">
        <v>620</v>
      </c>
      <c r="D447" s="32" t="s">
        <v>9</v>
      </c>
      <c r="E447" s="41"/>
    </row>
    <row r="448" spans="1:5" ht="34.5" customHeight="1" thickBot="1">
      <c r="A448" s="153" t="s">
        <v>436</v>
      </c>
      <c r="B448" s="154"/>
      <c r="C448" s="154"/>
      <c r="D448" s="155"/>
      <c r="E448" s="41"/>
    </row>
    <row r="449" spans="1:5" ht="34.5" customHeight="1" thickBot="1">
      <c r="A449" s="156" t="s">
        <v>435</v>
      </c>
      <c r="B449" s="157"/>
      <c r="C449" s="157"/>
      <c r="D449" s="158"/>
      <c r="E449" s="41"/>
    </row>
    <row r="450" spans="1:5" ht="34.5" customHeight="1" thickBot="1">
      <c r="A450" s="40"/>
      <c r="B450" s="39"/>
      <c r="C450" s="39"/>
      <c r="D450" s="38"/>
      <c r="E450" s="41"/>
    </row>
    <row r="451" spans="1:5" ht="34.5" customHeight="1">
      <c r="A451" s="159" t="s">
        <v>442</v>
      </c>
      <c r="B451" s="160" t="s">
        <v>441</v>
      </c>
      <c r="C451" s="160"/>
      <c r="D451" s="161"/>
      <c r="E451" s="41"/>
    </row>
    <row r="452" spans="1:5" ht="34.5" customHeight="1" thickBot="1">
      <c r="A452" s="162"/>
      <c r="B452" s="163"/>
      <c r="C452" s="163"/>
      <c r="D452" s="164"/>
      <c r="E452" s="44"/>
    </row>
    <row r="453" spans="1:5" ht="34.5" customHeight="1" thickBot="1">
      <c r="A453" s="142" t="s">
        <v>11</v>
      </c>
      <c r="B453" s="143"/>
      <c r="C453" s="165" t="s">
        <v>591</v>
      </c>
      <c r="D453" s="143"/>
      <c r="E453" s="44"/>
    </row>
    <row r="454" spans="1:5" ht="34.5" customHeight="1" thickBot="1">
      <c r="A454" s="137" t="s">
        <v>520</v>
      </c>
      <c r="B454" s="138"/>
      <c r="C454" s="138"/>
      <c r="D454" s="139"/>
      <c r="E454" s="43"/>
    </row>
    <row r="455" spans="1:5" ht="34.5" customHeight="1" thickBot="1">
      <c r="A455" s="34" t="s">
        <v>487</v>
      </c>
      <c r="B455" s="32" t="s">
        <v>438</v>
      </c>
      <c r="C455" s="34">
        <v>15</v>
      </c>
      <c r="D455" s="32" t="s">
        <v>0</v>
      </c>
      <c r="E455" s="43"/>
    </row>
    <row r="456" spans="1:5" ht="34.5" customHeight="1" thickBot="1">
      <c r="A456" s="37" t="s">
        <v>673</v>
      </c>
      <c r="B456" s="36" t="s">
        <v>1</v>
      </c>
      <c r="C456" s="34" t="s">
        <v>674</v>
      </c>
      <c r="D456" s="32" t="s">
        <v>2</v>
      </c>
      <c r="E456" s="42"/>
    </row>
    <row r="457" spans="1:5" ht="34.5" customHeight="1" thickBot="1">
      <c r="A457" s="140">
        <v>175</v>
      </c>
      <c r="B457" s="141"/>
      <c r="C457" s="142" t="s">
        <v>3</v>
      </c>
      <c r="D457" s="143"/>
      <c r="E457" s="41"/>
    </row>
    <row r="458" spans="1:5" ht="34.5" customHeight="1" thickBot="1">
      <c r="A458" s="140">
        <v>202</v>
      </c>
      <c r="B458" s="141"/>
      <c r="C458" s="144" t="s">
        <v>4</v>
      </c>
      <c r="D458" s="145"/>
      <c r="E458" s="41"/>
    </row>
    <row r="459" spans="1:5" ht="34.5" customHeight="1" thickBot="1">
      <c r="A459" s="146">
        <f>A458-A457</f>
        <v>27</v>
      </c>
      <c r="B459" s="147"/>
      <c r="C459" s="148"/>
      <c r="D459" s="35" t="s">
        <v>5</v>
      </c>
      <c r="E459" s="41"/>
    </row>
    <row r="460" spans="1:5" ht="34.5" customHeight="1" thickBot="1">
      <c r="A460" s="149">
        <v>23</v>
      </c>
      <c r="B460" s="150"/>
      <c r="C460" s="151"/>
      <c r="D460" s="35" t="s">
        <v>6</v>
      </c>
      <c r="E460" s="41"/>
    </row>
    <row r="461" spans="1:5" ht="34.5" customHeight="1" thickBot="1">
      <c r="A461" s="144">
        <f>A460*A459</f>
        <v>621</v>
      </c>
      <c r="B461" s="152"/>
      <c r="C461" s="145"/>
      <c r="D461" s="35" t="s">
        <v>7</v>
      </c>
      <c r="E461" s="41"/>
    </row>
    <row r="462" spans="1:5" ht="34.5" customHeight="1" thickBot="1">
      <c r="A462" s="144">
        <v>0</v>
      </c>
      <c r="B462" s="152"/>
      <c r="C462" s="145"/>
      <c r="D462" s="35" t="s">
        <v>437</v>
      </c>
      <c r="E462" s="41"/>
    </row>
    <row r="463" spans="1:5" ht="34.5" customHeight="1" thickBot="1">
      <c r="A463" s="34">
        <v>0</v>
      </c>
      <c r="B463" s="32" t="s">
        <v>8</v>
      </c>
      <c r="C463" s="33">
        <v>620</v>
      </c>
      <c r="D463" s="32" t="s">
        <v>9</v>
      </c>
      <c r="E463" s="41"/>
    </row>
    <row r="464" spans="1:5" ht="34.5" customHeight="1" thickBot="1">
      <c r="A464" s="153" t="s">
        <v>436</v>
      </c>
      <c r="B464" s="154"/>
      <c r="C464" s="154"/>
      <c r="D464" s="155"/>
      <c r="E464" s="41"/>
    </row>
    <row r="465" spans="1:5" ht="34.5" customHeight="1" thickBot="1">
      <c r="A465" s="156" t="s">
        <v>435</v>
      </c>
      <c r="B465" s="157"/>
      <c r="C465" s="157"/>
      <c r="D465" s="158"/>
      <c r="E465" s="41"/>
    </row>
    <row r="466" spans="1:5" ht="34.5" customHeight="1">
      <c r="A466" s="159" t="s">
        <v>442</v>
      </c>
      <c r="B466" s="160" t="s">
        <v>441</v>
      </c>
      <c r="C466" s="160"/>
      <c r="D466" s="161"/>
      <c r="E466" s="41"/>
    </row>
    <row r="467" spans="1:5" ht="34.5" customHeight="1" thickBot="1">
      <c r="A467" s="162"/>
      <c r="B467" s="163"/>
      <c r="C467" s="163"/>
      <c r="D467" s="164"/>
      <c r="E467" s="44"/>
    </row>
    <row r="468" spans="1:5" ht="34.5" customHeight="1" thickBot="1">
      <c r="A468" s="142" t="s">
        <v>11</v>
      </c>
      <c r="B468" s="143"/>
      <c r="C468" s="165" t="s">
        <v>591</v>
      </c>
      <c r="D468" s="143"/>
      <c r="E468" s="44"/>
    </row>
    <row r="469" spans="1:5" ht="34.5" customHeight="1" thickBot="1">
      <c r="A469" s="137" t="s">
        <v>521</v>
      </c>
      <c r="B469" s="138"/>
      <c r="C469" s="138"/>
      <c r="D469" s="139"/>
      <c r="E469" s="43"/>
    </row>
    <row r="470" spans="1:5" ht="34.5" customHeight="1" thickBot="1">
      <c r="A470" s="34" t="s">
        <v>487</v>
      </c>
      <c r="B470" s="32" t="s">
        <v>438</v>
      </c>
      <c r="C470" s="34">
        <v>18</v>
      </c>
      <c r="D470" s="32" t="s">
        <v>0</v>
      </c>
      <c r="E470" s="43"/>
    </row>
    <row r="471" spans="1:5" ht="34.5" customHeight="1" thickBot="1">
      <c r="A471" s="37" t="s">
        <v>673</v>
      </c>
      <c r="B471" s="36" t="s">
        <v>1</v>
      </c>
      <c r="C471" s="34" t="s">
        <v>674</v>
      </c>
      <c r="D471" s="32" t="s">
        <v>2</v>
      </c>
      <c r="E471" s="42"/>
    </row>
    <row r="472" spans="1:5" ht="34.5" customHeight="1" thickBot="1">
      <c r="A472" s="140">
        <v>193</v>
      </c>
      <c r="B472" s="141"/>
      <c r="C472" s="142" t="s">
        <v>3</v>
      </c>
      <c r="D472" s="143"/>
      <c r="E472" s="41"/>
    </row>
    <row r="473" spans="1:5" ht="34.5" customHeight="1" thickBot="1">
      <c r="A473" s="140">
        <v>193</v>
      </c>
      <c r="B473" s="141"/>
      <c r="C473" s="144" t="s">
        <v>4</v>
      </c>
      <c r="D473" s="145"/>
      <c r="E473" s="41"/>
    </row>
    <row r="474" spans="1:5" ht="34.5" customHeight="1" thickBot="1">
      <c r="A474" s="146">
        <f>A473-A472</f>
        <v>0</v>
      </c>
      <c r="B474" s="147"/>
      <c r="C474" s="148"/>
      <c r="D474" s="35" t="s">
        <v>5</v>
      </c>
      <c r="E474" s="41"/>
    </row>
    <row r="475" spans="1:5" ht="34.5" customHeight="1" thickBot="1">
      <c r="A475" s="149">
        <v>23</v>
      </c>
      <c r="B475" s="150"/>
      <c r="C475" s="151"/>
      <c r="D475" s="35" t="s">
        <v>6</v>
      </c>
      <c r="E475" s="41"/>
    </row>
    <row r="476" spans="1:5" ht="34.5" customHeight="1" thickBot="1">
      <c r="A476" s="144">
        <f>A475*A474</f>
        <v>0</v>
      </c>
      <c r="B476" s="152"/>
      <c r="C476" s="145"/>
      <c r="D476" s="35" t="s">
        <v>7</v>
      </c>
      <c r="E476" s="41"/>
    </row>
    <row r="477" spans="1:5" ht="34.5" customHeight="1" thickBot="1">
      <c r="A477" s="144">
        <v>0</v>
      </c>
      <c r="B477" s="152"/>
      <c r="C477" s="145"/>
      <c r="D477" s="35" t="s">
        <v>437</v>
      </c>
      <c r="E477" s="41"/>
    </row>
    <row r="478" spans="1:5" ht="34.5" customHeight="1" thickBot="1">
      <c r="A478" s="34">
        <v>0</v>
      </c>
      <c r="B478" s="32" t="s">
        <v>8</v>
      </c>
      <c r="C478" s="33">
        <v>1170</v>
      </c>
      <c r="D478" s="32" t="s">
        <v>9</v>
      </c>
      <c r="E478" s="41"/>
    </row>
    <row r="479" spans="1:5" ht="34.5" customHeight="1" thickBot="1">
      <c r="A479" s="153" t="s">
        <v>436</v>
      </c>
      <c r="B479" s="154"/>
      <c r="C479" s="154"/>
      <c r="D479" s="155"/>
      <c r="E479" s="41"/>
    </row>
    <row r="480" spans="1:5" ht="34.5" customHeight="1" thickBot="1">
      <c r="A480" s="156" t="s">
        <v>435</v>
      </c>
      <c r="B480" s="157"/>
      <c r="C480" s="157"/>
      <c r="D480" s="158"/>
      <c r="E480" s="41"/>
    </row>
    <row r="481" spans="1:5" ht="34.5" customHeight="1" thickBot="1">
      <c r="A481" s="40"/>
      <c r="B481" s="39"/>
      <c r="C481" s="39"/>
      <c r="D481" s="38"/>
      <c r="E481" s="41"/>
    </row>
    <row r="482" spans="1:5" ht="34.5" customHeight="1">
      <c r="A482" s="159" t="s">
        <v>442</v>
      </c>
      <c r="B482" s="160" t="s">
        <v>441</v>
      </c>
      <c r="C482" s="160"/>
      <c r="D482" s="161"/>
      <c r="E482" s="41"/>
    </row>
    <row r="483" spans="1:5" ht="34.5" customHeight="1" thickBot="1">
      <c r="A483" s="162"/>
      <c r="B483" s="163"/>
      <c r="C483" s="163"/>
      <c r="D483" s="164"/>
      <c r="E483" s="44"/>
    </row>
    <row r="484" spans="1:5" ht="34.5" customHeight="1" thickBot="1">
      <c r="A484" s="142" t="s">
        <v>11</v>
      </c>
      <c r="B484" s="143"/>
      <c r="C484" s="165" t="s">
        <v>591</v>
      </c>
      <c r="D484" s="143"/>
      <c r="E484" s="44"/>
    </row>
    <row r="485" spans="1:5" ht="34.5" customHeight="1" thickBot="1">
      <c r="A485" s="137" t="s">
        <v>521</v>
      </c>
      <c r="B485" s="138"/>
      <c r="C485" s="138"/>
      <c r="D485" s="139"/>
      <c r="E485" s="43"/>
    </row>
    <row r="486" spans="1:5" ht="34.5" customHeight="1" thickBot="1">
      <c r="A486" s="34" t="s">
        <v>487</v>
      </c>
      <c r="B486" s="32" t="s">
        <v>438</v>
      </c>
      <c r="C486" s="34">
        <v>18</v>
      </c>
      <c r="D486" s="32" t="s">
        <v>0</v>
      </c>
      <c r="E486" s="43"/>
    </row>
    <row r="487" spans="1:5" ht="34.5" customHeight="1" thickBot="1">
      <c r="A487" s="37" t="s">
        <v>673</v>
      </c>
      <c r="B487" s="36" t="s">
        <v>1</v>
      </c>
      <c r="C487" s="34" t="s">
        <v>674</v>
      </c>
      <c r="D487" s="32" t="s">
        <v>2</v>
      </c>
      <c r="E487" s="42"/>
    </row>
    <row r="488" spans="1:5" ht="34.5" customHeight="1" thickBot="1">
      <c r="A488" s="140">
        <v>142</v>
      </c>
      <c r="B488" s="141"/>
      <c r="C488" s="142" t="s">
        <v>3</v>
      </c>
      <c r="D488" s="143"/>
      <c r="E488" s="41"/>
    </row>
    <row r="489" spans="1:5" ht="34.5" customHeight="1" thickBot="1">
      <c r="A489" s="140">
        <v>193</v>
      </c>
      <c r="B489" s="141"/>
      <c r="C489" s="144" t="s">
        <v>4</v>
      </c>
      <c r="D489" s="145"/>
      <c r="E489" s="41"/>
    </row>
    <row r="490" spans="1:5" ht="34.5" customHeight="1" thickBot="1">
      <c r="A490" s="146">
        <f>A489-A488</f>
        <v>51</v>
      </c>
      <c r="B490" s="147"/>
      <c r="C490" s="148"/>
      <c r="D490" s="35" t="s">
        <v>5</v>
      </c>
      <c r="E490" s="41"/>
    </row>
    <row r="491" spans="1:5" ht="34.5" customHeight="1" thickBot="1">
      <c r="A491" s="149">
        <v>23</v>
      </c>
      <c r="B491" s="150"/>
      <c r="C491" s="151"/>
      <c r="D491" s="35" t="s">
        <v>6</v>
      </c>
      <c r="E491" s="41"/>
    </row>
    <row r="492" spans="1:5" ht="34.5" customHeight="1" thickBot="1">
      <c r="A492" s="144">
        <f>A491*A490</f>
        <v>1173</v>
      </c>
      <c r="B492" s="152"/>
      <c r="C492" s="145"/>
      <c r="D492" s="35" t="s">
        <v>7</v>
      </c>
      <c r="E492" s="41"/>
    </row>
    <row r="493" spans="1:5" ht="34.5" customHeight="1" thickBot="1">
      <c r="A493" s="144">
        <v>0</v>
      </c>
      <c r="B493" s="152"/>
      <c r="C493" s="145"/>
      <c r="D493" s="35" t="s">
        <v>437</v>
      </c>
      <c r="E493" s="41"/>
    </row>
    <row r="494" spans="1:5" ht="34.5" customHeight="1" thickBot="1">
      <c r="A494" s="34">
        <v>0</v>
      </c>
      <c r="B494" s="32" t="s">
        <v>8</v>
      </c>
      <c r="C494" s="33">
        <v>1170</v>
      </c>
      <c r="D494" s="32" t="s">
        <v>9</v>
      </c>
      <c r="E494" s="41"/>
    </row>
    <row r="495" spans="1:5" ht="34.5" customHeight="1" thickBot="1">
      <c r="A495" s="153" t="s">
        <v>436</v>
      </c>
      <c r="B495" s="154"/>
      <c r="C495" s="154"/>
      <c r="D495" s="155"/>
      <c r="E495" s="41"/>
    </row>
    <row r="496" spans="1:5" ht="34.5" customHeight="1" thickBot="1">
      <c r="A496" s="156" t="s">
        <v>435</v>
      </c>
      <c r="B496" s="157"/>
      <c r="C496" s="157"/>
      <c r="D496" s="158"/>
      <c r="E496" s="41"/>
    </row>
    <row r="497" spans="1:5" ht="34.5" customHeight="1">
      <c r="A497" s="159" t="s">
        <v>442</v>
      </c>
      <c r="B497" s="160" t="s">
        <v>441</v>
      </c>
      <c r="C497" s="160"/>
      <c r="D497" s="161"/>
      <c r="E497" s="41"/>
    </row>
    <row r="498" spans="1:5" ht="34.5" customHeight="1" thickBot="1">
      <c r="A498" s="162"/>
      <c r="B498" s="163"/>
      <c r="C498" s="163"/>
      <c r="D498" s="164"/>
      <c r="E498" s="44"/>
    </row>
    <row r="499" spans="1:5" ht="34.5" customHeight="1" thickBot="1">
      <c r="A499" s="142" t="s">
        <v>11</v>
      </c>
      <c r="B499" s="143"/>
      <c r="C499" s="165" t="s">
        <v>591</v>
      </c>
      <c r="D499" s="143"/>
      <c r="E499" s="44"/>
    </row>
    <row r="500" spans="1:5" ht="34.5" customHeight="1" thickBot="1">
      <c r="A500" s="137" t="s">
        <v>522</v>
      </c>
      <c r="B500" s="138"/>
      <c r="C500" s="138"/>
      <c r="D500" s="139"/>
      <c r="E500" s="43"/>
    </row>
    <row r="501" spans="1:5" ht="34.5" customHeight="1" thickBot="1">
      <c r="A501" s="34" t="s">
        <v>487</v>
      </c>
      <c r="B501" s="32" t="s">
        <v>438</v>
      </c>
      <c r="C501" s="34">
        <v>17</v>
      </c>
      <c r="D501" s="32" t="s">
        <v>0</v>
      </c>
      <c r="E501" s="43"/>
    </row>
    <row r="502" spans="1:5" ht="34.5" customHeight="1" thickBot="1">
      <c r="A502" s="37" t="s">
        <v>673</v>
      </c>
      <c r="B502" s="36" t="s">
        <v>1</v>
      </c>
      <c r="C502" s="34" t="s">
        <v>674</v>
      </c>
      <c r="D502" s="32" t="s">
        <v>2</v>
      </c>
      <c r="E502" s="42"/>
    </row>
    <row r="503" spans="1:5" ht="34.5" customHeight="1" thickBot="1">
      <c r="A503" s="140">
        <v>393</v>
      </c>
      <c r="B503" s="141"/>
      <c r="C503" s="142" t="s">
        <v>3</v>
      </c>
      <c r="D503" s="143"/>
      <c r="E503" s="41"/>
    </row>
    <row r="504" spans="1:5" ht="34.5" customHeight="1" thickBot="1">
      <c r="A504" s="140">
        <v>393</v>
      </c>
      <c r="B504" s="141"/>
      <c r="C504" s="144" t="s">
        <v>4</v>
      </c>
      <c r="D504" s="145"/>
      <c r="E504" s="41"/>
    </row>
    <row r="505" spans="1:5" ht="34.5" customHeight="1" thickBot="1">
      <c r="A505" s="146">
        <f>A504-A503</f>
        <v>0</v>
      </c>
      <c r="B505" s="147"/>
      <c r="C505" s="148"/>
      <c r="D505" s="35" t="s">
        <v>5</v>
      </c>
      <c r="E505" s="41"/>
    </row>
    <row r="506" spans="1:5" ht="34.5" customHeight="1" thickBot="1">
      <c r="A506" s="149">
        <v>23</v>
      </c>
      <c r="B506" s="150"/>
      <c r="C506" s="151"/>
      <c r="D506" s="35" t="s">
        <v>6</v>
      </c>
      <c r="E506" s="41"/>
    </row>
    <row r="507" spans="1:5" ht="34.5" customHeight="1" thickBot="1">
      <c r="A507" s="144">
        <f>A506*A505</f>
        <v>0</v>
      </c>
      <c r="B507" s="152"/>
      <c r="C507" s="145"/>
      <c r="D507" s="35" t="s">
        <v>7</v>
      </c>
      <c r="E507" s="41"/>
    </row>
    <row r="508" spans="1:5" ht="34.5" customHeight="1" thickBot="1">
      <c r="A508" s="144">
        <v>0</v>
      </c>
      <c r="B508" s="152"/>
      <c r="C508" s="145"/>
      <c r="D508" s="35" t="s">
        <v>437</v>
      </c>
      <c r="E508" s="41"/>
    </row>
    <row r="509" spans="1:5" ht="34.5" customHeight="1" thickBot="1">
      <c r="A509" s="34">
        <v>0</v>
      </c>
      <c r="B509" s="32" t="s">
        <v>8</v>
      </c>
      <c r="C509" s="33">
        <v>1350</v>
      </c>
      <c r="D509" s="32" t="s">
        <v>9</v>
      </c>
      <c r="E509" s="41"/>
    </row>
    <row r="510" spans="1:5" ht="34.5" customHeight="1" thickBot="1">
      <c r="A510" s="153" t="s">
        <v>436</v>
      </c>
      <c r="B510" s="154"/>
      <c r="C510" s="154"/>
      <c r="D510" s="155"/>
      <c r="E510" s="41"/>
    </row>
    <row r="511" spans="1:5" ht="34.5" customHeight="1" thickBot="1">
      <c r="A511" s="156" t="s">
        <v>435</v>
      </c>
      <c r="B511" s="157"/>
      <c r="C511" s="157"/>
      <c r="D511" s="158"/>
      <c r="E511" s="41"/>
    </row>
    <row r="512" spans="1:5" ht="34.5" customHeight="1" thickBot="1">
      <c r="A512" s="40"/>
      <c r="B512" s="39"/>
      <c r="C512" s="39"/>
      <c r="D512" s="38"/>
      <c r="E512" s="41"/>
    </row>
    <row r="513" spans="1:5" ht="34.5" customHeight="1">
      <c r="A513" s="159" t="s">
        <v>442</v>
      </c>
      <c r="B513" s="160" t="s">
        <v>441</v>
      </c>
      <c r="C513" s="160"/>
      <c r="D513" s="161"/>
      <c r="E513" s="41"/>
    </row>
    <row r="514" spans="1:5" ht="34.5" customHeight="1" thickBot="1">
      <c r="A514" s="162"/>
      <c r="B514" s="163"/>
      <c r="C514" s="163"/>
      <c r="D514" s="164"/>
      <c r="E514" s="44"/>
    </row>
    <row r="515" spans="1:5" ht="34.5" customHeight="1" thickBot="1">
      <c r="A515" s="142" t="s">
        <v>11</v>
      </c>
      <c r="B515" s="143"/>
      <c r="C515" s="165" t="s">
        <v>591</v>
      </c>
      <c r="D515" s="143"/>
      <c r="E515" s="44"/>
    </row>
    <row r="516" spans="1:5" ht="34.5" customHeight="1" thickBot="1">
      <c r="A516" s="137" t="s">
        <v>522</v>
      </c>
      <c r="B516" s="138"/>
      <c r="C516" s="138"/>
      <c r="D516" s="139"/>
      <c r="E516" s="43"/>
    </row>
    <row r="517" spans="1:5" ht="34.5" customHeight="1" thickBot="1">
      <c r="A517" s="34" t="s">
        <v>487</v>
      </c>
      <c r="B517" s="32" t="s">
        <v>438</v>
      </c>
      <c r="C517" s="34">
        <v>17</v>
      </c>
      <c r="D517" s="32" t="s">
        <v>0</v>
      </c>
      <c r="E517" s="43"/>
    </row>
    <row r="518" spans="1:5" ht="34.5" customHeight="1" thickBot="1">
      <c r="A518" s="37" t="s">
        <v>673</v>
      </c>
      <c r="B518" s="36" t="s">
        <v>1</v>
      </c>
      <c r="C518" s="34" t="s">
        <v>674</v>
      </c>
      <c r="D518" s="32" t="s">
        <v>2</v>
      </c>
      <c r="E518" s="42"/>
    </row>
    <row r="519" spans="1:5" ht="34.5" customHeight="1" thickBot="1">
      <c r="A519" s="140">
        <v>334</v>
      </c>
      <c r="B519" s="141"/>
      <c r="C519" s="142" t="s">
        <v>3</v>
      </c>
      <c r="D519" s="143"/>
      <c r="E519" s="41"/>
    </row>
    <row r="520" spans="1:5" ht="34.5" customHeight="1" thickBot="1">
      <c r="A520" s="140">
        <v>393</v>
      </c>
      <c r="B520" s="141"/>
      <c r="C520" s="144" t="s">
        <v>4</v>
      </c>
      <c r="D520" s="145"/>
      <c r="E520" s="41"/>
    </row>
    <row r="521" spans="1:5" ht="34.5" customHeight="1" thickBot="1">
      <c r="A521" s="146">
        <f>A520-A519</f>
        <v>59</v>
      </c>
      <c r="B521" s="147"/>
      <c r="C521" s="148"/>
      <c r="D521" s="35" t="s">
        <v>5</v>
      </c>
      <c r="E521" s="41"/>
    </row>
    <row r="522" spans="1:5" ht="34.5" customHeight="1" thickBot="1">
      <c r="A522" s="149">
        <v>23</v>
      </c>
      <c r="B522" s="150"/>
      <c r="C522" s="151"/>
      <c r="D522" s="35" t="s">
        <v>6</v>
      </c>
      <c r="E522" s="41"/>
    </row>
    <row r="523" spans="1:5" ht="34.5" customHeight="1" thickBot="1">
      <c r="A523" s="144">
        <f>A522*A521</f>
        <v>1357</v>
      </c>
      <c r="B523" s="152"/>
      <c r="C523" s="145"/>
      <c r="D523" s="35" t="s">
        <v>7</v>
      </c>
      <c r="E523" s="41"/>
    </row>
    <row r="524" spans="1:5" ht="34.5" customHeight="1" thickBot="1">
      <c r="A524" s="144">
        <v>0</v>
      </c>
      <c r="B524" s="152"/>
      <c r="C524" s="145"/>
      <c r="D524" s="35" t="s">
        <v>437</v>
      </c>
      <c r="E524" s="41"/>
    </row>
    <row r="525" spans="1:5" ht="34.5" customHeight="1" thickBot="1">
      <c r="A525" s="34">
        <v>0</v>
      </c>
      <c r="B525" s="32" t="s">
        <v>8</v>
      </c>
      <c r="C525" s="33">
        <v>1350</v>
      </c>
      <c r="D525" s="32" t="s">
        <v>9</v>
      </c>
      <c r="E525" s="41"/>
    </row>
    <row r="526" spans="1:5" ht="34.5" customHeight="1" thickBot="1">
      <c r="A526" s="153" t="s">
        <v>436</v>
      </c>
      <c r="B526" s="154"/>
      <c r="C526" s="154"/>
      <c r="D526" s="155"/>
      <c r="E526" s="41"/>
    </row>
    <row r="527" spans="1:5" ht="34.5" customHeight="1" thickBot="1">
      <c r="A527" s="156" t="s">
        <v>435</v>
      </c>
      <c r="B527" s="157"/>
      <c r="C527" s="157"/>
      <c r="D527" s="158"/>
      <c r="E527" s="41"/>
    </row>
    <row r="528" spans="1:5" ht="34.5" customHeight="1">
      <c r="A528" s="159" t="s">
        <v>442</v>
      </c>
      <c r="B528" s="160" t="s">
        <v>441</v>
      </c>
      <c r="C528" s="160"/>
      <c r="D528" s="161"/>
      <c r="E528" s="41"/>
    </row>
    <row r="529" spans="1:5" ht="34.5" customHeight="1" thickBot="1">
      <c r="A529" s="162"/>
      <c r="B529" s="163"/>
      <c r="C529" s="163"/>
      <c r="D529" s="164"/>
      <c r="E529" s="44"/>
    </row>
    <row r="530" spans="1:5" ht="34.5" customHeight="1" thickBot="1">
      <c r="A530" s="142" t="s">
        <v>11</v>
      </c>
      <c r="B530" s="143"/>
      <c r="C530" s="165" t="s">
        <v>591</v>
      </c>
      <c r="D530" s="143"/>
      <c r="E530" s="44"/>
    </row>
    <row r="531" spans="1:5" ht="34.5" customHeight="1" thickBot="1">
      <c r="A531" s="137" t="s">
        <v>523</v>
      </c>
      <c r="B531" s="138"/>
      <c r="C531" s="138"/>
      <c r="D531" s="139"/>
      <c r="E531" s="43"/>
    </row>
    <row r="532" spans="1:5" ht="34.5" customHeight="1" thickBot="1">
      <c r="A532" s="34" t="s">
        <v>487</v>
      </c>
      <c r="B532" s="32" t="s">
        <v>438</v>
      </c>
      <c r="C532" s="34">
        <v>18</v>
      </c>
      <c r="D532" s="32" t="s">
        <v>0</v>
      </c>
      <c r="E532" s="43"/>
    </row>
    <row r="533" spans="1:5" ht="34.5" customHeight="1" thickBot="1">
      <c r="A533" s="37" t="s">
        <v>673</v>
      </c>
      <c r="B533" s="36" t="s">
        <v>1</v>
      </c>
      <c r="C533" s="34" t="s">
        <v>674</v>
      </c>
      <c r="D533" s="32" t="s">
        <v>2</v>
      </c>
      <c r="E533" s="42"/>
    </row>
    <row r="534" spans="1:5" ht="34.5" customHeight="1" thickBot="1">
      <c r="A534" s="140">
        <v>185</v>
      </c>
      <c r="B534" s="141"/>
      <c r="C534" s="142" t="s">
        <v>3</v>
      </c>
      <c r="D534" s="143"/>
      <c r="E534" s="41"/>
    </row>
    <row r="535" spans="1:5" ht="34.5" customHeight="1" thickBot="1">
      <c r="A535" s="140">
        <v>185</v>
      </c>
      <c r="B535" s="141"/>
      <c r="C535" s="144" t="s">
        <v>4</v>
      </c>
      <c r="D535" s="145"/>
      <c r="E535" s="41"/>
    </row>
    <row r="536" spans="1:5" ht="34.5" customHeight="1" thickBot="1">
      <c r="A536" s="146">
        <f>A535-A534</f>
        <v>0</v>
      </c>
      <c r="B536" s="147"/>
      <c r="C536" s="148"/>
      <c r="D536" s="35" t="s">
        <v>5</v>
      </c>
      <c r="E536" s="41"/>
    </row>
    <row r="537" spans="1:5" ht="34.5" customHeight="1" thickBot="1">
      <c r="A537" s="149">
        <v>23</v>
      </c>
      <c r="B537" s="150"/>
      <c r="C537" s="151"/>
      <c r="D537" s="35" t="s">
        <v>6</v>
      </c>
      <c r="E537" s="41"/>
    </row>
    <row r="538" spans="1:5" ht="34.5" customHeight="1" thickBot="1">
      <c r="A538" s="144">
        <f>A537*A536</f>
        <v>0</v>
      </c>
      <c r="B538" s="152"/>
      <c r="C538" s="145"/>
      <c r="D538" s="35" t="s">
        <v>7</v>
      </c>
      <c r="E538" s="41"/>
    </row>
    <row r="539" spans="1:5" ht="34.5" customHeight="1" thickBot="1">
      <c r="A539" s="144">
        <v>0</v>
      </c>
      <c r="B539" s="152"/>
      <c r="C539" s="145"/>
      <c r="D539" s="35" t="s">
        <v>437</v>
      </c>
      <c r="E539" s="41"/>
    </row>
    <row r="540" spans="1:5" ht="34.5" customHeight="1" thickBot="1">
      <c r="A540" s="34">
        <v>0</v>
      </c>
      <c r="B540" s="32" t="s">
        <v>8</v>
      </c>
      <c r="C540" s="33">
        <v>350</v>
      </c>
      <c r="D540" s="32" t="s">
        <v>9</v>
      </c>
      <c r="E540" s="41"/>
    </row>
    <row r="541" spans="1:5" ht="34.5" customHeight="1" thickBot="1">
      <c r="A541" s="153" t="s">
        <v>436</v>
      </c>
      <c r="B541" s="154"/>
      <c r="C541" s="154"/>
      <c r="D541" s="155"/>
      <c r="E541" s="41"/>
    </row>
    <row r="542" spans="1:5" ht="34.5" customHeight="1" thickBot="1">
      <c r="A542" s="156" t="s">
        <v>435</v>
      </c>
      <c r="B542" s="157"/>
      <c r="C542" s="157"/>
      <c r="D542" s="158"/>
      <c r="E542" s="41"/>
    </row>
    <row r="543" spans="1:5" ht="34.5" customHeight="1" thickBot="1">
      <c r="A543" s="40"/>
      <c r="B543" s="39"/>
      <c r="C543" s="39"/>
      <c r="D543" s="38"/>
      <c r="E543" s="41"/>
    </row>
    <row r="544" spans="1:5" ht="34.5" customHeight="1">
      <c r="A544" s="159" t="s">
        <v>442</v>
      </c>
      <c r="B544" s="160" t="s">
        <v>441</v>
      </c>
      <c r="C544" s="160"/>
      <c r="D544" s="161"/>
      <c r="E544" s="41"/>
    </row>
    <row r="545" spans="1:5" ht="34.5" customHeight="1" thickBot="1">
      <c r="A545" s="162"/>
      <c r="B545" s="163"/>
      <c r="C545" s="163"/>
      <c r="D545" s="164"/>
      <c r="E545" s="44"/>
    </row>
    <row r="546" spans="1:5" ht="34.5" customHeight="1" thickBot="1">
      <c r="A546" s="142" t="s">
        <v>11</v>
      </c>
      <c r="B546" s="143"/>
      <c r="C546" s="165" t="s">
        <v>591</v>
      </c>
      <c r="D546" s="143"/>
      <c r="E546" s="44"/>
    </row>
    <row r="547" spans="1:5" ht="34.5" customHeight="1" thickBot="1">
      <c r="A547" s="137" t="s">
        <v>523</v>
      </c>
      <c r="B547" s="138"/>
      <c r="C547" s="138"/>
      <c r="D547" s="139"/>
      <c r="E547" s="43"/>
    </row>
    <row r="548" spans="1:5" ht="34.5" customHeight="1" thickBot="1">
      <c r="A548" s="34" t="s">
        <v>487</v>
      </c>
      <c r="B548" s="32" t="s">
        <v>438</v>
      </c>
      <c r="C548" s="34">
        <v>18</v>
      </c>
      <c r="D548" s="32" t="s">
        <v>0</v>
      </c>
      <c r="E548" s="43"/>
    </row>
    <row r="549" spans="1:5" ht="34.5" customHeight="1" thickBot="1">
      <c r="A549" s="37" t="s">
        <v>673</v>
      </c>
      <c r="B549" s="36" t="s">
        <v>1</v>
      </c>
      <c r="C549" s="34" t="s">
        <v>674</v>
      </c>
      <c r="D549" s="32" t="s">
        <v>2</v>
      </c>
      <c r="E549" s="42"/>
    </row>
    <row r="550" spans="1:5" ht="34.5" customHeight="1" thickBot="1">
      <c r="A550" s="140">
        <v>170</v>
      </c>
      <c r="B550" s="141"/>
      <c r="C550" s="142" t="s">
        <v>3</v>
      </c>
      <c r="D550" s="143"/>
      <c r="E550" s="41"/>
    </row>
    <row r="551" spans="1:5" ht="34.5" customHeight="1" thickBot="1">
      <c r="A551" s="140">
        <v>185</v>
      </c>
      <c r="B551" s="141"/>
      <c r="C551" s="144" t="s">
        <v>4</v>
      </c>
      <c r="D551" s="145"/>
      <c r="E551" s="41"/>
    </row>
    <row r="552" spans="1:5" ht="34.5" customHeight="1" thickBot="1">
      <c r="A552" s="146">
        <f>A551-A550</f>
        <v>15</v>
      </c>
      <c r="B552" s="147"/>
      <c r="C552" s="148"/>
      <c r="D552" s="35" t="s">
        <v>5</v>
      </c>
      <c r="E552" s="41"/>
    </row>
    <row r="553" spans="1:5" ht="34.5" customHeight="1" thickBot="1">
      <c r="A553" s="149">
        <v>23</v>
      </c>
      <c r="B553" s="150"/>
      <c r="C553" s="151"/>
      <c r="D553" s="35" t="s">
        <v>6</v>
      </c>
      <c r="E553" s="41"/>
    </row>
    <row r="554" spans="1:5" ht="34.5" customHeight="1" thickBot="1">
      <c r="A554" s="144">
        <f>A553*A552</f>
        <v>345</v>
      </c>
      <c r="B554" s="152"/>
      <c r="C554" s="145"/>
      <c r="D554" s="35" t="s">
        <v>7</v>
      </c>
      <c r="E554" s="41"/>
    </row>
    <row r="555" spans="1:5" ht="34.5" customHeight="1" thickBot="1">
      <c r="A555" s="144">
        <v>0</v>
      </c>
      <c r="B555" s="152"/>
      <c r="C555" s="145"/>
      <c r="D555" s="35" t="s">
        <v>437</v>
      </c>
      <c r="E555" s="41"/>
    </row>
    <row r="556" spans="1:5" ht="34.5" customHeight="1" thickBot="1">
      <c r="A556" s="34">
        <v>0</v>
      </c>
      <c r="B556" s="32" t="s">
        <v>8</v>
      </c>
      <c r="C556" s="33">
        <v>350</v>
      </c>
      <c r="D556" s="32" t="s">
        <v>9</v>
      </c>
      <c r="E556" s="41"/>
    </row>
    <row r="557" spans="1:5" ht="34.5" customHeight="1" thickBot="1">
      <c r="A557" s="153" t="s">
        <v>436</v>
      </c>
      <c r="B557" s="154"/>
      <c r="C557" s="154"/>
      <c r="D557" s="155"/>
      <c r="E557" s="41"/>
    </row>
    <row r="558" spans="1:5" ht="34.5" customHeight="1" thickBot="1">
      <c r="A558" s="156" t="s">
        <v>435</v>
      </c>
      <c r="B558" s="157"/>
      <c r="C558" s="157"/>
      <c r="D558" s="158"/>
      <c r="E558" s="41"/>
    </row>
    <row r="559" spans="1:5" ht="34.5" customHeight="1">
      <c r="A559" s="159" t="s">
        <v>442</v>
      </c>
      <c r="B559" s="160" t="s">
        <v>441</v>
      </c>
      <c r="C559" s="160"/>
      <c r="D559" s="161"/>
      <c r="E559" s="41"/>
    </row>
    <row r="560" spans="1:5" ht="34.5" customHeight="1" thickBot="1">
      <c r="A560" s="162"/>
      <c r="B560" s="163"/>
      <c r="C560" s="163"/>
      <c r="D560" s="164"/>
      <c r="E560" s="44"/>
    </row>
    <row r="561" spans="1:5" ht="34.5" customHeight="1" thickBot="1">
      <c r="A561" s="142" t="s">
        <v>11</v>
      </c>
      <c r="B561" s="143"/>
      <c r="C561" s="165" t="s">
        <v>591</v>
      </c>
      <c r="D561" s="143"/>
      <c r="E561" s="44"/>
    </row>
    <row r="562" spans="1:5" ht="34.5" customHeight="1" thickBot="1">
      <c r="A562" s="137" t="s">
        <v>639</v>
      </c>
      <c r="B562" s="138"/>
      <c r="C562" s="138"/>
      <c r="D562" s="139"/>
      <c r="E562" s="43"/>
    </row>
    <row r="563" spans="1:5" ht="34.5" customHeight="1" thickBot="1">
      <c r="A563" s="34" t="s">
        <v>487</v>
      </c>
      <c r="B563" s="32" t="s">
        <v>438</v>
      </c>
      <c r="C563" s="34">
        <v>19</v>
      </c>
      <c r="D563" s="32" t="s">
        <v>0</v>
      </c>
      <c r="E563" s="43"/>
    </row>
    <row r="564" spans="1:5" ht="34.5" customHeight="1" thickBot="1">
      <c r="A564" s="37" t="s">
        <v>673</v>
      </c>
      <c r="B564" s="36" t="s">
        <v>1</v>
      </c>
      <c r="C564" s="34" t="s">
        <v>674</v>
      </c>
      <c r="D564" s="32" t="s">
        <v>2</v>
      </c>
      <c r="E564" s="42"/>
    </row>
    <row r="565" spans="1:5" ht="34.5" customHeight="1" thickBot="1">
      <c r="A565" s="140">
        <v>312</v>
      </c>
      <c r="B565" s="141"/>
      <c r="C565" s="142" t="s">
        <v>3</v>
      </c>
      <c r="D565" s="143"/>
      <c r="E565" s="41"/>
    </row>
    <row r="566" spans="1:5" ht="34.5" customHeight="1" thickBot="1">
      <c r="A566" s="140">
        <v>312</v>
      </c>
      <c r="B566" s="141"/>
      <c r="C566" s="144" t="s">
        <v>4</v>
      </c>
      <c r="D566" s="145"/>
      <c r="E566" s="41"/>
    </row>
    <row r="567" spans="1:5" ht="34.5" customHeight="1" thickBot="1">
      <c r="A567" s="146">
        <f>A566-A565</f>
        <v>0</v>
      </c>
      <c r="B567" s="147"/>
      <c r="C567" s="148"/>
      <c r="D567" s="35" t="s">
        <v>5</v>
      </c>
      <c r="E567" s="41"/>
    </row>
    <row r="568" spans="1:5" ht="34.5" customHeight="1" thickBot="1">
      <c r="A568" s="149">
        <v>23</v>
      </c>
      <c r="B568" s="150"/>
      <c r="C568" s="151"/>
      <c r="D568" s="35" t="s">
        <v>6</v>
      </c>
      <c r="E568" s="41"/>
    </row>
    <row r="569" spans="1:5" ht="34.5" customHeight="1" thickBot="1">
      <c r="A569" s="144">
        <f>A568*A567</f>
        <v>0</v>
      </c>
      <c r="B569" s="152"/>
      <c r="C569" s="145"/>
      <c r="D569" s="35" t="s">
        <v>7</v>
      </c>
      <c r="E569" s="41"/>
    </row>
    <row r="570" spans="1:5" ht="34.5" customHeight="1" thickBot="1">
      <c r="A570" s="144">
        <v>0</v>
      </c>
      <c r="B570" s="152"/>
      <c r="C570" s="145"/>
      <c r="D570" s="35" t="s">
        <v>437</v>
      </c>
      <c r="E570" s="41"/>
    </row>
    <row r="571" spans="1:5" ht="34.5" customHeight="1" thickBot="1">
      <c r="A571" s="34">
        <v>0</v>
      </c>
      <c r="B571" s="32" t="s">
        <v>8</v>
      </c>
      <c r="C571" s="33">
        <v>1310</v>
      </c>
      <c r="D571" s="32" t="s">
        <v>9</v>
      </c>
      <c r="E571" s="41"/>
    </row>
    <row r="572" spans="1:5" ht="34.5" customHeight="1" thickBot="1">
      <c r="A572" s="153" t="s">
        <v>436</v>
      </c>
      <c r="B572" s="154"/>
      <c r="C572" s="154"/>
      <c r="D572" s="155"/>
      <c r="E572" s="41"/>
    </row>
    <row r="573" spans="1:5" ht="34.5" customHeight="1" thickBot="1">
      <c r="A573" s="156" t="s">
        <v>435</v>
      </c>
      <c r="B573" s="157"/>
      <c r="C573" s="157"/>
      <c r="D573" s="158"/>
      <c r="E573" s="41"/>
    </row>
    <row r="574" spans="1:5" ht="34.5" customHeight="1" thickBot="1">
      <c r="A574" s="40"/>
      <c r="B574" s="39"/>
      <c r="C574" s="39"/>
      <c r="D574" s="38"/>
      <c r="E574" s="41"/>
    </row>
    <row r="575" spans="1:5" ht="34.5" customHeight="1">
      <c r="A575" s="159" t="s">
        <v>442</v>
      </c>
      <c r="B575" s="160" t="s">
        <v>441</v>
      </c>
      <c r="C575" s="160"/>
      <c r="D575" s="161"/>
      <c r="E575" s="41"/>
    </row>
    <row r="576" spans="1:5" ht="34.5" customHeight="1" thickBot="1">
      <c r="A576" s="162"/>
      <c r="B576" s="163"/>
      <c r="C576" s="163"/>
      <c r="D576" s="164"/>
      <c r="E576" s="44"/>
    </row>
    <row r="577" spans="1:5" ht="34.5" customHeight="1" thickBot="1">
      <c r="A577" s="142" t="s">
        <v>11</v>
      </c>
      <c r="B577" s="143"/>
      <c r="C577" s="165" t="s">
        <v>591</v>
      </c>
      <c r="D577" s="143"/>
      <c r="E577" s="44"/>
    </row>
    <row r="578" spans="1:5" ht="34.5" customHeight="1" thickBot="1">
      <c r="A578" s="137" t="s">
        <v>639</v>
      </c>
      <c r="B578" s="138"/>
      <c r="C578" s="138"/>
      <c r="D578" s="139"/>
      <c r="E578" s="43"/>
    </row>
    <row r="579" spans="1:5" ht="34.5" customHeight="1" thickBot="1">
      <c r="A579" s="34" t="s">
        <v>487</v>
      </c>
      <c r="B579" s="32" t="s">
        <v>438</v>
      </c>
      <c r="C579" s="34">
        <v>19</v>
      </c>
      <c r="D579" s="32" t="s">
        <v>0</v>
      </c>
      <c r="E579" s="43"/>
    </row>
    <row r="580" spans="1:5" ht="34.5" customHeight="1" thickBot="1">
      <c r="A580" s="37" t="s">
        <v>673</v>
      </c>
      <c r="B580" s="36" t="s">
        <v>1</v>
      </c>
      <c r="C580" s="34" t="s">
        <v>674</v>
      </c>
      <c r="D580" s="32" t="s">
        <v>2</v>
      </c>
      <c r="E580" s="42"/>
    </row>
    <row r="581" spans="1:5" ht="34.5" customHeight="1" thickBot="1">
      <c r="A581" s="140">
        <v>255</v>
      </c>
      <c r="B581" s="141"/>
      <c r="C581" s="142" t="s">
        <v>3</v>
      </c>
      <c r="D581" s="143"/>
      <c r="E581" s="41"/>
    </row>
    <row r="582" spans="1:5" ht="34.5" customHeight="1" thickBot="1">
      <c r="A582" s="140">
        <v>312</v>
      </c>
      <c r="B582" s="141"/>
      <c r="C582" s="144" t="s">
        <v>4</v>
      </c>
      <c r="D582" s="145"/>
      <c r="E582" s="41"/>
    </row>
    <row r="583" spans="1:5" ht="34.5" customHeight="1" thickBot="1">
      <c r="A583" s="146">
        <f>A582-A581</f>
        <v>57</v>
      </c>
      <c r="B583" s="147"/>
      <c r="C583" s="148"/>
      <c r="D583" s="35" t="s">
        <v>5</v>
      </c>
      <c r="E583" s="41"/>
    </row>
    <row r="584" spans="1:5" ht="34.5" customHeight="1" thickBot="1">
      <c r="A584" s="149">
        <v>23</v>
      </c>
      <c r="B584" s="150"/>
      <c r="C584" s="151"/>
      <c r="D584" s="35" t="s">
        <v>6</v>
      </c>
      <c r="E584" s="41"/>
    </row>
    <row r="585" spans="1:5" ht="34.5" customHeight="1" thickBot="1">
      <c r="A585" s="144">
        <f>A584*A583</f>
        <v>1311</v>
      </c>
      <c r="B585" s="152"/>
      <c r="C585" s="145"/>
      <c r="D585" s="35" t="s">
        <v>7</v>
      </c>
      <c r="E585" s="41"/>
    </row>
    <row r="586" spans="1:5" ht="34.5" customHeight="1" thickBot="1">
      <c r="A586" s="144">
        <v>0</v>
      </c>
      <c r="B586" s="152"/>
      <c r="C586" s="145"/>
      <c r="D586" s="35" t="s">
        <v>437</v>
      </c>
      <c r="E586" s="41"/>
    </row>
    <row r="587" spans="1:5" ht="34.5" customHeight="1" thickBot="1">
      <c r="A587" s="34">
        <v>0</v>
      </c>
      <c r="B587" s="32" t="s">
        <v>8</v>
      </c>
      <c r="C587" s="33">
        <v>1310</v>
      </c>
      <c r="D587" s="32" t="s">
        <v>9</v>
      </c>
      <c r="E587" s="41"/>
    </row>
    <row r="588" spans="1:5" ht="34.5" customHeight="1" thickBot="1">
      <c r="A588" s="153" t="s">
        <v>436</v>
      </c>
      <c r="B588" s="154"/>
      <c r="C588" s="154"/>
      <c r="D588" s="155"/>
      <c r="E588" s="41"/>
    </row>
    <row r="589" spans="1:5" ht="34.5" customHeight="1" thickBot="1">
      <c r="A589" s="156" t="s">
        <v>435</v>
      </c>
      <c r="B589" s="157"/>
      <c r="C589" s="157"/>
      <c r="D589" s="158"/>
      <c r="E589" s="41"/>
    </row>
    <row r="590" spans="1:5" ht="34.5" customHeight="1">
      <c r="A590" s="159" t="s">
        <v>442</v>
      </c>
      <c r="B590" s="160" t="s">
        <v>441</v>
      </c>
      <c r="C590" s="160"/>
      <c r="D590" s="161"/>
      <c r="E590" s="41"/>
    </row>
    <row r="591" spans="1:5" ht="34.5" customHeight="1" thickBot="1">
      <c r="A591" s="162"/>
      <c r="B591" s="163"/>
      <c r="C591" s="163"/>
      <c r="D591" s="164"/>
      <c r="E591" s="44"/>
    </row>
    <row r="592" spans="1:5" ht="34.5" customHeight="1" thickBot="1">
      <c r="A592" s="142" t="s">
        <v>11</v>
      </c>
      <c r="B592" s="143"/>
      <c r="C592" s="165" t="s">
        <v>591</v>
      </c>
      <c r="D592" s="143"/>
      <c r="E592" s="44"/>
    </row>
    <row r="593" spans="1:5" ht="34.5" customHeight="1" thickBot="1">
      <c r="A593" s="137" t="s">
        <v>524</v>
      </c>
      <c r="B593" s="138"/>
      <c r="C593" s="138"/>
      <c r="D593" s="139"/>
      <c r="E593" s="43"/>
    </row>
    <row r="594" spans="1:5" ht="34.5" customHeight="1" thickBot="1">
      <c r="A594" s="34" t="s">
        <v>487</v>
      </c>
      <c r="B594" s="32" t="s">
        <v>438</v>
      </c>
      <c r="C594" s="34">
        <v>20</v>
      </c>
      <c r="D594" s="32" t="s">
        <v>0</v>
      </c>
      <c r="E594" s="43"/>
    </row>
    <row r="595" spans="1:5" ht="34.5" customHeight="1" thickBot="1">
      <c r="A595" s="37" t="s">
        <v>673</v>
      </c>
      <c r="B595" s="36" t="s">
        <v>1</v>
      </c>
      <c r="C595" s="34" t="s">
        <v>674</v>
      </c>
      <c r="D595" s="32" t="s">
        <v>2</v>
      </c>
      <c r="E595" s="42"/>
    </row>
    <row r="596" spans="1:5" ht="34.5" customHeight="1" thickBot="1">
      <c r="A596" s="140">
        <v>805</v>
      </c>
      <c r="B596" s="141"/>
      <c r="C596" s="142" t="s">
        <v>3</v>
      </c>
      <c r="D596" s="143"/>
      <c r="E596" s="41"/>
    </row>
    <row r="597" spans="1:5" ht="34.5" customHeight="1" thickBot="1">
      <c r="A597" s="140">
        <v>805</v>
      </c>
      <c r="B597" s="141"/>
      <c r="C597" s="144" t="s">
        <v>4</v>
      </c>
      <c r="D597" s="145"/>
      <c r="E597" s="41"/>
    </row>
    <row r="598" spans="1:5" ht="34.5" customHeight="1" thickBot="1">
      <c r="A598" s="146">
        <f>A597-A596</f>
        <v>0</v>
      </c>
      <c r="B598" s="147"/>
      <c r="C598" s="148"/>
      <c r="D598" s="35" t="s">
        <v>5</v>
      </c>
      <c r="E598" s="41"/>
    </row>
    <row r="599" spans="1:5" ht="34.5" customHeight="1" thickBot="1">
      <c r="A599" s="149">
        <v>23</v>
      </c>
      <c r="B599" s="150"/>
      <c r="C599" s="151"/>
      <c r="D599" s="35" t="s">
        <v>6</v>
      </c>
      <c r="E599" s="41"/>
    </row>
    <row r="600" spans="1:5" ht="34.5" customHeight="1" thickBot="1">
      <c r="A600" s="144">
        <f>A599*A598</f>
        <v>0</v>
      </c>
      <c r="B600" s="152"/>
      <c r="C600" s="145"/>
      <c r="D600" s="35" t="s">
        <v>7</v>
      </c>
      <c r="E600" s="41"/>
    </row>
    <row r="601" spans="1:5" ht="34.5" customHeight="1" thickBot="1">
      <c r="A601" s="144">
        <v>0</v>
      </c>
      <c r="B601" s="152"/>
      <c r="C601" s="145"/>
      <c r="D601" s="35" t="s">
        <v>437</v>
      </c>
      <c r="E601" s="41"/>
    </row>
    <row r="602" spans="1:5" ht="34.5" customHeight="1" thickBot="1">
      <c r="A602" s="34">
        <v>0</v>
      </c>
      <c r="B602" s="32" t="s">
        <v>8</v>
      </c>
      <c r="C602" s="33">
        <v>2750</v>
      </c>
      <c r="D602" s="32" t="s">
        <v>9</v>
      </c>
      <c r="E602" s="41"/>
    </row>
    <row r="603" spans="1:5" ht="34.5" customHeight="1" thickBot="1">
      <c r="A603" s="153" t="s">
        <v>436</v>
      </c>
      <c r="B603" s="154"/>
      <c r="C603" s="154"/>
      <c r="D603" s="155"/>
      <c r="E603" s="41"/>
    </row>
    <row r="604" spans="1:5" ht="34.5" customHeight="1" thickBot="1">
      <c r="A604" s="156" t="s">
        <v>435</v>
      </c>
      <c r="B604" s="157"/>
      <c r="C604" s="157"/>
      <c r="D604" s="158"/>
      <c r="E604" s="41"/>
    </row>
    <row r="605" spans="1:5" ht="34.5" customHeight="1" thickBot="1">
      <c r="A605" s="40"/>
      <c r="B605" s="39"/>
      <c r="C605" s="39"/>
      <c r="D605" s="38"/>
      <c r="E605" s="41"/>
    </row>
    <row r="606" spans="1:5" ht="34.5" customHeight="1">
      <c r="A606" s="159" t="s">
        <v>442</v>
      </c>
      <c r="B606" s="160" t="s">
        <v>441</v>
      </c>
      <c r="C606" s="160"/>
      <c r="D606" s="161"/>
      <c r="E606" s="41"/>
    </row>
    <row r="607" spans="1:5" ht="34.5" customHeight="1" thickBot="1">
      <c r="A607" s="162"/>
      <c r="B607" s="163"/>
      <c r="C607" s="163"/>
      <c r="D607" s="164"/>
      <c r="E607" s="44"/>
    </row>
    <row r="608" spans="1:5" ht="34.5" customHeight="1" thickBot="1">
      <c r="A608" s="142" t="s">
        <v>11</v>
      </c>
      <c r="B608" s="143"/>
      <c r="C608" s="165" t="s">
        <v>591</v>
      </c>
      <c r="D608" s="143"/>
      <c r="E608" s="44"/>
    </row>
    <row r="609" spans="1:5" ht="34.5" customHeight="1" thickBot="1">
      <c r="A609" s="137" t="s">
        <v>524</v>
      </c>
      <c r="B609" s="138"/>
      <c r="C609" s="138"/>
      <c r="D609" s="139"/>
      <c r="E609" s="43"/>
    </row>
    <row r="610" spans="1:5" ht="34.5" customHeight="1" thickBot="1">
      <c r="A610" s="34" t="s">
        <v>487</v>
      </c>
      <c r="B610" s="32" t="s">
        <v>438</v>
      </c>
      <c r="C610" s="34">
        <v>20</v>
      </c>
      <c r="D610" s="32" t="s">
        <v>0</v>
      </c>
      <c r="E610" s="43"/>
    </row>
    <row r="611" spans="1:5" ht="34.5" customHeight="1" thickBot="1">
      <c r="A611" s="37" t="s">
        <v>673</v>
      </c>
      <c r="B611" s="36" t="s">
        <v>1</v>
      </c>
      <c r="C611" s="34" t="s">
        <v>674</v>
      </c>
      <c r="D611" s="32" t="s">
        <v>2</v>
      </c>
      <c r="E611" s="42"/>
    </row>
    <row r="612" spans="1:5" ht="34.5" customHeight="1" thickBot="1">
      <c r="A612" s="140">
        <v>685</v>
      </c>
      <c r="B612" s="141"/>
      <c r="C612" s="142" t="s">
        <v>3</v>
      </c>
      <c r="D612" s="143"/>
      <c r="E612" s="41"/>
    </row>
    <row r="613" spans="1:5" ht="34.5" customHeight="1" thickBot="1">
      <c r="A613" s="140">
        <v>805</v>
      </c>
      <c r="B613" s="141"/>
      <c r="C613" s="144" t="s">
        <v>4</v>
      </c>
      <c r="D613" s="145"/>
      <c r="E613" s="41"/>
    </row>
    <row r="614" spans="1:5" ht="34.5" customHeight="1" thickBot="1">
      <c r="A614" s="146">
        <f>A613-A612</f>
        <v>120</v>
      </c>
      <c r="B614" s="147"/>
      <c r="C614" s="148"/>
      <c r="D614" s="35" t="s">
        <v>5</v>
      </c>
      <c r="E614" s="41"/>
    </row>
    <row r="615" spans="1:5" ht="34.5" customHeight="1" thickBot="1">
      <c r="A615" s="149">
        <v>23</v>
      </c>
      <c r="B615" s="150"/>
      <c r="C615" s="151"/>
      <c r="D615" s="35" t="s">
        <v>6</v>
      </c>
      <c r="E615" s="41"/>
    </row>
    <row r="616" spans="1:5" ht="34.5" customHeight="1" thickBot="1">
      <c r="A616" s="144">
        <f>A615*A614</f>
        <v>2760</v>
      </c>
      <c r="B616" s="152"/>
      <c r="C616" s="145"/>
      <c r="D616" s="35" t="s">
        <v>7</v>
      </c>
      <c r="E616" s="41"/>
    </row>
    <row r="617" spans="1:5" ht="34.5" customHeight="1" thickBot="1">
      <c r="A617" s="144">
        <v>0</v>
      </c>
      <c r="B617" s="152"/>
      <c r="C617" s="145"/>
      <c r="D617" s="35" t="s">
        <v>437</v>
      </c>
      <c r="E617" s="41"/>
    </row>
    <row r="618" spans="1:5" ht="34.5" customHeight="1" thickBot="1">
      <c r="A618" s="34">
        <v>0</v>
      </c>
      <c r="B618" s="32" t="s">
        <v>8</v>
      </c>
      <c r="C618" s="33">
        <v>2750</v>
      </c>
      <c r="D618" s="32" t="s">
        <v>9</v>
      </c>
      <c r="E618" s="41"/>
    </row>
    <row r="619" spans="1:5" ht="34.5" customHeight="1" thickBot="1">
      <c r="A619" s="153" t="s">
        <v>436</v>
      </c>
      <c r="B619" s="154"/>
      <c r="C619" s="154"/>
      <c r="D619" s="155"/>
      <c r="E619" s="41"/>
    </row>
    <row r="620" spans="1:5" ht="34.5" customHeight="1" thickBot="1">
      <c r="A620" s="156" t="s">
        <v>435</v>
      </c>
      <c r="B620" s="157"/>
      <c r="C620" s="157"/>
      <c r="D620" s="158"/>
      <c r="E620" s="41"/>
    </row>
    <row r="621" spans="1:5" ht="34.5" customHeight="1">
      <c r="A621" s="159" t="s">
        <v>442</v>
      </c>
      <c r="B621" s="160" t="s">
        <v>441</v>
      </c>
      <c r="C621" s="160"/>
      <c r="D621" s="161"/>
      <c r="E621" s="41"/>
    </row>
    <row r="622" spans="1:5" ht="34.5" customHeight="1" thickBot="1">
      <c r="A622" s="162"/>
      <c r="B622" s="163"/>
      <c r="C622" s="163"/>
      <c r="D622" s="164"/>
      <c r="E622" s="44"/>
    </row>
    <row r="623" spans="1:5" ht="34.5" customHeight="1" thickBot="1">
      <c r="A623" s="142" t="s">
        <v>11</v>
      </c>
      <c r="B623" s="143"/>
      <c r="C623" s="165" t="s">
        <v>591</v>
      </c>
      <c r="D623" s="143"/>
      <c r="E623" s="44"/>
    </row>
    <row r="624" spans="1:5" ht="34.5" customHeight="1" thickBot="1">
      <c r="A624" s="137" t="s">
        <v>593</v>
      </c>
      <c r="B624" s="138"/>
      <c r="C624" s="138"/>
      <c r="D624" s="139"/>
      <c r="E624" s="43"/>
    </row>
    <row r="625" spans="1:5" ht="34.5" customHeight="1" thickBot="1">
      <c r="A625" s="34" t="s">
        <v>487</v>
      </c>
      <c r="B625" s="32" t="s">
        <v>438</v>
      </c>
      <c r="C625" s="34">
        <v>21</v>
      </c>
      <c r="D625" s="32" t="s">
        <v>0</v>
      </c>
      <c r="E625" s="43"/>
    </row>
    <row r="626" spans="1:5" ht="34.5" customHeight="1" thickBot="1">
      <c r="A626" s="37" t="s">
        <v>673</v>
      </c>
      <c r="B626" s="36" t="s">
        <v>1</v>
      </c>
      <c r="C626" s="34" t="s">
        <v>674</v>
      </c>
      <c r="D626" s="32" t="s">
        <v>2</v>
      </c>
      <c r="E626" s="42"/>
    </row>
    <row r="627" spans="1:5" ht="34.5" customHeight="1" thickBot="1">
      <c r="A627" s="140">
        <v>177</v>
      </c>
      <c r="B627" s="141"/>
      <c r="C627" s="142" t="s">
        <v>3</v>
      </c>
      <c r="D627" s="143"/>
      <c r="E627" s="41"/>
    </row>
    <row r="628" spans="1:5" ht="34.5" customHeight="1" thickBot="1">
      <c r="A628" s="140">
        <v>177</v>
      </c>
      <c r="B628" s="141"/>
      <c r="C628" s="144" t="s">
        <v>4</v>
      </c>
      <c r="D628" s="145"/>
      <c r="E628" s="41"/>
    </row>
    <row r="629" spans="1:5" ht="34.5" customHeight="1" thickBot="1">
      <c r="A629" s="146">
        <f>A628-A627</f>
        <v>0</v>
      </c>
      <c r="B629" s="147"/>
      <c r="C629" s="148"/>
      <c r="D629" s="35" t="s">
        <v>5</v>
      </c>
      <c r="E629" s="41"/>
    </row>
    <row r="630" spans="1:5" ht="34.5" customHeight="1" thickBot="1">
      <c r="A630" s="149">
        <v>23</v>
      </c>
      <c r="B630" s="150"/>
      <c r="C630" s="151"/>
      <c r="D630" s="35" t="s">
        <v>6</v>
      </c>
      <c r="E630" s="41"/>
    </row>
    <row r="631" spans="1:5" ht="34.5" customHeight="1" thickBot="1">
      <c r="A631" s="144">
        <f>A630*A629</f>
        <v>0</v>
      </c>
      <c r="B631" s="152"/>
      <c r="C631" s="145"/>
      <c r="D631" s="35" t="s">
        <v>7</v>
      </c>
      <c r="E631" s="41"/>
    </row>
    <row r="632" spans="1:5" ht="34.5" customHeight="1" thickBot="1">
      <c r="A632" s="144">
        <v>0</v>
      </c>
      <c r="B632" s="152"/>
      <c r="C632" s="145"/>
      <c r="D632" s="35" t="s">
        <v>437</v>
      </c>
      <c r="E632" s="41"/>
    </row>
    <row r="633" spans="1:5" ht="34.5" customHeight="1" thickBot="1">
      <c r="A633" s="34">
        <v>0</v>
      </c>
      <c r="B633" s="32" t="s">
        <v>8</v>
      </c>
      <c r="C633" s="33">
        <v>620</v>
      </c>
      <c r="D633" s="32" t="s">
        <v>9</v>
      </c>
      <c r="E633" s="41"/>
    </row>
    <row r="634" spans="1:5" ht="34.5" customHeight="1" thickBot="1">
      <c r="A634" s="153" t="s">
        <v>436</v>
      </c>
      <c r="B634" s="154"/>
      <c r="C634" s="154"/>
      <c r="D634" s="155"/>
      <c r="E634" s="41"/>
    </row>
    <row r="635" spans="1:5" ht="34.5" customHeight="1" thickBot="1">
      <c r="A635" s="156" t="s">
        <v>435</v>
      </c>
      <c r="B635" s="157"/>
      <c r="C635" s="157"/>
      <c r="D635" s="158"/>
      <c r="E635" s="41"/>
    </row>
    <row r="636" spans="1:5" ht="34.5" customHeight="1" thickBot="1">
      <c r="A636" s="40"/>
      <c r="B636" s="39"/>
      <c r="C636" s="39"/>
      <c r="D636" s="38"/>
      <c r="E636" s="41"/>
    </row>
    <row r="637" spans="1:5" ht="34.5" customHeight="1">
      <c r="A637" s="159" t="s">
        <v>442</v>
      </c>
      <c r="B637" s="160" t="s">
        <v>441</v>
      </c>
      <c r="C637" s="160"/>
      <c r="D637" s="161"/>
      <c r="E637" s="41"/>
    </row>
    <row r="638" spans="1:5" ht="34.5" customHeight="1" thickBot="1">
      <c r="A638" s="162"/>
      <c r="B638" s="163"/>
      <c r="C638" s="163"/>
      <c r="D638" s="164"/>
      <c r="E638" s="44"/>
    </row>
    <row r="639" spans="1:5" ht="34.5" customHeight="1" thickBot="1">
      <c r="A639" s="142" t="s">
        <v>11</v>
      </c>
      <c r="B639" s="143"/>
      <c r="C639" s="165" t="s">
        <v>591</v>
      </c>
      <c r="D639" s="143"/>
      <c r="E639" s="44"/>
    </row>
    <row r="640" spans="1:5" ht="34.5" customHeight="1" thickBot="1">
      <c r="A640" s="137" t="s">
        <v>593</v>
      </c>
      <c r="B640" s="138"/>
      <c r="C640" s="138"/>
      <c r="D640" s="139"/>
      <c r="E640" s="43"/>
    </row>
    <row r="641" spans="1:5" ht="34.5" customHeight="1" thickBot="1">
      <c r="A641" s="34" t="s">
        <v>487</v>
      </c>
      <c r="B641" s="32" t="s">
        <v>438</v>
      </c>
      <c r="C641" s="34">
        <v>21</v>
      </c>
      <c r="D641" s="32" t="s">
        <v>0</v>
      </c>
      <c r="E641" s="43"/>
    </row>
    <row r="642" spans="1:5" ht="34.5" customHeight="1" thickBot="1">
      <c r="A642" s="37" t="s">
        <v>673</v>
      </c>
      <c r="B642" s="36" t="s">
        <v>1</v>
      </c>
      <c r="C642" s="34" t="s">
        <v>674</v>
      </c>
      <c r="D642" s="32" t="s">
        <v>2</v>
      </c>
      <c r="E642" s="42"/>
    </row>
    <row r="643" spans="1:5" ht="34.5" customHeight="1" thickBot="1">
      <c r="A643" s="140">
        <v>150</v>
      </c>
      <c r="B643" s="141"/>
      <c r="C643" s="142" t="s">
        <v>3</v>
      </c>
      <c r="D643" s="143"/>
      <c r="E643" s="41"/>
    </row>
    <row r="644" spans="1:5" ht="34.5" customHeight="1" thickBot="1">
      <c r="A644" s="140">
        <v>177</v>
      </c>
      <c r="B644" s="141"/>
      <c r="C644" s="144" t="s">
        <v>4</v>
      </c>
      <c r="D644" s="145"/>
      <c r="E644" s="41"/>
    </row>
    <row r="645" spans="1:5" ht="34.5" customHeight="1" thickBot="1">
      <c r="A645" s="146">
        <f>A644-A643</f>
        <v>27</v>
      </c>
      <c r="B645" s="147"/>
      <c r="C645" s="148"/>
      <c r="D645" s="35" t="s">
        <v>5</v>
      </c>
      <c r="E645" s="41"/>
    </row>
    <row r="646" spans="1:5" ht="34.5" customHeight="1" thickBot="1">
      <c r="A646" s="149">
        <v>23</v>
      </c>
      <c r="B646" s="150"/>
      <c r="C646" s="151"/>
      <c r="D646" s="35" t="s">
        <v>6</v>
      </c>
      <c r="E646" s="41"/>
    </row>
    <row r="647" spans="1:5" ht="34.5" customHeight="1" thickBot="1">
      <c r="A647" s="144">
        <f>A646*A645</f>
        <v>621</v>
      </c>
      <c r="B647" s="152"/>
      <c r="C647" s="145"/>
      <c r="D647" s="35" t="s">
        <v>7</v>
      </c>
      <c r="E647" s="41"/>
    </row>
    <row r="648" spans="1:5" ht="34.5" customHeight="1" thickBot="1">
      <c r="A648" s="144">
        <v>0</v>
      </c>
      <c r="B648" s="152"/>
      <c r="C648" s="145"/>
      <c r="D648" s="35" t="s">
        <v>437</v>
      </c>
      <c r="E648" s="41"/>
    </row>
    <row r="649" spans="1:5" ht="34.5" customHeight="1" thickBot="1">
      <c r="A649" s="34">
        <v>0</v>
      </c>
      <c r="B649" s="32" t="s">
        <v>8</v>
      </c>
      <c r="C649" s="33">
        <v>620</v>
      </c>
      <c r="D649" s="32" t="s">
        <v>9</v>
      </c>
      <c r="E649" s="41"/>
    </row>
    <row r="650" spans="1:5" ht="34.5" customHeight="1" thickBot="1">
      <c r="A650" s="153" t="s">
        <v>436</v>
      </c>
      <c r="B650" s="154"/>
      <c r="C650" s="154"/>
      <c r="D650" s="155"/>
      <c r="E650" s="41"/>
    </row>
    <row r="651" spans="1:5" ht="34.5" customHeight="1" thickBot="1">
      <c r="A651" s="156" t="s">
        <v>435</v>
      </c>
      <c r="B651" s="157"/>
      <c r="C651" s="157"/>
      <c r="D651" s="158"/>
      <c r="E651" s="41"/>
    </row>
    <row r="652" spans="1:5" ht="34.5" customHeight="1">
      <c r="A652" s="159" t="s">
        <v>442</v>
      </c>
      <c r="B652" s="160" t="s">
        <v>441</v>
      </c>
      <c r="C652" s="160"/>
      <c r="D652" s="161"/>
      <c r="E652" s="41"/>
    </row>
    <row r="653" spans="1:5" ht="34.5" customHeight="1" thickBot="1">
      <c r="A653" s="162"/>
      <c r="B653" s="163"/>
      <c r="C653" s="163"/>
      <c r="D653" s="164"/>
      <c r="E653" s="44"/>
    </row>
    <row r="654" spans="1:5" ht="34.5" customHeight="1" thickBot="1">
      <c r="A654" s="142" t="s">
        <v>11</v>
      </c>
      <c r="B654" s="143"/>
      <c r="C654" s="165" t="s">
        <v>591</v>
      </c>
      <c r="D654" s="143"/>
      <c r="E654" s="44"/>
    </row>
    <row r="655" spans="1:5" ht="34.5" customHeight="1" thickBot="1">
      <c r="A655" s="137" t="s">
        <v>61</v>
      </c>
      <c r="B655" s="138"/>
      <c r="C655" s="138"/>
      <c r="D655" s="139"/>
      <c r="E655" s="43"/>
    </row>
    <row r="656" spans="1:5" ht="34.5" customHeight="1" thickBot="1">
      <c r="A656" s="34" t="s">
        <v>487</v>
      </c>
      <c r="B656" s="32" t="s">
        <v>438</v>
      </c>
      <c r="C656" s="34">
        <v>22</v>
      </c>
      <c r="D656" s="32" t="s">
        <v>0</v>
      </c>
      <c r="E656" s="43"/>
    </row>
    <row r="657" spans="1:5" ht="34.5" customHeight="1" thickBot="1">
      <c r="A657" s="37" t="s">
        <v>673</v>
      </c>
      <c r="B657" s="36" t="s">
        <v>1</v>
      </c>
      <c r="C657" s="34" t="s">
        <v>674</v>
      </c>
      <c r="D657" s="32" t="s">
        <v>2</v>
      </c>
      <c r="E657" s="42"/>
    </row>
    <row r="658" spans="1:5" ht="34.5" customHeight="1" thickBot="1">
      <c r="A658" s="140">
        <v>525</v>
      </c>
      <c r="B658" s="141"/>
      <c r="C658" s="142" t="s">
        <v>3</v>
      </c>
      <c r="D658" s="143"/>
      <c r="E658" s="41"/>
    </row>
    <row r="659" spans="1:5" ht="34.5" customHeight="1" thickBot="1">
      <c r="A659" s="140">
        <v>525</v>
      </c>
      <c r="B659" s="141"/>
      <c r="C659" s="144" t="s">
        <v>4</v>
      </c>
      <c r="D659" s="145"/>
      <c r="E659" s="41"/>
    </row>
    <row r="660" spans="1:5" ht="34.5" customHeight="1" thickBot="1">
      <c r="A660" s="146">
        <f>A659-A658</f>
        <v>0</v>
      </c>
      <c r="B660" s="147"/>
      <c r="C660" s="148"/>
      <c r="D660" s="35" t="s">
        <v>5</v>
      </c>
      <c r="E660" s="41"/>
    </row>
    <row r="661" spans="1:5" ht="34.5" customHeight="1" thickBot="1">
      <c r="A661" s="149">
        <v>23</v>
      </c>
      <c r="B661" s="150"/>
      <c r="C661" s="151"/>
      <c r="D661" s="35" t="s">
        <v>6</v>
      </c>
      <c r="E661" s="41"/>
    </row>
    <row r="662" spans="1:5" ht="34.5" customHeight="1" thickBot="1">
      <c r="A662" s="144">
        <f>A661*A660</f>
        <v>0</v>
      </c>
      <c r="B662" s="152"/>
      <c r="C662" s="145"/>
      <c r="D662" s="35" t="s">
        <v>7</v>
      </c>
      <c r="E662" s="41"/>
    </row>
    <row r="663" spans="1:5" ht="34.5" customHeight="1" thickBot="1">
      <c r="A663" s="144">
        <v>0</v>
      </c>
      <c r="B663" s="152"/>
      <c r="C663" s="145"/>
      <c r="D663" s="35" t="s">
        <v>437</v>
      </c>
      <c r="E663" s="41"/>
    </row>
    <row r="664" spans="1:5" ht="34.5" customHeight="1" thickBot="1">
      <c r="A664" s="34">
        <v>0</v>
      </c>
      <c r="B664" s="32" t="s">
        <v>8</v>
      </c>
      <c r="C664" s="33">
        <v>1730</v>
      </c>
      <c r="D664" s="32" t="s">
        <v>9</v>
      </c>
      <c r="E664" s="41"/>
    </row>
    <row r="665" spans="1:5" ht="34.5" customHeight="1" thickBot="1">
      <c r="A665" s="153" t="s">
        <v>436</v>
      </c>
      <c r="B665" s="154"/>
      <c r="C665" s="154"/>
      <c r="D665" s="155"/>
      <c r="E665" s="41"/>
    </row>
    <row r="666" spans="1:5" ht="34.5" customHeight="1" thickBot="1">
      <c r="A666" s="156" t="s">
        <v>435</v>
      </c>
      <c r="B666" s="157"/>
      <c r="C666" s="157"/>
      <c r="D666" s="158"/>
      <c r="E666" s="41"/>
    </row>
    <row r="667" spans="1:5" ht="34.5" customHeight="1" thickBot="1">
      <c r="A667" s="40"/>
      <c r="B667" s="39"/>
      <c r="C667" s="39"/>
      <c r="D667" s="38"/>
      <c r="E667" s="41"/>
    </row>
    <row r="668" spans="1:5" ht="34.5" customHeight="1">
      <c r="A668" s="159" t="s">
        <v>442</v>
      </c>
      <c r="B668" s="160" t="s">
        <v>441</v>
      </c>
      <c r="C668" s="160"/>
      <c r="D668" s="161"/>
      <c r="E668" s="41"/>
    </row>
    <row r="669" spans="1:5" ht="34.5" customHeight="1" thickBot="1">
      <c r="A669" s="162"/>
      <c r="B669" s="163"/>
      <c r="C669" s="163"/>
      <c r="D669" s="164"/>
      <c r="E669" s="44"/>
    </row>
    <row r="670" spans="1:5" ht="34.5" customHeight="1" thickBot="1">
      <c r="A670" s="142" t="s">
        <v>11</v>
      </c>
      <c r="B670" s="143"/>
      <c r="C670" s="165" t="s">
        <v>591</v>
      </c>
      <c r="D670" s="143"/>
      <c r="E670" s="44"/>
    </row>
    <row r="671" spans="1:5" ht="34.5" customHeight="1" thickBot="1">
      <c r="A671" s="137" t="s">
        <v>61</v>
      </c>
      <c r="B671" s="138"/>
      <c r="C671" s="138"/>
      <c r="D671" s="139"/>
      <c r="E671" s="43"/>
    </row>
    <row r="672" spans="1:5" ht="34.5" customHeight="1" thickBot="1">
      <c r="A672" s="34" t="s">
        <v>487</v>
      </c>
      <c r="B672" s="32" t="s">
        <v>438</v>
      </c>
      <c r="C672" s="34">
        <v>22</v>
      </c>
      <c r="D672" s="32" t="s">
        <v>0</v>
      </c>
      <c r="E672" s="43"/>
    </row>
    <row r="673" spans="1:5" ht="34.5" customHeight="1" thickBot="1">
      <c r="A673" s="37" t="s">
        <v>673</v>
      </c>
      <c r="B673" s="36" t="s">
        <v>1</v>
      </c>
      <c r="C673" s="34" t="s">
        <v>674</v>
      </c>
      <c r="D673" s="32" t="s">
        <v>2</v>
      </c>
      <c r="E673" s="42"/>
    </row>
    <row r="674" spans="1:5" ht="34.5" customHeight="1" thickBot="1">
      <c r="A674" s="140">
        <v>450</v>
      </c>
      <c r="B674" s="141"/>
      <c r="C674" s="142" t="s">
        <v>3</v>
      </c>
      <c r="D674" s="143"/>
      <c r="E674" s="41"/>
    </row>
    <row r="675" spans="1:5" ht="34.5" customHeight="1" thickBot="1">
      <c r="A675" s="140">
        <v>525</v>
      </c>
      <c r="B675" s="141"/>
      <c r="C675" s="144" t="s">
        <v>4</v>
      </c>
      <c r="D675" s="145"/>
      <c r="E675" s="41"/>
    </row>
    <row r="676" spans="1:5" ht="34.5" customHeight="1" thickBot="1">
      <c r="A676" s="146">
        <f>A675-A674</f>
        <v>75</v>
      </c>
      <c r="B676" s="147"/>
      <c r="C676" s="148"/>
      <c r="D676" s="35" t="s">
        <v>5</v>
      </c>
      <c r="E676" s="41"/>
    </row>
    <row r="677" spans="1:5" ht="34.5" customHeight="1" thickBot="1">
      <c r="A677" s="149">
        <v>23</v>
      </c>
      <c r="B677" s="150"/>
      <c r="C677" s="151"/>
      <c r="D677" s="35" t="s">
        <v>6</v>
      </c>
      <c r="E677" s="41"/>
    </row>
    <row r="678" spans="1:5" ht="34.5" customHeight="1" thickBot="1">
      <c r="A678" s="144">
        <f>A677*A676</f>
        <v>1725</v>
      </c>
      <c r="B678" s="152"/>
      <c r="C678" s="145"/>
      <c r="D678" s="35" t="s">
        <v>7</v>
      </c>
      <c r="E678" s="41"/>
    </row>
    <row r="679" spans="1:5" ht="34.5" customHeight="1" thickBot="1">
      <c r="A679" s="144">
        <v>0</v>
      </c>
      <c r="B679" s="152"/>
      <c r="C679" s="145"/>
      <c r="D679" s="35" t="s">
        <v>437</v>
      </c>
      <c r="E679" s="41"/>
    </row>
    <row r="680" spans="1:5" ht="34.5" customHeight="1" thickBot="1">
      <c r="A680" s="34">
        <v>0</v>
      </c>
      <c r="B680" s="32" t="s">
        <v>8</v>
      </c>
      <c r="C680" s="33">
        <v>1730</v>
      </c>
      <c r="D680" s="32" t="s">
        <v>9</v>
      </c>
      <c r="E680" s="41"/>
    </row>
    <row r="681" spans="1:5" ht="34.5" customHeight="1" thickBot="1">
      <c r="A681" s="153" t="s">
        <v>436</v>
      </c>
      <c r="B681" s="154"/>
      <c r="C681" s="154"/>
      <c r="D681" s="155"/>
      <c r="E681" s="41"/>
    </row>
    <row r="682" spans="1:5" ht="34.5" customHeight="1" thickBot="1">
      <c r="A682" s="156" t="s">
        <v>435</v>
      </c>
      <c r="B682" s="157"/>
      <c r="C682" s="157"/>
      <c r="D682" s="158"/>
      <c r="E682" s="41"/>
    </row>
    <row r="683" spans="1:5" ht="34.5" customHeight="1">
      <c r="A683" s="159" t="s">
        <v>442</v>
      </c>
      <c r="B683" s="160" t="s">
        <v>441</v>
      </c>
      <c r="C683" s="160"/>
      <c r="D683" s="161"/>
      <c r="E683" s="41"/>
    </row>
    <row r="684" spans="1:5" ht="34.5" customHeight="1" thickBot="1">
      <c r="A684" s="162"/>
      <c r="B684" s="163"/>
      <c r="C684" s="163"/>
      <c r="D684" s="164"/>
      <c r="E684" s="44"/>
    </row>
    <row r="685" spans="1:5" ht="34.5" customHeight="1" thickBot="1">
      <c r="A685" s="142" t="s">
        <v>11</v>
      </c>
      <c r="B685" s="143"/>
      <c r="C685" s="165" t="s">
        <v>591</v>
      </c>
      <c r="D685" s="143"/>
      <c r="E685" s="44"/>
    </row>
    <row r="686" spans="1:5" ht="34.5" customHeight="1" thickBot="1">
      <c r="A686" s="137" t="s">
        <v>526</v>
      </c>
      <c r="B686" s="138"/>
      <c r="C686" s="138"/>
      <c r="D686" s="139"/>
      <c r="E686" s="43"/>
    </row>
    <row r="687" spans="1:5" ht="34.5" customHeight="1" thickBot="1">
      <c r="A687" s="34" t="s">
        <v>487</v>
      </c>
      <c r="B687" s="32" t="s">
        <v>438</v>
      </c>
      <c r="C687" s="34">
        <v>23</v>
      </c>
      <c r="D687" s="32" t="s">
        <v>0</v>
      </c>
      <c r="E687" s="43"/>
    </row>
    <row r="688" spans="1:5" ht="34.5" customHeight="1" thickBot="1">
      <c r="A688" s="37" t="s">
        <v>673</v>
      </c>
      <c r="B688" s="36" t="s">
        <v>1</v>
      </c>
      <c r="C688" s="34" t="s">
        <v>674</v>
      </c>
      <c r="D688" s="32" t="s">
        <v>2</v>
      </c>
      <c r="E688" s="42"/>
    </row>
    <row r="689" spans="1:5" ht="34.5" customHeight="1" thickBot="1">
      <c r="A689" s="140">
        <v>666</v>
      </c>
      <c r="B689" s="141"/>
      <c r="C689" s="142" t="s">
        <v>3</v>
      </c>
      <c r="D689" s="143"/>
      <c r="E689" s="41"/>
    </row>
    <row r="690" spans="1:5" ht="34.5" customHeight="1" thickBot="1">
      <c r="A690" s="140">
        <v>666</v>
      </c>
      <c r="B690" s="141"/>
      <c r="C690" s="144" t="s">
        <v>4</v>
      </c>
      <c r="D690" s="145"/>
      <c r="E690" s="41"/>
    </row>
    <row r="691" spans="1:5" ht="34.5" customHeight="1" thickBot="1">
      <c r="A691" s="146">
        <f>A690-A689</f>
        <v>0</v>
      </c>
      <c r="B691" s="147"/>
      <c r="C691" s="148"/>
      <c r="D691" s="35" t="s">
        <v>5</v>
      </c>
      <c r="E691" s="41"/>
    </row>
    <row r="692" spans="1:5" ht="34.5" customHeight="1" thickBot="1">
      <c r="A692" s="149">
        <v>23</v>
      </c>
      <c r="B692" s="150"/>
      <c r="C692" s="151"/>
      <c r="D692" s="35" t="s">
        <v>6</v>
      </c>
      <c r="E692" s="41"/>
    </row>
    <row r="693" spans="1:5" ht="34.5" customHeight="1" thickBot="1">
      <c r="A693" s="144">
        <f>A692*A691</f>
        <v>0</v>
      </c>
      <c r="B693" s="152"/>
      <c r="C693" s="145"/>
      <c r="D693" s="35" t="s">
        <v>7</v>
      </c>
      <c r="E693" s="41"/>
    </row>
    <row r="694" spans="1:5" ht="34.5" customHeight="1" thickBot="1">
      <c r="A694" s="144">
        <v>0</v>
      </c>
      <c r="B694" s="152"/>
      <c r="C694" s="145"/>
      <c r="D694" s="35" t="s">
        <v>437</v>
      </c>
      <c r="E694" s="41"/>
    </row>
    <row r="695" spans="1:5" ht="34.5" customHeight="1" thickBot="1">
      <c r="A695" s="34">
        <v>0</v>
      </c>
      <c r="B695" s="32" t="s">
        <v>8</v>
      </c>
      <c r="C695" s="33">
        <v>2160</v>
      </c>
      <c r="D695" s="32" t="s">
        <v>9</v>
      </c>
      <c r="E695" s="41"/>
    </row>
    <row r="696" spans="1:5" ht="34.5" customHeight="1" thickBot="1">
      <c r="A696" s="153" t="s">
        <v>436</v>
      </c>
      <c r="B696" s="154"/>
      <c r="C696" s="154"/>
      <c r="D696" s="155"/>
      <c r="E696" s="41"/>
    </row>
    <row r="697" spans="1:5" ht="34.5" customHeight="1" thickBot="1">
      <c r="A697" s="156" t="s">
        <v>435</v>
      </c>
      <c r="B697" s="157"/>
      <c r="C697" s="157"/>
      <c r="D697" s="158"/>
      <c r="E697" s="41"/>
    </row>
    <row r="698" spans="1:5" ht="34.5" customHeight="1" thickBot="1">
      <c r="A698" s="40"/>
      <c r="B698" s="39"/>
      <c r="C698" s="39"/>
      <c r="D698" s="38"/>
      <c r="E698" s="41"/>
    </row>
    <row r="699" spans="1:5" ht="34.5" customHeight="1">
      <c r="A699" s="159" t="s">
        <v>442</v>
      </c>
      <c r="B699" s="160" t="s">
        <v>441</v>
      </c>
      <c r="C699" s="160"/>
      <c r="D699" s="161"/>
      <c r="E699" s="41"/>
    </row>
    <row r="700" spans="1:5" ht="34.5" customHeight="1" thickBot="1">
      <c r="A700" s="162"/>
      <c r="B700" s="163"/>
      <c r="C700" s="163"/>
      <c r="D700" s="164"/>
      <c r="E700" s="44"/>
    </row>
    <row r="701" spans="1:5" ht="34.5" customHeight="1" thickBot="1">
      <c r="A701" s="142" t="s">
        <v>11</v>
      </c>
      <c r="B701" s="143"/>
      <c r="C701" s="165" t="s">
        <v>591</v>
      </c>
      <c r="D701" s="143"/>
      <c r="E701" s="44"/>
    </row>
    <row r="702" spans="1:5" ht="34.5" customHeight="1" thickBot="1">
      <c r="A702" s="137" t="s">
        <v>526</v>
      </c>
      <c r="B702" s="138"/>
      <c r="C702" s="138"/>
      <c r="D702" s="139"/>
      <c r="E702" s="43"/>
    </row>
    <row r="703" spans="1:5" ht="34.5" customHeight="1" thickBot="1">
      <c r="A703" s="34" t="s">
        <v>487</v>
      </c>
      <c r="B703" s="32" t="s">
        <v>438</v>
      </c>
      <c r="C703" s="34">
        <v>23</v>
      </c>
      <c r="D703" s="32" t="s">
        <v>0</v>
      </c>
      <c r="E703" s="43"/>
    </row>
    <row r="704" spans="1:5" ht="34.5" customHeight="1" thickBot="1">
      <c r="A704" s="37" t="s">
        <v>673</v>
      </c>
      <c r="B704" s="36" t="s">
        <v>1</v>
      </c>
      <c r="C704" s="34" t="s">
        <v>674</v>
      </c>
      <c r="D704" s="32" t="s">
        <v>2</v>
      </c>
      <c r="E704" s="42"/>
    </row>
    <row r="705" spans="1:5" ht="34.5" customHeight="1" thickBot="1">
      <c r="A705" s="140">
        <v>572</v>
      </c>
      <c r="B705" s="141"/>
      <c r="C705" s="142" t="s">
        <v>3</v>
      </c>
      <c r="D705" s="143"/>
      <c r="E705" s="41"/>
    </row>
    <row r="706" spans="1:5" ht="34.5" customHeight="1" thickBot="1">
      <c r="A706" s="140">
        <v>666</v>
      </c>
      <c r="B706" s="141"/>
      <c r="C706" s="144" t="s">
        <v>4</v>
      </c>
      <c r="D706" s="145"/>
      <c r="E706" s="41"/>
    </row>
    <row r="707" spans="1:5" ht="34.5" customHeight="1" thickBot="1">
      <c r="A707" s="146">
        <f>A706-A705</f>
        <v>94</v>
      </c>
      <c r="B707" s="147"/>
      <c r="C707" s="148"/>
      <c r="D707" s="35" t="s">
        <v>5</v>
      </c>
      <c r="E707" s="41"/>
    </row>
    <row r="708" spans="1:5" ht="34.5" customHeight="1" thickBot="1">
      <c r="A708" s="149">
        <v>23</v>
      </c>
      <c r="B708" s="150"/>
      <c r="C708" s="151"/>
      <c r="D708" s="35" t="s">
        <v>6</v>
      </c>
      <c r="E708" s="41"/>
    </row>
    <row r="709" spans="1:5" ht="34.5" customHeight="1" thickBot="1">
      <c r="A709" s="144">
        <f>A708*A707</f>
        <v>2162</v>
      </c>
      <c r="B709" s="152"/>
      <c r="C709" s="145"/>
      <c r="D709" s="35" t="s">
        <v>7</v>
      </c>
      <c r="E709" s="41"/>
    </row>
    <row r="710" spans="1:5" ht="34.5" customHeight="1" thickBot="1">
      <c r="A710" s="144">
        <v>0</v>
      </c>
      <c r="B710" s="152"/>
      <c r="C710" s="145"/>
      <c r="D710" s="35" t="s">
        <v>437</v>
      </c>
      <c r="E710" s="41"/>
    </row>
    <row r="711" spans="1:5" ht="34.5" customHeight="1" thickBot="1">
      <c r="A711" s="34">
        <v>0</v>
      </c>
      <c r="B711" s="32" t="s">
        <v>8</v>
      </c>
      <c r="C711" s="33">
        <v>2160</v>
      </c>
      <c r="D711" s="32" t="s">
        <v>9</v>
      </c>
      <c r="E711" s="41"/>
    </row>
    <row r="712" spans="1:5" ht="34.5" customHeight="1" thickBot="1">
      <c r="A712" s="153" t="s">
        <v>436</v>
      </c>
      <c r="B712" s="154"/>
      <c r="C712" s="154"/>
      <c r="D712" s="155"/>
      <c r="E712" s="41"/>
    </row>
    <row r="713" spans="1:5" ht="34.5" customHeight="1" thickBot="1">
      <c r="A713" s="156" t="s">
        <v>435</v>
      </c>
      <c r="B713" s="157"/>
      <c r="C713" s="157"/>
      <c r="D713" s="158"/>
      <c r="E713" s="41"/>
    </row>
    <row r="714" spans="1:5" ht="34.5" customHeight="1">
      <c r="A714" s="159" t="s">
        <v>442</v>
      </c>
      <c r="B714" s="160" t="s">
        <v>441</v>
      </c>
      <c r="C714" s="160"/>
      <c r="D714" s="161"/>
      <c r="E714" s="44"/>
    </row>
    <row r="715" spans="1:5" ht="34.5" customHeight="1" thickBot="1">
      <c r="A715" s="162"/>
      <c r="B715" s="163"/>
      <c r="C715" s="163"/>
      <c r="D715" s="164"/>
      <c r="E715" s="44"/>
    </row>
    <row r="716" spans="1:5" ht="34.5" customHeight="1" thickBot="1">
      <c r="A716" s="142" t="s">
        <v>11</v>
      </c>
      <c r="B716" s="143"/>
      <c r="C716" s="165" t="s">
        <v>591</v>
      </c>
      <c r="D716" s="143"/>
      <c r="E716" s="43"/>
    </row>
    <row r="717" spans="1:5" ht="34.5" customHeight="1" thickBot="1">
      <c r="A717" s="137" t="s">
        <v>527</v>
      </c>
      <c r="B717" s="138"/>
      <c r="C717" s="138"/>
      <c r="D717" s="139"/>
      <c r="E717" s="43"/>
    </row>
    <row r="718" spans="1:5" ht="34.5" customHeight="1" thickBot="1">
      <c r="A718" s="34" t="s">
        <v>487</v>
      </c>
      <c r="B718" s="32" t="s">
        <v>438</v>
      </c>
      <c r="C718" s="34">
        <v>24</v>
      </c>
      <c r="D718" s="32" t="s">
        <v>0</v>
      </c>
      <c r="E718" s="42"/>
    </row>
    <row r="719" spans="1:5" ht="34.5" customHeight="1" thickBot="1">
      <c r="A719" s="37" t="s">
        <v>673</v>
      </c>
      <c r="B719" s="36" t="s">
        <v>1</v>
      </c>
      <c r="C719" s="34" t="s">
        <v>674</v>
      </c>
      <c r="D719" s="32" t="s">
        <v>2</v>
      </c>
      <c r="E719" s="41"/>
    </row>
    <row r="720" spans="1:5" ht="34.5" customHeight="1" thickBot="1">
      <c r="A720" s="140">
        <v>265</v>
      </c>
      <c r="B720" s="141"/>
      <c r="C720" s="142" t="s">
        <v>3</v>
      </c>
      <c r="D720" s="143"/>
      <c r="E720" s="41"/>
    </row>
    <row r="721" spans="1:5" ht="34.5" customHeight="1" thickBot="1">
      <c r="A721" s="140">
        <v>265</v>
      </c>
      <c r="B721" s="141"/>
      <c r="C721" s="144" t="s">
        <v>4</v>
      </c>
      <c r="D721" s="145"/>
      <c r="E721" s="41"/>
    </row>
    <row r="722" spans="1:5" ht="34.5" customHeight="1" thickBot="1">
      <c r="A722" s="146">
        <f>A721-A720</f>
        <v>0</v>
      </c>
      <c r="B722" s="147"/>
      <c r="C722" s="148"/>
      <c r="D722" s="35" t="s">
        <v>5</v>
      </c>
      <c r="E722" s="41"/>
    </row>
    <row r="723" spans="1:5" ht="34.5" customHeight="1" thickBot="1">
      <c r="A723" s="149">
        <v>23</v>
      </c>
      <c r="B723" s="150"/>
      <c r="C723" s="151"/>
      <c r="D723" s="35" t="s">
        <v>6</v>
      </c>
      <c r="E723" s="41"/>
    </row>
    <row r="724" spans="1:5" ht="34.5" customHeight="1" thickBot="1">
      <c r="A724" s="144">
        <f>A723*A722</f>
        <v>0</v>
      </c>
      <c r="B724" s="152"/>
      <c r="C724" s="145"/>
      <c r="D724" s="35" t="s">
        <v>7</v>
      </c>
      <c r="E724" s="41"/>
    </row>
    <row r="725" spans="1:5" ht="34.5" customHeight="1" thickBot="1">
      <c r="A725" s="144">
        <v>0</v>
      </c>
      <c r="B725" s="152"/>
      <c r="C725" s="145"/>
      <c r="D725" s="35" t="s">
        <v>437</v>
      </c>
      <c r="E725" s="41"/>
    </row>
    <row r="726" spans="1:5" ht="34.5" customHeight="1" thickBot="1">
      <c r="A726" s="34">
        <v>0</v>
      </c>
      <c r="B726" s="32" t="s">
        <v>8</v>
      </c>
      <c r="C726" s="33">
        <v>1380</v>
      </c>
      <c r="D726" s="32" t="s">
        <v>9</v>
      </c>
      <c r="E726" s="41"/>
    </row>
    <row r="727" spans="1:5" ht="34.5" customHeight="1" thickBot="1">
      <c r="A727" s="153" t="s">
        <v>436</v>
      </c>
      <c r="B727" s="154"/>
      <c r="C727" s="154"/>
      <c r="D727" s="155"/>
      <c r="E727" s="41"/>
    </row>
    <row r="728" spans="1:5" ht="34.5" customHeight="1" thickBot="1">
      <c r="A728" s="156" t="s">
        <v>435</v>
      </c>
      <c r="B728" s="157"/>
      <c r="C728" s="157"/>
      <c r="D728" s="158"/>
      <c r="E728" s="41"/>
    </row>
    <row r="729" spans="1:5" ht="34.5" customHeight="1" thickBot="1">
      <c r="A729" s="40"/>
      <c r="B729" s="39"/>
      <c r="C729" s="39"/>
      <c r="D729" s="38"/>
      <c r="E729" s="41"/>
    </row>
    <row r="730" spans="1:5" ht="34.5" customHeight="1">
      <c r="A730" s="159" t="s">
        <v>442</v>
      </c>
      <c r="B730" s="160" t="s">
        <v>441</v>
      </c>
      <c r="C730" s="160"/>
      <c r="D730" s="161"/>
      <c r="E730" s="44"/>
    </row>
    <row r="731" spans="1:5" ht="34.5" customHeight="1" thickBot="1">
      <c r="A731" s="162"/>
      <c r="B731" s="163"/>
      <c r="C731" s="163"/>
      <c r="D731" s="164"/>
      <c r="E731" s="44"/>
    </row>
    <row r="732" spans="1:5" ht="34.5" customHeight="1" thickBot="1">
      <c r="A732" s="142" t="s">
        <v>11</v>
      </c>
      <c r="B732" s="143"/>
      <c r="C732" s="165" t="s">
        <v>591</v>
      </c>
      <c r="D732" s="143"/>
      <c r="E732" s="43"/>
    </row>
    <row r="733" spans="1:5" ht="34.5" customHeight="1" thickBot="1">
      <c r="A733" s="137" t="s">
        <v>527</v>
      </c>
      <c r="B733" s="138"/>
      <c r="C733" s="138"/>
      <c r="D733" s="139"/>
      <c r="E733" s="43"/>
    </row>
    <row r="734" spans="1:5" ht="34.5" customHeight="1" thickBot="1">
      <c r="A734" s="34" t="s">
        <v>487</v>
      </c>
      <c r="B734" s="32" t="s">
        <v>438</v>
      </c>
      <c r="C734" s="34">
        <v>24</v>
      </c>
      <c r="D734" s="32" t="s">
        <v>0</v>
      </c>
      <c r="E734" s="42"/>
    </row>
    <row r="735" spans="1:5" ht="34.5" customHeight="1" thickBot="1">
      <c r="A735" s="37" t="s">
        <v>673</v>
      </c>
      <c r="B735" s="36" t="s">
        <v>1</v>
      </c>
      <c r="C735" s="34" t="s">
        <v>674</v>
      </c>
      <c r="D735" s="32" t="s">
        <v>2</v>
      </c>
      <c r="E735" s="41"/>
    </row>
    <row r="736" spans="1:5" ht="34.5" customHeight="1" thickBot="1">
      <c r="A736" s="140">
        <v>205</v>
      </c>
      <c r="B736" s="141"/>
      <c r="C736" s="142" t="s">
        <v>3</v>
      </c>
      <c r="D736" s="143"/>
      <c r="E736" s="41"/>
    </row>
    <row r="737" spans="1:5" ht="34.5" customHeight="1" thickBot="1">
      <c r="A737" s="140">
        <v>265</v>
      </c>
      <c r="B737" s="141"/>
      <c r="C737" s="144" t="s">
        <v>4</v>
      </c>
      <c r="D737" s="145"/>
      <c r="E737" s="41"/>
    </row>
    <row r="738" spans="1:5" ht="34.5" customHeight="1" thickBot="1">
      <c r="A738" s="146">
        <f>A737-A736</f>
        <v>60</v>
      </c>
      <c r="B738" s="147"/>
      <c r="C738" s="148"/>
      <c r="D738" s="35" t="s">
        <v>5</v>
      </c>
      <c r="E738" s="41"/>
    </row>
    <row r="739" spans="1:5" ht="34.5" customHeight="1" thickBot="1">
      <c r="A739" s="149">
        <v>23</v>
      </c>
      <c r="B739" s="150"/>
      <c r="C739" s="151"/>
      <c r="D739" s="35" t="s">
        <v>6</v>
      </c>
      <c r="E739" s="41"/>
    </row>
    <row r="740" spans="1:5" ht="34.5" customHeight="1" thickBot="1">
      <c r="A740" s="144">
        <f>A739*A738</f>
        <v>1380</v>
      </c>
      <c r="B740" s="152"/>
      <c r="C740" s="145"/>
      <c r="D740" s="35" t="s">
        <v>7</v>
      </c>
      <c r="E740" s="41"/>
    </row>
    <row r="741" spans="1:5" ht="34.5" customHeight="1" thickBot="1">
      <c r="A741" s="144">
        <v>0</v>
      </c>
      <c r="B741" s="152"/>
      <c r="C741" s="145"/>
      <c r="D741" s="35" t="s">
        <v>437</v>
      </c>
      <c r="E741" s="41"/>
    </row>
    <row r="742" spans="1:5" ht="34.5" customHeight="1" thickBot="1">
      <c r="A742" s="34">
        <v>0</v>
      </c>
      <c r="B742" s="32" t="s">
        <v>8</v>
      </c>
      <c r="C742" s="33">
        <v>1380</v>
      </c>
      <c r="D742" s="32" t="s">
        <v>9</v>
      </c>
      <c r="E742" s="41"/>
    </row>
    <row r="743" spans="1:5" ht="34.5" customHeight="1" thickBot="1">
      <c r="A743" s="153" t="s">
        <v>436</v>
      </c>
      <c r="B743" s="154"/>
      <c r="C743" s="154"/>
      <c r="D743" s="155"/>
      <c r="E743" s="41"/>
    </row>
    <row r="744" spans="1:5" ht="34.5" customHeight="1" thickBot="1">
      <c r="A744" s="156" t="s">
        <v>435</v>
      </c>
      <c r="B744" s="157"/>
      <c r="C744" s="157"/>
      <c r="D744" s="158"/>
      <c r="E744" s="41"/>
    </row>
    <row r="745" spans="1:5" ht="34.5" customHeight="1">
      <c r="A745" s="159" t="s">
        <v>441</v>
      </c>
      <c r="B745" s="160"/>
      <c r="C745" s="160"/>
      <c r="D745" s="161"/>
      <c r="E745" s="44"/>
    </row>
    <row r="746" spans="1:5" ht="34.5" customHeight="1" thickBot="1">
      <c r="A746" s="162"/>
      <c r="B746" s="163"/>
      <c r="C746" s="163"/>
      <c r="D746" s="164"/>
      <c r="E746" s="44"/>
    </row>
    <row r="747" spans="1:5" ht="34.5" customHeight="1" thickBot="1">
      <c r="A747" s="142" t="s">
        <v>11</v>
      </c>
      <c r="B747" s="143"/>
      <c r="C747" s="165" t="s">
        <v>591</v>
      </c>
      <c r="D747" s="143"/>
      <c r="E747" s="43"/>
    </row>
    <row r="748" spans="1:5" ht="34.5" customHeight="1" thickBot="1">
      <c r="A748" s="137" t="s">
        <v>523</v>
      </c>
      <c r="B748" s="138"/>
      <c r="C748" s="138"/>
      <c r="D748" s="139"/>
      <c r="E748" s="43"/>
    </row>
    <row r="749" spans="1:5" ht="34.5" customHeight="1" thickBot="1">
      <c r="A749" s="34" t="s">
        <v>487</v>
      </c>
      <c r="B749" s="32" t="s">
        <v>438</v>
      </c>
      <c r="C749" s="34">
        <v>25</v>
      </c>
      <c r="D749" s="32" t="s">
        <v>0</v>
      </c>
      <c r="E749" s="42"/>
    </row>
    <row r="750" spans="1:5" ht="34.5" customHeight="1" thickBot="1">
      <c r="A750" s="37" t="s">
        <v>673</v>
      </c>
      <c r="B750" s="36" t="s">
        <v>1</v>
      </c>
      <c r="C750" s="34" t="s">
        <v>674</v>
      </c>
      <c r="D750" s="32" t="s">
        <v>2</v>
      </c>
      <c r="E750" s="41"/>
    </row>
    <row r="751" spans="1:5" ht="34.5" customHeight="1" thickBot="1">
      <c r="A751" s="140">
        <v>840</v>
      </c>
      <c r="B751" s="141"/>
      <c r="C751" s="142" t="s">
        <v>3</v>
      </c>
      <c r="D751" s="143"/>
      <c r="E751" s="41"/>
    </row>
    <row r="752" spans="1:5" ht="34.5" customHeight="1" thickBot="1">
      <c r="A752" s="140">
        <v>840</v>
      </c>
      <c r="B752" s="141"/>
      <c r="C752" s="144" t="s">
        <v>4</v>
      </c>
      <c r="D752" s="145"/>
      <c r="E752" s="41"/>
    </row>
    <row r="753" spans="1:5" ht="34.5" customHeight="1" thickBot="1">
      <c r="A753" s="146">
        <f>A752-A751</f>
        <v>0</v>
      </c>
      <c r="B753" s="147"/>
      <c r="C753" s="148"/>
      <c r="D753" s="35" t="s">
        <v>5</v>
      </c>
      <c r="E753" s="41"/>
    </row>
    <row r="754" spans="1:5" ht="34.5" customHeight="1" thickBot="1">
      <c r="A754" s="149">
        <v>23</v>
      </c>
      <c r="B754" s="150"/>
      <c r="C754" s="151"/>
      <c r="D754" s="35" t="s">
        <v>6</v>
      </c>
      <c r="E754" s="41"/>
    </row>
    <row r="755" spans="1:5" ht="34.5" customHeight="1" thickBot="1">
      <c r="A755" s="144">
        <f>A754*A753</f>
        <v>0</v>
      </c>
      <c r="B755" s="152"/>
      <c r="C755" s="145"/>
      <c r="D755" s="35" t="s">
        <v>7</v>
      </c>
      <c r="E755" s="41"/>
    </row>
    <row r="756" spans="1:5" ht="34.5" customHeight="1" thickBot="1">
      <c r="A756" s="144">
        <v>0</v>
      </c>
      <c r="B756" s="152"/>
      <c r="C756" s="145"/>
      <c r="D756" s="35" t="s">
        <v>437</v>
      </c>
      <c r="E756" s="41"/>
    </row>
    <row r="757" spans="1:5" ht="34.5" customHeight="1" thickBot="1">
      <c r="A757" s="34">
        <v>0</v>
      </c>
      <c r="B757" s="32" t="s">
        <v>8</v>
      </c>
      <c r="C757" s="33">
        <v>2760</v>
      </c>
      <c r="D757" s="32" t="s">
        <v>9</v>
      </c>
      <c r="E757" s="41"/>
    </row>
    <row r="758" spans="1:5" ht="34.5" customHeight="1" thickBot="1">
      <c r="A758" s="153" t="s">
        <v>436</v>
      </c>
      <c r="B758" s="154"/>
      <c r="C758" s="154"/>
      <c r="D758" s="155"/>
      <c r="E758" s="41"/>
    </row>
    <row r="759" spans="1:5" ht="34.5" customHeight="1" thickBot="1">
      <c r="A759" s="156" t="s">
        <v>435</v>
      </c>
      <c r="B759" s="157"/>
      <c r="C759" s="157"/>
      <c r="D759" s="158"/>
      <c r="E759" s="41"/>
    </row>
    <row r="760" spans="1:5" ht="34.5" customHeight="1" thickBot="1">
      <c r="A760" s="40"/>
      <c r="B760" s="39"/>
      <c r="C760" s="39"/>
      <c r="D760" s="38"/>
      <c r="E760" s="41"/>
    </row>
    <row r="761" spans="1:5" ht="34.5" customHeight="1">
      <c r="A761" s="159" t="s">
        <v>441</v>
      </c>
      <c r="B761" s="160"/>
      <c r="C761" s="160"/>
      <c r="D761" s="161"/>
      <c r="E761" s="44"/>
    </row>
    <row r="762" spans="1:5" ht="34.5" customHeight="1" thickBot="1">
      <c r="A762" s="162"/>
      <c r="B762" s="163"/>
      <c r="C762" s="163"/>
      <c r="D762" s="164"/>
      <c r="E762" s="44"/>
    </row>
    <row r="763" spans="1:5" ht="34.5" customHeight="1" thickBot="1">
      <c r="A763" s="142" t="s">
        <v>11</v>
      </c>
      <c r="B763" s="143"/>
      <c r="C763" s="165" t="s">
        <v>591</v>
      </c>
      <c r="D763" s="143"/>
      <c r="E763" s="43"/>
    </row>
    <row r="764" spans="1:5" ht="34.5" customHeight="1" thickBot="1">
      <c r="A764" s="137" t="s">
        <v>523</v>
      </c>
      <c r="B764" s="138"/>
      <c r="C764" s="138"/>
      <c r="D764" s="139"/>
      <c r="E764" s="43"/>
    </row>
    <row r="765" spans="1:5" ht="34.5" customHeight="1" thickBot="1">
      <c r="A765" s="34" t="s">
        <v>487</v>
      </c>
      <c r="B765" s="32" t="s">
        <v>438</v>
      </c>
      <c r="C765" s="34">
        <v>25</v>
      </c>
      <c r="D765" s="32" t="s">
        <v>0</v>
      </c>
      <c r="E765" s="42"/>
    </row>
    <row r="766" spans="1:5" ht="34.5" customHeight="1" thickBot="1">
      <c r="A766" s="37" t="s">
        <v>673</v>
      </c>
      <c r="B766" s="36" t="s">
        <v>1</v>
      </c>
      <c r="C766" s="34" t="s">
        <v>674</v>
      </c>
      <c r="D766" s="32" t="s">
        <v>2</v>
      </c>
      <c r="E766" s="41"/>
    </row>
    <row r="767" spans="1:5" ht="34.5" customHeight="1" thickBot="1">
      <c r="A767" s="140">
        <v>720</v>
      </c>
      <c r="B767" s="141"/>
      <c r="C767" s="142" t="s">
        <v>3</v>
      </c>
      <c r="D767" s="143"/>
      <c r="E767" s="41"/>
    </row>
    <row r="768" spans="1:5" ht="34.5" customHeight="1" thickBot="1">
      <c r="A768" s="140">
        <v>840</v>
      </c>
      <c r="B768" s="141"/>
      <c r="C768" s="144" t="s">
        <v>4</v>
      </c>
      <c r="D768" s="145"/>
      <c r="E768" s="41"/>
    </row>
    <row r="769" spans="1:5" ht="34.5" customHeight="1" thickBot="1">
      <c r="A769" s="146">
        <f>A768-A767</f>
        <v>120</v>
      </c>
      <c r="B769" s="147"/>
      <c r="C769" s="148"/>
      <c r="D769" s="35" t="s">
        <v>5</v>
      </c>
      <c r="E769" s="41"/>
    </row>
    <row r="770" spans="1:5" ht="34.5" customHeight="1" thickBot="1">
      <c r="A770" s="149">
        <v>23</v>
      </c>
      <c r="B770" s="150"/>
      <c r="C770" s="151"/>
      <c r="D770" s="35" t="s">
        <v>6</v>
      </c>
      <c r="E770" s="41"/>
    </row>
    <row r="771" spans="1:5" ht="34.5" customHeight="1" thickBot="1">
      <c r="A771" s="144">
        <f>A770*A769</f>
        <v>2760</v>
      </c>
      <c r="B771" s="152"/>
      <c r="C771" s="145"/>
      <c r="D771" s="35" t="s">
        <v>7</v>
      </c>
      <c r="E771" s="41"/>
    </row>
    <row r="772" spans="1:5" ht="34.5" customHeight="1" thickBot="1">
      <c r="A772" s="144">
        <v>0</v>
      </c>
      <c r="B772" s="152"/>
      <c r="C772" s="145"/>
      <c r="D772" s="35" t="s">
        <v>437</v>
      </c>
      <c r="E772" s="41"/>
    </row>
    <row r="773" spans="1:5" ht="34.5" customHeight="1" thickBot="1">
      <c r="A773" s="34">
        <v>0</v>
      </c>
      <c r="B773" s="32" t="s">
        <v>8</v>
      </c>
      <c r="C773" s="33">
        <v>2760</v>
      </c>
      <c r="D773" s="32" t="s">
        <v>9</v>
      </c>
      <c r="E773" s="41"/>
    </row>
    <row r="774" spans="1:5" ht="34.5" customHeight="1" thickBot="1">
      <c r="A774" s="153" t="s">
        <v>436</v>
      </c>
      <c r="B774" s="154"/>
      <c r="C774" s="154"/>
      <c r="D774" s="155"/>
      <c r="E774" s="41"/>
    </row>
    <row r="775" spans="1:5" ht="34.5" customHeight="1" thickBot="1">
      <c r="A775" s="156" t="s">
        <v>435</v>
      </c>
      <c r="B775" s="157"/>
      <c r="C775" s="157"/>
      <c r="D775" s="158"/>
      <c r="E775" s="41"/>
    </row>
    <row r="776" spans="1:5" ht="34.5" customHeight="1">
      <c r="A776" s="159" t="s">
        <v>442</v>
      </c>
      <c r="B776" s="160" t="s">
        <v>441</v>
      </c>
      <c r="C776" s="160"/>
      <c r="D776" s="161"/>
      <c r="E776" s="44"/>
    </row>
    <row r="777" spans="1:5" ht="34.5" customHeight="1" thickBot="1">
      <c r="A777" s="162"/>
      <c r="B777" s="163"/>
      <c r="C777" s="163"/>
      <c r="D777" s="164"/>
      <c r="E777" s="44"/>
    </row>
    <row r="778" spans="1:5" ht="34.5" customHeight="1" thickBot="1">
      <c r="A778" s="142" t="s">
        <v>11</v>
      </c>
      <c r="B778" s="143"/>
      <c r="C778" s="165" t="s">
        <v>591</v>
      </c>
      <c r="D778" s="143"/>
      <c r="E778" s="43"/>
    </row>
    <row r="779" spans="1:5" ht="34.5" customHeight="1" thickBot="1">
      <c r="A779" s="137" t="s">
        <v>337</v>
      </c>
      <c r="B779" s="138"/>
      <c r="C779" s="138"/>
      <c r="D779" s="139"/>
      <c r="E779" s="43"/>
    </row>
    <row r="780" spans="1:5" ht="34.5" customHeight="1" thickBot="1">
      <c r="A780" s="34" t="s">
        <v>487</v>
      </c>
      <c r="B780" s="32" t="s">
        <v>438</v>
      </c>
      <c r="C780" s="34">
        <v>26</v>
      </c>
      <c r="D780" s="32" t="s">
        <v>0</v>
      </c>
      <c r="E780" s="42"/>
    </row>
    <row r="781" spans="1:5" ht="34.5" customHeight="1" thickBot="1">
      <c r="A781" s="37" t="s">
        <v>673</v>
      </c>
      <c r="B781" s="36" t="s">
        <v>1</v>
      </c>
      <c r="C781" s="34" t="s">
        <v>674</v>
      </c>
      <c r="D781" s="32" t="s">
        <v>2</v>
      </c>
      <c r="E781" s="41"/>
    </row>
    <row r="782" spans="1:5" ht="34.5" customHeight="1" thickBot="1">
      <c r="A782" s="140">
        <v>645</v>
      </c>
      <c r="B782" s="141"/>
      <c r="C782" s="142" t="s">
        <v>3</v>
      </c>
      <c r="D782" s="143"/>
      <c r="E782" s="41"/>
    </row>
    <row r="783" spans="1:5" ht="34.5" customHeight="1" thickBot="1">
      <c r="A783" s="140">
        <v>645</v>
      </c>
      <c r="B783" s="141"/>
      <c r="C783" s="144" t="s">
        <v>4</v>
      </c>
      <c r="D783" s="145"/>
      <c r="E783" s="41"/>
    </row>
    <row r="784" spans="1:5" ht="34.5" customHeight="1" thickBot="1">
      <c r="A784" s="146">
        <f>A783-A782</f>
        <v>0</v>
      </c>
      <c r="B784" s="147"/>
      <c r="C784" s="148"/>
      <c r="D784" s="35" t="s">
        <v>5</v>
      </c>
      <c r="E784" s="41"/>
    </row>
    <row r="785" spans="1:5" ht="34.5" customHeight="1" thickBot="1">
      <c r="A785" s="149">
        <v>23</v>
      </c>
      <c r="B785" s="150"/>
      <c r="C785" s="151"/>
      <c r="D785" s="35" t="s">
        <v>6</v>
      </c>
      <c r="E785" s="41"/>
    </row>
    <row r="786" spans="1:5" ht="34.5" customHeight="1" thickBot="1">
      <c r="A786" s="144">
        <f>A785*A784</f>
        <v>0</v>
      </c>
      <c r="B786" s="152"/>
      <c r="C786" s="145"/>
      <c r="D786" s="35" t="s">
        <v>7</v>
      </c>
      <c r="E786" s="41"/>
    </row>
    <row r="787" spans="1:5" ht="34.5" customHeight="1" thickBot="1">
      <c r="A787" s="144">
        <v>0</v>
      </c>
      <c r="B787" s="152"/>
      <c r="C787" s="145"/>
      <c r="D787" s="35" t="s">
        <v>437</v>
      </c>
      <c r="E787" s="41"/>
    </row>
    <row r="788" spans="1:5" ht="34.5" customHeight="1" thickBot="1">
      <c r="A788" s="34">
        <v>0</v>
      </c>
      <c r="B788" s="32" t="s">
        <v>8</v>
      </c>
      <c r="C788" s="33">
        <v>1380</v>
      </c>
      <c r="D788" s="32" t="s">
        <v>9</v>
      </c>
      <c r="E788" s="41"/>
    </row>
    <row r="789" spans="1:5" ht="34.5" customHeight="1" thickBot="1">
      <c r="A789" s="153" t="s">
        <v>436</v>
      </c>
      <c r="B789" s="154"/>
      <c r="C789" s="154"/>
      <c r="D789" s="155"/>
      <c r="E789" s="41"/>
    </row>
    <row r="790" spans="1:5" ht="34.5" customHeight="1" thickBot="1">
      <c r="A790" s="156" t="s">
        <v>435</v>
      </c>
      <c r="B790" s="157"/>
      <c r="C790" s="157"/>
      <c r="D790" s="158"/>
      <c r="E790" s="41"/>
    </row>
    <row r="791" spans="1:5" ht="34.5" customHeight="1" thickBot="1">
      <c r="A791" s="40"/>
      <c r="B791" s="39"/>
      <c r="C791" s="39"/>
      <c r="D791" s="38"/>
      <c r="E791" s="41"/>
    </row>
    <row r="792" spans="1:5" ht="34.5" customHeight="1">
      <c r="A792" s="159" t="s">
        <v>442</v>
      </c>
      <c r="B792" s="160" t="s">
        <v>441</v>
      </c>
      <c r="C792" s="160"/>
      <c r="D792" s="161"/>
      <c r="E792" s="44"/>
    </row>
    <row r="793" spans="1:5" ht="34.5" customHeight="1" thickBot="1">
      <c r="A793" s="162"/>
      <c r="B793" s="163"/>
      <c r="C793" s="163"/>
      <c r="D793" s="164"/>
      <c r="E793" s="44"/>
    </row>
    <row r="794" spans="1:5" ht="34.5" customHeight="1" thickBot="1">
      <c r="A794" s="142" t="s">
        <v>11</v>
      </c>
      <c r="B794" s="143"/>
      <c r="C794" s="165" t="s">
        <v>591</v>
      </c>
      <c r="D794" s="143"/>
      <c r="E794" s="43"/>
    </row>
    <row r="795" spans="1:5" ht="34.5" customHeight="1" thickBot="1">
      <c r="A795" s="137" t="s">
        <v>337</v>
      </c>
      <c r="B795" s="138"/>
      <c r="C795" s="138"/>
      <c r="D795" s="139"/>
      <c r="E795" s="43"/>
    </row>
    <row r="796" spans="1:5" ht="34.5" customHeight="1" thickBot="1">
      <c r="A796" s="34" t="s">
        <v>487</v>
      </c>
      <c r="B796" s="32" t="s">
        <v>438</v>
      </c>
      <c r="C796" s="34">
        <v>26</v>
      </c>
      <c r="D796" s="32" t="s">
        <v>0</v>
      </c>
      <c r="E796" s="42"/>
    </row>
    <row r="797" spans="1:5" ht="34.5" customHeight="1" thickBot="1">
      <c r="A797" s="37" t="s">
        <v>673</v>
      </c>
      <c r="B797" s="36" t="s">
        <v>1</v>
      </c>
      <c r="C797" s="34" t="s">
        <v>674</v>
      </c>
      <c r="D797" s="32" t="s">
        <v>2</v>
      </c>
      <c r="E797" s="41"/>
    </row>
    <row r="798" spans="1:5" ht="34.5" customHeight="1" thickBot="1">
      <c r="A798" s="140">
        <v>585</v>
      </c>
      <c r="B798" s="141"/>
      <c r="C798" s="142" t="s">
        <v>3</v>
      </c>
      <c r="D798" s="143"/>
      <c r="E798" s="41"/>
    </row>
    <row r="799" spans="1:5" ht="34.5" customHeight="1" thickBot="1">
      <c r="A799" s="140">
        <v>645</v>
      </c>
      <c r="B799" s="141"/>
      <c r="C799" s="144" t="s">
        <v>4</v>
      </c>
      <c r="D799" s="145"/>
      <c r="E799" s="41"/>
    </row>
    <row r="800" spans="1:5" ht="34.5" customHeight="1" thickBot="1">
      <c r="A800" s="146">
        <f>A799-A798</f>
        <v>60</v>
      </c>
      <c r="B800" s="147"/>
      <c r="C800" s="148"/>
      <c r="D800" s="35" t="s">
        <v>5</v>
      </c>
      <c r="E800" s="41"/>
    </row>
    <row r="801" spans="1:5" ht="34.5" customHeight="1" thickBot="1">
      <c r="A801" s="149">
        <v>23</v>
      </c>
      <c r="B801" s="150"/>
      <c r="C801" s="151"/>
      <c r="D801" s="35" t="s">
        <v>6</v>
      </c>
      <c r="E801" s="41"/>
    </row>
    <row r="802" spans="1:5" ht="34.5" customHeight="1" thickBot="1">
      <c r="A802" s="144">
        <f>A801*A800</f>
        <v>1380</v>
      </c>
      <c r="B802" s="152"/>
      <c r="C802" s="145"/>
      <c r="D802" s="35" t="s">
        <v>7</v>
      </c>
      <c r="E802" s="41"/>
    </row>
    <row r="803" spans="1:5" ht="34.5" customHeight="1" thickBot="1">
      <c r="A803" s="144">
        <v>0</v>
      </c>
      <c r="B803" s="152"/>
      <c r="C803" s="145"/>
      <c r="D803" s="35" t="s">
        <v>437</v>
      </c>
      <c r="E803" s="41"/>
    </row>
    <row r="804" spans="1:5" ht="34.5" customHeight="1" thickBot="1">
      <c r="A804" s="34">
        <v>0</v>
      </c>
      <c r="B804" s="32" t="s">
        <v>8</v>
      </c>
      <c r="C804" s="33">
        <v>1380</v>
      </c>
      <c r="D804" s="32" t="s">
        <v>9</v>
      </c>
      <c r="E804" s="41"/>
    </row>
    <row r="805" spans="1:5" ht="34.5" customHeight="1" thickBot="1">
      <c r="A805" s="153" t="s">
        <v>436</v>
      </c>
      <c r="B805" s="154"/>
      <c r="C805" s="154"/>
      <c r="D805" s="155"/>
      <c r="E805" s="41"/>
    </row>
    <row r="806" spans="1:5" ht="34.5" customHeight="1" thickBot="1">
      <c r="A806" s="156" t="s">
        <v>435</v>
      </c>
      <c r="B806" s="157"/>
      <c r="C806" s="157"/>
      <c r="D806" s="158"/>
      <c r="E806" s="41"/>
    </row>
    <row r="807" spans="1:5" ht="34.5" customHeight="1">
      <c r="A807" s="159" t="s">
        <v>442</v>
      </c>
      <c r="B807" s="160" t="s">
        <v>441</v>
      </c>
      <c r="C807" s="160"/>
      <c r="D807" s="161"/>
      <c r="E807" s="44"/>
    </row>
    <row r="808" spans="1:5" ht="34.5" customHeight="1" thickBot="1">
      <c r="A808" s="162"/>
      <c r="B808" s="163"/>
      <c r="C808" s="163"/>
      <c r="D808" s="164"/>
      <c r="E808" s="44"/>
    </row>
    <row r="809" spans="1:5" ht="34.5" customHeight="1" thickBot="1">
      <c r="A809" s="142" t="s">
        <v>11</v>
      </c>
      <c r="B809" s="143"/>
      <c r="C809" s="165" t="s">
        <v>591</v>
      </c>
      <c r="D809" s="143"/>
      <c r="E809" s="43"/>
    </row>
    <row r="810" spans="1:5" ht="34.5" customHeight="1" thickBot="1">
      <c r="A810" s="137" t="s">
        <v>528</v>
      </c>
      <c r="B810" s="138"/>
      <c r="C810" s="138"/>
      <c r="D810" s="139"/>
      <c r="E810" s="43"/>
    </row>
    <row r="811" spans="1:5" ht="34.5" customHeight="1" thickBot="1">
      <c r="A811" s="34" t="s">
        <v>487</v>
      </c>
      <c r="B811" s="32" t="s">
        <v>438</v>
      </c>
      <c r="C811" s="34">
        <v>27</v>
      </c>
      <c r="D811" s="32" t="s">
        <v>0</v>
      </c>
      <c r="E811" s="42"/>
    </row>
    <row r="812" spans="1:5" ht="34.5" customHeight="1" thickBot="1">
      <c r="A812" s="37" t="s">
        <v>673</v>
      </c>
      <c r="B812" s="36" t="s">
        <v>1</v>
      </c>
      <c r="C812" s="34" t="s">
        <v>674</v>
      </c>
      <c r="D812" s="32" t="s">
        <v>2</v>
      </c>
      <c r="E812" s="41"/>
    </row>
    <row r="813" spans="1:5" ht="34.5" customHeight="1" thickBot="1">
      <c r="A813" s="140">
        <v>500</v>
      </c>
      <c r="B813" s="141"/>
      <c r="C813" s="142" t="s">
        <v>3</v>
      </c>
      <c r="D813" s="143"/>
      <c r="E813" s="41"/>
    </row>
    <row r="814" spans="1:5" ht="34.5" customHeight="1" thickBot="1">
      <c r="A814" s="140">
        <v>500</v>
      </c>
      <c r="B814" s="141"/>
      <c r="C814" s="144" t="s">
        <v>4</v>
      </c>
      <c r="D814" s="145"/>
      <c r="E814" s="41"/>
    </row>
    <row r="815" spans="1:5" ht="34.5" customHeight="1" thickBot="1">
      <c r="A815" s="146">
        <f>A814-A813</f>
        <v>0</v>
      </c>
      <c r="B815" s="147"/>
      <c r="C815" s="148"/>
      <c r="D815" s="35" t="s">
        <v>5</v>
      </c>
      <c r="E815" s="41"/>
    </row>
    <row r="816" spans="1:5" ht="34.5" customHeight="1" thickBot="1">
      <c r="A816" s="149">
        <v>23</v>
      </c>
      <c r="B816" s="150"/>
      <c r="C816" s="151"/>
      <c r="D816" s="35" t="s">
        <v>6</v>
      </c>
      <c r="E816" s="41"/>
    </row>
    <row r="817" spans="1:5" ht="34.5" customHeight="1" thickBot="1">
      <c r="A817" s="144">
        <f>A816*A815</f>
        <v>0</v>
      </c>
      <c r="B817" s="152"/>
      <c r="C817" s="145"/>
      <c r="D817" s="35" t="s">
        <v>7</v>
      </c>
      <c r="E817" s="41"/>
    </row>
    <row r="818" spans="1:5" ht="34.5" customHeight="1" thickBot="1">
      <c r="A818" s="144">
        <v>0</v>
      </c>
      <c r="B818" s="152"/>
      <c r="C818" s="145"/>
      <c r="D818" s="35" t="s">
        <v>437</v>
      </c>
      <c r="E818" s="41"/>
    </row>
    <row r="819" spans="1:5" ht="34.5" customHeight="1" thickBot="1">
      <c r="A819" s="34">
        <v>0</v>
      </c>
      <c r="B819" s="32" t="s">
        <v>8</v>
      </c>
      <c r="C819" s="33">
        <v>1955</v>
      </c>
      <c r="D819" s="32" t="s">
        <v>9</v>
      </c>
      <c r="E819" s="41"/>
    </row>
    <row r="820" spans="1:5" ht="34.5" customHeight="1" thickBot="1">
      <c r="A820" s="153" t="s">
        <v>436</v>
      </c>
      <c r="B820" s="154"/>
      <c r="C820" s="154"/>
      <c r="D820" s="155"/>
      <c r="E820" s="41"/>
    </row>
    <row r="821" spans="1:5" ht="34.5" customHeight="1" thickBot="1">
      <c r="A821" s="156" t="s">
        <v>435</v>
      </c>
      <c r="B821" s="157"/>
      <c r="C821" s="157"/>
      <c r="D821" s="158"/>
      <c r="E821" s="41"/>
    </row>
    <row r="822" spans="1:5" ht="34.5" customHeight="1" thickBot="1">
      <c r="A822" s="40"/>
      <c r="B822" s="39"/>
      <c r="C822" s="39"/>
      <c r="D822" s="38"/>
      <c r="E822" s="41"/>
    </row>
    <row r="823" spans="1:5" ht="34.5" customHeight="1">
      <c r="A823" s="159" t="s">
        <v>442</v>
      </c>
      <c r="B823" s="160" t="s">
        <v>441</v>
      </c>
      <c r="C823" s="160"/>
      <c r="D823" s="161"/>
      <c r="E823" s="44"/>
    </row>
    <row r="824" spans="1:5" ht="34.5" customHeight="1" thickBot="1">
      <c r="A824" s="162"/>
      <c r="B824" s="163"/>
      <c r="C824" s="163"/>
      <c r="D824" s="164"/>
      <c r="E824" s="44"/>
    </row>
    <row r="825" spans="1:5" ht="34.5" customHeight="1" thickBot="1">
      <c r="A825" s="142" t="s">
        <v>11</v>
      </c>
      <c r="B825" s="143"/>
      <c r="C825" s="165" t="s">
        <v>591</v>
      </c>
      <c r="D825" s="143"/>
      <c r="E825" s="43"/>
    </row>
    <row r="826" spans="1:5" ht="34.5" customHeight="1" thickBot="1">
      <c r="A826" s="137" t="s">
        <v>528</v>
      </c>
      <c r="B826" s="138"/>
      <c r="C826" s="138"/>
      <c r="D826" s="139"/>
      <c r="E826" s="43"/>
    </row>
    <row r="827" spans="1:5" ht="34.5" customHeight="1" thickBot="1">
      <c r="A827" s="34" t="s">
        <v>487</v>
      </c>
      <c r="B827" s="32" t="s">
        <v>438</v>
      </c>
      <c r="C827" s="34">
        <v>27</v>
      </c>
      <c r="D827" s="32" t="s">
        <v>0</v>
      </c>
      <c r="E827" s="42"/>
    </row>
    <row r="828" spans="1:5" ht="34.5" customHeight="1" thickBot="1">
      <c r="A828" s="37" t="s">
        <v>673</v>
      </c>
      <c r="B828" s="36" t="s">
        <v>1</v>
      </c>
      <c r="C828" s="34" t="s">
        <v>674</v>
      </c>
      <c r="D828" s="32" t="s">
        <v>2</v>
      </c>
      <c r="E828" s="41"/>
    </row>
    <row r="829" spans="1:5" ht="34.5" customHeight="1" thickBot="1">
      <c r="A829" s="140">
        <v>415</v>
      </c>
      <c r="B829" s="141"/>
      <c r="C829" s="142" t="s">
        <v>3</v>
      </c>
      <c r="D829" s="143"/>
      <c r="E829" s="41"/>
    </row>
    <row r="830" spans="1:5" ht="34.5" customHeight="1" thickBot="1">
      <c r="A830" s="140">
        <v>500</v>
      </c>
      <c r="B830" s="141"/>
      <c r="C830" s="144" t="s">
        <v>4</v>
      </c>
      <c r="D830" s="145"/>
      <c r="E830" s="41"/>
    </row>
    <row r="831" spans="1:5" ht="34.5" customHeight="1" thickBot="1">
      <c r="A831" s="146">
        <f>A830-A829</f>
        <v>85</v>
      </c>
      <c r="B831" s="147"/>
      <c r="C831" s="148"/>
      <c r="D831" s="35" t="s">
        <v>5</v>
      </c>
      <c r="E831" s="41"/>
    </row>
    <row r="832" spans="1:5" ht="34.5" customHeight="1" thickBot="1">
      <c r="A832" s="149">
        <v>23</v>
      </c>
      <c r="B832" s="150"/>
      <c r="C832" s="151"/>
      <c r="D832" s="35" t="s">
        <v>6</v>
      </c>
      <c r="E832" s="41"/>
    </row>
    <row r="833" spans="1:5" ht="34.5" customHeight="1" thickBot="1">
      <c r="A833" s="144">
        <f>A832*A831</f>
        <v>1955</v>
      </c>
      <c r="B833" s="152"/>
      <c r="C833" s="145"/>
      <c r="D833" s="35" t="s">
        <v>7</v>
      </c>
      <c r="E833" s="41"/>
    </row>
    <row r="834" spans="1:5" ht="34.5" customHeight="1" thickBot="1">
      <c r="A834" s="144">
        <v>0</v>
      </c>
      <c r="B834" s="152"/>
      <c r="C834" s="145"/>
      <c r="D834" s="35" t="s">
        <v>437</v>
      </c>
      <c r="E834" s="41"/>
    </row>
    <row r="835" spans="1:5" ht="34.5" customHeight="1" thickBot="1">
      <c r="A835" s="34">
        <v>0</v>
      </c>
      <c r="B835" s="32" t="s">
        <v>8</v>
      </c>
      <c r="C835" s="33">
        <v>1955</v>
      </c>
      <c r="D835" s="32" t="s">
        <v>9</v>
      </c>
      <c r="E835" s="41"/>
    </row>
    <row r="836" spans="1:5" ht="34.5" customHeight="1" thickBot="1">
      <c r="A836" s="153" t="s">
        <v>436</v>
      </c>
      <c r="B836" s="154"/>
      <c r="C836" s="154"/>
      <c r="D836" s="155"/>
      <c r="E836" s="41"/>
    </row>
    <row r="837" spans="1:5" ht="34.5" customHeight="1" thickBot="1">
      <c r="A837" s="156" t="s">
        <v>435</v>
      </c>
      <c r="B837" s="157"/>
      <c r="C837" s="157"/>
      <c r="D837" s="158"/>
      <c r="E837" s="41"/>
    </row>
    <row r="838" spans="1:5" ht="34.5" customHeight="1">
      <c r="A838" s="159" t="s">
        <v>442</v>
      </c>
      <c r="B838" s="160" t="s">
        <v>441</v>
      </c>
      <c r="C838" s="160"/>
      <c r="D838" s="161"/>
    </row>
    <row r="839" spans="1:5" ht="34.5" customHeight="1" thickBot="1">
      <c r="A839" s="162"/>
      <c r="B839" s="163"/>
      <c r="C839" s="163"/>
      <c r="D839" s="164"/>
    </row>
    <row r="840" spans="1:5" ht="34.5" customHeight="1" thickBot="1">
      <c r="A840" s="142" t="s">
        <v>11</v>
      </c>
      <c r="B840" s="143"/>
      <c r="C840" s="165" t="s">
        <v>591</v>
      </c>
      <c r="D840" s="143"/>
    </row>
    <row r="841" spans="1:5" ht="34.5" customHeight="1" thickBot="1">
      <c r="A841" s="137" t="s">
        <v>529</v>
      </c>
      <c r="B841" s="138"/>
      <c r="C841" s="138"/>
      <c r="D841" s="139"/>
    </row>
    <row r="842" spans="1:5" ht="34.5" customHeight="1" thickBot="1">
      <c r="A842" s="34" t="s">
        <v>487</v>
      </c>
      <c r="B842" s="32" t="s">
        <v>438</v>
      </c>
      <c r="C842" s="34">
        <v>28</v>
      </c>
      <c r="D842" s="32" t="s">
        <v>0</v>
      </c>
    </row>
    <row r="843" spans="1:5" ht="34.5" customHeight="1" thickBot="1">
      <c r="A843" s="37" t="s">
        <v>673</v>
      </c>
      <c r="B843" s="36" t="s">
        <v>1</v>
      </c>
      <c r="C843" s="34" t="s">
        <v>674</v>
      </c>
      <c r="D843" s="32" t="s">
        <v>2</v>
      </c>
    </row>
    <row r="844" spans="1:5" ht="34.5" customHeight="1" thickBot="1">
      <c r="A844" s="140">
        <v>875</v>
      </c>
      <c r="B844" s="141"/>
      <c r="C844" s="142" t="s">
        <v>3</v>
      </c>
      <c r="D844" s="143"/>
    </row>
    <row r="845" spans="1:5" ht="34.5" customHeight="1" thickBot="1">
      <c r="A845" s="140">
        <v>875</v>
      </c>
      <c r="B845" s="141"/>
      <c r="C845" s="144" t="s">
        <v>4</v>
      </c>
      <c r="D845" s="145"/>
    </row>
    <row r="846" spans="1:5" ht="34.5" customHeight="1" thickBot="1">
      <c r="A846" s="146">
        <f>A845-A844</f>
        <v>0</v>
      </c>
      <c r="B846" s="147"/>
      <c r="C846" s="148"/>
      <c r="D846" s="35" t="s">
        <v>5</v>
      </c>
    </row>
    <row r="847" spans="1:5" ht="34.5" customHeight="1" thickBot="1">
      <c r="A847" s="149">
        <v>23</v>
      </c>
      <c r="B847" s="150"/>
      <c r="C847" s="151"/>
      <c r="D847" s="35" t="s">
        <v>6</v>
      </c>
    </row>
    <row r="848" spans="1:5" ht="34.5" customHeight="1" thickBot="1">
      <c r="A848" s="144">
        <f>A847*A846</f>
        <v>0</v>
      </c>
      <c r="B848" s="152"/>
      <c r="C848" s="145"/>
      <c r="D848" s="35" t="s">
        <v>7</v>
      </c>
    </row>
    <row r="849" spans="1:4" ht="34.5" customHeight="1" thickBot="1">
      <c r="A849" s="144">
        <v>0</v>
      </c>
      <c r="B849" s="152"/>
      <c r="C849" s="145"/>
      <c r="D849" s="35" t="s">
        <v>437</v>
      </c>
    </row>
    <row r="850" spans="1:4" ht="34.5" customHeight="1" thickBot="1">
      <c r="A850" s="34">
        <v>0</v>
      </c>
      <c r="B850" s="32" t="s">
        <v>8</v>
      </c>
      <c r="C850" s="33">
        <v>2750</v>
      </c>
      <c r="D850" s="32" t="s">
        <v>9</v>
      </c>
    </row>
    <row r="851" spans="1:4" ht="34.5" customHeight="1" thickBot="1">
      <c r="A851" s="153" t="s">
        <v>436</v>
      </c>
      <c r="B851" s="154"/>
      <c r="C851" s="154"/>
      <c r="D851" s="155"/>
    </row>
    <row r="852" spans="1:4" ht="34.5" customHeight="1" thickBot="1">
      <c r="A852" s="156" t="s">
        <v>435</v>
      </c>
      <c r="B852" s="157"/>
      <c r="C852" s="157"/>
      <c r="D852" s="158"/>
    </row>
    <row r="853" spans="1:4" ht="34.5" customHeight="1" thickBot="1">
      <c r="A853" s="40"/>
      <c r="B853" s="39"/>
      <c r="C853" s="39"/>
      <c r="D853" s="38"/>
    </row>
    <row r="854" spans="1:4" ht="34.5" customHeight="1">
      <c r="A854" s="159" t="s">
        <v>442</v>
      </c>
      <c r="B854" s="160" t="s">
        <v>441</v>
      </c>
      <c r="C854" s="160"/>
      <c r="D854" s="161"/>
    </row>
    <row r="855" spans="1:4" ht="34.5" customHeight="1" thickBot="1">
      <c r="A855" s="162"/>
      <c r="B855" s="163"/>
      <c r="C855" s="163"/>
      <c r="D855" s="164"/>
    </row>
    <row r="856" spans="1:4" ht="34.5" customHeight="1" thickBot="1">
      <c r="A856" s="142" t="s">
        <v>11</v>
      </c>
      <c r="B856" s="143"/>
      <c r="C856" s="165" t="s">
        <v>591</v>
      </c>
      <c r="D856" s="143"/>
    </row>
    <row r="857" spans="1:4" ht="34.5" customHeight="1" thickBot="1">
      <c r="A857" s="137" t="s">
        <v>529</v>
      </c>
      <c r="B857" s="138"/>
      <c r="C857" s="138"/>
      <c r="D857" s="139"/>
    </row>
    <row r="858" spans="1:4" ht="34.5" customHeight="1" thickBot="1">
      <c r="A858" s="34" t="s">
        <v>487</v>
      </c>
      <c r="B858" s="32" t="s">
        <v>438</v>
      </c>
      <c r="C858" s="34">
        <v>28</v>
      </c>
      <c r="D858" s="32" t="s">
        <v>0</v>
      </c>
    </row>
    <row r="859" spans="1:4" ht="34.5" customHeight="1" thickBot="1">
      <c r="A859" s="37" t="s">
        <v>673</v>
      </c>
      <c r="B859" s="36" t="s">
        <v>1</v>
      </c>
      <c r="C859" s="34" t="s">
        <v>674</v>
      </c>
      <c r="D859" s="32" t="s">
        <v>2</v>
      </c>
    </row>
    <row r="860" spans="1:4" ht="34.5" customHeight="1" thickBot="1">
      <c r="A860" s="140">
        <v>755</v>
      </c>
      <c r="B860" s="141"/>
      <c r="C860" s="142" t="s">
        <v>3</v>
      </c>
      <c r="D860" s="143"/>
    </row>
    <row r="861" spans="1:4" ht="34.5" customHeight="1" thickBot="1">
      <c r="A861" s="140">
        <v>875</v>
      </c>
      <c r="B861" s="141"/>
      <c r="C861" s="144" t="s">
        <v>4</v>
      </c>
      <c r="D861" s="145"/>
    </row>
    <row r="862" spans="1:4" ht="34.5" customHeight="1" thickBot="1">
      <c r="A862" s="146">
        <f>A861-A860</f>
        <v>120</v>
      </c>
      <c r="B862" s="147"/>
      <c r="C862" s="148"/>
      <c r="D862" s="35" t="s">
        <v>5</v>
      </c>
    </row>
    <row r="863" spans="1:4" ht="34.5" customHeight="1" thickBot="1">
      <c r="A863" s="149">
        <v>23</v>
      </c>
      <c r="B863" s="150"/>
      <c r="C863" s="151"/>
      <c r="D863" s="35" t="s">
        <v>6</v>
      </c>
    </row>
    <row r="864" spans="1:4" ht="34.5" customHeight="1" thickBot="1">
      <c r="A864" s="144">
        <f>A863*A862</f>
        <v>2760</v>
      </c>
      <c r="B864" s="152"/>
      <c r="C864" s="145"/>
      <c r="D864" s="35" t="s">
        <v>7</v>
      </c>
    </row>
    <row r="865" spans="1:6" ht="34.5" customHeight="1" thickBot="1">
      <c r="A865" s="144">
        <v>0</v>
      </c>
      <c r="B865" s="152"/>
      <c r="C865" s="145"/>
      <c r="D865" s="35" t="s">
        <v>437</v>
      </c>
    </row>
    <row r="866" spans="1:6" ht="34.5" customHeight="1" thickBot="1">
      <c r="A866" s="34">
        <v>0</v>
      </c>
      <c r="B866" s="32" t="s">
        <v>8</v>
      </c>
      <c r="C866" s="33">
        <v>2750</v>
      </c>
      <c r="D866" s="32" t="s">
        <v>9</v>
      </c>
    </row>
    <row r="867" spans="1:6" ht="34.5" customHeight="1" thickBot="1">
      <c r="A867" s="153" t="s">
        <v>436</v>
      </c>
      <c r="B867" s="154"/>
      <c r="C867" s="154"/>
      <c r="D867" s="155"/>
    </row>
    <row r="868" spans="1:6" ht="34.5" customHeight="1" thickBot="1">
      <c r="A868" s="156" t="s">
        <v>435</v>
      </c>
      <c r="B868" s="157"/>
      <c r="C868" s="157"/>
      <c r="D868" s="158"/>
      <c r="E868" s="140">
        <v>1285</v>
      </c>
      <c r="F868" s="141"/>
    </row>
    <row r="869" spans="1:6" ht="34.5" customHeight="1">
      <c r="A869" s="159" t="s">
        <v>442</v>
      </c>
      <c r="B869" s="160" t="s">
        <v>441</v>
      </c>
      <c r="C869" s="160"/>
      <c r="D869" s="161"/>
    </row>
    <row r="870" spans="1:6" ht="34.5" customHeight="1" thickBot="1">
      <c r="A870" s="162"/>
      <c r="B870" s="163"/>
      <c r="C870" s="163"/>
      <c r="D870" s="164"/>
    </row>
    <row r="871" spans="1:6" ht="34.5" customHeight="1" thickBot="1">
      <c r="A871" s="142" t="s">
        <v>11</v>
      </c>
      <c r="B871" s="143"/>
      <c r="C871" s="165" t="s">
        <v>591</v>
      </c>
      <c r="D871" s="143"/>
    </row>
    <row r="872" spans="1:6" ht="34.5" customHeight="1" thickBot="1">
      <c r="A872" s="137" t="s">
        <v>530</v>
      </c>
      <c r="B872" s="138"/>
      <c r="C872" s="138"/>
      <c r="D872" s="139"/>
    </row>
    <row r="873" spans="1:6" ht="34.5" customHeight="1" thickBot="1">
      <c r="A873" s="34" t="s">
        <v>487</v>
      </c>
      <c r="B873" s="32" t="s">
        <v>438</v>
      </c>
      <c r="C873" s="34">
        <v>29</v>
      </c>
      <c r="D873" s="32" t="s">
        <v>0</v>
      </c>
    </row>
    <row r="874" spans="1:6" ht="34.5" customHeight="1" thickBot="1">
      <c r="A874" s="37" t="s">
        <v>673</v>
      </c>
      <c r="B874" s="36" t="s">
        <v>1</v>
      </c>
      <c r="C874" s="34" t="s">
        <v>674</v>
      </c>
      <c r="D874" s="32" t="s">
        <v>2</v>
      </c>
    </row>
    <row r="875" spans="1:6" ht="34.5" customHeight="1" thickBot="1">
      <c r="A875" s="146">
        <v>130</v>
      </c>
      <c r="B875" s="148"/>
      <c r="C875" s="142" t="s">
        <v>3</v>
      </c>
      <c r="D875" s="143"/>
    </row>
    <row r="876" spans="1:6" ht="34.5" customHeight="1" thickBot="1">
      <c r="A876" s="146">
        <v>130</v>
      </c>
      <c r="B876" s="148"/>
      <c r="C876" s="144" t="s">
        <v>4</v>
      </c>
      <c r="D876" s="145"/>
    </row>
    <row r="877" spans="1:6" ht="34.5" customHeight="1" thickBot="1">
      <c r="A877" s="146">
        <f>A876-A875</f>
        <v>0</v>
      </c>
      <c r="B877" s="147"/>
      <c r="C877" s="148"/>
      <c r="D877" s="35" t="s">
        <v>5</v>
      </c>
    </row>
    <row r="878" spans="1:6" ht="34.5" customHeight="1" thickBot="1">
      <c r="A878" s="149">
        <v>23</v>
      </c>
      <c r="B878" s="150"/>
      <c r="C878" s="151"/>
      <c r="D878" s="35" t="s">
        <v>6</v>
      </c>
    </row>
    <row r="879" spans="1:6" ht="34.5" customHeight="1" thickBot="1">
      <c r="A879" s="144">
        <f>A878*A877</f>
        <v>0</v>
      </c>
      <c r="B879" s="152"/>
      <c r="C879" s="145"/>
      <c r="D879" s="35" t="s">
        <v>7</v>
      </c>
    </row>
    <row r="880" spans="1:6" ht="34.5" customHeight="1" thickBot="1">
      <c r="A880" s="144">
        <v>0</v>
      </c>
      <c r="B880" s="152"/>
      <c r="C880" s="145"/>
      <c r="D880" s="35" t="s">
        <v>437</v>
      </c>
    </row>
    <row r="881" spans="1:4" ht="34.5" customHeight="1" thickBot="1">
      <c r="A881" s="34">
        <v>0</v>
      </c>
      <c r="B881" s="32" t="s">
        <v>8</v>
      </c>
      <c r="C881" s="33">
        <v>550</v>
      </c>
      <c r="D881" s="32" t="s">
        <v>9</v>
      </c>
    </row>
    <row r="882" spans="1:4" ht="34.5" customHeight="1" thickBot="1">
      <c r="A882" s="153"/>
      <c r="B882" s="154"/>
      <c r="C882" s="154"/>
      <c r="D882" s="155"/>
    </row>
    <row r="883" spans="1:4" ht="34.5" customHeight="1" thickBot="1">
      <c r="A883" s="156" t="s">
        <v>435</v>
      </c>
      <c r="B883" s="157"/>
      <c r="C883" s="157"/>
      <c r="D883" s="158"/>
    </row>
    <row r="884" spans="1:4" ht="34.5" customHeight="1" thickBot="1">
      <c r="A884" s="40"/>
      <c r="B884" s="39"/>
      <c r="C884" s="39"/>
      <c r="D884" s="38"/>
    </row>
    <row r="885" spans="1:4" ht="34.5" customHeight="1">
      <c r="A885" s="159" t="s">
        <v>442</v>
      </c>
      <c r="B885" s="160" t="s">
        <v>441</v>
      </c>
      <c r="C885" s="160"/>
      <c r="D885" s="161"/>
    </row>
    <row r="886" spans="1:4" ht="34.5" customHeight="1" thickBot="1">
      <c r="A886" s="162"/>
      <c r="B886" s="163"/>
      <c r="C886" s="163"/>
      <c r="D886" s="164"/>
    </row>
    <row r="887" spans="1:4" ht="34.5" customHeight="1" thickBot="1">
      <c r="A887" s="142" t="s">
        <v>11</v>
      </c>
      <c r="B887" s="143"/>
      <c r="C887" s="165" t="s">
        <v>591</v>
      </c>
      <c r="D887" s="143"/>
    </row>
    <row r="888" spans="1:4" ht="34.5" customHeight="1" thickBot="1">
      <c r="A888" s="137" t="s">
        <v>530</v>
      </c>
      <c r="B888" s="138"/>
      <c r="C888" s="138"/>
      <c r="D888" s="139"/>
    </row>
    <row r="889" spans="1:4" ht="34.5" customHeight="1" thickBot="1">
      <c r="A889" s="34" t="s">
        <v>487</v>
      </c>
      <c r="B889" s="32" t="s">
        <v>438</v>
      </c>
      <c r="C889" s="34">
        <v>29</v>
      </c>
      <c r="D889" s="32" t="s">
        <v>0</v>
      </c>
    </row>
    <row r="890" spans="1:4" ht="34.5" customHeight="1" thickBot="1">
      <c r="A890" s="37" t="s">
        <v>673</v>
      </c>
      <c r="B890" s="36" t="s">
        <v>1</v>
      </c>
      <c r="C890" s="34" t="s">
        <v>674</v>
      </c>
      <c r="D890" s="32" t="s">
        <v>2</v>
      </c>
    </row>
    <row r="891" spans="1:4" ht="34.5" customHeight="1" thickBot="1">
      <c r="A891" s="146">
        <v>106</v>
      </c>
      <c r="B891" s="148"/>
      <c r="C891" s="142" t="s">
        <v>3</v>
      </c>
      <c r="D891" s="143"/>
    </row>
    <row r="892" spans="1:4" ht="34.5" customHeight="1" thickBot="1">
      <c r="A892" s="146">
        <v>130</v>
      </c>
      <c r="B892" s="148"/>
      <c r="C892" s="144" t="s">
        <v>4</v>
      </c>
      <c r="D892" s="145"/>
    </row>
    <row r="893" spans="1:4" ht="34.5" customHeight="1" thickBot="1">
      <c r="A893" s="146">
        <f>A892-A891</f>
        <v>24</v>
      </c>
      <c r="B893" s="147"/>
      <c r="C893" s="148"/>
      <c r="D893" s="35" t="s">
        <v>5</v>
      </c>
    </row>
    <row r="894" spans="1:4" ht="34.5" customHeight="1" thickBot="1">
      <c r="A894" s="149">
        <v>23</v>
      </c>
      <c r="B894" s="150"/>
      <c r="C894" s="151"/>
      <c r="D894" s="35" t="s">
        <v>6</v>
      </c>
    </row>
    <row r="895" spans="1:4" ht="34.5" customHeight="1" thickBot="1">
      <c r="A895" s="144">
        <f>A894*A893</f>
        <v>552</v>
      </c>
      <c r="B895" s="152"/>
      <c r="C895" s="145"/>
      <c r="D895" s="35" t="s">
        <v>7</v>
      </c>
    </row>
    <row r="896" spans="1:4" ht="34.5" customHeight="1" thickBot="1">
      <c r="A896" s="144">
        <v>0</v>
      </c>
      <c r="B896" s="152"/>
      <c r="C896" s="145"/>
      <c r="D896" s="35" t="s">
        <v>437</v>
      </c>
    </row>
    <row r="897" spans="1:4" ht="34.5" customHeight="1" thickBot="1">
      <c r="A897" s="34">
        <v>0</v>
      </c>
      <c r="B897" s="32" t="s">
        <v>8</v>
      </c>
      <c r="C897" s="33">
        <v>550</v>
      </c>
      <c r="D897" s="32" t="s">
        <v>9</v>
      </c>
    </row>
    <row r="898" spans="1:4" ht="34.5" customHeight="1" thickBot="1">
      <c r="A898" s="153"/>
      <c r="B898" s="154"/>
      <c r="C898" s="154"/>
      <c r="D898" s="155"/>
    </row>
    <row r="899" spans="1:4" ht="34.5" customHeight="1" thickBot="1">
      <c r="A899" s="156" t="s">
        <v>435</v>
      </c>
      <c r="B899" s="157"/>
      <c r="C899" s="157"/>
      <c r="D899" s="158"/>
    </row>
    <row r="900" spans="1:4" ht="34.5" customHeight="1">
      <c r="A900" s="159" t="s">
        <v>442</v>
      </c>
      <c r="B900" s="160" t="s">
        <v>441</v>
      </c>
      <c r="C900" s="160"/>
      <c r="D900" s="161"/>
    </row>
    <row r="901" spans="1:4" ht="34.5" customHeight="1" thickBot="1">
      <c r="A901" s="162"/>
      <c r="B901" s="163"/>
      <c r="C901" s="163"/>
      <c r="D901" s="164"/>
    </row>
    <row r="902" spans="1:4" ht="34.5" customHeight="1" thickBot="1">
      <c r="A902" s="142" t="s">
        <v>11</v>
      </c>
      <c r="B902" s="143"/>
      <c r="C902" s="165" t="s">
        <v>591</v>
      </c>
      <c r="D902" s="143"/>
    </row>
    <row r="903" spans="1:4" ht="34.5" customHeight="1" thickBot="1">
      <c r="A903" s="137" t="s">
        <v>531</v>
      </c>
      <c r="B903" s="138"/>
      <c r="C903" s="138"/>
      <c r="D903" s="139"/>
    </row>
    <row r="904" spans="1:4" ht="34.5" customHeight="1" thickBot="1">
      <c r="A904" s="34" t="s">
        <v>487</v>
      </c>
      <c r="B904" s="32" t="s">
        <v>438</v>
      </c>
      <c r="C904" s="34">
        <v>30</v>
      </c>
      <c r="D904" s="32" t="s">
        <v>0</v>
      </c>
    </row>
    <row r="905" spans="1:4" ht="34.5" customHeight="1" thickBot="1">
      <c r="A905" s="37" t="s">
        <v>673</v>
      </c>
      <c r="B905" s="36" t="s">
        <v>1</v>
      </c>
      <c r="C905" s="34" t="s">
        <v>674</v>
      </c>
      <c r="D905" s="32" t="s">
        <v>2</v>
      </c>
    </row>
    <row r="906" spans="1:4" ht="34.5" customHeight="1" thickBot="1">
      <c r="A906" s="140">
        <v>532</v>
      </c>
      <c r="B906" s="141"/>
      <c r="C906" s="142" t="s">
        <v>3</v>
      </c>
      <c r="D906" s="143"/>
    </row>
    <row r="907" spans="1:4" ht="34.5" customHeight="1" thickBot="1">
      <c r="A907" s="140">
        <v>532</v>
      </c>
      <c r="B907" s="141"/>
      <c r="C907" s="144" t="s">
        <v>4</v>
      </c>
      <c r="D907" s="145"/>
    </row>
    <row r="908" spans="1:4" ht="34.5" customHeight="1" thickBot="1">
      <c r="A908" s="146">
        <f>A907-A906</f>
        <v>0</v>
      </c>
      <c r="B908" s="147"/>
      <c r="C908" s="148"/>
      <c r="D908" s="35" t="s">
        <v>5</v>
      </c>
    </row>
    <row r="909" spans="1:4" ht="34.5" customHeight="1" thickBot="1">
      <c r="A909" s="149">
        <v>23</v>
      </c>
      <c r="B909" s="150"/>
      <c r="C909" s="151"/>
      <c r="D909" s="35" t="s">
        <v>6</v>
      </c>
    </row>
    <row r="910" spans="1:4" ht="34.5" customHeight="1" thickBot="1">
      <c r="A910" s="144">
        <f>A909*A908</f>
        <v>0</v>
      </c>
      <c r="B910" s="152"/>
      <c r="C910" s="145"/>
      <c r="D910" s="35" t="s">
        <v>7</v>
      </c>
    </row>
    <row r="911" spans="1:4" ht="34.5" customHeight="1" thickBot="1">
      <c r="A911" s="144">
        <v>0</v>
      </c>
      <c r="B911" s="152"/>
      <c r="C911" s="145"/>
      <c r="D911" s="35" t="s">
        <v>437</v>
      </c>
    </row>
    <row r="912" spans="1:4" ht="34.5" customHeight="1" thickBot="1">
      <c r="A912" s="34">
        <v>0</v>
      </c>
      <c r="B912" s="32" t="s">
        <v>8</v>
      </c>
      <c r="C912" s="33">
        <v>1430</v>
      </c>
      <c r="D912" s="32" t="s">
        <v>9</v>
      </c>
    </row>
    <row r="913" spans="1:4" ht="34.5" customHeight="1" thickBot="1">
      <c r="A913" s="153" t="s">
        <v>436</v>
      </c>
      <c r="B913" s="154"/>
      <c r="C913" s="154"/>
      <c r="D913" s="155"/>
    </row>
    <row r="914" spans="1:4" ht="34.5" customHeight="1" thickBot="1">
      <c r="A914" s="156" t="s">
        <v>435</v>
      </c>
      <c r="B914" s="157"/>
      <c r="C914" s="157"/>
      <c r="D914" s="158"/>
    </row>
    <row r="915" spans="1:4" ht="34.5" customHeight="1" thickBot="1">
      <c r="A915" s="40"/>
      <c r="B915" s="39"/>
      <c r="C915" s="39"/>
      <c r="D915" s="38"/>
    </row>
    <row r="916" spans="1:4" ht="34.5" customHeight="1">
      <c r="A916" s="159" t="s">
        <v>442</v>
      </c>
      <c r="B916" s="160" t="s">
        <v>441</v>
      </c>
      <c r="C916" s="160"/>
      <c r="D916" s="161"/>
    </row>
    <row r="917" spans="1:4" ht="34.5" customHeight="1" thickBot="1">
      <c r="A917" s="162"/>
      <c r="B917" s="163"/>
      <c r="C917" s="163"/>
      <c r="D917" s="164"/>
    </row>
    <row r="918" spans="1:4" ht="34.5" customHeight="1" thickBot="1">
      <c r="A918" s="142" t="s">
        <v>11</v>
      </c>
      <c r="B918" s="143"/>
      <c r="C918" s="165" t="s">
        <v>591</v>
      </c>
      <c r="D918" s="143"/>
    </row>
    <row r="919" spans="1:4" ht="34.5" customHeight="1" thickBot="1">
      <c r="A919" s="137" t="s">
        <v>531</v>
      </c>
      <c r="B919" s="138"/>
      <c r="C919" s="138"/>
      <c r="D919" s="139"/>
    </row>
    <row r="920" spans="1:4" ht="34.5" customHeight="1" thickBot="1">
      <c r="A920" s="34" t="s">
        <v>487</v>
      </c>
      <c r="B920" s="32" t="s">
        <v>438</v>
      </c>
      <c r="C920" s="34">
        <v>30</v>
      </c>
      <c r="D920" s="32" t="s">
        <v>0</v>
      </c>
    </row>
    <row r="921" spans="1:4" ht="34.5" customHeight="1" thickBot="1">
      <c r="A921" s="37" t="s">
        <v>673</v>
      </c>
      <c r="B921" s="36" t="s">
        <v>1</v>
      </c>
      <c r="C921" s="34" t="s">
        <v>674</v>
      </c>
      <c r="D921" s="32" t="s">
        <v>2</v>
      </c>
    </row>
    <row r="922" spans="1:4" ht="34.5" customHeight="1" thickBot="1">
      <c r="A922" s="140">
        <v>470</v>
      </c>
      <c r="B922" s="141"/>
      <c r="C922" s="142" t="s">
        <v>3</v>
      </c>
      <c r="D922" s="143"/>
    </row>
    <row r="923" spans="1:4" ht="34.5" customHeight="1" thickBot="1">
      <c r="A923" s="140">
        <v>532</v>
      </c>
      <c r="B923" s="141"/>
      <c r="C923" s="144" t="s">
        <v>4</v>
      </c>
      <c r="D923" s="145"/>
    </row>
    <row r="924" spans="1:4" ht="34.5" customHeight="1" thickBot="1">
      <c r="A924" s="146">
        <f>A923-A922</f>
        <v>62</v>
      </c>
      <c r="B924" s="147"/>
      <c r="C924" s="148"/>
      <c r="D924" s="35" t="s">
        <v>5</v>
      </c>
    </row>
    <row r="925" spans="1:4" ht="34.5" customHeight="1" thickBot="1">
      <c r="A925" s="149">
        <v>23</v>
      </c>
      <c r="B925" s="150"/>
      <c r="C925" s="151"/>
      <c r="D925" s="35" t="s">
        <v>6</v>
      </c>
    </row>
    <row r="926" spans="1:4" ht="34.5" customHeight="1" thickBot="1">
      <c r="A926" s="144">
        <f>A925*A924</f>
        <v>1426</v>
      </c>
      <c r="B926" s="152"/>
      <c r="C926" s="145"/>
      <c r="D926" s="35" t="s">
        <v>7</v>
      </c>
    </row>
    <row r="927" spans="1:4" ht="34.5" customHeight="1" thickBot="1">
      <c r="A927" s="144">
        <v>0</v>
      </c>
      <c r="B927" s="152"/>
      <c r="C927" s="145"/>
      <c r="D927" s="35" t="s">
        <v>437</v>
      </c>
    </row>
    <row r="928" spans="1:4" ht="34.5" customHeight="1" thickBot="1">
      <c r="A928" s="34">
        <v>0</v>
      </c>
      <c r="B928" s="32" t="s">
        <v>8</v>
      </c>
      <c r="C928" s="33">
        <v>1430</v>
      </c>
      <c r="D928" s="32" t="s">
        <v>9</v>
      </c>
    </row>
    <row r="929" spans="1:4" ht="34.5" customHeight="1" thickBot="1">
      <c r="A929" s="153" t="s">
        <v>436</v>
      </c>
      <c r="B929" s="154"/>
      <c r="C929" s="154"/>
      <c r="D929" s="155"/>
    </row>
    <row r="930" spans="1:4" ht="34.5" customHeight="1" thickBot="1">
      <c r="A930" s="156" t="s">
        <v>435</v>
      </c>
      <c r="B930" s="157"/>
      <c r="C930" s="157"/>
      <c r="D930" s="158"/>
    </row>
    <row r="931" spans="1:4" ht="34.5" customHeight="1">
      <c r="A931" s="159" t="s">
        <v>442</v>
      </c>
      <c r="B931" s="160" t="s">
        <v>441</v>
      </c>
      <c r="C931" s="160"/>
      <c r="D931" s="161"/>
    </row>
    <row r="932" spans="1:4" ht="34.5" customHeight="1" thickBot="1">
      <c r="A932" s="162"/>
      <c r="B932" s="163"/>
      <c r="C932" s="163"/>
      <c r="D932" s="164"/>
    </row>
    <row r="933" spans="1:4" ht="34.5" customHeight="1" thickBot="1">
      <c r="A933" s="142" t="s">
        <v>11</v>
      </c>
      <c r="B933" s="143"/>
      <c r="C933" s="165" t="s">
        <v>591</v>
      </c>
      <c r="D933" s="143"/>
    </row>
    <row r="934" spans="1:4" ht="34.5" customHeight="1" thickBot="1">
      <c r="A934" s="137" t="s">
        <v>532</v>
      </c>
      <c r="B934" s="138"/>
      <c r="C934" s="138"/>
      <c r="D934" s="139"/>
    </row>
    <row r="935" spans="1:4" ht="34.5" customHeight="1" thickBot="1">
      <c r="A935" s="34" t="s">
        <v>487</v>
      </c>
      <c r="B935" s="32" t="s">
        <v>438</v>
      </c>
      <c r="C935" s="34">
        <v>31</v>
      </c>
      <c r="D935" s="32" t="s">
        <v>0</v>
      </c>
    </row>
    <row r="936" spans="1:4" ht="34.5" customHeight="1" thickBot="1">
      <c r="A936" s="37" t="s">
        <v>673</v>
      </c>
      <c r="B936" s="36" t="s">
        <v>1</v>
      </c>
      <c r="C936" s="34" t="s">
        <v>674</v>
      </c>
      <c r="D936" s="32" t="s">
        <v>2</v>
      </c>
    </row>
    <row r="937" spans="1:4" ht="34.5" customHeight="1" thickBot="1">
      <c r="A937" s="140">
        <v>246</v>
      </c>
      <c r="B937" s="141"/>
      <c r="C937" s="142" t="s">
        <v>3</v>
      </c>
      <c r="D937" s="143"/>
    </row>
    <row r="938" spans="1:4" ht="34.5" customHeight="1" thickBot="1">
      <c r="A938" s="140">
        <v>246</v>
      </c>
      <c r="B938" s="141"/>
      <c r="C938" s="144" t="s">
        <v>4</v>
      </c>
      <c r="D938" s="145"/>
    </row>
    <row r="939" spans="1:4" ht="34.5" customHeight="1" thickBot="1">
      <c r="A939" s="146">
        <f>A938-A937</f>
        <v>0</v>
      </c>
      <c r="B939" s="147"/>
      <c r="C939" s="148"/>
      <c r="D939" s="35" t="s">
        <v>5</v>
      </c>
    </row>
    <row r="940" spans="1:4" ht="34.5" customHeight="1" thickBot="1">
      <c r="A940" s="149">
        <v>23</v>
      </c>
      <c r="B940" s="150"/>
      <c r="C940" s="151"/>
      <c r="D940" s="35" t="s">
        <v>6</v>
      </c>
    </row>
    <row r="941" spans="1:4" ht="34.5" customHeight="1" thickBot="1">
      <c r="A941" s="144">
        <f>A940*A939</f>
        <v>0</v>
      </c>
      <c r="B941" s="152"/>
      <c r="C941" s="145"/>
      <c r="D941" s="35" t="s">
        <v>7</v>
      </c>
    </row>
    <row r="942" spans="1:4" ht="34.5" customHeight="1" thickBot="1">
      <c r="A942" s="144">
        <v>0</v>
      </c>
      <c r="B942" s="152"/>
      <c r="C942" s="145"/>
      <c r="D942" s="35" t="s">
        <v>437</v>
      </c>
    </row>
    <row r="943" spans="1:4" ht="34.5" customHeight="1" thickBot="1">
      <c r="A943" s="34">
        <v>0</v>
      </c>
      <c r="B943" s="32" t="s">
        <v>8</v>
      </c>
      <c r="C943" s="33">
        <v>920</v>
      </c>
      <c r="D943" s="32" t="s">
        <v>9</v>
      </c>
    </row>
    <row r="944" spans="1:4" ht="34.5" customHeight="1" thickBot="1">
      <c r="A944" s="153" t="s">
        <v>436</v>
      </c>
      <c r="B944" s="154"/>
      <c r="C944" s="154"/>
      <c r="D944" s="155"/>
    </row>
    <row r="945" spans="1:4" ht="34.5" customHeight="1" thickBot="1">
      <c r="A945" s="156" t="s">
        <v>435</v>
      </c>
      <c r="B945" s="157"/>
      <c r="C945" s="157"/>
      <c r="D945" s="158"/>
    </row>
    <row r="946" spans="1:4" ht="34.5" customHeight="1" thickBot="1">
      <c r="A946" s="40"/>
      <c r="B946" s="39"/>
      <c r="C946" s="39"/>
      <c r="D946" s="38"/>
    </row>
    <row r="947" spans="1:4" ht="34.5" customHeight="1">
      <c r="A947" s="159" t="s">
        <v>442</v>
      </c>
      <c r="B947" s="160" t="s">
        <v>441</v>
      </c>
      <c r="C947" s="160"/>
      <c r="D947" s="161"/>
    </row>
    <row r="948" spans="1:4" ht="34.5" customHeight="1" thickBot="1">
      <c r="A948" s="162"/>
      <c r="B948" s="163"/>
      <c r="C948" s="163"/>
      <c r="D948" s="164"/>
    </row>
    <row r="949" spans="1:4" ht="34.5" customHeight="1" thickBot="1">
      <c r="A949" s="142" t="s">
        <v>11</v>
      </c>
      <c r="B949" s="143"/>
      <c r="C949" s="165" t="s">
        <v>591</v>
      </c>
      <c r="D949" s="143"/>
    </row>
    <row r="950" spans="1:4" ht="34.5" customHeight="1" thickBot="1">
      <c r="A950" s="137" t="s">
        <v>532</v>
      </c>
      <c r="B950" s="138"/>
      <c r="C950" s="138"/>
      <c r="D950" s="139"/>
    </row>
    <row r="951" spans="1:4" ht="34.5" customHeight="1" thickBot="1">
      <c r="A951" s="34" t="s">
        <v>487</v>
      </c>
      <c r="B951" s="32" t="s">
        <v>438</v>
      </c>
      <c r="C951" s="34">
        <v>31</v>
      </c>
      <c r="D951" s="32" t="s">
        <v>0</v>
      </c>
    </row>
    <row r="952" spans="1:4" ht="34.5" customHeight="1" thickBot="1">
      <c r="A952" s="37" t="s">
        <v>673</v>
      </c>
      <c r="B952" s="36" t="s">
        <v>1</v>
      </c>
      <c r="C952" s="34" t="s">
        <v>674</v>
      </c>
      <c r="D952" s="32" t="s">
        <v>2</v>
      </c>
    </row>
    <row r="953" spans="1:4" ht="34.5" customHeight="1" thickBot="1">
      <c r="A953" s="140">
        <v>206</v>
      </c>
      <c r="B953" s="141"/>
      <c r="C953" s="142" t="s">
        <v>3</v>
      </c>
      <c r="D953" s="143"/>
    </row>
    <row r="954" spans="1:4" ht="34.5" customHeight="1" thickBot="1">
      <c r="A954" s="140">
        <v>246</v>
      </c>
      <c r="B954" s="141"/>
      <c r="C954" s="144" t="s">
        <v>4</v>
      </c>
      <c r="D954" s="145"/>
    </row>
    <row r="955" spans="1:4" ht="34.5" customHeight="1" thickBot="1">
      <c r="A955" s="146">
        <f>A954-A953</f>
        <v>40</v>
      </c>
      <c r="B955" s="147"/>
      <c r="C955" s="148"/>
      <c r="D955" s="35" t="s">
        <v>5</v>
      </c>
    </row>
    <row r="956" spans="1:4" ht="34.5" customHeight="1" thickBot="1">
      <c r="A956" s="149">
        <v>23</v>
      </c>
      <c r="B956" s="150"/>
      <c r="C956" s="151"/>
      <c r="D956" s="35" t="s">
        <v>6</v>
      </c>
    </row>
    <row r="957" spans="1:4" ht="34.5" customHeight="1" thickBot="1">
      <c r="A957" s="144">
        <f>A956*A955</f>
        <v>920</v>
      </c>
      <c r="B957" s="152"/>
      <c r="C957" s="145"/>
      <c r="D957" s="35" t="s">
        <v>7</v>
      </c>
    </row>
    <row r="958" spans="1:4" ht="34.5" customHeight="1" thickBot="1">
      <c r="A958" s="144">
        <v>0</v>
      </c>
      <c r="B958" s="152"/>
      <c r="C958" s="145"/>
      <c r="D958" s="35" t="s">
        <v>437</v>
      </c>
    </row>
    <row r="959" spans="1:4" ht="34.5" customHeight="1" thickBot="1">
      <c r="A959" s="34">
        <v>0</v>
      </c>
      <c r="B959" s="32" t="s">
        <v>8</v>
      </c>
      <c r="C959" s="33">
        <v>920</v>
      </c>
      <c r="D959" s="32" t="s">
        <v>9</v>
      </c>
    </row>
    <row r="960" spans="1:4" ht="34.5" customHeight="1" thickBot="1">
      <c r="A960" s="153" t="s">
        <v>436</v>
      </c>
      <c r="B960" s="154"/>
      <c r="C960" s="154"/>
      <c r="D960" s="155"/>
    </row>
    <row r="961" spans="1:4" ht="34.5" customHeight="1" thickBot="1">
      <c r="A961" s="156" t="s">
        <v>435</v>
      </c>
      <c r="B961" s="157"/>
      <c r="C961" s="157"/>
      <c r="D961" s="158"/>
    </row>
    <row r="962" spans="1:4" ht="34.5" customHeight="1">
      <c r="A962" s="159" t="s">
        <v>442</v>
      </c>
      <c r="B962" s="160" t="s">
        <v>441</v>
      </c>
      <c r="C962" s="160"/>
      <c r="D962" s="161"/>
    </row>
    <row r="963" spans="1:4" ht="34.5" customHeight="1" thickBot="1">
      <c r="A963" s="162"/>
      <c r="B963" s="163"/>
      <c r="C963" s="163"/>
      <c r="D963" s="164"/>
    </row>
    <row r="964" spans="1:4" ht="34.5" customHeight="1" thickBot="1">
      <c r="A964" s="142" t="s">
        <v>11</v>
      </c>
      <c r="B964" s="143"/>
      <c r="C964" s="165" t="s">
        <v>591</v>
      </c>
      <c r="D964" s="143"/>
    </row>
    <row r="965" spans="1:4" ht="34.5" customHeight="1" thickBot="1">
      <c r="A965" s="137" t="s">
        <v>364</v>
      </c>
      <c r="B965" s="138"/>
      <c r="C965" s="138"/>
      <c r="D965" s="139"/>
    </row>
    <row r="966" spans="1:4" ht="34.5" customHeight="1" thickBot="1">
      <c r="A966" s="34" t="s">
        <v>487</v>
      </c>
      <c r="B966" s="32" t="s">
        <v>438</v>
      </c>
      <c r="C966" s="34">
        <v>32</v>
      </c>
      <c r="D966" s="32" t="s">
        <v>0</v>
      </c>
    </row>
    <row r="967" spans="1:4" ht="34.5" customHeight="1" thickBot="1">
      <c r="A967" s="37" t="s">
        <v>673</v>
      </c>
      <c r="B967" s="36" t="s">
        <v>1</v>
      </c>
      <c r="C967" s="34" t="s">
        <v>674</v>
      </c>
      <c r="D967" s="32" t="s">
        <v>2</v>
      </c>
    </row>
    <row r="968" spans="1:4" ht="34.5" customHeight="1" thickBot="1">
      <c r="A968" s="140">
        <v>330</v>
      </c>
      <c r="B968" s="141"/>
      <c r="C968" s="142" t="s">
        <v>3</v>
      </c>
      <c r="D968" s="143"/>
    </row>
    <row r="969" spans="1:4" ht="34.5" customHeight="1" thickBot="1">
      <c r="A969" s="140">
        <v>330</v>
      </c>
      <c r="B969" s="141"/>
      <c r="C969" s="144" t="s">
        <v>4</v>
      </c>
      <c r="D969" s="145"/>
    </row>
    <row r="970" spans="1:4" ht="34.5" customHeight="1" thickBot="1">
      <c r="A970" s="146">
        <f>A969-A968</f>
        <v>0</v>
      </c>
      <c r="B970" s="147"/>
      <c r="C970" s="148"/>
      <c r="D970" s="35" t="s">
        <v>5</v>
      </c>
    </row>
    <row r="971" spans="1:4" ht="34.5" customHeight="1" thickBot="1">
      <c r="A971" s="149">
        <v>23</v>
      </c>
      <c r="B971" s="150"/>
      <c r="C971" s="151"/>
      <c r="D971" s="35" t="s">
        <v>6</v>
      </c>
    </row>
    <row r="972" spans="1:4" ht="34.5" customHeight="1" thickBot="1">
      <c r="A972" s="144">
        <f>A971*A970</f>
        <v>0</v>
      </c>
      <c r="B972" s="152"/>
      <c r="C972" s="145"/>
      <c r="D972" s="35" t="s">
        <v>7</v>
      </c>
    </row>
    <row r="973" spans="1:4" ht="34.5" customHeight="1" thickBot="1">
      <c r="A973" s="144">
        <v>0</v>
      </c>
      <c r="B973" s="152"/>
      <c r="C973" s="145"/>
      <c r="D973" s="35" t="s">
        <v>437</v>
      </c>
    </row>
    <row r="974" spans="1:4" ht="34.5" customHeight="1" thickBot="1">
      <c r="A974" s="34">
        <v>0</v>
      </c>
      <c r="B974" s="32" t="s">
        <v>8</v>
      </c>
      <c r="C974" s="33">
        <v>1240</v>
      </c>
      <c r="D974" s="32" t="s">
        <v>9</v>
      </c>
    </row>
    <row r="975" spans="1:4" ht="34.5" customHeight="1" thickBot="1">
      <c r="A975" s="153" t="s">
        <v>436</v>
      </c>
      <c r="B975" s="154"/>
      <c r="C975" s="154"/>
      <c r="D975" s="155"/>
    </row>
    <row r="976" spans="1:4" ht="34.5" customHeight="1" thickBot="1">
      <c r="A976" s="156" t="s">
        <v>435</v>
      </c>
      <c r="B976" s="157"/>
      <c r="C976" s="157"/>
      <c r="D976" s="158"/>
    </row>
    <row r="977" spans="1:4" ht="34.5" customHeight="1" thickBot="1">
      <c r="A977" s="40"/>
      <c r="B977" s="39"/>
      <c r="C977" s="39"/>
      <c r="D977" s="38"/>
    </row>
    <row r="978" spans="1:4" ht="34.5" customHeight="1">
      <c r="A978" s="159" t="s">
        <v>442</v>
      </c>
      <c r="B978" s="160" t="s">
        <v>441</v>
      </c>
      <c r="C978" s="160"/>
      <c r="D978" s="161"/>
    </row>
    <row r="979" spans="1:4" ht="34.5" customHeight="1" thickBot="1">
      <c r="A979" s="162"/>
      <c r="B979" s="163"/>
      <c r="C979" s="163"/>
      <c r="D979" s="164"/>
    </row>
    <row r="980" spans="1:4" ht="34.5" customHeight="1" thickBot="1">
      <c r="A980" s="142" t="s">
        <v>11</v>
      </c>
      <c r="B980" s="143"/>
      <c r="C980" s="165" t="s">
        <v>591</v>
      </c>
      <c r="D980" s="143"/>
    </row>
    <row r="981" spans="1:4" ht="34.5" customHeight="1" thickBot="1">
      <c r="A981" s="137" t="s">
        <v>364</v>
      </c>
      <c r="B981" s="138"/>
      <c r="C981" s="138"/>
      <c r="D981" s="139"/>
    </row>
    <row r="982" spans="1:4" ht="34.5" customHeight="1" thickBot="1">
      <c r="A982" s="34" t="s">
        <v>487</v>
      </c>
      <c r="B982" s="32" t="s">
        <v>438</v>
      </c>
      <c r="C982" s="34">
        <v>32</v>
      </c>
      <c r="D982" s="32" t="s">
        <v>0</v>
      </c>
    </row>
    <row r="983" spans="1:4" ht="34.5" customHeight="1" thickBot="1">
      <c r="A983" s="37" t="s">
        <v>673</v>
      </c>
      <c r="B983" s="36" t="s">
        <v>1</v>
      </c>
      <c r="C983" s="34" t="s">
        <v>674</v>
      </c>
      <c r="D983" s="32" t="s">
        <v>2</v>
      </c>
    </row>
    <row r="984" spans="1:4" ht="34.5" customHeight="1" thickBot="1">
      <c r="A984" s="140">
        <v>276</v>
      </c>
      <c r="B984" s="141"/>
      <c r="C984" s="142" t="s">
        <v>3</v>
      </c>
      <c r="D984" s="143"/>
    </row>
    <row r="985" spans="1:4" ht="34.5" customHeight="1" thickBot="1">
      <c r="A985" s="140">
        <v>330</v>
      </c>
      <c r="B985" s="141"/>
      <c r="C985" s="144" t="s">
        <v>4</v>
      </c>
      <c r="D985" s="145"/>
    </row>
    <row r="986" spans="1:4" ht="34.5" customHeight="1" thickBot="1">
      <c r="A986" s="146">
        <f>A985-A984</f>
        <v>54</v>
      </c>
      <c r="B986" s="147"/>
      <c r="C986" s="148"/>
      <c r="D986" s="35" t="s">
        <v>5</v>
      </c>
    </row>
    <row r="987" spans="1:4" ht="34.5" customHeight="1" thickBot="1">
      <c r="A987" s="149">
        <v>23</v>
      </c>
      <c r="B987" s="150"/>
      <c r="C987" s="151"/>
      <c r="D987" s="35" t="s">
        <v>6</v>
      </c>
    </row>
    <row r="988" spans="1:4" ht="34.5" customHeight="1" thickBot="1">
      <c r="A988" s="144">
        <f>A987*A986</f>
        <v>1242</v>
      </c>
      <c r="B988" s="152"/>
      <c r="C988" s="145"/>
      <c r="D988" s="35" t="s">
        <v>7</v>
      </c>
    </row>
    <row r="989" spans="1:4" ht="34.5" customHeight="1" thickBot="1">
      <c r="A989" s="144">
        <v>0</v>
      </c>
      <c r="B989" s="152"/>
      <c r="C989" s="145"/>
      <c r="D989" s="35" t="s">
        <v>437</v>
      </c>
    </row>
    <row r="990" spans="1:4" ht="34.5" customHeight="1" thickBot="1">
      <c r="A990" s="34">
        <v>0</v>
      </c>
      <c r="B990" s="32" t="s">
        <v>8</v>
      </c>
      <c r="C990" s="33">
        <v>1240</v>
      </c>
      <c r="D990" s="32" t="s">
        <v>9</v>
      </c>
    </row>
    <row r="991" spans="1:4" ht="34.5" customHeight="1" thickBot="1">
      <c r="A991" s="153" t="s">
        <v>436</v>
      </c>
      <c r="B991" s="154"/>
      <c r="C991" s="154"/>
      <c r="D991" s="155"/>
    </row>
    <row r="992" spans="1:4" ht="34.5" customHeight="1" thickBot="1">
      <c r="A992" s="156" t="s">
        <v>435</v>
      </c>
      <c r="B992" s="157"/>
      <c r="C992" s="157"/>
      <c r="D992" s="158"/>
    </row>
    <row r="993" spans="1:4" ht="34.5" customHeight="1">
      <c r="A993" s="159" t="s">
        <v>442</v>
      </c>
      <c r="B993" s="160" t="s">
        <v>441</v>
      </c>
      <c r="C993" s="160"/>
      <c r="D993" s="161"/>
    </row>
    <row r="994" spans="1:4" ht="34.5" customHeight="1" thickBot="1">
      <c r="A994" s="162"/>
      <c r="B994" s="163"/>
      <c r="C994" s="163"/>
      <c r="D994" s="164"/>
    </row>
    <row r="995" spans="1:4" ht="34.5" customHeight="1" thickBot="1">
      <c r="A995" s="142" t="s">
        <v>11</v>
      </c>
      <c r="B995" s="143"/>
      <c r="C995" s="165" t="s">
        <v>591</v>
      </c>
      <c r="D995" s="143"/>
    </row>
    <row r="996" spans="1:4" ht="34.5" customHeight="1" thickBot="1">
      <c r="A996" s="137" t="s">
        <v>498</v>
      </c>
      <c r="B996" s="138"/>
      <c r="C996" s="138"/>
      <c r="D996" s="139"/>
    </row>
    <row r="997" spans="1:4" ht="34.5" customHeight="1" thickBot="1">
      <c r="A997" s="34" t="s">
        <v>487</v>
      </c>
      <c r="B997" s="32" t="s">
        <v>438</v>
      </c>
      <c r="C997" s="34">
        <v>33</v>
      </c>
      <c r="D997" s="32" t="s">
        <v>0</v>
      </c>
    </row>
    <row r="998" spans="1:4" ht="34.5" customHeight="1" thickBot="1">
      <c r="A998" s="37" t="s">
        <v>673</v>
      </c>
      <c r="B998" s="36" t="s">
        <v>1</v>
      </c>
      <c r="C998" s="34" t="s">
        <v>674</v>
      </c>
      <c r="D998" s="32" t="s">
        <v>2</v>
      </c>
    </row>
    <row r="999" spans="1:4" ht="34.5" customHeight="1" thickBot="1">
      <c r="A999" s="140">
        <v>230</v>
      </c>
      <c r="B999" s="141"/>
      <c r="C999" s="142" t="s">
        <v>3</v>
      </c>
      <c r="D999" s="143"/>
    </row>
    <row r="1000" spans="1:4" ht="34.5" customHeight="1" thickBot="1">
      <c r="A1000" s="140">
        <v>230</v>
      </c>
      <c r="B1000" s="141"/>
      <c r="C1000" s="144" t="s">
        <v>4</v>
      </c>
      <c r="D1000" s="145"/>
    </row>
    <row r="1001" spans="1:4" ht="34.5" customHeight="1" thickBot="1">
      <c r="A1001" s="146">
        <f>A1000-A999</f>
        <v>0</v>
      </c>
      <c r="B1001" s="147"/>
      <c r="C1001" s="148"/>
      <c r="D1001" s="35" t="s">
        <v>5</v>
      </c>
    </row>
    <row r="1002" spans="1:4" ht="34.5" customHeight="1" thickBot="1">
      <c r="A1002" s="149">
        <v>23</v>
      </c>
      <c r="B1002" s="150"/>
      <c r="C1002" s="151"/>
      <c r="D1002" s="35" t="s">
        <v>6</v>
      </c>
    </row>
    <row r="1003" spans="1:4" ht="34.5" customHeight="1" thickBot="1">
      <c r="A1003" s="144">
        <f>A1002*A1001</f>
        <v>0</v>
      </c>
      <c r="B1003" s="152"/>
      <c r="C1003" s="145"/>
      <c r="D1003" s="35" t="s">
        <v>7</v>
      </c>
    </row>
    <row r="1004" spans="1:4" ht="34.5" customHeight="1" thickBot="1">
      <c r="A1004" s="144">
        <v>0</v>
      </c>
      <c r="B1004" s="152"/>
      <c r="C1004" s="145"/>
      <c r="D1004" s="35" t="s">
        <v>437</v>
      </c>
    </row>
    <row r="1005" spans="1:4" ht="34.5" customHeight="1" thickBot="1">
      <c r="A1005" s="34">
        <v>0</v>
      </c>
      <c r="B1005" s="32" t="s">
        <v>8</v>
      </c>
      <c r="C1005" s="33">
        <v>650</v>
      </c>
      <c r="D1005" s="32" t="s">
        <v>9</v>
      </c>
    </row>
    <row r="1006" spans="1:4" ht="34.5" customHeight="1" thickBot="1">
      <c r="A1006" s="153" t="s">
        <v>436</v>
      </c>
      <c r="B1006" s="154"/>
      <c r="C1006" s="154"/>
      <c r="D1006" s="155"/>
    </row>
    <row r="1007" spans="1:4" ht="34.5" customHeight="1" thickBot="1">
      <c r="A1007" s="156" t="s">
        <v>435</v>
      </c>
      <c r="B1007" s="157"/>
      <c r="C1007" s="157"/>
      <c r="D1007" s="158"/>
    </row>
    <row r="1008" spans="1:4" ht="34.5" customHeight="1" thickBot="1">
      <c r="A1008" s="40"/>
      <c r="B1008" s="39"/>
      <c r="C1008" s="39"/>
      <c r="D1008" s="38"/>
    </row>
    <row r="1009" spans="1:4" ht="34.5" customHeight="1">
      <c r="A1009" s="159" t="s">
        <v>442</v>
      </c>
      <c r="B1009" s="160" t="s">
        <v>441</v>
      </c>
      <c r="C1009" s="160"/>
      <c r="D1009" s="161"/>
    </row>
    <row r="1010" spans="1:4" ht="34.5" customHeight="1" thickBot="1">
      <c r="A1010" s="162"/>
      <c r="B1010" s="163"/>
      <c r="C1010" s="163"/>
      <c r="D1010" s="164"/>
    </row>
    <row r="1011" spans="1:4" ht="34.5" customHeight="1" thickBot="1">
      <c r="A1011" s="142" t="s">
        <v>11</v>
      </c>
      <c r="B1011" s="143"/>
      <c r="C1011" s="165" t="s">
        <v>591</v>
      </c>
      <c r="D1011" s="143"/>
    </row>
    <row r="1012" spans="1:4" ht="34.5" customHeight="1" thickBot="1">
      <c r="A1012" s="137" t="s">
        <v>498</v>
      </c>
      <c r="B1012" s="138"/>
      <c r="C1012" s="138"/>
      <c r="D1012" s="139"/>
    </row>
    <row r="1013" spans="1:4" ht="34.5" customHeight="1" thickBot="1">
      <c r="A1013" s="34" t="s">
        <v>487</v>
      </c>
      <c r="B1013" s="32" t="s">
        <v>438</v>
      </c>
      <c r="C1013" s="34">
        <v>33</v>
      </c>
      <c r="D1013" s="32" t="s">
        <v>0</v>
      </c>
    </row>
    <row r="1014" spans="1:4" ht="34.5" customHeight="1" thickBot="1">
      <c r="A1014" s="37" t="s">
        <v>673</v>
      </c>
      <c r="B1014" s="36" t="s">
        <v>1</v>
      </c>
      <c r="C1014" s="34" t="s">
        <v>674</v>
      </c>
      <c r="D1014" s="32" t="s">
        <v>2</v>
      </c>
    </row>
    <row r="1015" spans="1:4" ht="34.5" customHeight="1" thickBot="1">
      <c r="A1015" s="140">
        <v>202</v>
      </c>
      <c r="B1015" s="141"/>
      <c r="C1015" s="142" t="s">
        <v>3</v>
      </c>
      <c r="D1015" s="143"/>
    </row>
    <row r="1016" spans="1:4" ht="34.5" customHeight="1" thickBot="1">
      <c r="A1016" s="140">
        <v>230</v>
      </c>
      <c r="B1016" s="141"/>
      <c r="C1016" s="144" t="s">
        <v>4</v>
      </c>
      <c r="D1016" s="145"/>
    </row>
    <row r="1017" spans="1:4" ht="34.5" customHeight="1" thickBot="1">
      <c r="A1017" s="146">
        <f>A1016-A1015</f>
        <v>28</v>
      </c>
      <c r="B1017" s="147"/>
      <c r="C1017" s="148"/>
      <c r="D1017" s="35" t="s">
        <v>5</v>
      </c>
    </row>
    <row r="1018" spans="1:4" ht="34.5" customHeight="1" thickBot="1">
      <c r="A1018" s="149">
        <v>23</v>
      </c>
      <c r="B1018" s="150"/>
      <c r="C1018" s="151"/>
      <c r="D1018" s="35" t="s">
        <v>6</v>
      </c>
    </row>
    <row r="1019" spans="1:4" ht="34.5" customHeight="1" thickBot="1">
      <c r="A1019" s="144">
        <f>A1018*A1017</f>
        <v>644</v>
      </c>
      <c r="B1019" s="152"/>
      <c r="C1019" s="145"/>
      <c r="D1019" s="35" t="s">
        <v>7</v>
      </c>
    </row>
    <row r="1020" spans="1:4" ht="34.5" customHeight="1" thickBot="1">
      <c r="A1020" s="144">
        <v>0</v>
      </c>
      <c r="B1020" s="152"/>
      <c r="C1020" s="145"/>
      <c r="D1020" s="35" t="s">
        <v>437</v>
      </c>
    </row>
    <row r="1021" spans="1:4" ht="34.5" customHeight="1" thickBot="1">
      <c r="A1021" s="34">
        <v>0</v>
      </c>
      <c r="B1021" s="32" t="s">
        <v>8</v>
      </c>
      <c r="C1021" s="33">
        <v>650</v>
      </c>
      <c r="D1021" s="32" t="s">
        <v>9</v>
      </c>
    </row>
    <row r="1022" spans="1:4" ht="34.5" customHeight="1" thickBot="1">
      <c r="A1022" s="153" t="s">
        <v>436</v>
      </c>
      <c r="B1022" s="154"/>
      <c r="C1022" s="154"/>
      <c r="D1022" s="155"/>
    </row>
    <row r="1023" spans="1:4" ht="34.5" customHeight="1" thickBot="1">
      <c r="A1023" s="156" t="s">
        <v>435</v>
      </c>
      <c r="B1023" s="157"/>
      <c r="C1023" s="157"/>
      <c r="D1023" s="158"/>
    </row>
    <row r="1024" spans="1:4" ht="34.5" customHeight="1">
      <c r="A1024" s="159" t="s">
        <v>442</v>
      </c>
      <c r="B1024" s="160" t="s">
        <v>441</v>
      </c>
      <c r="C1024" s="160"/>
      <c r="D1024" s="161"/>
    </row>
    <row r="1025" spans="1:4" ht="34.5" customHeight="1" thickBot="1">
      <c r="A1025" s="162"/>
      <c r="B1025" s="163"/>
      <c r="C1025" s="163"/>
      <c r="D1025" s="164"/>
    </row>
    <row r="1026" spans="1:4" ht="34.5" customHeight="1" thickBot="1">
      <c r="A1026" s="142" t="s">
        <v>11</v>
      </c>
      <c r="B1026" s="143"/>
      <c r="C1026" s="165" t="s">
        <v>591</v>
      </c>
      <c r="D1026" s="143"/>
    </row>
    <row r="1027" spans="1:4" ht="34.5" customHeight="1" thickBot="1">
      <c r="A1027" s="137" t="s">
        <v>497</v>
      </c>
      <c r="B1027" s="138"/>
      <c r="C1027" s="138"/>
      <c r="D1027" s="139"/>
    </row>
    <row r="1028" spans="1:4" ht="34.5" customHeight="1" thickBot="1">
      <c r="A1028" s="34" t="s">
        <v>487</v>
      </c>
      <c r="B1028" s="32" t="s">
        <v>438</v>
      </c>
      <c r="C1028" s="34">
        <v>34</v>
      </c>
      <c r="D1028" s="32" t="s">
        <v>0</v>
      </c>
    </row>
    <row r="1029" spans="1:4" ht="34.5" customHeight="1" thickBot="1">
      <c r="A1029" s="37" t="s">
        <v>673</v>
      </c>
      <c r="B1029" s="36" t="s">
        <v>1</v>
      </c>
      <c r="C1029" s="34" t="s">
        <v>674</v>
      </c>
      <c r="D1029" s="32" t="s">
        <v>2</v>
      </c>
    </row>
    <row r="1030" spans="1:4" ht="34.5" customHeight="1" thickBot="1">
      <c r="A1030" s="140">
        <v>219</v>
      </c>
      <c r="B1030" s="141"/>
      <c r="C1030" s="142" t="s">
        <v>3</v>
      </c>
      <c r="D1030" s="143"/>
    </row>
    <row r="1031" spans="1:4" ht="34.5" customHeight="1" thickBot="1">
      <c r="A1031" s="140">
        <v>219</v>
      </c>
      <c r="B1031" s="141"/>
      <c r="C1031" s="144" t="s">
        <v>4</v>
      </c>
      <c r="D1031" s="145"/>
    </row>
    <row r="1032" spans="1:4" ht="34.5" customHeight="1" thickBot="1">
      <c r="A1032" s="146">
        <f>A1031-A1030</f>
        <v>0</v>
      </c>
      <c r="B1032" s="147"/>
      <c r="C1032" s="148"/>
      <c r="D1032" s="35" t="s">
        <v>5</v>
      </c>
    </row>
    <row r="1033" spans="1:4" ht="34.5" customHeight="1" thickBot="1">
      <c r="A1033" s="149">
        <v>23</v>
      </c>
      <c r="B1033" s="150"/>
      <c r="C1033" s="151"/>
      <c r="D1033" s="35" t="s">
        <v>6</v>
      </c>
    </row>
    <row r="1034" spans="1:4" ht="34.5" customHeight="1" thickBot="1">
      <c r="A1034" s="144">
        <f>A1033*A1032</f>
        <v>0</v>
      </c>
      <c r="B1034" s="152"/>
      <c r="C1034" s="145"/>
      <c r="D1034" s="35" t="s">
        <v>7</v>
      </c>
    </row>
    <row r="1035" spans="1:4" ht="34.5" customHeight="1" thickBot="1">
      <c r="A1035" s="144">
        <v>0</v>
      </c>
      <c r="B1035" s="152"/>
      <c r="C1035" s="145"/>
      <c r="D1035" s="35" t="s">
        <v>437</v>
      </c>
    </row>
    <row r="1036" spans="1:4" ht="34.5" customHeight="1" thickBot="1">
      <c r="A1036" s="34">
        <v>0</v>
      </c>
      <c r="B1036" s="32" t="s">
        <v>8</v>
      </c>
      <c r="C1036" s="33">
        <v>440</v>
      </c>
      <c r="D1036" s="32" t="s">
        <v>9</v>
      </c>
    </row>
    <row r="1037" spans="1:4" ht="34.5" customHeight="1" thickBot="1">
      <c r="A1037" s="153" t="s">
        <v>436</v>
      </c>
      <c r="B1037" s="154"/>
      <c r="C1037" s="154"/>
      <c r="D1037" s="155"/>
    </row>
    <row r="1038" spans="1:4" ht="34.5" customHeight="1" thickBot="1">
      <c r="A1038" s="156" t="s">
        <v>435</v>
      </c>
      <c r="B1038" s="157"/>
      <c r="C1038" s="157"/>
      <c r="D1038" s="158"/>
    </row>
    <row r="1039" spans="1:4" ht="34.5" customHeight="1" thickBot="1">
      <c r="A1039" s="40"/>
      <c r="B1039" s="39"/>
      <c r="C1039" s="39"/>
      <c r="D1039" s="38"/>
    </row>
    <row r="1040" spans="1:4" ht="34.5" customHeight="1">
      <c r="A1040" s="159" t="s">
        <v>442</v>
      </c>
      <c r="B1040" s="160" t="s">
        <v>441</v>
      </c>
      <c r="C1040" s="160"/>
      <c r="D1040" s="161"/>
    </row>
    <row r="1041" spans="1:4" ht="34.5" customHeight="1" thickBot="1">
      <c r="A1041" s="162"/>
      <c r="B1041" s="163"/>
      <c r="C1041" s="163"/>
      <c r="D1041" s="164"/>
    </row>
    <row r="1042" spans="1:4" ht="34.5" customHeight="1" thickBot="1">
      <c r="A1042" s="142" t="s">
        <v>11</v>
      </c>
      <c r="B1042" s="143"/>
      <c r="C1042" s="165" t="s">
        <v>591</v>
      </c>
      <c r="D1042" s="143"/>
    </row>
    <row r="1043" spans="1:4" ht="34.5" customHeight="1" thickBot="1">
      <c r="A1043" s="137" t="s">
        <v>497</v>
      </c>
      <c r="B1043" s="138"/>
      <c r="C1043" s="138"/>
      <c r="D1043" s="139"/>
    </row>
    <row r="1044" spans="1:4" ht="34.5" customHeight="1" thickBot="1">
      <c r="A1044" s="34" t="s">
        <v>487</v>
      </c>
      <c r="B1044" s="32" t="s">
        <v>438</v>
      </c>
      <c r="C1044" s="34">
        <v>34</v>
      </c>
      <c r="D1044" s="32" t="s">
        <v>0</v>
      </c>
    </row>
    <row r="1045" spans="1:4" ht="34.5" customHeight="1" thickBot="1">
      <c r="A1045" s="37" t="s">
        <v>673</v>
      </c>
      <c r="B1045" s="36" t="s">
        <v>1</v>
      </c>
      <c r="C1045" s="34" t="s">
        <v>674</v>
      </c>
      <c r="D1045" s="32" t="s">
        <v>2</v>
      </c>
    </row>
    <row r="1046" spans="1:4" ht="34.5" customHeight="1" thickBot="1">
      <c r="A1046" s="140">
        <v>200</v>
      </c>
      <c r="B1046" s="141"/>
      <c r="C1046" s="142" t="s">
        <v>3</v>
      </c>
      <c r="D1046" s="143"/>
    </row>
    <row r="1047" spans="1:4" ht="34.5" customHeight="1" thickBot="1">
      <c r="A1047" s="140">
        <v>219</v>
      </c>
      <c r="B1047" s="141"/>
      <c r="C1047" s="144" t="s">
        <v>4</v>
      </c>
      <c r="D1047" s="145"/>
    </row>
    <row r="1048" spans="1:4" ht="34.5" customHeight="1" thickBot="1">
      <c r="A1048" s="146">
        <f>A1047-A1046</f>
        <v>19</v>
      </c>
      <c r="B1048" s="147"/>
      <c r="C1048" s="148"/>
      <c r="D1048" s="35" t="s">
        <v>5</v>
      </c>
    </row>
    <row r="1049" spans="1:4" ht="34.5" customHeight="1" thickBot="1">
      <c r="A1049" s="149">
        <v>23</v>
      </c>
      <c r="B1049" s="150"/>
      <c r="C1049" s="151"/>
      <c r="D1049" s="35" t="s">
        <v>6</v>
      </c>
    </row>
    <row r="1050" spans="1:4" ht="34.5" customHeight="1" thickBot="1">
      <c r="A1050" s="144">
        <f>A1049*A1048</f>
        <v>437</v>
      </c>
      <c r="B1050" s="152"/>
      <c r="C1050" s="145"/>
      <c r="D1050" s="35" t="s">
        <v>7</v>
      </c>
    </row>
    <row r="1051" spans="1:4" ht="34.5" customHeight="1" thickBot="1">
      <c r="A1051" s="144">
        <v>0</v>
      </c>
      <c r="B1051" s="152"/>
      <c r="C1051" s="145"/>
      <c r="D1051" s="35" t="s">
        <v>437</v>
      </c>
    </row>
    <row r="1052" spans="1:4" ht="34.5" customHeight="1" thickBot="1">
      <c r="A1052" s="34">
        <v>0</v>
      </c>
      <c r="B1052" s="32" t="s">
        <v>8</v>
      </c>
      <c r="C1052" s="33">
        <v>440</v>
      </c>
      <c r="D1052" s="32" t="s">
        <v>9</v>
      </c>
    </row>
    <row r="1053" spans="1:4" ht="34.5" customHeight="1" thickBot="1">
      <c r="A1053" s="153" t="s">
        <v>436</v>
      </c>
      <c r="B1053" s="154"/>
      <c r="C1053" s="154"/>
      <c r="D1053" s="155"/>
    </row>
    <row r="1054" spans="1:4" ht="34.5" customHeight="1" thickBot="1">
      <c r="A1054" s="156" t="s">
        <v>435</v>
      </c>
      <c r="B1054" s="157"/>
      <c r="C1054" s="157"/>
      <c r="D1054" s="158"/>
    </row>
    <row r="1055" spans="1:4" ht="34.5" customHeight="1">
      <c r="A1055" s="159" t="s">
        <v>442</v>
      </c>
      <c r="B1055" s="160" t="s">
        <v>441</v>
      </c>
      <c r="C1055" s="160"/>
      <c r="D1055" s="161"/>
    </row>
    <row r="1056" spans="1:4" ht="34.5" customHeight="1" thickBot="1">
      <c r="A1056" s="162"/>
      <c r="B1056" s="163"/>
      <c r="C1056" s="163"/>
      <c r="D1056" s="164"/>
    </row>
    <row r="1057" spans="1:4" ht="34.5" customHeight="1" thickBot="1">
      <c r="A1057" s="142" t="s">
        <v>11</v>
      </c>
      <c r="B1057" s="143"/>
      <c r="C1057" s="165" t="s">
        <v>591</v>
      </c>
      <c r="D1057" s="143"/>
    </row>
    <row r="1058" spans="1:4" ht="34.5" customHeight="1" thickBot="1">
      <c r="A1058" s="137" t="s">
        <v>496</v>
      </c>
      <c r="B1058" s="138"/>
      <c r="C1058" s="138"/>
      <c r="D1058" s="139"/>
    </row>
    <row r="1059" spans="1:4" ht="34.5" customHeight="1" thickBot="1">
      <c r="A1059" s="34" t="s">
        <v>487</v>
      </c>
      <c r="B1059" s="32" t="s">
        <v>438</v>
      </c>
      <c r="C1059" s="34">
        <v>35</v>
      </c>
      <c r="D1059" s="32" t="s">
        <v>0</v>
      </c>
    </row>
    <row r="1060" spans="1:4" ht="34.5" customHeight="1" thickBot="1">
      <c r="A1060" s="37" t="s">
        <v>673</v>
      </c>
      <c r="B1060" s="36" t="s">
        <v>1</v>
      </c>
      <c r="C1060" s="34" t="s">
        <v>674</v>
      </c>
      <c r="D1060" s="32" t="s">
        <v>2</v>
      </c>
    </row>
    <row r="1061" spans="1:4" ht="34.5" customHeight="1" thickBot="1">
      <c r="A1061" s="140">
        <v>136</v>
      </c>
      <c r="B1061" s="141"/>
      <c r="C1061" s="142" t="s">
        <v>3</v>
      </c>
      <c r="D1061" s="143"/>
    </row>
    <row r="1062" spans="1:4" ht="34.5" customHeight="1" thickBot="1">
      <c r="A1062" s="140">
        <v>136</v>
      </c>
      <c r="B1062" s="141"/>
      <c r="C1062" s="144" t="s">
        <v>4</v>
      </c>
      <c r="D1062" s="145"/>
    </row>
    <row r="1063" spans="1:4" ht="34.5" customHeight="1" thickBot="1">
      <c r="A1063" s="146">
        <f>A1062-A1061</f>
        <v>0</v>
      </c>
      <c r="B1063" s="147"/>
      <c r="C1063" s="148"/>
      <c r="D1063" s="35" t="s">
        <v>5</v>
      </c>
    </row>
    <row r="1064" spans="1:4" ht="34.5" customHeight="1" thickBot="1">
      <c r="A1064" s="149">
        <v>23</v>
      </c>
      <c r="B1064" s="150"/>
      <c r="C1064" s="151"/>
      <c r="D1064" s="35" t="s">
        <v>6</v>
      </c>
    </row>
    <row r="1065" spans="1:4" ht="34.5" customHeight="1" thickBot="1">
      <c r="A1065" s="144">
        <f>A1064*A1063</f>
        <v>0</v>
      </c>
      <c r="B1065" s="152"/>
      <c r="C1065" s="145"/>
      <c r="D1065" s="35" t="s">
        <v>7</v>
      </c>
    </row>
    <row r="1066" spans="1:4" ht="34.5" customHeight="1" thickBot="1">
      <c r="A1066" s="144">
        <v>0</v>
      </c>
      <c r="B1066" s="152"/>
      <c r="C1066" s="145"/>
      <c r="D1066" s="35" t="s">
        <v>437</v>
      </c>
    </row>
    <row r="1067" spans="1:4" ht="34.5" customHeight="1" thickBot="1">
      <c r="A1067" s="34">
        <v>0</v>
      </c>
      <c r="B1067" s="32" t="s">
        <v>8</v>
      </c>
      <c r="C1067" s="33">
        <v>370</v>
      </c>
      <c r="D1067" s="32" t="s">
        <v>9</v>
      </c>
    </row>
    <row r="1068" spans="1:4" ht="34.5" customHeight="1" thickBot="1">
      <c r="A1068" s="153" t="s">
        <v>436</v>
      </c>
      <c r="B1068" s="154"/>
      <c r="C1068" s="154"/>
      <c r="D1068" s="155"/>
    </row>
    <row r="1069" spans="1:4" ht="34.5" customHeight="1" thickBot="1">
      <c r="A1069" s="156" t="s">
        <v>435</v>
      </c>
      <c r="B1069" s="157"/>
      <c r="C1069" s="157"/>
      <c r="D1069" s="158"/>
    </row>
    <row r="1070" spans="1:4" ht="34.5" customHeight="1" thickBot="1">
      <c r="A1070" s="40"/>
      <c r="B1070" s="39"/>
      <c r="C1070" s="39"/>
      <c r="D1070" s="38"/>
    </row>
    <row r="1071" spans="1:4" ht="34.5" customHeight="1">
      <c r="A1071" s="159" t="s">
        <v>442</v>
      </c>
      <c r="B1071" s="160" t="s">
        <v>441</v>
      </c>
      <c r="C1071" s="160"/>
      <c r="D1071" s="161"/>
    </row>
    <row r="1072" spans="1:4" ht="34.5" customHeight="1" thickBot="1">
      <c r="A1072" s="162"/>
      <c r="B1072" s="163"/>
      <c r="C1072" s="163"/>
      <c r="D1072" s="164"/>
    </row>
    <row r="1073" spans="1:4" ht="34.5" customHeight="1" thickBot="1">
      <c r="A1073" s="142" t="s">
        <v>11</v>
      </c>
      <c r="B1073" s="143"/>
      <c r="C1073" s="165" t="s">
        <v>591</v>
      </c>
      <c r="D1073" s="143"/>
    </row>
    <row r="1074" spans="1:4" ht="34.5" customHeight="1" thickBot="1">
      <c r="A1074" s="137" t="s">
        <v>496</v>
      </c>
      <c r="B1074" s="138"/>
      <c r="C1074" s="138"/>
      <c r="D1074" s="139"/>
    </row>
    <row r="1075" spans="1:4" ht="34.5" customHeight="1" thickBot="1">
      <c r="A1075" s="34" t="s">
        <v>487</v>
      </c>
      <c r="B1075" s="32" t="s">
        <v>438</v>
      </c>
      <c r="C1075" s="34">
        <v>35</v>
      </c>
      <c r="D1075" s="32" t="s">
        <v>0</v>
      </c>
    </row>
    <row r="1076" spans="1:4" ht="34.5" customHeight="1" thickBot="1">
      <c r="A1076" s="37" t="s">
        <v>673</v>
      </c>
      <c r="B1076" s="36" t="s">
        <v>1</v>
      </c>
      <c r="C1076" s="34" t="s">
        <v>674</v>
      </c>
      <c r="D1076" s="32" t="s">
        <v>2</v>
      </c>
    </row>
    <row r="1077" spans="1:4" ht="34.5" customHeight="1" thickBot="1">
      <c r="A1077" s="140">
        <v>120</v>
      </c>
      <c r="B1077" s="141"/>
      <c r="C1077" s="142" t="s">
        <v>3</v>
      </c>
      <c r="D1077" s="143"/>
    </row>
    <row r="1078" spans="1:4" ht="34.5" customHeight="1" thickBot="1">
      <c r="A1078" s="140">
        <v>136</v>
      </c>
      <c r="B1078" s="141"/>
      <c r="C1078" s="144" t="s">
        <v>4</v>
      </c>
      <c r="D1078" s="145"/>
    </row>
    <row r="1079" spans="1:4" ht="34.5" customHeight="1" thickBot="1">
      <c r="A1079" s="146">
        <f>A1078-A1077</f>
        <v>16</v>
      </c>
      <c r="B1079" s="147"/>
      <c r="C1079" s="148"/>
      <c r="D1079" s="35" t="s">
        <v>5</v>
      </c>
    </row>
    <row r="1080" spans="1:4" ht="34.5" customHeight="1" thickBot="1">
      <c r="A1080" s="149">
        <v>23</v>
      </c>
      <c r="B1080" s="150"/>
      <c r="C1080" s="151"/>
      <c r="D1080" s="35" t="s">
        <v>6</v>
      </c>
    </row>
    <row r="1081" spans="1:4" ht="34.5" customHeight="1" thickBot="1">
      <c r="A1081" s="144">
        <f>A1080*A1079</f>
        <v>368</v>
      </c>
      <c r="B1081" s="152"/>
      <c r="C1081" s="145"/>
      <c r="D1081" s="35" t="s">
        <v>7</v>
      </c>
    </row>
    <row r="1082" spans="1:4" ht="34.5" customHeight="1" thickBot="1">
      <c r="A1082" s="144">
        <v>0</v>
      </c>
      <c r="B1082" s="152"/>
      <c r="C1082" s="145"/>
      <c r="D1082" s="35" t="s">
        <v>437</v>
      </c>
    </row>
    <row r="1083" spans="1:4" ht="34.5" customHeight="1" thickBot="1">
      <c r="A1083" s="34">
        <v>0</v>
      </c>
      <c r="B1083" s="32" t="s">
        <v>8</v>
      </c>
      <c r="C1083" s="33">
        <v>370</v>
      </c>
      <c r="D1083" s="32" t="s">
        <v>9</v>
      </c>
    </row>
    <row r="1084" spans="1:4" ht="34.5" customHeight="1" thickBot="1">
      <c r="A1084" s="153" t="s">
        <v>436</v>
      </c>
      <c r="B1084" s="154"/>
      <c r="C1084" s="154"/>
      <c r="D1084" s="155"/>
    </row>
    <row r="1085" spans="1:4" ht="34.5" customHeight="1" thickBot="1">
      <c r="A1085" s="156" t="s">
        <v>435</v>
      </c>
      <c r="B1085" s="157"/>
      <c r="C1085" s="157"/>
      <c r="D1085" s="158"/>
    </row>
    <row r="1086" spans="1:4" ht="34.5" customHeight="1">
      <c r="A1086" s="159" t="s">
        <v>442</v>
      </c>
      <c r="B1086" s="160" t="s">
        <v>441</v>
      </c>
      <c r="C1086" s="160"/>
      <c r="D1086" s="161"/>
    </row>
    <row r="1087" spans="1:4" ht="34.5" customHeight="1" thickBot="1">
      <c r="A1087" s="162"/>
      <c r="B1087" s="163"/>
      <c r="C1087" s="163"/>
      <c r="D1087" s="164"/>
    </row>
    <row r="1088" spans="1:4" ht="34.5" customHeight="1" thickBot="1">
      <c r="A1088" s="142" t="s">
        <v>11</v>
      </c>
      <c r="B1088" s="143"/>
      <c r="C1088" s="165" t="s">
        <v>591</v>
      </c>
      <c r="D1088" s="143"/>
    </row>
    <row r="1089" spans="1:4" ht="34.5" customHeight="1" thickBot="1">
      <c r="A1089" s="137" t="s">
        <v>123</v>
      </c>
      <c r="B1089" s="138"/>
      <c r="C1089" s="138"/>
      <c r="D1089" s="139"/>
    </row>
    <row r="1090" spans="1:4" ht="34.5" customHeight="1" thickBot="1">
      <c r="A1090" s="34" t="s">
        <v>487</v>
      </c>
      <c r="B1090" s="32" t="s">
        <v>438</v>
      </c>
      <c r="C1090" s="34">
        <v>36</v>
      </c>
      <c r="D1090" s="32" t="s">
        <v>0</v>
      </c>
    </row>
    <row r="1091" spans="1:4" ht="34.5" customHeight="1" thickBot="1">
      <c r="A1091" s="37" t="s">
        <v>673</v>
      </c>
      <c r="B1091" s="36" t="s">
        <v>1</v>
      </c>
      <c r="C1091" s="34" t="s">
        <v>674</v>
      </c>
      <c r="D1091" s="32" t="s">
        <v>2</v>
      </c>
    </row>
    <row r="1092" spans="1:4" ht="34.5" customHeight="1" thickBot="1">
      <c r="A1092" s="140">
        <v>322</v>
      </c>
      <c r="B1092" s="141"/>
      <c r="C1092" s="142" t="s">
        <v>3</v>
      </c>
      <c r="D1092" s="143"/>
    </row>
    <row r="1093" spans="1:4" ht="34.5" customHeight="1" thickBot="1">
      <c r="A1093" s="140">
        <v>322</v>
      </c>
      <c r="B1093" s="141"/>
      <c r="C1093" s="144" t="s">
        <v>4</v>
      </c>
      <c r="D1093" s="145"/>
    </row>
    <row r="1094" spans="1:4" ht="34.5" customHeight="1" thickBot="1">
      <c r="A1094" s="146">
        <f>A1093-A1092</f>
        <v>0</v>
      </c>
      <c r="B1094" s="147"/>
      <c r="C1094" s="148"/>
      <c r="D1094" s="35" t="s">
        <v>5</v>
      </c>
    </row>
    <row r="1095" spans="1:4" ht="34.5" customHeight="1" thickBot="1">
      <c r="A1095" s="149">
        <v>23</v>
      </c>
      <c r="B1095" s="150"/>
      <c r="C1095" s="151"/>
      <c r="D1095" s="35" t="s">
        <v>6</v>
      </c>
    </row>
    <row r="1096" spans="1:4" ht="34.5" customHeight="1" thickBot="1">
      <c r="A1096" s="144">
        <f>A1095*A1094</f>
        <v>0</v>
      </c>
      <c r="B1096" s="152"/>
      <c r="C1096" s="145"/>
      <c r="D1096" s="35" t="s">
        <v>7</v>
      </c>
    </row>
    <row r="1097" spans="1:4" ht="34.5" customHeight="1" thickBot="1">
      <c r="A1097" s="144">
        <v>0</v>
      </c>
      <c r="B1097" s="152"/>
      <c r="C1097" s="145"/>
      <c r="D1097" s="35" t="s">
        <v>437</v>
      </c>
    </row>
    <row r="1098" spans="1:4" ht="34.5" customHeight="1" thickBot="1">
      <c r="A1098" s="34">
        <v>0</v>
      </c>
      <c r="B1098" s="32" t="s">
        <v>8</v>
      </c>
      <c r="C1098" s="33">
        <v>1130</v>
      </c>
      <c r="D1098" s="32" t="s">
        <v>9</v>
      </c>
    </row>
    <row r="1099" spans="1:4" ht="34.5" customHeight="1" thickBot="1">
      <c r="A1099" s="153" t="s">
        <v>436</v>
      </c>
      <c r="B1099" s="154"/>
      <c r="C1099" s="154"/>
      <c r="D1099" s="155"/>
    </row>
    <row r="1100" spans="1:4" ht="34.5" customHeight="1" thickBot="1">
      <c r="A1100" s="156" t="s">
        <v>435</v>
      </c>
      <c r="B1100" s="157"/>
      <c r="C1100" s="157"/>
      <c r="D1100" s="158"/>
    </row>
    <row r="1101" spans="1:4" ht="34.5" customHeight="1" thickBot="1">
      <c r="A1101" s="40"/>
      <c r="B1101" s="39"/>
      <c r="C1101" s="39"/>
      <c r="D1101" s="38"/>
    </row>
    <row r="1102" spans="1:4" ht="34.5" customHeight="1">
      <c r="A1102" s="159" t="s">
        <v>442</v>
      </c>
      <c r="B1102" s="160" t="s">
        <v>441</v>
      </c>
      <c r="C1102" s="160"/>
      <c r="D1102" s="161"/>
    </row>
    <row r="1103" spans="1:4" ht="34.5" customHeight="1" thickBot="1">
      <c r="A1103" s="162"/>
      <c r="B1103" s="163"/>
      <c r="C1103" s="163"/>
      <c r="D1103" s="164"/>
    </row>
    <row r="1104" spans="1:4" ht="34.5" customHeight="1" thickBot="1">
      <c r="A1104" s="142" t="s">
        <v>11</v>
      </c>
      <c r="B1104" s="143"/>
      <c r="C1104" s="165" t="s">
        <v>591</v>
      </c>
      <c r="D1104" s="143"/>
    </row>
    <row r="1105" spans="1:4" ht="34.5" customHeight="1" thickBot="1">
      <c r="A1105" s="137" t="s">
        <v>123</v>
      </c>
      <c r="B1105" s="138"/>
      <c r="C1105" s="138"/>
      <c r="D1105" s="139"/>
    </row>
    <row r="1106" spans="1:4" ht="34.5" customHeight="1" thickBot="1">
      <c r="A1106" s="34" t="s">
        <v>487</v>
      </c>
      <c r="B1106" s="32" t="s">
        <v>438</v>
      </c>
      <c r="C1106" s="34">
        <v>36</v>
      </c>
      <c r="D1106" s="32" t="s">
        <v>0</v>
      </c>
    </row>
    <row r="1107" spans="1:4" ht="34.5" customHeight="1" thickBot="1">
      <c r="A1107" s="37" t="s">
        <v>673</v>
      </c>
      <c r="B1107" s="36" t="s">
        <v>1</v>
      </c>
      <c r="C1107" s="34" t="s">
        <v>674</v>
      </c>
      <c r="D1107" s="32" t="s">
        <v>2</v>
      </c>
    </row>
    <row r="1108" spans="1:4" ht="34.5" customHeight="1" thickBot="1">
      <c r="A1108" s="140">
        <v>273</v>
      </c>
      <c r="B1108" s="141"/>
      <c r="C1108" s="142" t="s">
        <v>3</v>
      </c>
      <c r="D1108" s="143"/>
    </row>
    <row r="1109" spans="1:4" ht="34.5" customHeight="1" thickBot="1">
      <c r="A1109" s="140">
        <v>322</v>
      </c>
      <c r="B1109" s="141"/>
      <c r="C1109" s="144" t="s">
        <v>4</v>
      </c>
      <c r="D1109" s="145"/>
    </row>
    <row r="1110" spans="1:4" ht="34.5" customHeight="1" thickBot="1">
      <c r="A1110" s="146">
        <f>A1109-A1108</f>
        <v>49</v>
      </c>
      <c r="B1110" s="147"/>
      <c r="C1110" s="148"/>
      <c r="D1110" s="35" t="s">
        <v>5</v>
      </c>
    </row>
    <row r="1111" spans="1:4" ht="34.5" customHeight="1" thickBot="1">
      <c r="A1111" s="149">
        <v>23</v>
      </c>
      <c r="B1111" s="150"/>
      <c r="C1111" s="151"/>
      <c r="D1111" s="35" t="s">
        <v>6</v>
      </c>
    </row>
    <row r="1112" spans="1:4" ht="34.5" customHeight="1" thickBot="1">
      <c r="A1112" s="144">
        <f>A1111*A1110</f>
        <v>1127</v>
      </c>
      <c r="B1112" s="152"/>
      <c r="C1112" s="145"/>
      <c r="D1112" s="35" t="s">
        <v>7</v>
      </c>
    </row>
    <row r="1113" spans="1:4" ht="34.5" customHeight="1" thickBot="1">
      <c r="A1113" s="144">
        <v>0</v>
      </c>
      <c r="B1113" s="152"/>
      <c r="C1113" s="145"/>
      <c r="D1113" s="35" t="s">
        <v>437</v>
      </c>
    </row>
    <row r="1114" spans="1:4" ht="34.5" customHeight="1" thickBot="1">
      <c r="A1114" s="34">
        <v>0</v>
      </c>
      <c r="B1114" s="32" t="s">
        <v>8</v>
      </c>
      <c r="C1114" s="33">
        <v>1130</v>
      </c>
      <c r="D1114" s="32" t="s">
        <v>9</v>
      </c>
    </row>
    <row r="1115" spans="1:4" ht="34.5" customHeight="1" thickBot="1">
      <c r="A1115" s="153" t="s">
        <v>436</v>
      </c>
      <c r="B1115" s="154"/>
      <c r="C1115" s="154"/>
      <c r="D1115" s="155"/>
    </row>
    <row r="1116" spans="1:4" ht="34.5" customHeight="1" thickBot="1">
      <c r="A1116" s="156" t="s">
        <v>435</v>
      </c>
      <c r="B1116" s="157"/>
      <c r="C1116" s="157"/>
      <c r="D1116" s="158"/>
    </row>
    <row r="1117" spans="1:4" ht="34.5" customHeight="1">
      <c r="A1117" s="159" t="s">
        <v>442</v>
      </c>
      <c r="B1117" s="160" t="s">
        <v>441</v>
      </c>
      <c r="C1117" s="160"/>
      <c r="D1117" s="161"/>
    </row>
    <row r="1118" spans="1:4" ht="34.5" customHeight="1" thickBot="1">
      <c r="A1118" s="162"/>
      <c r="B1118" s="163"/>
      <c r="C1118" s="163"/>
      <c r="D1118" s="164"/>
    </row>
    <row r="1119" spans="1:4" ht="34.5" customHeight="1" thickBot="1">
      <c r="A1119" s="142" t="s">
        <v>11</v>
      </c>
      <c r="B1119" s="143"/>
      <c r="C1119" s="165" t="s">
        <v>591</v>
      </c>
      <c r="D1119" s="143"/>
    </row>
    <row r="1120" spans="1:4" ht="34.5" customHeight="1" thickBot="1">
      <c r="A1120" s="137" t="s">
        <v>413</v>
      </c>
      <c r="B1120" s="138"/>
      <c r="C1120" s="138"/>
      <c r="D1120" s="139"/>
    </row>
    <row r="1121" spans="1:4" ht="34.5" customHeight="1" thickBot="1">
      <c r="A1121" s="34" t="s">
        <v>487</v>
      </c>
      <c r="B1121" s="32" t="s">
        <v>438</v>
      </c>
      <c r="C1121" s="34">
        <v>37</v>
      </c>
      <c r="D1121" s="32" t="s">
        <v>0</v>
      </c>
    </row>
    <row r="1122" spans="1:4" ht="34.5" customHeight="1" thickBot="1">
      <c r="A1122" s="37" t="s">
        <v>673</v>
      </c>
      <c r="B1122" s="36" t="s">
        <v>1</v>
      </c>
      <c r="C1122" s="34" t="s">
        <v>674</v>
      </c>
      <c r="D1122" s="32" t="s">
        <v>2</v>
      </c>
    </row>
    <row r="1123" spans="1:4" ht="34.5" customHeight="1" thickBot="1">
      <c r="A1123" s="140">
        <v>215</v>
      </c>
      <c r="B1123" s="141"/>
      <c r="C1123" s="142" t="s">
        <v>3</v>
      </c>
      <c r="D1123" s="143"/>
    </row>
    <row r="1124" spans="1:4" ht="34.5" customHeight="1" thickBot="1">
      <c r="A1124" s="140">
        <v>215</v>
      </c>
      <c r="B1124" s="141"/>
      <c r="C1124" s="144" t="s">
        <v>4</v>
      </c>
      <c r="D1124" s="145"/>
    </row>
    <row r="1125" spans="1:4" ht="34.5" customHeight="1" thickBot="1">
      <c r="A1125" s="146">
        <f>A1124-A1123</f>
        <v>0</v>
      </c>
      <c r="B1125" s="147"/>
      <c r="C1125" s="148"/>
      <c r="D1125" s="35" t="s">
        <v>5</v>
      </c>
    </row>
    <row r="1126" spans="1:4" ht="34.5" customHeight="1" thickBot="1">
      <c r="A1126" s="149">
        <v>23</v>
      </c>
      <c r="B1126" s="150"/>
      <c r="C1126" s="151"/>
      <c r="D1126" s="35" t="s">
        <v>6</v>
      </c>
    </row>
    <row r="1127" spans="1:4" ht="34.5" customHeight="1" thickBot="1">
      <c r="A1127" s="144">
        <f>A1126*A1125</f>
        <v>0</v>
      </c>
      <c r="B1127" s="152"/>
      <c r="C1127" s="145"/>
      <c r="D1127" s="35" t="s">
        <v>7</v>
      </c>
    </row>
    <row r="1128" spans="1:4" ht="34.5" customHeight="1" thickBot="1">
      <c r="A1128" s="144">
        <v>0</v>
      </c>
      <c r="B1128" s="152"/>
      <c r="C1128" s="145"/>
      <c r="D1128" s="35" t="s">
        <v>437</v>
      </c>
    </row>
    <row r="1129" spans="1:4" ht="34.5" customHeight="1" thickBot="1">
      <c r="A1129" s="34">
        <v>0</v>
      </c>
      <c r="B1129" s="32" t="s">
        <v>8</v>
      </c>
      <c r="C1129" s="33">
        <v>390</v>
      </c>
      <c r="D1129" s="32" t="s">
        <v>9</v>
      </c>
    </row>
    <row r="1130" spans="1:4" ht="34.5" customHeight="1" thickBot="1">
      <c r="A1130" s="153" t="s">
        <v>436</v>
      </c>
      <c r="B1130" s="154"/>
      <c r="C1130" s="154"/>
      <c r="D1130" s="155"/>
    </row>
    <row r="1131" spans="1:4" ht="34.5" customHeight="1" thickBot="1">
      <c r="A1131" s="156" t="s">
        <v>435</v>
      </c>
      <c r="B1131" s="157"/>
      <c r="C1131" s="157"/>
      <c r="D1131" s="158"/>
    </row>
    <row r="1132" spans="1:4" ht="34.5" customHeight="1" thickBot="1">
      <c r="A1132" s="40"/>
      <c r="B1132" s="39"/>
      <c r="C1132" s="39"/>
      <c r="D1132" s="38"/>
    </row>
    <row r="1133" spans="1:4" ht="34.5" customHeight="1">
      <c r="A1133" s="159" t="s">
        <v>442</v>
      </c>
      <c r="B1133" s="160" t="s">
        <v>441</v>
      </c>
      <c r="C1133" s="160"/>
      <c r="D1133" s="161"/>
    </row>
    <row r="1134" spans="1:4" ht="34.5" customHeight="1" thickBot="1">
      <c r="A1134" s="162"/>
      <c r="B1134" s="163"/>
      <c r="C1134" s="163"/>
      <c r="D1134" s="164"/>
    </row>
    <row r="1135" spans="1:4" ht="34.5" customHeight="1" thickBot="1">
      <c r="A1135" s="142" t="s">
        <v>11</v>
      </c>
      <c r="B1135" s="143"/>
      <c r="C1135" s="165" t="s">
        <v>591</v>
      </c>
      <c r="D1135" s="143"/>
    </row>
    <row r="1136" spans="1:4" ht="34.5" customHeight="1" thickBot="1">
      <c r="A1136" s="137" t="s">
        <v>413</v>
      </c>
      <c r="B1136" s="138"/>
      <c r="C1136" s="138"/>
      <c r="D1136" s="139"/>
    </row>
    <row r="1137" spans="1:4" ht="34.5" customHeight="1" thickBot="1">
      <c r="A1137" s="34" t="s">
        <v>487</v>
      </c>
      <c r="B1137" s="32" t="s">
        <v>438</v>
      </c>
      <c r="C1137" s="34">
        <v>37</v>
      </c>
      <c r="D1137" s="32" t="s">
        <v>0</v>
      </c>
    </row>
    <row r="1138" spans="1:4" ht="34.5" customHeight="1" thickBot="1">
      <c r="A1138" s="37" t="s">
        <v>673</v>
      </c>
      <c r="B1138" s="36" t="s">
        <v>1</v>
      </c>
      <c r="C1138" s="34" t="s">
        <v>674</v>
      </c>
      <c r="D1138" s="32" t="s">
        <v>2</v>
      </c>
    </row>
    <row r="1139" spans="1:4" ht="34.5" customHeight="1" thickBot="1">
      <c r="A1139" s="140">
        <v>198</v>
      </c>
      <c r="B1139" s="141"/>
      <c r="C1139" s="142" t="s">
        <v>3</v>
      </c>
      <c r="D1139" s="143"/>
    </row>
    <row r="1140" spans="1:4" ht="34.5" customHeight="1" thickBot="1">
      <c r="A1140" s="140">
        <v>215</v>
      </c>
      <c r="B1140" s="141"/>
      <c r="C1140" s="144" t="s">
        <v>4</v>
      </c>
      <c r="D1140" s="145"/>
    </row>
    <row r="1141" spans="1:4" ht="34.5" customHeight="1" thickBot="1">
      <c r="A1141" s="146">
        <f>A1140-A1139</f>
        <v>17</v>
      </c>
      <c r="B1141" s="147"/>
      <c r="C1141" s="148"/>
      <c r="D1141" s="35" t="s">
        <v>5</v>
      </c>
    </row>
    <row r="1142" spans="1:4" ht="34.5" customHeight="1" thickBot="1">
      <c r="A1142" s="149">
        <v>23</v>
      </c>
      <c r="B1142" s="150"/>
      <c r="C1142" s="151"/>
      <c r="D1142" s="35" t="s">
        <v>6</v>
      </c>
    </row>
    <row r="1143" spans="1:4" ht="34.5" customHeight="1" thickBot="1">
      <c r="A1143" s="144">
        <f>A1142*A1141</f>
        <v>391</v>
      </c>
      <c r="B1143" s="152"/>
      <c r="C1143" s="145"/>
      <c r="D1143" s="35" t="s">
        <v>7</v>
      </c>
    </row>
    <row r="1144" spans="1:4" ht="34.5" customHeight="1" thickBot="1">
      <c r="A1144" s="144">
        <v>0</v>
      </c>
      <c r="B1144" s="152"/>
      <c r="C1144" s="145"/>
      <c r="D1144" s="35" t="s">
        <v>437</v>
      </c>
    </row>
    <row r="1145" spans="1:4" ht="34.5" customHeight="1" thickBot="1">
      <c r="A1145" s="34">
        <v>0</v>
      </c>
      <c r="B1145" s="32" t="s">
        <v>8</v>
      </c>
      <c r="C1145" s="33">
        <v>390</v>
      </c>
      <c r="D1145" s="32" t="s">
        <v>9</v>
      </c>
    </row>
    <row r="1146" spans="1:4" ht="34.5" customHeight="1" thickBot="1">
      <c r="A1146" s="153" t="s">
        <v>436</v>
      </c>
      <c r="B1146" s="154"/>
      <c r="C1146" s="154"/>
      <c r="D1146" s="155"/>
    </row>
    <row r="1147" spans="1:4" ht="34.5" customHeight="1" thickBot="1">
      <c r="A1147" s="156" t="s">
        <v>435</v>
      </c>
      <c r="B1147" s="157"/>
      <c r="C1147" s="157"/>
      <c r="D1147" s="158"/>
    </row>
    <row r="1148" spans="1:4" ht="34.5" customHeight="1">
      <c r="A1148" s="159" t="s">
        <v>442</v>
      </c>
      <c r="B1148" s="160" t="s">
        <v>441</v>
      </c>
      <c r="C1148" s="160"/>
      <c r="D1148" s="161"/>
    </row>
    <row r="1149" spans="1:4" ht="34.5" customHeight="1" thickBot="1">
      <c r="A1149" s="162"/>
      <c r="B1149" s="163"/>
      <c r="C1149" s="163"/>
      <c r="D1149" s="164"/>
    </row>
    <row r="1150" spans="1:4" ht="34.5" customHeight="1" thickBot="1">
      <c r="A1150" s="142" t="s">
        <v>11</v>
      </c>
      <c r="B1150" s="143"/>
      <c r="C1150" s="165" t="s">
        <v>591</v>
      </c>
      <c r="D1150" s="143"/>
    </row>
    <row r="1151" spans="1:4" ht="34.5" customHeight="1" thickBot="1">
      <c r="A1151" s="137" t="s">
        <v>495</v>
      </c>
      <c r="B1151" s="138"/>
      <c r="C1151" s="138"/>
      <c r="D1151" s="139"/>
    </row>
    <row r="1152" spans="1:4" ht="34.5" customHeight="1" thickBot="1">
      <c r="A1152" s="34" t="s">
        <v>487</v>
      </c>
      <c r="B1152" s="32" t="s">
        <v>438</v>
      </c>
      <c r="C1152" s="34">
        <v>38</v>
      </c>
      <c r="D1152" s="32" t="s">
        <v>0</v>
      </c>
    </row>
    <row r="1153" spans="1:4" ht="34.5" customHeight="1" thickBot="1">
      <c r="A1153" s="37" t="s">
        <v>673</v>
      </c>
      <c r="B1153" s="36" t="s">
        <v>1</v>
      </c>
      <c r="C1153" s="34" t="s">
        <v>674</v>
      </c>
      <c r="D1153" s="32" t="s">
        <v>2</v>
      </c>
    </row>
    <row r="1154" spans="1:4" ht="34.5" customHeight="1" thickBot="1">
      <c r="A1154" s="140">
        <v>93</v>
      </c>
      <c r="B1154" s="141"/>
      <c r="C1154" s="142" t="s">
        <v>3</v>
      </c>
      <c r="D1154" s="143"/>
    </row>
    <row r="1155" spans="1:4" ht="34.5" customHeight="1" thickBot="1">
      <c r="A1155" s="140">
        <v>93</v>
      </c>
      <c r="B1155" s="141"/>
      <c r="C1155" s="144" t="s">
        <v>4</v>
      </c>
      <c r="D1155" s="145"/>
    </row>
    <row r="1156" spans="1:4" ht="34.5" customHeight="1" thickBot="1">
      <c r="A1156" s="146">
        <f>A1155-A1154</f>
        <v>0</v>
      </c>
      <c r="B1156" s="147"/>
      <c r="C1156" s="148"/>
      <c r="D1156" s="35" t="s">
        <v>5</v>
      </c>
    </row>
    <row r="1157" spans="1:4" ht="34.5" customHeight="1" thickBot="1">
      <c r="A1157" s="149">
        <v>23</v>
      </c>
      <c r="B1157" s="150"/>
      <c r="C1157" s="151"/>
      <c r="D1157" s="35" t="s">
        <v>6</v>
      </c>
    </row>
    <row r="1158" spans="1:4" ht="34.5" customHeight="1" thickBot="1">
      <c r="A1158" s="144">
        <f>A1157*A1156</f>
        <v>0</v>
      </c>
      <c r="B1158" s="152"/>
      <c r="C1158" s="145"/>
      <c r="D1158" s="35" t="s">
        <v>7</v>
      </c>
    </row>
    <row r="1159" spans="1:4" ht="34.5" customHeight="1" thickBot="1">
      <c r="A1159" s="144">
        <v>0</v>
      </c>
      <c r="B1159" s="152"/>
      <c r="C1159" s="145"/>
      <c r="D1159" s="35" t="s">
        <v>437</v>
      </c>
    </row>
    <row r="1160" spans="1:4" ht="34.5" customHeight="1" thickBot="1">
      <c r="A1160" s="34">
        <v>0</v>
      </c>
      <c r="B1160" s="32" t="s">
        <v>8</v>
      </c>
      <c r="C1160" s="33">
        <v>160</v>
      </c>
      <c r="D1160" s="32" t="s">
        <v>9</v>
      </c>
    </row>
    <row r="1161" spans="1:4" ht="34.5" customHeight="1" thickBot="1">
      <c r="A1161" s="153" t="s">
        <v>436</v>
      </c>
      <c r="B1161" s="154"/>
      <c r="C1161" s="154"/>
      <c r="D1161" s="155"/>
    </row>
    <row r="1162" spans="1:4" ht="34.5" customHeight="1" thickBot="1">
      <c r="A1162" s="156" t="s">
        <v>435</v>
      </c>
      <c r="B1162" s="157"/>
      <c r="C1162" s="157"/>
      <c r="D1162" s="158"/>
    </row>
    <row r="1163" spans="1:4" ht="34.5" customHeight="1" thickBot="1">
      <c r="A1163" s="40"/>
      <c r="B1163" s="39"/>
      <c r="C1163" s="39"/>
      <c r="D1163" s="38"/>
    </row>
    <row r="1164" spans="1:4" ht="34.5" customHeight="1">
      <c r="A1164" s="159" t="s">
        <v>442</v>
      </c>
      <c r="B1164" s="160" t="s">
        <v>441</v>
      </c>
      <c r="C1164" s="160"/>
      <c r="D1164" s="161"/>
    </row>
    <row r="1165" spans="1:4" ht="34.5" customHeight="1" thickBot="1">
      <c r="A1165" s="162"/>
      <c r="B1165" s="163"/>
      <c r="C1165" s="163"/>
      <c r="D1165" s="164"/>
    </row>
    <row r="1166" spans="1:4" ht="34.5" customHeight="1" thickBot="1">
      <c r="A1166" s="142" t="s">
        <v>11</v>
      </c>
      <c r="B1166" s="143"/>
      <c r="C1166" s="165" t="s">
        <v>591</v>
      </c>
      <c r="D1166" s="143"/>
    </row>
    <row r="1167" spans="1:4" ht="34.5" customHeight="1" thickBot="1">
      <c r="A1167" s="137" t="s">
        <v>495</v>
      </c>
      <c r="B1167" s="138"/>
      <c r="C1167" s="138"/>
      <c r="D1167" s="139"/>
    </row>
    <row r="1168" spans="1:4" ht="34.5" customHeight="1" thickBot="1">
      <c r="A1168" s="34" t="s">
        <v>487</v>
      </c>
      <c r="B1168" s="32" t="s">
        <v>438</v>
      </c>
      <c r="C1168" s="34">
        <v>38</v>
      </c>
      <c r="D1168" s="32" t="s">
        <v>0</v>
      </c>
    </row>
    <row r="1169" spans="1:4" ht="34.5" customHeight="1" thickBot="1">
      <c r="A1169" s="37" t="s">
        <v>673</v>
      </c>
      <c r="B1169" s="36" t="s">
        <v>1</v>
      </c>
      <c r="C1169" s="34" t="s">
        <v>674</v>
      </c>
      <c r="D1169" s="32" t="s">
        <v>2</v>
      </c>
    </row>
    <row r="1170" spans="1:4" ht="34.5" customHeight="1" thickBot="1">
      <c r="A1170" s="140">
        <v>86</v>
      </c>
      <c r="B1170" s="141"/>
      <c r="C1170" s="142" t="s">
        <v>3</v>
      </c>
      <c r="D1170" s="143"/>
    </row>
    <row r="1171" spans="1:4" ht="34.5" customHeight="1" thickBot="1">
      <c r="A1171" s="140">
        <v>93</v>
      </c>
      <c r="B1171" s="141"/>
      <c r="C1171" s="144" t="s">
        <v>4</v>
      </c>
      <c r="D1171" s="145"/>
    </row>
    <row r="1172" spans="1:4" ht="34.5" customHeight="1" thickBot="1">
      <c r="A1172" s="146">
        <f>A1171-A1170</f>
        <v>7</v>
      </c>
      <c r="B1172" s="147"/>
      <c r="C1172" s="148"/>
      <c r="D1172" s="35" t="s">
        <v>5</v>
      </c>
    </row>
    <row r="1173" spans="1:4" ht="34.5" customHeight="1" thickBot="1">
      <c r="A1173" s="149">
        <v>23</v>
      </c>
      <c r="B1173" s="150"/>
      <c r="C1173" s="151"/>
      <c r="D1173" s="35" t="s">
        <v>6</v>
      </c>
    </row>
    <row r="1174" spans="1:4" ht="34.5" customHeight="1" thickBot="1">
      <c r="A1174" s="144">
        <f>A1173*A1172</f>
        <v>161</v>
      </c>
      <c r="B1174" s="152"/>
      <c r="C1174" s="145"/>
      <c r="D1174" s="35" t="s">
        <v>7</v>
      </c>
    </row>
    <row r="1175" spans="1:4" ht="34.5" customHeight="1" thickBot="1">
      <c r="A1175" s="144">
        <v>0</v>
      </c>
      <c r="B1175" s="152"/>
      <c r="C1175" s="145"/>
      <c r="D1175" s="35" t="s">
        <v>437</v>
      </c>
    </row>
    <row r="1176" spans="1:4" ht="34.5" customHeight="1" thickBot="1">
      <c r="A1176" s="34">
        <v>0</v>
      </c>
      <c r="B1176" s="32" t="s">
        <v>8</v>
      </c>
      <c r="C1176" s="33">
        <v>160</v>
      </c>
      <c r="D1176" s="32" t="s">
        <v>9</v>
      </c>
    </row>
    <row r="1177" spans="1:4" ht="34.5" customHeight="1" thickBot="1">
      <c r="A1177" s="153" t="s">
        <v>436</v>
      </c>
      <c r="B1177" s="154"/>
      <c r="C1177" s="154"/>
      <c r="D1177" s="155"/>
    </row>
    <row r="1178" spans="1:4" ht="34.5" customHeight="1" thickBot="1">
      <c r="A1178" s="156" t="s">
        <v>435</v>
      </c>
      <c r="B1178" s="157"/>
      <c r="C1178" s="157"/>
      <c r="D1178" s="158"/>
    </row>
    <row r="1179" spans="1:4" ht="34.5" customHeight="1">
      <c r="A1179" s="159" t="s">
        <v>442</v>
      </c>
      <c r="B1179" s="160" t="s">
        <v>441</v>
      </c>
      <c r="C1179" s="160"/>
      <c r="D1179" s="161"/>
    </row>
    <row r="1180" spans="1:4" ht="34.5" customHeight="1" thickBot="1">
      <c r="A1180" s="162"/>
      <c r="B1180" s="163"/>
      <c r="C1180" s="163"/>
      <c r="D1180" s="164"/>
    </row>
    <row r="1181" spans="1:4" ht="34.5" customHeight="1" thickBot="1">
      <c r="A1181" s="142" t="s">
        <v>11</v>
      </c>
      <c r="B1181" s="143"/>
      <c r="C1181" s="165" t="s">
        <v>591</v>
      </c>
      <c r="D1181" s="143"/>
    </row>
    <row r="1182" spans="1:4" ht="34.5" customHeight="1" thickBot="1">
      <c r="A1182" s="137" t="s">
        <v>114</v>
      </c>
      <c r="B1182" s="138"/>
      <c r="C1182" s="138"/>
      <c r="D1182" s="139"/>
    </row>
    <row r="1183" spans="1:4" ht="34.5" customHeight="1" thickBot="1">
      <c r="A1183" s="34" t="s">
        <v>487</v>
      </c>
      <c r="B1183" s="32" t="s">
        <v>438</v>
      </c>
      <c r="C1183" s="34">
        <v>39</v>
      </c>
      <c r="D1183" s="32" t="s">
        <v>0</v>
      </c>
    </row>
    <row r="1184" spans="1:4" ht="34.5" customHeight="1" thickBot="1">
      <c r="A1184" s="37" t="s">
        <v>673</v>
      </c>
      <c r="B1184" s="36" t="s">
        <v>1</v>
      </c>
      <c r="C1184" s="34" t="s">
        <v>674</v>
      </c>
      <c r="D1184" s="32" t="s">
        <v>2</v>
      </c>
    </row>
    <row r="1185" spans="1:4" ht="34.5" customHeight="1" thickBot="1">
      <c r="A1185" s="140">
        <v>462</v>
      </c>
      <c r="B1185" s="141"/>
      <c r="C1185" s="142" t="s">
        <v>3</v>
      </c>
      <c r="D1185" s="143"/>
    </row>
    <row r="1186" spans="1:4" ht="34.5" customHeight="1" thickBot="1">
      <c r="A1186" s="140">
        <v>462</v>
      </c>
      <c r="B1186" s="141"/>
      <c r="C1186" s="144" t="s">
        <v>4</v>
      </c>
      <c r="D1186" s="145"/>
    </row>
    <row r="1187" spans="1:4" ht="34.5" customHeight="1" thickBot="1">
      <c r="A1187" s="146">
        <f>A1186-A1185</f>
        <v>0</v>
      </c>
      <c r="B1187" s="147"/>
      <c r="C1187" s="148"/>
      <c r="D1187" s="35" t="s">
        <v>5</v>
      </c>
    </row>
    <row r="1188" spans="1:4" ht="34.5" customHeight="1" thickBot="1">
      <c r="A1188" s="149">
        <v>23</v>
      </c>
      <c r="B1188" s="150"/>
      <c r="C1188" s="151"/>
      <c r="D1188" s="35" t="s">
        <v>6</v>
      </c>
    </row>
    <row r="1189" spans="1:4" ht="34.5" customHeight="1" thickBot="1">
      <c r="A1189" s="144">
        <f>A1188*A1187</f>
        <v>0</v>
      </c>
      <c r="B1189" s="152"/>
      <c r="C1189" s="145"/>
      <c r="D1189" s="35" t="s">
        <v>7</v>
      </c>
    </row>
    <row r="1190" spans="1:4" ht="34.5" customHeight="1" thickBot="1">
      <c r="A1190" s="144">
        <v>0</v>
      </c>
      <c r="B1190" s="152"/>
      <c r="C1190" s="145"/>
      <c r="D1190" s="35" t="s">
        <v>437</v>
      </c>
    </row>
    <row r="1191" spans="1:4" ht="34.5" customHeight="1" thickBot="1">
      <c r="A1191" s="34">
        <v>0</v>
      </c>
      <c r="B1191" s="32" t="s">
        <v>8</v>
      </c>
      <c r="C1191" s="33">
        <v>1380</v>
      </c>
      <c r="D1191" s="32" t="s">
        <v>9</v>
      </c>
    </row>
    <row r="1192" spans="1:4" ht="34.5" customHeight="1" thickBot="1">
      <c r="A1192" s="153" t="s">
        <v>436</v>
      </c>
      <c r="B1192" s="154"/>
      <c r="C1192" s="154"/>
      <c r="D1192" s="155"/>
    </row>
    <row r="1193" spans="1:4" ht="34.5" customHeight="1" thickBot="1">
      <c r="A1193" s="156" t="s">
        <v>435</v>
      </c>
      <c r="B1193" s="157"/>
      <c r="C1193" s="157"/>
      <c r="D1193" s="158"/>
    </row>
    <row r="1194" spans="1:4" ht="34.5" customHeight="1" thickBot="1">
      <c r="A1194" s="40"/>
      <c r="B1194" s="39"/>
      <c r="C1194" s="39"/>
      <c r="D1194" s="38"/>
    </row>
    <row r="1195" spans="1:4" ht="34.5" customHeight="1">
      <c r="A1195" s="159" t="s">
        <v>442</v>
      </c>
      <c r="B1195" s="160" t="s">
        <v>441</v>
      </c>
      <c r="C1195" s="160"/>
      <c r="D1195" s="161"/>
    </row>
    <row r="1196" spans="1:4" ht="34.5" customHeight="1" thickBot="1">
      <c r="A1196" s="162"/>
      <c r="B1196" s="163"/>
      <c r="C1196" s="163"/>
      <c r="D1196" s="164"/>
    </row>
    <row r="1197" spans="1:4" ht="34.5" customHeight="1" thickBot="1">
      <c r="A1197" s="142" t="s">
        <v>11</v>
      </c>
      <c r="B1197" s="143"/>
      <c r="C1197" s="165" t="s">
        <v>591</v>
      </c>
      <c r="D1197" s="143"/>
    </row>
    <row r="1198" spans="1:4" ht="34.5" customHeight="1" thickBot="1">
      <c r="A1198" s="137" t="s">
        <v>114</v>
      </c>
      <c r="B1198" s="138"/>
      <c r="C1198" s="138"/>
      <c r="D1198" s="139"/>
    </row>
    <row r="1199" spans="1:4" ht="34.5" customHeight="1" thickBot="1">
      <c r="A1199" s="34" t="s">
        <v>487</v>
      </c>
      <c r="B1199" s="32" t="s">
        <v>438</v>
      </c>
      <c r="C1199" s="34">
        <v>39</v>
      </c>
      <c r="D1199" s="32" t="s">
        <v>0</v>
      </c>
    </row>
    <row r="1200" spans="1:4" ht="34.5" customHeight="1" thickBot="1">
      <c r="A1200" s="37" t="s">
        <v>673</v>
      </c>
      <c r="B1200" s="36" t="s">
        <v>1</v>
      </c>
      <c r="C1200" s="34" t="s">
        <v>674</v>
      </c>
      <c r="D1200" s="32" t="s">
        <v>2</v>
      </c>
    </row>
    <row r="1201" spans="1:4" ht="34.5" customHeight="1" thickBot="1">
      <c r="A1201" s="140">
        <v>402</v>
      </c>
      <c r="B1201" s="141"/>
      <c r="C1201" s="142" t="s">
        <v>3</v>
      </c>
      <c r="D1201" s="143"/>
    </row>
    <row r="1202" spans="1:4" ht="34.5" customHeight="1" thickBot="1">
      <c r="A1202" s="140">
        <v>462</v>
      </c>
      <c r="B1202" s="141"/>
      <c r="C1202" s="144" t="s">
        <v>4</v>
      </c>
      <c r="D1202" s="145"/>
    </row>
    <row r="1203" spans="1:4" ht="34.5" customHeight="1" thickBot="1">
      <c r="A1203" s="146">
        <f>A1202-A1201</f>
        <v>60</v>
      </c>
      <c r="B1203" s="147"/>
      <c r="C1203" s="148"/>
      <c r="D1203" s="35" t="s">
        <v>5</v>
      </c>
    </row>
    <row r="1204" spans="1:4" ht="34.5" customHeight="1" thickBot="1">
      <c r="A1204" s="149">
        <v>23</v>
      </c>
      <c r="B1204" s="150"/>
      <c r="C1204" s="151"/>
      <c r="D1204" s="35" t="s">
        <v>6</v>
      </c>
    </row>
    <row r="1205" spans="1:4" ht="34.5" customHeight="1" thickBot="1">
      <c r="A1205" s="144">
        <f>A1204*A1203</f>
        <v>1380</v>
      </c>
      <c r="B1205" s="152"/>
      <c r="C1205" s="145"/>
      <c r="D1205" s="35" t="s">
        <v>7</v>
      </c>
    </row>
    <row r="1206" spans="1:4" ht="34.5" customHeight="1" thickBot="1">
      <c r="A1206" s="144">
        <v>0</v>
      </c>
      <c r="B1206" s="152"/>
      <c r="C1206" s="145"/>
      <c r="D1206" s="35" t="s">
        <v>437</v>
      </c>
    </row>
    <row r="1207" spans="1:4" ht="34.5" customHeight="1" thickBot="1">
      <c r="A1207" s="34">
        <v>0</v>
      </c>
      <c r="B1207" s="32" t="s">
        <v>8</v>
      </c>
      <c r="C1207" s="33">
        <v>1380</v>
      </c>
      <c r="D1207" s="32" t="s">
        <v>9</v>
      </c>
    </row>
    <row r="1208" spans="1:4" ht="34.5" customHeight="1" thickBot="1">
      <c r="A1208" s="153" t="s">
        <v>436</v>
      </c>
      <c r="B1208" s="154"/>
      <c r="C1208" s="154"/>
      <c r="D1208" s="155"/>
    </row>
    <row r="1209" spans="1:4" ht="34.5" customHeight="1" thickBot="1">
      <c r="A1209" s="156" t="s">
        <v>435</v>
      </c>
      <c r="B1209" s="157"/>
      <c r="C1209" s="157"/>
      <c r="D1209" s="158"/>
    </row>
    <row r="1210" spans="1:4" ht="34.5" customHeight="1">
      <c r="A1210" s="159" t="s">
        <v>442</v>
      </c>
      <c r="B1210" s="160" t="s">
        <v>441</v>
      </c>
      <c r="C1210" s="160"/>
      <c r="D1210" s="161"/>
    </row>
    <row r="1211" spans="1:4" ht="34.5" customHeight="1" thickBot="1">
      <c r="A1211" s="162"/>
      <c r="B1211" s="163"/>
      <c r="C1211" s="163"/>
      <c r="D1211" s="164"/>
    </row>
    <row r="1212" spans="1:4" ht="34.5" customHeight="1" thickBot="1">
      <c r="A1212" s="142" t="s">
        <v>11</v>
      </c>
      <c r="B1212" s="143"/>
      <c r="C1212" s="165" t="s">
        <v>591</v>
      </c>
      <c r="D1212" s="143"/>
    </row>
    <row r="1213" spans="1:4" ht="34.5" customHeight="1" thickBot="1">
      <c r="A1213" s="137" t="s">
        <v>389</v>
      </c>
      <c r="B1213" s="138"/>
      <c r="C1213" s="138"/>
      <c r="D1213" s="139"/>
    </row>
    <row r="1214" spans="1:4" ht="34.5" customHeight="1" thickBot="1">
      <c r="A1214" s="34" t="s">
        <v>487</v>
      </c>
      <c r="B1214" s="32" t="s">
        <v>438</v>
      </c>
      <c r="C1214" s="34">
        <v>40</v>
      </c>
      <c r="D1214" s="32" t="s">
        <v>0</v>
      </c>
    </row>
    <row r="1215" spans="1:4" ht="34.5" customHeight="1" thickBot="1">
      <c r="A1215" s="37" t="s">
        <v>673</v>
      </c>
      <c r="B1215" s="36" t="s">
        <v>1</v>
      </c>
      <c r="C1215" s="34" t="s">
        <v>674</v>
      </c>
      <c r="D1215" s="32" t="s">
        <v>2</v>
      </c>
    </row>
    <row r="1216" spans="1:4" ht="34.5" customHeight="1" thickBot="1">
      <c r="A1216" s="140">
        <v>578</v>
      </c>
      <c r="B1216" s="141"/>
      <c r="C1216" s="142" t="s">
        <v>3</v>
      </c>
      <c r="D1216" s="143"/>
    </row>
    <row r="1217" spans="1:4" ht="34.5" customHeight="1" thickBot="1">
      <c r="A1217" s="140">
        <v>578</v>
      </c>
      <c r="B1217" s="141"/>
      <c r="C1217" s="144" t="s">
        <v>4</v>
      </c>
      <c r="D1217" s="145"/>
    </row>
    <row r="1218" spans="1:4" ht="34.5" customHeight="1" thickBot="1">
      <c r="A1218" s="146">
        <f>A1217-A1216</f>
        <v>0</v>
      </c>
      <c r="B1218" s="147"/>
      <c r="C1218" s="148"/>
      <c r="D1218" s="35" t="s">
        <v>5</v>
      </c>
    </row>
    <row r="1219" spans="1:4" ht="34.5" customHeight="1" thickBot="1">
      <c r="A1219" s="149">
        <v>23</v>
      </c>
      <c r="B1219" s="150"/>
      <c r="C1219" s="151"/>
      <c r="D1219" s="35" t="s">
        <v>6</v>
      </c>
    </row>
    <row r="1220" spans="1:4" ht="34.5" customHeight="1" thickBot="1">
      <c r="A1220" s="144">
        <f>A1219*A1218</f>
        <v>0</v>
      </c>
      <c r="B1220" s="152"/>
      <c r="C1220" s="145"/>
      <c r="D1220" s="35" t="s">
        <v>7</v>
      </c>
    </row>
    <row r="1221" spans="1:4" ht="34.5" customHeight="1" thickBot="1">
      <c r="A1221" s="144">
        <v>0</v>
      </c>
      <c r="B1221" s="152"/>
      <c r="C1221" s="145"/>
      <c r="D1221" s="35" t="s">
        <v>437</v>
      </c>
    </row>
    <row r="1222" spans="1:4" ht="34.5" customHeight="1" thickBot="1">
      <c r="A1222" s="34">
        <v>0</v>
      </c>
      <c r="B1222" s="32" t="s">
        <v>8</v>
      </c>
      <c r="C1222" s="33">
        <v>1680</v>
      </c>
      <c r="D1222" s="32" t="s">
        <v>9</v>
      </c>
    </row>
    <row r="1223" spans="1:4" ht="34.5" customHeight="1" thickBot="1">
      <c r="A1223" s="153" t="s">
        <v>436</v>
      </c>
      <c r="B1223" s="154"/>
      <c r="C1223" s="154"/>
      <c r="D1223" s="155"/>
    </row>
    <row r="1224" spans="1:4" ht="34.5" customHeight="1" thickBot="1">
      <c r="A1224" s="156" t="s">
        <v>435</v>
      </c>
      <c r="B1224" s="157"/>
      <c r="C1224" s="157"/>
      <c r="D1224" s="158"/>
    </row>
    <row r="1225" spans="1:4" ht="34.5" customHeight="1" thickBot="1">
      <c r="A1225" s="40"/>
      <c r="B1225" s="39"/>
      <c r="C1225" s="39"/>
      <c r="D1225" s="38"/>
    </row>
    <row r="1226" spans="1:4" ht="34.5" customHeight="1">
      <c r="A1226" s="159" t="s">
        <v>442</v>
      </c>
      <c r="B1226" s="160" t="s">
        <v>441</v>
      </c>
      <c r="C1226" s="160"/>
      <c r="D1226" s="161"/>
    </row>
    <row r="1227" spans="1:4" ht="34.5" customHeight="1" thickBot="1">
      <c r="A1227" s="162"/>
      <c r="B1227" s="163"/>
      <c r="C1227" s="163"/>
      <c r="D1227" s="164"/>
    </row>
    <row r="1228" spans="1:4" ht="34.5" customHeight="1" thickBot="1">
      <c r="A1228" s="142" t="s">
        <v>11</v>
      </c>
      <c r="B1228" s="143"/>
      <c r="C1228" s="165" t="s">
        <v>591</v>
      </c>
      <c r="D1228" s="143"/>
    </row>
    <row r="1229" spans="1:4" ht="34.5" customHeight="1" thickBot="1">
      <c r="A1229" s="137" t="s">
        <v>389</v>
      </c>
      <c r="B1229" s="138"/>
      <c r="C1229" s="138"/>
      <c r="D1229" s="139"/>
    </row>
    <row r="1230" spans="1:4" ht="34.5" customHeight="1" thickBot="1">
      <c r="A1230" s="34" t="s">
        <v>487</v>
      </c>
      <c r="B1230" s="32" t="s">
        <v>438</v>
      </c>
      <c r="C1230" s="34">
        <v>40</v>
      </c>
      <c r="D1230" s="32" t="s">
        <v>0</v>
      </c>
    </row>
    <row r="1231" spans="1:4" ht="34.5" customHeight="1" thickBot="1">
      <c r="A1231" s="37" t="s">
        <v>673</v>
      </c>
      <c r="B1231" s="36" t="s">
        <v>1</v>
      </c>
      <c r="C1231" s="34" t="s">
        <v>674</v>
      </c>
      <c r="D1231" s="32" t="s">
        <v>2</v>
      </c>
    </row>
    <row r="1232" spans="1:4" ht="34.5" customHeight="1" thickBot="1">
      <c r="A1232" s="140">
        <v>505</v>
      </c>
      <c r="B1232" s="141"/>
      <c r="C1232" s="142" t="s">
        <v>3</v>
      </c>
      <c r="D1232" s="143"/>
    </row>
    <row r="1233" spans="1:4" ht="34.5" customHeight="1" thickBot="1">
      <c r="A1233" s="140">
        <v>578</v>
      </c>
      <c r="B1233" s="141"/>
      <c r="C1233" s="144" t="s">
        <v>4</v>
      </c>
      <c r="D1233" s="145"/>
    </row>
    <row r="1234" spans="1:4" ht="34.5" customHeight="1" thickBot="1">
      <c r="A1234" s="146">
        <f>A1233-A1232</f>
        <v>73</v>
      </c>
      <c r="B1234" s="147"/>
      <c r="C1234" s="148"/>
      <c r="D1234" s="35" t="s">
        <v>5</v>
      </c>
    </row>
    <row r="1235" spans="1:4" ht="34.5" customHeight="1" thickBot="1">
      <c r="A1235" s="149">
        <v>23</v>
      </c>
      <c r="B1235" s="150"/>
      <c r="C1235" s="151"/>
      <c r="D1235" s="35" t="s">
        <v>6</v>
      </c>
    </row>
    <row r="1236" spans="1:4" ht="34.5" customHeight="1" thickBot="1">
      <c r="A1236" s="144">
        <f>A1235*A1234</f>
        <v>1679</v>
      </c>
      <c r="B1236" s="152"/>
      <c r="C1236" s="145"/>
      <c r="D1236" s="35" t="s">
        <v>7</v>
      </c>
    </row>
    <row r="1237" spans="1:4" ht="34.5" customHeight="1" thickBot="1">
      <c r="A1237" s="144">
        <v>0</v>
      </c>
      <c r="B1237" s="152"/>
      <c r="C1237" s="145"/>
      <c r="D1237" s="35" t="s">
        <v>437</v>
      </c>
    </row>
    <row r="1238" spans="1:4" ht="34.5" customHeight="1" thickBot="1">
      <c r="A1238" s="34">
        <v>0</v>
      </c>
      <c r="B1238" s="32" t="s">
        <v>8</v>
      </c>
      <c r="C1238" s="33">
        <v>1680</v>
      </c>
      <c r="D1238" s="32" t="s">
        <v>9</v>
      </c>
    </row>
    <row r="1239" spans="1:4" ht="34.5" customHeight="1" thickBot="1">
      <c r="A1239" s="153" t="s">
        <v>436</v>
      </c>
      <c r="B1239" s="154"/>
      <c r="C1239" s="154"/>
      <c r="D1239" s="155"/>
    </row>
    <row r="1240" spans="1:4" ht="34.5" customHeight="1" thickBot="1">
      <c r="A1240" s="156" t="s">
        <v>435</v>
      </c>
      <c r="B1240" s="157"/>
      <c r="C1240" s="157"/>
      <c r="D1240" s="158"/>
    </row>
    <row r="1241" spans="1:4" ht="34.5" customHeight="1">
      <c r="A1241" s="159" t="s">
        <v>442</v>
      </c>
      <c r="B1241" s="160" t="s">
        <v>441</v>
      </c>
      <c r="C1241" s="160"/>
      <c r="D1241" s="161"/>
    </row>
    <row r="1242" spans="1:4" ht="34.5" customHeight="1" thickBot="1">
      <c r="A1242" s="162"/>
      <c r="B1242" s="163"/>
      <c r="C1242" s="163"/>
      <c r="D1242" s="164"/>
    </row>
    <row r="1243" spans="1:4" ht="34.5" customHeight="1" thickBot="1">
      <c r="A1243" s="142" t="s">
        <v>11</v>
      </c>
      <c r="B1243" s="143"/>
      <c r="C1243" s="165" t="s">
        <v>591</v>
      </c>
      <c r="D1243" s="143"/>
    </row>
    <row r="1244" spans="1:4" ht="34.5" customHeight="1" thickBot="1">
      <c r="A1244" s="137" t="s">
        <v>325</v>
      </c>
      <c r="B1244" s="138"/>
      <c r="C1244" s="138"/>
      <c r="D1244" s="139"/>
    </row>
    <row r="1245" spans="1:4" ht="34.5" customHeight="1" thickBot="1">
      <c r="A1245" s="34" t="s">
        <v>487</v>
      </c>
      <c r="B1245" s="32" t="s">
        <v>438</v>
      </c>
      <c r="C1245" s="34">
        <v>41</v>
      </c>
      <c r="D1245" s="32" t="s">
        <v>0</v>
      </c>
    </row>
    <row r="1246" spans="1:4" ht="34.5" customHeight="1" thickBot="1">
      <c r="A1246" s="37" t="s">
        <v>673</v>
      </c>
      <c r="B1246" s="36" t="s">
        <v>1</v>
      </c>
      <c r="C1246" s="34" t="s">
        <v>674</v>
      </c>
      <c r="D1246" s="32" t="s">
        <v>2</v>
      </c>
    </row>
    <row r="1247" spans="1:4" ht="34.5" customHeight="1" thickBot="1">
      <c r="A1247" s="140">
        <v>320</v>
      </c>
      <c r="B1247" s="141"/>
      <c r="C1247" s="142" t="s">
        <v>3</v>
      </c>
      <c r="D1247" s="143"/>
    </row>
    <row r="1248" spans="1:4" ht="34.5" customHeight="1" thickBot="1">
      <c r="A1248" s="140">
        <v>320</v>
      </c>
      <c r="B1248" s="141"/>
      <c r="C1248" s="144" t="s">
        <v>4</v>
      </c>
      <c r="D1248" s="145"/>
    </row>
    <row r="1249" spans="1:4" ht="34.5" customHeight="1" thickBot="1">
      <c r="A1249" s="146">
        <f>A1248-A1247</f>
        <v>0</v>
      </c>
      <c r="B1249" s="147"/>
      <c r="C1249" s="148"/>
      <c r="D1249" s="35" t="s">
        <v>5</v>
      </c>
    </row>
    <row r="1250" spans="1:4" ht="34.5" customHeight="1" thickBot="1">
      <c r="A1250" s="149">
        <v>23</v>
      </c>
      <c r="B1250" s="150"/>
      <c r="C1250" s="151"/>
      <c r="D1250" s="35" t="s">
        <v>6</v>
      </c>
    </row>
    <row r="1251" spans="1:4" ht="34.5" customHeight="1" thickBot="1">
      <c r="A1251" s="144">
        <f>A1250*A1249</f>
        <v>0</v>
      </c>
      <c r="B1251" s="152"/>
      <c r="C1251" s="145"/>
      <c r="D1251" s="35" t="s">
        <v>7</v>
      </c>
    </row>
    <row r="1252" spans="1:4" ht="34.5" customHeight="1" thickBot="1">
      <c r="A1252" s="144">
        <v>0</v>
      </c>
      <c r="B1252" s="152"/>
      <c r="C1252" s="145"/>
      <c r="D1252" s="35" t="s">
        <v>437</v>
      </c>
    </row>
    <row r="1253" spans="1:4" ht="34.5" customHeight="1" thickBot="1">
      <c r="A1253" s="34">
        <v>0</v>
      </c>
      <c r="B1253" s="32" t="s">
        <v>8</v>
      </c>
      <c r="C1253" s="33">
        <v>740</v>
      </c>
      <c r="D1253" s="32" t="s">
        <v>9</v>
      </c>
    </row>
    <row r="1254" spans="1:4" ht="34.5" customHeight="1" thickBot="1">
      <c r="A1254" s="153" t="s">
        <v>436</v>
      </c>
      <c r="B1254" s="154"/>
      <c r="C1254" s="154"/>
      <c r="D1254" s="155"/>
    </row>
    <row r="1255" spans="1:4" ht="34.5" customHeight="1" thickBot="1">
      <c r="A1255" s="156" t="s">
        <v>435</v>
      </c>
      <c r="B1255" s="157"/>
      <c r="C1255" s="157"/>
      <c r="D1255" s="158"/>
    </row>
    <row r="1256" spans="1:4" ht="34.5" customHeight="1" thickBot="1">
      <c r="A1256" s="40"/>
      <c r="B1256" s="39"/>
      <c r="C1256" s="39"/>
      <c r="D1256" s="38"/>
    </row>
    <row r="1257" spans="1:4" ht="34.5" customHeight="1">
      <c r="A1257" s="159" t="s">
        <v>442</v>
      </c>
      <c r="B1257" s="160" t="s">
        <v>441</v>
      </c>
      <c r="C1257" s="160"/>
      <c r="D1257" s="161"/>
    </row>
    <row r="1258" spans="1:4" ht="34.5" customHeight="1" thickBot="1">
      <c r="A1258" s="162"/>
      <c r="B1258" s="163"/>
      <c r="C1258" s="163"/>
      <c r="D1258" s="164"/>
    </row>
    <row r="1259" spans="1:4" ht="34.5" customHeight="1" thickBot="1">
      <c r="A1259" s="142" t="s">
        <v>11</v>
      </c>
      <c r="B1259" s="143"/>
      <c r="C1259" s="165" t="s">
        <v>591</v>
      </c>
      <c r="D1259" s="143"/>
    </row>
    <row r="1260" spans="1:4" ht="34.5" customHeight="1" thickBot="1">
      <c r="A1260" s="137" t="s">
        <v>325</v>
      </c>
      <c r="B1260" s="138"/>
      <c r="C1260" s="138"/>
      <c r="D1260" s="139"/>
    </row>
    <row r="1261" spans="1:4" ht="34.5" customHeight="1" thickBot="1">
      <c r="A1261" s="34" t="s">
        <v>487</v>
      </c>
      <c r="B1261" s="32" t="s">
        <v>438</v>
      </c>
      <c r="C1261" s="34">
        <v>41</v>
      </c>
      <c r="D1261" s="32" t="s">
        <v>0</v>
      </c>
    </row>
    <row r="1262" spans="1:4" ht="34.5" customHeight="1" thickBot="1">
      <c r="A1262" s="37" t="s">
        <v>673</v>
      </c>
      <c r="B1262" s="36" t="s">
        <v>1</v>
      </c>
      <c r="C1262" s="34" t="s">
        <v>674</v>
      </c>
      <c r="D1262" s="32" t="s">
        <v>2</v>
      </c>
    </row>
    <row r="1263" spans="1:4" ht="34.5" customHeight="1" thickBot="1">
      <c r="A1263" s="140">
        <v>288</v>
      </c>
      <c r="B1263" s="141"/>
      <c r="C1263" s="142" t="s">
        <v>3</v>
      </c>
      <c r="D1263" s="143"/>
    </row>
    <row r="1264" spans="1:4" ht="34.5" customHeight="1" thickBot="1">
      <c r="A1264" s="140">
        <v>320</v>
      </c>
      <c r="B1264" s="141"/>
      <c r="C1264" s="144" t="s">
        <v>4</v>
      </c>
      <c r="D1264" s="145"/>
    </row>
    <row r="1265" spans="1:4" ht="34.5" customHeight="1" thickBot="1">
      <c r="A1265" s="146">
        <f>A1264-A1263</f>
        <v>32</v>
      </c>
      <c r="B1265" s="147"/>
      <c r="C1265" s="148"/>
      <c r="D1265" s="35" t="s">
        <v>5</v>
      </c>
    </row>
    <row r="1266" spans="1:4" ht="34.5" customHeight="1" thickBot="1">
      <c r="A1266" s="149">
        <v>23</v>
      </c>
      <c r="B1266" s="150"/>
      <c r="C1266" s="151"/>
      <c r="D1266" s="35" t="s">
        <v>6</v>
      </c>
    </row>
    <row r="1267" spans="1:4" ht="34.5" customHeight="1" thickBot="1">
      <c r="A1267" s="144">
        <f>A1266*A1265</f>
        <v>736</v>
      </c>
      <c r="B1267" s="152"/>
      <c r="C1267" s="145"/>
      <c r="D1267" s="35" t="s">
        <v>7</v>
      </c>
    </row>
    <row r="1268" spans="1:4" ht="34.5" customHeight="1" thickBot="1">
      <c r="A1268" s="144">
        <v>0</v>
      </c>
      <c r="B1268" s="152"/>
      <c r="C1268" s="145"/>
      <c r="D1268" s="35" t="s">
        <v>437</v>
      </c>
    </row>
    <row r="1269" spans="1:4" ht="34.5" customHeight="1" thickBot="1">
      <c r="A1269" s="34">
        <v>0</v>
      </c>
      <c r="B1269" s="32" t="s">
        <v>8</v>
      </c>
      <c r="C1269" s="33">
        <v>740</v>
      </c>
      <c r="D1269" s="32" t="s">
        <v>9</v>
      </c>
    </row>
    <row r="1270" spans="1:4" ht="34.5" customHeight="1" thickBot="1">
      <c r="A1270" s="153" t="s">
        <v>436</v>
      </c>
      <c r="B1270" s="154"/>
      <c r="C1270" s="154"/>
      <c r="D1270" s="155"/>
    </row>
    <row r="1271" spans="1:4" ht="34.5" customHeight="1" thickBot="1">
      <c r="A1271" s="156" t="s">
        <v>435</v>
      </c>
      <c r="B1271" s="157"/>
      <c r="C1271" s="157"/>
      <c r="D1271" s="158"/>
    </row>
    <row r="1272" spans="1:4" ht="34.5" customHeight="1">
      <c r="A1272" s="159" t="s">
        <v>442</v>
      </c>
      <c r="B1272" s="160" t="s">
        <v>441</v>
      </c>
      <c r="C1272" s="160"/>
      <c r="D1272" s="161"/>
    </row>
    <row r="1273" spans="1:4" ht="34.5" customHeight="1" thickBot="1">
      <c r="A1273" s="162"/>
      <c r="B1273" s="163"/>
      <c r="C1273" s="163"/>
      <c r="D1273" s="164"/>
    </row>
    <row r="1274" spans="1:4" ht="34.5" customHeight="1" thickBot="1">
      <c r="A1274" s="142" t="s">
        <v>11</v>
      </c>
      <c r="B1274" s="143"/>
      <c r="C1274" s="165" t="s">
        <v>591</v>
      </c>
      <c r="D1274" s="143"/>
    </row>
    <row r="1275" spans="1:4" ht="34.5" customHeight="1" thickBot="1">
      <c r="A1275" s="137" t="s">
        <v>640</v>
      </c>
      <c r="B1275" s="138"/>
      <c r="C1275" s="138"/>
      <c r="D1275" s="139"/>
    </row>
    <row r="1276" spans="1:4" ht="34.5" customHeight="1" thickBot="1">
      <c r="A1276" s="34" t="s">
        <v>487</v>
      </c>
      <c r="B1276" s="32" t="s">
        <v>438</v>
      </c>
      <c r="C1276" s="34">
        <v>42</v>
      </c>
      <c r="D1276" s="32" t="s">
        <v>0</v>
      </c>
    </row>
    <row r="1277" spans="1:4" ht="34.5" customHeight="1" thickBot="1">
      <c r="A1277" s="37" t="s">
        <v>673</v>
      </c>
      <c r="B1277" s="36" t="s">
        <v>1</v>
      </c>
      <c r="C1277" s="34" t="s">
        <v>674</v>
      </c>
      <c r="D1277" s="32" t="s">
        <v>2</v>
      </c>
    </row>
    <row r="1278" spans="1:4" ht="34.5" customHeight="1" thickBot="1">
      <c r="A1278" s="140">
        <v>326</v>
      </c>
      <c r="B1278" s="141"/>
      <c r="C1278" s="142" t="s">
        <v>3</v>
      </c>
      <c r="D1278" s="143"/>
    </row>
    <row r="1279" spans="1:4" ht="34.5" customHeight="1" thickBot="1">
      <c r="A1279" s="140">
        <v>326</v>
      </c>
      <c r="B1279" s="141"/>
      <c r="C1279" s="144" t="s">
        <v>4</v>
      </c>
      <c r="D1279" s="145"/>
    </row>
    <row r="1280" spans="1:4" ht="34.5" customHeight="1" thickBot="1">
      <c r="A1280" s="146">
        <f>A1279-A1278</f>
        <v>0</v>
      </c>
      <c r="B1280" s="147"/>
      <c r="C1280" s="148"/>
      <c r="D1280" s="35" t="s">
        <v>5</v>
      </c>
    </row>
    <row r="1281" spans="1:4" ht="34.5" customHeight="1" thickBot="1">
      <c r="A1281" s="149">
        <v>23</v>
      </c>
      <c r="B1281" s="150"/>
      <c r="C1281" s="151"/>
      <c r="D1281" s="35" t="s">
        <v>6</v>
      </c>
    </row>
    <row r="1282" spans="1:4" ht="34.5" customHeight="1" thickBot="1">
      <c r="A1282" s="144">
        <f>A1281*A1280</f>
        <v>0</v>
      </c>
      <c r="B1282" s="152"/>
      <c r="C1282" s="145"/>
      <c r="D1282" s="35" t="s">
        <v>7</v>
      </c>
    </row>
    <row r="1283" spans="1:4" ht="34.5" customHeight="1" thickBot="1">
      <c r="A1283" s="144">
        <v>0</v>
      </c>
      <c r="B1283" s="152"/>
      <c r="C1283" s="145"/>
      <c r="D1283" s="35" t="s">
        <v>437</v>
      </c>
    </row>
    <row r="1284" spans="1:4" ht="34.5" customHeight="1" thickBot="1">
      <c r="A1284" s="34">
        <v>0</v>
      </c>
      <c r="B1284" s="32" t="s">
        <v>8</v>
      </c>
      <c r="C1284" s="33">
        <v>990</v>
      </c>
      <c r="D1284" s="32" t="s">
        <v>9</v>
      </c>
    </row>
    <row r="1285" spans="1:4" ht="34.5" customHeight="1" thickBot="1">
      <c r="A1285" s="153" t="s">
        <v>436</v>
      </c>
      <c r="B1285" s="154"/>
      <c r="C1285" s="154"/>
      <c r="D1285" s="155"/>
    </row>
    <row r="1286" spans="1:4" ht="34.5" customHeight="1" thickBot="1">
      <c r="A1286" s="156" t="s">
        <v>435</v>
      </c>
      <c r="B1286" s="157"/>
      <c r="C1286" s="157"/>
      <c r="D1286" s="158"/>
    </row>
    <row r="1287" spans="1:4" ht="34.5" customHeight="1" thickBot="1">
      <c r="A1287" s="40"/>
      <c r="B1287" s="39"/>
      <c r="C1287" s="39"/>
      <c r="D1287" s="38"/>
    </row>
    <row r="1288" spans="1:4" ht="34.5" customHeight="1">
      <c r="A1288" s="159" t="s">
        <v>442</v>
      </c>
      <c r="B1288" s="160" t="s">
        <v>441</v>
      </c>
      <c r="C1288" s="160"/>
      <c r="D1288" s="161"/>
    </row>
    <row r="1289" spans="1:4" ht="34.5" customHeight="1" thickBot="1">
      <c r="A1289" s="162"/>
      <c r="B1289" s="163"/>
      <c r="C1289" s="163"/>
      <c r="D1289" s="164"/>
    </row>
    <row r="1290" spans="1:4" ht="34.5" customHeight="1" thickBot="1">
      <c r="A1290" s="142" t="s">
        <v>11</v>
      </c>
      <c r="B1290" s="143"/>
      <c r="C1290" s="165" t="s">
        <v>591</v>
      </c>
      <c r="D1290" s="143"/>
    </row>
    <row r="1291" spans="1:4" ht="34.5" customHeight="1" thickBot="1">
      <c r="A1291" s="137" t="s">
        <v>640</v>
      </c>
      <c r="B1291" s="138"/>
      <c r="C1291" s="138"/>
      <c r="D1291" s="139"/>
    </row>
    <row r="1292" spans="1:4" ht="34.5" customHeight="1" thickBot="1">
      <c r="A1292" s="34" t="s">
        <v>487</v>
      </c>
      <c r="B1292" s="32" t="s">
        <v>438</v>
      </c>
      <c r="C1292" s="34">
        <v>42</v>
      </c>
      <c r="D1292" s="32" t="s">
        <v>0</v>
      </c>
    </row>
    <row r="1293" spans="1:4" ht="34.5" customHeight="1" thickBot="1">
      <c r="A1293" s="37" t="s">
        <v>673</v>
      </c>
      <c r="B1293" s="36" t="s">
        <v>1</v>
      </c>
      <c r="C1293" s="34" t="s">
        <v>674</v>
      </c>
      <c r="D1293" s="32" t="s">
        <v>2</v>
      </c>
    </row>
    <row r="1294" spans="1:4" ht="34.5" customHeight="1" thickBot="1">
      <c r="A1294" s="140">
        <v>283</v>
      </c>
      <c r="B1294" s="141"/>
      <c r="C1294" s="142" t="s">
        <v>3</v>
      </c>
      <c r="D1294" s="143"/>
    </row>
    <row r="1295" spans="1:4" ht="34.5" customHeight="1" thickBot="1">
      <c r="A1295" s="140">
        <v>326</v>
      </c>
      <c r="B1295" s="141"/>
      <c r="C1295" s="144" t="s">
        <v>4</v>
      </c>
      <c r="D1295" s="145"/>
    </row>
    <row r="1296" spans="1:4" ht="34.5" customHeight="1" thickBot="1">
      <c r="A1296" s="146">
        <f>A1295-A1294</f>
        <v>43</v>
      </c>
      <c r="B1296" s="147"/>
      <c r="C1296" s="148"/>
      <c r="D1296" s="35" t="s">
        <v>5</v>
      </c>
    </row>
    <row r="1297" spans="1:4" ht="34.5" customHeight="1" thickBot="1">
      <c r="A1297" s="149">
        <v>23</v>
      </c>
      <c r="B1297" s="150"/>
      <c r="C1297" s="151"/>
      <c r="D1297" s="35" t="s">
        <v>6</v>
      </c>
    </row>
    <row r="1298" spans="1:4" ht="34.5" customHeight="1" thickBot="1">
      <c r="A1298" s="144">
        <f>A1297*A1296</f>
        <v>989</v>
      </c>
      <c r="B1298" s="152"/>
      <c r="C1298" s="145"/>
      <c r="D1298" s="35" t="s">
        <v>7</v>
      </c>
    </row>
    <row r="1299" spans="1:4" ht="34.5" customHeight="1" thickBot="1">
      <c r="A1299" s="144">
        <v>0</v>
      </c>
      <c r="B1299" s="152"/>
      <c r="C1299" s="145"/>
      <c r="D1299" s="35" t="s">
        <v>437</v>
      </c>
    </row>
    <row r="1300" spans="1:4" ht="34.5" customHeight="1" thickBot="1">
      <c r="A1300" s="34">
        <v>0</v>
      </c>
      <c r="B1300" s="32" t="s">
        <v>8</v>
      </c>
      <c r="C1300" s="33">
        <v>990</v>
      </c>
      <c r="D1300" s="32" t="s">
        <v>9</v>
      </c>
    </row>
    <row r="1301" spans="1:4" ht="34.5" customHeight="1" thickBot="1">
      <c r="A1301" s="153" t="s">
        <v>436</v>
      </c>
      <c r="B1301" s="154"/>
      <c r="C1301" s="154"/>
      <c r="D1301" s="155"/>
    </row>
    <row r="1302" spans="1:4" ht="34.5" customHeight="1" thickBot="1">
      <c r="A1302" s="156" t="s">
        <v>435</v>
      </c>
      <c r="B1302" s="157"/>
      <c r="C1302" s="157"/>
      <c r="D1302" s="158"/>
    </row>
    <row r="1303" spans="1:4" ht="34.5" customHeight="1">
      <c r="A1303" s="159" t="s">
        <v>442</v>
      </c>
      <c r="B1303" s="160" t="s">
        <v>441</v>
      </c>
      <c r="C1303" s="160"/>
      <c r="D1303" s="161"/>
    </row>
    <row r="1304" spans="1:4" ht="34.5" customHeight="1" thickBot="1">
      <c r="A1304" s="162"/>
      <c r="B1304" s="163"/>
      <c r="C1304" s="163"/>
      <c r="D1304" s="164"/>
    </row>
    <row r="1305" spans="1:4" ht="34.5" customHeight="1" thickBot="1">
      <c r="A1305" s="142" t="s">
        <v>11</v>
      </c>
      <c r="B1305" s="143"/>
      <c r="C1305" s="165" t="s">
        <v>591</v>
      </c>
      <c r="D1305" s="143"/>
    </row>
    <row r="1306" spans="1:4" ht="34.5" customHeight="1" thickBot="1">
      <c r="A1306" s="137" t="s">
        <v>493</v>
      </c>
      <c r="B1306" s="138"/>
      <c r="C1306" s="138"/>
      <c r="D1306" s="139"/>
    </row>
    <row r="1307" spans="1:4" ht="34.5" customHeight="1" thickBot="1">
      <c r="A1307" s="34" t="s">
        <v>487</v>
      </c>
      <c r="B1307" s="32" t="s">
        <v>438</v>
      </c>
      <c r="C1307" s="34">
        <v>43</v>
      </c>
      <c r="D1307" s="32" t="s">
        <v>0</v>
      </c>
    </row>
    <row r="1308" spans="1:4" ht="34.5" customHeight="1" thickBot="1">
      <c r="A1308" s="37" t="s">
        <v>673</v>
      </c>
      <c r="B1308" s="36" t="s">
        <v>1</v>
      </c>
      <c r="C1308" s="34" t="s">
        <v>674</v>
      </c>
      <c r="D1308" s="32" t="s">
        <v>2</v>
      </c>
    </row>
    <row r="1309" spans="1:4" ht="34.5" customHeight="1" thickBot="1">
      <c r="A1309" s="140">
        <v>635</v>
      </c>
      <c r="B1309" s="141"/>
      <c r="C1309" s="142" t="s">
        <v>3</v>
      </c>
      <c r="D1309" s="143"/>
    </row>
    <row r="1310" spans="1:4" ht="34.5" customHeight="1" thickBot="1">
      <c r="A1310" s="140">
        <v>635</v>
      </c>
      <c r="B1310" s="141"/>
      <c r="C1310" s="144" t="s">
        <v>4</v>
      </c>
      <c r="D1310" s="145"/>
    </row>
    <row r="1311" spans="1:4" ht="34.5" customHeight="1" thickBot="1">
      <c r="A1311" s="146">
        <f>A1310-A1309</f>
        <v>0</v>
      </c>
      <c r="B1311" s="147"/>
      <c r="C1311" s="148"/>
      <c r="D1311" s="35" t="s">
        <v>5</v>
      </c>
    </row>
    <row r="1312" spans="1:4" ht="34.5" customHeight="1" thickBot="1">
      <c r="A1312" s="149">
        <v>23</v>
      </c>
      <c r="B1312" s="150"/>
      <c r="C1312" s="151"/>
      <c r="D1312" s="35" t="s">
        <v>6</v>
      </c>
    </row>
    <row r="1313" spans="1:4" ht="34.5" customHeight="1" thickBot="1">
      <c r="A1313" s="144">
        <f>A1312*A1311</f>
        <v>0</v>
      </c>
      <c r="B1313" s="152"/>
      <c r="C1313" s="145"/>
      <c r="D1313" s="35" t="s">
        <v>7</v>
      </c>
    </row>
    <row r="1314" spans="1:4" ht="34.5" customHeight="1" thickBot="1">
      <c r="A1314" s="144">
        <v>0</v>
      </c>
      <c r="B1314" s="152"/>
      <c r="C1314" s="145"/>
      <c r="D1314" s="35" t="s">
        <v>437</v>
      </c>
    </row>
    <row r="1315" spans="1:4" ht="34.5" customHeight="1" thickBot="1">
      <c r="A1315" s="34">
        <v>0</v>
      </c>
      <c r="B1315" s="32" t="s">
        <v>8</v>
      </c>
      <c r="C1315" s="33">
        <v>2400</v>
      </c>
      <c r="D1315" s="32" t="s">
        <v>9</v>
      </c>
    </row>
    <row r="1316" spans="1:4" ht="34.5" customHeight="1" thickBot="1">
      <c r="A1316" s="153" t="s">
        <v>436</v>
      </c>
      <c r="B1316" s="154"/>
      <c r="C1316" s="154"/>
      <c r="D1316" s="155"/>
    </row>
    <row r="1317" spans="1:4" ht="34.5" customHeight="1" thickBot="1">
      <c r="A1317" s="156" t="s">
        <v>435</v>
      </c>
      <c r="B1317" s="157"/>
      <c r="C1317" s="157"/>
      <c r="D1317" s="158"/>
    </row>
    <row r="1318" spans="1:4" ht="34.5" customHeight="1" thickBot="1">
      <c r="A1318" s="40"/>
      <c r="B1318" s="39"/>
      <c r="C1318" s="39"/>
      <c r="D1318" s="38"/>
    </row>
    <row r="1319" spans="1:4" ht="34.5" customHeight="1">
      <c r="A1319" s="159" t="s">
        <v>442</v>
      </c>
      <c r="B1319" s="160" t="s">
        <v>441</v>
      </c>
      <c r="C1319" s="160"/>
      <c r="D1319" s="161"/>
    </row>
    <row r="1320" spans="1:4" ht="34.5" customHeight="1" thickBot="1">
      <c r="A1320" s="162"/>
      <c r="B1320" s="163"/>
      <c r="C1320" s="163"/>
      <c r="D1320" s="164"/>
    </row>
    <row r="1321" spans="1:4" ht="34.5" customHeight="1" thickBot="1">
      <c r="A1321" s="142" t="s">
        <v>11</v>
      </c>
      <c r="B1321" s="143"/>
      <c r="C1321" s="165" t="s">
        <v>591</v>
      </c>
      <c r="D1321" s="143"/>
    </row>
    <row r="1322" spans="1:4" ht="34.5" customHeight="1" thickBot="1">
      <c r="A1322" s="137" t="s">
        <v>493</v>
      </c>
      <c r="B1322" s="138"/>
      <c r="C1322" s="138"/>
      <c r="D1322" s="139"/>
    </row>
    <row r="1323" spans="1:4" ht="34.5" customHeight="1" thickBot="1">
      <c r="A1323" s="34" t="s">
        <v>487</v>
      </c>
      <c r="B1323" s="32" t="s">
        <v>438</v>
      </c>
      <c r="C1323" s="34">
        <v>43</v>
      </c>
      <c r="D1323" s="32" t="s">
        <v>0</v>
      </c>
    </row>
    <row r="1324" spans="1:4" ht="34.5" customHeight="1" thickBot="1">
      <c r="A1324" s="37" t="s">
        <v>673</v>
      </c>
      <c r="B1324" s="36" t="s">
        <v>1</v>
      </c>
      <c r="C1324" s="34" t="s">
        <v>674</v>
      </c>
      <c r="D1324" s="32" t="s">
        <v>2</v>
      </c>
    </row>
    <row r="1325" spans="1:4" ht="34.5" customHeight="1" thickBot="1">
      <c r="A1325" s="140">
        <v>530</v>
      </c>
      <c r="B1325" s="141"/>
      <c r="C1325" s="142" t="s">
        <v>3</v>
      </c>
      <c r="D1325" s="143"/>
    </row>
    <row r="1326" spans="1:4" ht="34.5" customHeight="1" thickBot="1">
      <c r="A1326" s="140">
        <v>635</v>
      </c>
      <c r="B1326" s="141"/>
      <c r="C1326" s="144" t="s">
        <v>4</v>
      </c>
      <c r="D1326" s="145"/>
    </row>
    <row r="1327" spans="1:4" ht="34.5" customHeight="1" thickBot="1">
      <c r="A1327" s="146">
        <f>A1326-A1325</f>
        <v>105</v>
      </c>
      <c r="B1327" s="147"/>
      <c r="C1327" s="148"/>
      <c r="D1327" s="35" t="s">
        <v>5</v>
      </c>
    </row>
    <row r="1328" spans="1:4" ht="34.5" customHeight="1" thickBot="1">
      <c r="A1328" s="149">
        <v>23</v>
      </c>
      <c r="B1328" s="150"/>
      <c r="C1328" s="151"/>
      <c r="D1328" s="35" t="s">
        <v>6</v>
      </c>
    </row>
    <row r="1329" spans="1:4" ht="34.5" customHeight="1" thickBot="1">
      <c r="A1329" s="144">
        <f>A1328*A1327</f>
        <v>2415</v>
      </c>
      <c r="B1329" s="152"/>
      <c r="C1329" s="145"/>
      <c r="D1329" s="35" t="s">
        <v>7</v>
      </c>
    </row>
    <row r="1330" spans="1:4" ht="34.5" customHeight="1" thickBot="1">
      <c r="A1330" s="144">
        <v>0</v>
      </c>
      <c r="B1330" s="152"/>
      <c r="C1330" s="145"/>
      <c r="D1330" s="35" t="s">
        <v>437</v>
      </c>
    </row>
    <row r="1331" spans="1:4" ht="34.5" customHeight="1" thickBot="1">
      <c r="A1331" s="34">
        <v>0</v>
      </c>
      <c r="B1331" s="32" t="s">
        <v>8</v>
      </c>
      <c r="C1331" s="33">
        <v>2400</v>
      </c>
      <c r="D1331" s="32" t="s">
        <v>9</v>
      </c>
    </row>
    <row r="1332" spans="1:4" ht="34.5" customHeight="1" thickBot="1">
      <c r="A1332" s="153" t="s">
        <v>436</v>
      </c>
      <c r="B1332" s="154"/>
      <c r="C1332" s="154"/>
      <c r="D1332" s="155"/>
    </row>
    <row r="1333" spans="1:4" ht="34.5" customHeight="1" thickBot="1">
      <c r="A1333" s="156" t="s">
        <v>435</v>
      </c>
      <c r="B1333" s="157"/>
      <c r="C1333" s="157"/>
      <c r="D1333" s="158"/>
    </row>
    <row r="1334" spans="1:4" ht="34.5" customHeight="1">
      <c r="A1334" s="159" t="s">
        <v>442</v>
      </c>
      <c r="B1334" s="160" t="s">
        <v>441</v>
      </c>
      <c r="C1334" s="160"/>
      <c r="D1334" s="161"/>
    </row>
    <row r="1335" spans="1:4" ht="34.5" customHeight="1" thickBot="1">
      <c r="A1335" s="162"/>
      <c r="B1335" s="163"/>
      <c r="C1335" s="163"/>
      <c r="D1335" s="164"/>
    </row>
    <row r="1336" spans="1:4" ht="34.5" customHeight="1" thickBot="1">
      <c r="A1336" s="142" t="s">
        <v>11</v>
      </c>
      <c r="B1336" s="143"/>
      <c r="C1336" s="165" t="s">
        <v>591</v>
      </c>
      <c r="D1336" s="143"/>
    </row>
    <row r="1337" spans="1:4" ht="34.5" customHeight="1" thickBot="1">
      <c r="A1337" s="137" t="s">
        <v>492</v>
      </c>
      <c r="B1337" s="138"/>
      <c r="C1337" s="138"/>
      <c r="D1337" s="139"/>
    </row>
    <row r="1338" spans="1:4" ht="34.5" customHeight="1" thickBot="1">
      <c r="A1338" s="34" t="s">
        <v>487</v>
      </c>
      <c r="B1338" s="32" t="s">
        <v>438</v>
      </c>
      <c r="C1338" s="34">
        <v>44</v>
      </c>
      <c r="D1338" s="32" t="s">
        <v>0</v>
      </c>
    </row>
    <row r="1339" spans="1:4" ht="34.5" customHeight="1" thickBot="1">
      <c r="A1339" s="37" t="s">
        <v>673</v>
      </c>
      <c r="B1339" s="36" t="s">
        <v>1</v>
      </c>
      <c r="C1339" s="34" t="s">
        <v>674</v>
      </c>
      <c r="D1339" s="32" t="s">
        <v>2</v>
      </c>
    </row>
    <row r="1340" spans="1:4" ht="34.5" customHeight="1" thickBot="1">
      <c r="A1340" s="140">
        <v>111</v>
      </c>
      <c r="B1340" s="141"/>
      <c r="C1340" s="142" t="s">
        <v>3</v>
      </c>
      <c r="D1340" s="143"/>
    </row>
    <row r="1341" spans="1:4" ht="34.5" customHeight="1" thickBot="1">
      <c r="A1341" s="140">
        <v>111</v>
      </c>
      <c r="B1341" s="141"/>
      <c r="C1341" s="144" t="s">
        <v>4</v>
      </c>
      <c r="D1341" s="145"/>
    </row>
    <row r="1342" spans="1:4" ht="34.5" customHeight="1" thickBot="1">
      <c r="A1342" s="146">
        <f>A1341-A1340</f>
        <v>0</v>
      </c>
      <c r="B1342" s="147"/>
      <c r="C1342" s="148"/>
      <c r="D1342" s="35" t="s">
        <v>5</v>
      </c>
    </row>
    <row r="1343" spans="1:4" ht="34.5" customHeight="1" thickBot="1">
      <c r="A1343" s="149">
        <v>23</v>
      </c>
      <c r="B1343" s="150"/>
      <c r="C1343" s="151"/>
      <c r="D1343" s="35" t="s">
        <v>6</v>
      </c>
    </row>
    <row r="1344" spans="1:4" ht="34.5" customHeight="1" thickBot="1">
      <c r="A1344" s="144">
        <f>A1343*A1342</f>
        <v>0</v>
      </c>
      <c r="B1344" s="152"/>
      <c r="C1344" s="145"/>
      <c r="D1344" s="35" t="s">
        <v>7</v>
      </c>
    </row>
    <row r="1345" spans="1:4" ht="34.5" customHeight="1" thickBot="1">
      <c r="A1345" s="144">
        <v>0</v>
      </c>
      <c r="B1345" s="152"/>
      <c r="C1345" s="145"/>
      <c r="D1345" s="35" t="s">
        <v>437</v>
      </c>
    </row>
    <row r="1346" spans="1:4" ht="34.5" customHeight="1" thickBot="1">
      <c r="A1346" s="34">
        <v>0</v>
      </c>
      <c r="B1346" s="32" t="s">
        <v>8</v>
      </c>
      <c r="C1346" s="33">
        <v>160</v>
      </c>
      <c r="D1346" s="32" t="s">
        <v>9</v>
      </c>
    </row>
    <row r="1347" spans="1:4" ht="34.5" customHeight="1" thickBot="1">
      <c r="A1347" s="153" t="s">
        <v>436</v>
      </c>
      <c r="B1347" s="154"/>
      <c r="C1347" s="154"/>
      <c r="D1347" s="155"/>
    </row>
    <row r="1348" spans="1:4" ht="34.5" customHeight="1" thickBot="1">
      <c r="A1348" s="156" t="s">
        <v>435</v>
      </c>
      <c r="B1348" s="157"/>
      <c r="C1348" s="157"/>
      <c r="D1348" s="158"/>
    </row>
    <row r="1349" spans="1:4" ht="34.5" customHeight="1" thickBot="1">
      <c r="A1349" s="40"/>
      <c r="B1349" s="39"/>
      <c r="C1349" s="39"/>
      <c r="D1349" s="38"/>
    </row>
    <row r="1350" spans="1:4" ht="34.5" customHeight="1">
      <c r="A1350" s="159" t="s">
        <v>442</v>
      </c>
      <c r="B1350" s="160" t="s">
        <v>441</v>
      </c>
      <c r="C1350" s="160"/>
      <c r="D1350" s="161"/>
    </row>
    <row r="1351" spans="1:4" ht="34.5" customHeight="1" thickBot="1">
      <c r="A1351" s="162"/>
      <c r="B1351" s="163"/>
      <c r="C1351" s="163"/>
      <c r="D1351" s="164"/>
    </row>
    <row r="1352" spans="1:4" ht="34.5" customHeight="1" thickBot="1">
      <c r="A1352" s="142" t="s">
        <v>11</v>
      </c>
      <c r="B1352" s="143"/>
      <c r="C1352" s="165" t="s">
        <v>591</v>
      </c>
      <c r="D1352" s="143"/>
    </row>
    <row r="1353" spans="1:4" ht="34.5" customHeight="1" thickBot="1">
      <c r="A1353" s="137" t="s">
        <v>492</v>
      </c>
      <c r="B1353" s="138"/>
      <c r="C1353" s="138"/>
      <c r="D1353" s="139"/>
    </row>
    <row r="1354" spans="1:4" ht="34.5" customHeight="1" thickBot="1">
      <c r="A1354" s="34" t="s">
        <v>487</v>
      </c>
      <c r="B1354" s="32" t="s">
        <v>438</v>
      </c>
      <c r="C1354" s="34">
        <v>44</v>
      </c>
      <c r="D1354" s="32" t="s">
        <v>0</v>
      </c>
    </row>
    <row r="1355" spans="1:4" ht="34.5" customHeight="1" thickBot="1">
      <c r="A1355" s="37" t="s">
        <v>673</v>
      </c>
      <c r="B1355" s="36" t="s">
        <v>1</v>
      </c>
      <c r="C1355" s="34" t="s">
        <v>674</v>
      </c>
      <c r="D1355" s="32" t="s">
        <v>2</v>
      </c>
    </row>
    <row r="1356" spans="1:4" ht="34.5" customHeight="1" thickBot="1">
      <c r="A1356" s="140">
        <v>104</v>
      </c>
      <c r="B1356" s="141"/>
      <c r="C1356" s="142" t="s">
        <v>3</v>
      </c>
      <c r="D1356" s="143"/>
    </row>
    <row r="1357" spans="1:4" ht="34.5" customHeight="1" thickBot="1">
      <c r="A1357" s="140">
        <v>111</v>
      </c>
      <c r="B1357" s="141"/>
      <c r="C1357" s="144" t="s">
        <v>4</v>
      </c>
      <c r="D1357" s="145"/>
    </row>
    <row r="1358" spans="1:4" ht="34.5" customHeight="1" thickBot="1">
      <c r="A1358" s="146">
        <f>A1357-A1356</f>
        <v>7</v>
      </c>
      <c r="B1358" s="147"/>
      <c r="C1358" s="148"/>
      <c r="D1358" s="35" t="s">
        <v>5</v>
      </c>
    </row>
    <row r="1359" spans="1:4" ht="34.5" customHeight="1" thickBot="1">
      <c r="A1359" s="149">
        <v>23</v>
      </c>
      <c r="B1359" s="150"/>
      <c r="C1359" s="151"/>
      <c r="D1359" s="35" t="s">
        <v>6</v>
      </c>
    </row>
    <row r="1360" spans="1:4" ht="34.5" customHeight="1" thickBot="1">
      <c r="A1360" s="144">
        <f>A1359*A1358</f>
        <v>161</v>
      </c>
      <c r="B1360" s="152"/>
      <c r="C1360" s="145"/>
      <c r="D1360" s="35" t="s">
        <v>7</v>
      </c>
    </row>
    <row r="1361" spans="1:4" ht="34.5" customHeight="1" thickBot="1">
      <c r="A1361" s="144">
        <v>0</v>
      </c>
      <c r="B1361" s="152"/>
      <c r="C1361" s="145"/>
      <c r="D1361" s="35" t="s">
        <v>437</v>
      </c>
    </row>
    <row r="1362" spans="1:4" ht="34.5" customHeight="1" thickBot="1">
      <c r="A1362" s="34">
        <v>0</v>
      </c>
      <c r="B1362" s="32" t="s">
        <v>8</v>
      </c>
      <c r="C1362" s="33">
        <v>160</v>
      </c>
      <c r="D1362" s="32" t="s">
        <v>9</v>
      </c>
    </row>
    <row r="1363" spans="1:4" ht="34.5" customHeight="1" thickBot="1">
      <c r="A1363" s="153" t="s">
        <v>436</v>
      </c>
      <c r="B1363" s="154"/>
      <c r="C1363" s="154"/>
      <c r="D1363" s="155"/>
    </row>
    <row r="1364" spans="1:4" ht="34.5" customHeight="1" thickBot="1">
      <c r="A1364" s="156" t="s">
        <v>435</v>
      </c>
      <c r="B1364" s="157"/>
      <c r="C1364" s="157"/>
      <c r="D1364" s="158"/>
    </row>
    <row r="1365" spans="1:4" ht="34.5" customHeight="1">
      <c r="A1365" s="159" t="s">
        <v>442</v>
      </c>
      <c r="B1365" s="160" t="s">
        <v>441</v>
      </c>
      <c r="C1365" s="160"/>
      <c r="D1365" s="161"/>
    </row>
    <row r="1366" spans="1:4" ht="34.5" customHeight="1" thickBot="1">
      <c r="A1366" s="162"/>
      <c r="B1366" s="163"/>
      <c r="C1366" s="163"/>
      <c r="D1366" s="164"/>
    </row>
    <row r="1367" spans="1:4" ht="34.5" customHeight="1" thickBot="1">
      <c r="A1367" s="142" t="s">
        <v>11</v>
      </c>
      <c r="B1367" s="143"/>
      <c r="C1367" s="165" t="s">
        <v>591</v>
      </c>
      <c r="D1367" s="143"/>
    </row>
    <row r="1368" spans="1:4" ht="34.5" customHeight="1" thickBot="1">
      <c r="A1368" s="137" t="s">
        <v>54</v>
      </c>
      <c r="B1368" s="138"/>
      <c r="C1368" s="138"/>
      <c r="D1368" s="139"/>
    </row>
    <row r="1369" spans="1:4" ht="34.5" customHeight="1" thickBot="1">
      <c r="A1369" s="34" t="s">
        <v>487</v>
      </c>
      <c r="B1369" s="32" t="s">
        <v>438</v>
      </c>
      <c r="C1369" s="34">
        <v>45</v>
      </c>
      <c r="D1369" s="32" t="s">
        <v>0</v>
      </c>
    </row>
    <row r="1370" spans="1:4" ht="34.5" customHeight="1" thickBot="1">
      <c r="A1370" s="37" t="s">
        <v>673</v>
      </c>
      <c r="B1370" s="36" t="s">
        <v>1</v>
      </c>
      <c r="C1370" s="34" t="s">
        <v>674</v>
      </c>
      <c r="D1370" s="32" t="s">
        <v>2</v>
      </c>
    </row>
    <row r="1371" spans="1:4" ht="34.5" customHeight="1" thickBot="1">
      <c r="A1371" s="140">
        <v>342</v>
      </c>
      <c r="B1371" s="141"/>
      <c r="C1371" s="142" t="s">
        <v>3</v>
      </c>
      <c r="D1371" s="143"/>
    </row>
    <row r="1372" spans="1:4" ht="34.5" customHeight="1" thickBot="1">
      <c r="A1372" s="140">
        <v>342</v>
      </c>
      <c r="B1372" s="141"/>
      <c r="C1372" s="144" t="s">
        <v>4</v>
      </c>
      <c r="D1372" s="145"/>
    </row>
    <row r="1373" spans="1:4" ht="34.5" customHeight="1" thickBot="1">
      <c r="A1373" s="146">
        <f>A1372-A1371</f>
        <v>0</v>
      </c>
      <c r="B1373" s="147"/>
      <c r="C1373" s="148"/>
      <c r="D1373" s="35" t="s">
        <v>5</v>
      </c>
    </row>
    <row r="1374" spans="1:4" ht="34.5" customHeight="1" thickBot="1">
      <c r="A1374" s="149">
        <v>23</v>
      </c>
      <c r="B1374" s="150"/>
      <c r="C1374" s="151"/>
      <c r="D1374" s="35" t="s">
        <v>6</v>
      </c>
    </row>
    <row r="1375" spans="1:4" ht="34.5" customHeight="1" thickBot="1">
      <c r="A1375" s="144">
        <f>A1374*A1373</f>
        <v>0</v>
      </c>
      <c r="B1375" s="152"/>
      <c r="C1375" s="145"/>
      <c r="D1375" s="35" t="s">
        <v>7</v>
      </c>
    </row>
    <row r="1376" spans="1:4" ht="34.5" customHeight="1" thickBot="1">
      <c r="A1376" s="144">
        <v>0</v>
      </c>
      <c r="B1376" s="152"/>
      <c r="C1376" s="145"/>
      <c r="D1376" s="35" t="s">
        <v>437</v>
      </c>
    </row>
    <row r="1377" spans="1:4" ht="34.5" customHeight="1" thickBot="1">
      <c r="A1377" s="34">
        <v>0</v>
      </c>
      <c r="B1377" s="32" t="s">
        <v>8</v>
      </c>
      <c r="C1377" s="33">
        <v>1200</v>
      </c>
      <c r="D1377" s="32" t="s">
        <v>9</v>
      </c>
    </row>
    <row r="1378" spans="1:4" ht="34.5" customHeight="1" thickBot="1">
      <c r="A1378" s="153" t="s">
        <v>436</v>
      </c>
      <c r="B1378" s="154"/>
      <c r="C1378" s="154"/>
      <c r="D1378" s="155"/>
    </row>
    <row r="1379" spans="1:4" ht="34.5" customHeight="1" thickBot="1">
      <c r="A1379" s="156" t="s">
        <v>435</v>
      </c>
      <c r="B1379" s="157"/>
      <c r="C1379" s="157"/>
      <c r="D1379" s="158"/>
    </row>
    <row r="1380" spans="1:4" ht="34.5" customHeight="1" thickBot="1">
      <c r="A1380" s="40"/>
      <c r="B1380" s="39"/>
      <c r="C1380" s="39"/>
      <c r="D1380" s="38"/>
    </row>
    <row r="1381" spans="1:4" ht="34.5" customHeight="1">
      <c r="A1381" s="159" t="s">
        <v>442</v>
      </c>
      <c r="B1381" s="160" t="s">
        <v>441</v>
      </c>
      <c r="C1381" s="160"/>
      <c r="D1381" s="161"/>
    </row>
    <row r="1382" spans="1:4" ht="34.5" customHeight="1" thickBot="1">
      <c r="A1382" s="162"/>
      <c r="B1382" s="163"/>
      <c r="C1382" s="163"/>
      <c r="D1382" s="164"/>
    </row>
    <row r="1383" spans="1:4" ht="34.5" customHeight="1" thickBot="1">
      <c r="A1383" s="142" t="s">
        <v>11</v>
      </c>
      <c r="B1383" s="143"/>
      <c r="C1383" s="165" t="s">
        <v>591</v>
      </c>
      <c r="D1383" s="143"/>
    </row>
    <row r="1384" spans="1:4" ht="34.5" customHeight="1" thickBot="1">
      <c r="A1384" s="137" t="s">
        <v>54</v>
      </c>
      <c r="B1384" s="138"/>
      <c r="C1384" s="138"/>
      <c r="D1384" s="139"/>
    </row>
    <row r="1385" spans="1:4" ht="34.5" customHeight="1" thickBot="1">
      <c r="A1385" s="34" t="s">
        <v>487</v>
      </c>
      <c r="B1385" s="32" t="s">
        <v>438</v>
      </c>
      <c r="C1385" s="34">
        <v>45</v>
      </c>
      <c r="D1385" s="32" t="s">
        <v>0</v>
      </c>
    </row>
    <row r="1386" spans="1:4" ht="34.5" customHeight="1" thickBot="1">
      <c r="A1386" s="37" t="s">
        <v>673</v>
      </c>
      <c r="B1386" s="36" t="s">
        <v>1</v>
      </c>
      <c r="C1386" s="34" t="s">
        <v>674</v>
      </c>
      <c r="D1386" s="32" t="s">
        <v>2</v>
      </c>
    </row>
    <row r="1387" spans="1:4" ht="34.5" customHeight="1" thickBot="1">
      <c r="A1387" s="140">
        <v>290</v>
      </c>
      <c r="B1387" s="141"/>
      <c r="C1387" s="142" t="s">
        <v>3</v>
      </c>
      <c r="D1387" s="143"/>
    </row>
    <row r="1388" spans="1:4" ht="34.5" customHeight="1" thickBot="1">
      <c r="A1388" s="140">
        <v>342</v>
      </c>
      <c r="B1388" s="141"/>
      <c r="C1388" s="144" t="s">
        <v>4</v>
      </c>
      <c r="D1388" s="145"/>
    </row>
    <row r="1389" spans="1:4" ht="34.5" customHeight="1" thickBot="1">
      <c r="A1389" s="146">
        <f>A1388-A1387</f>
        <v>52</v>
      </c>
      <c r="B1389" s="147"/>
      <c r="C1389" s="148"/>
      <c r="D1389" s="35" t="s">
        <v>5</v>
      </c>
    </row>
    <row r="1390" spans="1:4" ht="34.5" customHeight="1" thickBot="1">
      <c r="A1390" s="149">
        <v>23</v>
      </c>
      <c r="B1390" s="150"/>
      <c r="C1390" s="151"/>
      <c r="D1390" s="35" t="s">
        <v>6</v>
      </c>
    </row>
    <row r="1391" spans="1:4" ht="34.5" customHeight="1" thickBot="1">
      <c r="A1391" s="144">
        <f>A1390*A1389</f>
        <v>1196</v>
      </c>
      <c r="B1391" s="152"/>
      <c r="C1391" s="145"/>
      <c r="D1391" s="35" t="s">
        <v>7</v>
      </c>
    </row>
    <row r="1392" spans="1:4" ht="34.5" customHeight="1" thickBot="1">
      <c r="A1392" s="144">
        <v>0</v>
      </c>
      <c r="B1392" s="152"/>
      <c r="C1392" s="145"/>
      <c r="D1392" s="35" t="s">
        <v>437</v>
      </c>
    </row>
    <row r="1393" spans="1:4" ht="34.5" customHeight="1" thickBot="1">
      <c r="A1393" s="34">
        <v>0</v>
      </c>
      <c r="B1393" s="32" t="s">
        <v>8</v>
      </c>
      <c r="C1393" s="33">
        <v>1200</v>
      </c>
      <c r="D1393" s="32" t="s">
        <v>9</v>
      </c>
    </row>
    <row r="1394" spans="1:4" ht="34.5" customHeight="1" thickBot="1">
      <c r="A1394" s="153" t="s">
        <v>436</v>
      </c>
      <c r="B1394" s="154"/>
      <c r="C1394" s="154"/>
      <c r="D1394" s="155"/>
    </row>
    <row r="1395" spans="1:4" ht="34.5" customHeight="1" thickBot="1">
      <c r="A1395" s="156" t="s">
        <v>435</v>
      </c>
      <c r="B1395" s="157"/>
      <c r="C1395" s="157"/>
      <c r="D1395" s="158"/>
    </row>
    <row r="1396" spans="1:4" ht="34.5" customHeight="1">
      <c r="A1396" s="159" t="s">
        <v>442</v>
      </c>
      <c r="B1396" s="160" t="s">
        <v>441</v>
      </c>
      <c r="C1396" s="160"/>
      <c r="D1396" s="161"/>
    </row>
    <row r="1397" spans="1:4" ht="34.5" customHeight="1" thickBot="1">
      <c r="A1397" s="162"/>
      <c r="B1397" s="163"/>
      <c r="C1397" s="163"/>
      <c r="D1397" s="164"/>
    </row>
    <row r="1398" spans="1:4" ht="34.5" customHeight="1" thickBot="1">
      <c r="A1398" s="142" t="s">
        <v>11</v>
      </c>
      <c r="B1398" s="143"/>
      <c r="C1398" s="165" t="s">
        <v>591</v>
      </c>
      <c r="D1398" s="143"/>
    </row>
    <row r="1399" spans="1:4" ht="34.5" customHeight="1" thickBot="1">
      <c r="A1399" s="137" t="s">
        <v>332</v>
      </c>
      <c r="B1399" s="138"/>
      <c r="C1399" s="138"/>
      <c r="D1399" s="139"/>
    </row>
    <row r="1400" spans="1:4" ht="34.5" customHeight="1" thickBot="1">
      <c r="A1400" s="34" t="s">
        <v>487</v>
      </c>
      <c r="B1400" s="32" t="s">
        <v>438</v>
      </c>
      <c r="C1400" s="34">
        <v>46</v>
      </c>
      <c r="D1400" s="32" t="s">
        <v>0</v>
      </c>
    </row>
    <row r="1401" spans="1:4" ht="34.5" customHeight="1" thickBot="1">
      <c r="A1401" s="37" t="s">
        <v>673</v>
      </c>
      <c r="B1401" s="36" t="s">
        <v>1</v>
      </c>
      <c r="C1401" s="34" t="s">
        <v>674</v>
      </c>
      <c r="D1401" s="32" t="s">
        <v>2</v>
      </c>
    </row>
    <row r="1402" spans="1:4" ht="34.5" customHeight="1" thickBot="1">
      <c r="A1402" s="140">
        <v>193</v>
      </c>
      <c r="B1402" s="141"/>
      <c r="C1402" s="142" t="s">
        <v>3</v>
      </c>
      <c r="D1402" s="143"/>
    </row>
    <row r="1403" spans="1:4" ht="34.5" customHeight="1" thickBot="1">
      <c r="A1403" s="140">
        <v>193</v>
      </c>
      <c r="B1403" s="141"/>
      <c r="C1403" s="144" t="s">
        <v>4</v>
      </c>
      <c r="D1403" s="145"/>
    </row>
    <row r="1404" spans="1:4" ht="34.5" customHeight="1" thickBot="1">
      <c r="A1404" s="146">
        <f>A1403-A1402</f>
        <v>0</v>
      </c>
      <c r="B1404" s="147"/>
      <c r="C1404" s="148"/>
      <c r="D1404" s="35" t="s">
        <v>5</v>
      </c>
    </row>
    <row r="1405" spans="1:4" ht="34.5" customHeight="1" thickBot="1">
      <c r="A1405" s="149">
        <v>23</v>
      </c>
      <c r="B1405" s="150"/>
      <c r="C1405" s="151"/>
      <c r="D1405" s="35" t="s">
        <v>6</v>
      </c>
    </row>
    <row r="1406" spans="1:4" ht="34.5" customHeight="1" thickBot="1">
      <c r="A1406" s="144">
        <f>A1405*A1404</f>
        <v>0</v>
      </c>
      <c r="B1406" s="152"/>
      <c r="C1406" s="145"/>
      <c r="D1406" s="35" t="s">
        <v>7</v>
      </c>
    </row>
    <row r="1407" spans="1:4" ht="34.5" customHeight="1" thickBot="1">
      <c r="A1407" s="144">
        <v>0</v>
      </c>
      <c r="B1407" s="152"/>
      <c r="C1407" s="145"/>
      <c r="D1407" s="35" t="s">
        <v>437</v>
      </c>
    </row>
    <row r="1408" spans="1:4" ht="34.5" customHeight="1" thickBot="1">
      <c r="A1408" s="34">
        <v>0</v>
      </c>
      <c r="B1408" s="32" t="s">
        <v>8</v>
      </c>
      <c r="C1408" s="33">
        <v>500</v>
      </c>
      <c r="D1408" s="32" t="s">
        <v>9</v>
      </c>
    </row>
    <row r="1409" spans="1:4" ht="34.5" customHeight="1" thickBot="1">
      <c r="A1409" s="153" t="s">
        <v>436</v>
      </c>
      <c r="B1409" s="154"/>
      <c r="C1409" s="154"/>
      <c r="D1409" s="155"/>
    </row>
    <row r="1410" spans="1:4" ht="34.5" customHeight="1" thickBot="1">
      <c r="A1410" s="156" t="s">
        <v>435</v>
      </c>
      <c r="B1410" s="157"/>
      <c r="C1410" s="157"/>
      <c r="D1410" s="158"/>
    </row>
    <row r="1411" spans="1:4" ht="34.5" customHeight="1" thickBot="1">
      <c r="A1411" s="40"/>
      <c r="B1411" s="39"/>
      <c r="C1411" s="39"/>
      <c r="D1411" s="38"/>
    </row>
    <row r="1412" spans="1:4" ht="34.5" customHeight="1">
      <c r="A1412" s="159" t="s">
        <v>442</v>
      </c>
      <c r="B1412" s="160" t="s">
        <v>441</v>
      </c>
      <c r="C1412" s="160"/>
      <c r="D1412" s="161"/>
    </row>
    <row r="1413" spans="1:4" ht="34.5" customHeight="1" thickBot="1">
      <c r="A1413" s="162"/>
      <c r="B1413" s="163"/>
      <c r="C1413" s="163"/>
      <c r="D1413" s="164"/>
    </row>
    <row r="1414" spans="1:4" ht="34.5" customHeight="1" thickBot="1">
      <c r="A1414" s="142" t="s">
        <v>11</v>
      </c>
      <c r="B1414" s="143"/>
      <c r="C1414" s="165" t="s">
        <v>591</v>
      </c>
      <c r="D1414" s="143"/>
    </row>
    <row r="1415" spans="1:4" ht="34.5" customHeight="1" thickBot="1">
      <c r="A1415" s="137" t="s">
        <v>332</v>
      </c>
      <c r="B1415" s="138"/>
      <c r="C1415" s="138"/>
      <c r="D1415" s="139"/>
    </row>
    <row r="1416" spans="1:4" ht="34.5" customHeight="1" thickBot="1">
      <c r="A1416" s="34" t="s">
        <v>487</v>
      </c>
      <c r="B1416" s="32" t="s">
        <v>438</v>
      </c>
      <c r="C1416" s="34">
        <v>46</v>
      </c>
      <c r="D1416" s="32" t="s">
        <v>0</v>
      </c>
    </row>
    <row r="1417" spans="1:4" ht="34.5" customHeight="1" thickBot="1">
      <c r="A1417" s="37" t="s">
        <v>673</v>
      </c>
      <c r="B1417" s="36" t="s">
        <v>1</v>
      </c>
      <c r="C1417" s="34" t="s">
        <v>674</v>
      </c>
      <c r="D1417" s="32" t="s">
        <v>2</v>
      </c>
    </row>
    <row r="1418" spans="1:4" ht="34.5" customHeight="1" thickBot="1">
      <c r="A1418" s="140">
        <v>171</v>
      </c>
      <c r="B1418" s="141"/>
      <c r="C1418" s="142" t="s">
        <v>3</v>
      </c>
      <c r="D1418" s="143"/>
    </row>
    <row r="1419" spans="1:4" ht="34.5" customHeight="1" thickBot="1">
      <c r="A1419" s="140">
        <v>193</v>
      </c>
      <c r="B1419" s="141"/>
      <c r="C1419" s="144" t="s">
        <v>4</v>
      </c>
      <c r="D1419" s="145"/>
    </row>
    <row r="1420" spans="1:4" ht="34.5" customHeight="1" thickBot="1">
      <c r="A1420" s="146">
        <f>A1419-A1418</f>
        <v>22</v>
      </c>
      <c r="B1420" s="147"/>
      <c r="C1420" s="148"/>
      <c r="D1420" s="35" t="s">
        <v>5</v>
      </c>
    </row>
    <row r="1421" spans="1:4" ht="34.5" customHeight="1" thickBot="1">
      <c r="A1421" s="149">
        <v>23</v>
      </c>
      <c r="B1421" s="150"/>
      <c r="C1421" s="151"/>
      <c r="D1421" s="35" t="s">
        <v>6</v>
      </c>
    </row>
    <row r="1422" spans="1:4" ht="34.5" customHeight="1" thickBot="1">
      <c r="A1422" s="144">
        <f>A1421*A1420</f>
        <v>506</v>
      </c>
      <c r="B1422" s="152"/>
      <c r="C1422" s="145"/>
      <c r="D1422" s="35" t="s">
        <v>7</v>
      </c>
    </row>
    <row r="1423" spans="1:4" ht="34.5" customHeight="1" thickBot="1">
      <c r="A1423" s="144">
        <v>0</v>
      </c>
      <c r="B1423" s="152"/>
      <c r="C1423" s="145"/>
      <c r="D1423" s="35" t="s">
        <v>437</v>
      </c>
    </row>
    <row r="1424" spans="1:4" ht="34.5" customHeight="1" thickBot="1">
      <c r="A1424" s="34">
        <v>0</v>
      </c>
      <c r="B1424" s="32" t="s">
        <v>8</v>
      </c>
      <c r="C1424" s="33">
        <v>500</v>
      </c>
      <c r="D1424" s="32" t="s">
        <v>9</v>
      </c>
    </row>
    <row r="1425" spans="1:16" ht="34.5" customHeight="1" thickBot="1">
      <c r="A1425" s="153" t="s">
        <v>436</v>
      </c>
      <c r="B1425" s="154"/>
      <c r="C1425" s="154"/>
      <c r="D1425" s="155"/>
    </row>
    <row r="1426" spans="1:16" ht="34.5" customHeight="1" thickBot="1">
      <c r="A1426" s="156" t="s">
        <v>435</v>
      </c>
      <c r="B1426" s="157"/>
      <c r="C1426" s="157"/>
      <c r="D1426" s="158"/>
    </row>
    <row r="1427" spans="1:16" s="28" customFormat="1" ht="34.5" customHeight="1">
      <c r="A1427" s="159" t="s">
        <v>442</v>
      </c>
      <c r="B1427" s="160" t="s">
        <v>441</v>
      </c>
      <c r="C1427" s="160"/>
      <c r="D1427" s="161"/>
      <c r="J1427" s="27"/>
      <c r="K1427" s="27"/>
      <c r="L1427" s="27"/>
      <c r="M1427" s="27"/>
      <c r="N1427" s="27"/>
      <c r="O1427" s="27"/>
      <c r="P1427" s="27"/>
    </row>
    <row r="1428" spans="1:16" s="28" customFormat="1" ht="34.5" customHeight="1" thickBot="1">
      <c r="A1428" s="162"/>
      <c r="B1428" s="163"/>
      <c r="C1428" s="163"/>
      <c r="D1428" s="164"/>
      <c r="J1428" s="27"/>
      <c r="K1428" s="27"/>
      <c r="L1428" s="27"/>
      <c r="M1428" s="27"/>
      <c r="N1428" s="27"/>
      <c r="O1428" s="27"/>
      <c r="P1428" s="27"/>
    </row>
    <row r="1429" spans="1:16" s="28" customFormat="1" ht="34.5" customHeight="1" thickBot="1">
      <c r="A1429" s="142" t="s">
        <v>11</v>
      </c>
      <c r="B1429" s="143"/>
      <c r="C1429" s="165" t="s">
        <v>591</v>
      </c>
      <c r="D1429" s="143"/>
      <c r="J1429" s="27"/>
      <c r="K1429" s="27"/>
      <c r="L1429" s="27"/>
      <c r="M1429" s="27"/>
      <c r="N1429" s="27"/>
      <c r="O1429" s="27"/>
      <c r="P1429" s="27"/>
    </row>
    <row r="1430" spans="1:16" s="28" customFormat="1" ht="34.5" customHeight="1" thickBot="1">
      <c r="A1430" s="137" t="s">
        <v>145</v>
      </c>
      <c r="B1430" s="138"/>
      <c r="C1430" s="138"/>
      <c r="D1430" s="139"/>
      <c r="J1430" s="27"/>
      <c r="K1430" s="27"/>
      <c r="L1430" s="27"/>
      <c r="M1430" s="27"/>
      <c r="N1430" s="27"/>
      <c r="O1430" s="27"/>
      <c r="P1430" s="27"/>
    </row>
    <row r="1431" spans="1:16" s="28" customFormat="1" ht="34.5" customHeight="1" thickBot="1">
      <c r="A1431" s="34" t="s">
        <v>487</v>
      </c>
      <c r="B1431" s="32" t="s">
        <v>438</v>
      </c>
      <c r="C1431" s="34">
        <v>47</v>
      </c>
      <c r="D1431" s="32" t="s">
        <v>0</v>
      </c>
      <c r="J1431" s="27"/>
      <c r="K1431" s="27"/>
      <c r="L1431" s="27"/>
      <c r="M1431" s="27"/>
      <c r="N1431" s="27"/>
      <c r="O1431" s="27"/>
      <c r="P1431" s="27"/>
    </row>
    <row r="1432" spans="1:16" s="28" customFormat="1" ht="34.5" customHeight="1" thickBot="1">
      <c r="A1432" s="37" t="s">
        <v>673</v>
      </c>
      <c r="B1432" s="36" t="s">
        <v>1</v>
      </c>
      <c r="C1432" s="34" t="s">
        <v>674</v>
      </c>
      <c r="D1432" s="32" t="s">
        <v>2</v>
      </c>
      <c r="J1432" s="27"/>
      <c r="K1432" s="27"/>
      <c r="L1432" s="27"/>
      <c r="M1432" s="27"/>
      <c r="N1432" s="27"/>
      <c r="O1432" s="27"/>
      <c r="P1432" s="27"/>
    </row>
    <row r="1433" spans="1:16" s="28" customFormat="1" ht="34.5" customHeight="1" thickBot="1">
      <c r="A1433" s="140">
        <v>370</v>
      </c>
      <c r="B1433" s="141"/>
      <c r="C1433" s="142" t="s">
        <v>3</v>
      </c>
      <c r="D1433" s="143"/>
      <c r="J1433" s="27"/>
      <c r="K1433" s="27"/>
      <c r="L1433" s="27"/>
      <c r="M1433" s="27"/>
      <c r="N1433" s="27"/>
      <c r="O1433" s="27"/>
      <c r="P1433" s="27"/>
    </row>
    <row r="1434" spans="1:16" s="28" customFormat="1" ht="34.5" customHeight="1" thickBot="1">
      <c r="A1434" s="140">
        <v>370</v>
      </c>
      <c r="B1434" s="141"/>
      <c r="C1434" s="144" t="s">
        <v>4</v>
      </c>
      <c r="D1434" s="145"/>
      <c r="J1434" s="27"/>
      <c r="K1434" s="27"/>
      <c r="L1434" s="27"/>
      <c r="M1434" s="27"/>
      <c r="N1434" s="27"/>
      <c r="O1434" s="27"/>
      <c r="P1434" s="27"/>
    </row>
    <row r="1435" spans="1:16" s="28" customFormat="1" ht="34.5" customHeight="1" thickBot="1">
      <c r="A1435" s="146">
        <f>A1434-A1433</f>
        <v>0</v>
      </c>
      <c r="B1435" s="147"/>
      <c r="C1435" s="148"/>
      <c r="D1435" s="35" t="s">
        <v>5</v>
      </c>
      <c r="J1435" s="27"/>
      <c r="K1435" s="27"/>
      <c r="L1435" s="27"/>
      <c r="M1435" s="27"/>
      <c r="N1435" s="27"/>
      <c r="O1435" s="27"/>
      <c r="P1435" s="27"/>
    </row>
    <row r="1436" spans="1:16" s="28" customFormat="1" ht="34.5" customHeight="1" thickBot="1">
      <c r="A1436" s="149">
        <v>23</v>
      </c>
      <c r="B1436" s="150"/>
      <c r="C1436" s="151"/>
      <c r="D1436" s="35" t="s">
        <v>6</v>
      </c>
      <c r="J1436" s="27"/>
      <c r="K1436" s="27"/>
      <c r="L1436" s="27"/>
      <c r="M1436" s="27"/>
      <c r="N1436" s="27"/>
      <c r="O1436" s="27"/>
      <c r="P1436" s="27"/>
    </row>
    <row r="1437" spans="1:16" s="28" customFormat="1" ht="34.5" customHeight="1" thickBot="1">
      <c r="A1437" s="144">
        <f>A1436*A1435</f>
        <v>0</v>
      </c>
      <c r="B1437" s="152"/>
      <c r="C1437" s="145"/>
      <c r="D1437" s="35" t="s">
        <v>7</v>
      </c>
      <c r="J1437" s="27"/>
      <c r="K1437" s="27"/>
      <c r="L1437" s="27"/>
      <c r="M1437" s="27"/>
      <c r="N1437" s="27"/>
      <c r="O1437" s="27"/>
      <c r="P1437" s="27"/>
    </row>
    <row r="1438" spans="1:16" s="28" customFormat="1" ht="34.5" customHeight="1" thickBot="1">
      <c r="A1438" s="144">
        <v>0</v>
      </c>
      <c r="B1438" s="152"/>
      <c r="C1438" s="145"/>
      <c r="D1438" s="35" t="s">
        <v>437</v>
      </c>
      <c r="J1438" s="27"/>
      <c r="K1438" s="27"/>
      <c r="L1438" s="27"/>
      <c r="M1438" s="27"/>
      <c r="N1438" s="27"/>
      <c r="O1438" s="27"/>
      <c r="P1438" s="27"/>
    </row>
    <row r="1439" spans="1:16" s="28" customFormat="1" ht="34.5" customHeight="1" thickBot="1">
      <c r="A1439" s="34">
        <v>0</v>
      </c>
      <c r="B1439" s="32" t="s">
        <v>8</v>
      </c>
      <c r="C1439" s="33">
        <v>1330</v>
      </c>
      <c r="D1439" s="32" t="s">
        <v>9</v>
      </c>
      <c r="J1439" s="27"/>
      <c r="K1439" s="27"/>
      <c r="L1439" s="27"/>
      <c r="M1439" s="27"/>
      <c r="N1439" s="27"/>
      <c r="O1439" s="27"/>
      <c r="P1439" s="27"/>
    </row>
    <row r="1440" spans="1:16" s="28" customFormat="1" ht="34.5" customHeight="1" thickBot="1">
      <c r="A1440" s="153" t="s">
        <v>436</v>
      </c>
      <c r="B1440" s="154"/>
      <c r="C1440" s="154"/>
      <c r="D1440" s="155"/>
      <c r="J1440" s="27"/>
      <c r="K1440" s="27"/>
      <c r="L1440" s="27"/>
      <c r="M1440" s="27"/>
      <c r="N1440" s="27"/>
      <c r="O1440" s="27"/>
      <c r="P1440" s="27"/>
    </row>
    <row r="1441" spans="1:16" s="28" customFormat="1" ht="34.5" customHeight="1" thickBot="1">
      <c r="A1441" s="156" t="s">
        <v>435</v>
      </c>
      <c r="B1441" s="157"/>
      <c r="C1441" s="157"/>
      <c r="D1441" s="158"/>
      <c r="J1441" s="27"/>
      <c r="K1441" s="27"/>
      <c r="L1441" s="27"/>
      <c r="M1441" s="27"/>
      <c r="N1441" s="27"/>
      <c r="O1441" s="27"/>
      <c r="P1441" s="27"/>
    </row>
    <row r="1442" spans="1:16" s="28" customFormat="1" ht="34.5" customHeight="1" thickBot="1">
      <c r="A1442" s="40"/>
      <c r="B1442" s="39"/>
      <c r="C1442" s="39"/>
      <c r="D1442" s="38"/>
      <c r="J1442" s="27"/>
      <c r="K1442" s="27"/>
      <c r="L1442" s="27"/>
      <c r="M1442" s="27"/>
      <c r="N1442" s="27"/>
      <c r="O1442" s="27"/>
      <c r="P1442" s="27"/>
    </row>
    <row r="1443" spans="1:16" s="28" customFormat="1" ht="34.5" customHeight="1">
      <c r="A1443" s="159" t="s">
        <v>442</v>
      </c>
      <c r="B1443" s="160" t="s">
        <v>441</v>
      </c>
      <c r="C1443" s="160"/>
      <c r="D1443" s="161"/>
      <c r="J1443" s="27"/>
      <c r="K1443" s="27"/>
      <c r="L1443" s="27"/>
      <c r="M1443" s="27"/>
      <c r="N1443" s="27"/>
      <c r="O1443" s="27"/>
      <c r="P1443" s="27"/>
    </row>
    <row r="1444" spans="1:16" s="28" customFormat="1" ht="34.5" customHeight="1" thickBot="1">
      <c r="A1444" s="162"/>
      <c r="B1444" s="163"/>
      <c r="C1444" s="163"/>
      <c r="D1444" s="164"/>
      <c r="J1444" s="27"/>
      <c r="K1444" s="27"/>
      <c r="L1444" s="27"/>
      <c r="M1444" s="27"/>
      <c r="N1444" s="27"/>
      <c r="O1444" s="27"/>
      <c r="P1444" s="27"/>
    </row>
    <row r="1445" spans="1:16" s="28" customFormat="1" ht="34.5" customHeight="1" thickBot="1">
      <c r="A1445" s="142" t="s">
        <v>11</v>
      </c>
      <c r="B1445" s="143"/>
      <c r="C1445" s="165" t="s">
        <v>591</v>
      </c>
      <c r="D1445" s="143"/>
      <c r="J1445" s="27"/>
      <c r="K1445" s="27"/>
      <c r="L1445" s="27"/>
      <c r="M1445" s="27"/>
      <c r="N1445" s="27"/>
      <c r="O1445" s="27"/>
      <c r="P1445" s="27"/>
    </row>
    <row r="1446" spans="1:16" s="28" customFormat="1" ht="34.5" customHeight="1" thickBot="1">
      <c r="A1446" s="137" t="s">
        <v>145</v>
      </c>
      <c r="B1446" s="138"/>
      <c r="C1446" s="138"/>
      <c r="D1446" s="139"/>
      <c r="J1446" s="27"/>
      <c r="K1446" s="27"/>
      <c r="L1446" s="27"/>
      <c r="M1446" s="27"/>
      <c r="N1446" s="27"/>
      <c r="O1446" s="27"/>
      <c r="P1446" s="27"/>
    </row>
    <row r="1447" spans="1:16" s="28" customFormat="1" ht="34.5" customHeight="1" thickBot="1">
      <c r="A1447" s="34" t="s">
        <v>487</v>
      </c>
      <c r="B1447" s="32" t="s">
        <v>438</v>
      </c>
      <c r="C1447" s="34">
        <v>47</v>
      </c>
      <c r="D1447" s="32" t="s">
        <v>0</v>
      </c>
      <c r="J1447" s="27"/>
      <c r="K1447" s="27"/>
      <c r="L1447" s="27"/>
      <c r="M1447" s="27"/>
      <c r="N1447" s="27"/>
      <c r="O1447" s="27"/>
      <c r="P1447" s="27"/>
    </row>
    <row r="1448" spans="1:16" s="28" customFormat="1" ht="34.5" customHeight="1" thickBot="1">
      <c r="A1448" s="37" t="s">
        <v>673</v>
      </c>
      <c r="B1448" s="36" t="s">
        <v>1</v>
      </c>
      <c r="C1448" s="34" t="s">
        <v>674</v>
      </c>
      <c r="D1448" s="32" t="s">
        <v>2</v>
      </c>
      <c r="J1448" s="27"/>
      <c r="K1448" s="27"/>
      <c r="L1448" s="27"/>
      <c r="M1448" s="27"/>
      <c r="N1448" s="27"/>
      <c r="O1448" s="27"/>
      <c r="P1448" s="27"/>
    </row>
    <row r="1449" spans="1:16" s="28" customFormat="1" ht="34.5" customHeight="1" thickBot="1">
      <c r="A1449" s="140">
        <v>312</v>
      </c>
      <c r="B1449" s="141"/>
      <c r="C1449" s="142" t="s">
        <v>3</v>
      </c>
      <c r="D1449" s="143"/>
      <c r="J1449" s="27"/>
      <c r="K1449" s="27"/>
      <c r="L1449" s="27"/>
      <c r="M1449" s="27"/>
      <c r="N1449" s="27"/>
      <c r="O1449" s="27"/>
      <c r="P1449" s="27"/>
    </row>
    <row r="1450" spans="1:16" s="28" customFormat="1" ht="34.5" customHeight="1" thickBot="1">
      <c r="A1450" s="140">
        <v>370</v>
      </c>
      <c r="B1450" s="141"/>
      <c r="C1450" s="144" t="s">
        <v>4</v>
      </c>
      <c r="D1450" s="145"/>
      <c r="J1450" s="27"/>
      <c r="K1450" s="27"/>
      <c r="L1450" s="27"/>
      <c r="M1450" s="27"/>
      <c r="N1450" s="27"/>
      <c r="O1450" s="27"/>
      <c r="P1450" s="27"/>
    </row>
    <row r="1451" spans="1:16" s="28" customFormat="1" ht="34.5" customHeight="1" thickBot="1">
      <c r="A1451" s="146">
        <f>A1450-A1449</f>
        <v>58</v>
      </c>
      <c r="B1451" s="147"/>
      <c r="C1451" s="148"/>
      <c r="D1451" s="35" t="s">
        <v>5</v>
      </c>
      <c r="J1451" s="27"/>
      <c r="K1451" s="27"/>
      <c r="L1451" s="27"/>
      <c r="M1451" s="27"/>
      <c r="N1451" s="27"/>
      <c r="O1451" s="27"/>
      <c r="P1451" s="27"/>
    </row>
    <row r="1452" spans="1:16" s="28" customFormat="1" ht="34.5" customHeight="1" thickBot="1">
      <c r="A1452" s="149">
        <v>23</v>
      </c>
      <c r="B1452" s="150"/>
      <c r="C1452" s="151"/>
      <c r="D1452" s="35" t="s">
        <v>6</v>
      </c>
      <c r="J1452" s="27"/>
      <c r="K1452" s="27"/>
      <c r="L1452" s="27"/>
      <c r="M1452" s="27"/>
      <c r="N1452" s="27"/>
      <c r="O1452" s="27"/>
      <c r="P1452" s="27"/>
    </row>
    <row r="1453" spans="1:16" s="28" customFormat="1" ht="34.5" customHeight="1" thickBot="1">
      <c r="A1453" s="144">
        <f>A1452*A1451</f>
        <v>1334</v>
      </c>
      <c r="B1453" s="152"/>
      <c r="C1453" s="145"/>
      <c r="D1453" s="35" t="s">
        <v>7</v>
      </c>
      <c r="J1453" s="27"/>
      <c r="K1453" s="27"/>
      <c r="L1453" s="27"/>
      <c r="M1453" s="27"/>
      <c r="N1453" s="27"/>
      <c r="O1453" s="27"/>
      <c r="P1453" s="27"/>
    </row>
    <row r="1454" spans="1:16" s="28" customFormat="1" ht="34.5" customHeight="1" thickBot="1">
      <c r="A1454" s="144">
        <v>0</v>
      </c>
      <c r="B1454" s="152"/>
      <c r="C1454" s="145"/>
      <c r="D1454" s="35" t="s">
        <v>437</v>
      </c>
      <c r="J1454" s="27"/>
      <c r="K1454" s="27"/>
      <c r="L1454" s="27"/>
      <c r="M1454" s="27"/>
      <c r="N1454" s="27"/>
      <c r="O1454" s="27"/>
      <c r="P1454" s="27"/>
    </row>
    <row r="1455" spans="1:16" s="28" customFormat="1" ht="34.5" customHeight="1" thickBot="1">
      <c r="A1455" s="34">
        <v>0</v>
      </c>
      <c r="B1455" s="32" t="s">
        <v>8</v>
      </c>
      <c r="C1455" s="33">
        <v>1330</v>
      </c>
      <c r="D1455" s="32" t="s">
        <v>9</v>
      </c>
      <c r="J1455" s="27"/>
      <c r="K1455" s="27"/>
      <c r="L1455" s="27"/>
      <c r="M1455" s="27"/>
      <c r="N1455" s="27"/>
      <c r="O1455" s="27"/>
      <c r="P1455" s="27"/>
    </row>
    <row r="1456" spans="1:16" s="28" customFormat="1" ht="34.5" customHeight="1" thickBot="1">
      <c r="A1456" s="153" t="s">
        <v>436</v>
      </c>
      <c r="B1456" s="154"/>
      <c r="C1456" s="154"/>
      <c r="D1456" s="155"/>
      <c r="J1456" s="27"/>
      <c r="K1456" s="27"/>
      <c r="L1456" s="27"/>
      <c r="M1456" s="27"/>
      <c r="N1456" s="27"/>
      <c r="O1456" s="27"/>
      <c r="P1456" s="27"/>
    </row>
    <row r="1457" spans="1:16" s="28" customFormat="1" ht="34.5" customHeight="1" thickBot="1">
      <c r="A1457" s="156" t="s">
        <v>435</v>
      </c>
      <c r="B1457" s="157"/>
      <c r="C1457" s="157"/>
      <c r="D1457" s="158"/>
      <c r="J1457" s="27"/>
      <c r="K1457" s="27"/>
      <c r="L1457" s="27"/>
      <c r="M1457" s="27"/>
      <c r="N1457" s="27"/>
      <c r="O1457" s="27"/>
      <c r="P1457" s="27"/>
    </row>
    <row r="1458" spans="1:16" s="28" customFormat="1" ht="34.5" customHeight="1">
      <c r="A1458" s="159" t="s">
        <v>442</v>
      </c>
      <c r="B1458" s="160" t="s">
        <v>441</v>
      </c>
      <c r="C1458" s="160"/>
      <c r="D1458" s="161"/>
      <c r="J1458" s="27"/>
      <c r="K1458" s="27"/>
      <c r="L1458" s="27"/>
      <c r="M1458" s="27"/>
      <c r="N1458" s="27"/>
      <c r="O1458" s="27"/>
      <c r="P1458" s="27"/>
    </row>
    <row r="1459" spans="1:16" s="28" customFormat="1" ht="34.5" customHeight="1" thickBot="1">
      <c r="A1459" s="162"/>
      <c r="B1459" s="163"/>
      <c r="C1459" s="163"/>
      <c r="D1459" s="164"/>
      <c r="J1459" s="27"/>
      <c r="K1459" s="27"/>
      <c r="L1459" s="27"/>
      <c r="M1459" s="27"/>
      <c r="N1459" s="27"/>
      <c r="O1459" s="27"/>
      <c r="P1459" s="27"/>
    </row>
    <row r="1460" spans="1:16" s="28" customFormat="1" ht="34.5" customHeight="1" thickBot="1">
      <c r="A1460" s="142" t="s">
        <v>11</v>
      </c>
      <c r="B1460" s="143"/>
      <c r="C1460" s="165" t="s">
        <v>591</v>
      </c>
      <c r="D1460" s="143"/>
      <c r="J1460" s="27"/>
      <c r="K1460" s="27"/>
      <c r="L1460" s="27"/>
      <c r="M1460" s="27"/>
      <c r="N1460" s="27"/>
      <c r="O1460" s="27"/>
      <c r="P1460" s="27"/>
    </row>
    <row r="1461" spans="1:16" s="28" customFormat="1" ht="34.5" customHeight="1" thickBot="1">
      <c r="A1461" s="137" t="s">
        <v>491</v>
      </c>
      <c r="B1461" s="138"/>
      <c r="C1461" s="138"/>
      <c r="D1461" s="139"/>
      <c r="J1461" s="27"/>
      <c r="K1461" s="27"/>
      <c r="L1461" s="27"/>
      <c r="M1461" s="27"/>
      <c r="N1461" s="27"/>
      <c r="O1461" s="27"/>
      <c r="P1461" s="27"/>
    </row>
    <row r="1462" spans="1:16" s="28" customFormat="1" ht="34.5" customHeight="1" thickBot="1">
      <c r="A1462" s="34" t="s">
        <v>487</v>
      </c>
      <c r="B1462" s="32" t="s">
        <v>438</v>
      </c>
      <c r="C1462" s="34">
        <v>48</v>
      </c>
      <c r="D1462" s="32" t="s">
        <v>0</v>
      </c>
      <c r="J1462" s="27"/>
      <c r="K1462" s="27"/>
      <c r="L1462" s="27"/>
      <c r="M1462" s="27"/>
      <c r="N1462" s="27"/>
      <c r="O1462" s="27"/>
      <c r="P1462" s="27"/>
    </row>
    <row r="1463" spans="1:16" s="28" customFormat="1" ht="34.5" customHeight="1" thickBot="1">
      <c r="A1463" s="37" t="s">
        <v>673</v>
      </c>
      <c r="B1463" s="36" t="s">
        <v>1</v>
      </c>
      <c r="C1463" s="34" t="s">
        <v>674</v>
      </c>
      <c r="D1463" s="32" t="s">
        <v>2</v>
      </c>
      <c r="J1463" s="27"/>
      <c r="K1463" s="27"/>
      <c r="L1463" s="27"/>
      <c r="M1463" s="27"/>
      <c r="N1463" s="27"/>
      <c r="O1463" s="27"/>
      <c r="P1463" s="27"/>
    </row>
    <row r="1464" spans="1:16" s="28" customFormat="1" ht="34.5" customHeight="1" thickBot="1">
      <c r="A1464" s="140">
        <v>450</v>
      </c>
      <c r="B1464" s="141"/>
      <c r="C1464" s="142" t="s">
        <v>3</v>
      </c>
      <c r="D1464" s="143"/>
      <c r="J1464" s="27"/>
      <c r="K1464" s="27"/>
      <c r="L1464" s="27"/>
      <c r="M1464" s="27"/>
      <c r="N1464" s="27"/>
      <c r="O1464" s="27"/>
      <c r="P1464" s="27"/>
    </row>
    <row r="1465" spans="1:16" s="28" customFormat="1" ht="34.5" customHeight="1" thickBot="1">
      <c r="A1465" s="140">
        <v>450</v>
      </c>
      <c r="B1465" s="141"/>
      <c r="C1465" s="144" t="s">
        <v>4</v>
      </c>
      <c r="D1465" s="145"/>
      <c r="J1465" s="27"/>
      <c r="K1465" s="27"/>
      <c r="L1465" s="27"/>
      <c r="M1465" s="27"/>
      <c r="N1465" s="27"/>
      <c r="O1465" s="27"/>
      <c r="P1465" s="27"/>
    </row>
    <row r="1466" spans="1:16" s="28" customFormat="1" ht="34.5" customHeight="1" thickBot="1">
      <c r="A1466" s="146">
        <f>A1465-A1464</f>
        <v>0</v>
      </c>
      <c r="B1466" s="147"/>
      <c r="C1466" s="148"/>
      <c r="D1466" s="35" t="s">
        <v>5</v>
      </c>
      <c r="J1466" s="27"/>
      <c r="K1466" s="27"/>
      <c r="L1466" s="27"/>
      <c r="M1466" s="27"/>
      <c r="N1466" s="27"/>
      <c r="O1466" s="27"/>
      <c r="P1466" s="27"/>
    </row>
    <row r="1467" spans="1:16" s="28" customFormat="1" ht="34.5" customHeight="1" thickBot="1">
      <c r="A1467" s="149">
        <v>23</v>
      </c>
      <c r="B1467" s="150"/>
      <c r="C1467" s="151"/>
      <c r="D1467" s="35" t="s">
        <v>6</v>
      </c>
      <c r="J1467" s="27"/>
      <c r="K1467" s="27"/>
      <c r="L1467" s="27"/>
      <c r="M1467" s="27"/>
      <c r="N1467" s="27"/>
      <c r="O1467" s="27"/>
      <c r="P1467" s="27"/>
    </row>
    <row r="1468" spans="1:16" s="28" customFormat="1" ht="34.5" customHeight="1" thickBot="1">
      <c r="A1468" s="144">
        <f>A1467*A1466</f>
        <v>0</v>
      </c>
      <c r="B1468" s="152"/>
      <c r="C1468" s="145"/>
      <c r="D1468" s="35" t="s">
        <v>7</v>
      </c>
      <c r="J1468" s="27"/>
      <c r="K1468" s="27"/>
      <c r="L1468" s="27"/>
      <c r="M1468" s="27"/>
      <c r="N1468" s="27"/>
      <c r="O1468" s="27"/>
      <c r="P1468" s="27"/>
    </row>
    <row r="1469" spans="1:16" s="28" customFormat="1" ht="34.5" customHeight="1" thickBot="1">
      <c r="A1469" s="144">
        <v>0</v>
      </c>
      <c r="B1469" s="152"/>
      <c r="C1469" s="145"/>
      <c r="D1469" s="35" t="s">
        <v>437</v>
      </c>
      <c r="J1469" s="27"/>
      <c r="K1469" s="27"/>
      <c r="L1469" s="27"/>
      <c r="M1469" s="27"/>
      <c r="N1469" s="27"/>
      <c r="O1469" s="27"/>
      <c r="P1469" s="27"/>
    </row>
    <row r="1470" spans="1:16" s="28" customFormat="1" ht="34.5" customHeight="1" thickBot="1">
      <c r="A1470" s="34">
        <v>0</v>
      </c>
      <c r="B1470" s="32" t="s">
        <v>8</v>
      </c>
      <c r="C1470" s="33">
        <v>1150</v>
      </c>
      <c r="D1470" s="32" t="s">
        <v>9</v>
      </c>
      <c r="J1470" s="27"/>
      <c r="K1470" s="27"/>
      <c r="L1470" s="27"/>
      <c r="M1470" s="27"/>
      <c r="N1470" s="27"/>
      <c r="O1470" s="27"/>
      <c r="P1470" s="27"/>
    </row>
    <row r="1471" spans="1:16" s="28" customFormat="1" ht="34.5" customHeight="1" thickBot="1">
      <c r="A1471" s="153" t="s">
        <v>436</v>
      </c>
      <c r="B1471" s="154"/>
      <c r="C1471" s="154"/>
      <c r="D1471" s="155"/>
      <c r="J1471" s="27"/>
      <c r="K1471" s="27"/>
      <c r="L1471" s="27"/>
      <c r="M1471" s="27"/>
      <c r="N1471" s="27"/>
      <c r="O1471" s="27"/>
      <c r="P1471" s="27"/>
    </row>
    <row r="1472" spans="1:16" s="28" customFormat="1" ht="34.5" customHeight="1" thickBot="1">
      <c r="A1472" s="156" t="s">
        <v>435</v>
      </c>
      <c r="B1472" s="157"/>
      <c r="C1472" s="157"/>
      <c r="D1472" s="158"/>
      <c r="J1472" s="27"/>
      <c r="K1472" s="27"/>
      <c r="L1472" s="27"/>
      <c r="M1472" s="27"/>
      <c r="N1472" s="27"/>
      <c r="O1472" s="27"/>
      <c r="P1472" s="27"/>
    </row>
    <row r="1473" spans="1:16" s="28" customFormat="1" ht="34.5" customHeight="1" thickBot="1">
      <c r="A1473" s="40"/>
      <c r="B1473" s="39"/>
      <c r="C1473" s="39"/>
      <c r="D1473" s="38"/>
      <c r="J1473" s="27"/>
      <c r="K1473" s="27"/>
      <c r="L1473" s="27"/>
      <c r="M1473" s="27"/>
      <c r="N1473" s="27"/>
      <c r="O1473" s="27"/>
      <c r="P1473" s="27"/>
    </row>
    <row r="1474" spans="1:16" s="28" customFormat="1" ht="34.5" customHeight="1">
      <c r="A1474" s="159" t="s">
        <v>442</v>
      </c>
      <c r="B1474" s="160" t="s">
        <v>441</v>
      </c>
      <c r="C1474" s="160"/>
      <c r="D1474" s="161"/>
      <c r="J1474" s="27"/>
      <c r="K1474" s="27"/>
      <c r="L1474" s="27"/>
      <c r="M1474" s="27"/>
      <c r="N1474" s="27"/>
      <c r="O1474" s="27"/>
      <c r="P1474" s="27"/>
    </row>
    <row r="1475" spans="1:16" s="28" customFormat="1" ht="34.5" customHeight="1" thickBot="1">
      <c r="A1475" s="162"/>
      <c r="B1475" s="163"/>
      <c r="C1475" s="163"/>
      <c r="D1475" s="164"/>
      <c r="J1475" s="27"/>
      <c r="K1475" s="27"/>
      <c r="L1475" s="27"/>
      <c r="M1475" s="27"/>
      <c r="N1475" s="27"/>
      <c r="O1475" s="27"/>
      <c r="P1475" s="27"/>
    </row>
    <row r="1476" spans="1:16" s="28" customFormat="1" ht="34.5" customHeight="1" thickBot="1">
      <c r="A1476" s="142" t="s">
        <v>11</v>
      </c>
      <c r="B1476" s="143"/>
      <c r="C1476" s="165" t="s">
        <v>591</v>
      </c>
      <c r="D1476" s="143"/>
      <c r="J1476" s="27"/>
      <c r="K1476" s="27"/>
      <c r="L1476" s="27"/>
      <c r="M1476" s="27"/>
      <c r="N1476" s="27"/>
      <c r="O1476" s="27"/>
      <c r="P1476" s="27"/>
    </row>
    <row r="1477" spans="1:16" s="28" customFormat="1" ht="34.5" customHeight="1" thickBot="1">
      <c r="A1477" s="137" t="s">
        <v>491</v>
      </c>
      <c r="B1477" s="138"/>
      <c r="C1477" s="138"/>
      <c r="D1477" s="139"/>
      <c r="J1477" s="27"/>
      <c r="K1477" s="27"/>
      <c r="L1477" s="27"/>
      <c r="M1477" s="27"/>
      <c r="N1477" s="27"/>
      <c r="O1477" s="27"/>
      <c r="P1477" s="27"/>
    </row>
    <row r="1478" spans="1:16" s="28" customFormat="1" ht="34.5" customHeight="1" thickBot="1">
      <c r="A1478" s="34" t="s">
        <v>487</v>
      </c>
      <c r="B1478" s="32" t="s">
        <v>438</v>
      </c>
      <c r="C1478" s="34">
        <v>48</v>
      </c>
      <c r="D1478" s="32" t="s">
        <v>0</v>
      </c>
      <c r="J1478" s="27"/>
      <c r="K1478" s="27"/>
      <c r="L1478" s="27"/>
      <c r="M1478" s="27"/>
      <c r="N1478" s="27"/>
      <c r="O1478" s="27"/>
      <c r="P1478" s="27"/>
    </row>
    <row r="1479" spans="1:16" s="28" customFormat="1" ht="34.5" customHeight="1" thickBot="1">
      <c r="A1479" s="37" t="s">
        <v>673</v>
      </c>
      <c r="B1479" s="36" t="s">
        <v>1</v>
      </c>
      <c r="C1479" s="34" t="s">
        <v>674</v>
      </c>
      <c r="D1479" s="32" t="s">
        <v>2</v>
      </c>
      <c r="J1479" s="27"/>
      <c r="K1479" s="27"/>
      <c r="L1479" s="27"/>
      <c r="M1479" s="27"/>
      <c r="N1479" s="27"/>
      <c r="O1479" s="27"/>
      <c r="P1479" s="27"/>
    </row>
    <row r="1480" spans="1:16" s="28" customFormat="1" ht="34.5" customHeight="1" thickBot="1">
      <c r="A1480" s="140">
        <v>400</v>
      </c>
      <c r="B1480" s="141"/>
      <c r="C1480" s="142" t="s">
        <v>3</v>
      </c>
      <c r="D1480" s="143"/>
      <c r="J1480" s="27"/>
      <c r="K1480" s="27"/>
      <c r="L1480" s="27"/>
      <c r="M1480" s="27"/>
      <c r="N1480" s="27"/>
      <c r="O1480" s="27"/>
      <c r="P1480" s="27"/>
    </row>
    <row r="1481" spans="1:16" s="28" customFormat="1" ht="34.5" customHeight="1" thickBot="1">
      <c r="A1481" s="140">
        <v>450</v>
      </c>
      <c r="B1481" s="141"/>
      <c r="C1481" s="144" t="s">
        <v>4</v>
      </c>
      <c r="D1481" s="145"/>
      <c r="J1481" s="27"/>
      <c r="K1481" s="27"/>
      <c r="L1481" s="27"/>
      <c r="M1481" s="27"/>
      <c r="N1481" s="27"/>
      <c r="O1481" s="27"/>
      <c r="P1481" s="27"/>
    </row>
    <row r="1482" spans="1:16" s="28" customFormat="1" ht="34.5" customHeight="1" thickBot="1">
      <c r="A1482" s="146">
        <f>A1481-A1480</f>
        <v>50</v>
      </c>
      <c r="B1482" s="147"/>
      <c r="C1482" s="148"/>
      <c r="D1482" s="35" t="s">
        <v>5</v>
      </c>
      <c r="J1482" s="27"/>
      <c r="K1482" s="27"/>
      <c r="L1482" s="27"/>
      <c r="M1482" s="27"/>
      <c r="N1482" s="27"/>
      <c r="O1482" s="27"/>
      <c r="P1482" s="27"/>
    </row>
    <row r="1483" spans="1:16" s="28" customFormat="1" ht="34.5" customHeight="1" thickBot="1">
      <c r="A1483" s="149">
        <v>23</v>
      </c>
      <c r="B1483" s="150"/>
      <c r="C1483" s="151"/>
      <c r="D1483" s="35" t="s">
        <v>6</v>
      </c>
      <c r="J1483" s="27"/>
      <c r="K1483" s="27"/>
      <c r="L1483" s="27"/>
      <c r="M1483" s="27"/>
      <c r="N1483" s="27"/>
      <c r="O1483" s="27"/>
      <c r="P1483" s="27"/>
    </row>
    <row r="1484" spans="1:16" s="28" customFormat="1" ht="34.5" customHeight="1" thickBot="1">
      <c r="A1484" s="144">
        <f>A1483*A1482</f>
        <v>1150</v>
      </c>
      <c r="B1484" s="152"/>
      <c r="C1484" s="145"/>
      <c r="D1484" s="35" t="s">
        <v>7</v>
      </c>
      <c r="J1484" s="27"/>
      <c r="K1484" s="27"/>
      <c r="L1484" s="27"/>
      <c r="M1484" s="27"/>
      <c r="N1484" s="27"/>
      <c r="O1484" s="27"/>
      <c r="P1484" s="27"/>
    </row>
    <row r="1485" spans="1:16" s="28" customFormat="1" ht="34.5" customHeight="1" thickBot="1">
      <c r="A1485" s="144">
        <v>0</v>
      </c>
      <c r="B1485" s="152"/>
      <c r="C1485" s="145"/>
      <c r="D1485" s="35" t="s">
        <v>437</v>
      </c>
      <c r="J1485" s="27"/>
      <c r="K1485" s="27"/>
      <c r="L1485" s="27"/>
      <c r="M1485" s="27"/>
      <c r="N1485" s="27"/>
      <c r="O1485" s="27"/>
      <c r="P1485" s="27"/>
    </row>
    <row r="1486" spans="1:16" s="28" customFormat="1" ht="34.5" customHeight="1" thickBot="1">
      <c r="A1486" s="34">
        <v>0</v>
      </c>
      <c r="B1486" s="32" t="s">
        <v>8</v>
      </c>
      <c r="C1486" s="33">
        <v>1150</v>
      </c>
      <c r="D1486" s="32" t="s">
        <v>9</v>
      </c>
      <c r="J1486" s="27"/>
      <c r="K1486" s="27"/>
      <c r="L1486" s="27"/>
      <c r="M1486" s="27"/>
      <c r="N1486" s="27"/>
      <c r="O1486" s="27"/>
      <c r="P1486" s="27"/>
    </row>
    <row r="1487" spans="1:16" s="28" customFormat="1" ht="34.5" customHeight="1" thickBot="1">
      <c r="A1487" s="153" t="s">
        <v>436</v>
      </c>
      <c r="B1487" s="154"/>
      <c r="C1487" s="154"/>
      <c r="D1487" s="155"/>
      <c r="J1487" s="27"/>
      <c r="K1487" s="27"/>
      <c r="L1487" s="27"/>
      <c r="M1487" s="27"/>
      <c r="N1487" s="27"/>
      <c r="O1487" s="27"/>
      <c r="P1487" s="27"/>
    </row>
    <row r="1488" spans="1:16" s="28" customFormat="1" ht="34.5" customHeight="1" thickBot="1">
      <c r="A1488" s="156" t="s">
        <v>435</v>
      </c>
      <c r="B1488" s="157"/>
      <c r="C1488" s="157"/>
      <c r="D1488" s="158"/>
      <c r="J1488" s="27"/>
      <c r="K1488" s="27"/>
      <c r="L1488" s="27"/>
      <c r="M1488" s="27"/>
      <c r="N1488" s="27"/>
      <c r="O1488" s="27"/>
      <c r="P1488" s="27"/>
    </row>
    <row r="1489" spans="1:16" s="28" customFormat="1" ht="34.5" customHeight="1">
      <c r="A1489" s="159" t="s">
        <v>442</v>
      </c>
      <c r="B1489" s="160" t="s">
        <v>441</v>
      </c>
      <c r="C1489" s="160"/>
      <c r="D1489" s="161"/>
      <c r="J1489" s="27"/>
      <c r="K1489" s="27"/>
      <c r="L1489" s="27"/>
      <c r="M1489" s="27"/>
      <c r="N1489" s="27"/>
      <c r="O1489" s="27"/>
      <c r="P1489" s="27"/>
    </row>
    <row r="1490" spans="1:16" s="28" customFormat="1" ht="34.5" customHeight="1" thickBot="1">
      <c r="A1490" s="162"/>
      <c r="B1490" s="163"/>
      <c r="C1490" s="163"/>
      <c r="D1490" s="164"/>
      <c r="J1490" s="27"/>
      <c r="K1490" s="27"/>
      <c r="L1490" s="27"/>
      <c r="M1490" s="27"/>
      <c r="N1490" s="27"/>
      <c r="O1490" s="27"/>
      <c r="P1490" s="27"/>
    </row>
    <row r="1491" spans="1:16" s="28" customFormat="1" ht="34.5" customHeight="1" thickBot="1">
      <c r="A1491" s="142" t="s">
        <v>11</v>
      </c>
      <c r="B1491" s="143"/>
      <c r="C1491" s="165" t="s">
        <v>591</v>
      </c>
      <c r="D1491" s="143"/>
      <c r="J1491" s="27"/>
      <c r="K1491" s="27"/>
      <c r="L1491" s="27"/>
      <c r="M1491" s="27"/>
      <c r="N1491" s="27"/>
      <c r="O1491" s="27"/>
      <c r="P1491" s="27"/>
    </row>
    <row r="1492" spans="1:16" s="28" customFormat="1" ht="34.5" customHeight="1" thickBot="1">
      <c r="A1492" s="137" t="s">
        <v>431</v>
      </c>
      <c r="B1492" s="138"/>
      <c r="C1492" s="138"/>
      <c r="D1492" s="139"/>
      <c r="J1492" s="27"/>
      <c r="K1492" s="27"/>
      <c r="L1492" s="27"/>
      <c r="M1492" s="27"/>
      <c r="N1492" s="27"/>
      <c r="O1492" s="27"/>
      <c r="P1492" s="27"/>
    </row>
    <row r="1493" spans="1:16" s="28" customFormat="1" ht="34.5" customHeight="1" thickBot="1">
      <c r="A1493" s="34" t="s">
        <v>487</v>
      </c>
      <c r="B1493" s="32" t="s">
        <v>438</v>
      </c>
      <c r="C1493" s="34">
        <v>49</v>
      </c>
      <c r="D1493" s="32" t="s">
        <v>0</v>
      </c>
      <c r="J1493" s="27"/>
      <c r="K1493" s="27"/>
      <c r="L1493" s="27"/>
      <c r="M1493" s="27"/>
      <c r="N1493" s="27"/>
      <c r="O1493" s="27"/>
      <c r="P1493" s="27"/>
    </row>
    <row r="1494" spans="1:16" s="28" customFormat="1" ht="34.5" customHeight="1" thickBot="1">
      <c r="A1494" s="37" t="s">
        <v>673</v>
      </c>
      <c r="B1494" s="36" t="s">
        <v>1</v>
      </c>
      <c r="C1494" s="34" t="s">
        <v>674</v>
      </c>
      <c r="D1494" s="32" t="s">
        <v>2</v>
      </c>
      <c r="J1494" s="27"/>
      <c r="K1494" s="27"/>
      <c r="L1494" s="27"/>
      <c r="M1494" s="27"/>
      <c r="N1494" s="27"/>
      <c r="O1494" s="27"/>
      <c r="P1494" s="27"/>
    </row>
    <row r="1495" spans="1:16" s="28" customFormat="1" ht="34.5" customHeight="1" thickBot="1">
      <c r="A1495" s="140">
        <v>382</v>
      </c>
      <c r="B1495" s="141"/>
      <c r="C1495" s="142" t="s">
        <v>3</v>
      </c>
      <c r="D1495" s="143"/>
      <c r="J1495" s="27"/>
      <c r="K1495" s="27"/>
      <c r="L1495" s="27"/>
      <c r="M1495" s="27"/>
      <c r="N1495" s="27"/>
      <c r="O1495" s="27"/>
      <c r="P1495" s="27"/>
    </row>
    <row r="1496" spans="1:16" s="28" customFormat="1" ht="34.5" customHeight="1" thickBot="1">
      <c r="A1496" s="140">
        <v>382</v>
      </c>
      <c r="B1496" s="141"/>
      <c r="C1496" s="144" t="s">
        <v>4</v>
      </c>
      <c r="D1496" s="145"/>
      <c r="J1496" s="27"/>
      <c r="K1496" s="27"/>
      <c r="L1496" s="27"/>
      <c r="M1496" s="27"/>
      <c r="N1496" s="27"/>
      <c r="O1496" s="27"/>
      <c r="P1496" s="27"/>
    </row>
    <row r="1497" spans="1:16" s="28" customFormat="1" ht="34.5" customHeight="1" thickBot="1">
      <c r="A1497" s="146">
        <f>A1496-A1495</f>
        <v>0</v>
      </c>
      <c r="B1497" s="147"/>
      <c r="C1497" s="148"/>
      <c r="D1497" s="35" t="s">
        <v>5</v>
      </c>
      <c r="J1497" s="27"/>
      <c r="K1497" s="27"/>
      <c r="L1497" s="27"/>
      <c r="M1497" s="27"/>
      <c r="N1497" s="27"/>
      <c r="O1497" s="27"/>
      <c r="P1497" s="27"/>
    </row>
    <row r="1498" spans="1:16" s="28" customFormat="1" ht="34.5" customHeight="1" thickBot="1">
      <c r="A1498" s="149">
        <v>23</v>
      </c>
      <c r="B1498" s="150"/>
      <c r="C1498" s="151"/>
      <c r="D1498" s="35" t="s">
        <v>6</v>
      </c>
      <c r="J1498" s="27"/>
      <c r="K1498" s="27"/>
      <c r="L1498" s="27"/>
      <c r="M1498" s="27"/>
      <c r="N1498" s="27"/>
      <c r="O1498" s="27"/>
      <c r="P1498" s="27"/>
    </row>
    <row r="1499" spans="1:16" s="28" customFormat="1" ht="34.5" customHeight="1" thickBot="1">
      <c r="A1499" s="144">
        <f>A1498*A1497</f>
        <v>0</v>
      </c>
      <c r="B1499" s="152"/>
      <c r="C1499" s="145"/>
      <c r="D1499" s="35" t="s">
        <v>7</v>
      </c>
      <c r="J1499" s="27"/>
      <c r="K1499" s="27"/>
      <c r="L1499" s="27"/>
      <c r="M1499" s="27"/>
      <c r="N1499" s="27"/>
      <c r="O1499" s="27"/>
      <c r="P1499" s="27"/>
    </row>
    <row r="1500" spans="1:16" s="28" customFormat="1" ht="34.5" customHeight="1" thickBot="1">
      <c r="A1500" s="144">
        <v>0</v>
      </c>
      <c r="B1500" s="152"/>
      <c r="C1500" s="145"/>
      <c r="D1500" s="35" t="s">
        <v>437</v>
      </c>
      <c r="J1500" s="27"/>
      <c r="K1500" s="27"/>
      <c r="L1500" s="27"/>
      <c r="M1500" s="27"/>
      <c r="N1500" s="27"/>
      <c r="O1500" s="27"/>
      <c r="P1500" s="27"/>
    </row>
    <row r="1501" spans="1:16" s="28" customFormat="1" ht="34.5" customHeight="1" thickBot="1">
      <c r="A1501" s="34">
        <v>0</v>
      </c>
      <c r="B1501" s="32" t="s">
        <v>8</v>
      </c>
      <c r="C1501" s="33">
        <v>970</v>
      </c>
      <c r="D1501" s="32" t="s">
        <v>9</v>
      </c>
      <c r="J1501" s="27"/>
      <c r="K1501" s="27"/>
      <c r="L1501" s="27"/>
      <c r="M1501" s="27"/>
      <c r="N1501" s="27"/>
      <c r="O1501" s="27"/>
      <c r="P1501" s="27"/>
    </row>
    <row r="1502" spans="1:16" s="28" customFormat="1" ht="34.5" customHeight="1" thickBot="1">
      <c r="A1502" s="153" t="s">
        <v>436</v>
      </c>
      <c r="B1502" s="154"/>
      <c r="C1502" s="154"/>
      <c r="D1502" s="155"/>
      <c r="J1502" s="27"/>
      <c r="K1502" s="27"/>
      <c r="L1502" s="27"/>
      <c r="M1502" s="27"/>
      <c r="N1502" s="27"/>
      <c r="O1502" s="27"/>
      <c r="P1502" s="27"/>
    </row>
    <row r="1503" spans="1:16" s="28" customFormat="1" ht="34.5" customHeight="1" thickBot="1">
      <c r="A1503" s="156" t="s">
        <v>435</v>
      </c>
      <c r="B1503" s="157"/>
      <c r="C1503" s="157"/>
      <c r="D1503" s="158"/>
      <c r="J1503" s="27"/>
      <c r="K1503" s="27"/>
      <c r="L1503" s="27"/>
      <c r="M1503" s="27"/>
      <c r="N1503" s="27"/>
      <c r="O1503" s="27"/>
      <c r="P1503" s="27"/>
    </row>
    <row r="1504" spans="1:16" s="28" customFormat="1" ht="34.5" customHeight="1" thickBot="1">
      <c r="A1504" s="40"/>
      <c r="B1504" s="39"/>
      <c r="C1504" s="39"/>
      <c r="D1504" s="38"/>
      <c r="J1504" s="27"/>
      <c r="K1504" s="27"/>
      <c r="L1504" s="27"/>
      <c r="M1504" s="27"/>
      <c r="N1504" s="27"/>
      <c r="O1504" s="27"/>
      <c r="P1504" s="27"/>
    </row>
    <row r="1505" spans="1:16" s="28" customFormat="1" ht="34.5" customHeight="1">
      <c r="A1505" s="159" t="s">
        <v>442</v>
      </c>
      <c r="B1505" s="160" t="s">
        <v>441</v>
      </c>
      <c r="C1505" s="160"/>
      <c r="D1505" s="161"/>
      <c r="J1505" s="27"/>
      <c r="K1505" s="27"/>
      <c r="L1505" s="27"/>
      <c r="M1505" s="27"/>
      <c r="N1505" s="27"/>
      <c r="O1505" s="27"/>
      <c r="P1505" s="27"/>
    </row>
    <row r="1506" spans="1:16" s="28" customFormat="1" ht="34.5" customHeight="1" thickBot="1">
      <c r="A1506" s="162"/>
      <c r="B1506" s="163"/>
      <c r="C1506" s="163"/>
      <c r="D1506" s="164"/>
      <c r="J1506" s="27"/>
      <c r="K1506" s="27"/>
      <c r="L1506" s="27"/>
      <c r="M1506" s="27"/>
      <c r="N1506" s="27"/>
      <c r="O1506" s="27"/>
      <c r="P1506" s="27"/>
    </row>
    <row r="1507" spans="1:16" s="28" customFormat="1" ht="34.5" customHeight="1" thickBot="1">
      <c r="A1507" s="142" t="s">
        <v>11</v>
      </c>
      <c r="B1507" s="143"/>
      <c r="C1507" s="165" t="s">
        <v>591</v>
      </c>
      <c r="D1507" s="143"/>
      <c r="J1507" s="27"/>
      <c r="K1507" s="27"/>
      <c r="L1507" s="27"/>
      <c r="M1507" s="27"/>
      <c r="N1507" s="27"/>
      <c r="O1507" s="27"/>
      <c r="P1507" s="27"/>
    </row>
    <row r="1508" spans="1:16" s="28" customFormat="1" ht="34.5" customHeight="1" thickBot="1">
      <c r="A1508" s="137" t="s">
        <v>431</v>
      </c>
      <c r="B1508" s="138"/>
      <c r="C1508" s="138"/>
      <c r="D1508" s="139"/>
      <c r="J1508" s="27"/>
      <c r="K1508" s="27"/>
      <c r="L1508" s="27"/>
      <c r="M1508" s="27"/>
      <c r="N1508" s="27"/>
      <c r="O1508" s="27"/>
      <c r="P1508" s="27"/>
    </row>
    <row r="1509" spans="1:16" s="28" customFormat="1" ht="34.5" customHeight="1" thickBot="1">
      <c r="A1509" s="34" t="s">
        <v>487</v>
      </c>
      <c r="B1509" s="32" t="s">
        <v>438</v>
      </c>
      <c r="C1509" s="34">
        <v>49</v>
      </c>
      <c r="D1509" s="32" t="s">
        <v>0</v>
      </c>
      <c r="J1509" s="27"/>
      <c r="K1509" s="27"/>
      <c r="L1509" s="27"/>
      <c r="M1509" s="27"/>
      <c r="N1509" s="27"/>
      <c r="O1509" s="27"/>
      <c r="P1509" s="27"/>
    </row>
    <row r="1510" spans="1:16" s="28" customFormat="1" ht="34.5" customHeight="1" thickBot="1">
      <c r="A1510" s="37" t="s">
        <v>673</v>
      </c>
      <c r="B1510" s="36" t="s">
        <v>1</v>
      </c>
      <c r="C1510" s="34" t="s">
        <v>674</v>
      </c>
      <c r="D1510" s="32" t="s">
        <v>2</v>
      </c>
      <c r="J1510" s="27"/>
      <c r="K1510" s="27"/>
      <c r="L1510" s="27"/>
      <c r="M1510" s="27"/>
      <c r="N1510" s="27"/>
      <c r="O1510" s="27"/>
      <c r="P1510" s="27"/>
    </row>
    <row r="1511" spans="1:16" s="28" customFormat="1" ht="34.5" customHeight="1" thickBot="1">
      <c r="A1511" s="140">
        <v>340</v>
      </c>
      <c r="B1511" s="141"/>
      <c r="C1511" s="142" t="s">
        <v>3</v>
      </c>
      <c r="D1511" s="143"/>
      <c r="J1511" s="27"/>
      <c r="K1511" s="27"/>
      <c r="L1511" s="27"/>
      <c r="M1511" s="27"/>
      <c r="N1511" s="27"/>
      <c r="O1511" s="27"/>
      <c r="P1511" s="27"/>
    </row>
    <row r="1512" spans="1:16" s="28" customFormat="1" ht="34.5" customHeight="1" thickBot="1">
      <c r="A1512" s="140">
        <v>382</v>
      </c>
      <c r="B1512" s="141"/>
      <c r="C1512" s="144" t="s">
        <v>4</v>
      </c>
      <c r="D1512" s="145"/>
      <c r="J1512" s="27"/>
      <c r="K1512" s="27"/>
      <c r="L1512" s="27"/>
      <c r="M1512" s="27"/>
      <c r="N1512" s="27"/>
      <c r="O1512" s="27"/>
      <c r="P1512" s="27"/>
    </row>
    <row r="1513" spans="1:16" s="28" customFormat="1" ht="34.5" customHeight="1" thickBot="1">
      <c r="A1513" s="146">
        <f>A1512-A1511</f>
        <v>42</v>
      </c>
      <c r="B1513" s="147"/>
      <c r="C1513" s="148"/>
      <c r="D1513" s="35" t="s">
        <v>5</v>
      </c>
      <c r="J1513" s="27"/>
      <c r="K1513" s="27"/>
      <c r="L1513" s="27"/>
      <c r="M1513" s="27"/>
      <c r="N1513" s="27"/>
      <c r="O1513" s="27"/>
      <c r="P1513" s="27"/>
    </row>
    <row r="1514" spans="1:16" s="28" customFormat="1" ht="34.5" customHeight="1" thickBot="1">
      <c r="A1514" s="149">
        <v>23</v>
      </c>
      <c r="B1514" s="150"/>
      <c r="C1514" s="151"/>
      <c r="D1514" s="35" t="s">
        <v>6</v>
      </c>
      <c r="J1514" s="27"/>
      <c r="K1514" s="27"/>
      <c r="L1514" s="27"/>
      <c r="M1514" s="27"/>
      <c r="N1514" s="27"/>
      <c r="O1514" s="27"/>
      <c r="P1514" s="27"/>
    </row>
    <row r="1515" spans="1:16" s="28" customFormat="1" ht="34.5" customHeight="1" thickBot="1">
      <c r="A1515" s="144">
        <f>A1514*A1513</f>
        <v>966</v>
      </c>
      <c r="B1515" s="152"/>
      <c r="C1515" s="145"/>
      <c r="D1515" s="35" t="s">
        <v>7</v>
      </c>
      <c r="J1515" s="27"/>
      <c r="K1515" s="27"/>
      <c r="L1515" s="27"/>
      <c r="M1515" s="27"/>
      <c r="N1515" s="27"/>
      <c r="O1515" s="27"/>
      <c r="P1515" s="27"/>
    </row>
    <row r="1516" spans="1:16" s="28" customFormat="1" ht="34.5" customHeight="1" thickBot="1">
      <c r="A1516" s="144">
        <v>0</v>
      </c>
      <c r="B1516" s="152"/>
      <c r="C1516" s="145"/>
      <c r="D1516" s="35" t="s">
        <v>437</v>
      </c>
      <c r="J1516" s="27"/>
      <c r="K1516" s="27"/>
      <c r="L1516" s="27"/>
      <c r="M1516" s="27"/>
      <c r="N1516" s="27"/>
      <c r="O1516" s="27"/>
      <c r="P1516" s="27"/>
    </row>
    <row r="1517" spans="1:16" s="28" customFormat="1" ht="34.5" customHeight="1" thickBot="1">
      <c r="A1517" s="34">
        <v>0</v>
      </c>
      <c r="B1517" s="32" t="s">
        <v>8</v>
      </c>
      <c r="C1517" s="33">
        <v>970</v>
      </c>
      <c r="D1517" s="32" t="s">
        <v>9</v>
      </c>
      <c r="J1517" s="27"/>
      <c r="K1517" s="27"/>
      <c r="L1517" s="27"/>
      <c r="M1517" s="27"/>
      <c r="N1517" s="27"/>
      <c r="O1517" s="27"/>
      <c r="P1517" s="27"/>
    </row>
    <row r="1518" spans="1:16" s="28" customFormat="1" ht="34.5" customHeight="1" thickBot="1">
      <c r="A1518" s="153" t="s">
        <v>436</v>
      </c>
      <c r="B1518" s="154"/>
      <c r="C1518" s="154"/>
      <c r="D1518" s="155"/>
      <c r="J1518" s="27"/>
      <c r="K1518" s="27"/>
      <c r="L1518" s="27"/>
      <c r="M1518" s="27"/>
      <c r="N1518" s="27"/>
      <c r="O1518" s="27"/>
      <c r="P1518" s="27"/>
    </row>
    <row r="1519" spans="1:16" s="28" customFormat="1" ht="34.5" customHeight="1" thickBot="1">
      <c r="A1519" s="156" t="s">
        <v>435</v>
      </c>
      <c r="B1519" s="157"/>
      <c r="C1519" s="157"/>
      <c r="D1519" s="158"/>
      <c r="J1519" s="27"/>
      <c r="K1519" s="27"/>
      <c r="L1519" s="27"/>
      <c r="M1519" s="27"/>
      <c r="N1519" s="27"/>
      <c r="O1519" s="27"/>
      <c r="P1519" s="27"/>
    </row>
    <row r="1520" spans="1:16" s="28" customFormat="1" ht="34.5" customHeight="1">
      <c r="A1520" s="159" t="s">
        <v>442</v>
      </c>
      <c r="B1520" s="160" t="s">
        <v>441</v>
      </c>
      <c r="C1520" s="160"/>
      <c r="D1520" s="161"/>
      <c r="J1520" s="27"/>
      <c r="K1520" s="27"/>
      <c r="L1520" s="27"/>
      <c r="M1520" s="27"/>
      <c r="N1520" s="27"/>
      <c r="O1520" s="27"/>
      <c r="P1520" s="27"/>
    </row>
    <row r="1521" spans="1:16" s="28" customFormat="1" ht="34.5" customHeight="1" thickBot="1">
      <c r="A1521" s="162"/>
      <c r="B1521" s="163"/>
      <c r="C1521" s="163"/>
      <c r="D1521" s="164"/>
      <c r="J1521" s="27"/>
      <c r="K1521" s="27"/>
      <c r="L1521" s="27"/>
      <c r="M1521" s="27"/>
      <c r="N1521" s="27"/>
      <c r="O1521" s="27"/>
      <c r="P1521" s="27"/>
    </row>
    <row r="1522" spans="1:16" s="28" customFormat="1" ht="34.5" customHeight="1" thickBot="1">
      <c r="A1522" s="142" t="s">
        <v>11</v>
      </c>
      <c r="B1522" s="143"/>
      <c r="C1522" s="165" t="s">
        <v>591</v>
      </c>
      <c r="D1522" s="143"/>
      <c r="J1522" s="27"/>
      <c r="K1522" s="27"/>
      <c r="L1522" s="27"/>
      <c r="M1522" s="27"/>
      <c r="N1522" s="27"/>
      <c r="O1522" s="27"/>
      <c r="P1522" s="27"/>
    </row>
    <row r="1523" spans="1:16" s="28" customFormat="1" ht="34.5" customHeight="1" thickBot="1">
      <c r="A1523" s="137" t="s">
        <v>490</v>
      </c>
      <c r="B1523" s="138"/>
      <c r="C1523" s="138"/>
      <c r="D1523" s="139"/>
      <c r="J1523" s="27"/>
      <c r="K1523" s="27"/>
      <c r="L1523" s="27"/>
      <c r="M1523" s="27"/>
      <c r="N1523" s="27"/>
      <c r="O1523" s="27"/>
      <c r="P1523" s="27"/>
    </row>
    <row r="1524" spans="1:16" s="28" customFormat="1" ht="34.5" customHeight="1" thickBot="1">
      <c r="A1524" s="34" t="s">
        <v>487</v>
      </c>
      <c r="B1524" s="32" t="s">
        <v>438</v>
      </c>
      <c r="C1524" s="34">
        <v>50</v>
      </c>
      <c r="D1524" s="32" t="s">
        <v>0</v>
      </c>
      <c r="J1524" s="27"/>
      <c r="K1524" s="27"/>
      <c r="L1524" s="27"/>
      <c r="M1524" s="27"/>
      <c r="N1524" s="27"/>
      <c r="O1524" s="27"/>
      <c r="P1524" s="27"/>
    </row>
    <row r="1525" spans="1:16" s="28" customFormat="1" ht="34.5" customHeight="1" thickBot="1">
      <c r="A1525" s="37" t="s">
        <v>673</v>
      </c>
      <c r="B1525" s="36" t="s">
        <v>1</v>
      </c>
      <c r="C1525" s="34" t="s">
        <v>674</v>
      </c>
      <c r="D1525" s="32" t="s">
        <v>2</v>
      </c>
      <c r="J1525" s="27"/>
      <c r="K1525" s="27"/>
      <c r="L1525" s="27"/>
      <c r="M1525" s="27"/>
      <c r="N1525" s="27"/>
      <c r="O1525" s="27"/>
      <c r="P1525" s="27"/>
    </row>
    <row r="1526" spans="1:16" s="28" customFormat="1" ht="34.5" customHeight="1" thickBot="1">
      <c r="A1526" s="140">
        <v>345</v>
      </c>
      <c r="B1526" s="141"/>
      <c r="C1526" s="142" t="s">
        <v>3</v>
      </c>
      <c r="D1526" s="143"/>
      <c r="J1526" s="27"/>
      <c r="K1526" s="27"/>
      <c r="L1526" s="27"/>
      <c r="M1526" s="27"/>
      <c r="N1526" s="27"/>
      <c r="O1526" s="27"/>
      <c r="P1526" s="27"/>
    </row>
    <row r="1527" spans="1:16" s="28" customFormat="1" ht="34.5" customHeight="1" thickBot="1">
      <c r="A1527" s="140">
        <v>345</v>
      </c>
      <c r="B1527" s="141"/>
      <c r="C1527" s="144" t="s">
        <v>4</v>
      </c>
      <c r="D1527" s="145"/>
      <c r="J1527" s="27"/>
      <c r="K1527" s="27"/>
      <c r="L1527" s="27"/>
      <c r="M1527" s="27"/>
      <c r="N1527" s="27"/>
      <c r="O1527" s="27"/>
      <c r="P1527" s="27"/>
    </row>
    <row r="1528" spans="1:16" s="28" customFormat="1" ht="34.5" customHeight="1" thickBot="1">
      <c r="A1528" s="146">
        <f>A1527-A1526</f>
        <v>0</v>
      </c>
      <c r="B1528" s="147"/>
      <c r="C1528" s="148"/>
      <c r="D1528" s="35" t="s">
        <v>5</v>
      </c>
      <c r="J1528" s="27"/>
      <c r="K1528" s="27"/>
      <c r="L1528" s="27"/>
      <c r="M1528" s="27"/>
      <c r="N1528" s="27"/>
      <c r="O1528" s="27"/>
      <c r="P1528" s="27"/>
    </row>
    <row r="1529" spans="1:16" s="28" customFormat="1" ht="34.5" customHeight="1" thickBot="1">
      <c r="A1529" s="149">
        <v>23</v>
      </c>
      <c r="B1529" s="150"/>
      <c r="C1529" s="151"/>
      <c r="D1529" s="35" t="s">
        <v>6</v>
      </c>
      <c r="J1529" s="27"/>
      <c r="K1529" s="27"/>
      <c r="L1529" s="27"/>
      <c r="M1529" s="27"/>
      <c r="N1529" s="27"/>
      <c r="O1529" s="27"/>
      <c r="P1529" s="27"/>
    </row>
    <row r="1530" spans="1:16" s="28" customFormat="1" ht="34.5" customHeight="1" thickBot="1">
      <c r="A1530" s="144">
        <f>A1529*A1528</f>
        <v>0</v>
      </c>
      <c r="B1530" s="152"/>
      <c r="C1530" s="145"/>
      <c r="D1530" s="35" t="s">
        <v>7</v>
      </c>
      <c r="J1530" s="27"/>
      <c r="K1530" s="27"/>
      <c r="L1530" s="27"/>
      <c r="M1530" s="27"/>
      <c r="N1530" s="27"/>
      <c r="O1530" s="27"/>
      <c r="P1530" s="27"/>
    </row>
    <row r="1531" spans="1:16" s="28" customFormat="1" ht="34.5" customHeight="1" thickBot="1">
      <c r="A1531" s="144">
        <v>0</v>
      </c>
      <c r="B1531" s="152"/>
      <c r="C1531" s="145"/>
      <c r="D1531" s="35" t="s">
        <v>437</v>
      </c>
      <c r="J1531" s="27"/>
      <c r="K1531" s="27"/>
      <c r="L1531" s="27"/>
      <c r="M1531" s="27"/>
      <c r="N1531" s="27"/>
      <c r="O1531" s="27"/>
      <c r="P1531" s="27"/>
    </row>
    <row r="1532" spans="1:16" s="28" customFormat="1" ht="34.5" customHeight="1" thickBot="1">
      <c r="A1532" s="34">
        <v>0</v>
      </c>
      <c r="B1532" s="32" t="s">
        <v>8</v>
      </c>
      <c r="C1532" s="33">
        <v>1040</v>
      </c>
      <c r="D1532" s="32" t="s">
        <v>9</v>
      </c>
      <c r="J1532" s="27"/>
      <c r="K1532" s="27"/>
      <c r="L1532" s="27"/>
      <c r="M1532" s="27"/>
      <c r="N1532" s="27"/>
      <c r="O1532" s="27"/>
      <c r="P1532" s="27"/>
    </row>
    <row r="1533" spans="1:16" s="28" customFormat="1" ht="34.5" customHeight="1" thickBot="1">
      <c r="A1533" s="153" t="s">
        <v>436</v>
      </c>
      <c r="B1533" s="154"/>
      <c r="C1533" s="154"/>
      <c r="D1533" s="155"/>
      <c r="J1533" s="27"/>
      <c r="K1533" s="27"/>
      <c r="L1533" s="27"/>
      <c r="M1533" s="27"/>
      <c r="N1533" s="27"/>
      <c r="O1533" s="27"/>
      <c r="P1533" s="27"/>
    </row>
    <row r="1534" spans="1:16" s="28" customFormat="1" ht="34.5" customHeight="1" thickBot="1">
      <c r="A1534" s="156" t="s">
        <v>435</v>
      </c>
      <c r="B1534" s="157"/>
      <c r="C1534" s="157"/>
      <c r="D1534" s="158"/>
      <c r="J1534" s="27"/>
      <c r="K1534" s="27"/>
      <c r="L1534" s="27"/>
      <c r="M1534" s="27"/>
      <c r="N1534" s="27"/>
      <c r="O1534" s="27"/>
      <c r="P1534" s="27"/>
    </row>
    <row r="1535" spans="1:16" s="28" customFormat="1" ht="34.5" customHeight="1" thickBot="1">
      <c r="A1535" s="40"/>
      <c r="B1535" s="39"/>
      <c r="C1535" s="39"/>
      <c r="D1535" s="38"/>
      <c r="J1535" s="27"/>
      <c r="K1535" s="27"/>
      <c r="L1535" s="27"/>
      <c r="M1535" s="27"/>
      <c r="N1535" s="27"/>
      <c r="O1535" s="27"/>
      <c r="P1535" s="27"/>
    </row>
    <row r="1536" spans="1:16" s="28" customFormat="1" ht="34.5" customHeight="1">
      <c r="A1536" s="159" t="s">
        <v>442</v>
      </c>
      <c r="B1536" s="160" t="s">
        <v>441</v>
      </c>
      <c r="C1536" s="160"/>
      <c r="D1536" s="161"/>
      <c r="J1536" s="27"/>
      <c r="K1536" s="27"/>
      <c r="L1536" s="27"/>
      <c r="M1536" s="27"/>
      <c r="N1536" s="27"/>
      <c r="O1536" s="27"/>
      <c r="P1536" s="27"/>
    </row>
    <row r="1537" spans="1:16" s="28" customFormat="1" ht="34.5" customHeight="1" thickBot="1">
      <c r="A1537" s="162"/>
      <c r="B1537" s="163"/>
      <c r="C1537" s="163"/>
      <c r="D1537" s="164"/>
      <c r="J1537" s="27"/>
      <c r="K1537" s="27"/>
      <c r="L1537" s="27"/>
      <c r="M1537" s="27"/>
      <c r="N1537" s="27"/>
      <c r="O1537" s="27"/>
      <c r="P1537" s="27"/>
    </row>
    <row r="1538" spans="1:16" s="28" customFormat="1" ht="34.5" customHeight="1" thickBot="1">
      <c r="A1538" s="142" t="s">
        <v>11</v>
      </c>
      <c r="B1538" s="143"/>
      <c r="C1538" s="165" t="s">
        <v>591</v>
      </c>
      <c r="D1538" s="143"/>
      <c r="J1538" s="27"/>
      <c r="K1538" s="27"/>
      <c r="L1538" s="27"/>
      <c r="M1538" s="27"/>
      <c r="N1538" s="27"/>
      <c r="O1538" s="27"/>
      <c r="P1538" s="27"/>
    </row>
    <row r="1539" spans="1:16" s="28" customFormat="1" ht="34.5" customHeight="1" thickBot="1">
      <c r="A1539" s="137" t="s">
        <v>490</v>
      </c>
      <c r="B1539" s="138"/>
      <c r="C1539" s="138"/>
      <c r="D1539" s="139"/>
      <c r="J1539" s="27"/>
      <c r="K1539" s="27"/>
      <c r="L1539" s="27"/>
      <c r="M1539" s="27"/>
      <c r="N1539" s="27"/>
      <c r="O1539" s="27"/>
      <c r="P1539" s="27"/>
    </row>
    <row r="1540" spans="1:16" s="28" customFormat="1" ht="34.5" customHeight="1" thickBot="1">
      <c r="A1540" s="34" t="s">
        <v>487</v>
      </c>
      <c r="B1540" s="32" t="s">
        <v>438</v>
      </c>
      <c r="C1540" s="34">
        <v>50</v>
      </c>
      <c r="D1540" s="32" t="s">
        <v>0</v>
      </c>
      <c r="J1540" s="27"/>
      <c r="K1540" s="27"/>
      <c r="L1540" s="27"/>
      <c r="M1540" s="27"/>
      <c r="N1540" s="27"/>
      <c r="O1540" s="27"/>
      <c r="P1540" s="27"/>
    </row>
    <row r="1541" spans="1:16" s="28" customFormat="1" ht="34.5" customHeight="1" thickBot="1">
      <c r="A1541" s="37" t="s">
        <v>673</v>
      </c>
      <c r="B1541" s="36" t="s">
        <v>1</v>
      </c>
      <c r="C1541" s="34" t="s">
        <v>674</v>
      </c>
      <c r="D1541" s="32" t="s">
        <v>2</v>
      </c>
      <c r="J1541" s="27"/>
      <c r="K1541" s="27"/>
      <c r="L1541" s="27"/>
      <c r="M1541" s="27"/>
      <c r="N1541" s="27"/>
      <c r="O1541" s="27"/>
      <c r="P1541" s="27"/>
    </row>
    <row r="1542" spans="1:16" s="28" customFormat="1" ht="34.5" customHeight="1" thickBot="1">
      <c r="A1542" s="140">
        <v>300</v>
      </c>
      <c r="B1542" s="141"/>
      <c r="C1542" s="142" t="s">
        <v>3</v>
      </c>
      <c r="D1542" s="143"/>
      <c r="J1542" s="27"/>
      <c r="K1542" s="27"/>
      <c r="L1542" s="27"/>
      <c r="M1542" s="27"/>
      <c r="N1542" s="27"/>
      <c r="O1542" s="27"/>
      <c r="P1542" s="27"/>
    </row>
    <row r="1543" spans="1:16" s="28" customFormat="1" ht="34.5" customHeight="1" thickBot="1">
      <c r="A1543" s="140">
        <v>345</v>
      </c>
      <c r="B1543" s="141"/>
      <c r="C1543" s="144" t="s">
        <v>4</v>
      </c>
      <c r="D1543" s="145"/>
      <c r="J1543" s="27"/>
      <c r="K1543" s="27"/>
      <c r="L1543" s="27"/>
      <c r="M1543" s="27"/>
      <c r="N1543" s="27"/>
      <c r="O1543" s="27"/>
      <c r="P1543" s="27"/>
    </row>
    <row r="1544" spans="1:16" s="28" customFormat="1" ht="34.5" customHeight="1" thickBot="1">
      <c r="A1544" s="146">
        <f>A1543-A1542</f>
        <v>45</v>
      </c>
      <c r="B1544" s="147"/>
      <c r="C1544" s="148"/>
      <c r="D1544" s="35" t="s">
        <v>5</v>
      </c>
      <c r="J1544" s="27"/>
      <c r="K1544" s="27"/>
      <c r="L1544" s="27"/>
      <c r="M1544" s="27"/>
      <c r="N1544" s="27"/>
      <c r="O1544" s="27"/>
      <c r="P1544" s="27"/>
    </row>
    <row r="1545" spans="1:16" s="28" customFormat="1" ht="34.5" customHeight="1" thickBot="1">
      <c r="A1545" s="149">
        <v>23</v>
      </c>
      <c r="B1545" s="150"/>
      <c r="C1545" s="151"/>
      <c r="D1545" s="35" t="s">
        <v>6</v>
      </c>
      <c r="J1545" s="27"/>
      <c r="K1545" s="27"/>
      <c r="L1545" s="27"/>
      <c r="M1545" s="27"/>
      <c r="N1545" s="27"/>
      <c r="O1545" s="27"/>
      <c r="P1545" s="27"/>
    </row>
    <row r="1546" spans="1:16" s="28" customFormat="1" ht="34.5" customHeight="1" thickBot="1">
      <c r="A1546" s="144">
        <f>A1545*A1544</f>
        <v>1035</v>
      </c>
      <c r="B1546" s="152"/>
      <c r="C1546" s="145"/>
      <c r="D1546" s="35" t="s">
        <v>7</v>
      </c>
      <c r="J1546" s="27"/>
      <c r="K1546" s="27"/>
      <c r="L1546" s="27"/>
      <c r="M1546" s="27"/>
      <c r="N1546" s="27"/>
      <c r="O1546" s="27"/>
      <c r="P1546" s="27"/>
    </row>
    <row r="1547" spans="1:16" s="28" customFormat="1" ht="34.5" customHeight="1" thickBot="1">
      <c r="A1547" s="144">
        <v>0</v>
      </c>
      <c r="B1547" s="152"/>
      <c r="C1547" s="145"/>
      <c r="D1547" s="35" t="s">
        <v>437</v>
      </c>
      <c r="J1547" s="27"/>
      <c r="K1547" s="27"/>
      <c r="L1547" s="27"/>
      <c r="M1547" s="27"/>
      <c r="N1547" s="27"/>
      <c r="O1547" s="27"/>
      <c r="P1547" s="27"/>
    </row>
    <row r="1548" spans="1:16" s="28" customFormat="1" ht="34.5" customHeight="1" thickBot="1">
      <c r="A1548" s="34">
        <v>0</v>
      </c>
      <c r="B1548" s="32" t="s">
        <v>8</v>
      </c>
      <c r="C1548" s="33">
        <v>1040</v>
      </c>
      <c r="D1548" s="32" t="s">
        <v>9</v>
      </c>
      <c r="J1548" s="27"/>
      <c r="K1548" s="27"/>
      <c r="L1548" s="27"/>
      <c r="M1548" s="27"/>
      <c r="N1548" s="27"/>
      <c r="O1548" s="27"/>
      <c r="P1548" s="27"/>
    </row>
    <row r="1549" spans="1:16" s="28" customFormat="1" ht="34.5" customHeight="1" thickBot="1">
      <c r="A1549" s="153" t="s">
        <v>436</v>
      </c>
      <c r="B1549" s="154"/>
      <c r="C1549" s="154"/>
      <c r="D1549" s="155"/>
      <c r="J1549" s="27"/>
      <c r="K1549" s="27"/>
      <c r="L1549" s="27"/>
      <c r="M1549" s="27"/>
      <c r="N1549" s="27"/>
      <c r="O1549" s="27"/>
      <c r="P1549" s="27"/>
    </row>
    <row r="1550" spans="1:16" s="28" customFormat="1" ht="34.5" customHeight="1" thickBot="1">
      <c r="A1550" s="156" t="s">
        <v>435</v>
      </c>
      <c r="B1550" s="157"/>
      <c r="C1550" s="157"/>
      <c r="D1550" s="158"/>
      <c r="J1550" s="27"/>
      <c r="K1550" s="27"/>
      <c r="L1550" s="27"/>
      <c r="M1550" s="27"/>
      <c r="N1550" s="27"/>
      <c r="O1550" s="27"/>
      <c r="P1550" s="27"/>
    </row>
    <row r="1551" spans="1:16" s="28" customFormat="1" ht="34.5" customHeight="1">
      <c r="A1551" s="159" t="s">
        <v>442</v>
      </c>
      <c r="B1551" s="160" t="s">
        <v>441</v>
      </c>
      <c r="C1551" s="160"/>
      <c r="D1551" s="161"/>
      <c r="J1551" s="27"/>
      <c r="K1551" s="27"/>
      <c r="L1551" s="27"/>
      <c r="M1551" s="27"/>
      <c r="N1551" s="27"/>
      <c r="O1551" s="27"/>
      <c r="P1551" s="27"/>
    </row>
    <row r="1552" spans="1:16" s="28" customFormat="1" ht="34.5" customHeight="1" thickBot="1">
      <c r="A1552" s="162"/>
      <c r="B1552" s="163"/>
      <c r="C1552" s="163"/>
      <c r="D1552" s="164"/>
      <c r="J1552" s="27"/>
      <c r="K1552" s="27"/>
      <c r="L1552" s="27"/>
      <c r="M1552" s="27"/>
      <c r="N1552" s="27"/>
      <c r="O1552" s="27"/>
      <c r="P1552" s="27"/>
    </row>
    <row r="1553" spans="1:16" s="28" customFormat="1" ht="34.5" customHeight="1" thickBot="1">
      <c r="A1553" s="142" t="s">
        <v>11</v>
      </c>
      <c r="B1553" s="143"/>
      <c r="C1553" s="165" t="s">
        <v>591</v>
      </c>
      <c r="D1553" s="143"/>
      <c r="J1553" s="27"/>
      <c r="K1553" s="27"/>
      <c r="L1553" s="27"/>
      <c r="M1553" s="27"/>
      <c r="N1553" s="27"/>
      <c r="O1553" s="27"/>
      <c r="P1553" s="27"/>
    </row>
    <row r="1554" spans="1:16" s="28" customFormat="1" ht="34.5" customHeight="1" thickBot="1">
      <c r="A1554" s="137" t="s">
        <v>489</v>
      </c>
      <c r="B1554" s="138"/>
      <c r="C1554" s="138"/>
      <c r="D1554" s="139"/>
      <c r="J1554" s="27"/>
      <c r="K1554" s="27"/>
      <c r="L1554" s="27"/>
      <c r="M1554" s="27"/>
      <c r="N1554" s="27"/>
      <c r="O1554" s="27"/>
      <c r="P1554" s="27"/>
    </row>
    <row r="1555" spans="1:16" s="28" customFormat="1" ht="34.5" customHeight="1" thickBot="1">
      <c r="A1555" s="34" t="s">
        <v>487</v>
      </c>
      <c r="B1555" s="32" t="s">
        <v>438</v>
      </c>
      <c r="C1555" s="34">
        <v>51</v>
      </c>
      <c r="D1555" s="32" t="s">
        <v>0</v>
      </c>
      <c r="J1555" s="27"/>
      <c r="K1555" s="27"/>
      <c r="L1555" s="27"/>
      <c r="M1555" s="27"/>
      <c r="N1555" s="27"/>
      <c r="O1555" s="27"/>
      <c r="P1555" s="27"/>
    </row>
    <row r="1556" spans="1:16" s="28" customFormat="1" ht="34.5" customHeight="1" thickBot="1">
      <c r="A1556" s="37" t="s">
        <v>673</v>
      </c>
      <c r="B1556" s="36" t="s">
        <v>1</v>
      </c>
      <c r="C1556" s="34" t="s">
        <v>674</v>
      </c>
      <c r="D1556" s="32" t="s">
        <v>2</v>
      </c>
      <c r="J1556" s="27"/>
      <c r="K1556" s="27"/>
      <c r="L1556" s="27"/>
      <c r="M1556" s="27"/>
      <c r="N1556" s="27"/>
      <c r="O1556" s="27"/>
      <c r="P1556" s="27"/>
    </row>
    <row r="1557" spans="1:16" s="28" customFormat="1" ht="34.5" customHeight="1" thickBot="1">
      <c r="A1557" s="140">
        <v>535</v>
      </c>
      <c r="B1557" s="141"/>
      <c r="C1557" s="142" t="s">
        <v>3</v>
      </c>
      <c r="D1557" s="143"/>
      <c r="J1557" s="27"/>
      <c r="K1557" s="27"/>
      <c r="L1557" s="27"/>
      <c r="M1557" s="27"/>
      <c r="N1557" s="27"/>
      <c r="O1557" s="27"/>
      <c r="P1557" s="27"/>
    </row>
    <row r="1558" spans="1:16" s="28" customFormat="1" ht="34.5" customHeight="1" thickBot="1">
      <c r="A1558" s="140">
        <v>535</v>
      </c>
      <c r="B1558" s="141"/>
      <c r="C1558" s="144" t="s">
        <v>4</v>
      </c>
      <c r="D1558" s="145"/>
      <c r="J1558" s="27"/>
      <c r="K1558" s="27"/>
      <c r="L1558" s="27"/>
      <c r="M1558" s="27"/>
      <c r="N1558" s="27"/>
      <c r="O1558" s="27"/>
      <c r="P1558" s="27"/>
    </row>
    <row r="1559" spans="1:16" s="28" customFormat="1" ht="34.5" customHeight="1" thickBot="1">
      <c r="A1559" s="146">
        <f>A1558-A1557</f>
        <v>0</v>
      </c>
      <c r="B1559" s="147"/>
      <c r="C1559" s="148"/>
      <c r="D1559" s="35" t="s">
        <v>5</v>
      </c>
      <c r="J1559" s="27"/>
      <c r="K1559" s="27"/>
      <c r="L1559" s="27"/>
      <c r="M1559" s="27"/>
      <c r="N1559" s="27"/>
      <c r="O1559" s="27"/>
      <c r="P1559" s="27"/>
    </row>
    <row r="1560" spans="1:16" s="28" customFormat="1" ht="34.5" customHeight="1" thickBot="1">
      <c r="A1560" s="149">
        <v>23</v>
      </c>
      <c r="B1560" s="150"/>
      <c r="C1560" s="151"/>
      <c r="D1560" s="35" t="s">
        <v>6</v>
      </c>
      <c r="J1560" s="27"/>
      <c r="K1560" s="27"/>
      <c r="L1560" s="27"/>
      <c r="M1560" s="27"/>
      <c r="N1560" s="27"/>
      <c r="O1560" s="27"/>
      <c r="P1560" s="27"/>
    </row>
    <row r="1561" spans="1:16" s="28" customFormat="1" ht="34.5" customHeight="1" thickBot="1">
      <c r="A1561" s="144">
        <f>A1560*A1559</f>
        <v>0</v>
      </c>
      <c r="B1561" s="152"/>
      <c r="C1561" s="145"/>
      <c r="D1561" s="35" t="s">
        <v>7</v>
      </c>
      <c r="J1561" s="27"/>
      <c r="K1561" s="27"/>
      <c r="L1561" s="27"/>
      <c r="M1561" s="27"/>
      <c r="N1561" s="27"/>
      <c r="O1561" s="27"/>
      <c r="P1561" s="27"/>
    </row>
    <row r="1562" spans="1:16" s="28" customFormat="1" ht="34.5" customHeight="1" thickBot="1">
      <c r="A1562" s="144">
        <v>0</v>
      </c>
      <c r="B1562" s="152"/>
      <c r="C1562" s="145"/>
      <c r="D1562" s="35" t="s">
        <v>437</v>
      </c>
      <c r="J1562" s="27"/>
      <c r="K1562" s="27"/>
      <c r="L1562" s="27"/>
      <c r="M1562" s="27"/>
      <c r="N1562" s="27"/>
      <c r="O1562" s="27"/>
      <c r="P1562" s="27"/>
    </row>
    <row r="1563" spans="1:16" s="28" customFormat="1" ht="34.5" customHeight="1" thickBot="1">
      <c r="A1563" s="34">
        <v>0</v>
      </c>
      <c r="B1563" s="32" t="s">
        <v>8</v>
      </c>
      <c r="C1563" s="33">
        <v>1950</v>
      </c>
      <c r="D1563" s="32" t="s">
        <v>9</v>
      </c>
      <c r="J1563" s="27"/>
      <c r="K1563" s="27"/>
      <c r="L1563" s="27"/>
      <c r="M1563" s="27"/>
      <c r="N1563" s="27"/>
      <c r="O1563" s="27"/>
      <c r="P1563" s="27"/>
    </row>
    <row r="1564" spans="1:16" s="28" customFormat="1" ht="34.5" customHeight="1" thickBot="1">
      <c r="A1564" s="153" t="s">
        <v>436</v>
      </c>
      <c r="B1564" s="154"/>
      <c r="C1564" s="154"/>
      <c r="D1564" s="155"/>
      <c r="J1564" s="27"/>
      <c r="K1564" s="27"/>
      <c r="L1564" s="27"/>
      <c r="M1564" s="27"/>
      <c r="N1564" s="27"/>
      <c r="O1564" s="27"/>
      <c r="P1564" s="27"/>
    </row>
    <row r="1565" spans="1:16" s="28" customFormat="1" ht="34.5" customHeight="1" thickBot="1">
      <c r="A1565" s="156" t="s">
        <v>435</v>
      </c>
      <c r="B1565" s="157"/>
      <c r="C1565" s="157"/>
      <c r="D1565" s="158"/>
      <c r="J1565" s="27"/>
      <c r="K1565" s="27"/>
      <c r="L1565" s="27"/>
      <c r="M1565" s="27"/>
      <c r="N1565" s="27"/>
      <c r="O1565" s="27"/>
      <c r="P1565" s="27"/>
    </row>
    <row r="1566" spans="1:16" s="28" customFormat="1" ht="34.5" customHeight="1" thickBot="1">
      <c r="A1566" s="40"/>
      <c r="B1566" s="39"/>
      <c r="C1566" s="39"/>
      <c r="D1566" s="38"/>
      <c r="J1566" s="27"/>
      <c r="K1566" s="27"/>
      <c r="L1566" s="27"/>
      <c r="M1566" s="27"/>
      <c r="N1566" s="27"/>
      <c r="O1566" s="27"/>
      <c r="P1566" s="27"/>
    </row>
    <row r="1567" spans="1:16" s="28" customFormat="1" ht="34.5" customHeight="1">
      <c r="A1567" s="159" t="s">
        <v>442</v>
      </c>
      <c r="B1567" s="160" t="s">
        <v>441</v>
      </c>
      <c r="C1567" s="160"/>
      <c r="D1567" s="161"/>
      <c r="J1567" s="27"/>
      <c r="K1567" s="27"/>
      <c r="L1567" s="27"/>
      <c r="M1567" s="27"/>
      <c r="N1567" s="27"/>
      <c r="O1567" s="27"/>
      <c r="P1567" s="27"/>
    </row>
    <row r="1568" spans="1:16" s="28" customFormat="1" ht="34.5" customHeight="1" thickBot="1">
      <c r="A1568" s="162"/>
      <c r="B1568" s="163"/>
      <c r="C1568" s="163"/>
      <c r="D1568" s="164"/>
      <c r="J1568" s="27"/>
      <c r="K1568" s="27"/>
      <c r="L1568" s="27"/>
      <c r="M1568" s="27"/>
      <c r="N1568" s="27"/>
      <c r="O1568" s="27"/>
      <c r="P1568" s="27"/>
    </row>
    <row r="1569" spans="1:16" s="28" customFormat="1" ht="34.5" customHeight="1" thickBot="1">
      <c r="A1569" s="142" t="s">
        <v>11</v>
      </c>
      <c r="B1569" s="143"/>
      <c r="C1569" s="165" t="s">
        <v>591</v>
      </c>
      <c r="D1569" s="143"/>
      <c r="J1569" s="27"/>
      <c r="K1569" s="27"/>
      <c r="L1569" s="27"/>
      <c r="M1569" s="27"/>
      <c r="N1569" s="27"/>
      <c r="O1569" s="27"/>
      <c r="P1569" s="27"/>
    </row>
    <row r="1570" spans="1:16" s="28" customFormat="1" ht="34.5" customHeight="1" thickBot="1">
      <c r="A1570" s="137" t="s">
        <v>489</v>
      </c>
      <c r="B1570" s="138"/>
      <c r="C1570" s="138"/>
      <c r="D1570" s="139"/>
      <c r="J1570" s="27"/>
      <c r="K1570" s="27"/>
      <c r="L1570" s="27"/>
      <c r="M1570" s="27"/>
      <c r="N1570" s="27"/>
      <c r="O1570" s="27"/>
      <c r="P1570" s="27"/>
    </row>
    <row r="1571" spans="1:16" s="28" customFormat="1" ht="34.5" customHeight="1" thickBot="1">
      <c r="A1571" s="34" t="s">
        <v>487</v>
      </c>
      <c r="B1571" s="32" t="s">
        <v>438</v>
      </c>
      <c r="C1571" s="34">
        <v>51</v>
      </c>
      <c r="D1571" s="32" t="s">
        <v>0</v>
      </c>
      <c r="J1571" s="27"/>
      <c r="K1571" s="27"/>
      <c r="L1571" s="27"/>
      <c r="M1571" s="27"/>
      <c r="N1571" s="27"/>
      <c r="O1571" s="27"/>
      <c r="P1571" s="27"/>
    </row>
    <row r="1572" spans="1:16" s="28" customFormat="1" ht="34.5" customHeight="1" thickBot="1">
      <c r="A1572" s="37" t="s">
        <v>673</v>
      </c>
      <c r="B1572" s="36" t="s">
        <v>1</v>
      </c>
      <c r="C1572" s="34" t="s">
        <v>674</v>
      </c>
      <c r="D1572" s="32" t="s">
        <v>2</v>
      </c>
      <c r="J1572" s="27"/>
      <c r="K1572" s="27"/>
      <c r="L1572" s="27"/>
      <c r="M1572" s="27"/>
      <c r="N1572" s="27"/>
      <c r="O1572" s="27"/>
      <c r="P1572" s="27"/>
    </row>
    <row r="1573" spans="1:16" s="28" customFormat="1" ht="34.5" customHeight="1" thickBot="1">
      <c r="A1573" s="140">
        <v>450</v>
      </c>
      <c r="B1573" s="141"/>
      <c r="C1573" s="142" t="s">
        <v>3</v>
      </c>
      <c r="D1573" s="143"/>
      <c r="J1573" s="27"/>
      <c r="K1573" s="27"/>
      <c r="L1573" s="27"/>
      <c r="M1573" s="27"/>
      <c r="N1573" s="27"/>
      <c r="O1573" s="27"/>
      <c r="P1573" s="27"/>
    </row>
    <row r="1574" spans="1:16" s="28" customFormat="1" ht="34.5" customHeight="1" thickBot="1">
      <c r="A1574" s="140">
        <v>535</v>
      </c>
      <c r="B1574" s="141"/>
      <c r="C1574" s="144" t="s">
        <v>4</v>
      </c>
      <c r="D1574" s="145"/>
      <c r="J1574" s="27"/>
      <c r="K1574" s="27"/>
      <c r="L1574" s="27"/>
      <c r="M1574" s="27"/>
      <c r="N1574" s="27"/>
      <c r="O1574" s="27"/>
      <c r="P1574" s="27"/>
    </row>
    <row r="1575" spans="1:16" s="28" customFormat="1" ht="34.5" customHeight="1" thickBot="1">
      <c r="A1575" s="146">
        <f>A1574-A1573</f>
        <v>85</v>
      </c>
      <c r="B1575" s="147"/>
      <c r="C1575" s="148"/>
      <c r="D1575" s="35" t="s">
        <v>5</v>
      </c>
      <c r="J1575" s="27"/>
      <c r="K1575" s="27"/>
      <c r="L1575" s="27"/>
      <c r="M1575" s="27"/>
      <c r="N1575" s="27"/>
      <c r="O1575" s="27"/>
      <c r="P1575" s="27"/>
    </row>
    <row r="1576" spans="1:16" s="28" customFormat="1" ht="34.5" customHeight="1" thickBot="1">
      <c r="A1576" s="149">
        <v>23</v>
      </c>
      <c r="B1576" s="150"/>
      <c r="C1576" s="151"/>
      <c r="D1576" s="35" t="s">
        <v>6</v>
      </c>
      <c r="J1576" s="27"/>
      <c r="K1576" s="27"/>
      <c r="L1576" s="27"/>
      <c r="M1576" s="27"/>
      <c r="N1576" s="27"/>
      <c r="O1576" s="27"/>
      <c r="P1576" s="27"/>
    </row>
    <row r="1577" spans="1:16" s="28" customFormat="1" ht="34.5" customHeight="1" thickBot="1">
      <c r="A1577" s="144">
        <f>A1576*A1575</f>
        <v>1955</v>
      </c>
      <c r="B1577" s="152"/>
      <c r="C1577" s="145"/>
      <c r="D1577" s="35" t="s">
        <v>7</v>
      </c>
      <c r="J1577" s="27"/>
      <c r="K1577" s="27"/>
      <c r="L1577" s="27"/>
      <c r="M1577" s="27"/>
      <c r="N1577" s="27"/>
      <c r="O1577" s="27"/>
      <c r="P1577" s="27"/>
    </row>
    <row r="1578" spans="1:16" s="28" customFormat="1" ht="34.5" customHeight="1" thickBot="1">
      <c r="A1578" s="144">
        <v>0</v>
      </c>
      <c r="B1578" s="152"/>
      <c r="C1578" s="145"/>
      <c r="D1578" s="35" t="s">
        <v>437</v>
      </c>
      <c r="J1578" s="27"/>
      <c r="K1578" s="27"/>
      <c r="L1578" s="27"/>
      <c r="M1578" s="27"/>
      <c r="N1578" s="27"/>
      <c r="O1578" s="27"/>
      <c r="P1578" s="27"/>
    </row>
    <row r="1579" spans="1:16" s="28" customFormat="1" ht="34.5" customHeight="1" thickBot="1">
      <c r="A1579" s="34">
        <v>0</v>
      </c>
      <c r="B1579" s="32" t="s">
        <v>8</v>
      </c>
      <c r="C1579" s="33">
        <v>1950</v>
      </c>
      <c r="D1579" s="32" t="s">
        <v>9</v>
      </c>
      <c r="J1579" s="27"/>
      <c r="K1579" s="27"/>
      <c r="L1579" s="27"/>
      <c r="M1579" s="27"/>
      <c r="N1579" s="27"/>
      <c r="O1579" s="27"/>
      <c r="P1579" s="27"/>
    </row>
    <row r="1580" spans="1:16" s="28" customFormat="1" ht="34.5" customHeight="1" thickBot="1">
      <c r="A1580" s="153" t="s">
        <v>436</v>
      </c>
      <c r="B1580" s="154"/>
      <c r="C1580" s="154"/>
      <c r="D1580" s="155"/>
      <c r="J1580" s="27"/>
      <c r="K1580" s="27"/>
      <c r="L1580" s="27"/>
      <c r="M1580" s="27"/>
      <c r="N1580" s="27"/>
      <c r="O1580" s="27"/>
      <c r="P1580" s="27"/>
    </row>
    <row r="1581" spans="1:16" s="28" customFormat="1" ht="34.5" customHeight="1" thickBot="1">
      <c r="A1581" s="156" t="s">
        <v>435</v>
      </c>
      <c r="B1581" s="157"/>
      <c r="C1581" s="157"/>
      <c r="D1581" s="158"/>
      <c r="J1581" s="27"/>
      <c r="K1581" s="27"/>
      <c r="L1581" s="27"/>
      <c r="M1581" s="27"/>
      <c r="N1581" s="27"/>
      <c r="O1581" s="27"/>
      <c r="P1581" s="27"/>
    </row>
    <row r="1582" spans="1:16" s="28" customFormat="1" ht="34.5" customHeight="1">
      <c r="A1582" s="159" t="s">
        <v>442</v>
      </c>
      <c r="B1582" s="160" t="s">
        <v>441</v>
      </c>
      <c r="C1582" s="160"/>
      <c r="D1582" s="161"/>
      <c r="J1582" s="27"/>
      <c r="K1582" s="27"/>
      <c r="L1582" s="27"/>
      <c r="M1582" s="27"/>
      <c r="N1582" s="27"/>
      <c r="O1582" s="27"/>
      <c r="P1582" s="27"/>
    </row>
    <row r="1583" spans="1:16" s="28" customFormat="1" ht="34.5" customHeight="1" thickBot="1">
      <c r="A1583" s="162"/>
      <c r="B1583" s="163"/>
      <c r="C1583" s="163"/>
      <c r="D1583" s="164"/>
      <c r="J1583" s="27"/>
      <c r="K1583" s="27"/>
      <c r="L1583" s="27"/>
      <c r="M1583" s="27"/>
      <c r="N1583" s="27"/>
      <c r="O1583" s="27"/>
      <c r="P1583" s="27"/>
    </row>
    <row r="1584" spans="1:16" s="28" customFormat="1" ht="34.5" customHeight="1" thickBot="1">
      <c r="A1584" s="142" t="s">
        <v>11</v>
      </c>
      <c r="B1584" s="143"/>
      <c r="C1584" s="165" t="s">
        <v>591</v>
      </c>
      <c r="D1584" s="143"/>
      <c r="J1584" s="27"/>
      <c r="K1584" s="27"/>
      <c r="L1584" s="27"/>
      <c r="M1584" s="27"/>
      <c r="N1584" s="27"/>
      <c r="O1584" s="27"/>
      <c r="P1584" s="27"/>
    </row>
    <row r="1585" spans="1:16" s="28" customFormat="1" ht="34.5" customHeight="1" thickBot="1">
      <c r="A1585" s="137" t="s">
        <v>488</v>
      </c>
      <c r="B1585" s="138"/>
      <c r="C1585" s="138"/>
      <c r="D1585" s="139"/>
      <c r="J1585" s="27"/>
      <c r="K1585" s="27"/>
      <c r="L1585" s="27"/>
      <c r="M1585" s="27"/>
      <c r="N1585" s="27"/>
      <c r="O1585" s="27"/>
      <c r="P1585" s="27"/>
    </row>
    <row r="1586" spans="1:16" s="28" customFormat="1" ht="34.5" customHeight="1" thickBot="1">
      <c r="A1586" s="34" t="s">
        <v>487</v>
      </c>
      <c r="B1586" s="32" t="s">
        <v>438</v>
      </c>
      <c r="C1586" s="34">
        <v>52</v>
      </c>
      <c r="D1586" s="32" t="s">
        <v>0</v>
      </c>
      <c r="J1586" s="27"/>
      <c r="K1586" s="27"/>
      <c r="L1586" s="27"/>
      <c r="M1586" s="27"/>
      <c r="N1586" s="27"/>
      <c r="O1586" s="27"/>
      <c r="P1586" s="27"/>
    </row>
    <row r="1587" spans="1:16" s="28" customFormat="1" ht="34.5" customHeight="1" thickBot="1">
      <c r="A1587" s="37" t="s">
        <v>673</v>
      </c>
      <c r="B1587" s="36" t="s">
        <v>1</v>
      </c>
      <c r="C1587" s="34" t="s">
        <v>674</v>
      </c>
      <c r="D1587" s="32" t="s">
        <v>2</v>
      </c>
      <c r="J1587" s="27"/>
      <c r="K1587" s="27"/>
      <c r="L1587" s="27"/>
      <c r="M1587" s="27"/>
      <c r="N1587" s="27"/>
      <c r="O1587" s="27"/>
      <c r="P1587" s="27"/>
    </row>
    <row r="1588" spans="1:16" s="28" customFormat="1" ht="34.5" customHeight="1" thickBot="1">
      <c r="A1588" s="140">
        <v>167</v>
      </c>
      <c r="B1588" s="141"/>
      <c r="C1588" s="142" t="s">
        <v>3</v>
      </c>
      <c r="D1588" s="143"/>
      <c r="J1588" s="27"/>
      <c r="K1588" s="27"/>
      <c r="L1588" s="27"/>
      <c r="M1588" s="27"/>
      <c r="N1588" s="27"/>
      <c r="O1588" s="27"/>
      <c r="P1588" s="27"/>
    </row>
    <row r="1589" spans="1:16" s="28" customFormat="1" ht="34.5" customHeight="1" thickBot="1">
      <c r="A1589" s="140">
        <v>167</v>
      </c>
      <c r="B1589" s="141"/>
      <c r="C1589" s="144" t="s">
        <v>4</v>
      </c>
      <c r="D1589" s="145"/>
      <c r="J1589" s="27"/>
      <c r="K1589" s="27"/>
      <c r="L1589" s="27"/>
      <c r="M1589" s="27"/>
      <c r="N1589" s="27"/>
      <c r="O1589" s="27"/>
      <c r="P1589" s="27"/>
    </row>
    <row r="1590" spans="1:16" s="28" customFormat="1" ht="34.5" customHeight="1" thickBot="1">
      <c r="A1590" s="146">
        <f>A1589-A1588</f>
        <v>0</v>
      </c>
      <c r="B1590" s="147"/>
      <c r="C1590" s="148"/>
      <c r="D1590" s="35" t="s">
        <v>5</v>
      </c>
      <c r="J1590" s="27"/>
      <c r="K1590" s="27"/>
      <c r="L1590" s="27"/>
      <c r="M1590" s="27"/>
      <c r="N1590" s="27"/>
      <c r="O1590" s="27"/>
      <c r="P1590" s="27"/>
    </row>
    <row r="1591" spans="1:16" s="28" customFormat="1" ht="34.5" customHeight="1" thickBot="1">
      <c r="A1591" s="149">
        <v>23</v>
      </c>
      <c r="B1591" s="150"/>
      <c r="C1591" s="151"/>
      <c r="D1591" s="35" t="s">
        <v>6</v>
      </c>
      <c r="J1591" s="27"/>
      <c r="K1591" s="27"/>
      <c r="L1591" s="27"/>
      <c r="M1591" s="27"/>
      <c r="N1591" s="27"/>
      <c r="O1591" s="27"/>
      <c r="P1591" s="27"/>
    </row>
    <row r="1592" spans="1:16" s="28" customFormat="1" ht="34.5" customHeight="1" thickBot="1">
      <c r="A1592" s="144">
        <f>A1591*A1590</f>
        <v>0</v>
      </c>
      <c r="B1592" s="152"/>
      <c r="C1592" s="145"/>
      <c r="D1592" s="35" t="s">
        <v>7</v>
      </c>
      <c r="J1592" s="27"/>
      <c r="K1592" s="27"/>
      <c r="L1592" s="27"/>
      <c r="M1592" s="27"/>
      <c r="N1592" s="27"/>
      <c r="O1592" s="27"/>
      <c r="P1592" s="27"/>
    </row>
    <row r="1593" spans="1:16" s="28" customFormat="1" ht="34.5" customHeight="1" thickBot="1">
      <c r="A1593" s="144">
        <v>0</v>
      </c>
      <c r="B1593" s="152"/>
      <c r="C1593" s="145"/>
      <c r="D1593" s="35" t="s">
        <v>437</v>
      </c>
      <c r="J1593" s="27"/>
      <c r="K1593" s="27"/>
      <c r="L1593" s="27"/>
      <c r="M1593" s="27"/>
      <c r="N1593" s="27"/>
      <c r="O1593" s="27"/>
      <c r="P1593" s="27"/>
    </row>
    <row r="1594" spans="1:16" s="28" customFormat="1" ht="34.5" customHeight="1" thickBot="1">
      <c r="A1594" s="34">
        <v>0</v>
      </c>
      <c r="B1594" s="32" t="s">
        <v>8</v>
      </c>
      <c r="C1594" s="33">
        <v>550</v>
      </c>
      <c r="D1594" s="32" t="s">
        <v>9</v>
      </c>
      <c r="J1594" s="27"/>
      <c r="K1594" s="27"/>
      <c r="L1594" s="27"/>
      <c r="M1594" s="27"/>
      <c r="N1594" s="27"/>
      <c r="O1594" s="27"/>
      <c r="P1594" s="27"/>
    </row>
    <row r="1595" spans="1:16" s="28" customFormat="1" ht="34.5" customHeight="1" thickBot="1">
      <c r="A1595" s="153" t="s">
        <v>436</v>
      </c>
      <c r="B1595" s="154"/>
      <c r="C1595" s="154"/>
      <c r="D1595" s="155"/>
      <c r="J1595" s="27"/>
      <c r="K1595" s="27"/>
      <c r="L1595" s="27"/>
      <c r="M1595" s="27"/>
      <c r="N1595" s="27"/>
      <c r="O1595" s="27"/>
      <c r="P1595" s="27"/>
    </row>
    <row r="1596" spans="1:16" s="28" customFormat="1" ht="34.5" customHeight="1" thickBot="1">
      <c r="A1596" s="156" t="s">
        <v>435</v>
      </c>
      <c r="B1596" s="157"/>
      <c r="C1596" s="157"/>
      <c r="D1596" s="158"/>
      <c r="J1596" s="27"/>
      <c r="K1596" s="27"/>
      <c r="L1596" s="27"/>
      <c r="M1596" s="27"/>
      <c r="N1596" s="27"/>
      <c r="O1596" s="27"/>
      <c r="P1596" s="27"/>
    </row>
    <row r="1597" spans="1:16" s="28" customFormat="1" ht="34.5" customHeight="1" thickBot="1">
      <c r="A1597" s="40"/>
      <c r="B1597" s="39"/>
      <c r="C1597" s="39"/>
      <c r="D1597" s="38"/>
      <c r="J1597" s="27"/>
      <c r="K1597" s="27"/>
      <c r="L1597" s="27"/>
      <c r="M1597" s="27"/>
      <c r="N1597" s="27"/>
      <c r="O1597" s="27"/>
      <c r="P1597" s="27"/>
    </row>
    <row r="1598" spans="1:16" s="28" customFormat="1" ht="34.5" customHeight="1">
      <c r="A1598" s="159" t="s">
        <v>442</v>
      </c>
      <c r="B1598" s="160" t="s">
        <v>441</v>
      </c>
      <c r="C1598" s="160"/>
      <c r="D1598" s="161"/>
      <c r="J1598" s="27"/>
      <c r="K1598" s="27"/>
      <c r="L1598" s="27"/>
      <c r="M1598" s="27"/>
      <c r="N1598" s="27"/>
      <c r="O1598" s="27"/>
      <c r="P1598" s="27"/>
    </row>
    <row r="1599" spans="1:16" s="28" customFormat="1" ht="34.5" customHeight="1" thickBot="1">
      <c r="A1599" s="162"/>
      <c r="B1599" s="163"/>
      <c r="C1599" s="163"/>
      <c r="D1599" s="164"/>
      <c r="J1599" s="27"/>
      <c r="K1599" s="27"/>
      <c r="L1599" s="27"/>
      <c r="M1599" s="27"/>
      <c r="N1599" s="27"/>
      <c r="O1599" s="27"/>
      <c r="P1599" s="27"/>
    </row>
    <row r="1600" spans="1:16" s="28" customFormat="1" ht="34.5" customHeight="1" thickBot="1">
      <c r="A1600" s="142" t="s">
        <v>11</v>
      </c>
      <c r="B1600" s="143"/>
      <c r="C1600" s="165" t="s">
        <v>591</v>
      </c>
      <c r="D1600" s="143"/>
      <c r="J1600" s="27"/>
      <c r="K1600" s="27"/>
      <c r="L1600" s="27"/>
      <c r="M1600" s="27"/>
      <c r="N1600" s="27"/>
      <c r="O1600" s="27"/>
      <c r="P1600" s="27"/>
    </row>
    <row r="1601" spans="1:16" s="28" customFormat="1" ht="34.5" customHeight="1" thickBot="1">
      <c r="A1601" s="137" t="s">
        <v>488</v>
      </c>
      <c r="B1601" s="138"/>
      <c r="C1601" s="138"/>
      <c r="D1601" s="139"/>
      <c r="J1601" s="27"/>
      <c r="K1601" s="27"/>
      <c r="L1601" s="27"/>
      <c r="M1601" s="27"/>
      <c r="N1601" s="27"/>
      <c r="O1601" s="27"/>
      <c r="P1601" s="27"/>
    </row>
    <row r="1602" spans="1:16" s="28" customFormat="1" ht="34.5" customHeight="1" thickBot="1">
      <c r="A1602" s="34" t="s">
        <v>487</v>
      </c>
      <c r="B1602" s="32" t="s">
        <v>438</v>
      </c>
      <c r="C1602" s="34">
        <v>52</v>
      </c>
      <c r="D1602" s="32" t="s">
        <v>0</v>
      </c>
      <c r="J1602" s="27"/>
      <c r="K1602" s="27"/>
      <c r="L1602" s="27"/>
      <c r="M1602" s="27"/>
      <c r="N1602" s="27"/>
      <c r="O1602" s="27"/>
      <c r="P1602" s="27"/>
    </row>
    <row r="1603" spans="1:16" s="28" customFormat="1" ht="34.5" customHeight="1" thickBot="1">
      <c r="A1603" s="37" t="s">
        <v>673</v>
      </c>
      <c r="B1603" s="36" t="s">
        <v>1</v>
      </c>
      <c r="C1603" s="34" t="s">
        <v>674</v>
      </c>
      <c r="D1603" s="32" t="s">
        <v>2</v>
      </c>
      <c r="J1603" s="27"/>
      <c r="K1603" s="27"/>
      <c r="L1603" s="27"/>
      <c r="M1603" s="27"/>
      <c r="N1603" s="27"/>
      <c r="O1603" s="27"/>
      <c r="P1603" s="27"/>
    </row>
    <row r="1604" spans="1:16" s="28" customFormat="1" ht="34.5" customHeight="1" thickBot="1">
      <c r="A1604" s="140">
        <v>143</v>
      </c>
      <c r="B1604" s="141"/>
      <c r="C1604" s="142" t="s">
        <v>3</v>
      </c>
      <c r="D1604" s="143"/>
      <c r="J1604" s="27"/>
      <c r="K1604" s="27"/>
      <c r="L1604" s="27"/>
      <c r="M1604" s="27"/>
      <c r="N1604" s="27"/>
      <c r="O1604" s="27"/>
      <c r="P1604" s="27"/>
    </row>
    <row r="1605" spans="1:16" s="28" customFormat="1" ht="34.5" customHeight="1" thickBot="1">
      <c r="A1605" s="140">
        <v>167</v>
      </c>
      <c r="B1605" s="141"/>
      <c r="C1605" s="144" t="s">
        <v>4</v>
      </c>
      <c r="D1605" s="145"/>
      <c r="J1605" s="27"/>
      <c r="K1605" s="27"/>
      <c r="L1605" s="27"/>
      <c r="M1605" s="27"/>
      <c r="N1605" s="27"/>
      <c r="O1605" s="27"/>
      <c r="P1605" s="27"/>
    </row>
    <row r="1606" spans="1:16" s="28" customFormat="1" ht="34.5" customHeight="1" thickBot="1">
      <c r="A1606" s="146">
        <f>A1605-A1604</f>
        <v>24</v>
      </c>
      <c r="B1606" s="147"/>
      <c r="C1606" s="148"/>
      <c r="D1606" s="35" t="s">
        <v>5</v>
      </c>
      <c r="J1606" s="27"/>
      <c r="K1606" s="27"/>
      <c r="L1606" s="27"/>
      <c r="M1606" s="27"/>
      <c r="N1606" s="27"/>
      <c r="O1606" s="27"/>
      <c r="P1606" s="27"/>
    </row>
    <row r="1607" spans="1:16" s="28" customFormat="1" ht="34.5" customHeight="1" thickBot="1">
      <c r="A1607" s="149">
        <v>23</v>
      </c>
      <c r="B1607" s="150"/>
      <c r="C1607" s="151"/>
      <c r="D1607" s="35" t="s">
        <v>6</v>
      </c>
      <c r="J1607" s="27"/>
      <c r="K1607" s="27"/>
      <c r="L1607" s="27"/>
      <c r="M1607" s="27"/>
      <c r="N1607" s="27"/>
      <c r="O1607" s="27"/>
      <c r="P1607" s="27"/>
    </row>
    <row r="1608" spans="1:16" s="28" customFormat="1" ht="34.5" customHeight="1" thickBot="1">
      <c r="A1608" s="144">
        <f>A1607*A1606</f>
        <v>552</v>
      </c>
      <c r="B1608" s="152"/>
      <c r="C1608" s="145"/>
      <c r="D1608" s="35" t="s">
        <v>7</v>
      </c>
      <c r="J1608" s="27"/>
      <c r="K1608" s="27"/>
      <c r="L1608" s="27"/>
      <c r="M1608" s="27"/>
      <c r="N1608" s="27"/>
      <c r="O1608" s="27"/>
      <c r="P1608" s="27"/>
    </row>
    <row r="1609" spans="1:16" s="28" customFormat="1" ht="34.5" customHeight="1" thickBot="1">
      <c r="A1609" s="144">
        <v>0</v>
      </c>
      <c r="B1609" s="152"/>
      <c r="C1609" s="145"/>
      <c r="D1609" s="35" t="s">
        <v>437</v>
      </c>
      <c r="J1609" s="27"/>
      <c r="K1609" s="27"/>
      <c r="L1609" s="27"/>
      <c r="M1609" s="27"/>
      <c r="N1609" s="27"/>
      <c r="O1609" s="27"/>
      <c r="P1609" s="27"/>
    </row>
    <row r="1610" spans="1:16" s="28" customFormat="1" ht="34.5" customHeight="1" thickBot="1">
      <c r="A1610" s="34">
        <v>0</v>
      </c>
      <c r="B1610" s="32" t="s">
        <v>8</v>
      </c>
      <c r="C1610" s="33">
        <v>550</v>
      </c>
      <c r="D1610" s="32" t="s">
        <v>9</v>
      </c>
      <c r="J1610" s="27"/>
      <c r="K1610" s="27"/>
      <c r="L1610" s="27"/>
      <c r="M1610" s="27"/>
      <c r="N1610" s="27"/>
      <c r="O1610" s="27"/>
      <c r="P1610" s="27"/>
    </row>
    <row r="1611" spans="1:16" s="28" customFormat="1" ht="34.5" customHeight="1" thickBot="1">
      <c r="A1611" s="153" t="s">
        <v>436</v>
      </c>
      <c r="B1611" s="154"/>
      <c r="C1611" s="154"/>
      <c r="D1611" s="155"/>
      <c r="J1611" s="27"/>
      <c r="K1611" s="27"/>
      <c r="L1611" s="27"/>
      <c r="M1611" s="27"/>
      <c r="N1611" s="27"/>
      <c r="O1611" s="27"/>
      <c r="P1611" s="27"/>
    </row>
    <row r="1612" spans="1:16" s="28" customFormat="1" ht="34.5" customHeight="1" thickBot="1">
      <c r="A1612" s="156" t="s">
        <v>435</v>
      </c>
      <c r="B1612" s="157"/>
      <c r="C1612" s="157"/>
      <c r="D1612" s="158"/>
      <c r="J1612" s="27"/>
      <c r="K1612" s="27"/>
      <c r="L1612" s="27"/>
      <c r="M1612" s="27"/>
      <c r="N1612" s="27"/>
      <c r="O1612" s="27"/>
      <c r="P1612" s="27"/>
    </row>
    <row r="1613" spans="1:16" ht="34.5" customHeight="1">
      <c r="A1613" s="159" t="s">
        <v>442</v>
      </c>
      <c r="B1613" s="160" t="s">
        <v>441</v>
      </c>
      <c r="C1613" s="160"/>
      <c r="D1613" s="161"/>
    </row>
    <row r="1614" spans="1:16" ht="34.5" customHeight="1" thickBot="1">
      <c r="A1614" s="162"/>
      <c r="B1614" s="163"/>
      <c r="C1614" s="163"/>
      <c r="D1614" s="164"/>
    </row>
    <row r="1615" spans="1:16" ht="34.5" customHeight="1" thickBot="1">
      <c r="A1615" s="142" t="s">
        <v>11</v>
      </c>
      <c r="B1615" s="143"/>
      <c r="C1615" s="165" t="s">
        <v>591</v>
      </c>
      <c r="D1615" s="143"/>
    </row>
    <row r="1616" spans="1:16" ht="34.5" customHeight="1" thickBot="1">
      <c r="A1616" s="137" t="s">
        <v>594</v>
      </c>
      <c r="B1616" s="138"/>
      <c r="C1616" s="138"/>
      <c r="D1616" s="139"/>
    </row>
    <row r="1617" spans="1:4" ht="34.5" customHeight="1" thickBot="1">
      <c r="A1617" s="34" t="s">
        <v>487</v>
      </c>
      <c r="B1617" s="32" t="s">
        <v>438</v>
      </c>
      <c r="C1617" s="34">
        <v>54</v>
      </c>
      <c r="D1617" s="32" t="s">
        <v>0</v>
      </c>
    </row>
    <row r="1618" spans="1:4" ht="34.5" customHeight="1" thickBot="1">
      <c r="A1618" s="37" t="s">
        <v>673</v>
      </c>
      <c r="B1618" s="36" t="s">
        <v>1</v>
      </c>
      <c r="C1618" s="34" t="s">
        <v>674</v>
      </c>
      <c r="D1618" s="32" t="s">
        <v>2</v>
      </c>
    </row>
    <row r="1619" spans="1:4" ht="34.5" customHeight="1" thickBot="1">
      <c r="A1619" s="140">
        <v>244</v>
      </c>
      <c r="B1619" s="141"/>
      <c r="C1619" s="142" t="s">
        <v>3</v>
      </c>
      <c r="D1619" s="143"/>
    </row>
    <row r="1620" spans="1:4" ht="34.5" customHeight="1" thickBot="1">
      <c r="A1620" s="140">
        <v>244</v>
      </c>
      <c r="B1620" s="141"/>
      <c r="C1620" s="144" t="s">
        <v>4</v>
      </c>
      <c r="D1620" s="145"/>
    </row>
    <row r="1621" spans="1:4" ht="34.5" customHeight="1" thickBot="1">
      <c r="A1621" s="146">
        <f>A1620-A1619</f>
        <v>0</v>
      </c>
      <c r="B1621" s="147"/>
      <c r="C1621" s="148"/>
      <c r="D1621" s="35" t="s">
        <v>5</v>
      </c>
    </row>
    <row r="1622" spans="1:4" ht="34.5" customHeight="1" thickBot="1">
      <c r="A1622" s="149">
        <v>23</v>
      </c>
      <c r="B1622" s="150"/>
      <c r="C1622" s="151"/>
      <c r="D1622" s="35" t="s">
        <v>6</v>
      </c>
    </row>
    <row r="1623" spans="1:4" ht="34.5" customHeight="1" thickBot="1">
      <c r="A1623" s="144">
        <f>A1622*A1621</f>
        <v>0</v>
      </c>
      <c r="B1623" s="152"/>
      <c r="C1623" s="145"/>
      <c r="D1623" s="35" t="s">
        <v>7</v>
      </c>
    </row>
    <row r="1624" spans="1:4" ht="34.5" customHeight="1" thickBot="1">
      <c r="A1624" s="144">
        <v>0</v>
      </c>
      <c r="B1624" s="152"/>
      <c r="C1624" s="145"/>
      <c r="D1624" s="35" t="s">
        <v>437</v>
      </c>
    </row>
    <row r="1625" spans="1:4" ht="34.5" customHeight="1" thickBot="1">
      <c r="A1625" s="34">
        <v>0</v>
      </c>
      <c r="B1625" s="32" t="s">
        <v>8</v>
      </c>
      <c r="C1625" s="33">
        <v>320</v>
      </c>
      <c r="D1625" s="32" t="s">
        <v>9</v>
      </c>
    </row>
    <row r="1626" spans="1:4" ht="34.5" customHeight="1" thickBot="1">
      <c r="A1626" s="153" t="s">
        <v>436</v>
      </c>
      <c r="B1626" s="154"/>
      <c r="C1626" s="154"/>
      <c r="D1626" s="155"/>
    </row>
    <row r="1627" spans="1:4" ht="34.5" customHeight="1" thickBot="1">
      <c r="A1627" s="156" t="s">
        <v>435</v>
      </c>
      <c r="B1627" s="157"/>
      <c r="C1627" s="157"/>
      <c r="D1627" s="158"/>
    </row>
    <row r="1628" spans="1:4" ht="34.5" customHeight="1" thickBot="1">
      <c r="A1628" s="40"/>
      <c r="B1628" s="39"/>
      <c r="C1628" s="39"/>
      <c r="D1628" s="38"/>
    </row>
    <row r="1629" spans="1:4" ht="34.5" customHeight="1">
      <c r="A1629" s="159" t="s">
        <v>442</v>
      </c>
      <c r="B1629" s="160" t="s">
        <v>441</v>
      </c>
      <c r="C1629" s="160"/>
      <c r="D1629" s="161"/>
    </row>
    <row r="1630" spans="1:4" ht="34.5" customHeight="1" thickBot="1">
      <c r="A1630" s="162"/>
      <c r="B1630" s="163"/>
      <c r="C1630" s="163"/>
      <c r="D1630" s="164"/>
    </row>
    <row r="1631" spans="1:4" ht="34.5" customHeight="1" thickBot="1">
      <c r="A1631" s="142" t="s">
        <v>11</v>
      </c>
      <c r="B1631" s="143"/>
      <c r="C1631" s="165" t="s">
        <v>591</v>
      </c>
      <c r="D1631" s="143"/>
    </row>
    <row r="1632" spans="1:4" ht="34.5" customHeight="1" thickBot="1">
      <c r="A1632" s="137" t="s">
        <v>594</v>
      </c>
      <c r="B1632" s="138"/>
      <c r="C1632" s="138"/>
      <c r="D1632" s="139"/>
    </row>
    <row r="1633" spans="1:4" ht="34.5" customHeight="1" thickBot="1">
      <c r="A1633" s="34" t="s">
        <v>487</v>
      </c>
      <c r="B1633" s="32" t="s">
        <v>438</v>
      </c>
      <c r="C1633" s="34">
        <v>54</v>
      </c>
      <c r="D1633" s="32" t="s">
        <v>0</v>
      </c>
    </row>
    <row r="1634" spans="1:4" ht="34.5" customHeight="1" thickBot="1">
      <c r="A1634" s="37" t="s">
        <v>673</v>
      </c>
      <c r="B1634" s="36" t="s">
        <v>1</v>
      </c>
      <c r="C1634" s="34" t="s">
        <v>674</v>
      </c>
      <c r="D1634" s="32" t="s">
        <v>2</v>
      </c>
    </row>
    <row r="1635" spans="1:4" ht="34.5" customHeight="1" thickBot="1">
      <c r="A1635" s="140">
        <v>230</v>
      </c>
      <c r="B1635" s="141"/>
      <c r="C1635" s="142" t="s">
        <v>3</v>
      </c>
      <c r="D1635" s="143"/>
    </row>
    <row r="1636" spans="1:4" ht="34.5" customHeight="1" thickBot="1">
      <c r="A1636" s="140">
        <v>244</v>
      </c>
      <c r="B1636" s="141"/>
      <c r="C1636" s="144" t="s">
        <v>4</v>
      </c>
      <c r="D1636" s="145"/>
    </row>
    <row r="1637" spans="1:4" ht="34.5" customHeight="1" thickBot="1">
      <c r="A1637" s="146">
        <f>A1636-A1635</f>
        <v>14</v>
      </c>
      <c r="B1637" s="147"/>
      <c r="C1637" s="148"/>
      <c r="D1637" s="35" t="s">
        <v>5</v>
      </c>
    </row>
    <row r="1638" spans="1:4" ht="34.5" customHeight="1" thickBot="1">
      <c r="A1638" s="149">
        <v>23</v>
      </c>
      <c r="B1638" s="150"/>
      <c r="C1638" s="151"/>
      <c r="D1638" s="35" t="s">
        <v>6</v>
      </c>
    </row>
    <row r="1639" spans="1:4" ht="34.5" customHeight="1" thickBot="1">
      <c r="A1639" s="144">
        <f>A1638*A1637</f>
        <v>322</v>
      </c>
      <c r="B1639" s="152"/>
      <c r="C1639" s="145"/>
      <c r="D1639" s="35" t="s">
        <v>7</v>
      </c>
    </row>
    <row r="1640" spans="1:4" ht="34.5" customHeight="1" thickBot="1">
      <c r="A1640" s="144">
        <v>0</v>
      </c>
      <c r="B1640" s="152"/>
      <c r="C1640" s="145"/>
      <c r="D1640" s="35" t="s">
        <v>437</v>
      </c>
    </row>
    <row r="1641" spans="1:4" ht="34.5" customHeight="1" thickBot="1">
      <c r="A1641" s="34">
        <v>0</v>
      </c>
      <c r="B1641" s="32" t="s">
        <v>8</v>
      </c>
      <c r="C1641" s="33">
        <v>320</v>
      </c>
      <c r="D1641" s="32" t="s">
        <v>9</v>
      </c>
    </row>
    <row r="1642" spans="1:4" ht="34.5" customHeight="1" thickBot="1">
      <c r="A1642" s="153" t="s">
        <v>436</v>
      </c>
      <c r="B1642" s="154"/>
      <c r="C1642" s="154"/>
      <c r="D1642" s="155"/>
    </row>
    <row r="1643" spans="1:4" ht="34.5" customHeight="1" thickBot="1">
      <c r="A1643" s="156" t="s">
        <v>435</v>
      </c>
      <c r="B1643" s="157"/>
      <c r="C1643" s="157"/>
      <c r="D1643" s="158"/>
    </row>
    <row r="1644" spans="1:4" ht="34.5" customHeight="1">
      <c r="A1644" s="159" t="s">
        <v>442</v>
      </c>
      <c r="B1644" s="160" t="s">
        <v>441</v>
      </c>
      <c r="C1644" s="160"/>
      <c r="D1644" s="161"/>
    </row>
    <row r="1645" spans="1:4" ht="34.5" customHeight="1" thickBot="1">
      <c r="A1645" s="162"/>
      <c r="B1645" s="163"/>
      <c r="C1645" s="163"/>
      <c r="D1645" s="164"/>
    </row>
    <row r="1646" spans="1:4" ht="34.5" customHeight="1" thickBot="1">
      <c r="A1646" s="142" t="s">
        <v>11</v>
      </c>
      <c r="B1646" s="143"/>
      <c r="C1646" s="165" t="s">
        <v>591</v>
      </c>
      <c r="D1646" s="143"/>
    </row>
    <row r="1647" spans="1:4" ht="34.5" customHeight="1" thickBot="1">
      <c r="A1647" s="137" t="s">
        <v>595</v>
      </c>
      <c r="B1647" s="138"/>
      <c r="C1647" s="138"/>
      <c r="D1647" s="139"/>
    </row>
    <row r="1648" spans="1:4" ht="34.5" customHeight="1" thickBot="1">
      <c r="A1648" s="34" t="s">
        <v>596</v>
      </c>
      <c r="B1648" s="32" t="s">
        <v>438</v>
      </c>
      <c r="C1648" s="34">
        <v>0</v>
      </c>
      <c r="D1648" s="32" t="s">
        <v>0</v>
      </c>
    </row>
    <row r="1649" spans="1:4" ht="34.5" customHeight="1" thickBot="1">
      <c r="A1649" s="37" t="s">
        <v>673</v>
      </c>
      <c r="B1649" s="36" t="s">
        <v>1</v>
      </c>
      <c r="C1649" s="34" t="s">
        <v>674</v>
      </c>
      <c r="D1649" s="32" t="s">
        <v>2</v>
      </c>
    </row>
    <row r="1650" spans="1:4" ht="34.5" customHeight="1" thickBot="1">
      <c r="A1650" s="140">
        <v>27</v>
      </c>
      <c r="B1650" s="141"/>
      <c r="C1650" s="142" t="s">
        <v>3</v>
      </c>
      <c r="D1650" s="143"/>
    </row>
    <row r="1651" spans="1:4" ht="34.5" customHeight="1" thickBot="1">
      <c r="A1651" s="140">
        <v>27</v>
      </c>
      <c r="B1651" s="141"/>
      <c r="C1651" s="144" t="s">
        <v>4</v>
      </c>
      <c r="D1651" s="145"/>
    </row>
    <row r="1652" spans="1:4" ht="34.5" customHeight="1" thickBot="1">
      <c r="A1652" s="146">
        <f>A1651-A1650</f>
        <v>0</v>
      </c>
      <c r="B1652" s="147"/>
      <c r="C1652" s="148"/>
      <c r="D1652" s="35" t="s">
        <v>5</v>
      </c>
    </row>
    <row r="1653" spans="1:4" ht="34.5" customHeight="1" thickBot="1">
      <c r="A1653" s="149">
        <v>23</v>
      </c>
      <c r="B1653" s="150"/>
      <c r="C1653" s="151"/>
      <c r="D1653" s="35" t="s">
        <v>6</v>
      </c>
    </row>
    <row r="1654" spans="1:4" ht="34.5" customHeight="1" thickBot="1">
      <c r="A1654" s="144">
        <f>A1653*A1652</f>
        <v>0</v>
      </c>
      <c r="B1654" s="152"/>
      <c r="C1654" s="145"/>
      <c r="D1654" s="35" t="s">
        <v>7</v>
      </c>
    </row>
    <row r="1655" spans="1:4" ht="34.5" customHeight="1" thickBot="1">
      <c r="A1655" s="144">
        <v>0</v>
      </c>
      <c r="B1655" s="152"/>
      <c r="C1655" s="145"/>
      <c r="D1655" s="35" t="s">
        <v>437</v>
      </c>
    </row>
    <row r="1656" spans="1:4" ht="34.5" customHeight="1" thickBot="1">
      <c r="A1656" s="34">
        <v>0</v>
      </c>
      <c r="B1656" s="32" t="s">
        <v>8</v>
      </c>
      <c r="C1656" s="33">
        <v>0</v>
      </c>
      <c r="D1656" s="32" t="s">
        <v>9</v>
      </c>
    </row>
    <row r="1657" spans="1:4" ht="34.5" customHeight="1" thickBot="1">
      <c r="A1657" s="153" t="s">
        <v>436</v>
      </c>
      <c r="B1657" s="154"/>
      <c r="C1657" s="154"/>
      <c r="D1657" s="155"/>
    </row>
    <row r="1658" spans="1:4" ht="34.5" customHeight="1" thickBot="1">
      <c r="A1658" s="156" t="s">
        <v>435</v>
      </c>
      <c r="B1658" s="157"/>
      <c r="C1658" s="157"/>
      <c r="D1658" s="158"/>
    </row>
    <row r="1659" spans="1:4" ht="34.5" customHeight="1" thickBot="1">
      <c r="A1659" s="40"/>
      <c r="B1659" s="39"/>
      <c r="C1659" s="39"/>
      <c r="D1659" s="38"/>
    </row>
    <row r="1660" spans="1:4" ht="34.5" customHeight="1">
      <c r="A1660" s="159" t="s">
        <v>442</v>
      </c>
      <c r="B1660" s="160" t="s">
        <v>441</v>
      </c>
      <c r="C1660" s="160"/>
      <c r="D1660" s="161"/>
    </row>
    <row r="1661" spans="1:4" ht="34.5" customHeight="1" thickBot="1">
      <c r="A1661" s="162"/>
      <c r="B1661" s="163"/>
      <c r="C1661" s="163"/>
      <c r="D1661" s="164"/>
    </row>
    <row r="1662" spans="1:4" ht="34.5" customHeight="1" thickBot="1">
      <c r="A1662" s="142" t="s">
        <v>11</v>
      </c>
      <c r="B1662" s="143"/>
      <c r="C1662" s="165" t="s">
        <v>591</v>
      </c>
      <c r="D1662" s="143"/>
    </row>
    <row r="1663" spans="1:4" ht="34.5" customHeight="1" thickBot="1">
      <c r="A1663" s="137" t="s">
        <v>595</v>
      </c>
      <c r="B1663" s="138"/>
      <c r="C1663" s="138"/>
      <c r="D1663" s="139"/>
    </row>
    <row r="1664" spans="1:4" ht="34.5" customHeight="1" thickBot="1">
      <c r="A1664" s="34" t="s">
        <v>596</v>
      </c>
      <c r="B1664" s="32" t="s">
        <v>438</v>
      </c>
      <c r="C1664" s="34">
        <v>0</v>
      </c>
      <c r="D1664" s="32" t="s">
        <v>0</v>
      </c>
    </row>
    <row r="1665" spans="1:4" ht="34.5" customHeight="1" thickBot="1">
      <c r="A1665" s="37" t="s">
        <v>673</v>
      </c>
      <c r="B1665" s="36" t="s">
        <v>1</v>
      </c>
      <c r="C1665" s="34" t="s">
        <v>674</v>
      </c>
      <c r="D1665" s="32" t="s">
        <v>2</v>
      </c>
    </row>
    <row r="1666" spans="1:4" ht="34.5" customHeight="1" thickBot="1">
      <c r="A1666" s="140">
        <v>17</v>
      </c>
      <c r="B1666" s="141"/>
      <c r="C1666" s="142" t="s">
        <v>3</v>
      </c>
      <c r="D1666" s="143"/>
    </row>
    <row r="1667" spans="1:4" ht="34.5" customHeight="1" thickBot="1">
      <c r="A1667" s="140">
        <v>27</v>
      </c>
      <c r="B1667" s="141"/>
      <c r="C1667" s="144" t="s">
        <v>4</v>
      </c>
      <c r="D1667" s="145"/>
    </row>
    <row r="1668" spans="1:4" ht="34.5" customHeight="1" thickBot="1">
      <c r="A1668" s="146">
        <f>A1667-A1666</f>
        <v>10</v>
      </c>
      <c r="B1668" s="147"/>
      <c r="C1668" s="148"/>
      <c r="D1668" s="35" t="s">
        <v>5</v>
      </c>
    </row>
    <row r="1669" spans="1:4" ht="34.5" customHeight="1" thickBot="1">
      <c r="A1669" s="149">
        <v>23</v>
      </c>
      <c r="B1669" s="150"/>
      <c r="C1669" s="151"/>
      <c r="D1669" s="35" t="s">
        <v>6</v>
      </c>
    </row>
    <row r="1670" spans="1:4" ht="34.5" customHeight="1" thickBot="1">
      <c r="A1670" s="144">
        <f>A1669*A1668</f>
        <v>230</v>
      </c>
      <c r="B1670" s="152"/>
      <c r="C1670" s="145"/>
      <c r="D1670" s="35" t="s">
        <v>7</v>
      </c>
    </row>
    <row r="1671" spans="1:4" ht="34.5" customHeight="1" thickBot="1">
      <c r="A1671" s="144">
        <v>0</v>
      </c>
      <c r="B1671" s="152"/>
      <c r="C1671" s="145"/>
      <c r="D1671" s="35" t="s">
        <v>437</v>
      </c>
    </row>
    <row r="1672" spans="1:4" ht="34.5" customHeight="1" thickBot="1">
      <c r="A1672" s="34">
        <v>0</v>
      </c>
      <c r="B1672" s="32" t="s">
        <v>8</v>
      </c>
      <c r="C1672" s="33">
        <v>230</v>
      </c>
      <c r="D1672" s="32" t="s">
        <v>9</v>
      </c>
    </row>
    <row r="1673" spans="1:4" ht="34.5" customHeight="1" thickBot="1">
      <c r="A1673" s="153" t="s">
        <v>436</v>
      </c>
      <c r="B1673" s="154"/>
      <c r="C1673" s="154"/>
      <c r="D1673" s="155"/>
    </row>
    <row r="1674" spans="1:4" ht="34.5" customHeight="1" thickBot="1">
      <c r="A1674" s="156" t="s">
        <v>435</v>
      </c>
      <c r="B1674" s="157"/>
      <c r="C1674" s="157"/>
      <c r="D1674" s="158"/>
    </row>
    <row r="1675" spans="1:4" ht="34.5" customHeight="1">
      <c r="A1675" s="159" t="s">
        <v>442</v>
      </c>
      <c r="B1675" s="160" t="s">
        <v>441</v>
      </c>
      <c r="C1675" s="160"/>
      <c r="D1675" s="161"/>
    </row>
    <row r="1676" spans="1:4" ht="34.5" customHeight="1" thickBot="1">
      <c r="A1676" s="162"/>
      <c r="B1676" s="163"/>
      <c r="C1676" s="163"/>
      <c r="D1676" s="164"/>
    </row>
    <row r="1677" spans="1:4" ht="34.5" customHeight="1" thickBot="1">
      <c r="A1677" s="142" t="s">
        <v>11</v>
      </c>
      <c r="B1677" s="143"/>
      <c r="C1677" s="165" t="s">
        <v>591</v>
      </c>
      <c r="D1677" s="143"/>
    </row>
    <row r="1678" spans="1:4" ht="34.5" customHeight="1" thickBot="1">
      <c r="A1678" s="137" t="s">
        <v>114</v>
      </c>
      <c r="B1678" s="138"/>
      <c r="C1678" s="138"/>
      <c r="D1678" s="139"/>
    </row>
    <row r="1679" spans="1:4" ht="34.5" customHeight="1" thickBot="1">
      <c r="A1679" s="34" t="s">
        <v>596</v>
      </c>
      <c r="B1679" s="32" t="s">
        <v>438</v>
      </c>
      <c r="C1679" s="34">
        <v>0</v>
      </c>
      <c r="D1679" s="32" t="s">
        <v>0</v>
      </c>
    </row>
    <row r="1680" spans="1:4" ht="34.5" customHeight="1" thickBot="1">
      <c r="A1680" s="37" t="s">
        <v>673</v>
      </c>
      <c r="B1680" s="36" t="s">
        <v>1</v>
      </c>
      <c r="C1680" s="34" t="s">
        <v>674</v>
      </c>
      <c r="D1680" s="32" t="s">
        <v>2</v>
      </c>
    </row>
    <row r="1681" spans="1:4" ht="34.5" customHeight="1" thickBot="1">
      <c r="A1681" s="140">
        <v>178</v>
      </c>
      <c r="B1681" s="141"/>
      <c r="C1681" s="142" t="s">
        <v>3</v>
      </c>
      <c r="D1681" s="143"/>
    </row>
    <row r="1682" spans="1:4" ht="34.5" customHeight="1" thickBot="1">
      <c r="A1682" s="140">
        <v>178</v>
      </c>
      <c r="B1682" s="141"/>
      <c r="C1682" s="144" t="s">
        <v>4</v>
      </c>
      <c r="D1682" s="145"/>
    </row>
    <row r="1683" spans="1:4" ht="34.5" customHeight="1" thickBot="1">
      <c r="A1683" s="146">
        <f>A1682-A1681</f>
        <v>0</v>
      </c>
      <c r="B1683" s="147"/>
      <c r="C1683" s="148"/>
      <c r="D1683" s="35" t="s">
        <v>5</v>
      </c>
    </row>
    <row r="1684" spans="1:4" ht="34.5" customHeight="1" thickBot="1">
      <c r="A1684" s="149">
        <v>23</v>
      </c>
      <c r="B1684" s="150"/>
      <c r="C1684" s="151"/>
      <c r="D1684" s="35" t="s">
        <v>6</v>
      </c>
    </row>
    <row r="1685" spans="1:4" ht="34.5" customHeight="1" thickBot="1">
      <c r="A1685" s="144">
        <f>A1684*A1683</f>
        <v>0</v>
      </c>
      <c r="B1685" s="152"/>
      <c r="C1685" s="145"/>
      <c r="D1685" s="35" t="s">
        <v>7</v>
      </c>
    </row>
    <row r="1686" spans="1:4" ht="34.5" customHeight="1" thickBot="1">
      <c r="A1686" s="144">
        <v>0</v>
      </c>
      <c r="B1686" s="152"/>
      <c r="C1686" s="145"/>
      <c r="D1686" s="35" t="s">
        <v>437</v>
      </c>
    </row>
    <row r="1687" spans="1:4" ht="34.5" customHeight="1" thickBot="1">
      <c r="A1687" s="34">
        <v>0</v>
      </c>
      <c r="B1687" s="32" t="s">
        <v>8</v>
      </c>
      <c r="C1687" s="33">
        <v>410</v>
      </c>
      <c r="D1687" s="32" t="s">
        <v>9</v>
      </c>
    </row>
    <row r="1688" spans="1:4" ht="34.5" customHeight="1" thickBot="1">
      <c r="A1688" s="153" t="s">
        <v>436</v>
      </c>
      <c r="B1688" s="154"/>
      <c r="C1688" s="154"/>
      <c r="D1688" s="155"/>
    </row>
    <row r="1689" spans="1:4" ht="34.5" customHeight="1" thickBot="1">
      <c r="A1689" s="156" t="s">
        <v>435</v>
      </c>
      <c r="B1689" s="157"/>
      <c r="C1689" s="157"/>
      <c r="D1689" s="158"/>
    </row>
    <row r="1690" spans="1:4" ht="34.5" customHeight="1" thickBot="1">
      <c r="A1690" s="40"/>
      <c r="B1690" s="39"/>
      <c r="C1690" s="39"/>
      <c r="D1690" s="38"/>
    </row>
    <row r="1691" spans="1:4" ht="34.5" customHeight="1">
      <c r="A1691" s="159" t="s">
        <v>442</v>
      </c>
      <c r="B1691" s="160" t="s">
        <v>441</v>
      </c>
      <c r="C1691" s="160"/>
      <c r="D1691" s="161"/>
    </row>
    <row r="1692" spans="1:4" ht="34.5" customHeight="1" thickBot="1">
      <c r="A1692" s="162"/>
      <c r="B1692" s="163"/>
      <c r="C1692" s="163"/>
      <c r="D1692" s="164"/>
    </row>
    <row r="1693" spans="1:4" ht="34.5" customHeight="1" thickBot="1">
      <c r="A1693" s="142" t="s">
        <v>11</v>
      </c>
      <c r="B1693" s="143"/>
      <c r="C1693" s="165" t="s">
        <v>591</v>
      </c>
      <c r="D1693" s="143"/>
    </row>
    <row r="1694" spans="1:4" ht="34.5" customHeight="1" thickBot="1">
      <c r="A1694" s="137" t="s">
        <v>114</v>
      </c>
      <c r="B1694" s="138"/>
      <c r="C1694" s="138"/>
      <c r="D1694" s="139"/>
    </row>
    <row r="1695" spans="1:4" ht="34.5" customHeight="1" thickBot="1">
      <c r="A1695" s="34" t="s">
        <v>596</v>
      </c>
      <c r="B1695" s="32" t="s">
        <v>438</v>
      </c>
      <c r="C1695" s="34">
        <v>0</v>
      </c>
      <c r="D1695" s="32" t="s">
        <v>0</v>
      </c>
    </row>
    <row r="1696" spans="1:4" ht="34.5" customHeight="1" thickBot="1">
      <c r="A1696" s="37" t="s">
        <v>673</v>
      </c>
      <c r="B1696" s="36" t="s">
        <v>1</v>
      </c>
      <c r="C1696" s="34" t="s">
        <v>674</v>
      </c>
      <c r="D1696" s="32" t="s">
        <v>2</v>
      </c>
    </row>
    <row r="1697" spans="1:4" ht="34.5" customHeight="1" thickBot="1">
      <c r="A1697" s="140">
        <v>160</v>
      </c>
      <c r="B1697" s="141"/>
      <c r="C1697" s="142" t="s">
        <v>3</v>
      </c>
      <c r="D1697" s="143"/>
    </row>
    <row r="1698" spans="1:4" ht="34.5" customHeight="1" thickBot="1">
      <c r="A1698" s="140">
        <v>178</v>
      </c>
      <c r="B1698" s="141"/>
      <c r="C1698" s="144" t="s">
        <v>4</v>
      </c>
      <c r="D1698" s="145"/>
    </row>
    <row r="1699" spans="1:4" ht="34.5" customHeight="1" thickBot="1">
      <c r="A1699" s="146">
        <f>A1698-A1697</f>
        <v>18</v>
      </c>
      <c r="B1699" s="147"/>
      <c r="C1699" s="148"/>
      <c r="D1699" s="35" t="s">
        <v>5</v>
      </c>
    </row>
    <row r="1700" spans="1:4" ht="34.5" customHeight="1" thickBot="1">
      <c r="A1700" s="149">
        <v>23</v>
      </c>
      <c r="B1700" s="150"/>
      <c r="C1700" s="151"/>
      <c r="D1700" s="35" t="s">
        <v>6</v>
      </c>
    </row>
    <row r="1701" spans="1:4" ht="34.5" customHeight="1" thickBot="1">
      <c r="A1701" s="144">
        <f>A1700*A1699</f>
        <v>414</v>
      </c>
      <c r="B1701" s="152"/>
      <c r="C1701" s="145"/>
      <c r="D1701" s="35" t="s">
        <v>7</v>
      </c>
    </row>
    <row r="1702" spans="1:4" ht="34.5" customHeight="1" thickBot="1">
      <c r="A1702" s="144">
        <v>0</v>
      </c>
      <c r="B1702" s="152"/>
      <c r="C1702" s="145"/>
      <c r="D1702" s="35" t="s">
        <v>437</v>
      </c>
    </row>
    <row r="1703" spans="1:4" ht="34.5" customHeight="1" thickBot="1">
      <c r="A1703" s="34">
        <v>0</v>
      </c>
      <c r="B1703" s="32" t="s">
        <v>8</v>
      </c>
      <c r="C1703" s="33">
        <v>410</v>
      </c>
      <c r="D1703" s="32" t="s">
        <v>9</v>
      </c>
    </row>
    <row r="1704" spans="1:4" ht="34.5" customHeight="1" thickBot="1">
      <c r="A1704" s="153" t="s">
        <v>436</v>
      </c>
      <c r="B1704" s="154"/>
      <c r="C1704" s="154"/>
      <c r="D1704" s="155"/>
    </row>
    <row r="1705" spans="1:4" ht="34.5" customHeight="1" thickBot="1">
      <c r="A1705" s="156" t="s">
        <v>435</v>
      </c>
      <c r="B1705" s="157"/>
      <c r="C1705" s="157"/>
      <c r="D1705" s="158"/>
    </row>
    <row r="1706" spans="1:4" ht="34.5" customHeight="1">
      <c r="A1706" s="159" t="s">
        <v>442</v>
      </c>
      <c r="B1706" s="160" t="s">
        <v>441</v>
      </c>
      <c r="C1706" s="160"/>
      <c r="D1706" s="161"/>
    </row>
    <row r="1707" spans="1:4" ht="34.5" customHeight="1" thickBot="1">
      <c r="A1707" s="162"/>
      <c r="B1707" s="163"/>
      <c r="C1707" s="163"/>
      <c r="D1707" s="164"/>
    </row>
    <row r="1708" spans="1:4" ht="34.5" customHeight="1" thickBot="1">
      <c r="A1708" s="142" t="s">
        <v>11</v>
      </c>
      <c r="B1708" s="143"/>
      <c r="C1708" s="165" t="s">
        <v>591</v>
      </c>
      <c r="D1708" s="143"/>
    </row>
    <row r="1709" spans="1:4" ht="34.5" customHeight="1" thickBot="1">
      <c r="A1709" s="137" t="s">
        <v>83</v>
      </c>
      <c r="B1709" s="138"/>
      <c r="C1709" s="138"/>
      <c r="D1709" s="139"/>
    </row>
    <row r="1710" spans="1:4" ht="34.5" customHeight="1" thickBot="1">
      <c r="A1710" s="34" t="s">
        <v>596</v>
      </c>
      <c r="B1710" s="32" t="s">
        <v>438</v>
      </c>
      <c r="C1710" s="34">
        <v>0</v>
      </c>
      <c r="D1710" s="32" t="s">
        <v>0</v>
      </c>
    </row>
    <row r="1711" spans="1:4" ht="34.5" customHeight="1" thickBot="1">
      <c r="A1711" s="37" t="s">
        <v>673</v>
      </c>
      <c r="B1711" s="36" t="s">
        <v>1</v>
      </c>
      <c r="C1711" s="34" t="s">
        <v>674</v>
      </c>
      <c r="D1711" s="32" t="s">
        <v>2</v>
      </c>
    </row>
    <row r="1712" spans="1:4" ht="34.5" customHeight="1" thickBot="1">
      <c r="A1712" s="140">
        <v>68</v>
      </c>
      <c r="B1712" s="141"/>
      <c r="C1712" s="142" t="s">
        <v>3</v>
      </c>
      <c r="D1712" s="143"/>
    </row>
    <row r="1713" spans="1:4" ht="34.5" customHeight="1" thickBot="1">
      <c r="A1713" s="140">
        <v>68</v>
      </c>
      <c r="B1713" s="141"/>
      <c r="C1713" s="144" t="s">
        <v>4</v>
      </c>
      <c r="D1713" s="145"/>
    </row>
    <row r="1714" spans="1:4" ht="34.5" customHeight="1" thickBot="1">
      <c r="A1714" s="146">
        <f>A1713-A1712</f>
        <v>0</v>
      </c>
      <c r="B1714" s="147"/>
      <c r="C1714" s="148"/>
      <c r="D1714" s="35" t="s">
        <v>5</v>
      </c>
    </row>
    <row r="1715" spans="1:4" ht="34.5" customHeight="1" thickBot="1">
      <c r="A1715" s="149">
        <v>23</v>
      </c>
      <c r="B1715" s="150"/>
      <c r="C1715" s="151"/>
      <c r="D1715" s="35" t="s">
        <v>6</v>
      </c>
    </row>
    <row r="1716" spans="1:4" ht="34.5" customHeight="1" thickBot="1">
      <c r="A1716" s="144">
        <f>A1715*A1714</f>
        <v>0</v>
      </c>
      <c r="B1716" s="152"/>
      <c r="C1716" s="145"/>
      <c r="D1716" s="35" t="s">
        <v>7</v>
      </c>
    </row>
    <row r="1717" spans="1:4" ht="34.5" customHeight="1" thickBot="1">
      <c r="A1717" s="144">
        <v>0</v>
      </c>
      <c r="B1717" s="152"/>
      <c r="C1717" s="145"/>
      <c r="D1717" s="35" t="s">
        <v>437</v>
      </c>
    </row>
    <row r="1718" spans="1:4" ht="34.5" customHeight="1" thickBot="1">
      <c r="A1718" s="34">
        <v>0</v>
      </c>
      <c r="B1718" s="32" t="s">
        <v>8</v>
      </c>
      <c r="C1718" s="33">
        <v>0</v>
      </c>
      <c r="D1718" s="32" t="s">
        <v>9</v>
      </c>
    </row>
    <row r="1719" spans="1:4" ht="34.5" customHeight="1" thickBot="1">
      <c r="A1719" s="153" t="s">
        <v>436</v>
      </c>
      <c r="B1719" s="154"/>
      <c r="C1719" s="154"/>
      <c r="D1719" s="155"/>
    </row>
    <row r="1720" spans="1:4" ht="34.5" customHeight="1" thickBot="1">
      <c r="A1720" s="156" t="s">
        <v>435</v>
      </c>
      <c r="B1720" s="157"/>
      <c r="C1720" s="157"/>
      <c r="D1720" s="158"/>
    </row>
    <row r="1721" spans="1:4" ht="34.5" customHeight="1" thickBot="1">
      <c r="A1721" s="40"/>
      <c r="B1721" s="39"/>
      <c r="C1721" s="39"/>
      <c r="D1721" s="38"/>
    </row>
    <row r="1722" spans="1:4" ht="34.5" customHeight="1">
      <c r="A1722" s="159" t="s">
        <v>442</v>
      </c>
      <c r="B1722" s="160" t="s">
        <v>441</v>
      </c>
      <c r="C1722" s="160"/>
      <c r="D1722" s="161"/>
    </row>
    <row r="1723" spans="1:4" ht="34.5" customHeight="1" thickBot="1">
      <c r="A1723" s="162"/>
      <c r="B1723" s="163"/>
      <c r="C1723" s="163"/>
      <c r="D1723" s="164"/>
    </row>
    <row r="1724" spans="1:4" ht="34.5" customHeight="1" thickBot="1">
      <c r="A1724" s="142" t="s">
        <v>11</v>
      </c>
      <c r="B1724" s="143"/>
      <c r="C1724" s="165" t="s">
        <v>591</v>
      </c>
      <c r="D1724" s="143"/>
    </row>
    <row r="1725" spans="1:4" ht="34.5" customHeight="1" thickBot="1">
      <c r="A1725" s="137" t="s">
        <v>83</v>
      </c>
      <c r="B1725" s="138"/>
      <c r="C1725" s="138"/>
      <c r="D1725" s="139"/>
    </row>
    <row r="1726" spans="1:4" ht="34.5" customHeight="1" thickBot="1">
      <c r="A1726" s="34" t="s">
        <v>596</v>
      </c>
      <c r="B1726" s="32" t="s">
        <v>438</v>
      </c>
      <c r="C1726" s="34">
        <v>0</v>
      </c>
      <c r="D1726" s="32" t="s">
        <v>0</v>
      </c>
    </row>
    <row r="1727" spans="1:4" ht="34.5" customHeight="1" thickBot="1">
      <c r="A1727" s="37" t="s">
        <v>673</v>
      </c>
      <c r="B1727" s="36" t="s">
        <v>1</v>
      </c>
      <c r="C1727" s="34" t="s">
        <v>674</v>
      </c>
      <c r="D1727" s="32" t="s">
        <v>2</v>
      </c>
    </row>
    <row r="1728" spans="1:4" ht="34.5" customHeight="1" thickBot="1">
      <c r="A1728" s="140">
        <v>45</v>
      </c>
      <c r="B1728" s="141"/>
      <c r="C1728" s="142" t="s">
        <v>3</v>
      </c>
      <c r="D1728" s="143"/>
    </row>
    <row r="1729" spans="1:4" ht="34.5" customHeight="1" thickBot="1">
      <c r="A1729" s="140">
        <v>68</v>
      </c>
      <c r="B1729" s="141"/>
      <c r="C1729" s="144" t="s">
        <v>4</v>
      </c>
      <c r="D1729" s="145"/>
    </row>
    <row r="1730" spans="1:4" ht="34.5" customHeight="1" thickBot="1">
      <c r="A1730" s="146">
        <f>A1729-A1728</f>
        <v>23</v>
      </c>
      <c r="B1730" s="147"/>
      <c r="C1730" s="148"/>
      <c r="D1730" s="35" t="s">
        <v>5</v>
      </c>
    </row>
    <row r="1731" spans="1:4" ht="34.5" customHeight="1" thickBot="1">
      <c r="A1731" s="149">
        <v>23</v>
      </c>
      <c r="B1731" s="150"/>
      <c r="C1731" s="151"/>
      <c r="D1731" s="35" t="s">
        <v>6</v>
      </c>
    </row>
    <row r="1732" spans="1:4" ht="34.5" customHeight="1" thickBot="1">
      <c r="A1732" s="144">
        <f>A1731*A1730</f>
        <v>529</v>
      </c>
      <c r="B1732" s="152"/>
      <c r="C1732" s="145"/>
      <c r="D1732" s="35" t="s">
        <v>7</v>
      </c>
    </row>
    <row r="1733" spans="1:4" ht="34.5" customHeight="1" thickBot="1">
      <c r="A1733" s="144">
        <v>0</v>
      </c>
      <c r="B1733" s="152"/>
      <c r="C1733" s="145"/>
      <c r="D1733" s="35" t="s">
        <v>437</v>
      </c>
    </row>
    <row r="1734" spans="1:4" ht="34.5" customHeight="1" thickBot="1">
      <c r="A1734" s="34">
        <v>0</v>
      </c>
      <c r="B1734" s="32" t="s">
        <v>8</v>
      </c>
      <c r="C1734" s="33">
        <v>530</v>
      </c>
      <c r="D1734" s="32" t="s">
        <v>9</v>
      </c>
    </row>
    <row r="1735" spans="1:4" ht="34.5" customHeight="1" thickBot="1">
      <c r="A1735" s="153" t="s">
        <v>436</v>
      </c>
      <c r="B1735" s="154"/>
      <c r="C1735" s="154"/>
      <c r="D1735" s="155"/>
    </row>
    <row r="1736" spans="1:4" ht="34.5" customHeight="1" thickBot="1">
      <c r="A1736" s="156" t="s">
        <v>435</v>
      </c>
      <c r="B1736" s="157"/>
      <c r="C1736" s="157"/>
      <c r="D1736" s="158"/>
    </row>
    <row r="1737" spans="1:4" ht="34.5" customHeight="1">
      <c r="A1737" s="159" t="s">
        <v>442</v>
      </c>
      <c r="B1737" s="160" t="s">
        <v>441</v>
      </c>
      <c r="C1737" s="160"/>
      <c r="D1737" s="161"/>
    </row>
    <row r="1738" spans="1:4" ht="34.5" customHeight="1" thickBot="1">
      <c r="A1738" s="162"/>
      <c r="B1738" s="163"/>
      <c r="C1738" s="163"/>
      <c r="D1738" s="164"/>
    </row>
    <row r="1739" spans="1:4" ht="34.5" customHeight="1" thickBot="1">
      <c r="A1739" s="142" t="s">
        <v>11</v>
      </c>
      <c r="B1739" s="143"/>
      <c r="C1739" s="165" t="s">
        <v>591</v>
      </c>
      <c r="D1739" s="143"/>
    </row>
    <row r="1740" spans="1:4" ht="34.5" customHeight="1" thickBot="1">
      <c r="A1740" s="137" t="s">
        <v>597</v>
      </c>
      <c r="B1740" s="138"/>
      <c r="C1740" s="138"/>
      <c r="D1740" s="139"/>
    </row>
    <row r="1741" spans="1:4" ht="34.5" customHeight="1" thickBot="1">
      <c r="A1741" s="34" t="s">
        <v>596</v>
      </c>
      <c r="B1741" s="32" t="s">
        <v>438</v>
      </c>
      <c r="C1741" s="34">
        <v>0</v>
      </c>
      <c r="D1741" s="32" t="s">
        <v>0</v>
      </c>
    </row>
    <row r="1742" spans="1:4" ht="34.5" customHeight="1" thickBot="1">
      <c r="A1742" s="37" t="s">
        <v>673</v>
      </c>
      <c r="B1742" s="36" t="s">
        <v>1</v>
      </c>
      <c r="C1742" s="34" t="s">
        <v>674</v>
      </c>
      <c r="D1742" s="32" t="s">
        <v>2</v>
      </c>
    </row>
    <row r="1743" spans="1:4" ht="34.5" customHeight="1" thickBot="1">
      <c r="A1743" s="140">
        <v>56</v>
      </c>
      <c r="B1743" s="141"/>
      <c r="C1743" s="142" t="s">
        <v>3</v>
      </c>
      <c r="D1743" s="143"/>
    </row>
    <row r="1744" spans="1:4" ht="34.5" customHeight="1" thickBot="1">
      <c r="A1744" s="140">
        <v>56</v>
      </c>
      <c r="B1744" s="141"/>
      <c r="C1744" s="144" t="s">
        <v>4</v>
      </c>
      <c r="D1744" s="145"/>
    </row>
    <row r="1745" spans="1:4" ht="34.5" customHeight="1" thickBot="1">
      <c r="A1745" s="146">
        <f>A1744-A1743</f>
        <v>0</v>
      </c>
      <c r="B1745" s="147"/>
      <c r="C1745" s="148"/>
      <c r="D1745" s="35" t="s">
        <v>5</v>
      </c>
    </row>
    <row r="1746" spans="1:4" ht="34.5" customHeight="1" thickBot="1">
      <c r="A1746" s="149">
        <v>23</v>
      </c>
      <c r="B1746" s="150"/>
      <c r="C1746" s="151"/>
      <c r="D1746" s="35" t="s">
        <v>6</v>
      </c>
    </row>
    <row r="1747" spans="1:4" ht="34.5" customHeight="1" thickBot="1">
      <c r="A1747" s="144">
        <f>A1746*A1745</f>
        <v>0</v>
      </c>
      <c r="B1747" s="152"/>
      <c r="C1747" s="145"/>
      <c r="D1747" s="35" t="s">
        <v>7</v>
      </c>
    </row>
    <row r="1748" spans="1:4" ht="34.5" customHeight="1" thickBot="1">
      <c r="A1748" s="144">
        <v>0</v>
      </c>
      <c r="B1748" s="152"/>
      <c r="C1748" s="145"/>
      <c r="D1748" s="35" t="s">
        <v>437</v>
      </c>
    </row>
    <row r="1749" spans="1:4" ht="34.5" customHeight="1" thickBot="1">
      <c r="A1749" s="34">
        <v>0</v>
      </c>
      <c r="B1749" s="32" t="s">
        <v>8</v>
      </c>
      <c r="C1749" s="33">
        <v>140</v>
      </c>
      <c r="D1749" s="32" t="s">
        <v>9</v>
      </c>
    </row>
    <row r="1750" spans="1:4" ht="34.5" customHeight="1" thickBot="1">
      <c r="A1750" s="153" t="s">
        <v>436</v>
      </c>
      <c r="B1750" s="154"/>
      <c r="C1750" s="154"/>
      <c r="D1750" s="155"/>
    </row>
    <row r="1751" spans="1:4" ht="34.5" customHeight="1" thickBot="1">
      <c r="A1751" s="156" t="s">
        <v>435</v>
      </c>
      <c r="B1751" s="157"/>
      <c r="C1751" s="157"/>
      <c r="D1751" s="158"/>
    </row>
    <row r="1752" spans="1:4" ht="34.5" customHeight="1" thickBot="1">
      <c r="A1752" s="40"/>
      <c r="B1752" s="39"/>
      <c r="C1752" s="39"/>
      <c r="D1752" s="38"/>
    </row>
    <row r="1753" spans="1:4" ht="34.5" customHeight="1">
      <c r="A1753" s="159" t="s">
        <v>442</v>
      </c>
      <c r="B1753" s="160" t="s">
        <v>441</v>
      </c>
      <c r="C1753" s="160"/>
      <c r="D1753" s="161"/>
    </row>
    <row r="1754" spans="1:4" ht="34.5" customHeight="1" thickBot="1">
      <c r="A1754" s="162"/>
      <c r="B1754" s="163"/>
      <c r="C1754" s="163"/>
      <c r="D1754" s="164"/>
    </row>
    <row r="1755" spans="1:4" ht="34.5" customHeight="1" thickBot="1">
      <c r="A1755" s="142" t="s">
        <v>11</v>
      </c>
      <c r="B1755" s="143"/>
      <c r="C1755" s="165" t="s">
        <v>591</v>
      </c>
      <c r="D1755" s="143"/>
    </row>
    <row r="1756" spans="1:4" ht="34.5" customHeight="1" thickBot="1">
      <c r="A1756" s="137" t="s">
        <v>597</v>
      </c>
      <c r="B1756" s="138"/>
      <c r="C1756" s="138"/>
      <c r="D1756" s="139"/>
    </row>
    <row r="1757" spans="1:4" ht="34.5" customHeight="1" thickBot="1">
      <c r="A1757" s="34" t="s">
        <v>596</v>
      </c>
      <c r="B1757" s="32" t="s">
        <v>438</v>
      </c>
      <c r="C1757" s="34">
        <v>0</v>
      </c>
      <c r="D1757" s="32" t="s">
        <v>0</v>
      </c>
    </row>
    <row r="1758" spans="1:4" ht="34.5" customHeight="1" thickBot="1">
      <c r="A1758" s="37" t="s">
        <v>673</v>
      </c>
      <c r="B1758" s="36" t="s">
        <v>1</v>
      </c>
      <c r="C1758" s="34" t="s">
        <v>674</v>
      </c>
      <c r="D1758" s="32" t="s">
        <v>2</v>
      </c>
    </row>
    <row r="1759" spans="1:4" ht="34.5" customHeight="1" thickBot="1">
      <c r="A1759" s="140">
        <v>50</v>
      </c>
      <c r="B1759" s="141"/>
      <c r="C1759" s="142" t="s">
        <v>3</v>
      </c>
      <c r="D1759" s="143"/>
    </row>
    <row r="1760" spans="1:4" ht="34.5" customHeight="1" thickBot="1">
      <c r="A1760" s="140">
        <v>56</v>
      </c>
      <c r="B1760" s="141"/>
      <c r="C1760" s="144" t="s">
        <v>4</v>
      </c>
      <c r="D1760" s="145"/>
    </row>
    <row r="1761" spans="1:4" ht="34.5" customHeight="1" thickBot="1">
      <c r="A1761" s="146">
        <f>A1760-A1759</f>
        <v>6</v>
      </c>
      <c r="B1761" s="147"/>
      <c r="C1761" s="148"/>
      <c r="D1761" s="35" t="s">
        <v>5</v>
      </c>
    </row>
    <row r="1762" spans="1:4" ht="34.5" customHeight="1" thickBot="1">
      <c r="A1762" s="149">
        <v>23</v>
      </c>
      <c r="B1762" s="150"/>
      <c r="C1762" s="151"/>
      <c r="D1762" s="35" t="s">
        <v>6</v>
      </c>
    </row>
    <row r="1763" spans="1:4" ht="34.5" customHeight="1" thickBot="1">
      <c r="A1763" s="144">
        <f>A1762*A1761</f>
        <v>138</v>
      </c>
      <c r="B1763" s="152"/>
      <c r="C1763" s="145"/>
      <c r="D1763" s="35" t="s">
        <v>7</v>
      </c>
    </row>
    <row r="1764" spans="1:4" ht="34.5" customHeight="1" thickBot="1">
      <c r="A1764" s="144">
        <v>0</v>
      </c>
      <c r="B1764" s="152"/>
      <c r="C1764" s="145"/>
      <c r="D1764" s="35" t="s">
        <v>437</v>
      </c>
    </row>
    <row r="1765" spans="1:4" ht="34.5" customHeight="1" thickBot="1">
      <c r="A1765" s="34">
        <v>0</v>
      </c>
      <c r="B1765" s="32" t="s">
        <v>8</v>
      </c>
      <c r="C1765" s="33">
        <v>140</v>
      </c>
      <c r="D1765" s="32" t="s">
        <v>9</v>
      </c>
    </row>
    <row r="1766" spans="1:4" ht="34.5" customHeight="1" thickBot="1">
      <c r="A1766" s="153" t="s">
        <v>436</v>
      </c>
      <c r="B1766" s="154"/>
      <c r="C1766" s="154"/>
      <c r="D1766" s="155"/>
    </row>
    <row r="1767" spans="1:4" ht="34.5" customHeight="1" thickBot="1">
      <c r="A1767" s="156" t="s">
        <v>435</v>
      </c>
      <c r="B1767" s="157"/>
      <c r="C1767" s="157"/>
      <c r="D1767" s="158"/>
    </row>
    <row r="1768" spans="1:4" ht="34.5" customHeight="1">
      <c r="A1768" s="159" t="s">
        <v>442</v>
      </c>
      <c r="B1768" s="160" t="s">
        <v>441</v>
      </c>
      <c r="C1768" s="160"/>
      <c r="D1768" s="161"/>
    </row>
    <row r="1769" spans="1:4" ht="34.5" customHeight="1" thickBot="1">
      <c r="A1769" s="162"/>
      <c r="B1769" s="163"/>
      <c r="C1769" s="163"/>
      <c r="D1769" s="164"/>
    </row>
    <row r="1770" spans="1:4" ht="34.5" customHeight="1" thickBot="1">
      <c r="A1770" s="142" t="s">
        <v>11</v>
      </c>
      <c r="B1770" s="143"/>
      <c r="C1770" s="165" t="s">
        <v>591</v>
      </c>
      <c r="D1770" s="143"/>
    </row>
    <row r="1771" spans="1:4" ht="34.5" customHeight="1" thickBot="1">
      <c r="A1771" s="137" t="s">
        <v>659</v>
      </c>
      <c r="B1771" s="138"/>
      <c r="C1771" s="138"/>
      <c r="D1771" s="139"/>
    </row>
    <row r="1772" spans="1:4" ht="34.5" customHeight="1" thickBot="1">
      <c r="A1772" s="34" t="s">
        <v>596</v>
      </c>
      <c r="B1772" s="32" t="s">
        <v>438</v>
      </c>
      <c r="C1772" s="34">
        <v>0</v>
      </c>
      <c r="D1772" s="32" t="s">
        <v>0</v>
      </c>
    </row>
    <row r="1773" spans="1:4" ht="34.5" customHeight="1" thickBot="1">
      <c r="A1773" s="37" t="s">
        <v>673</v>
      </c>
      <c r="B1773" s="36" t="s">
        <v>1</v>
      </c>
      <c r="C1773" s="34" t="s">
        <v>674</v>
      </c>
      <c r="D1773" s="32" t="s">
        <v>2</v>
      </c>
    </row>
    <row r="1774" spans="1:4" ht="34.5" customHeight="1" thickBot="1">
      <c r="A1774" s="140">
        <v>72</v>
      </c>
      <c r="B1774" s="141"/>
      <c r="C1774" s="142" t="s">
        <v>3</v>
      </c>
      <c r="D1774" s="143"/>
    </row>
    <row r="1775" spans="1:4" ht="34.5" customHeight="1" thickBot="1">
      <c r="A1775" s="140">
        <v>72</v>
      </c>
      <c r="B1775" s="141"/>
      <c r="C1775" s="144" t="s">
        <v>4</v>
      </c>
      <c r="D1775" s="145"/>
    </row>
    <row r="1776" spans="1:4" ht="34.5" customHeight="1" thickBot="1">
      <c r="A1776" s="146">
        <f>A1775-A1774</f>
        <v>0</v>
      </c>
      <c r="B1776" s="147"/>
      <c r="C1776" s="148"/>
      <c r="D1776" s="35" t="s">
        <v>5</v>
      </c>
    </row>
    <row r="1777" spans="1:4" ht="34.5" customHeight="1" thickBot="1">
      <c r="A1777" s="149">
        <v>23</v>
      </c>
      <c r="B1777" s="150"/>
      <c r="C1777" s="151"/>
      <c r="D1777" s="35" t="s">
        <v>6</v>
      </c>
    </row>
    <row r="1778" spans="1:4" ht="34.5" customHeight="1" thickBot="1">
      <c r="A1778" s="144">
        <f>A1777*A1776</f>
        <v>0</v>
      </c>
      <c r="B1778" s="152"/>
      <c r="C1778" s="145"/>
      <c r="D1778" s="35" t="s">
        <v>7</v>
      </c>
    </row>
    <row r="1779" spans="1:4" ht="34.5" customHeight="1" thickBot="1">
      <c r="A1779" s="144">
        <v>0</v>
      </c>
      <c r="B1779" s="152"/>
      <c r="C1779" s="145"/>
      <c r="D1779" s="35" t="s">
        <v>437</v>
      </c>
    </row>
    <row r="1780" spans="1:4" ht="34.5" customHeight="1" thickBot="1">
      <c r="A1780" s="34">
        <v>0</v>
      </c>
      <c r="B1780" s="32" t="s">
        <v>8</v>
      </c>
      <c r="C1780" s="33">
        <v>300</v>
      </c>
      <c r="D1780" s="32" t="s">
        <v>9</v>
      </c>
    </row>
    <row r="1781" spans="1:4" ht="34.5" customHeight="1" thickBot="1">
      <c r="A1781" s="153" t="s">
        <v>436</v>
      </c>
      <c r="B1781" s="154"/>
      <c r="C1781" s="154"/>
      <c r="D1781" s="155"/>
    </row>
    <row r="1782" spans="1:4" ht="34.5" customHeight="1" thickBot="1">
      <c r="A1782" s="156" t="s">
        <v>435</v>
      </c>
      <c r="B1782" s="157"/>
      <c r="C1782" s="157"/>
      <c r="D1782" s="158"/>
    </row>
    <row r="1783" spans="1:4" ht="34.5" customHeight="1" thickBot="1">
      <c r="A1783" s="40"/>
      <c r="B1783" s="39"/>
      <c r="C1783" s="39"/>
      <c r="D1783" s="38"/>
    </row>
    <row r="1784" spans="1:4" ht="34.5" customHeight="1">
      <c r="A1784" s="159" t="s">
        <v>442</v>
      </c>
      <c r="B1784" s="160" t="s">
        <v>441</v>
      </c>
      <c r="C1784" s="160"/>
      <c r="D1784" s="161"/>
    </row>
    <row r="1785" spans="1:4" ht="34.5" customHeight="1" thickBot="1">
      <c r="A1785" s="162"/>
      <c r="B1785" s="163"/>
      <c r="C1785" s="163"/>
      <c r="D1785" s="164"/>
    </row>
    <row r="1786" spans="1:4" ht="34.5" customHeight="1" thickBot="1">
      <c r="A1786" s="142" t="s">
        <v>11</v>
      </c>
      <c r="B1786" s="143"/>
      <c r="C1786" s="165" t="s">
        <v>591</v>
      </c>
      <c r="D1786" s="143"/>
    </row>
    <row r="1787" spans="1:4" ht="34.5" customHeight="1" thickBot="1">
      <c r="A1787" s="137" t="s">
        <v>659</v>
      </c>
      <c r="B1787" s="138"/>
      <c r="C1787" s="138"/>
      <c r="D1787" s="139"/>
    </row>
    <row r="1788" spans="1:4" ht="34.5" customHeight="1" thickBot="1">
      <c r="A1788" s="34" t="s">
        <v>596</v>
      </c>
      <c r="B1788" s="32" t="s">
        <v>438</v>
      </c>
      <c r="C1788" s="34">
        <v>0</v>
      </c>
      <c r="D1788" s="32" t="s">
        <v>0</v>
      </c>
    </row>
    <row r="1789" spans="1:4" ht="34.5" customHeight="1" thickBot="1">
      <c r="A1789" s="37" t="s">
        <v>673</v>
      </c>
      <c r="B1789" s="36" t="s">
        <v>1</v>
      </c>
      <c r="C1789" s="34" t="s">
        <v>674</v>
      </c>
      <c r="D1789" s="32" t="s">
        <v>2</v>
      </c>
    </row>
    <row r="1790" spans="1:4" ht="34.5" customHeight="1" thickBot="1">
      <c r="A1790" s="140">
        <v>59</v>
      </c>
      <c r="B1790" s="141"/>
      <c r="C1790" s="142" t="s">
        <v>3</v>
      </c>
      <c r="D1790" s="143"/>
    </row>
    <row r="1791" spans="1:4" ht="34.5" customHeight="1" thickBot="1">
      <c r="A1791" s="140">
        <v>72</v>
      </c>
      <c r="B1791" s="141"/>
      <c r="C1791" s="144" t="s">
        <v>4</v>
      </c>
      <c r="D1791" s="145"/>
    </row>
    <row r="1792" spans="1:4" ht="34.5" customHeight="1" thickBot="1">
      <c r="A1792" s="146">
        <f>A1791-A1790</f>
        <v>13</v>
      </c>
      <c r="B1792" s="147"/>
      <c r="C1792" s="148"/>
      <c r="D1792" s="35" t="s">
        <v>5</v>
      </c>
    </row>
    <row r="1793" spans="1:4" ht="34.5" customHeight="1" thickBot="1">
      <c r="A1793" s="149">
        <v>23</v>
      </c>
      <c r="B1793" s="150"/>
      <c r="C1793" s="151"/>
      <c r="D1793" s="35" t="s">
        <v>6</v>
      </c>
    </row>
    <row r="1794" spans="1:4" ht="34.5" customHeight="1" thickBot="1">
      <c r="A1794" s="144">
        <f>A1793*A1792</f>
        <v>299</v>
      </c>
      <c r="B1794" s="152"/>
      <c r="C1794" s="145"/>
      <c r="D1794" s="35" t="s">
        <v>7</v>
      </c>
    </row>
    <row r="1795" spans="1:4" ht="34.5" customHeight="1" thickBot="1">
      <c r="A1795" s="144">
        <v>0</v>
      </c>
      <c r="B1795" s="152"/>
      <c r="C1795" s="145"/>
      <c r="D1795" s="35" t="s">
        <v>437</v>
      </c>
    </row>
    <row r="1796" spans="1:4" ht="34.5" customHeight="1" thickBot="1">
      <c r="A1796" s="34">
        <v>0</v>
      </c>
      <c r="B1796" s="32" t="s">
        <v>8</v>
      </c>
      <c r="C1796" s="33">
        <v>300</v>
      </c>
      <c r="D1796" s="32" t="s">
        <v>9</v>
      </c>
    </row>
    <row r="1797" spans="1:4" ht="34.5" customHeight="1" thickBot="1">
      <c r="A1797" s="153" t="s">
        <v>436</v>
      </c>
      <c r="B1797" s="154"/>
      <c r="C1797" s="154"/>
      <c r="D1797" s="155"/>
    </row>
    <row r="1798" spans="1:4" ht="34.5" customHeight="1" thickBot="1">
      <c r="A1798" s="156" t="s">
        <v>435</v>
      </c>
      <c r="B1798" s="157"/>
      <c r="C1798" s="157"/>
      <c r="D1798" s="158"/>
    </row>
    <row r="1799" spans="1:4" ht="34.5" customHeight="1">
      <c r="A1799" s="159" t="s">
        <v>442</v>
      </c>
      <c r="B1799" s="160" t="s">
        <v>441</v>
      </c>
      <c r="C1799" s="160"/>
      <c r="D1799" s="161"/>
    </row>
    <row r="1800" spans="1:4" ht="34.5" customHeight="1" thickBot="1">
      <c r="A1800" s="162"/>
      <c r="B1800" s="163"/>
      <c r="C1800" s="163"/>
      <c r="D1800" s="164"/>
    </row>
    <row r="1801" spans="1:4" ht="34.5" customHeight="1" thickBot="1">
      <c r="A1801" s="142" t="s">
        <v>11</v>
      </c>
      <c r="B1801" s="143"/>
      <c r="C1801" s="165" t="s">
        <v>591</v>
      </c>
      <c r="D1801" s="143"/>
    </row>
    <row r="1802" spans="1:4" ht="34.5" customHeight="1" thickBot="1">
      <c r="A1802" s="137" t="s">
        <v>581</v>
      </c>
      <c r="B1802" s="138"/>
      <c r="C1802" s="138"/>
      <c r="D1802" s="139"/>
    </row>
    <row r="1803" spans="1:4" ht="34.5" customHeight="1" thickBot="1">
      <c r="A1803" s="34" t="s">
        <v>596</v>
      </c>
      <c r="B1803" s="32" t="s">
        <v>438</v>
      </c>
      <c r="C1803" s="34">
        <v>0</v>
      </c>
      <c r="D1803" s="32" t="s">
        <v>0</v>
      </c>
    </row>
    <row r="1804" spans="1:4" ht="34.5" customHeight="1" thickBot="1">
      <c r="A1804" s="37" t="s">
        <v>673</v>
      </c>
      <c r="B1804" s="36" t="s">
        <v>1</v>
      </c>
      <c r="C1804" s="34" t="s">
        <v>674</v>
      </c>
      <c r="D1804" s="32" t="s">
        <v>2</v>
      </c>
    </row>
    <row r="1805" spans="1:4" ht="34.5" customHeight="1" thickBot="1">
      <c r="A1805" s="140">
        <v>216</v>
      </c>
      <c r="B1805" s="141"/>
      <c r="C1805" s="142" t="s">
        <v>3</v>
      </c>
      <c r="D1805" s="143"/>
    </row>
    <row r="1806" spans="1:4" ht="34.5" customHeight="1" thickBot="1">
      <c r="A1806" s="140">
        <v>216</v>
      </c>
      <c r="B1806" s="141"/>
      <c r="C1806" s="144" t="s">
        <v>4</v>
      </c>
      <c r="D1806" s="145"/>
    </row>
    <row r="1807" spans="1:4" ht="34.5" customHeight="1" thickBot="1">
      <c r="A1807" s="146">
        <f>A1806-A1805</f>
        <v>0</v>
      </c>
      <c r="B1807" s="147"/>
      <c r="C1807" s="148"/>
      <c r="D1807" s="35" t="s">
        <v>5</v>
      </c>
    </row>
    <row r="1808" spans="1:4" ht="34.5" customHeight="1" thickBot="1">
      <c r="A1808" s="149">
        <v>23</v>
      </c>
      <c r="B1808" s="150"/>
      <c r="C1808" s="151"/>
      <c r="D1808" s="35" t="s">
        <v>6</v>
      </c>
    </row>
    <row r="1809" spans="1:4" ht="34.5" customHeight="1" thickBot="1">
      <c r="A1809" s="144">
        <f>A1808*A1807</f>
        <v>0</v>
      </c>
      <c r="B1809" s="152"/>
      <c r="C1809" s="145"/>
      <c r="D1809" s="35" t="s">
        <v>7</v>
      </c>
    </row>
    <row r="1810" spans="1:4" ht="34.5" customHeight="1" thickBot="1">
      <c r="A1810" s="144">
        <v>0</v>
      </c>
      <c r="B1810" s="152"/>
      <c r="C1810" s="145"/>
      <c r="D1810" s="35" t="s">
        <v>437</v>
      </c>
    </row>
    <row r="1811" spans="1:4" ht="34.5" customHeight="1" thickBot="1">
      <c r="A1811" s="34">
        <v>0</v>
      </c>
      <c r="B1811" s="32" t="s">
        <v>8</v>
      </c>
      <c r="C1811" s="33">
        <v>0</v>
      </c>
      <c r="D1811" s="32" t="s">
        <v>9</v>
      </c>
    </row>
    <row r="1812" spans="1:4" ht="34.5" customHeight="1" thickBot="1">
      <c r="A1812" s="153" t="s">
        <v>436</v>
      </c>
      <c r="B1812" s="154"/>
      <c r="C1812" s="154"/>
      <c r="D1812" s="155"/>
    </row>
    <row r="1813" spans="1:4" ht="34.5" customHeight="1" thickBot="1">
      <c r="A1813" s="156" t="s">
        <v>435</v>
      </c>
      <c r="B1813" s="157"/>
      <c r="C1813" s="157"/>
      <c r="D1813" s="158"/>
    </row>
    <row r="1814" spans="1:4" ht="34.5" customHeight="1" thickBot="1">
      <c r="A1814" s="40"/>
      <c r="B1814" s="39"/>
      <c r="C1814" s="39"/>
      <c r="D1814" s="38"/>
    </row>
    <row r="1815" spans="1:4" ht="34.5" customHeight="1">
      <c r="A1815" s="159" t="s">
        <v>442</v>
      </c>
      <c r="B1815" s="160" t="s">
        <v>441</v>
      </c>
      <c r="C1815" s="160"/>
      <c r="D1815" s="161"/>
    </row>
    <row r="1816" spans="1:4" ht="34.5" customHeight="1" thickBot="1">
      <c r="A1816" s="162"/>
      <c r="B1816" s="163"/>
      <c r="C1816" s="163"/>
      <c r="D1816" s="164"/>
    </row>
    <row r="1817" spans="1:4" ht="34.5" customHeight="1" thickBot="1">
      <c r="A1817" s="142" t="s">
        <v>11</v>
      </c>
      <c r="B1817" s="143"/>
      <c r="C1817" s="165" t="s">
        <v>591</v>
      </c>
      <c r="D1817" s="143"/>
    </row>
    <row r="1818" spans="1:4" ht="34.5" customHeight="1" thickBot="1">
      <c r="A1818" s="137" t="s">
        <v>581</v>
      </c>
      <c r="B1818" s="138"/>
      <c r="C1818" s="138"/>
      <c r="D1818" s="139"/>
    </row>
    <row r="1819" spans="1:4" ht="34.5" customHeight="1" thickBot="1">
      <c r="A1819" s="34" t="s">
        <v>596</v>
      </c>
      <c r="B1819" s="32" t="s">
        <v>438</v>
      </c>
      <c r="C1819" s="34">
        <v>0</v>
      </c>
      <c r="D1819" s="32" t="s">
        <v>0</v>
      </c>
    </row>
    <row r="1820" spans="1:4" ht="34.5" customHeight="1" thickBot="1">
      <c r="A1820" s="37" t="s">
        <v>673</v>
      </c>
      <c r="B1820" s="36" t="s">
        <v>1</v>
      </c>
      <c r="C1820" s="34" t="s">
        <v>674</v>
      </c>
      <c r="D1820" s="32" t="s">
        <v>2</v>
      </c>
    </row>
    <row r="1821" spans="1:4" ht="34.5" customHeight="1" thickBot="1">
      <c r="A1821" s="140">
        <v>170</v>
      </c>
      <c r="B1821" s="141"/>
      <c r="C1821" s="142" t="s">
        <v>3</v>
      </c>
      <c r="D1821" s="143"/>
    </row>
    <row r="1822" spans="1:4" ht="34.5" customHeight="1" thickBot="1">
      <c r="A1822" s="140">
        <v>216</v>
      </c>
      <c r="B1822" s="141"/>
      <c r="C1822" s="144" t="s">
        <v>4</v>
      </c>
      <c r="D1822" s="145"/>
    </row>
    <row r="1823" spans="1:4" ht="34.5" customHeight="1" thickBot="1">
      <c r="A1823" s="146">
        <f>A1822-A1821</f>
        <v>46</v>
      </c>
      <c r="B1823" s="147"/>
      <c r="C1823" s="148"/>
      <c r="D1823" s="35" t="s">
        <v>5</v>
      </c>
    </row>
    <row r="1824" spans="1:4" ht="34.5" customHeight="1" thickBot="1">
      <c r="A1824" s="149">
        <v>23</v>
      </c>
      <c r="B1824" s="150"/>
      <c r="C1824" s="151"/>
      <c r="D1824" s="35" t="s">
        <v>6</v>
      </c>
    </row>
    <row r="1825" spans="1:4" ht="34.5" customHeight="1" thickBot="1">
      <c r="A1825" s="144">
        <f>A1824*A1823</f>
        <v>1058</v>
      </c>
      <c r="B1825" s="152"/>
      <c r="C1825" s="145"/>
      <c r="D1825" s="35" t="s">
        <v>7</v>
      </c>
    </row>
    <row r="1826" spans="1:4" ht="34.5" customHeight="1" thickBot="1">
      <c r="A1826" s="144">
        <v>0</v>
      </c>
      <c r="B1826" s="152"/>
      <c r="C1826" s="145"/>
      <c r="D1826" s="35" t="s">
        <v>437</v>
      </c>
    </row>
    <row r="1827" spans="1:4" ht="34.5" customHeight="1" thickBot="1">
      <c r="A1827" s="34">
        <v>0</v>
      </c>
      <c r="B1827" s="32" t="s">
        <v>8</v>
      </c>
      <c r="C1827" s="33">
        <v>1060</v>
      </c>
      <c r="D1827" s="32" t="s">
        <v>9</v>
      </c>
    </row>
    <row r="1828" spans="1:4" ht="34.5" customHeight="1" thickBot="1">
      <c r="A1828" s="153" t="s">
        <v>436</v>
      </c>
      <c r="B1828" s="154"/>
      <c r="C1828" s="154"/>
      <c r="D1828" s="155"/>
    </row>
    <row r="1829" spans="1:4" ht="34.5" customHeight="1" thickBot="1">
      <c r="A1829" s="156" t="s">
        <v>435</v>
      </c>
      <c r="B1829" s="157"/>
      <c r="C1829" s="157"/>
      <c r="D1829" s="158"/>
    </row>
    <row r="1830" spans="1:4" ht="34.5" customHeight="1">
      <c r="A1830" s="159" t="s">
        <v>442</v>
      </c>
      <c r="B1830" s="160" t="s">
        <v>441</v>
      </c>
      <c r="C1830" s="160"/>
      <c r="D1830" s="161"/>
    </row>
    <row r="1831" spans="1:4" ht="34.5" customHeight="1" thickBot="1">
      <c r="A1831" s="162"/>
      <c r="B1831" s="163"/>
      <c r="C1831" s="163"/>
      <c r="D1831" s="164"/>
    </row>
    <row r="1832" spans="1:4" ht="34.5" customHeight="1" thickBot="1">
      <c r="A1832" s="142" t="s">
        <v>11</v>
      </c>
      <c r="B1832" s="143"/>
      <c r="C1832" s="165" t="s">
        <v>591</v>
      </c>
      <c r="D1832" s="143"/>
    </row>
    <row r="1833" spans="1:4" ht="34.5" customHeight="1" thickBot="1">
      <c r="A1833" s="137" t="s">
        <v>616</v>
      </c>
      <c r="B1833" s="138"/>
      <c r="C1833" s="138"/>
      <c r="D1833" s="139"/>
    </row>
    <row r="1834" spans="1:4" ht="34.5" customHeight="1" thickBot="1">
      <c r="A1834" s="34" t="s">
        <v>596</v>
      </c>
      <c r="B1834" s="32" t="s">
        <v>438</v>
      </c>
      <c r="C1834" s="34">
        <v>0</v>
      </c>
      <c r="D1834" s="32" t="s">
        <v>0</v>
      </c>
    </row>
    <row r="1835" spans="1:4" ht="34.5" customHeight="1" thickBot="1">
      <c r="A1835" s="37" t="s">
        <v>673</v>
      </c>
      <c r="B1835" s="36" t="s">
        <v>1</v>
      </c>
      <c r="C1835" s="34" t="s">
        <v>674</v>
      </c>
      <c r="D1835" s="32" t="s">
        <v>2</v>
      </c>
    </row>
    <row r="1836" spans="1:4" ht="34.5" customHeight="1" thickBot="1">
      <c r="A1836" s="140">
        <v>220</v>
      </c>
      <c r="B1836" s="141"/>
      <c r="C1836" s="142" t="s">
        <v>3</v>
      </c>
      <c r="D1836" s="143"/>
    </row>
    <row r="1837" spans="1:4" ht="34.5" customHeight="1" thickBot="1">
      <c r="A1837" s="140">
        <v>220</v>
      </c>
      <c r="B1837" s="141"/>
      <c r="C1837" s="144" t="s">
        <v>4</v>
      </c>
      <c r="D1837" s="145"/>
    </row>
    <row r="1838" spans="1:4" ht="34.5" customHeight="1" thickBot="1">
      <c r="A1838" s="146">
        <f>A1837-A1836</f>
        <v>0</v>
      </c>
      <c r="B1838" s="147"/>
      <c r="C1838" s="148"/>
      <c r="D1838" s="35" t="s">
        <v>5</v>
      </c>
    </row>
    <row r="1839" spans="1:4" ht="34.5" customHeight="1" thickBot="1">
      <c r="A1839" s="149">
        <v>23</v>
      </c>
      <c r="B1839" s="150"/>
      <c r="C1839" s="151"/>
      <c r="D1839" s="35" t="s">
        <v>6</v>
      </c>
    </row>
    <row r="1840" spans="1:4" ht="34.5" customHeight="1" thickBot="1">
      <c r="A1840" s="144">
        <f>A1839*A1838</f>
        <v>0</v>
      </c>
      <c r="B1840" s="152"/>
      <c r="C1840" s="145"/>
      <c r="D1840" s="35" t="s">
        <v>7</v>
      </c>
    </row>
    <row r="1841" spans="1:4" ht="34.5" customHeight="1" thickBot="1">
      <c r="A1841" s="144">
        <v>0</v>
      </c>
      <c r="B1841" s="152"/>
      <c r="C1841" s="145"/>
      <c r="D1841" s="35" t="s">
        <v>437</v>
      </c>
    </row>
    <row r="1842" spans="1:4" ht="34.5" customHeight="1" thickBot="1">
      <c r="A1842" s="34">
        <v>0</v>
      </c>
      <c r="B1842" s="32" t="s">
        <v>8</v>
      </c>
      <c r="C1842" s="33">
        <v>1040</v>
      </c>
      <c r="D1842" s="32" t="s">
        <v>9</v>
      </c>
    </row>
    <row r="1843" spans="1:4" ht="34.5" customHeight="1" thickBot="1">
      <c r="A1843" s="153" t="s">
        <v>436</v>
      </c>
      <c r="B1843" s="154"/>
      <c r="C1843" s="154"/>
      <c r="D1843" s="155"/>
    </row>
    <row r="1844" spans="1:4" ht="34.5" customHeight="1" thickBot="1">
      <c r="A1844" s="156" t="s">
        <v>435</v>
      </c>
      <c r="B1844" s="157"/>
      <c r="C1844" s="157"/>
      <c r="D1844" s="158"/>
    </row>
    <row r="1845" spans="1:4" ht="34.5" customHeight="1" thickBot="1">
      <c r="A1845" s="40"/>
      <c r="B1845" s="39"/>
      <c r="C1845" s="39"/>
      <c r="D1845" s="38"/>
    </row>
    <row r="1846" spans="1:4" ht="34.5" customHeight="1">
      <c r="A1846" s="159" t="s">
        <v>442</v>
      </c>
      <c r="B1846" s="160" t="s">
        <v>441</v>
      </c>
      <c r="C1846" s="160"/>
      <c r="D1846" s="161"/>
    </row>
    <row r="1847" spans="1:4" ht="34.5" customHeight="1" thickBot="1">
      <c r="A1847" s="162"/>
      <c r="B1847" s="163"/>
      <c r="C1847" s="163"/>
      <c r="D1847" s="164"/>
    </row>
    <row r="1848" spans="1:4" ht="34.5" customHeight="1" thickBot="1">
      <c r="A1848" s="142" t="s">
        <v>11</v>
      </c>
      <c r="B1848" s="143"/>
      <c r="C1848" s="165" t="s">
        <v>591</v>
      </c>
      <c r="D1848" s="143"/>
    </row>
    <row r="1849" spans="1:4" ht="34.5" customHeight="1" thickBot="1">
      <c r="A1849" s="137" t="s">
        <v>616</v>
      </c>
      <c r="B1849" s="138"/>
      <c r="C1849" s="138"/>
      <c r="D1849" s="139"/>
    </row>
    <row r="1850" spans="1:4" ht="34.5" customHeight="1" thickBot="1">
      <c r="A1850" s="34" t="s">
        <v>596</v>
      </c>
      <c r="B1850" s="32" t="s">
        <v>438</v>
      </c>
      <c r="C1850" s="34">
        <v>0</v>
      </c>
      <c r="D1850" s="32" t="s">
        <v>0</v>
      </c>
    </row>
    <row r="1851" spans="1:4" ht="34.5" customHeight="1" thickBot="1">
      <c r="A1851" s="37" t="s">
        <v>673</v>
      </c>
      <c r="B1851" s="36" t="s">
        <v>1</v>
      </c>
      <c r="C1851" s="34" t="s">
        <v>674</v>
      </c>
      <c r="D1851" s="32" t="s">
        <v>2</v>
      </c>
    </row>
    <row r="1852" spans="1:4" ht="34.5" customHeight="1" thickBot="1">
      <c r="A1852" s="140">
        <v>175</v>
      </c>
      <c r="B1852" s="141"/>
      <c r="C1852" s="142" t="s">
        <v>3</v>
      </c>
      <c r="D1852" s="143"/>
    </row>
    <row r="1853" spans="1:4" ht="34.5" customHeight="1" thickBot="1">
      <c r="A1853" s="140">
        <v>220</v>
      </c>
      <c r="B1853" s="141"/>
      <c r="C1853" s="144" t="s">
        <v>4</v>
      </c>
      <c r="D1853" s="145"/>
    </row>
    <row r="1854" spans="1:4" ht="34.5" customHeight="1" thickBot="1">
      <c r="A1854" s="146">
        <f>A1853-A1852</f>
        <v>45</v>
      </c>
      <c r="B1854" s="147"/>
      <c r="C1854" s="148"/>
      <c r="D1854" s="35" t="s">
        <v>5</v>
      </c>
    </row>
    <row r="1855" spans="1:4" ht="34.5" customHeight="1" thickBot="1">
      <c r="A1855" s="149">
        <v>23</v>
      </c>
      <c r="B1855" s="150"/>
      <c r="C1855" s="151"/>
      <c r="D1855" s="35" t="s">
        <v>6</v>
      </c>
    </row>
    <row r="1856" spans="1:4" ht="34.5" customHeight="1" thickBot="1">
      <c r="A1856" s="144">
        <f>A1855*A1854</f>
        <v>1035</v>
      </c>
      <c r="B1856" s="152"/>
      <c r="C1856" s="145"/>
      <c r="D1856" s="35" t="s">
        <v>7</v>
      </c>
    </row>
    <row r="1857" spans="1:4" ht="34.5" customHeight="1" thickBot="1">
      <c r="A1857" s="144">
        <v>0</v>
      </c>
      <c r="B1857" s="152"/>
      <c r="C1857" s="145"/>
      <c r="D1857" s="35" t="s">
        <v>437</v>
      </c>
    </row>
    <row r="1858" spans="1:4" ht="34.5" customHeight="1" thickBot="1">
      <c r="A1858" s="34">
        <v>0</v>
      </c>
      <c r="B1858" s="32" t="s">
        <v>8</v>
      </c>
      <c r="C1858" s="33">
        <v>1040</v>
      </c>
      <c r="D1858" s="32" t="s">
        <v>9</v>
      </c>
    </row>
    <row r="1859" spans="1:4" ht="34.5" customHeight="1" thickBot="1">
      <c r="A1859" s="153" t="s">
        <v>436</v>
      </c>
      <c r="B1859" s="154"/>
      <c r="C1859" s="154"/>
      <c r="D1859" s="155"/>
    </row>
    <row r="1860" spans="1:4" ht="34.5" customHeight="1" thickBot="1">
      <c r="A1860" s="156" t="s">
        <v>435</v>
      </c>
      <c r="B1860" s="157"/>
      <c r="C1860" s="157"/>
      <c r="D1860" s="158"/>
    </row>
    <row r="1861" spans="1:4" ht="34.5" customHeight="1">
      <c r="A1861" s="159" t="s">
        <v>442</v>
      </c>
      <c r="B1861" s="160" t="s">
        <v>441</v>
      </c>
      <c r="C1861" s="160"/>
      <c r="D1861" s="161"/>
    </row>
    <row r="1862" spans="1:4" ht="34.5" customHeight="1" thickBot="1">
      <c r="A1862" s="162"/>
      <c r="B1862" s="163"/>
      <c r="C1862" s="163"/>
      <c r="D1862" s="164"/>
    </row>
    <row r="1863" spans="1:4" ht="34.5" customHeight="1" thickBot="1">
      <c r="A1863" s="142" t="s">
        <v>11</v>
      </c>
      <c r="B1863" s="143"/>
      <c r="C1863" s="165" t="s">
        <v>591</v>
      </c>
      <c r="D1863" s="143"/>
    </row>
    <row r="1864" spans="1:4" ht="34.5" customHeight="1" thickBot="1">
      <c r="A1864" s="137" t="s">
        <v>391</v>
      </c>
      <c r="B1864" s="138"/>
      <c r="C1864" s="138"/>
      <c r="D1864" s="139"/>
    </row>
    <row r="1865" spans="1:4" ht="34.5" customHeight="1" thickBot="1">
      <c r="A1865" s="34" t="s">
        <v>596</v>
      </c>
      <c r="B1865" s="32" t="s">
        <v>438</v>
      </c>
      <c r="C1865" s="34">
        <v>0</v>
      </c>
      <c r="D1865" s="32" t="s">
        <v>0</v>
      </c>
    </row>
    <row r="1866" spans="1:4" ht="34.5" customHeight="1" thickBot="1">
      <c r="A1866" s="37" t="s">
        <v>673</v>
      </c>
      <c r="B1866" s="36" t="s">
        <v>1</v>
      </c>
      <c r="C1866" s="34" t="s">
        <v>674</v>
      </c>
      <c r="D1866" s="32" t="s">
        <v>2</v>
      </c>
    </row>
    <row r="1867" spans="1:4" ht="34.5" customHeight="1" thickBot="1">
      <c r="A1867" s="140">
        <v>192</v>
      </c>
      <c r="B1867" s="141"/>
      <c r="C1867" s="142" t="s">
        <v>3</v>
      </c>
      <c r="D1867" s="143"/>
    </row>
    <row r="1868" spans="1:4" ht="34.5" customHeight="1" thickBot="1">
      <c r="A1868" s="140">
        <v>192</v>
      </c>
      <c r="B1868" s="141"/>
      <c r="C1868" s="144" t="s">
        <v>4</v>
      </c>
      <c r="D1868" s="145"/>
    </row>
    <row r="1869" spans="1:4" ht="34.5" customHeight="1" thickBot="1">
      <c r="A1869" s="146">
        <f>A1868-A1867</f>
        <v>0</v>
      </c>
      <c r="B1869" s="147"/>
      <c r="C1869" s="148"/>
      <c r="D1869" s="35" t="s">
        <v>5</v>
      </c>
    </row>
    <row r="1870" spans="1:4" ht="34.5" customHeight="1" thickBot="1">
      <c r="A1870" s="149">
        <v>23</v>
      </c>
      <c r="B1870" s="150"/>
      <c r="C1870" s="151"/>
      <c r="D1870" s="35" t="s">
        <v>6</v>
      </c>
    </row>
    <row r="1871" spans="1:4" ht="34.5" customHeight="1" thickBot="1">
      <c r="A1871" s="144">
        <f>A1870*A1869</f>
        <v>0</v>
      </c>
      <c r="B1871" s="152"/>
      <c r="C1871" s="145"/>
      <c r="D1871" s="35" t="s">
        <v>7</v>
      </c>
    </row>
    <row r="1872" spans="1:4" ht="34.5" customHeight="1" thickBot="1">
      <c r="A1872" s="144">
        <v>0</v>
      </c>
      <c r="B1872" s="152"/>
      <c r="C1872" s="145"/>
      <c r="D1872" s="35" t="s">
        <v>437</v>
      </c>
    </row>
    <row r="1873" spans="1:4" ht="34.5" customHeight="1" thickBot="1">
      <c r="A1873" s="34">
        <v>0</v>
      </c>
      <c r="B1873" s="32" t="s">
        <v>8</v>
      </c>
      <c r="C1873" s="33">
        <v>830</v>
      </c>
      <c r="D1873" s="32" t="s">
        <v>9</v>
      </c>
    </row>
    <row r="1874" spans="1:4" ht="34.5" customHeight="1" thickBot="1">
      <c r="A1874" s="153" t="s">
        <v>436</v>
      </c>
      <c r="B1874" s="154"/>
      <c r="C1874" s="154"/>
      <c r="D1874" s="155"/>
    </row>
    <row r="1875" spans="1:4" ht="34.5" customHeight="1" thickBot="1">
      <c r="A1875" s="156" t="s">
        <v>435</v>
      </c>
      <c r="B1875" s="157"/>
      <c r="C1875" s="157"/>
      <c r="D1875" s="158"/>
    </row>
    <row r="1876" spans="1:4" ht="34.5" customHeight="1" thickBot="1">
      <c r="A1876" s="40"/>
      <c r="B1876" s="39"/>
      <c r="C1876" s="39"/>
      <c r="D1876" s="38"/>
    </row>
    <row r="1877" spans="1:4" ht="34.5" customHeight="1">
      <c r="A1877" s="159" t="s">
        <v>442</v>
      </c>
      <c r="B1877" s="160" t="s">
        <v>441</v>
      </c>
      <c r="C1877" s="160"/>
      <c r="D1877" s="161"/>
    </row>
    <row r="1878" spans="1:4" ht="34.5" customHeight="1" thickBot="1">
      <c r="A1878" s="162"/>
      <c r="B1878" s="163"/>
      <c r="C1878" s="163"/>
      <c r="D1878" s="164"/>
    </row>
    <row r="1879" spans="1:4" ht="34.5" customHeight="1" thickBot="1">
      <c r="A1879" s="142" t="s">
        <v>11</v>
      </c>
      <c r="B1879" s="143"/>
      <c r="C1879" s="165" t="s">
        <v>591</v>
      </c>
      <c r="D1879" s="143"/>
    </row>
    <row r="1880" spans="1:4" ht="34.5" customHeight="1" thickBot="1">
      <c r="A1880" s="137" t="s">
        <v>391</v>
      </c>
      <c r="B1880" s="138"/>
      <c r="C1880" s="138"/>
      <c r="D1880" s="139"/>
    </row>
    <row r="1881" spans="1:4" ht="34.5" customHeight="1" thickBot="1">
      <c r="A1881" s="34" t="s">
        <v>596</v>
      </c>
      <c r="B1881" s="32" t="s">
        <v>438</v>
      </c>
      <c r="C1881" s="34">
        <v>0</v>
      </c>
      <c r="D1881" s="32" t="s">
        <v>0</v>
      </c>
    </row>
    <row r="1882" spans="1:4" ht="34.5" customHeight="1" thickBot="1">
      <c r="A1882" s="37" t="s">
        <v>673</v>
      </c>
      <c r="B1882" s="36" t="s">
        <v>1</v>
      </c>
      <c r="C1882" s="34" t="s">
        <v>674</v>
      </c>
      <c r="D1882" s="32" t="s">
        <v>2</v>
      </c>
    </row>
    <row r="1883" spans="1:4" ht="34.5" customHeight="1" thickBot="1">
      <c r="A1883" s="140">
        <v>156</v>
      </c>
      <c r="B1883" s="141"/>
      <c r="C1883" s="142" t="s">
        <v>3</v>
      </c>
      <c r="D1883" s="143"/>
    </row>
    <row r="1884" spans="1:4" ht="34.5" customHeight="1" thickBot="1">
      <c r="A1884" s="140">
        <v>192</v>
      </c>
      <c r="B1884" s="141"/>
      <c r="C1884" s="144" t="s">
        <v>4</v>
      </c>
      <c r="D1884" s="145"/>
    </row>
    <row r="1885" spans="1:4" ht="34.5" customHeight="1" thickBot="1">
      <c r="A1885" s="146">
        <f>A1884-A1883</f>
        <v>36</v>
      </c>
      <c r="B1885" s="147"/>
      <c r="C1885" s="148"/>
      <c r="D1885" s="35" t="s">
        <v>5</v>
      </c>
    </row>
    <row r="1886" spans="1:4" ht="34.5" customHeight="1" thickBot="1">
      <c r="A1886" s="149">
        <v>23</v>
      </c>
      <c r="B1886" s="150"/>
      <c r="C1886" s="151"/>
      <c r="D1886" s="35" t="s">
        <v>6</v>
      </c>
    </row>
    <row r="1887" spans="1:4" ht="34.5" customHeight="1" thickBot="1">
      <c r="A1887" s="144">
        <f>A1886*A1885</f>
        <v>828</v>
      </c>
      <c r="B1887" s="152"/>
      <c r="C1887" s="145"/>
      <c r="D1887" s="35" t="s">
        <v>7</v>
      </c>
    </row>
    <row r="1888" spans="1:4" ht="34.5" customHeight="1" thickBot="1">
      <c r="A1888" s="144">
        <v>0</v>
      </c>
      <c r="B1888" s="152"/>
      <c r="C1888" s="145"/>
      <c r="D1888" s="35" t="s">
        <v>437</v>
      </c>
    </row>
    <row r="1889" spans="1:4" ht="34.5" customHeight="1" thickBot="1">
      <c r="A1889" s="34">
        <v>0</v>
      </c>
      <c r="B1889" s="32" t="s">
        <v>8</v>
      </c>
      <c r="C1889" s="33">
        <v>830</v>
      </c>
      <c r="D1889" s="32" t="s">
        <v>9</v>
      </c>
    </row>
    <row r="1890" spans="1:4" ht="34.5" customHeight="1" thickBot="1">
      <c r="A1890" s="153" t="s">
        <v>436</v>
      </c>
      <c r="B1890" s="154"/>
      <c r="C1890" s="154"/>
      <c r="D1890" s="155"/>
    </row>
    <row r="1891" spans="1:4" ht="34.5" customHeight="1" thickBot="1">
      <c r="A1891" s="156" t="s">
        <v>435</v>
      </c>
      <c r="B1891" s="157"/>
      <c r="C1891" s="157"/>
      <c r="D1891" s="158"/>
    </row>
    <row r="1892" spans="1:4" ht="34.5" customHeight="1">
      <c r="A1892" s="159" t="s">
        <v>442</v>
      </c>
      <c r="B1892" s="160" t="s">
        <v>441</v>
      </c>
      <c r="C1892" s="160"/>
      <c r="D1892" s="161"/>
    </row>
    <row r="1893" spans="1:4" ht="34.5" customHeight="1" thickBot="1">
      <c r="A1893" s="162"/>
      <c r="B1893" s="163"/>
      <c r="C1893" s="163"/>
      <c r="D1893" s="164"/>
    </row>
    <row r="1894" spans="1:4" ht="34.5" customHeight="1" thickBot="1">
      <c r="A1894" s="142" t="s">
        <v>11</v>
      </c>
      <c r="B1894" s="143"/>
      <c r="C1894" s="165" t="s">
        <v>591</v>
      </c>
      <c r="D1894" s="143"/>
    </row>
    <row r="1895" spans="1:4" ht="34.5" customHeight="1" thickBot="1">
      <c r="A1895" s="137" t="s">
        <v>617</v>
      </c>
      <c r="B1895" s="138"/>
      <c r="C1895" s="138"/>
      <c r="D1895" s="139"/>
    </row>
    <row r="1896" spans="1:4" ht="34.5" customHeight="1" thickBot="1">
      <c r="A1896" s="34" t="s">
        <v>596</v>
      </c>
      <c r="B1896" s="32" t="s">
        <v>438</v>
      </c>
      <c r="C1896" s="34">
        <v>0</v>
      </c>
      <c r="D1896" s="32" t="s">
        <v>0</v>
      </c>
    </row>
    <row r="1897" spans="1:4" ht="34.5" customHeight="1" thickBot="1">
      <c r="A1897" s="37" t="s">
        <v>673</v>
      </c>
      <c r="B1897" s="36" t="s">
        <v>1</v>
      </c>
      <c r="C1897" s="34" t="s">
        <v>674</v>
      </c>
      <c r="D1897" s="32" t="s">
        <v>2</v>
      </c>
    </row>
    <row r="1898" spans="1:4" ht="34.5" customHeight="1" thickBot="1">
      <c r="A1898" s="140">
        <v>86</v>
      </c>
      <c r="B1898" s="141"/>
      <c r="C1898" s="142" t="s">
        <v>3</v>
      </c>
      <c r="D1898" s="143"/>
    </row>
    <row r="1899" spans="1:4" ht="34.5" customHeight="1" thickBot="1">
      <c r="A1899" s="140">
        <v>86</v>
      </c>
      <c r="B1899" s="141"/>
      <c r="C1899" s="144" t="s">
        <v>4</v>
      </c>
      <c r="D1899" s="145"/>
    </row>
    <row r="1900" spans="1:4" ht="34.5" customHeight="1" thickBot="1">
      <c r="A1900" s="146">
        <f>A1899-A1898</f>
        <v>0</v>
      </c>
      <c r="B1900" s="147"/>
      <c r="C1900" s="148"/>
      <c r="D1900" s="35" t="s">
        <v>5</v>
      </c>
    </row>
    <row r="1901" spans="1:4" ht="34.5" customHeight="1" thickBot="1">
      <c r="A1901" s="149">
        <v>23</v>
      </c>
      <c r="B1901" s="150"/>
      <c r="C1901" s="151"/>
      <c r="D1901" s="35" t="s">
        <v>6</v>
      </c>
    </row>
    <row r="1902" spans="1:4" ht="34.5" customHeight="1" thickBot="1">
      <c r="A1902" s="144">
        <f>A1901*A1900</f>
        <v>0</v>
      </c>
      <c r="B1902" s="152"/>
      <c r="C1902" s="145"/>
      <c r="D1902" s="35" t="s">
        <v>7</v>
      </c>
    </row>
    <row r="1903" spans="1:4" ht="34.5" customHeight="1" thickBot="1">
      <c r="A1903" s="144">
        <v>0</v>
      </c>
      <c r="B1903" s="152"/>
      <c r="C1903" s="145"/>
      <c r="D1903" s="35" t="s">
        <v>437</v>
      </c>
    </row>
    <row r="1904" spans="1:4" ht="34.5" customHeight="1" thickBot="1">
      <c r="A1904" s="34">
        <v>0</v>
      </c>
      <c r="B1904" s="32" t="s">
        <v>8</v>
      </c>
      <c r="C1904" s="33">
        <v>460</v>
      </c>
      <c r="D1904" s="32" t="s">
        <v>9</v>
      </c>
    </row>
    <row r="1905" spans="1:4" ht="34.5" customHeight="1" thickBot="1">
      <c r="A1905" s="153" t="s">
        <v>436</v>
      </c>
      <c r="B1905" s="154"/>
      <c r="C1905" s="154"/>
      <c r="D1905" s="155"/>
    </row>
    <row r="1906" spans="1:4" ht="34.5" customHeight="1" thickBot="1">
      <c r="A1906" s="156" t="s">
        <v>435</v>
      </c>
      <c r="B1906" s="157"/>
      <c r="C1906" s="157"/>
      <c r="D1906" s="158"/>
    </row>
    <row r="1907" spans="1:4" ht="34.5" customHeight="1" thickBot="1">
      <c r="A1907" s="40"/>
      <c r="B1907" s="39"/>
      <c r="C1907" s="39"/>
      <c r="D1907" s="38"/>
    </row>
    <row r="1908" spans="1:4" ht="34.5" customHeight="1">
      <c r="A1908" s="159" t="s">
        <v>442</v>
      </c>
      <c r="B1908" s="160" t="s">
        <v>441</v>
      </c>
      <c r="C1908" s="160"/>
      <c r="D1908" s="161"/>
    </row>
    <row r="1909" spans="1:4" ht="34.5" customHeight="1" thickBot="1">
      <c r="A1909" s="162"/>
      <c r="B1909" s="163"/>
      <c r="C1909" s="163"/>
      <c r="D1909" s="164"/>
    </row>
    <row r="1910" spans="1:4" ht="34.5" customHeight="1" thickBot="1">
      <c r="A1910" s="142" t="s">
        <v>11</v>
      </c>
      <c r="B1910" s="143"/>
      <c r="C1910" s="165" t="s">
        <v>591</v>
      </c>
      <c r="D1910" s="143"/>
    </row>
    <row r="1911" spans="1:4" ht="34.5" customHeight="1" thickBot="1">
      <c r="A1911" s="137" t="s">
        <v>617</v>
      </c>
      <c r="B1911" s="138"/>
      <c r="C1911" s="138"/>
      <c r="D1911" s="139"/>
    </row>
    <row r="1912" spans="1:4" ht="34.5" customHeight="1" thickBot="1">
      <c r="A1912" s="34" t="s">
        <v>596</v>
      </c>
      <c r="B1912" s="32" t="s">
        <v>438</v>
      </c>
      <c r="C1912" s="34">
        <v>0</v>
      </c>
      <c r="D1912" s="32" t="s">
        <v>0</v>
      </c>
    </row>
    <row r="1913" spans="1:4" ht="34.5" customHeight="1" thickBot="1">
      <c r="A1913" s="37" t="s">
        <v>673</v>
      </c>
      <c r="B1913" s="36" t="s">
        <v>1</v>
      </c>
      <c r="C1913" s="34" t="s">
        <v>674</v>
      </c>
      <c r="D1913" s="32" t="s">
        <v>2</v>
      </c>
    </row>
    <row r="1914" spans="1:4" ht="34.5" customHeight="1" thickBot="1">
      <c r="A1914" s="140">
        <v>66</v>
      </c>
      <c r="B1914" s="141"/>
      <c r="C1914" s="142" t="s">
        <v>3</v>
      </c>
      <c r="D1914" s="143"/>
    </row>
    <row r="1915" spans="1:4" ht="34.5" customHeight="1" thickBot="1">
      <c r="A1915" s="140">
        <v>86</v>
      </c>
      <c r="B1915" s="141"/>
      <c r="C1915" s="144" t="s">
        <v>4</v>
      </c>
      <c r="D1915" s="145"/>
    </row>
    <row r="1916" spans="1:4" ht="34.5" customHeight="1" thickBot="1">
      <c r="A1916" s="146">
        <f>A1915-A1914</f>
        <v>20</v>
      </c>
      <c r="B1916" s="147"/>
      <c r="C1916" s="148"/>
      <c r="D1916" s="35" t="s">
        <v>5</v>
      </c>
    </row>
    <row r="1917" spans="1:4" ht="34.5" customHeight="1" thickBot="1">
      <c r="A1917" s="149">
        <v>23</v>
      </c>
      <c r="B1917" s="150"/>
      <c r="C1917" s="151"/>
      <c r="D1917" s="35" t="s">
        <v>6</v>
      </c>
    </row>
    <row r="1918" spans="1:4" ht="34.5" customHeight="1" thickBot="1">
      <c r="A1918" s="144">
        <f>A1917*A1916</f>
        <v>460</v>
      </c>
      <c r="B1918" s="152"/>
      <c r="C1918" s="145"/>
      <c r="D1918" s="35" t="s">
        <v>7</v>
      </c>
    </row>
    <row r="1919" spans="1:4" ht="34.5" customHeight="1" thickBot="1">
      <c r="A1919" s="144">
        <v>0</v>
      </c>
      <c r="B1919" s="152"/>
      <c r="C1919" s="145"/>
      <c r="D1919" s="35" t="s">
        <v>437</v>
      </c>
    </row>
    <row r="1920" spans="1:4" ht="34.5" customHeight="1" thickBot="1">
      <c r="A1920" s="34">
        <v>0</v>
      </c>
      <c r="B1920" s="32" t="s">
        <v>8</v>
      </c>
      <c r="C1920" s="33">
        <v>460</v>
      </c>
      <c r="D1920" s="32" t="s">
        <v>9</v>
      </c>
    </row>
    <row r="1921" spans="1:4" ht="34.5" customHeight="1" thickBot="1">
      <c r="A1921" s="153" t="s">
        <v>436</v>
      </c>
      <c r="B1921" s="154"/>
      <c r="C1921" s="154"/>
      <c r="D1921" s="155"/>
    </row>
    <row r="1922" spans="1:4" ht="34.5" customHeight="1" thickBot="1">
      <c r="A1922" s="156" t="s">
        <v>435</v>
      </c>
      <c r="B1922" s="157"/>
      <c r="C1922" s="157"/>
      <c r="D1922" s="158"/>
    </row>
    <row r="1923" spans="1:4" ht="34.5" customHeight="1">
      <c r="A1923" s="159" t="s">
        <v>442</v>
      </c>
      <c r="B1923" s="160" t="s">
        <v>441</v>
      </c>
      <c r="C1923" s="160"/>
      <c r="D1923" s="161"/>
    </row>
    <row r="1924" spans="1:4" ht="34.5" customHeight="1" thickBot="1">
      <c r="A1924" s="162"/>
      <c r="B1924" s="163"/>
      <c r="C1924" s="163"/>
      <c r="D1924" s="164"/>
    </row>
    <row r="1925" spans="1:4" ht="34.5" customHeight="1" thickBot="1">
      <c r="A1925" s="142" t="s">
        <v>11</v>
      </c>
      <c r="B1925" s="143"/>
      <c r="C1925" s="165" t="s">
        <v>591</v>
      </c>
      <c r="D1925" s="143"/>
    </row>
    <row r="1926" spans="1:4" ht="34.5" customHeight="1" thickBot="1">
      <c r="A1926" s="137" t="s">
        <v>59</v>
      </c>
      <c r="B1926" s="138"/>
      <c r="C1926" s="138"/>
      <c r="D1926" s="139"/>
    </row>
    <row r="1927" spans="1:4" ht="34.5" customHeight="1" thickBot="1">
      <c r="A1927" s="34" t="s">
        <v>596</v>
      </c>
      <c r="B1927" s="32" t="s">
        <v>438</v>
      </c>
      <c r="C1927" s="34">
        <v>0</v>
      </c>
      <c r="D1927" s="32" t="s">
        <v>0</v>
      </c>
    </row>
    <row r="1928" spans="1:4" ht="34.5" customHeight="1" thickBot="1">
      <c r="A1928" s="37" t="s">
        <v>673</v>
      </c>
      <c r="B1928" s="36" t="s">
        <v>1</v>
      </c>
      <c r="C1928" s="34" t="s">
        <v>674</v>
      </c>
      <c r="D1928" s="32" t="s">
        <v>2</v>
      </c>
    </row>
    <row r="1929" spans="1:4" ht="34.5" customHeight="1" thickBot="1">
      <c r="A1929" s="140">
        <v>83</v>
      </c>
      <c r="B1929" s="141"/>
      <c r="C1929" s="142" t="s">
        <v>3</v>
      </c>
      <c r="D1929" s="143"/>
    </row>
    <row r="1930" spans="1:4" ht="34.5" customHeight="1" thickBot="1">
      <c r="A1930" s="140">
        <v>83</v>
      </c>
      <c r="B1930" s="141"/>
      <c r="C1930" s="144" t="s">
        <v>4</v>
      </c>
      <c r="D1930" s="145"/>
    </row>
    <row r="1931" spans="1:4" ht="34.5" customHeight="1" thickBot="1">
      <c r="A1931" s="146">
        <f>A1930-A1929</f>
        <v>0</v>
      </c>
      <c r="B1931" s="147"/>
      <c r="C1931" s="148"/>
      <c r="D1931" s="35" t="s">
        <v>5</v>
      </c>
    </row>
    <row r="1932" spans="1:4" ht="34.5" customHeight="1" thickBot="1">
      <c r="A1932" s="149">
        <v>23</v>
      </c>
      <c r="B1932" s="150"/>
      <c r="C1932" s="151"/>
      <c r="D1932" s="35" t="s">
        <v>6</v>
      </c>
    </row>
    <row r="1933" spans="1:4" ht="34.5" customHeight="1" thickBot="1">
      <c r="A1933" s="144">
        <f>A1932*A1931</f>
        <v>0</v>
      </c>
      <c r="B1933" s="152"/>
      <c r="C1933" s="145"/>
      <c r="D1933" s="35" t="s">
        <v>7</v>
      </c>
    </row>
    <row r="1934" spans="1:4" ht="34.5" customHeight="1" thickBot="1">
      <c r="A1934" s="144">
        <v>0</v>
      </c>
      <c r="B1934" s="152"/>
      <c r="C1934" s="145"/>
      <c r="D1934" s="35" t="s">
        <v>437</v>
      </c>
    </row>
    <row r="1935" spans="1:4" ht="34.5" customHeight="1" thickBot="1">
      <c r="A1935" s="34">
        <v>0</v>
      </c>
      <c r="B1935" s="32" t="s">
        <v>8</v>
      </c>
      <c r="C1935" s="33">
        <v>370</v>
      </c>
      <c r="D1935" s="32" t="s">
        <v>9</v>
      </c>
    </row>
    <row r="1936" spans="1:4" ht="34.5" customHeight="1" thickBot="1">
      <c r="A1936" s="153" t="s">
        <v>436</v>
      </c>
      <c r="B1936" s="154"/>
      <c r="C1936" s="154"/>
      <c r="D1936" s="155"/>
    </row>
    <row r="1937" spans="1:4" ht="34.5" customHeight="1" thickBot="1">
      <c r="A1937" s="156" t="s">
        <v>435</v>
      </c>
      <c r="B1937" s="157"/>
      <c r="C1937" s="157"/>
      <c r="D1937" s="158"/>
    </row>
    <row r="1938" spans="1:4" ht="34.5" customHeight="1" thickBot="1">
      <c r="A1938" s="40"/>
      <c r="B1938" s="39"/>
      <c r="C1938" s="39"/>
      <c r="D1938" s="38"/>
    </row>
    <row r="1939" spans="1:4" ht="34.5" customHeight="1">
      <c r="A1939" s="159" t="s">
        <v>442</v>
      </c>
      <c r="B1939" s="160" t="s">
        <v>441</v>
      </c>
      <c r="C1939" s="160"/>
      <c r="D1939" s="161"/>
    </row>
    <row r="1940" spans="1:4" ht="34.5" customHeight="1" thickBot="1">
      <c r="A1940" s="162"/>
      <c r="B1940" s="163"/>
      <c r="C1940" s="163"/>
      <c r="D1940" s="164"/>
    </row>
    <row r="1941" spans="1:4" ht="34.5" customHeight="1" thickBot="1">
      <c r="A1941" s="142" t="s">
        <v>11</v>
      </c>
      <c r="B1941" s="143"/>
      <c r="C1941" s="165" t="s">
        <v>591</v>
      </c>
      <c r="D1941" s="143"/>
    </row>
    <row r="1942" spans="1:4" ht="34.5" customHeight="1" thickBot="1">
      <c r="A1942" s="137" t="s">
        <v>59</v>
      </c>
      <c r="B1942" s="138"/>
      <c r="C1942" s="138"/>
      <c r="D1942" s="139"/>
    </row>
    <row r="1943" spans="1:4" ht="34.5" customHeight="1" thickBot="1">
      <c r="A1943" s="34" t="s">
        <v>596</v>
      </c>
      <c r="B1943" s="32" t="s">
        <v>438</v>
      </c>
      <c r="C1943" s="34">
        <v>0</v>
      </c>
      <c r="D1943" s="32" t="s">
        <v>0</v>
      </c>
    </row>
    <row r="1944" spans="1:4" ht="34.5" customHeight="1" thickBot="1">
      <c r="A1944" s="37" t="s">
        <v>673</v>
      </c>
      <c r="B1944" s="36" t="s">
        <v>1</v>
      </c>
      <c r="C1944" s="34" t="s">
        <v>674</v>
      </c>
      <c r="D1944" s="32" t="s">
        <v>2</v>
      </c>
    </row>
    <row r="1945" spans="1:4" ht="34.5" customHeight="1" thickBot="1">
      <c r="A1945" s="140">
        <v>67</v>
      </c>
      <c r="B1945" s="141"/>
      <c r="C1945" s="142" t="s">
        <v>3</v>
      </c>
      <c r="D1945" s="143"/>
    </row>
    <row r="1946" spans="1:4" ht="34.5" customHeight="1" thickBot="1">
      <c r="A1946" s="140">
        <v>83</v>
      </c>
      <c r="B1946" s="141"/>
      <c r="C1946" s="144" t="s">
        <v>4</v>
      </c>
      <c r="D1946" s="145"/>
    </row>
    <row r="1947" spans="1:4" ht="34.5" customHeight="1" thickBot="1">
      <c r="A1947" s="146">
        <f>A1946-A1945</f>
        <v>16</v>
      </c>
      <c r="B1947" s="147"/>
      <c r="C1947" s="148"/>
      <c r="D1947" s="35" t="s">
        <v>5</v>
      </c>
    </row>
    <row r="1948" spans="1:4" ht="34.5" customHeight="1" thickBot="1">
      <c r="A1948" s="149">
        <v>23</v>
      </c>
      <c r="B1948" s="150"/>
      <c r="C1948" s="151"/>
      <c r="D1948" s="35" t="s">
        <v>6</v>
      </c>
    </row>
    <row r="1949" spans="1:4" ht="34.5" customHeight="1" thickBot="1">
      <c r="A1949" s="144">
        <f>A1948*A1947</f>
        <v>368</v>
      </c>
      <c r="B1949" s="152"/>
      <c r="C1949" s="145"/>
      <c r="D1949" s="35" t="s">
        <v>7</v>
      </c>
    </row>
    <row r="1950" spans="1:4" ht="34.5" customHeight="1" thickBot="1">
      <c r="A1950" s="144">
        <v>0</v>
      </c>
      <c r="B1950" s="152"/>
      <c r="C1950" s="145"/>
      <c r="D1950" s="35" t="s">
        <v>437</v>
      </c>
    </row>
    <row r="1951" spans="1:4" ht="34.5" customHeight="1" thickBot="1">
      <c r="A1951" s="34">
        <v>0</v>
      </c>
      <c r="B1951" s="32" t="s">
        <v>8</v>
      </c>
      <c r="C1951" s="33">
        <v>370</v>
      </c>
      <c r="D1951" s="32" t="s">
        <v>9</v>
      </c>
    </row>
    <row r="1952" spans="1:4" ht="34.5" customHeight="1" thickBot="1">
      <c r="A1952" s="153" t="s">
        <v>436</v>
      </c>
      <c r="B1952" s="154"/>
      <c r="C1952" s="154"/>
      <c r="D1952" s="155"/>
    </row>
    <row r="1953" spans="1:4" ht="34.5" customHeight="1" thickBot="1">
      <c r="A1953" s="156" t="s">
        <v>435</v>
      </c>
      <c r="B1953" s="157"/>
      <c r="C1953" s="157"/>
      <c r="D1953" s="158"/>
    </row>
    <row r="1954" spans="1:4" ht="34.5" customHeight="1">
      <c r="A1954" s="159" t="s">
        <v>442</v>
      </c>
      <c r="B1954" s="160" t="s">
        <v>441</v>
      </c>
      <c r="C1954" s="160"/>
      <c r="D1954" s="161"/>
    </row>
    <row r="1955" spans="1:4" ht="34.5" customHeight="1" thickBot="1">
      <c r="A1955" s="162"/>
      <c r="B1955" s="163"/>
      <c r="C1955" s="163"/>
      <c r="D1955" s="164"/>
    </row>
    <row r="1956" spans="1:4" ht="34.5" customHeight="1" thickBot="1">
      <c r="A1956" s="142" t="s">
        <v>11</v>
      </c>
      <c r="B1956" s="143"/>
      <c r="C1956" s="165" t="s">
        <v>591</v>
      </c>
      <c r="D1956" s="143"/>
    </row>
    <row r="1957" spans="1:4" ht="34.5" customHeight="1" thickBot="1">
      <c r="A1957" s="137" t="s">
        <v>618</v>
      </c>
      <c r="B1957" s="138"/>
      <c r="C1957" s="138"/>
      <c r="D1957" s="139"/>
    </row>
    <row r="1958" spans="1:4" ht="34.5" customHeight="1" thickBot="1">
      <c r="A1958" s="34" t="s">
        <v>596</v>
      </c>
      <c r="B1958" s="32" t="s">
        <v>438</v>
      </c>
      <c r="C1958" s="34">
        <v>0</v>
      </c>
      <c r="D1958" s="32" t="s">
        <v>0</v>
      </c>
    </row>
    <row r="1959" spans="1:4" ht="34.5" customHeight="1" thickBot="1">
      <c r="A1959" s="37" t="s">
        <v>673</v>
      </c>
      <c r="B1959" s="36" t="s">
        <v>1</v>
      </c>
      <c r="C1959" s="34" t="s">
        <v>674</v>
      </c>
      <c r="D1959" s="32" t="s">
        <v>2</v>
      </c>
    </row>
    <row r="1960" spans="1:4" ht="34.5" customHeight="1" thickBot="1">
      <c r="A1960" s="140">
        <v>1108</v>
      </c>
      <c r="B1960" s="141"/>
      <c r="C1960" s="142" t="s">
        <v>3</v>
      </c>
      <c r="D1960" s="143"/>
    </row>
    <row r="1961" spans="1:4" ht="34.5" customHeight="1" thickBot="1">
      <c r="A1961" s="140">
        <v>1108</v>
      </c>
      <c r="B1961" s="141"/>
      <c r="C1961" s="144" t="s">
        <v>4</v>
      </c>
      <c r="D1961" s="145"/>
    </row>
    <row r="1962" spans="1:4" ht="34.5" customHeight="1" thickBot="1">
      <c r="A1962" s="146">
        <f>A1961-A1960</f>
        <v>0</v>
      </c>
      <c r="B1962" s="147"/>
      <c r="C1962" s="148"/>
      <c r="D1962" s="35" t="s">
        <v>5</v>
      </c>
    </row>
    <row r="1963" spans="1:4" ht="34.5" customHeight="1" thickBot="1">
      <c r="A1963" s="149">
        <v>23</v>
      </c>
      <c r="B1963" s="150"/>
      <c r="C1963" s="151"/>
      <c r="D1963" s="35" t="s">
        <v>6</v>
      </c>
    </row>
    <row r="1964" spans="1:4" ht="34.5" customHeight="1" thickBot="1">
      <c r="A1964" s="144">
        <f>A1963*A1962</f>
        <v>0</v>
      </c>
      <c r="B1964" s="152"/>
      <c r="C1964" s="145"/>
      <c r="D1964" s="35" t="s">
        <v>7</v>
      </c>
    </row>
    <row r="1965" spans="1:4" ht="34.5" customHeight="1" thickBot="1">
      <c r="A1965" s="144">
        <v>0</v>
      </c>
      <c r="B1965" s="152"/>
      <c r="C1965" s="145"/>
      <c r="D1965" s="35" t="s">
        <v>437</v>
      </c>
    </row>
    <row r="1966" spans="1:4" ht="34.5" customHeight="1" thickBot="1">
      <c r="A1966" s="34">
        <v>0</v>
      </c>
      <c r="B1966" s="32" t="s">
        <v>8</v>
      </c>
      <c r="C1966" s="33">
        <v>110</v>
      </c>
      <c r="D1966" s="32" t="s">
        <v>9</v>
      </c>
    </row>
    <row r="1967" spans="1:4" ht="34.5" customHeight="1" thickBot="1">
      <c r="A1967" s="153" t="s">
        <v>436</v>
      </c>
      <c r="B1967" s="154"/>
      <c r="C1967" s="154"/>
      <c r="D1967" s="155"/>
    </row>
    <row r="1968" spans="1:4" ht="34.5" customHeight="1" thickBot="1">
      <c r="A1968" s="156" t="s">
        <v>435</v>
      </c>
      <c r="B1968" s="157"/>
      <c r="C1968" s="157"/>
      <c r="D1968" s="158"/>
    </row>
    <row r="1969" spans="1:4" ht="34.5" customHeight="1" thickBot="1">
      <c r="A1969" s="40"/>
      <c r="B1969" s="39"/>
      <c r="C1969" s="39"/>
      <c r="D1969" s="38"/>
    </row>
    <row r="1970" spans="1:4" ht="34.5" customHeight="1">
      <c r="A1970" s="159" t="s">
        <v>442</v>
      </c>
      <c r="B1970" s="160" t="s">
        <v>441</v>
      </c>
      <c r="C1970" s="160"/>
      <c r="D1970" s="161"/>
    </row>
    <row r="1971" spans="1:4" ht="34.5" customHeight="1" thickBot="1">
      <c r="A1971" s="162"/>
      <c r="B1971" s="163"/>
      <c r="C1971" s="163"/>
      <c r="D1971" s="164"/>
    </row>
    <row r="1972" spans="1:4" ht="34.5" customHeight="1" thickBot="1">
      <c r="A1972" s="142" t="s">
        <v>11</v>
      </c>
      <c r="B1972" s="143"/>
      <c r="C1972" s="165" t="s">
        <v>591</v>
      </c>
      <c r="D1972" s="143"/>
    </row>
    <row r="1973" spans="1:4" ht="34.5" customHeight="1" thickBot="1">
      <c r="A1973" s="137" t="s">
        <v>618</v>
      </c>
      <c r="B1973" s="138"/>
      <c r="C1973" s="138"/>
      <c r="D1973" s="139"/>
    </row>
    <row r="1974" spans="1:4" ht="34.5" customHeight="1" thickBot="1">
      <c r="A1974" s="34" t="s">
        <v>596</v>
      </c>
      <c r="B1974" s="32" t="s">
        <v>438</v>
      </c>
      <c r="C1974" s="34">
        <v>0</v>
      </c>
      <c r="D1974" s="32" t="s">
        <v>0</v>
      </c>
    </row>
    <row r="1975" spans="1:4" ht="34.5" customHeight="1" thickBot="1">
      <c r="A1975" s="37" t="s">
        <v>673</v>
      </c>
      <c r="B1975" s="36" t="s">
        <v>1</v>
      </c>
      <c r="C1975" s="34" t="s">
        <v>674</v>
      </c>
      <c r="D1975" s="32" t="s">
        <v>2</v>
      </c>
    </row>
    <row r="1976" spans="1:4" ht="34.5" customHeight="1" thickBot="1">
      <c r="A1976" s="140">
        <v>1103</v>
      </c>
      <c r="B1976" s="141"/>
      <c r="C1976" s="142" t="s">
        <v>3</v>
      </c>
      <c r="D1976" s="143"/>
    </row>
    <row r="1977" spans="1:4" ht="34.5" customHeight="1" thickBot="1">
      <c r="A1977" s="140">
        <v>1108</v>
      </c>
      <c r="B1977" s="141"/>
      <c r="C1977" s="144" t="s">
        <v>4</v>
      </c>
      <c r="D1977" s="145"/>
    </row>
    <row r="1978" spans="1:4" ht="34.5" customHeight="1" thickBot="1">
      <c r="A1978" s="146">
        <f>A1977-A1976</f>
        <v>5</v>
      </c>
      <c r="B1978" s="147"/>
      <c r="C1978" s="148"/>
      <c r="D1978" s="35" t="s">
        <v>5</v>
      </c>
    </row>
    <row r="1979" spans="1:4" ht="34.5" customHeight="1" thickBot="1">
      <c r="A1979" s="149">
        <v>23</v>
      </c>
      <c r="B1979" s="150"/>
      <c r="C1979" s="151"/>
      <c r="D1979" s="35" t="s">
        <v>6</v>
      </c>
    </row>
    <row r="1980" spans="1:4" ht="34.5" customHeight="1" thickBot="1">
      <c r="A1980" s="144">
        <f>A1979*A1978</f>
        <v>115</v>
      </c>
      <c r="B1980" s="152"/>
      <c r="C1980" s="145"/>
      <c r="D1980" s="35" t="s">
        <v>7</v>
      </c>
    </row>
    <row r="1981" spans="1:4" ht="34.5" customHeight="1" thickBot="1">
      <c r="A1981" s="144">
        <v>0</v>
      </c>
      <c r="B1981" s="152"/>
      <c r="C1981" s="145"/>
      <c r="D1981" s="35" t="s">
        <v>437</v>
      </c>
    </row>
    <row r="1982" spans="1:4" ht="34.5" customHeight="1" thickBot="1">
      <c r="A1982" s="34">
        <v>0</v>
      </c>
      <c r="B1982" s="32" t="s">
        <v>8</v>
      </c>
      <c r="C1982" s="33">
        <v>110</v>
      </c>
      <c r="D1982" s="32" t="s">
        <v>9</v>
      </c>
    </row>
    <row r="1983" spans="1:4" ht="34.5" customHeight="1" thickBot="1">
      <c r="A1983" s="153" t="s">
        <v>436</v>
      </c>
      <c r="B1983" s="154"/>
      <c r="C1983" s="154"/>
      <c r="D1983" s="155"/>
    </row>
    <row r="1984" spans="1:4" ht="34.5" customHeight="1" thickBot="1">
      <c r="A1984" s="156" t="s">
        <v>435</v>
      </c>
      <c r="B1984" s="157"/>
      <c r="C1984" s="157"/>
      <c r="D1984" s="158"/>
    </row>
    <row r="1985" spans="1:4" ht="34.5" customHeight="1">
      <c r="A1985" s="159" t="s">
        <v>442</v>
      </c>
      <c r="B1985" s="160" t="s">
        <v>441</v>
      </c>
      <c r="C1985" s="160"/>
      <c r="D1985" s="161"/>
    </row>
    <row r="1986" spans="1:4" ht="34.5" customHeight="1" thickBot="1">
      <c r="A1986" s="162"/>
      <c r="B1986" s="163"/>
      <c r="C1986" s="163"/>
      <c r="D1986" s="164"/>
    </row>
    <row r="1987" spans="1:4" ht="34.5" customHeight="1" thickBot="1">
      <c r="A1987" s="142" t="s">
        <v>11</v>
      </c>
      <c r="B1987" s="143"/>
      <c r="C1987" s="165" t="s">
        <v>591</v>
      </c>
      <c r="D1987" s="143"/>
    </row>
    <row r="1988" spans="1:4" ht="34.5" customHeight="1" thickBot="1">
      <c r="A1988" s="137" t="s">
        <v>484</v>
      </c>
      <c r="B1988" s="138"/>
      <c r="C1988" s="138"/>
      <c r="D1988" s="139"/>
    </row>
    <row r="1989" spans="1:4" ht="34.5" customHeight="1" thickBot="1">
      <c r="A1989" s="34" t="s">
        <v>596</v>
      </c>
      <c r="B1989" s="32" t="s">
        <v>438</v>
      </c>
      <c r="C1989" s="34">
        <v>0</v>
      </c>
      <c r="D1989" s="32" t="s">
        <v>0</v>
      </c>
    </row>
    <row r="1990" spans="1:4" ht="34.5" customHeight="1" thickBot="1">
      <c r="A1990" s="37" t="s">
        <v>673</v>
      </c>
      <c r="B1990" s="36" t="s">
        <v>1</v>
      </c>
      <c r="C1990" s="34" t="s">
        <v>674</v>
      </c>
      <c r="D1990" s="32" t="s">
        <v>2</v>
      </c>
    </row>
    <row r="1991" spans="1:4" ht="34.5" customHeight="1" thickBot="1">
      <c r="A1991" s="140">
        <v>130</v>
      </c>
      <c r="B1991" s="141"/>
      <c r="C1991" s="142" t="s">
        <v>3</v>
      </c>
      <c r="D1991" s="143"/>
    </row>
    <row r="1992" spans="1:4" ht="34.5" customHeight="1" thickBot="1">
      <c r="A1992" s="140">
        <v>130</v>
      </c>
      <c r="B1992" s="141"/>
      <c r="C1992" s="144" t="s">
        <v>4</v>
      </c>
      <c r="D1992" s="145"/>
    </row>
    <row r="1993" spans="1:4" ht="34.5" customHeight="1" thickBot="1">
      <c r="A1993" s="146">
        <f>A1992-A1991</f>
        <v>0</v>
      </c>
      <c r="B1993" s="147"/>
      <c r="C1993" s="148"/>
      <c r="D1993" s="35" t="s">
        <v>5</v>
      </c>
    </row>
    <row r="1994" spans="1:4" ht="34.5" customHeight="1" thickBot="1">
      <c r="A1994" s="149">
        <v>23</v>
      </c>
      <c r="B1994" s="150"/>
      <c r="C1994" s="151"/>
      <c r="D1994" s="35" t="s">
        <v>6</v>
      </c>
    </row>
    <row r="1995" spans="1:4" ht="34.5" customHeight="1" thickBot="1">
      <c r="A1995" s="144">
        <f>A1994*A1993</f>
        <v>0</v>
      </c>
      <c r="B1995" s="152"/>
      <c r="C1995" s="145"/>
      <c r="D1995" s="35" t="s">
        <v>7</v>
      </c>
    </row>
    <row r="1996" spans="1:4" ht="34.5" customHeight="1" thickBot="1">
      <c r="A1996" s="144">
        <v>0</v>
      </c>
      <c r="B1996" s="152"/>
      <c r="C1996" s="145"/>
      <c r="D1996" s="35" t="s">
        <v>437</v>
      </c>
    </row>
    <row r="1997" spans="1:4" ht="34.5" customHeight="1" thickBot="1">
      <c r="A1997" s="34">
        <v>0</v>
      </c>
      <c r="B1997" s="32" t="s">
        <v>8</v>
      </c>
      <c r="C1997" s="33">
        <v>780</v>
      </c>
      <c r="D1997" s="32" t="s">
        <v>9</v>
      </c>
    </row>
    <row r="1998" spans="1:4" ht="34.5" customHeight="1" thickBot="1">
      <c r="A1998" s="153" t="s">
        <v>436</v>
      </c>
      <c r="B1998" s="154"/>
      <c r="C1998" s="154"/>
      <c r="D1998" s="155"/>
    </row>
    <row r="1999" spans="1:4" ht="34.5" customHeight="1" thickBot="1">
      <c r="A1999" s="156" t="s">
        <v>435</v>
      </c>
      <c r="B1999" s="157"/>
      <c r="C1999" s="157"/>
      <c r="D1999" s="158"/>
    </row>
    <row r="2000" spans="1:4" ht="34.5" customHeight="1" thickBot="1">
      <c r="A2000" s="40"/>
      <c r="B2000" s="39"/>
      <c r="C2000" s="39"/>
      <c r="D2000" s="38"/>
    </row>
    <row r="2001" spans="1:4" ht="34.5" customHeight="1">
      <c r="A2001" s="159" t="s">
        <v>442</v>
      </c>
      <c r="B2001" s="160" t="s">
        <v>441</v>
      </c>
      <c r="C2001" s="160"/>
      <c r="D2001" s="161"/>
    </row>
    <row r="2002" spans="1:4" ht="34.5" customHeight="1" thickBot="1">
      <c r="A2002" s="162"/>
      <c r="B2002" s="163"/>
      <c r="C2002" s="163"/>
      <c r="D2002" s="164"/>
    </row>
    <row r="2003" spans="1:4" ht="34.5" customHeight="1" thickBot="1">
      <c r="A2003" s="142" t="s">
        <v>11</v>
      </c>
      <c r="B2003" s="143"/>
      <c r="C2003" s="165" t="s">
        <v>591</v>
      </c>
      <c r="D2003" s="143"/>
    </row>
    <row r="2004" spans="1:4" ht="34.5" customHeight="1" thickBot="1">
      <c r="A2004" s="137" t="s">
        <v>484</v>
      </c>
      <c r="B2004" s="138"/>
      <c r="C2004" s="138"/>
      <c r="D2004" s="139"/>
    </row>
    <row r="2005" spans="1:4" ht="34.5" customHeight="1" thickBot="1">
      <c r="A2005" s="34" t="s">
        <v>596</v>
      </c>
      <c r="B2005" s="32" t="s">
        <v>438</v>
      </c>
      <c r="C2005" s="34">
        <v>0</v>
      </c>
      <c r="D2005" s="32" t="s">
        <v>0</v>
      </c>
    </row>
    <row r="2006" spans="1:4" ht="34.5" customHeight="1" thickBot="1">
      <c r="A2006" s="37" t="s">
        <v>673</v>
      </c>
      <c r="B2006" s="36" t="s">
        <v>1</v>
      </c>
      <c r="C2006" s="34" t="s">
        <v>674</v>
      </c>
      <c r="D2006" s="32" t="s">
        <v>2</v>
      </c>
    </row>
    <row r="2007" spans="1:4" ht="34.5" customHeight="1" thickBot="1">
      <c r="A2007" s="140">
        <v>96</v>
      </c>
      <c r="B2007" s="141"/>
      <c r="C2007" s="142" t="s">
        <v>3</v>
      </c>
      <c r="D2007" s="143"/>
    </row>
    <row r="2008" spans="1:4" ht="34.5" customHeight="1" thickBot="1">
      <c r="A2008" s="140">
        <v>130</v>
      </c>
      <c r="B2008" s="141"/>
      <c r="C2008" s="144" t="s">
        <v>4</v>
      </c>
      <c r="D2008" s="145"/>
    </row>
    <row r="2009" spans="1:4" ht="34.5" customHeight="1" thickBot="1">
      <c r="A2009" s="146">
        <f>A2008-A2007</f>
        <v>34</v>
      </c>
      <c r="B2009" s="147"/>
      <c r="C2009" s="148"/>
      <c r="D2009" s="35" t="s">
        <v>5</v>
      </c>
    </row>
    <row r="2010" spans="1:4" ht="34.5" customHeight="1" thickBot="1">
      <c r="A2010" s="149">
        <v>23</v>
      </c>
      <c r="B2010" s="150"/>
      <c r="C2010" s="151"/>
      <c r="D2010" s="35" t="s">
        <v>6</v>
      </c>
    </row>
    <row r="2011" spans="1:4" ht="34.5" customHeight="1" thickBot="1">
      <c r="A2011" s="144">
        <f>A2010*A2009</f>
        <v>782</v>
      </c>
      <c r="B2011" s="152"/>
      <c r="C2011" s="145"/>
      <c r="D2011" s="35" t="s">
        <v>7</v>
      </c>
    </row>
    <row r="2012" spans="1:4" ht="34.5" customHeight="1" thickBot="1">
      <c r="A2012" s="144">
        <v>0</v>
      </c>
      <c r="B2012" s="152"/>
      <c r="C2012" s="145"/>
      <c r="D2012" s="35" t="s">
        <v>437</v>
      </c>
    </row>
    <row r="2013" spans="1:4" ht="34.5" customHeight="1" thickBot="1">
      <c r="A2013" s="34">
        <v>0</v>
      </c>
      <c r="B2013" s="32" t="s">
        <v>8</v>
      </c>
      <c r="C2013" s="33">
        <v>780</v>
      </c>
      <c r="D2013" s="32" t="s">
        <v>9</v>
      </c>
    </row>
    <row r="2014" spans="1:4" ht="34.5" customHeight="1" thickBot="1">
      <c r="A2014" s="153" t="s">
        <v>436</v>
      </c>
      <c r="B2014" s="154"/>
      <c r="C2014" s="154"/>
      <c r="D2014" s="155"/>
    </row>
    <row r="2015" spans="1:4" ht="34.5" customHeight="1" thickBot="1">
      <c r="A2015" s="156" t="s">
        <v>435</v>
      </c>
      <c r="B2015" s="157"/>
      <c r="C2015" s="157"/>
      <c r="D2015" s="158"/>
    </row>
    <row r="2016" spans="1:4" ht="34.5" customHeight="1">
      <c r="A2016" s="159" t="s">
        <v>442</v>
      </c>
      <c r="B2016" s="160" t="s">
        <v>441</v>
      </c>
      <c r="C2016" s="160"/>
      <c r="D2016" s="161"/>
    </row>
    <row r="2017" spans="1:4" ht="34.5" customHeight="1" thickBot="1">
      <c r="A2017" s="162"/>
      <c r="B2017" s="163"/>
      <c r="C2017" s="163"/>
      <c r="D2017" s="164"/>
    </row>
    <row r="2018" spans="1:4" ht="34.5" customHeight="1" thickBot="1">
      <c r="A2018" s="142" t="s">
        <v>11</v>
      </c>
      <c r="B2018" s="143"/>
      <c r="C2018" s="165" t="s">
        <v>591</v>
      </c>
      <c r="D2018" s="143"/>
    </row>
    <row r="2019" spans="1:4" ht="34.5" customHeight="1" thickBot="1">
      <c r="A2019" s="137" t="s">
        <v>382</v>
      </c>
      <c r="B2019" s="138"/>
      <c r="C2019" s="138"/>
      <c r="D2019" s="139"/>
    </row>
    <row r="2020" spans="1:4" ht="34.5" customHeight="1" thickBot="1">
      <c r="A2020" s="34" t="s">
        <v>596</v>
      </c>
      <c r="B2020" s="32" t="s">
        <v>438</v>
      </c>
      <c r="C2020" s="34">
        <v>0</v>
      </c>
      <c r="D2020" s="32" t="s">
        <v>0</v>
      </c>
    </row>
    <row r="2021" spans="1:4" ht="34.5" customHeight="1" thickBot="1">
      <c r="A2021" s="37" t="s">
        <v>673</v>
      </c>
      <c r="B2021" s="36" t="s">
        <v>1</v>
      </c>
      <c r="C2021" s="34" t="s">
        <v>674</v>
      </c>
      <c r="D2021" s="32" t="s">
        <v>2</v>
      </c>
    </row>
    <row r="2022" spans="1:4" ht="34.5" customHeight="1" thickBot="1">
      <c r="A2022" s="140">
        <v>208</v>
      </c>
      <c r="B2022" s="141"/>
      <c r="C2022" s="142" t="s">
        <v>3</v>
      </c>
      <c r="D2022" s="143"/>
    </row>
    <row r="2023" spans="1:4" ht="34.5" customHeight="1" thickBot="1">
      <c r="A2023" s="140">
        <v>208</v>
      </c>
      <c r="B2023" s="141"/>
      <c r="C2023" s="144" t="s">
        <v>4</v>
      </c>
      <c r="D2023" s="145"/>
    </row>
    <row r="2024" spans="1:4" ht="34.5" customHeight="1" thickBot="1">
      <c r="A2024" s="146">
        <f>A2023-A2022</f>
        <v>0</v>
      </c>
      <c r="B2024" s="147"/>
      <c r="C2024" s="148"/>
      <c r="D2024" s="35" t="s">
        <v>5</v>
      </c>
    </row>
    <row r="2025" spans="1:4" ht="34.5" customHeight="1" thickBot="1">
      <c r="A2025" s="149">
        <v>23</v>
      </c>
      <c r="B2025" s="150"/>
      <c r="C2025" s="151"/>
      <c r="D2025" s="35" t="s">
        <v>6</v>
      </c>
    </row>
    <row r="2026" spans="1:4" ht="34.5" customHeight="1" thickBot="1">
      <c r="A2026" s="144">
        <f>A2025*A2024</f>
        <v>0</v>
      </c>
      <c r="B2026" s="152"/>
      <c r="C2026" s="145"/>
      <c r="D2026" s="35" t="s">
        <v>7</v>
      </c>
    </row>
    <row r="2027" spans="1:4" ht="34.5" customHeight="1" thickBot="1">
      <c r="A2027" s="144">
        <v>0</v>
      </c>
      <c r="B2027" s="152"/>
      <c r="C2027" s="145"/>
      <c r="D2027" s="35" t="s">
        <v>437</v>
      </c>
    </row>
    <row r="2028" spans="1:4" ht="34.5" customHeight="1" thickBot="1">
      <c r="A2028" s="34">
        <v>0</v>
      </c>
      <c r="B2028" s="32" t="s">
        <v>8</v>
      </c>
      <c r="C2028" s="33">
        <v>1100</v>
      </c>
      <c r="D2028" s="32" t="s">
        <v>9</v>
      </c>
    </row>
    <row r="2029" spans="1:4" ht="34.5" customHeight="1" thickBot="1">
      <c r="A2029" s="153" t="s">
        <v>436</v>
      </c>
      <c r="B2029" s="154"/>
      <c r="C2029" s="154"/>
      <c r="D2029" s="155"/>
    </row>
    <row r="2030" spans="1:4" ht="34.5" customHeight="1" thickBot="1">
      <c r="A2030" s="156" t="s">
        <v>435</v>
      </c>
      <c r="B2030" s="157"/>
      <c r="C2030" s="157"/>
      <c r="D2030" s="158"/>
    </row>
    <row r="2031" spans="1:4" ht="34.5" customHeight="1" thickBot="1">
      <c r="A2031" s="40"/>
      <c r="B2031" s="39"/>
      <c r="C2031" s="39"/>
      <c r="D2031" s="38"/>
    </row>
    <row r="2032" spans="1:4" ht="34.5" customHeight="1">
      <c r="A2032" s="159" t="s">
        <v>442</v>
      </c>
      <c r="B2032" s="160" t="s">
        <v>441</v>
      </c>
      <c r="C2032" s="160"/>
      <c r="D2032" s="161"/>
    </row>
    <row r="2033" spans="1:4" ht="34.5" customHeight="1" thickBot="1">
      <c r="A2033" s="162"/>
      <c r="B2033" s="163"/>
      <c r="C2033" s="163"/>
      <c r="D2033" s="164"/>
    </row>
    <row r="2034" spans="1:4" ht="34.5" customHeight="1" thickBot="1">
      <c r="A2034" s="142" t="s">
        <v>11</v>
      </c>
      <c r="B2034" s="143"/>
      <c r="C2034" s="165" t="s">
        <v>591</v>
      </c>
      <c r="D2034" s="143"/>
    </row>
    <row r="2035" spans="1:4" ht="34.5" customHeight="1" thickBot="1">
      <c r="A2035" s="137" t="s">
        <v>382</v>
      </c>
      <c r="B2035" s="138"/>
      <c r="C2035" s="138"/>
      <c r="D2035" s="139"/>
    </row>
    <row r="2036" spans="1:4" ht="34.5" customHeight="1" thickBot="1">
      <c r="A2036" s="34" t="s">
        <v>596</v>
      </c>
      <c r="B2036" s="32" t="s">
        <v>438</v>
      </c>
      <c r="C2036" s="34">
        <v>0</v>
      </c>
      <c r="D2036" s="32" t="s">
        <v>0</v>
      </c>
    </row>
    <row r="2037" spans="1:4" ht="34.5" customHeight="1" thickBot="1">
      <c r="A2037" s="37" t="s">
        <v>673</v>
      </c>
      <c r="B2037" s="36" t="s">
        <v>1</v>
      </c>
      <c r="C2037" s="34" t="s">
        <v>674</v>
      </c>
      <c r="D2037" s="32" t="s">
        <v>2</v>
      </c>
    </row>
    <row r="2038" spans="1:4" ht="34.5" customHeight="1" thickBot="1">
      <c r="A2038" s="140">
        <v>160</v>
      </c>
      <c r="B2038" s="141"/>
      <c r="C2038" s="142" t="s">
        <v>3</v>
      </c>
      <c r="D2038" s="143"/>
    </row>
    <row r="2039" spans="1:4" ht="34.5" customHeight="1" thickBot="1">
      <c r="A2039" s="140">
        <v>208</v>
      </c>
      <c r="B2039" s="141"/>
      <c r="C2039" s="144" t="s">
        <v>4</v>
      </c>
      <c r="D2039" s="145"/>
    </row>
    <row r="2040" spans="1:4" ht="34.5" customHeight="1" thickBot="1">
      <c r="A2040" s="146">
        <f>A2039-A2038</f>
        <v>48</v>
      </c>
      <c r="B2040" s="147"/>
      <c r="C2040" s="148"/>
      <c r="D2040" s="35" t="s">
        <v>5</v>
      </c>
    </row>
    <row r="2041" spans="1:4" ht="34.5" customHeight="1" thickBot="1">
      <c r="A2041" s="149">
        <v>23</v>
      </c>
      <c r="B2041" s="150"/>
      <c r="C2041" s="151"/>
      <c r="D2041" s="35" t="s">
        <v>6</v>
      </c>
    </row>
    <row r="2042" spans="1:4" ht="34.5" customHeight="1" thickBot="1">
      <c r="A2042" s="144">
        <f>A2041*A2040</f>
        <v>1104</v>
      </c>
      <c r="B2042" s="152"/>
      <c r="C2042" s="145"/>
      <c r="D2042" s="35" t="s">
        <v>7</v>
      </c>
    </row>
    <row r="2043" spans="1:4" ht="34.5" customHeight="1" thickBot="1">
      <c r="A2043" s="144">
        <v>0</v>
      </c>
      <c r="B2043" s="152"/>
      <c r="C2043" s="145"/>
      <c r="D2043" s="35" t="s">
        <v>437</v>
      </c>
    </row>
    <row r="2044" spans="1:4" ht="34.5" customHeight="1" thickBot="1">
      <c r="A2044" s="34">
        <v>0</v>
      </c>
      <c r="B2044" s="32" t="s">
        <v>8</v>
      </c>
      <c r="C2044" s="33">
        <v>1100</v>
      </c>
      <c r="D2044" s="32" t="s">
        <v>9</v>
      </c>
    </row>
    <row r="2045" spans="1:4" ht="34.5" customHeight="1" thickBot="1">
      <c r="A2045" s="153" t="s">
        <v>436</v>
      </c>
      <c r="B2045" s="154"/>
      <c r="C2045" s="154"/>
      <c r="D2045" s="155"/>
    </row>
    <row r="2046" spans="1:4" ht="34.5" customHeight="1" thickBot="1">
      <c r="A2046" s="156" t="s">
        <v>435</v>
      </c>
      <c r="B2046" s="157"/>
      <c r="C2046" s="157"/>
      <c r="D2046" s="158"/>
    </row>
    <row r="2047" spans="1:4" ht="35.25" customHeight="1">
      <c r="A2047" s="159" t="s">
        <v>442</v>
      </c>
      <c r="B2047" s="160" t="s">
        <v>441</v>
      </c>
      <c r="C2047" s="160"/>
      <c r="D2047" s="161"/>
    </row>
    <row r="2048" spans="1:4" ht="35.25" customHeight="1" thickBot="1">
      <c r="A2048" s="162"/>
      <c r="B2048" s="163"/>
      <c r="C2048" s="163"/>
      <c r="D2048" s="164"/>
    </row>
    <row r="2049" spans="1:4" ht="35.25" customHeight="1" thickBot="1">
      <c r="A2049" s="142" t="s">
        <v>11</v>
      </c>
      <c r="B2049" s="143"/>
      <c r="C2049" s="165" t="s">
        <v>591</v>
      </c>
      <c r="D2049" s="143"/>
    </row>
    <row r="2050" spans="1:4" ht="35.25" customHeight="1" thickBot="1">
      <c r="A2050" s="137" t="s">
        <v>660</v>
      </c>
      <c r="B2050" s="138"/>
      <c r="C2050" s="138"/>
      <c r="D2050" s="139"/>
    </row>
    <row r="2051" spans="1:4" ht="35.25" customHeight="1" thickBot="1">
      <c r="A2051" s="34" t="s">
        <v>596</v>
      </c>
      <c r="B2051" s="32" t="s">
        <v>438</v>
      </c>
      <c r="C2051" s="34">
        <v>0</v>
      </c>
      <c r="D2051" s="32" t="s">
        <v>0</v>
      </c>
    </row>
    <row r="2052" spans="1:4" ht="35.25" customHeight="1" thickBot="1">
      <c r="A2052" s="37" t="s">
        <v>673</v>
      </c>
      <c r="B2052" s="36" t="s">
        <v>1</v>
      </c>
      <c r="C2052" s="34" t="s">
        <v>674</v>
      </c>
      <c r="D2052" s="32" t="s">
        <v>2</v>
      </c>
    </row>
    <row r="2053" spans="1:4" ht="35.25" customHeight="1" thickBot="1">
      <c r="A2053" s="140">
        <v>127</v>
      </c>
      <c r="B2053" s="141"/>
      <c r="C2053" s="142" t="s">
        <v>3</v>
      </c>
      <c r="D2053" s="143"/>
    </row>
    <row r="2054" spans="1:4" ht="35.25" customHeight="1" thickBot="1">
      <c r="A2054" s="140">
        <v>127</v>
      </c>
      <c r="B2054" s="141"/>
      <c r="C2054" s="144" t="s">
        <v>4</v>
      </c>
      <c r="D2054" s="145"/>
    </row>
    <row r="2055" spans="1:4" ht="35.25" customHeight="1" thickBot="1">
      <c r="A2055" s="146">
        <f>A2054-A2053</f>
        <v>0</v>
      </c>
      <c r="B2055" s="147"/>
      <c r="C2055" s="148"/>
      <c r="D2055" s="35" t="s">
        <v>5</v>
      </c>
    </row>
    <row r="2056" spans="1:4" ht="35.25" customHeight="1" thickBot="1">
      <c r="A2056" s="149">
        <v>23</v>
      </c>
      <c r="B2056" s="150"/>
      <c r="C2056" s="151"/>
      <c r="D2056" s="35" t="s">
        <v>6</v>
      </c>
    </row>
    <row r="2057" spans="1:4" ht="35.25" customHeight="1" thickBot="1">
      <c r="A2057" s="144">
        <f>A2056*A2055</f>
        <v>0</v>
      </c>
      <c r="B2057" s="152"/>
      <c r="C2057" s="145"/>
      <c r="D2057" s="35" t="s">
        <v>7</v>
      </c>
    </row>
    <row r="2058" spans="1:4" ht="35.25" customHeight="1" thickBot="1">
      <c r="A2058" s="144">
        <v>0</v>
      </c>
      <c r="B2058" s="152"/>
      <c r="C2058" s="145"/>
      <c r="D2058" s="35" t="s">
        <v>437</v>
      </c>
    </row>
    <row r="2059" spans="1:4" ht="35.25" customHeight="1" thickBot="1">
      <c r="A2059" s="34">
        <v>0</v>
      </c>
      <c r="B2059" s="32" t="s">
        <v>8</v>
      </c>
      <c r="C2059" s="33">
        <v>1430</v>
      </c>
      <c r="D2059" s="32" t="s">
        <v>9</v>
      </c>
    </row>
    <row r="2060" spans="1:4" ht="35.25" customHeight="1" thickBot="1">
      <c r="A2060" s="153" t="s">
        <v>436</v>
      </c>
      <c r="B2060" s="154"/>
      <c r="C2060" s="154"/>
      <c r="D2060" s="155"/>
    </row>
    <row r="2061" spans="1:4" ht="35.25" customHeight="1" thickBot="1">
      <c r="A2061" s="156" t="s">
        <v>435</v>
      </c>
      <c r="B2061" s="157"/>
      <c r="C2061" s="157"/>
      <c r="D2061" s="158"/>
    </row>
    <row r="2062" spans="1:4" ht="35.25" customHeight="1" thickBot="1">
      <c r="A2062" s="40"/>
      <c r="B2062" s="39"/>
      <c r="C2062" s="39"/>
      <c r="D2062" s="38"/>
    </row>
    <row r="2063" spans="1:4" ht="35.25" customHeight="1">
      <c r="A2063" s="159" t="s">
        <v>442</v>
      </c>
      <c r="B2063" s="160" t="s">
        <v>441</v>
      </c>
      <c r="C2063" s="160"/>
      <c r="D2063" s="161"/>
    </row>
    <row r="2064" spans="1:4" ht="35.25" customHeight="1" thickBot="1">
      <c r="A2064" s="162"/>
      <c r="B2064" s="163"/>
      <c r="C2064" s="163"/>
      <c r="D2064" s="164"/>
    </row>
    <row r="2065" spans="1:4" ht="35.25" customHeight="1" thickBot="1">
      <c r="A2065" s="142" t="s">
        <v>11</v>
      </c>
      <c r="B2065" s="143"/>
      <c r="C2065" s="165" t="s">
        <v>591</v>
      </c>
      <c r="D2065" s="143"/>
    </row>
    <row r="2066" spans="1:4" ht="35.25" customHeight="1" thickBot="1">
      <c r="A2066" s="137" t="s">
        <v>660</v>
      </c>
      <c r="B2066" s="138"/>
      <c r="C2066" s="138"/>
      <c r="D2066" s="139"/>
    </row>
    <row r="2067" spans="1:4" ht="35.25" customHeight="1" thickBot="1">
      <c r="A2067" s="34" t="s">
        <v>596</v>
      </c>
      <c r="B2067" s="32" t="s">
        <v>438</v>
      </c>
      <c r="C2067" s="34">
        <v>0</v>
      </c>
      <c r="D2067" s="32" t="s">
        <v>0</v>
      </c>
    </row>
    <row r="2068" spans="1:4" ht="35.25" customHeight="1" thickBot="1">
      <c r="A2068" s="37" t="s">
        <v>673</v>
      </c>
      <c r="B2068" s="36" t="s">
        <v>1</v>
      </c>
      <c r="C2068" s="34" t="s">
        <v>674</v>
      </c>
      <c r="D2068" s="32" t="s">
        <v>2</v>
      </c>
    </row>
    <row r="2069" spans="1:4" ht="35.25" customHeight="1" thickBot="1">
      <c r="A2069" s="140">
        <v>65</v>
      </c>
      <c r="B2069" s="141"/>
      <c r="C2069" s="142" t="s">
        <v>3</v>
      </c>
      <c r="D2069" s="143"/>
    </row>
    <row r="2070" spans="1:4" ht="35.25" customHeight="1" thickBot="1">
      <c r="A2070" s="140">
        <v>127</v>
      </c>
      <c r="B2070" s="141"/>
      <c r="C2070" s="144" t="s">
        <v>4</v>
      </c>
      <c r="D2070" s="145"/>
    </row>
    <row r="2071" spans="1:4" ht="35.25" customHeight="1" thickBot="1">
      <c r="A2071" s="146">
        <f>A2070-A2069</f>
        <v>62</v>
      </c>
      <c r="B2071" s="147"/>
      <c r="C2071" s="148"/>
      <c r="D2071" s="35" t="s">
        <v>5</v>
      </c>
    </row>
    <row r="2072" spans="1:4" ht="35.25" customHeight="1" thickBot="1">
      <c r="A2072" s="149">
        <v>23</v>
      </c>
      <c r="B2072" s="150"/>
      <c r="C2072" s="151"/>
      <c r="D2072" s="35" t="s">
        <v>6</v>
      </c>
    </row>
    <row r="2073" spans="1:4" ht="35.25" customHeight="1" thickBot="1">
      <c r="A2073" s="144">
        <f>A2072*A2071</f>
        <v>1426</v>
      </c>
      <c r="B2073" s="152"/>
      <c r="C2073" s="145"/>
      <c r="D2073" s="35" t="s">
        <v>7</v>
      </c>
    </row>
    <row r="2074" spans="1:4" ht="35.25" customHeight="1" thickBot="1">
      <c r="A2074" s="144">
        <v>0</v>
      </c>
      <c r="B2074" s="152"/>
      <c r="C2074" s="145"/>
      <c r="D2074" s="35" t="s">
        <v>437</v>
      </c>
    </row>
    <row r="2075" spans="1:4" ht="35.25" customHeight="1" thickBot="1">
      <c r="A2075" s="34">
        <v>0</v>
      </c>
      <c r="B2075" s="32" t="s">
        <v>8</v>
      </c>
      <c r="C2075" s="33">
        <v>1430</v>
      </c>
      <c r="D2075" s="32" t="s">
        <v>9</v>
      </c>
    </row>
    <row r="2076" spans="1:4" ht="35.25" customHeight="1" thickBot="1">
      <c r="A2076" s="153" t="s">
        <v>436</v>
      </c>
      <c r="B2076" s="154"/>
      <c r="C2076" s="154"/>
      <c r="D2076" s="155"/>
    </row>
    <row r="2077" spans="1:4" ht="35.25" customHeight="1" thickBot="1">
      <c r="A2077" s="156" t="s">
        <v>435</v>
      </c>
      <c r="B2077" s="157"/>
      <c r="C2077" s="157"/>
      <c r="D2077" s="158"/>
    </row>
    <row r="2078" spans="1:4" ht="34.5" customHeight="1">
      <c r="A2078" s="159" t="s">
        <v>442</v>
      </c>
      <c r="B2078" s="160" t="s">
        <v>441</v>
      </c>
      <c r="C2078" s="160"/>
      <c r="D2078" s="161"/>
    </row>
    <row r="2079" spans="1:4" ht="34.5" customHeight="1" thickBot="1">
      <c r="A2079" s="162"/>
      <c r="B2079" s="163"/>
      <c r="C2079" s="163"/>
      <c r="D2079" s="164"/>
    </row>
    <row r="2080" spans="1:4" ht="34.5" customHeight="1" thickBot="1">
      <c r="A2080" s="142" t="s">
        <v>11</v>
      </c>
      <c r="B2080" s="143"/>
      <c r="C2080" s="165" t="s">
        <v>591</v>
      </c>
      <c r="D2080" s="143"/>
    </row>
    <row r="2081" spans="1:4" ht="34.5" customHeight="1" thickBot="1">
      <c r="A2081" s="137" t="s">
        <v>661</v>
      </c>
      <c r="B2081" s="138"/>
      <c r="C2081" s="138"/>
      <c r="D2081" s="139"/>
    </row>
    <row r="2082" spans="1:4" ht="34.5" customHeight="1" thickBot="1">
      <c r="A2082" s="34" t="s">
        <v>596</v>
      </c>
      <c r="B2082" s="32" t="s">
        <v>438</v>
      </c>
      <c r="C2082" s="34">
        <v>0</v>
      </c>
      <c r="D2082" s="32" t="s">
        <v>0</v>
      </c>
    </row>
    <row r="2083" spans="1:4" ht="34.5" customHeight="1" thickBot="1">
      <c r="A2083" s="37" t="s">
        <v>673</v>
      </c>
      <c r="B2083" s="36" t="s">
        <v>1</v>
      </c>
      <c r="C2083" s="34" t="s">
        <v>674</v>
      </c>
      <c r="D2083" s="32" t="s">
        <v>2</v>
      </c>
    </row>
    <row r="2084" spans="1:4" ht="34.5" customHeight="1" thickBot="1">
      <c r="A2084" s="140">
        <v>92</v>
      </c>
      <c r="B2084" s="141"/>
      <c r="C2084" s="142" t="s">
        <v>3</v>
      </c>
      <c r="D2084" s="143"/>
    </row>
    <row r="2085" spans="1:4" ht="34.5" customHeight="1" thickBot="1">
      <c r="A2085" s="140">
        <v>92</v>
      </c>
      <c r="B2085" s="141"/>
      <c r="C2085" s="144" t="s">
        <v>4</v>
      </c>
      <c r="D2085" s="145"/>
    </row>
    <row r="2086" spans="1:4" ht="34.5" customHeight="1" thickBot="1">
      <c r="A2086" s="146">
        <f>A2085-A2084</f>
        <v>0</v>
      </c>
      <c r="B2086" s="147"/>
      <c r="C2086" s="148"/>
      <c r="D2086" s="35" t="s">
        <v>5</v>
      </c>
    </row>
    <row r="2087" spans="1:4" ht="34.5" customHeight="1" thickBot="1">
      <c r="A2087" s="149">
        <v>23</v>
      </c>
      <c r="B2087" s="150"/>
      <c r="C2087" s="151"/>
      <c r="D2087" s="35" t="s">
        <v>6</v>
      </c>
    </row>
    <row r="2088" spans="1:4" ht="34.5" customHeight="1" thickBot="1">
      <c r="A2088" s="144">
        <f>A2087*A2086</f>
        <v>0</v>
      </c>
      <c r="B2088" s="152"/>
      <c r="C2088" s="145"/>
      <c r="D2088" s="35" t="s">
        <v>7</v>
      </c>
    </row>
    <row r="2089" spans="1:4" ht="34.5" customHeight="1" thickBot="1">
      <c r="A2089" s="144">
        <v>0</v>
      </c>
      <c r="B2089" s="152"/>
      <c r="C2089" s="145"/>
      <c r="D2089" s="35" t="s">
        <v>437</v>
      </c>
    </row>
    <row r="2090" spans="1:4" ht="34.5" customHeight="1" thickBot="1">
      <c r="A2090" s="34">
        <v>0</v>
      </c>
      <c r="B2090" s="32" t="s">
        <v>8</v>
      </c>
      <c r="C2090" s="33">
        <v>970</v>
      </c>
      <c r="D2090" s="32" t="s">
        <v>9</v>
      </c>
    </row>
    <row r="2091" spans="1:4" ht="34.5" customHeight="1" thickBot="1">
      <c r="A2091" s="153" t="s">
        <v>436</v>
      </c>
      <c r="B2091" s="154"/>
      <c r="C2091" s="154"/>
      <c r="D2091" s="155"/>
    </row>
    <row r="2092" spans="1:4" ht="34.5" customHeight="1" thickBot="1">
      <c r="A2092" s="156" t="s">
        <v>435</v>
      </c>
      <c r="B2092" s="157"/>
      <c r="C2092" s="157"/>
      <c r="D2092" s="158"/>
    </row>
    <row r="2093" spans="1:4" ht="34.5" customHeight="1" thickBot="1">
      <c r="A2093" s="40"/>
      <c r="B2093" s="39"/>
      <c r="C2093" s="39"/>
      <c r="D2093" s="38"/>
    </row>
    <row r="2094" spans="1:4" ht="34.5" customHeight="1">
      <c r="A2094" s="159" t="s">
        <v>442</v>
      </c>
      <c r="B2094" s="160" t="s">
        <v>441</v>
      </c>
      <c r="C2094" s="160"/>
      <c r="D2094" s="161"/>
    </row>
    <row r="2095" spans="1:4" ht="34.5" customHeight="1" thickBot="1">
      <c r="A2095" s="162"/>
      <c r="B2095" s="163"/>
      <c r="C2095" s="163"/>
      <c r="D2095" s="164"/>
    </row>
    <row r="2096" spans="1:4" ht="34.5" customHeight="1" thickBot="1">
      <c r="A2096" s="142" t="s">
        <v>11</v>
      </c>
      <c r="B2096" s="143"/>
      <c r="C2096" s="165" t="s">
        <v>591</v>
      </c>
      <c r="D2096" s="143"/>
    </row>
    <row r="2097" spans="1:4" ht="34.5" customHeight="1" thickBot="1">
      <c r="A2097" s="137" t="s">
        <v>661</v>
      </c>
      <c r="B2097" s="138"/>
      <c r="C2097" s="138"/>
      <c r="D2097" s="139"/>
    </row>
    <row r="2098" spans="1:4" ht="34.5" customHeight="1" thickBot="1">
      <c r="A2098" s="34" t="s">
        <v>596</v>
      </c>
      <c r="B2098" s="32" t="s">
        <v>438</v>
      </c>
      <c r="C2098" s="34">
        <v>0</v>
      </c>
      <c r="D2098" s="32" t="s">
        <v>0</v>
      </c>
    </row>
    <row r="2099" spans="1:4" ht="34.5" customHeight="1" thickBot="1">
      <c r="A2099" s="37" t="s">
        <v>673</v>
      </c>
      <c r="B2099" s="36" t="s">
        <v>1</v>
      </c>
      <c r="C2099" s="34" t="s">
        <v>674</v>
      </c>
      <c r="D2099" s="32" t="s">
        <v>2</v>
      </c>
    </row>
    <row r="2100" spans="1:4" ht="34.5" customHeight="1" thickBot="1">
      <c r="A2100" s="140">
        <v>50</v>
      </c>
      <c r="B2100" s="141"/>
      <c r="C2100" s="142" t="s">
        <v>3</v>
      </c>
      <c r="D2100" s="143"/>
    </row>
    <row r="2101" spans="1:4" ht="34.5" customHeight="1" thickBot="1">
      <c r="A2101" s="140">
        <v>92</v>
      </c>
      <c r="B2101" s="141"/>
      <c r="C2101" s="144" t="s">
        <v>4</v>
      </c>
      <c r="D2101" s="145"/>
    </row>
    <row r="2102" spans="1:4" ht="34.5" customHeight="1" thickBot="1">
      <c r="A2102" s="146">
        <f>A2101-A2100</f>
        <v>42</v>
      </c>
      <c r="B2102" s="147"/>
      <c r="C2102" s="148"/>
      <c r="D2102" s="35" t="s">
        <v>5</v>
      </c>
    </row>
    <row r="2103" spans="1:4" ht="34.5" customHeight="1" thickBot="1">
      <c r="A2103" s="149">
        <v>23</v>
      </c>
      <c r="B2103" s="150"/>
      <c r="C2103" s="151"/>
      <c r="D2103" s="35" t="s">
        <v>6</v>
      </c>
    </row>
    <row r="2104" spans="1:4" ht="34.5" customHeight="1" thickBot="1">
      <c r="A2104" s="144">
        <f>A2103*A2102</f>
        <v>966</v>
      </c>
      <c r="B2104" s="152"/>
      <c r="C2104" s="145"/>
      <c r="D2104" s="35" t="s">
        <v>7</v>
      </c>
    </row>
    <row r="2105" spans="1:4" ht="34.5" customHeight="1" thickBot="1">
      <c r="A2105" s="144">
        <v>0</v>
      </c>
      <c r="B2105" s="152"/>
      <c r="C2105" s="145"/>
      <c r="D2105" s="35" t="s">
        <v>437</v>
      </c>
    </row>
    <row r="2106" spans="1:4" ht="34.5" customHeight="1" thickBot="1">
      <c r="A2106" s="34">
        <v>0</v>
      </c>
      <c r="B2106" s="32" t="s">
        <v>8</v>
      </c>
      <c r="C2106" s="33">
        <v>970</v>
      </c>
      <c r="D2106" s="32" t="s">
        <v>9</v>
      </c>
    </row>
    <row r="2107" spans="1:4" ht="34.5" customHeight="1" thickBot="1">
      <c r="A2107" s="153" t="s">
        <v>436</v>
      </c>
      <c r="B2107" s="154"/>
      <c r="C2107" s="154"/>
      <c r="D2107" s="155"/>
    </row>
    <row r="2108" spans="1:4" ht="34.5" customHeight="1" thickBot="1">
      <c r="A2108" s="156" t="s">
        <v>435</v>
      </c>
      <c r="B2108" s="157"/>
      <c r="C2108" s="157"/>
      <c r="D2108" s="158"/>
    </row>
    <row r="2109" spans="1:4" ht="34.5" customHeight="1">
      <c r="A2109" s="159" t="s">
        <v>442</v>
      </c>
      <c r="B2109" s="160" t="s">
        <v>441</v>
      </c>
      <c r="C2109" s="160"/>
      <c r="D2109" s="161"/>
    </row>
    <row r="2110" spans="1:4" ht="34.5" customHeight="1" thickBot="1">
      <c r="A2110" s="162"/>
      <c r="B2110" s="163"/>
      <c r="C2110" s="163"/>
      <c r="D2110" s="164"/>
    </row>
    <row r="2111" spans="1:4" ht="34.5" customHeight="1" thickBot="1">
      <c r="A2111" s="142" t="s">
        <v>11</v>
      </c>
      <c r="B2111" s="143"/>
      <c r="C2111" s="165" t="s">
        <v>591</v>
      </c>
      <c r="D2111" s="143"/>
    </row>
    <row r="2112" spans="1:4" ht="34.5" customHeight="1" thickBot="1">
      <c r="A2112" s="137" t="s">
        <v>662</v>
      </c>
      <c r="B2112" s="138"/>
      <c r="C2112" s="138"/>
      <c r="D2112" s="139"/>
    </row>
    <row r="2113" spans="1:4" ht="34.5" customHeight="1" thickBot="1">
      <c r="A2113" s="34" t="s">
        <v>596</v>
      </c>
      <c r="B2113" s="32" t="s">
        <v>438</v>
      </c>
      <c r="C2113" s="34">
        <v>0</v>
      </c>
      <c r="D2113" s="32" t="s">
        <v>0</v>
      </c>
    </row>
    <row r="2114" spans="1:4" ht="34.5" customHeight="1" thickBot="1">
      <c r="A2114" s="37" t="s">
        <v>673</v>
      </c>
      <c r="B2114" s="36" t="s">
        <v>1</v>
      </c>
      <c r="C2114" s="34" t="s">
        <v>674</v>
      </c>
      <c r="D2114" s="32" t="s">
        <v>2</v>
      </c>
    </row>
    <row r="2115" spans="1:4" ht="34.5" customHeight="1" thickBot="1">
      <c r="A2115" s="140">
        <v>105</v>
      </c>
      <c r="B2115" s="141"/>
      <c r="C2115" s="142" t="s">
        <v>3</v>
      </c>
      <c r="D2115" s="143"/>
    </row>
    <row r="2116" spans="1:4" ht="34.5" customHeight="1" thickBot="1">
      <c r="A2116" s="140">
        <v>105</v>
      </c>
      <c r="B2116" s="141"/>
      <c r="C2116" s="144" t="s">
        <v>4</v>
      </c>
      <c r="D2116" s="145"/>
    </row>
    <row r="2117" spans="1:4" ht="34.5" customHeight="1" thickBot="1">
      <c r="A2117" s="146">
        <f>A2116-A2115</f>
        <v>0</v>
      </c>
      <c r="B2117" s="147"/>
      <c r="C2117" s="148"/>
      <c r="D2117" s="35" t="s">
        <v>5</v>
      </c>
    </row>
    <row r="2118" spans="1:4" ht="34.5" customHeight="1" thickBot="1">
      <c r="A2118" s="149">
        <v>23</v>
      </c>
      <c r="B2118" s="150"/>
      <c r="C2118" s="151"/>
      <c r="D2118" s="35" t="s">
        <v>6</v>
      </c>
    </row>
    <row r="2119" spans="1:4" ht="34.5" customHeight="1" thickBot="1">
      <c r="A2119" s="144">
        <f>A2118*A2117</f>
        <v>0</v>
      </c>
      <c r="B2119" s="152"/>
      <c r="C2119" s="145"/>
      <c r="D2119" s="35" t="s">
        <v>7</v>
      </c>
    </row>
    <row r="2120" spans="1:4" ht="34.5" customHeight="1" thickBot="1">
      <c r="A2120" s="144">
        <v>0</v>
      </c>
      <c r="B2120" s="152"/>
      <c r="C2120" s="145"/>
      <c r="D2120" s="35" t="s">
        <v>437</v>
      </c>
    </row>
    <row r="2121" spans="1:4" ht="34.5" customHeight="1" thickBot="1">
      <c r="A2121" s="34">
        <v>0</v>
      </c>
      <c r="B2121" s="32" t="s">
        <v>8</v>
      </c>
      <c r="C2121" s="33">
        <v>1270</v>
      </c>
      <c r="D2121" s="32" t="s">
        <v>9</v>
      </c>
    </row>
    <row r="2122" spans="1:4" ht="34.5" customHeight="1" thickBot="1">
      <c r="A2122" s="153" t="s">
        <v>436</v>
      </c>
      <c r="B2122" s="154"/>
      <c r="C2122" s="154"/>
      <c r="D2122" s="155"/>
    </row>
    <row r="2123" spans="1:4" ht="34.5" customHeight="1" thickBot="1">
      <c r="A2123" s="156" t="s">
        <v>435</v>
      </c>
      <c r="B2123" s="157"/>
      <c r="C2123" s="157"/>
      <c r="D2123" s="158"/>
    </row>
    <row r="2124" spans="1:4" ht="34.5" customHeight="1" thickBot="1">
      <c r="A2124" s="40"/>
      <c r="B2124" s="39"/>
      <c r="C2124" s="39"/>
      <c r="D2124" s="38"/>
    </row>
    <row r="2125" spans="1:4" ht="34.5" customHeight="1">
      <c r="A2125" s="159" t="s">
        <v>442</v>
      </c>
      <c r="B2125" s="160" t="s">
        <v>441</v>
      </c>
      <c r="C2125" s="160"/>
      <c r="D2125" s="161"/>
    </row>
    <row r="2126" spans="1:4" ht="34.5" customHeight="1" thickBot="1">
      <c r="A2126" s="162"/>
      <c r="B2126" s="163"/>
      <c r="C2126" s="163"/>
      <c r="D2126" s="164"/>
    </row>
    <row r="2127" spans="1:4" ht="34.5" customHeight="1" thickBot="1">
      <c r="A2127" s="142" t="s">
        <v>11</v>
      </c>
      <c r="B2127" s="143"/>
      <c r="C2127" s="165" t="s">
        <v>591</v>
      </c>
      <c r="D2127" s="143"/>
    </row>
    <row r="2128" spans="1:4" ht="34.5" customHeight="1" thickBot="1">
      <c r="A2128" s="137" t="s">
        <v>662</v>
      </c>
      <c r="B2128" s="138"/>
      <c r="C2128" s="138"/>
      <c r="D2128" s="139"/>
    </row>
    <row r="2129" spans="1:4" ht="34.5" customHeight="1" thickBot="1">
      <c r="A2129" s="34" t="s">
        <v>596</v>
      </c>
      <c r="B2129" s="32" t="s">
        <v>438</v>
      </c>
      <c r="C2129" s="34">
        <v>0</v>
      </c>
      <c r="D2129" s="32" t="s">
        <v>0</v>
      </c>
    </row>
    <row r="2130" spans="1:4" ht="34.5" customHeight="1" thickBot="1">
      <c r="A2130" s="37" t="s">
        <v>673</v>
      </c>
      <c r="B2130" s="36" t="s">
        <v>1</v>
      </c>
      <c r="C2130" s="34" t="s">
        <v>674</v>
      </c>
      <c r="D2130" s="32" t="s">
        <v>2</v>
      </c>
    </row>
    <row r="2131" spans="1:4" ht="34.5" customHeight="1" thickBot="1">
      <c r="A2131" s="140">
        <v>50</v>
      </c>
      <c r="B2131" s="141"/>
      <c r="C2131" s="142" t="s">
        <v>3</v>
      </c>
      <c r="D2131" s="143"/>
    </row>
    <row r="2132" spans="1:4" ht="34.5" customHeight="1" thickBot="1">
      <c r="A2132" s="140">
        <v>105</v>
      </c>
      <c r="B2132" s="141"/>
      <c r="C2132" s="144" t="s">
        <v>4</v>
      </c>
      <c r="D2132" s="145"/>
    </row>
    <row r="2133" spans="1:4" ht="34.5" customHeight="1" thickBot="1">
      <c r="A2133" s="146">
        <f>A2132-A2131</f>
        <v>55</v>
      </c>
      <c r="B2133" s="147"/>
      <c r="C2133" s="148"/>
      <c r="D2133" s="35" t="s">
        <v>5</v>
      </c>
    </row>
    <row r="2134" spans="1:4" ht="34.5" customHeight="1" thickBot="1">
      <c r="A2134" s="149">
        <v>23</v>
      </c>
      <c r="B2134" s="150"/>
      <c r="C2134" s="151"/>
      <c r="D2134" s="35" t="s">
        <v>6</v>
      </c>
    </row>
    <row r="2135" spans="1:4" ht="34.5" customHeight="1" thickBot="1">
      <c r="A2135" s="144">
        <f>A2134*A2133</f>
        <v>1265</v>
      </c>
      <c r="B2135" s="152"/>
      <c r="C2135" s="145"/>
      <c r="D2135" s="35" t="s">
        <v>7</v>
      </c>
    </row>
    <row r="2136" spans="1:4" ht="34.5" customHeight="1" thickBot="1">
      <c r="A2136" s="144">
        <v>0</v>
      </c>
      <c r="B2136" s="152"/>
      <c r="C2136" s="145"/>
      <c r="D2136" s="35" t="s">
        <v>437</v>
      </c>
    </row>
    <row r="2137" spans="1:4" ht="34.5" customHeight="1" thickBot="1">
      <c r="A2137" s="34">
        <v>0</v>
      </c>
      <c r="B2137" s="32" t="s">
        <v>8</v>
      </c>
      <c r="C2137" s="33">
        <v>1270</v>
      </c>
      <c r="D2137" s="32" t="s">
        <v>9</v>
      </c>
    </row>
    <row r="2138" spans="1:4" ht="34.5" customHeight="1" thickBot="1">
      <c r="A2138" s="153" t="s">
        <v>436</v>
      </c>
      <c r="B2138" s="154"/>
      <c r="C2138" s="154"/>
      <c r="D2138" s="155"/>
    </row>
    <row r="2139" spans="1:4" ht="34.5" customHeight="1" thickBot="1">
      <c r="A2139" s="156" t="s">
        <v>435</v>
      </c>
      <c r="B2139" s="157"/>
      <c r="C2139" s="157"/>
      <c r="D2139" s="158"/>
    </row>
  </sheetData>
  <mergeCells count="1933">
    <mergeCell ref="A2132:B2132"/>
    <mergeCell ref="C2132:D2132"/>
    <mergeCell ref="A2133:C2133"/>
    <mergeCell ref="A2134:C2134"/>
    <mergeCell ref="A2135:C2135"/>
    <mergeCell ref="A2136:C2136"/>
    <mergeCell ref="A2138:D2138"/>
    <mergeCell ref="A2139:D2139"/>
    <mergeCell ref="A2112:D2112"/>
    <mergeCell ref="A2115:B2115"/>
    <mergeCell ref="C2115:D2115"/>
    <mergeCell ref="A2116:B2116"/>
    <mergeCell ref="C2116:D2116"/>
    <mergeCell ref="A2117:C2117"/>
    <mergeCell ref="A2118:C2118"/>
    <mergeCell ref="A2119:C2119"/>
    <mergeCell ref="A2120:C2120"/>
    <mergeCell ref="A2122:D2122"/>
    <mergeCell ref="A2123:D2123"/>
    <mergeCell ref="A2125:D2126"/>
    <mergeCell ref="A2127:B2127"/>
    <mergeCell ref="C2127:D2127"/>
    <mergeCell ref="A2128:D2128"/>
    <mergeCell ref="A2131:B2131"/>
    <mergeCell ref="C2131:D2131"/>
    <mergeCell ref="A2094:D2095"/>
    <mergeCell ref="A2096:B2096"/>
    <mergeCell ref="C2096:D2096"/>
    <mergeCell ref="A2097:D2097"/>
    <mergeCell ref="A2100:B2100"/>
    <mergeCell ref="C2100:D2100"/>
    <mergeCell ref="A2101:B2101"/>
    <mergeCell ref="C2101:D2101"/>
    <mergeCell ref="A2102:C2102"/>
    <mergeCell ref="A2103:C2103"/>
    <mergeCell ref="A2104:C2104"/>
    <mergeCell ref="A2105:C2105"/>
    <mergeCell ref="A2107:D2107"/>
    <mergeCell ref="A2108:D2108"/>
    <mergeCell ref="A2109:D2110"/>
    <mergeCell ref="A2111:B2111"/>
    <mergeCell ref="C2111:D2111"/>
    <mergeCell ref="A2074:C2074"/>
    <mergeCell ref="A2076:D2076"/>
    <mergeCell ref="A2077:D2077"/>
    <mergeCell ref="A2078:D2079"/>
    <mergeCell ref="A2080:B2080"/>
    <mergeCell ref="C2080:D2080"/>
    <mergeCell ref="A2081:D2081"/>
    <mergeCell ref="A2084:B2084"/>
    <mergeCell ref="C2084:D2084"/>
    <mergeCell ref="A2085:B2085"/>
    <mergeCell ref="C2085:D2085"/>
    <mergeCell ref="A2086:C2086"/>
    <mergeCell ref="A2087:C2087"/>
    <mergeCell ref="A2088:C2088"/>
    <mergeCell ref="A2089:C2089"/>
    <mergeCell ref="A2091:D2091"/>
    <mergeCell ref="A2092:D2092"/>
    <mergeCell ref="A2070:B2070"/>
    <mergeCell ref="C2070:D2070"/>
    <mergeCell ref="A2060:D2060"/>
    <mergeCell ref="A2061:D2061"/>
    <mergeCell ref="A2065:B2065"/>
    <mergeCell ref="C2065:D2065"/>
    <mergeCell ref="A2069:B2069"/>
    <mergeCell ref="C2069:D2069"/>
    <mergeCell ref="A2058:C2058"/>
    <mergeCell ref="A2063:D2064"/>
    <mergeCell ref="A2066:D2066"/>
    <mergeCell ref="A2071:C2071"/>
    <mergeCell ref="A2072:C2072"/>
    <mergeCell ref="A2073:C2073"/>
    <mergeCell ref="C2049:D2049"/>
    <mergeCell ref="A2053:B2053"/>
    <mergeCell ref="C2053:D2053"/>
    <mergeCell ref="A2054:B2054"/>
    <mergeCell ref="C2054:D2054"/>
    <mergeCell ref="A2047:D2048"/>
    <mergeCell ref="A2049:B2049"/>
    <mergeCell ref="A2050:D2050"/>
    <mergeCell ref="A2055:C2055"/>
    <mergeCell ref="A2056:C2056"/>
    <mergeCell ref="A2057:C2057"/>
    <mergeCell ref="A1801:B1801"/>
    <mergeCell ref="C1801:D1801"/>
    <mergeCell ref="A1822:B1822"/>
    <mergeCell ref="C1822:D1822"/>
    <mergeCell ref="A1823:C1823"/>
    <mergeCell ref="A1824:C1824"/>
    <mergeCell ref="A1825:C1825"/>
    <mergeCell ref="A1826:C1826"/>
    <mergeCell ref="A1828:D1828"/>
    <mergeCell ref="A1829:D1829"/>
    <mergeCell ref="A1802:D1802"/>
    <mergeCell ref="A1805:B1805"/>
    <mergeCell ref="C1805:D1805"/>
    <mergeCell ref="A1806:B1806"/>
    <mergeCell ref="C1806:D1806"/>
    <mergeCell ref="A1807:C1807"/>
    <mergeCell ref="A1808:C1808"/>
    <mergeCell ref="A1809:C1809"/>
    <mergeCell ref="A1810:C1810"/>
    <mergeCell ref="A1812:D1812"/>
    <mergeCell ref="A1813:D1813"/>
    <mergeCell ref="A1815:D1816"/>
    <mergeCell ref="A1817:B1817"/>
    <mergeCell ref="C1817:D1817"/>
    <mergeCell ref="A1818:D1818"/>
    <mergeCell ref="A1821:B1821"/>
    <mergeCell ref="C1821:D1821"/>
    <mergeCell ref="A1781:D1781"/>
    <mergeCell ref="A1782:D1782"/>
    <mergeCell ref="A1784:D1785"/>
    <mergeCell ref="A1786:B1786"/>
    <mergeCell ref="C1786:D1786"/>
    <mergeCell ref="A1787:D1787"/>
    <mergeCell ref="A1790:B1790"/>
    <mergeCell ref="C1790:D1790"/>
    <mergeCell ref="A1791:B1791"/>
    <mergeCell ref="C1791:D1791"/>
    <mergeCell ref="A1792:C1792"/>
    <mergeCell ref="A1793:C1793"/>
    <mergeCell ref="A1794:C1794"/>
    <mergeCell ref="A1795:C1795"/>
    <mergeCell ref="A1797:D1797"/>
    <mergeCell ref="A1798:D1798"/>
    <mergeCell ref="A1799:D1800"/>
    <mergeCell ref="A1762:C1762"/>
    <mergeCell ref="A1763:C1763"/>
    <mergeCell ref="A1764:C1764"/>
    <mergeCell ref="A1766:D1766"/>
    <mergeCell ref="A1767:D1767"/>
    <mergeCell ref="A1768:D1769"/>
    <mergeCell ref="A1770:B1770"/>
    <mergeCell ref="C1770:D1770"/>
    <mergeCell ref="A1771:D1771"/>
    <mergeCell ref="A1774:B1774"/>
    <mergeCell ref="C1774:D1774"/>
    <mergeCell ref="A1775:B1775"/>
    <mergeCell ref="C1775:D1775"/>
    <mergeCell ref="A1776:C1776"/>
    <mergeCell ref="A1777:C1777"/>
    <mergeCell ref="A1778:C1778"/>
    <mergeCell ref="A1779:C1779"/>
    <mergeCell ref="A1744:B1744"/>
    <mergeCell ref="C1744:D1744"/>
    <mergeCell ref="A1745:C1745"/>
    <mergeCell ref="A1746:C1746"/>
    <mergeCell ref="A1747:C1747"/>
    <mergeCell ref="A1748:C1748"/>
    <mergeCell ref="A1750:D1750"/>
    <mergeCell ref="A1751:D1751"/>
    <mergeCell ref="A1753:D1754"/>
    <mergeCell ref="A1755:B1755"/>
    <mergeCell ref="C1755:D1755"/>
    <mergeCell ref="A1756:D1756"/>
    <mergeCell ref="A1759:B1759"/>
    <mergeCell ref="C1759:D1759"/>
    <mergeCell ref="A1760:B1760"/>
    <mergeCell ref="C1760:D1760"/>
    <mergeCell ref="A1761:C1761"/>
    <mergeCell ref="A1725:D1725"/>
    <mergeCell ref="A1728:B1728"/>
    <mergeCell ref="C1728:D1728"/>
    <mergeCell ref="A1729:B1729"/>
    <mergeCell ref="C1729:D1729"/>
    <mergeCell ref="A1730:C1730"/>
    <mergeCell ref="A1731:C1731"/>
    <mergeCell ref="A1732:C1732"/>
    <mergeCell ref="A1733:C1733"/>
    <mergeCell ref="A1735:D1735"/>
    <mergeCell ref="A1736:D1736"/>
    <mergeCell ref="A1737:D1738"/>
    <mergeCell ref="A1739:B1739"/>
    <mergeCell ref="C1739:D1739"/>
    <mergeCell ref="A1740:D1740"/>
    <mergeCell ref="A1743:B1743"/>
    <mergeCell ref="C1743:D1743"/>
    <mergeCell ref="A1706:D1707"/>
    <mergeCell ref="A1708:B1708"/>
    <mergeCell ref="C1708:D1708"/>
    <mergeCell ref="A1709:D1709"/>
    <mergeCell ref="A1712:B1712"/>
    <mergeCell ref="C1712:D1712"/>
    <mergeCell ref="A1713:B1713"/>
    <mergeCell ref="C1713:D1713"/>
    <mergeCell ref="A1714:C1714"/>
    <mergeCell ref="A1715:C1715"/>
    <mergeCell ref="A1716:C1716"/>
    <mergeCell ref="A1717:C1717"/>
    <mergeCell ref="A1719:D1719"/>
    <mergeCell ref="A1720:D1720"/>
    <mergeCell ref="A1722:D1723"/>
    <mergeCell ref="A1724:B1724"/>
    <mergeCell ref="C1724:D1724"/>
    <mergeCell ref="A1686:C1686"/>
    <mergeCell ref="A1688:D1688"/>
    <mergeCell ref="A1689:D1689"/>
    <mergeCell ref="A1691:D1692"/>
    <mergeCell ref="A1693:B1693"/>
    <mergeCell ref="C1693:D1693"/>
    <mergeCell ref="A1694:D1694"/>
    <mergeCell ref="A1697:B1697"/>
    <mergeCell ref="C1697:D1697"/>
    <mergeCell ref="A1698:B1698"/>
    <mergeCell ref="C1698:D1698"/>
    <mergeCell ref="A1699:C1699"/>
    <mergeCell ref="A1700:C1700"/>
    <mergeCell ref="A1701:C1701"/>
    <mergeCell ref="A1702:C1702"/>
    <mergeCell ref="A1704:D1704"/>
    <mergeCell ref="A1705:D1705"/>
    <mergeCell ref="A1668:C1668"/>
    <mergeCell ref="A1669:C1669"/>
    <mergeCell ref="A1670:C1670"/>
    <mergeCell ref="A1671:C1671"/>
    <mergeCell ref="A1673:D1673"/>
    <mergeCell ref="A1674:D1674"/>
    <mergeCell ref="A1675:D1676"/>
    <mergeCell ref="A1677:B1677"/>
    <mergeCell ref="C1677:D1677"/>
    <mergeCell ref="A1678:D1678"/>
    <mergeCell ref="A1681:B1681"/>
    <mergeCell ref="C1681:D1681"/>
    <mergeCell ref="A1682:B1682"/>
    <mergeCell ref="C1682:D1682"/>
    <mergeCell ref="A1683:C1683"/>
    <mergeCell ref="A1684:C1684"/>
    <mergeCell ref="A1685:C1685"/>
    <mergeCell ref="A1650:B1650"/>
    <mergeCell ref="C1650:D1650"/>
    <mergeCell ref="A1651:B1651"/>
    <mergeCell ref="C1651:D1651"/>
    <mergeCell ref="A1652:C1652"/>
    <mergeCell ref="A1653:C1653"/>
    <mergeCell ref="A1654:C1654"/>
    <mergeCell ref="A1655:C1655"/>
    <mergeCell ref="A1657:D1657"/>
    <mergeCell ref="A1658:D1658"/>
    <mergeCell ref="A1660:D1661"/>
    <mergeCell ref="A1662:B1662"/>
    <mergeCell ref="C1662:D1662"/>
    <mergeCell ref="A1663:D1663"/>
    <mergeCell ref="A1666:B1666"/>
    <mergeCell ref="C1666:D1666"/>
    <mergeCell ref="A1667:B1667"/>
    <mergeCell ref="C1667:D1667"/>
    <mergeCell ref="A1631:B1631"/>
    <mergeCell ref="C1631:D1631"/>
    <mergeCell ref="A1632:D1632"/>
    <mergeCell ref="A1635:B1635"/>
    <mergeCell ref="C1635:D1635"/>
    <mergeCell ref="A1636:B1636"/>
    <mergeCell ref="C1636:D1636"/>
    <mergeCell ref="A1637:C1637"/>
    <mergeCell ref="A1638:C1638"/>
    <mergeCell ref="A1639:C1639"/>
    <mergeCell ref="A1640:C1640"/>
    <mergeCell ref="A1642:D1642"/>
    <mergeCell ref="A1643:D1643"/>
    <mergeCell ref="A1644:D1645"/>
    <mergeCell ref="A1646:B1646"/>
    <mergeCell ref="C1646:D1646"/>
    <mergeCell ref="A1647:D1647"/>
    <mergeCell ref="A27:C27"/>
    <mergeCell ref="A28:C28"/>
    <mergeCell ref="A30:D30"/>
    <mergeCell ref="A31:D31"/>
    <mergeCell ref="A32:D33"/>
    <mergeCell ref="A34:B34"/>
    <mergeCell ref="C34:D34"/>
    <mergeCell ref="A1:D2"/>
    <mergeCell ref="A3:B3"/>
    <mergeCell ref="C3:D3"/>
    <mergeCell ref="A4:D4"/>
    <mergeCell ref="A7:B7"/>
    <mergeCell ref="C7:D7"/>
    <mergeCell ref="A23:B23"/>
    <mergeCell ref="C23:D23"/>
    <mergeCell ref="A24:B24"/>
    <mergeCell ref="C24:D24"/>
    <mergeCell ref="A25:C25"/>
    <mergeCell ref="A26:C26"/>
    <mergeCell ref="A14:D14"/>
    <mergeCell ref="A15:D15"/>
    <mergeCell ref="A17:D18"/>
    <mergeCell ref="A19:B19"/>
    <mergeCell ref="C19:D19"/>
    <mergeCell ref="A20:D20"/>
    <mergeCell ref="A8:B8"/>
    <mergeCell ref="C8:D8"/>
    <mergeCell ref="A9:C9"/>
    <mergeCell ref="A10:C10"/>
    <mergeCell ref="A11:C11"/>
    <mergeCell ref="A12:C12"/>
    <mergeCell ref="A50:B50"/>
    <mergeCell ref="C50:D50"/>
    <mergeCell ref="A51:D51"/>
    <mergeCell ref="A54:B54"/>
    <mergeCell ref="C54:D54"/>
    <mergeCell ref="A55:B55"/>
    <mergeCell ref="C55:D55"/>
    <mergeCell ref="A41:C41"/>
    <mergeCell ref="A42:C42"/>
    <mergeCell ref="A43:C43"/>
    <mergeCell ref="A45:D45"/>
    <mergeCell ref="A46:D46"/>
    <mergeCell ref="A48:D49"/>
    <mergeCell ref="A35:D35"/>
    <mergeCell ref="A38:B38"/>
    <mergeCell ref="C38:D38"/>
    <mergeCell ref="A39:B39"/>
    <mergeCell ref="C39:D39"/>
    <mergeCell ref="A40:C40"/>
    <mergeCell ref="A70:B70"/>
    <mergeCell ref="C70:D70"/>
    <mergeCell ref="A71:C71"/>
    <mergeCell ref="A72:C72"/>
    <mergeCell ref="A73:C73"/>
    <mergeCell ref="A74:C74"/>
    <mergeCell ref="A63:D64"/>
    <mergeCell ref="A65:B65"/>
    <mergeCell ref="C65:D65"/>
    <mergeCell ref="A66:D66"/>
    <mergeCell ref="A69:B69"/>
    <mergeCell ref="C69:D69"/>
    <mergeCell ref="A56:C56"/>
    <mergeCell ref="A57:C57"/>
    <mergeCell ref="A58:C58"/>
    <mergeCell ref="A59:C59"/>
    <mergeCell ref="A61:D61"/>
    <mergeCell ref="A62:D62"/>
    <mergeCell ref="A89:C89"/>
    <mergeCell ref="A90:C90"/>
    <mergeCell ref="A92:D92"/>
    <mergeCell ref="A93:D93"/>
    <mergeCell ref="A94:D95"/>
    <mergeCell ref="A96:B96"/>
    <mergeCell ref="C96:D96"/>
    <mergeCell ref="A85:B85"/>
    <mergeCell ref="C85:D85"/>
    <mergeCell ref="A86:B86"/>
    <mergeCell ref="C86:D86"/>
    <mergeCell ref="A87:C87"/>
    <mergeCell ref="A88:C88"/>
    <mergeCell ref="A76:D76"/>
    <mergeCell ref="A77:D77"/>
    <mergeCell ref="A79:D80"/>
    <mergeCell ref="A81:B81"/>
    <mergeCell ref="C81:D81"/>
    <mergeCell ref="A82:D82"/>
    <mergeCell ref="A112:B112"/>
    <mergeCell ref="C112:D112"/>
    <mergeCell ref="A113:D113"/>
    <mergeCell ref="A116:B116"/>
    <mergeCell ref="C116:D116"/>
    <mergeCell ref="A117:B117"/>
    <mergeCell ref="C117:D117"/>
    <mergeCell ref="A103:C103"/>
    <mergeCell ref="A104:C104"/>
    <mergeCell ref="A105:C105"/>
    <mergeCell ref="A107:D107"/>
    <mergeCell ref="A108:D108"/>
    <mergeCell ref="A110:D111"/>
    <mergeCell ref="A97:D97"/>
    <mergeCell ref="A100:B100"/>
    <mergeCell ref="C100:D100"/>
    <mergeCell ref="A101:B101"/>
    <mergeCell ref="C101:D101"/>
    <mergeCell ref="A102:C102"/>
    <mergeCell ref="A132:B132"/>
    <mergeCell ref="C132:D132"/>
    <mergeCell ref="A133:C133"/>
    <mergeCell ref="A134:C134"/>
    <mergeCell ref="A135:C135"/>
    <mergeCell ref="A136:C136"/>
    <mergeCell ref="A125:D126"/>
    <mergeCell ref="A127:B127"/>
    <mergeCell ref="C127:D127"/>
    <mergeCell ref="A128:D128"/>
    <mergeCell ref="A131:B131"/>
    <mergeCell ref="C131:D131"/>
    <mergeCell ref="A118:C118"/>
    <mergeCell ref="A119:C119"/>
    <mergeCell ref="A120:C120"/>
    <mergeCell ref="A121:C121"/>
    <mergeCell ref="A123:D123"/>
    <mergeCell ref="A124:D124"/>
    <mergeCell ref="A151:C151"/>
    <mergeCell ref="A152:C152"/>
    <mergeCell ref="A154:D154"/>
    <mergeCell ref="A155:D155"/>
    <mergeCell ref="A156:D157"/>
    <mergeCell ref="A158:B158"/>
    <mergeCell ref="C158:D158"/>
    <mergeCell ref="A147:B147"/>
    <mergeCell ref="C147:D147"/>
    <mergeCell ref="A148:B148"/>
    <mergeCell ref="C148:D148"/>
    <mergeCell ref="A149:C149"/>
    <mergeCell ref="A150:C150"/>
    <mergeCell ref="A138:D138"/>
    <mergeCell ref="A139:D139"/>
    <mergeCell ref="A141:D142"/>
    <mergeCell ref="A143:B143"/>
    <mergeCell ref="C143:D143"/>
    <mergeCell ref="A144:D144"/>
    <mergeCell ref="A174:B174"/>
    <mergeCell ref="C174:D174"/>
    <mergeCell ref="A175:D175"/>
    <mergeCell ref="A178:B178"/>
    <mergeCell ref="C178:D178"/>
    <mergeCell ref="A179:B179"/>
    <mergeCell ref="C179:D179"/>
    <mergeCell ref="A165:C165"/>
    <mergeCell ref="A166:C166"/>
    <mergeCell ref="A167:C167"/>
    <mergeCell ref="A169:D169"/>
    <mergeCell ref="A170:D170"/>
    <mergeCell ref="A172:D173"/>
    <mergeCell ref="A159:D159"/>
    <mergeCell ref="A162:B162"/>
    <mergeCell ref="C162:D162"/>
    <mergeCell ref="A163:B163"/>
    <mergeCell ref="C163:D163"/>
    <mergeCell ref="A164:C164"/>
    <mergeCell ref="A194:B194"/>
    <mergeCell ref="C194:D194"/>
    <mergeCell ref="A195:C195"/>
    <mergeCell ref="A196:C196"/>
    <mergeCell ref="A197:C197"/>
    <mergeCell ref="A198:C198"/>
    <mergeCell ref="A187:D188"/>
    <mergeCell ref="A189:B189"/>
    <mergeCell ref="C189:D189"/>
    <mergeCell ref="A190:D190"/>
    <mergeCell ref="A193:B193"/>
    <mergeCell ref="C193:D193"/>
    <mergeCell ref="A180:C180"/>
    <mergeCell ref="A181:C181"/>
    <mergeCell ref="A182:C182"/>
    <mergeCell ref="A183:C183"/>
    <mergeCell ref="A185:D185"/>
    <mergeCell ref="A186:D186"/>
    <mergeCell ref="A213:C213"/>
    <mergeCell ref="A214:C214"/>
    <mergeCell ref="A216:D216"/>
    <mergeCell ref="A217:D217"/>
    <mergeCell ref="A218:D219"/>
    <mergeCell ref="A220:B220"/>
    <mergeCell ref="C220:D220"/>
    <mergeCell ref="A209:B209"/>
    <mergeCell ref="C209:D209"/>
    <mergeCell ref="A210:B210"/>
    <mergeCell ref="C210:D210"/>
    <mergeCell ref="A211:C211"/>
    <mergeCell ref="A212:C212"/>
    <mergeCell ref="A200:D200"/>
    <mergeCell ref="A201:D201"/>
    <mergeCell ref="A203:D204"/>
    <mergeCell ref="A205:B205"/>
    <mergeCell ref="C205:D205"/>
    <mergeCell ref="A206:D206"/>
    <mergeCell ref="A236:B236"/>
    <mergeCell ref="C236:D236"/>
    <mergeCell ref="A237:D237"/>
    <mergeCell ref="A240:B240"/>
    <mergeCell ref="C240:D240"/>
    <mergeCell ref="A241:B241"/>
    <mergeCell ref="C241:D241"/>
    <mergeCell ref="A227:C227"/>
    <mergeCell ref="A228:C228"/>
    <mergeCell ref="A229:C229"/>
    <mergeCell ref="A231:D231"/>
    <mergeCell ref="A232:D232"/>
    <mergeCell ref="A234:D235"/>
    <mergeCell ref="A221:D221"/>
    <mergeCell ref="A224:B224"/>
    <mergeCell ref="C224:D224"/>
    <mergeCell ref="A225:B225"/>
    <mergeCell ref="C225:D225"/>
    <mergeCell ref="A226:C226"/>
    <mergeCell ref="A256:B256"/>
    <mergeCell ref="C256:D256"/>
    <mergeCell ref="A257:C257"/>
    <mergeCell ref="A258:C258"/>
    <mergeCell ref="A259:C259"/>
    <mergeCell ref="A260:C260"/>
    <mergeCell ref="A249:D250"/>
    <mergeCell ref="A251:B251"/>
    <mergeCell ref="C251:D251"/>
    <mergeCell ref="A252:D252"/>
    <mergeCell ref="A255:B255"/>
    <mergeCell ref="C255:D255"/>
    <mergeCell ref="A242:C242"/>
    <mergeCell ref="A243:C243"/>
    <mergeCell ref="A244:C244"/>
    <mergeCell ref="A245:C245"/>
    <mergeCell ref="A247:D247"/>
    <mergeCell ref="A248:D248"/>
    <mergeCell ref="A275:C275"/>
    <mergeCell ref="A276:C276"/>
    <mergeCell ref="A278:D278"/>
    <mergeCell ref="A279:D279"/>
    <mergeCell ref="A280:D281"/>
    <mergeCell ref="A282:B282"/>
    <mergeCell ref="C282:D282"/>
    <mergeCell ref="A271:B271"/>
    <mergeCell ref="C271:D271"/>
    <mergeCell ref="A272:B272"/>
    <mergeCell ref="C272:D272"/>
    <mergeCell ref="A273:C273"/>
    <mergeCell ref="A274:C274"/>
    <mergeCell ref="A262:D262"/>
    <mergeCell ref="A263:D263"/>
    <mergeCell ref="A265:D266"/>
    <mergeCell ref="A267:B267"/>
    <mergeCell ref="C267:D267"/>
    <mergeCell ref="A268:D268"/>
    <mergeCell ref="A298:B298"/>
    <mergeCell ref="C298:D298"/>
    <mergeCell ref="A299:D299"/>
    <mergeCell ref="A302:B302"/>
    <mergeCell ref="C302:D302"/>
    <mergeCell ref="A303:B303"/>
    <mergeCell ref="C303:D303"/>
    <mergeCell ref="A289:C289"/>
    <mergeCell ref="A290:C290"/>
    <mergeCell ref="A291:C291"/>
    <mergeCell ref="A293:D293"/>
    <mergeCell ref="A294:D294"/>
    <mergeCell ref="A296:D297"/>
    <mergeCell ref="A283:D283"/>
    <mergeCell ref="A286:B286"/>
    <mergeCell ref="C286:D286"/>
    <mergeCell ref="A287:B287"/>
    <mergeCell ref="C287:D287"/>
    <mergeCell ref="A288:C288"/>
    <mergeCell ref="A318:B318"/>
    <mergeCell ref="C318:D318"/>
    <mergeCell ref="A319:C319"/>
    <mergeCell ref="A320:C320"/>
    <mergeCell ref="A321:C321"/>
    <mergeCell ref="A322:C322"/>
    <mergeCell ref="A311:D312"/>
    <mergeCell ref="A313:B313"/>
    <mergeCell ref="C313:D313"/>
    <mergeCell ref="A314:D314"/>
    <mergeCell ref="A317:B317"/>
    <mergeCell ref="C317:D317"/>
    <mergeCell ref="A304:C304"/>
    <mergeCell ref="A305:C305"/>
    <mergeCell ref="A306:C306"/>
    <mergeCell ref="A307:C307"/>
    <mergeCell ref="A309:D309"/>
    <mergeCell ref="A310:D310"/>
    <mergeCell ref="A337:C337"/>
    <mergeCell ref="A338:C338"/>
    <mergeCell ref="A340:D340"/>
    <mergeCell ref="A341:D341"/>
    <mergeCell ref="A342:D343"/>
    <mergeCell ref="A344:B344"/>
    <mergeCell ref="C344:D344"/>
    <mergeCell ref="A333:B333"/>
    <mergeCell ref="C333:D333"/>
    <mergeCell ref="A334:B334"/>
    <mergeCell ref="C334:D334"/>
    <mergeCell ref="A335:C335"/>
    <mergeCell ref="A336:C336"/>
    <mergeCell ref="A324:D324"/>
    <mergeCell ref="A325:D325"/>
    <mergeCell ref="A327:D328"/>
    <mergeCell ref="A329:B329"/>
    <mergeCell ref="C329:D329"/>
    <mergeCell ref="A330:D330"/>
    <mergeCell ref="A360:B360"/>
    <mergeCell ref="C360:D360"/>
    <mergeCell ref="A361:D361"/>
    <mergeCell ref="A364:B364"/>
    <mergeCell ref="C364:D364"/>
    <mergeCell ref="A365:B365"/>
    <mergeCell ref="C365:D365"/>
    <mergeCell ref="A351:C351"/>
    <mergeCell ref="A352:C352"/>
    <mergeCell ref="A353:C353"/>
    <mergeCell ref="A355:D355"/>
    <mergeCell ref="A356:D356"/>
    <mergeCell ref="A358:D359"/>
    <mergeCell ref="A345:D345"/>
    <mergeCell ref="A348:B348"/>
    <mergeCell ref="C348:D348"/>
    <mergeCell ref="A349:B349"/>
    <mergeCell ref="C349:D349"/>
    <mergeCell ref="A350:C350"/>
    <mergeCell ref="A380:B380"/>
    <mergeCell ref="C380:D380"/>
    <mergeCell ref="A381:C381"/>
    <mergeCell ref="A382:C382"/>
    <mergeCell ref="A383:C383"/>
    <mergeCell ref="A384:C384"/>
    <mergeCell ref="A373:D374"/>
    <mergeCell ref="A375:B375"/>
    <mergeCell ref="C375:D375"/>
    <mergeCell ref="A376:D376"/>
    <mergeCell ref="A379:B379"/>
    <mergeCell ref="C379:D379"/>
    <mergeCell ref="A366:C366"/>
    <mergeCell ref="A367:C367"/>
    <mergeCell ref="A368:C368"/>
    <mergeCell ref="A369:C369"/>
    <mergeCell ref="A371:D371"/>
    <mergeCell ref="A372:D372"/>
    <mergeCell ref="A399:C399"/>
    <mergeCell ref="A400:C400"/>
    <mergeCell ref="A402:D402"/>
    <mergeCell ref="A403:D403"/>
    <mergeCell ref="A404:D405"/>
    <mergeCell ref="A406:B406"/>
    <mergeCell ref="C406:D406"/>
    <mergeCell ref="A395:B395"/>
    <mergeCell ref="C395:D395"/>
    <mergeCell ref="A396:B396"/>
    <mergeCell ref="C396:D396"/>
    <mergeCell ref="A397:C397"/>
    <mergeCell ref="A398:C398"/>
    <mergeCell ref="A386:D386"/>
    <mergeCell ref="A387:D387"/>
    <mergeCell ref="A389:D390"/>
    <mergeCell ref="A391:B391"/>
    <mergeCell ref="C391:D391"/>
    <mergeCell ref="A392:D392"/>
    <mergeCell ref="A422:B422"/>
    <mergeCell ref="C422:D422"/>
    <mergeCell ref="A423:D423"/>
    <mergeCell ref="A426:B426"/>
    <mergeCell ref="C426:D426"/>
    <mergeCell ref="A427:B427"/>
    <mergeCell ref="C427:D427"/>
    <mergeCell ref="A413:C413"/>
    <mergeCell ref="A414:C414"/>
    <mergeCell ref="A415:C415"/>
    <mergeCell ref="A417:D417"/>
    <mergeCell ref="A418:D418"/>
    <mergeCell ref="A420:D421"/>
    <mergeCell ref="A407:D407"/>
    <mergeCell ref="A410:B410"/>
    <mergeCell ref="C410:D410"/>
    <mergeCell ref="A411:B411"/>
    <mergeCell ref="C411:D411"/>
    <mergeCell ref="A412:C412"/>
    <mergeCell ref="A442:B442"/>
    <mergeCell ref="C442:D442"/>
    <mergeCell ref="A443:C443"/>
    <mergeCell ref="A444:C444"/>
    <mergeCell ref="A445:C445"/>
    <mergeCell ref="A446:C446"/>
    <mergeCell ref="A435:D436"/>
    <mergeCell ref="A437:B437"/>
    <mergeCell ref="C437:D437"/>
    <mergeCell ref="A438:D438"/>
    <mergeCell ref="A441:B441"/>
    <mergeCell ref="C441:D441"/>
    <mergeCell ref="A428:C428"/>
    <mergeCell ref="A429:C429"/>
    <mergeCell ref="A430:C430"/>
    <mergeCell ref="A431:C431"/>
    <mergeCell ref="A433:D433"/>
    <mergeCell ref="A434:D434"/>
    <mergeCell ref="A461:C461"/>
    <mergeCell ref="A462:C462"/>
    <mergeCell ref="A464:D464"/>
    <mergeCell ref="A465:D465"/>
    <mergeCell ref="A466:D467"/>
    <mergeCell ref="A468:B468"/>
    <mergeCell ref="C468:D468"/>
    <mergeCell ref="A457:B457"/>
    <mergeCell ref="C457:D457"/>
    <mergeCell ref="A458:B458"/>
    <mergeCell ref="C458:D458"/>
    <mergeCell ref="A459:C459"/>
    <mergeCell ref="A460:C460"/>
    <mergeCell ref="A448:D448"/>
    <mergeCell ref="A449:D449"/>
    <mergeCell ref="A451:D452"/>
    <mergeCell ref="A453:B453"/>
    <mergeCell ref="C453:D453"/>
    <mergeCell ref="A454:D454"/>
    <mergeCell ref="A484:B484"/>
    <mergeCell ref="C484:D484"/>
    <mergeCell ref="A485:D485"/>
    <mergeCell ref="A488:B488"/>
    <mergeCell ref="C488:D488"/>
    <mergeCell ref="A489:B489"/>
    <mergeCell ref="C489:D489"/>
    <mergeCell ref="A475:C475"/>
    <mergeCell ref="A476:C476"/>
    <mergeCell ref="A477:C477"/>
    <mergeCell ref="A479:D479"/>
    <mergeCell ref="A480:D480"/>
    <mergeCell ref="A482:D483"/>
    <mergeCell ref="A469:D469"/>
    <mergeCell ref="A472:B472"/>
    <mergeCell ref="C472:D472"/>
    <mergeCell ref="A473:B473"/>
    <mergeCell ref="C473:D473"/>
    <mergeCell ref="A474:C474"/>
    <mergeCell ref="A504:B504"/>
    <mergeCell ref="C504:D504"/>
    <mergeCell ref="A505:C505"/>
    <mergeCell ref="A506:C506"/>
    <mergeCell ref="A507:C507"/>
    <mergeCell ref="A508:C508"/>
    <mergeCell ref="A497:D498"/>
    <mergeCell ref="A499:B499"/>
    <mergeCell ref="C499:D499"/>
    <mergeCell ref="A500:D500"/>
    <mergeCell ref="A503:B503"/>
    <mergeCell ref="C503:D503"/>
    <mergeCell ref="A490:C490"/>
    <mergeCell ref="A491:C491"/>
    <mergeCell ref="A492:C492"/>
    <mergeCell ref="A493:C493"/>
    <mergeCell ref="A495:D495"/>
    <mergeCell ref="A496:D496"/>
    <mergeCell ref="A523:C523"/>
    <mergeCell ref="A524:C524"/>
    <mergeCell ref="A526:D526"/>
    <mergeCell ref="A527:D527"/>
    <mergeCell ref="A528:D529"/>
    <mergeCell ref="A530:B530"/>
    <mergeCell ref="C530:D530"/>
    <mergeCell ref="A519:B519"/>
    <mergeCell ref="C519:D519"/>
    <mergeCell ref="A520:B520"/>
    <mergeCell ref="C520:D520"/>
    <mergeCell ref="A521:C521"/>
    <mergeCell ref="A522:C522"/>
    <mergeCell ref="A510:D510"/>
    <mergeCell ref="A511:D511"/>
    <mergeCell ref="A513:D514"/>
    <mergeCell ref="A515:B515"/>
    <mergeCell ref="C515:D515"/>
    <mergeCell ref="A516:D516"/>
    <mergeCell ref="A546:B546"/>
    <mergeCell ref="C546:D546"/>
    <mergeCell ref="A547:D547"/>
    <mergeCell ref="A550:B550"/>
    <mergeCell ref="C550:D550"/>
    <mergeCell ref="A551:B551"/>
    <mergeCell ref="C551:D551"/>
    <mergeCell ref="A537:C537"/>
    <mergeCell ref="A538:C538"/>
    <mergeCell ref="A539:C539"/>
    <mergeCell ref="A541:D541"/>
    <mergeCell ref="A542:D542"/>
    <mergeCell ref="A544:D545"/>
    <mergeCell ref="A531:D531"/>
    <mergeCell ref="A534:B534"/>
    <mergeCell ref="C534:D534"/>
    <mergeCell ref="A535:B535"/>
    <mergeCell ref="C535:D535"/>
    <mergeCell ref="A536:C536"/>
    <mergeCell ref="A566:B566"/>
    <mergeCell ref="C566:D566"/>
    <mergeCell ref="A567:C567"/>
    <mergeCell ref="A568:C568"/>
    <mergeCell ref="A569:C569"/>
    <mergeCell ref="A570:C570"/>
    <mergeCell ref="A559:D560"/>
    <mergeCell ref="A561:B561"/>
    <mergeCell ref="C561:D561"/>
    <mergeCell ref="A562:D562"/>
    <mergeCell ref="A565:B565"/>
    <mergeCell ref="C565:D565"/>
    <mergeCell ref="A552:C552"/>
    <mergeCell ref="A553:C553"/>
    <mergeCell ref="A554:C554"/>
    <mergeCell ref="A555:C555"/>
    <mergeCell ref="A557:D557"/>
    <mergeCell ref="A558:D558"/>
    <mergeCell ref="A585:C585"/>
    <mergeCell ref="A586:C586"/>
    <mergeCell ref="A588:D588"/>
    <mergeCell ref="A589:D589"/>
    <mergeCell ref="A590:D591"/>
    <mergeCell ref="A592:B592"/>
    <mergeCell ref="C592:D592"/>
    <mergeCell ref="A581:B581"/>
    <mergeCell ref="C581:D581"/>
    <mergeCell ref="A582:B582"/>
    <mergeCell ref="C582:D582"/>
    <mergeCell ref="A583:C583"/>
    <mergeCell ref="A584:C584"/>
    <mergeCell ref="A572:D572"/>
    <mergeCell ref="A573:D573"/>
    <mergeCell ref="A575:D576"/>
    <mergeCell ref="A577:B577"/>
    <mergeCell ref="C577:D577"/>
    <mergeCell ref="A578:D578"/>
    <mergeCell ref="A608:B608"/>
    <mergeCell ref="C608:D608"/>
    <mergeCell ref="A609:D609"/>
    <mergeCell ref="A612:B612"/>
    <mergeCell ref="C612:D612"/>
    <mergeCell ref="A613:B613"/>
    <mergeCell ref="C613:D613"/>
    <mergeCell ref="A599:C599"/>
    <mergeCell ref="A600:C600"/>
    <mergeCell ref="A601:C601"/>
    <mergeCell ref="A603:D603"/>
    <mergeCell ref="A604:D604"/>
    <mergeCell ref="A606:D607"/>
    <mergeCell ref="A593:D593"/>
    <mergeCell ref="A596:B596"/>
    <mergeCell ref="C596:D596"/>
    <mergeCell ref="A597:B597"/>
    <mergeCell ref="C597:D597"/>
    <mergeCell ref="A598:C598"/>
    <mergeCell ref="A628:B628"/>
    <mergeCell ref="C628:D628"/>
    <mergeCell ref="A629:C629"/>
    <mergeCell ref="A630:C630"/>
    <mergeCell ref="A631:C631"/>
    <mergeCell ref="A632:C632"/>
    <mergeCell ref="A621:D622"/>
    <mergeCell ref="A623:B623"/>
    <mergeCell ref="C623:D623"/>
    <mergeCell ref="A624:D624"/>
    <mergeCell ref="A627:B627"/>
    <mergeCell ref="C627:D627"/>
    <mergeCell ref="A614:C614"/>
    <mergeCell ref="A615:C615"/>
    <mergeCell ref="A616:C616"/>
    <mergeCell ref="A617:C617"/>
    <mergeCell ref="A619:D619"/>
    <mergeCell ref="A620:D620"/>
    <mergeCell ref="A647:C647"/>
    <mergeCell ref="A648:C648"/>
    <mergeCell ref="A650:D650"/>
    <mergeCell ref="A651:D651"/>
    <mergeCell ref="A652:D653"/>
    <mergeCell ref="A654:B654"/>
    <mergeCell ref="C654:D654"/>
    <mergeCell ref="A643:B643"/>
    <mergeCell ref="C643:D643"/>
    <mergeCell ref="A644:B644"/>
    <mergeCell ref="C644:D644"/>
    <mergeCell ref="A645:C645"/>
    <mergeCell ref="A646:C646"/>
    <mergeCell ref="A634:D634"/>
    <mergeCell ref="A635:D635"/>
    <mergeCell ref="A637:D638"/>
    <mergeCell ref="A639:B639"/>
    <mergeCell ref="C639:D639"/>
    <mergeCell ref="A640:D640"/>
    <mergeCell ref="A670:B670"/>
    <mergeCell ref="C670:D670"/>
    <mergeCell ref="A671:D671"/>
    <mergeCell ref="A674:B674"/>
    <mergeCell ref="C674:D674"/>
    <mergeCell ref="A675:B675"/>
    <mergeCell ref="C675:D675"/>
    <mergeCell ref="A661:C661"/>
    <mergeCell ref="A662:C662"/>
    <mergeCell ref="A663:C663"/>
    <mergeCell ref="A665:D665"/>
    <mergeCell ref="A666:D666"/>
    <mergeCell ref="A668:D669"/>
    <mergeCell ref="A655:D655"/>
    <mergeCell ref="A658:B658"/>
    <mergeCell ref="C658:D658"/>
    <mergeCell ref="A659:B659"/>
    <mergeCell ref="C659:D659"/>
    <mergeCell ref="A660:C660"/>
    <mergeCell ref="A690:B690"/>
    <mergeCell ref="C690:D690"/>
    <mergeCell ref="A691:C691"/>
    <mergeCell ref="A692:C692"/>
    <mergeCell ref="A693:C693"/>
    <mergeCell ref="A694:C694"/>
    <mergeCell ref="A683:D684"/>
    <mergeCell ref="A685:B685"/>
    <mergeCell ref="C685:D685"/>
    <mergeCell ref="A686:D686"/>
    <mergeCell ref="A689:B689"/>
    <mergeCell ref="C689:D689"/>
    <mergeCell ref="A676:C676"/>
    <mergeCell ref="A677:C677"/>
    <mergeCell ref="A678:C678"/>
    <mergeCell ref="A679:C679"/>
    <mergeCell ref="A681:D681"/>
    <mergeCell ref="A682:D682"/>
    <mergeCell ref="A709:C709"/>
    <mergeCell ref="A710:C710"/>
    <mergeCell ref="A712:D712"/>
    <mergeCell ref="A713:D713"/>
    <mergeCell ref="A714:D715"/>
    <mergeCell ref="A716:B716"/>
    <mergeCell ref="C716:D716"/>
    <mergeCell ref="A730:D731"/>
    <mergeCell ref="A705:B705"/>
    <mergeCell ref="C705:D705"/>
    <mergeCell ref="A706:B706"/>
    <mergeCell ref="C706:D706"/>
    <mergeCell ref="A707:C707"/>
    <mergeCell ref="A708:C708"/>
    <mergeCell ref="A696:D696"/>
    <mergeCell ref="A697:D697"/>
    <mergeCell ref="A699:D700"/>
    <mergeCell ref="A701:B701"/>
    <mergeCell ref="C701:D701"/>
    <mergeCell ref="A702:D702"/>
    <mergeCell ref="A745:D746"/>
    <mergeCell ref="A747:B747"/>
    <mergeCell ref="C747:D747"/>
    <mergeCell ref="A748:D748"/>
    <mergeCell ref="A751:B751"/>
    <mergeCell ref="C751:D751"/>
    <mergeCell ref="A738:C738"/>
    <mergeCell ref="A741:C741"/>
    <mergeCell ref="A743:D743"/>
    <mergeCell ref="A744:D744"/>
    <mergeCell ref="A723:C723"/>
    <mergeCell ref="A724:C724"/>
    <mergeCell ref="A725:C725"/>
    <mergeCell ref="A727:D727"/>
    <mergeCell ref="A728:D728"/>
    <mergeCell ref="A717:D717"/>
    <mergeCell ref="A720:B720"/>
    <mergeCell ref="C720:D720"/>
    <mergeCell ref="A721:B721"/>
    <mergeCell ref="C721:D721"/>
    <mergeCell ref="A722:C722"/>
    <mergeCell ref="A732:B732"/>
    <mergeCell ref="C732:D732"/>
    <mergeCell ref="A733:D733"/>
    <mergeCell ref="A736:B736"/>
    <mergeCell ref="C736:D736"/>
    <mergeCell ref="A737:B737"/>
    <mergeCell ref="C737:D737"/>
    <mergeCell ref="A739:C739"/>
    <mergeCell ref="A740:C740"/>
    <mergeCell ref="A767:B767"/>
    <mergeCell ref="C767:D767"/>
    <mergeCell ref="A768:B768"/>
    <mergeCell ref="C768:D768"/>
    <mergeCell ref="A769:C769"/>
    <mergeCell ref="A770:C770"/>
    <mergeCell ref="A758:D758"/>
    <mergeCell ref="A759:D759"/>
    <mergeCell ref="A761:D762"/>
    <mergeCell ref="A763:B763"/>
    <mergeCell ref="C763:D763"/>
    <mergeCell ref="A764:D764"/>
    <mergeCell ref="A752:B752"/>
    <mergeCell ref="C752:D752"/>
    <mergeCell ref="A753:C753"/>
    <mergeCell ref="A754:C754"/>
    <mergeCell ref="A755:C755"/>
    <mergeCell ref="A756:C756"/>
    <mergeCell ref="A785:C785"/>
    <mergeCell ref="A786:C786"/>
    <mergeCell ref="A787:C787"/>
    <mergeCell ref="A789:D789"/>
    <mergeCell ref="A790:D790"/>
    <mergeCell ref="A792:D793"/>
    <mergeCell ref="A779:D779"/>
    <mergeCell ref="A782:B782"/>
    <mergeCell ref="C782:D782"/>
    <mergeCell ref="A783:B783"/>
    <mergeCell ref="C783:D783"/>
    <mergeCell ref="A784:C784"/>
    <mergeCell ref="A771:C771"/>
    <mergeCell ref="A772:C772"/>
    <mergeCell ref="A774:D774"/>
    <mergeCell ref="A775:D775"/>
    <mergeCell ref="A776:D777"/>
    <mergeCell ref="A778:B778"/>
    <mergeCell ref="C778:D778"/>
    <mergeCell ref="A807:D808"/>
    <mergeCell ref="A809:B809"/>
    <mergeCell ref="C809:D809"/>
    <mergeCell ref="A810:D810"/>
    <mergeCell ref="A813:B813"/>
    <mergeCell ref="C813:D813"/>
    <mergeCell ref="A800:C800"/>
    <mergeCell ref="A801:C801"/>
    <mergeCell ref="A802:C802"/>
    <mergeCell ref="A803:C803"/>
    <mergeCell ref="A805:D805"/>
    <mergeCell ref="A806:D806"/>
    <mergeCell ref="A794:B794"/>
    <mergeCell ref="C794:D794"/>
    <mergeCell ref="A795:D795"/>
    <mergeCell ref="A798:B798"/>
    <mergeCell ref="C798:D798"/>
    <mergeCell ref="A799:B799"/>
    <mergeCell ref="C799:D799"/>
    <mergeCell ref="A829:B829"/>
    <mergeCell ref="C829:D829"/>
    <mergeCell ref="A830:B830"/>
    <mergeCell ref="C830:D830"/>
    <mergeCell ref="A831:C831"/>
    <mergeCell ref="A832:C832"/>
    <mergeCell ref="A820:D820"/>
    <mergeCell ref="A821:D821"/>
    <mergeCell ref="A823:D824"/>
    <mergeCell ref="A825:B825"/>
    <mergeCell ref="C825:D825"/>
    <mergeCell ref="A826:D826"/>
    <mergeCell ref="A814:B814"/>
    <mergeCell ref="C814:D814"/>
    <mergeCell ref="A815:C815"/>
    <mergeCell ref="A816:C816"/>
    <mergeCell ref="A817:C817"/>
    <mergeCell ref="A818:C818"/>
    <mergeCell ref="A847:C847"/>
    <mergeCell ref="A848:C848"/>
    <mergeCell ref="A849:C849"/>
    <mergeCell ref="A851:D851"/>
    <mergeCell ref="A852:D852"/>
    <mergeCell ref="A854:D855"/>
    <mergeCell ref="A841:D841"/>
    <mergeCell ref="A844:B844"/>
    <mergeCell ref="C844:D844"/>
    <mergeCell ref="A845:B845"/>
    <mergeCell ref="C845:D845"/>
    <mergeCell ref="A846:C846"/>
    <mergeCell ref="A833:C833"/>
    <mergeCell ref="A834:C834"/>
    <mergeCell ref="A836:D836"/>
    <mergeCell ref="A837:D837"/>
    <mergeCell ref="A838:D839"/>
    <mergeCell ref="A840:B840"/>
    <mergeCell ref="C840:D840"/>
    <mergeCell ref="E868:F868"/>
    <mergeCell ref="A869:D870"/>
    <mergeCell ref="A871:B871"/>
    <mergeCell ref="C871:D871"/>
    <mergeCell ref="A872:D872"/>
    <mergeCell ref="A875:B875"/>
    <mergeCell ref="C875:D875"/>
    <mergeCell ref="A862:C862"/>
    <mergeCell ref="A863:C863"/>
    <mergeCell ref="A864:C864"/>
    <mergeCell ref="A865:C865"/>
    <mergeCell ref="A867:D867"/>
    <mergeCell ref="A868:D868"/>
    <mergeCell ref="A856:B856"/>
    <mergeCell ref="C856:D856"/>
    <mergeCell ref="A857:D857"/>
    <mergeCell ref="A860:B860"/>
    <mergeCell ref="C860:D860"/>
    <mergeCell ref="A861:B861"/>
    <mergeCell ref="C861:D861"/>
    <mergeCell ref="A891:B891"/>
    <mergeCell ref="C891:D891"/>
    <mergeCell ref="A892:B892"/>
    <mergeCell ref="C892:D892"/>
    <mergeCell ref="A893:C893"/>
    <mergeCell ref="A894:C894"/>
    <mergeCell ref="A882:D882"/>
    <mergeCell ref="A883:D883"/>
    <mergeCell ref="A885:D886"/>
    <mergeCell ref="A887:B887"/>
    <mergeCell ref="C887:D887"/>
    <mergeCell ref="A888:D888"/>
    <mergeCell ref="A876:B876"/>
    <mergeCell ref="C876:D876"/>
    <mergeCell ref="A877:C877"/>
    <mergeCell ref="A878:C878"/>
    <mergeCell ref="A879:C879"/>
    <mergeCell ref="A880:C880"/>
    <mergeCell ref="A909:C909"/>
    <mergeCell ref="A910:C910"/>
    <mergeCell ref="A911:C911"/>
    <mergeCell ref="A913:D913"/>
    <mergeCell ref="A914:D914"/>
    <mergeCell ref="A916:D917"/>
    <mergeCell ref="A903:D903"/>
    <mergeCell ref="A906:B906"/>
    <mergeCell ref="C906:D906"/>
    <mergeCell ref="A907:B907"/>
    <mergeCell ref="C907:D907"/>
    <mergeCell ref="A908:C908"/>
    <mergeCell ref="A895:C895"/>
    <mergeCell ref="A896:C896"/>
    <mergeCell ref="A898:D898"/>
    <mergeCell ref="A899:D899"/>
    <mergeCell ref="A900:D901"/>
    <mergeCell ref="A902:B902"/>
    <mergeCell ref="C902:D902"/>
    <mergeCell ref="A931:D932"/>
    <mergeCell ref="A933:B933"/>
    <mergeCell ref="C933:D933"/>
    <mergeCell ref="A934:D934"/>
    <mergeCell ref="A937:B937"/>
    <mergeCell ref="C937:D937"/>
    <mergeCell ref="A924:C924"/>
    <mergeCell ref="A925:C925"/>
    <mergeCell ref="A926:C926"/>
    <mergeCell ref="A927:C927"/>
    <mergeCell ref="A929:D929"/>
    <mergeCell ref="A930:D930"/>
    <mergeCell ref="A918:B918"/>
    <mergeCell ref="C918:D918"/>
    <mergeCell ref="A919:D919"/>
    <mergeCell ref="A922:B922"/>
    <mergeCell ref="C922:D922"/>
    <mergeCell ref="A923:B923"/>
    <mergeCell ref="C923:D923"/>
    <mergeCell ref="A953:B953"/>
    <mergeCell ref="C953:D953"/>
    <mergeCell ref="A954:B954"/>
    <mergeCell ref="C954:D954"/>
    <mergeCell ref="A955:C955"/>
    <mergeCell ref="A956:C956"/>
    <mergeCell ref="A944:D944"/>
    <mergeCell ref="A945:D945"/>
    <mergeCell ref="A947:D948"/>
    <mergeCell ref="A949:B949"/>
    <mergeCell ref="C949:D949"/>
    <mergeCell ref="A950:D950"/>
    <mergeCell ref="A938:B938"/>
    <mergeCell ref="C938:D938"/>
    <mergeCell ref="A939:C939"/>
    <mergeCell ref="A940:C940"/>
    <mergeCell ref="A941:C941"/>
    <mergeCell ref="A942:C942"/>
    <mergeCell ref="A971:C971"/>
    <mergeCell ref="A972:C972"/>
    <mergeCell ref="A973:C973"/>
    <mergeCell ref="A975:D975"/>
    <mergeCell ref="A976:D976"/>
    <mergeCell ref="A978:D979"/>
    <mergeCell ref="A965:D965"/>
    <mergeCell ref="A968:B968"/>
    <mergeCell ref="C968:D968"/>
    <mergeCell ref="A969:B969"/>
    <mergeCell ref="C969:D969"/>
    <mergeCell ref="A970:C970"/>
    <mergeCell ref="A957:C957"/>
    <mergeCell ref="A958:C958"/>
    <mergeCell ref="A960:D960"/>
    <mergeCell ref="A961:D961"/>
    <mergeCell ref="A962:D963"/>
    <mergeCell ref="A964:B964"/>
    <mergeCell ref="C964:D964"/>
    <mergeCell ref="A993:D994"/>
    <mergeCell ref="A995:B995"/>
    <mergeCell ref="C995:D995"/>
    <mergeCell ref="A996:D996"/>
    <mergeCell ref="A999:B999"/>
    <mergeCell ref="C999:D999"/>
    <mergeCell ref="A986:C986"/>
    <mergeCell ref="A987:C987"/>
    <mergeCell ref="A988:C988"/>
    <mergeCell ref="A989:C989"/>
    <mergeCell ref="A991:D991"/>
    <mergeCell ref="A992:D992"/>
    <mergeCell ref="A980:B980"/>
    <mergeCell ref="C980:D980"/>
    <mergeCell ref="A981:D981"/>
    <mergeCell ref="A984:B984"/>
    <mergeCell ref="C984:D984"/>
    <mergeCell ref="A985:B985"/>
    <mergeCell ref="C985:D985"/>
    <mergeCell ref="A1015:B1015"/>
    <mergeCell ref="C1015:D1015"/>
    <mergeCell ref="A1016:B1016"/>
    <mergeCell ref="C1016:D1016"/>
    <mergeCell ref="A1017:C1017"/>
    <mergeCell ref="A1018:C1018"/>
    <mergeCell ref="A1006:D1006"/>
    <mergeCell ref="A1007:D1007"/>
    <mergeCell ref="A1009:D1010"/>
    <mergeCell ref="A1011:B1011"/>
    <mergeCell ref="C1011:D1011"/>
    <mergeCell ref="A1012:D1012"/>
    <mergeCell ref="A1000:B1000"/>
    <mergeCell ref="C1000:D1000"/>
    <mergeCell ref="A1001:C1001"/>
    <mergeCell ref="A1002:C1002"/>
    <mergeCell ref="A1003:C1003"/>
    <mergeCell ref="A1004:C1004"/>
    <mergeCell ref="A1033:C1033"/>
    <mergeCell ref="A1034:C1034"/>
    <mergeCell ref="A1035:C1035"/>
    <mergeCell ref="A1037:D1037"/>
    <mergeCell ref="A1038:D1038"/>
    <mergeCell ref="A1040:D1041"/>
    <mergeCell ref="A1027:D1027"/>
    <mergeCell ref="A1030:B1030"/>
    <mergeCell ref="C1030:D1030"/>
    <mergeCell ref="A1031:B1031"/>
    <mergeCell ref="C1031:D1031"/>
    <mergeCell ref="A1032:C1032"/>
    <mergeCell ref="A1019:C1019"/>
    <mergeCell ref="A1020:C1020"/>
    <mergeCell ref="A1022:D1022"/>
    <mergeCell ref="A1023:D1023"/>
    <mergeCell ref="A1024:D1025"/>
    <mergeCell ref="A1026:B1026"/>
    <mergeCell ref="C1026:D1026"/>
    <mergeCell ref="A1055:D1056"/>
    <mergeCell ref="A1057:B1057"/>
    <mergeCell ref="C1057:D1057"/>
    <mergeCell ref="A1058:D1058"/>
    <mergeCell ref="A1061:B1061"/>
    <mergeCell ref="C1061:D1061"/>
    <mergeCell ref="A1048:C1048"/>
    <mergeCell ref="A1049:C1049"/>
    <mergeCell ref="A1050:C1050"/>
    <mergeCell ref="A1051:C1051"/>
    <mergeCell ref="A1053:D1053"/>
    <mergeCell ref="A1054:D1054"/>
    <mergeCell ref="A1042:B1042"/>
    <mergeCell ref="C1042:D1042"/>
    <mergeCell ref="A1043:D1043"/>
    <mergeCell ref="A1046:B1046"/>
    <mergeCell ref="C1046:D1046"/>
    <mergeCell ref="A1047:B1047"/>
    <mergeCell ref="C1047:D1047"/>
    <mergeCell ref="A1077:B1077"/>
    <mergeCell ref="C1077:D1077"/>
    <mergeCell ref="A1078:B1078"/>
    <mergeCell ref="C1078:D1078"/>
    <mergeCell ref="A1079:C1079"/>
    <mergeCell ref="A1080:C1080"/>
    <mergeCell ref="A1068:D1068"/>
    <mergeCell ref="A1069:D1069"/>
    <mergeCell ref="A1071:D1072"/>
    <mergeCell ref="A1073:B1073"/>
    <mergeCell ref="C1073:D1073"/>
    <mergeCell ref="A1074:D1074"/>
    <mergeCell ref="A1062:B1062"/>
    <mergeCell ref="C1062:D1062"/>
    <mergeCell ref="A1063:C1063"/>
    <mergeCell ref="A1064:C1064"/>
    <mergeCell ref="A1065:C1065"/>
    <mergeCell ref="A1066:C1066"/>
    <mergeCell ref="A1095:C1095"/>
    <mergeCell ref="A1096:C1096"/>
    <mergeCell ref="A1097:C1097"/>
    <mergeCell ref="A1099:D1099"/>
    <mergeCell ref="A1100:D1100"/>
    <mergeCell ref="A1102:D1103"/>
    <mergeCell ref="A1089:D1089"/>
    <mergeCell ref="A1092:B1092"/>
    <mergeCell ref="C1092:D1092"/>
    <mergeCell ref="A1093:B1093"/>
    <mergeCell ref="C1093:D1093"/>
    <mergeCell ref="A1094:C1094"/>
    <mergeCell ref="A1081:C1081"/>
    <mergeCell ref="A1082:C1082"/>
    <mergeCell ref="A1084:D1084"/>
    <mergeCell ref="A1085:D1085"/>
    <mergeCell ref="A1086:D1087"/>
    <mergeCell ref="A1088:B1088"/>
    <mergeCell ref="C1088:D1088"/>
    <mergeCell ref="A1117:D1118"/>
    <mergeCell ref="A1119:B1119"/>
    <mergeCell ref="C1119:D1119"/>
    <mergeCell ref="A1120:D1120"/>
    <mergeCell ref="A1123:B1123"/>
    <mergeCell ref="C1123:D1123"/>
    <mergeCell ref="A1110:C1110"/>
    <mergeCell ref="A1111:C1111"/>
    <mergeCell ref="A1112:C1112"/>
    <mergeCell ref="A1113:C1113"/>
    <mergeCell ref="A1115:D1115"/>
    <mergeCell ref="A1116:D1116"/>
    <mergeCell ref="A1104:B1104"/>
    <mergeCell ref="C1104:D1104"/>
    <mergeCell ref="A1105:D1105"/>
    <mergeCell ref="A1108:B1108"/>
    <mergeCell ref="C1108:D1108"/>
    <mergeCell ref="A1109:B1109"/>
    <mergeCell ref="C1109:D1109"/>
    <mergeCell ref="A1139:B1139"/>
    <mergeCell ref="C1139:D1139"/>
    <mergeCell ref="A1140:B1140"/>
    <mergeCell ref="C1140:D1140"/>
    <mergeCell ref="A1141:C1141"/>
    <mergeCell ref="A1142:C1142"/>
    <mergeCell ref="A1130:D1130"/>
    <mergeCell ref="A1131:D1131"/>
    <mergeCell ref="A1133:D1134"/>
    <mergeCell ref="A1135:B1135"/>
    <mergeCell ref="C1135:D1135"/>
    <mergeCell ref="A1136:D1136"/>
    <mergeCell ref="A1124:B1124"/>
    <mergeCell ref="C1124:D1124"/>
    <mergeCell ref="A1125:C1125"/>
    <mergeCell ref="A1126:C1126"/>
    <mergeCell ref="A1127:C1127"/>
    <mergeCell ref="A1128:C1128"/>
    <mergeCell ref="A1157:C1157"/>
    <mergeCell ref="A1158:C1158"/>
    <mergeCell ref="A1159:C1159"/>
    <mergeCell ref="A1161:D1161"/>
    <mergeCell ref="A1162:D1162"/>
    <mergeCell ref="A1164:D1165"/>
    <mergeCell ref="A1151:D1151"/>
    <mergeCell ref="A1154:B1154"/>
    <mergeCell ref="C1154:D1154"/>
    <mergeCell ref="A1155:B1155"/>
    <mergeCell ref="C1155:D1155"/>
    <mergeCell ref="A1156:C1156"/>
    <mergeCell ref="A1143:C1143"/>
    <mergeCell ref="A1144:C1144"/>
    <mergeCell ref="A1146:D1146"/>
    <mergeCell ref="A1147:D1147"/>
    <mergeCell ref="A1148:D1149"/>
    <mergeCell ref="A1150:B1150"/>
    <mergeCell ref="C1150:D1150"/>
    <mergeCell ref="A1179:D1180"/>
    <mergeCell ref="A1181:B1181"/>
    <mergeCell ref="C1181:D1181"/>
    <mergeCell ref="A1182:D1182"/>
    <mergeCell ref="A1185:B1185"/>
    <mergeCell ref="C1185:D1185"/>
    <mergeCell ref="A1172:C1172"/>
    <mergeCell ref="A1173:C1173"/>
    <mergeCell ref="A1174:C1174"/>
    <mergeCell ref="A1175:C1175"/>
    <mergeCell ref="A1177:D1177"/>
    <mergeCell ref="A1178:D1178"/>
    <mergeCell ref="A1166:B1166"/>
    <mergeCell ref="C1166:D1166"/>
    <mergeCell ref="A1167:D1167"/>
    <mergeCell ref="A1170:B1170"/>
    <mergeCell ref="C1170:D1170"/>
    <mergeCell ref="A1171:B1171"/>
    <mergeCell ref="C1171:D1171"/>
    <mergeCell ref="A1201:B1201"/>
    <mergeCell ref="C1201:D1201"/>
    <mergeCell ref="A1202:B1202"/>
    <mergeCell ref="C1202:D1202"/>
    <mergeCell ref="A1203:C1203"/>
    <mergeCell ref="A1204:C1204"/>
    <mergeCell ref="A1192:D1192"/>
    <mergeCell ref="A1193:D1193"/>
    <mergeCell ref="A1195:D1196"/>
    <mergeCell ref="A1197:B1197"/>
    <mergeCell ref="C1197:D1197"/>
    <mergeCell ref="A1198:D1198"/>
    <mergeCell ref="A1186:B1186"/>
    <mergeCell ref="C1186:D1186"/>
    <mergeCell ref="A1187:C1187"/>
    <mergeCell ref="A1188:C1188"/>
    <mergeCell ref="A1189:C1189"/>
    <mergeCell ref="A1190:C1190"/>
    <mergeCell ref="A1219:C1219"/>
    <mergeCell ref="A1220:C1220"/>
    <mergeCell ref="A1221:C1221"/>
    <mergeCell ref="A1223:D1223"/>
    <mergeCell ref="A1224:D1224"/>
    <mergeCell ref="A1226:D1227"/>
    <mergeCell ref="A1213:D1213"/>
    <mergeCell ref="A1216:B1216"/>
    <mergeCell ref="C1216:D1216"/>
    <mergeCell ref="A1217:B1217"/>
    <mergeCell ref="C1217:D1217"/>
    <mergeCell ref="A1218:C1218"/>
    <mergeCell ref="A1205:C1205"/>
    <mergeCell ref="A1206:C1206"/>
    <mergeCell ref="A1208:D1208"/>
    <mergeCell ref="A1209:D1209"/>
    <mergeCell ref="A1210:D1211"/>
    <mergeCell ref="A1212:B1212"/>
    <mergeCell ref="C1212:D1212"/>
    <mergeCell ref="A1241:D1242"/>
    <mergeCell ref="A1243:B1243"/>
    <mergeCell ref="C1243:D1243"/>
    <mergeCell ref="A1244:D1244"/>
    <mergeCell ref="A1247:B1247"/>
    <mergeCell ref="C1247:D1247"/>
    <mergeCell ref="A1234:C1234"/>
    <mergeCell ref="A1235:C1235"/>
    <mergeCell ref="A1236:C1236"/>
    <mergeCell ref="A1237:C1237"/>
    <mergeCell ref="A1239:D1239"/>
    <mergeCell ref="A1240:D1240"/>
    <mergeCell ref="A1228:B1228"/>
    <mergeCell ref="C1228:D1228"/>
    <mergeCell ref="A1229:D1229"/>
    <mergeCell ref="A1232:B1232"/>
    <mergeCell ref="C1232:D1232"/>
    <mergeCell ref="A1233:B1233"/>
    <mergeCell ref="C1233:D1233"/>
    <mergeCell ref="A1263:B1263"/>
    <mergeCell ref="C1263:D1263"/>
    <mergeCell ref="A1264:B1264"/>
    <mergeCell ref="C1264:D1264"/>
    <mergeCell ref="A1265:C1265"/>
    <mergeCell ref="A1266:C1266"/>
    <mergeCell ref="A1254:D1254"/>
    <mergeCell ref="A1255:D1255"/>
    <mergeCell ref="A1257:D1258"/>
    <mergeCell ref="A1259:B1259"/>
    <mergeCell ref="C1259:D1259"/>
    <mergeCell ref="A1260:D1260"/>
    <mergeCell ref="A1248:B1248"/>
    <mergeCell ref="C1248:D1248"/>
    <mergeCell ref="A1249:C1249"/>
    <mergeCell ref="A1250:C1250"/>
    <mergeCell ref="A1251:C1251"/>
    <mergeCell ref="A1252:C1252"/>
    <mergeCell ref="A1281:C1281"/>
    <mergeCell ref="A1282:C1282"/>
    <mergeCell ref="A1283:C1283"/>
    <mergeCell ref="A1285:D1285"/>
    <mergeCell ref="A1286:D1286"/>
    <mergeCell ref="A1288:D1289"/>
    <mergeCell ref="A1275:D1275"/>
    <mergeCell ref="A1278:B1278"/>
    <mergeCell ref="C1278:D1278"/>
    <mergeCell ref="A1279:B1279"/>
    <mergeCell ref="C1279:D1279"/>
    <mergeCell ref="A1280:C1280"/>
    <mergeCell ref="A1267:C1267"/>
    <mergeCell ref="A1268:C1268"/>
    <mergeCell ref="A1270:D1270"/>
    <mergeCell ref="A1271:D1271"/>
    <mergeCell ref="A1272:D1273"/>
    <mergeCell ref="A1274:B1274"/>
    <mergeCell ref="C1274:D1274"/>
    <mergeCell ref="A1303:D1304"/>
    <mergeCell ref="A1305:B1305"/>
    <mergeCell ref="C1305:D1305"/>
    <mergeCell ref="A1306:D1306"/>
    <mergeCell ref="A1309:B1309"/>
    <mergeCell ref="C1309:D1309"/>
    <mergeCell ref="A1296:C1296"/>
    <mergeCell ref="A1297:C1297"/>
    <mergeCell ref="A1298:C1298"/>
    <mergeCell ref="A1299:C1299"/>
    <mergeCell ref="A1301:D1301"/>
    <mergeCell ref="A1302:D1302"/>
    <mergeCell ref="A1290:B1290"/>
    <mergeCell ref="C1290:D1290"/>
    <mergeCell ref="A1291:D1291"/>
    <mergeCell ref="A1294:B1294"/>
    <mergeCell ref="C1294:D1294"/>
    <mergeCell ref="A1295:B1295"/>
    <mergeCell ref="C1295:D1295"/>
    <mergeCell ref="A1325:B1325"/>
    <mergeCell ref="C1325:D1325"/>
    <mergeCell ref="A1326:B1326"/>
    <mergeCell ref="C1326:D1326"/>
    <mergeCell ref="A1327:C1327"/>
    <mergeCell ref="A1328:C1328"/>
    <mergeCell ref="A1316:D1316"/>
    <mergeCell ref="A1317:D1317"/>
    <mergeCell ref="A1319:D1320"/>
    <mergeCell ref="A1321:B1321"/>
    <mergeCell ref="C1321:D1321"/>
    <mergeCell ref="A1322:D1322"/>
    <mergeCell ref="A1310:B1310"/>
    <mergeCell ref="C1310:D1310"/>
    <mergeCell ref="A1311:C1311"/>
    <mergeCell ref="A1312:C1312"/>
    <mergeCell ref="A1313:C1313"/>
    <mergeCell ref="A1314:C1314"/>
    <mergeCell ref="A1343:C1343"/>
    <mergeCell ref="A1344:C1344"/>
    <mergeCell ref="A1345:C1345"/>
    <mergeCell ref="A1347:D1347"/>
    <mergeCell ref="A1348:D1348"/>
    <mergeCell ref="A1350:D1351"/>
    <mergeCell ref="A1337:D1337"/>
    <mergeCell ref="A1340:B1340"/>
    <mergeCell ref="C1340:D1340"/>
    <mergeCell ref="A1341:B1341"/>
    <mergeCell ref="C1341:D1341"/>
    <mergeCell ref="A1342:C1342"/>
    <mergeCell ref="A1329:C1329"/>
    <mergeCell ref="A1330:C1330"/>
    <mergeCell ref="A1332:D1332"/>
    <mergeCell ref="A1333:D1333"/>
    <mergeCell ref="A1334:D1335"/>
    <mergeCell ref="A1336:B1336"/>
    <mergeCell ref="C1336:D1336"/>
    <mergeCell ref="A1365:D1366"/>
    <mergeCell ref="A1367:B1367"/>
    <mergeCell ref="C1367:D1367"/>
    <mergeCell ref="A1368:D1368"/>
    <mergeCell ref="A1371:B1371"/>
    <mergeCell ref="C1371:D1371"/>
    <mergeCell ref="A1358:C1358"/>
    <mergeCell ref="A1359:C1359"/>
    <mergeCell ref="A1360:C1360"/>
    <mergeCell ref="A1361:C1361"/>
    <mergeCell ref="A1363:D1363"/>
    <mergeCell ref="A1364:D1364"/>
    <mergeCell ref="A1352:B1352"/>
    <mergeCell ref="C1352:D1352"/>
    <mergeCell ref="A1353:D1353"/>
    <mergeCell ref="A1356:B1356"/>
    <mergeCell ref="C1356:D1356"/>
    <mergeCell ref="A1357:B1357"/>
    <mergeCell ref="C1357:D1357"/>
    <mergeCell ref="A1387:B1387"/>
    <mergeCell ref="C1387:D1387"/>
    <mergeCell ref="A1388:B1388"/>
    <mergeCell ref="C1388:D1388"/>
    <mergeCell ref="A1389:C1389"/>
    <mergeCell ref="A1390:C1390"/>
    <mergeCell ref="A1378:D1378"/>
    <mergeCell ref="A1379:D1379"/>
    <mergeCell ref="A1381:D1382"/>
    <mergeCell ref="A1383:B1383"/>
    <mergeCell ref="C1383:D1383"/>
    <mergeCell ref="A1384:D1384"/>
    <mergeCell ref="A1372:B1372"/>
    <mergeCell ref="C1372:D1372"/>
    <mergeCell ref="A1373:C1373"/>
    <mergeCell ref="A1374:C1374"/>
    <mergeCell ref="A1375:C1375"/>
    <mergeCell ref="A1376:C1376"/>
    <mergeCell ref="A1405:C1405"/>
    <mergeCell ref="A1406:C1406"/>
    <mergeCell ref="A1407:C1407"/>
    <mergeCell ref="A1409:D1409"/>
    <mergeCell ref="A1410:D1410"/>
    <mergeCell ref="A1412:D1413"/>
    <mergeCell ref="A1399:D1399"/>
    <mergeCell ref="A1402:B1402"/>
    <mergeCell ref="C1402:D1402"/>
    <mergeCell ref="A1403:B1403"/>
    <mergeCell ref="C1403:D1403"/>
    <mergeCell ref="A1404:C1404"/>
    <mergeCell ref="A1391:C1391"/>
    <mergeCell ref="A1392:C1392"/>
    <mergeCell ref="A1394:D1394"/>
    <mergeCell ref="A1395:D1395"/>
    <mergeCell ref="A1396:D1397"/>
    <mergeCell ref="A1398:B1398"/>
    <mergeCell ref="C1398:D1398"/>
    <mergeCell ref="A1427:D1428"/>
    <mergeCell ref="A1429:B1429"/>
    <mergeCell ref="C1429:D1429"/>
    <mergeCell ref="A1430:D1430"/>
    <mergeCell ref="A1433:B1433"/>
    <mergeCell ref="C1433:D1433"/>
    <mergeCell ref="A1420:C1420"/>
    <mergeCell ref="A1421:C1421"/>
    <mergeCell ref="A1422:C1422"/>
    <mergeCell ref="A1423:C1423"/>
    <mergeCell ref="A1425:D1425"/>
    <mergeCell ref="A1426:D1426"/>
    <mergeCell ref="A1414:B1414"/>
    <mergeCell ref="C1414:D1414"/>
    <mergeCell ref="A1415:D1415"/>
    <mergeCell ref="A1418:B1418"/>
    <mergeCell ref="C1418:D1418"/>
    <mergeCell ref="A1419:B1419"/>
    <mergeCell ref="C1419:D1419"/>
    <mergeCell ref="A1449:B1449"/>
    <mergeCell ref="C1449:D1449"/>
    <mergeCell ref="A1450:B1450"/>
    <mergeCell ref="C1450:D1450"/>
    <mergeCell ref="A1451:C1451"/>
    <mergeCell ref="A1452:C1452"/>
    <mergeCell ref="A1440:D1440"/>
    <mergeCell ref="A1441:D1441"/>
    <mergeCell ref="A1443:D1444"/>
    <mergeCell ref="A1445:B1445"/>
    <mergeCell ref="C1445:D1445"/>
    <mergeCell ref="A1446:D1446"/>
    <mergeCell ref="A1434:B1434"/>
    <mergeCell ref="C1434:D1434"/>
    <mergeCell ref="A1435:C1435"/>
    <mergeCell ref="A1436:C1436"/>
    <mergeCell ref="A1437:C1437"/>
    <mergeCell ref="A1438:C1438"/>
    <mergeCell ref="A1467:C1467"/>
    <mergeCell ref="A1468:C1468"/>
    <mergeCell ref="A1469:C1469"/>
    <mergeCell ref="A1471:D1471"/>
    <mergeCell ref="A1472:D1472"/>
    <mergeCell ref="A1474:D1475"/>
    <mergeCell ref="A1461:D1461"/>
    <mergeCell ref="A1464:B1464"/>
    <mergeCell ref="C1464:D1464"/>
    <mergeCell ref="A1465:B1465"/>
    <mergeCell ref="C1465:D1465"/>
    <mergeCell ref="A1466:C1466"/>
    <mergeCell ref="A1453:C1453"/>
    <mergeCell ref="A1454:C1454"/>
    <mergeCell ref="A1456:D1456"/>
    <mergeCell ref="A1457:D1457"/>
    <mergeCell ref="A1458:D1459"/>
    <mergeCell ref="A1460:B1460"/>
    <mergeCell ref="C1460:D1460"/>
    <mergeCell ref="A1489:D1490"/>
    <mergeCell ref="A1491:B1491"/>
    <mergeCell ref="C1491:D1491"/>
    <mergeCell ref="A1492:D1492"/>
    <mergeCell ref="A1495:B1495"/>
    <mergeCell ref="C1495:D1495"/>
    <mergeCell ref="A1482:C1482"/>
    <mergeCell ref="A1483:C1483"/>
    <mergeCell ref="A1484:C1484"/>
    <mergeCell ref="A1485:C1485"/>
    <mergeCell ref="A1487:D1487"/>
    <mergeCell ref="A1488:D1488"/>
    <mergeCell ref="A1476:B1476"/>
    <mergeCell ref="C1476:D1476"/>
    <mergeCell ref="A1477:D1477"/>
    <mergeCell ref="A1480:B1480"/>
    <mergeCell ref="C1480:D1480"/>
    <mergeCell ref="A1481:B1481"/>
    <mergeCell ref="C1481:D1481"/>
    <mergeCell ref="A1511:B1511"/>
    <mergeCell ref="C1511:D1511"/>
    <mergeCell ref="A1512:B1512"/>
    <mergeCell ref="C1512:D1512"/>
    <mergeCell ref="A1513:C1513"/>
    <mergeCell ref="A1514:C1514"/>
    <mergeCell ref="A1502:D1502"/>
    <mergeCell ref="A1503:D1503"/>
    <mergeCell ref="A1505:D1506"/>
    <mergeCell ref="A1507:B1507"/>
    <mergeCell ref="C1507:D1507"/>
    <mergeCell ref="A1508:D1508"/>
    <mergeCell ref="A1496:B1496"/>
    <mergeCell ref="C1496:D1496"/>
    <mergeCell ref="A1497:C1497"/>
    <mergeCell ref="A1498:C1498"/>
    <mergeCell ref="A1499:C1499"/>
    <mergeCell ref="A1500:C1500"/>
    <mergeCell ref="A1529:C1529"/>
    <mergeCell ref="A1530:C1530"/>
    <mergeCell ref="A1531:C1531"/>
    <mergeCell ref="A1533:D1533"/>
    <mergeCell ref="A1534:D1534"/>
    <mergeCell ref="A1536:D1537"/>
    <mergeCell ref="A1523:D1523"/>
    <mergeCell ref="A1526:B1526"/>
    <mergeCell ref="C1526:D1526"/>
    <mergeCell ref="A1527:B1527"/>
    <mergeCell ref="C1527:D1527"/>
    <mergeCell ref="A1528:C1528"/>
    <mergeCell ref="A1515:C1515"/>
    <mergeCell ref="A1516:C1516"/>
    <mergeCell ref="A1518:D1518"/>
    <mergeCell ref="A1519:D1519"/>
    <mergeCell ref="A1520:D1521"/>
    <mergeCell ref="A1522:B1522"/>
    <mergeCell ref="C1522:D1522"/>
    <mergeCell ref="A1551:D1552"/>
    <mergeCell ref="A1553:B1553"/>
    <mergeCell ref="C1553:D1553"/>
    <mergeCell ref="A1554:D1554"/>
    <mergeCell ref="A1557:B1557"/>
    <mergeCell ref="C1557:D1557"/>
    <mergeCell ref="A1544:C1544"/>
    <mergeCell ref="A1545:C1545"/>
    <mergeCell ref="A1546:C1546"/>
    <mergeCell ref="A1547:C1547"/>
    <mergeCell ref="A1549:D1549"/>
    <mergeCell ref="A1550:D1550"/>
    <mergeCell ref="A1538:B1538"/>
    <mergeCell ref="C1538:D1538"/>
    <mergeCell ref="A1539:D1539"/>
    <mergeCell ref="A1542:B1542"/>
    <mergeCell ref="C1542:D1542"/>
    <mergeCell ref="A1543:B1543"/>
    <mergeCell ref="C1543:D1543"/>
    <mergeCell ref="A1573:B1573"/>
    <mergeCell ref="C1573:D1573"/>
    <mergeCell ref="A1574:B1574"/>
    <mergeCell ref="C1574:D1574"/>
    <mergeCell ref="A1575:C1575"/>
    <mergeCell ref="A1576:C1576"/>
    <mergeCell ref="A1564:D1564"/>
    <mergeCell ref="A1565:D1565"/>
    <mergeCell ref="A1567:D1568"/>
    <mergeCell ref="A1569:B1569"/>
    <mergeCell ref="C1569:D1569"/>
    <mergeCell ref="A1570:D1570"/>
    <mergeCell ref="A1558:B1558"/>
    <mergeCell ref="C1558:D1558"/>
    <mergeCell ref="A1559:C1559"/>
    <mergeCell ref="A1560:C1560"/>
    <mergeCell ref="A1561:C1561"/>
    <mergeCell ref="A1562:C1562"/>
    <mergeCell ref="A1624:C1624"/>
    <mergeCell ref="A1626:D1626"/>
    <mergeCell ref="A1627:D1627"/>
    <mergeCell ref="A1629:D1630"/>
    <mergeCell ref="A1591:C1591"/>
    <mergeCell ref="A1592:C1592"/>
    <mergeCell ref="A1593:C1593"/>
    <mergeCell ref="A1595:D1595"/>
    <mergeCell ref="A1596:D1596"/>
    <mergeCell ref="A1598:D1599"/>
    <mergeCell ref="A1585:D1585"/>
    <mergeCell ref="A1588:B1588"/>
    <mergeCell ref="C1588:D1588"/>
    <mergeCell ref="A1589:B1589"/>
    <mergeCell ref="C1589:D1589"/>
    <mergeCell ref="A1590:C1590"/>
    <mergeCell ref="A1577:C1577"/>
    <mergeCell ref="A1578:C1578"/>
    <mergeCell ref="A1580:D1580"/>
    <mergeCell ref="A1581:D1581"/>
    <mergeCell ref="A1582:D1583"/>
    <mergeCell ref="A1584:B1584"/>
    <mergeCell ref="C1584:D1584"/>
    <mergeCell ref="A1852:B1852"/>
    <mergeCell ref="C1852:D1852"/>
    <mergeCell ref="A1853:B1853"/>
    <mergeCell ref="C1853:D1853"/>
    <mergeCell ref="A1606:C1606"/>
    <mergeCell ref="A1607:C1607"/>
    <mergeCell ref="A1608:C1608"/>
    <mergeCell ref="A1609:C1609"/>
    <mergeCell ref="A1611:D1611"/>
    <mergeCell ref="A1612:D1612"/>
    <mergeCell ref="A1600:B1600"/>
    <mergeCell ref="C1600:D1600"/>
    <mergeCell ref="A1601:D1601"/>
    <mergeCell ref="A1604:B1604"/>
    <mergeCell ref="C1604:D1604"/>
    <mergeCell ref="A1605:B1605"/>
    <mergeCell ref="C1605:D1605"/>
    <mergeCell ref="A1839:C1839"/>
    <mergeCell ref="A1840:C1840"/>
    <mergeCell ref="A1841:C1841"/>
    <mergeCell ref="A1843:D1843"/>
    <mergeCell ref="A1613:D1614"/>
    <mergeCell ref="A1615:B1615"/>
    <mergeCell ref="C1615:D1615"/>
    <mergeCell ref="A1616:D1616"/>
    <mergeCell ref="A1619:B1619"/>
    <mergeCell ref="C1619:D1619"/>
    <mergeCell ref="A1620:B1620"/>
    <mergeCell ref="C1620:D1620"/>
    <mergeCell ref="A1621:C1621"/>
    <mergeCell ref="A1622:C1622"/>
    <mergeCell ref="A1623:C1623"/>
    <mergeCell ref="A1868:B1868"/>
    <mergeCell ref="C1868:D1868"/>
    <mergeCell ref="A1869:C1869"/>
    <mergeCell ref="A1870:C1870"/>
    <mergeCell ref="A1871:C1871"/>
    <mergeCell ref="A1872:C1872"/>
    <mergeCell ref="A1844:D1844"/>
    <mergeCell ref="A1846:D1847"/>
    <mergeCell ref="A1833:D1833"/>
    <mergeCell ref="A1836:B1836"/>
    <mergeCell ref="C1836:D1836"/>
    <mergeCell ref="A1837:B1837"/>
    <mergeCell ref="C1837:D1837"/>
    <mergeCell ref="A1838:C1838"/>
    <mergeCell ref="A1830:D1831"/>
    <mergeCell ref="A1832:B1832"/>
    <mergeCell ref="C1832:D1832"/>
    <mergeCell ref="A1861:D1862"/>
    <mergeCell ref="A1863:B1863"/>
    <mergeCell ref="C1863:D1863"/>
    <mergeCell ref="A1864:D1864"/>
    <mergeCell ref="A1867:B1867"/>
    <mergeCell ref="C1867:D1867"/>
    <mergeCell ref="A1854:C1854"/>
    <mergeCell ref="A1855:C1855"/>
    <mergeCell ref="A1856:C1856"/>
    <mergeCell ref="A1857:C1857"/>
    <mergeCell ref="A1859:D1859"/>
    <mergeCell ref="A1860:D1860"/>
    <mergeCell ref="A1848:B1848"/>
    <mergeCell ref="C1848:D1848"/>
    <mergeCell ref="A1849:D1849"/>
    <mergeCell ref="A1887:C1887"/>
    <mergeCell ref="A1888:C1888"/>
    <mergeCell ref="A1890:D1890"/>
    <mergeCell ref="A1891:D1891"/>
    <mergeCell ref="A1892:D1893"/>
    <mergeCell ref="A1894:B1894"/>
    <mergeCell ref="C1894:D1894"/>
    <mergeCell ref="A1883:B1883"/>
    <mergeCell ref="C1883:D1883"/>
    <mergeCell ref="A1884:B1884"/>
    <mergeCell ref="C1884:D1884"/>
    <mergeCell ref="A1885:C1885"/>
    <mergeCell ref="A1886:C1886"/>
    <mergeCell ref="A1874:D1874"/>
    <mergeCell ref="A1875:D1875"/>
    <mergeCell ref="A1877:D1878"/>
    <mergeCell ref="A1879:B1879"/>
    <mergeCell ref="C1879:D1879"/>
    <mergeCell ref="A1880:D1880"/>
    <mergeCell ref="A1910:B1910"/>
    <mergeCell ref="C1910:D1910"/>
    <mergeCell ref="A1911:D1911"/>
    <mergeCell ref="A1914:B1914"/>
    <mergeCell ref="C1914:D1914"/>
    <mergeCell ref="A1915:B1915"/>
    <mergeCell ref="C1915:D1915"/>
    <mergeCell ref="A1901:C1901"/>
    <mergeCell ref="A1902:C1902"/>
    <mergeCell ref="A1903:C1903"/>
    <mergeCell ref="A1905:D1905"/>
    <mergeCell ref="A1906:D1906"/>
    <mergeCell ref="A1908:D1909"/>
    <mergeCell ref="A1895:D1895"/>
    <mergeCell ref="A1898:B1898"/>
    <mergeCell ref="C1898:D1898"/>
    <mergeCell ref="A1899:B1899"/>
    <mergeCell ref="C1899:D1899"/>
    <mergeCell ref="A1900:C1900"/>
    <mergeCell ref="A1930:B1930"/>
    <mergeCell ref="C1930:D1930"/>
    <mergeCell ref="A1931:C1931"/>
    <mergeCell ref="A1932:C1932"/>
    <mergeCell ref="A1933:C1933"/>
    <mergeCell ref="A1934:C1934"/>
    <mergeCell ref="A1923:D1924"/>
    <mergeCell ref="A1925:B1925"/>
    <mergeCell ref="C1925:D1925"/>
    <mergeCell ref="A1926:D1926"/>
    <mergeCell ref="A1929:B1929"/>
    <mergeCell ref="C1929:D1929"/>
    <mergeCell ref="A1916:C1916"/>
    <mergeCell ref="A1917:C1917"/>
    <mergeCell ref="A1918:C1918"/>
    <mergeCell ref="A1919:C1919"/>
    <mergeCell ref="A1921:D1921"/>
    <mergeCell ref="A1922:D1922"/>
    <mergeCell ref="A1949:C1949"/>
    <mergeCell ref="A1950:C1950"/>
    <mergeCell ref="A1952:D1952"/>
    <mergeCell ref="A1953:D1953"/>
    <mergeCell ref="A1954:D1955"/>
    <mergeCell ref="A1956:B1956"/>
    <mergeCell ref="C1956:D1956"/>
    <mergeCell ref="A1945:B1945"/>
    <mergeCell ref="C1945:D1945"/>
    <mergeCell ref="A1946:B1946"/>
    <mergeCell ref="C1946:D1946"/>
    <mergeCell ref="A1947:C1947"/>
    <mergeCell ref="A1948:C1948"/>
    <mergeCell ref="A1936:D1936"/>
    <mergeCell ref="A1937:D1937"/>
    <mergeCell ref="A1939:D1940"/>
    <mergeCell ref="A1941:B1941"/>
    <mergeCell ref="C1941:D1941"/>
    <mergeCell ref="A1942:D1942"/>
    <mergeCell ref="A1972:B1972"/>
    <mergeCell ref="C1972:D1972"/>
    <mergeCell ref="A1973:D1973"/>
    <mergeCell ref="A1976:B1976"/>
    <mergeCell ref="C1976:D1976"/>
    <mergeCell ref="A1977:B1977"/>
    <mergeCell ref="C1977:D1977"/>
    <mergeCell ref="A1963:C1963"/>
    <mergeCell ref="A1964:C1964"/>
    <mergeCell ref="A1965:C1965"/>
    <mergeCell ref="A1967:D1967"/>
    <mergeCell ref="A1968:D1968"/>
    <mergeCell ref="A1970:D1971"/>
    <mergeCell ref="A1957:D1957"/>
    <mergeCell ref="A1960:B1960"/>
    <mergeCell ref="C1960:D1960"/>
    <mergeCell ref="A1961:B1961"/>
    <mergeCell ref="C1961:D1961"/>
    <mergeCell ref="A1962:C1962"/>
    <mergeCell ref="A1992:B1992"/>
    <mergeCell ref="C1992:D1992"/>
    <mergeCell ref="A1993:C1993"/>
    <mergeCell ref="A1994:C1994"/>
    <mergeCell ref="A1995:C1995"/>
    <mergeCell ref="A1996:C1996"/>
    <mergeCell ref="A1985:D1986"/>
    <mergeCell ref="A1987:B1987"/>
    <mergeCell ref="C1987:D1987"/>
    <mergeCell ref="A1988:D1988"/>
    <mergeCell ref="A1991:B1991"/>
    <mergeCell ref="C1991:D1991"/>
    <mergeCell ref="A1978:C1978"/>
    <mergeCell ref="A1979:C1979"/>
    <mergeCell ref="A1980:C1980"/>
    <mergeCell ref="A1981:C1981"/>
    <mergeCell ref="A1983:D1983"/>
    <mergeCell ref="A1984:D1984"/>
    <mergeCell ref="C2023:D2023"/>
    <mergeCell ref="A2024:C2024"/>
    <mergeCell ref="A2011:C2011"/>
    <mergeCell ref="A2012:C2012"/>
    <mergeCell ref="A2014:D2014"/>
    <mergeCell ref="A2015:D2015"/>
    <mergeCell ref="A2016:D2017"/>
    <mergeCell ref="A2018:B2018"/>
    <mergeCell ref="C2018:D2018"/>
    <mergeCell ref="A2007:B2007"/>
    <mergeCell ref="C2007:D2007"/>
    <mergeCell ref="A2008:B2008"/>
    <mergeCell ref="C2008:D2008"/>
    <mergeCell ref="A2009:C2009"/>
    <mergeCell ref="A2010:C2010"/>
    <mergeCell ref="A1998:D1998"/>
    <mergeCell ref="A1999:D1999"/>
    <mergeCell ref="A2001:D2002"/>
    <mergeCell ref="A2003:B2003"/>
    <mergeCell ref="C2003:D2003"/>
    <mergeCell ref="A2004:D2004"/>
    <mergeCell ref="A2019:D2019"/>
    <mergeCell ref="A2022:B2022"/>
    <mergeCell ref="C2022:D2022"/>
    <mergeCell ref="A2023:B2023"/>
    <mergeCell ref="A2040:C2040"/>
    <mergeCell ref="A2041:C2041"/>
    <mergeCell ref="A2042:C2042"/>
    <mergeCell ref="A2043:C2043"/>
    <mergeCell ref="A2045:D2045"/>
    <mergeCell ref="A2046:D2046"/>
    <mergeCell ref="A2034:B2034"/>
    <mergeCell ref="C2034:D2034"/>
    <mergeCell ref="A2035:D2035"/>
    <mergeCell ref="A2038:B2038"/>
    <mergeCell ref="C2038:D2038"/>
    <mergeCell ref="A2039:B2039"/>
    <mergeCell ref="C2039:D2039"/>
    <mergeCell ref="A2025:C2025"/>
    <mergeCell ref="A2026:C2026"/>
    <mergeCell ref="A2027:C2027"/>
    <mergeCell ref="A2029:D2029"/>
    <mergeCell ref="A2030:D2030"/>
    <mergeCell ref="A2032:D2033"/>
  </mergeCells>
  <printOptions horizontalCentered="1" verticalCentered="1"/>
  <pageMargins left="2.3622047244094491" right="2.2834645669291338" top="0.94488188976377963" bottom="0.23622047244094491" header="0.39370078740157483" footer="0.15748031496062992"/>
  <pageSetup scale="67" orientation="portrait" r:id="rId1"/>
  <headerFooter>
    <oddHeader>&amp;C&amp;P</oddHeader>
  </headerFooter>
  <rowBreaks count="2" manualBreakCount="2">
    <brk id="2046" max="3" man="1"/>
    <brk id="2077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2604"/>
  <sheetViews>
    <sheetView showRuler="0" view="pageLayout" topLeftCell="A56" zoomScale="55" zoomScaleNormal="70" zoomScalePageLayoutView="55" workbookViewId="0">
      <selection sqref="A1:D2"/>
    </sheetView>
  </sheetViews>
  <sheetFormatPr defaultColWidth="10.7109375" defaultRowHeight="34.5" customHeight="1"/>
  <cols>
    <col min="1" max="1" width="14.7109375" customWidth="1"/>
    <col min="2" max="2" width="15.140625" customWidth="1"/>
    <col min="3" max="3" width="21.85546875" customWidth="1"/>
    <col min="4" max="4" width="19.7109375" customWidth="1"/>
    <col min="5" max="5" width="24.85546875" customWidth="1"/>
    <col min="6" max="6" width="25.28515625" customWidth="1"/>
    <col min="7" max="7" width="12" customWidth="1"/>
    <col min="8" max="8" width="13.28515625" customWidth="1"/>
    <col min="9" max="9" width="31.28515625" customWidth="1"/>
    <col min="10" max="10" width="13.5703125" customWidth="1"/>
    <col min="11" max="11" width="14" customWidth="1"/>
    <col min="12" max="12" width="22.7109375" customWidth="1"/>
  </cols>
  <sheetData>
    <row r="1" spans="1:16" ht="34.5" customHeight="1">
      <c r="A1" s="159" t="s">
        <v>441</v>
      </c>
      <c r="B1" s="160"/>
      <c r="C1" s="160"/>
      <c r="D1" s="161"/>
      <c r="E1" s="44"/>
      <c r="F1" s="28"/>
      <c r="G1" s="28"/>
      <c r="H1" s="28"/>
      <c r="I1" s="28"/>
      <c r="J1" s="27"/>
      <c r="K1" s="53"/>
      <c r="L1" s="52"/>
      <c r="M1" s="52"/>
      <c r="N1" s="52"/>
      <c r="O1" s="52"/>
      <c r="P1" s="51"/>
    </row>
    <row r="2" spans="1:16" ht="34.5" customHeight="1" thickBot="1">
      <c r="A2" s="162"/>
      <c r="B2" s="163"/>
      <c r="C2" s="163"/>
      <c r="D2" s="164"/>
      <c r="E2" s="44"/>
      <c r="F2" s="28"/>
      <c r="G2" s="28"/>
      <c r="H2" s="28"/>
      <c r="I2" s="28"/>
      <c r="J2" s="27"/>
      <c r="K2" s="53"/>
      <c r="L2" s="58" t="s">
        <v>486</v>
      </c>
      <c r="M2" s="52"/>
      <c r="N2" s="52"/>
      <c r="O2" s="52"/>
      <c r="P2" s="51"/>
    </row>
    <row r="3" spans="1:16" ht="34.5" customHeight="1" thickBot="1">
      <c r="A3" s="142" t="s">
        <v>533</v>
      </c>
      <c r="B3" s="143"/>
      <c r="C3" s="165" t="s">
        <v>534</v>
      </c>
      <c r="D3" s="143"/>
      <c r="E3" s="57"/>
      <c r="F3" s="28"/>
      <c r="G3" s="28"/>
      <c r="H3" s="28"/>
      <c r="I3" s="28"/>
      <c r="J3" s="27"/>
      <c r="K3" s="53"/>
      <c r="L3" s="52"/>
      <c r="M3" s="52"/>
      <c r="N3" s="52"/>
      <c r="O3" s="52"/>
      <c r="P3" s="51"/>
    </row>
    <row r="4" spans="1:16" ht="34.5" customHeight="1" thickBot="1">
      <c r="A4" s="137" t="s">
        <v>535</v>
      </c>
      <c r="B4" s="138"/>
      <c r="C4" s="138"/>
      <c r="D4" s="139"/>
      <c r="E4" s="56"/>
      <c r="F4" s="55"/>
      <c r="G4" s="55"/>
      <c r="H4" s="55"/>
      <c r="I4" s="28"/>
      <c r="J4" s="27"/>
      <c r="K4" s="53"/>
      <c r="L4" s="52" t="e">
        <f>SUM(C13+C44+#REF!+#REF!+C137+#REF!+#REF!+#REF!+C261+C292+#REF!+#REF!+#REF!+#REF!+#REF!+#REF!+#REF!+#REF!+#REF!+#REF!+#REF!+#REF!+#REF!+#REF!+#REF!+#REF!+#REF!+#REF!+#REF!+#REF!+#REF!+#REF!+#REF!+#REF!+#REF!+#REF!+#REF!+#REF!+#REF!+#REF!+#REF!+#REF!+#REF!+#REF!+#REF!+#REF!+#REF!+#REF!+#REF!+#REF!+#REF!+#REF!+#REF!+C1036)</f>
        <v>#REF!</v>
      </c>
      <c r="M4" s="52"/>
      <c r="N4" s="52"/>
      <c r="O4" s="52"/>
      <c r="P4" s="51"/>
    </row>
    <row r="5" spans="1:16" ht="34.5" customHeight="1" thickBot="1">
      <c r="A5" s="34" t="s">
        <v>487</v>
      </c>
      <c r="B5" s="32" t="s">
        <v>438</v>
      </c>
      <c r="C5" s="34"/>
      <c r="D5" s="32" t="s">
        <v>0</v>
      </c>
      <c r="E5" s="54">
        <f>C13+C44+C75+C106+C137+C168+C199+C230+C261+C292+C323+C354+C385+C416+C447+C478+C509+C540+C571+C602+C633+C664+C695+C726+C757+C788+C819+C850+C881+C912+C943+C974+C1005+C1036+C1067+C1098+C1129+C1160+C1191+C1222+C1253+C1284+C1315+C1346+C1377+C1408+C1439+C1470+C1501+C1532+C1563+C1594+C1625+C1656+C1687+C1718+C1749+C1780+C1811+C1842+C1873+C1904+C1935+C1966+C1997+C2028+C2059+C2090+C2121+C2152+C2183+C2214+C2245+C2276+C2307</f>
        <v>235585</v>
      </c>
      <c r="F5" s="28"/>
      <c r="G5" s="28"/>
      <c r="H5" s="28"/>
      <c r="I5" s="28"/>
      <c r="J5" s="27"/>
      <c r="K5" s="53"/>
      <c r="L5" s="52"/>
      <c r="M5" s="52"/>
      <c r="N5" s="52"/>
      <c r="O5" s="52"/>
      <c r="P5" s="51"/>
    </row>
    <row r="6" spans="1:16" ht="34.5" customHeight="1" thickBot="1">
      <c r="A6" s="37" t="s">
        <v>536</v>
      </c>
      <c r="B6" s="36" t="s">
        <v>1</v>
      </c>
      <c r="C6" s="34" t="s">
        <v>537</v>
      </c>
      <c r="D6" s="32" t="s">
        <v>2</v>
      </c>
      <c r="E6" s="47"/>
      <c r="F6" s="28"/>
      <c r="G6" s="28"/>
      <c r="H6" s="28"/>
      <c r="I6" s="28"/>
      <c r="J6" s="27"/>
      <c r="K6" s="50"/>
      <c r="L6" s="49"/>
      <c r="M6" s="49"/>
      <c r="N6" s="49"/>
      <c r="O6" s="49"/>
      <c r="P6" s="48"/>
    </row>
    <row r="7" spans="1:16" ht="34.5" customHeight="1" thickBot="1">
      <c r="A7" s="140">
        <v>123709</v>
      </c>
      <c r="B7" s="141"/>
      <c r="C7" s="142" t="s">
        <v>3</v>
      </c>
      <c r="D7" s="143"/>
      <c r="E7" s="47"/>
      <c r="F7" s="28"/>
      <c r="G7" s="28"/>
      <c r="H7" s="28"/>
      <c r="I7" s="28"/>
      <c r="J7" s="27"/>
      <c r="K7" s="27"/>
      <c r="L7" s="27"/>
      <c r="M7" s="27"/>
      <c r="N7" s="27"/>
      <c r="O7" s="27"/>
      <c r="P7" s="27"/>
    </row>
    <row r="8" spans="1:16" ht="34.5" customHeight="1" thickBot="1">
      <c r="A8" s="140">
        <v>125304</v>
      </c>
      <c r="B8" s="141"/>
      <c r="C8" s="144" t="s">
        <v>4</v>
      </c>
      <c r="D8" s="145"/>
      <c r="E8" s="73">
        <v>10197</v>
      </c>
      <c r="F8" s="28"/>
      <c r="G8" s="28"/>
      <c r="H8" s="28"/>
      <c r="I8" s="28"/>
      <c r="J8" s="27"/>
      <c r="K8" s="27"/>
      <c r="L8" s="27"/>
      <c r="M8" s="27"/>
      <c r="N8" s="27"/>
      <c r="O8" s="27"/>
      <c r="P8" s="27"/>
    </row>
    <row r="9" spans="1:16" ht="34.5" customHeight="1" thickBot="1">
      <c r="A9" s="146">
        <f>A8-A7</f>
        <v>1595</v>
      </c>
      <c r="B9" s="147"/>
      <c r="C9" s="148"/>
      <c r="D9" s="35" t="s">
        <v>5</v>
      </c>
      <c r="E9" s="73">
        <v>24</v>
      </c>
      <c r="F9" s="28"/>
      <c r="G9" s="28"/>
      <c r="H9" s="28"/>
      <c r="I9" s="28"/>
      <c r="J9" s="27"/>
      <c r="K9" s="27"/>
      <c r="L9" s="27"/>
      <c r="M9" s="27"/>
      <c r="N9" s="27"/>
      <c r="O9" s="27"/>
      <c r="P9" s="27"/>
    </row>
    <row r="10" spans="1:16" ht="34.5" customHeight="1" thickBot="1">
      <c r="A10" s="149">
        <v>30</v>
      </c>
      <c r="B10" s="150"/>
      <c r="C10" s="151"/>
      <c r="D10" s="35" t="s">
        <v>6</v>
      </c>
      <c r="E10" s="73">
        <f>E9*E8</f>
        <v>244728</v>
      </c>
      <c r="F10" s="28"/>
      <c r="G10" s="28"/>
      <c r="H10" s="28"/>
      <c r="I10" s="28"/>
      <c r="J10" s="27"/>
      <c r="K10" s="27"/>
      <c r="L10" s="27"/>
      <c r="M10" s="27"/>
      <c r="N10" s="27"/>
      <c r="O10" s="27"/>
      <c r="P10" s="27"/>
    </row>
    <row r="11" spans="1:16" ht="34.5" customHeight="1" thickBot="1">
      <c r="A11" s="144">
        <f>A10*A9</f>
        <v>47850</v>
      </c>
      <c r="B11" s="152"/>
      <c r="C11" s="145"/>
      <c r="D11" s="35" t="s">
        <v>7</v>
      </c>
      <c r="E11" s="41"/>
      <c r="F11" s="28"/>
      <c r="G11" s="28"/>
      <c r="H11" s="28"/>
      <c r="I11" s="28"/>
      <c r="J11" s="27"/>
      <c r="K11" s="27"/>
      <c r="L11" s="27"/>
      <c r="M11" s="27"/>
      <c r="N11" s="27"/>
      <c r="O11" s="27"/>
      <c r="P11" s="27"/>
    </row>
    <row r="12" spans="1:16" ht="34.5" customHeight="1" thickBot="1">
      <c r="A12" s="144">
        <v>0</v>
      </c>
      <c r="B12" s="152"/>
      <c r="C12" s="145"/>
      <c r="D12" s="35" t="s">
        <v>437</v>
      </c>
      <c r="E12" s="41"/>
      <c r="F12" s="28"/>
      <c r="G12" s="28"/>
      <c r="H12" s="28"/>
      <c r="I12" s="28"/>
      <c r="J12" s="27"/>
      <c r="K12" s="27"/>
      <c r="L12" s="27"/>
      <c r="M12" s="27"/>
      <c r="N12" s="27"/>
      <c r="O12" s="27"/>
      <c r="P12" s="27"/>
    </row>
    <row r="13" spans="1:16" ht="34.5" customHeight="1" thickBot="1">
      <c r="A13" s="34">
        <v>0</v>
      </c>
      <c r="B13" s="32" t="s">
        <v>8</v>
      </c>
      <c r="C13" s="33">
        <v>47850</v>
      </c>
      <c r="D13" s="32" t="s">
        <v>9</v>
      </c>
      <c r="E13" s="41"/>
      <c r="F13" s="28"/>
      <c r="G13" s="28"/>
      <c r="H13" s="28"/>
      <c r="I13" s="28"/>
      <c r="J13" s="27"/>
      <c r="K13" s="27"/>
      <c r="L13" s="27"/>
      <c r="M13" s="27"/>
      <c r="N13" s="27"/>
      <c r="O13" s="27"/>
      <c r="P13" s="27"/>
    </row>
    <row r="14" spans="1:16" ht="34.5" customHeight="1" thickBot="1">
      <c r="A14" s="153" t="s">
        <v>436</v>
      </c>
      <c r="B14" s="154"/>
      <c r="C14" s="154"/>
      <c r="D14" s="155"/>
      <c r="E14" s="41"/>
      <c r="F14" s="28"/>
      <c r="G14" s="28"/>
      <c r="H14" s="28"/>
      <c r="I14" s="28"/>
      <c r="J14" s="27"/>
      <c r="K14" s="27"/>
      <c r="L14" s="27"/>
      <c r="M14" s="27"/>
      <c r="N14" s="27"/>
      <c r="O14" s="27"/>
      <c r="P14" s="27"/>
    </row>
    <row r="15" spans="1:16" ht="34.5" customHeight="1" thickBot="1">
      <c r="A15" s="156" t="s">
        <v>435</v>
      </c>
      <c r="B15" s="157"/>
      <c r="C15" s="157"/>
      <c r="D15" s="158"/>
      <c r="E15" s="41"/>
      <c r="F15" s="28"/>
      <c r="G15" s="28"/>
      <c r="H15" s="28"/>
      <c r="I15" s="28"/>
      <c r="J15" s="27"/>
      <c r="K15" s="27"/>
      <c r="L15" s="27"/>
      <c r="M15" s="27"/>
      <c r="N15" s="27"/>
      <c r="O15" s="27"/>
      <c r="P15" s="27"/>
    </row>
    <row r="16" spans="1:16" ht="34.5" customHeight="1" thickBot="1">
      <c r="A16" s="40"/>
      <c r="B16" s="39"/>
      <c r="C16" s="39"/>
      <c r="D16" s="38"/>
      <c r="E16" s="41"/>
      <c r="F16" s="28"/>
      <c r="G16" s="28"/>
      <c r="H16" s="28"/>
      <c r="I16" s="28"/>
      <c r="J16" s="27"/>
      <c r="K16" s="27"/>
      <c r="L16" s="27"/>
      <c r="M16" s="27"/>
      <c r="N16" s="27"/>
      <c r="O16" s="27"/>
      <c r="P16" s="27"/>
    </row>
    <row r="17" spans="1:5" ht="34.5" customHeight="1">
      <c r="A17" s="159" t="s">
        <v>441</v>
      </c>
      <c r="B17" s="160"/>
      <c r="C17" s="160"/>
      <c r="D17" s="161"/>
      <c r="E17" s="44"/>
    </row>
    <row r="18" spans="1:5" ht="34.5" customHeight="1" thickBot="1">
      <c r="A18" s="162"/>
      <c r="B18" s="163"/>
      <c r="C18" s="163"/>
      <c r="D18" s="164"/>
      <c r="E18" s="44"/>
    </row>
    <row r="19" spans="1:5" ht="34.5" customHeight="1" thickBot="1">
      <c r="A19" s="142" t="s">
        <v>533</v>
      </c>
      <c r="B19" s="143"/>
      <c r="C19" s="165" t="s">
        <v>534</v>
      </c>
      <c r="D19" s="143"/>
      <c r="E19" s="43"/>
    </row>
    <row r="20" spans="1:5" ht="34.5" customHeight="1" thickBot="1">
      <c r="A20" s="137" t="s">
        <v>535</v>
      </c>
      <c r="B20" s="138"/>
      <c r="C20" s="138"/>
      <c r="D20" s="139"/>
      <c r="E20" s="43"/>
    </row>
    <row r="21" spans="1:5" ht="34.5" customHeight="1" thickBot="1">
      <c r="A21" s="34" t="s">
        <v>487</v>
      </c>
      <c r="B21" s="32" t="s">
        <v>438</v>
      </c>
      <c r="C21" s="34"/>
      <c r="D21" s="32" t="s">
        <v>0</v>
      </c>
      <c r="E21" s="42"/>
    </row>
    <row r="22" spans="1:5" ht="34.5" customHeight="1" thickBot="1">
      <c r="A22" s="37" t="s">
        <v>536</v>
      </c>
      <c r="B22" s="36" t="s">
        <v>1</v>
      </c>
      <c r="C22" s="34" t="s">
        <v>537</v>
      </c>
      <c r="D22" s="32" t="s">
        <v>2</v>
      </c>
      <c r="E22" s="41"/>
    </row>
    <row r="23" spans="1:5" ht="34.5" customHeight="1" thickBot="1">
      <c r="A23" s="140">
        <v>123709</v>
      </c>
      <c r="B23" s="141"/>
      <c r="C23" s="142" t="s">
        <v>3</v>
      </c>
      <c r="D23" s="143"/>
      <c r="E23" s="41"/>
    </row>
    <row r="24" spans="1:5" ht="34.5" customHeight="1" thickBot="1">
      <c r="A24" s="140">
        <v>125304</v>
      </c>
      <c r="B24" s="141"/>
      <c r="C24" s="144" t="s">
        <v>4</v>
      </c>
      <c r="D24" s="145"/>
      <c r="E24" s="41"/>
    </row>
    <row r="25" spans="1:5" ht="34.5" customHeight="1" thickBot="1">
      <c r="A25" s="146">
        <f>A24-A23</f>
        <v>1595</v>
      </c>
      <c r="B25" s="147"/>
      <c r="C25" s="148"/>
      <c r="D25" s="35" t="s">
        <v>5</v>
      </c>
      <c r="E25" s="41"/>
    </row>
    <row r="26" spans="1:5" ht="34.5" customHeight="1" thickBot="1">
      <c r="A26" s="149">
        <v>30</v>
      </c>
      <c r="B26" s="150"/>
      <c r="C26" s="151"/>
      <c r="D26" s="35" t="s">
        <v>6</v>
      </c>
      <c r="E26" s="41"/>
    </row>
    <row r="27" spans="1:5" ht="34.5" customHeight="1" thickBot="1">
      <c r="A27" s="144">
        <f>A26*A25</f>
        <v>47850</v>
      </c>
      <c r="B27" s="152"/>
      <c r="C27" s="145"/>
      <c r="D27" s="35" t="s">
        <v>7</v>
      </c>
      <c r="E27" s="41"/>
    </row>
    <row r="28" spans="1:5" ht="34.5" customHeight="1" thickBot="1">
      <c r="A28" s="144">
        <v>0</v>
      </c>
      <c r="B28" s="152"/>
      <c r="C28" s="145"/>
      <c r="D28" s="35" t="s">
        <v>437</v>
      </c>
      <c r="E28" s="41" t="s">
        <v>10</v>
      </c>
    </row>
    <row r="29" spans="1:5" ht="34.5" customHeight="1" thickBot="1">
      <c r="A29" s="34">
        <v>0</v>
      </c>
      <c r="B29" s="32" t="s">
        <v>8</v>
      </c>
      <c r="C29" s="33">
        <v>47850</v>
      </c>
      <c r="D29" s="32" t="s">
        <v>9</v>
      </c>
      <c r="E29" s="41"/>
    </row>
    <row r="30" spans="1:5" ht="34.5" customHeight="1" thickBot="1">
      <c r="A30" s="153" t="s">
        <v>436</v>
      </c>
      <c r="B30" s="154"/>
      <c r="C30" s="154"/>
      <c r="D30" s="155"/>
      <c r="E30" s="41"/>
    </row>
    <row r="31" spans="1:5" ht="34.5" customHeight="1" thickBot="1">
      <c r="A31" s="156" t="s">
        <v>435</v>
      </c>
      <c r="B31" s="157"/>
      <c r="C31" s="157"/>
      <c r="D31" s="158"/>
      <c r="E31" s="41"/>
    </row>
    <row r="32" spans="1:5" ht="34.5" customHeight="1">
      <c r="A32" s="159" t="s">
        <v>441</v>
      </c>
      <c r="B32" s="160"/>
      <c r="C32" s="160"/>
      <c r="D32" s="161"/>
      <c r="E32" s="44"/>
    </row>
    <row r="33" spans="1:5" ht="34.5" customHeight="1" thickBot="1">
      <c r="A33" s="162"/>
      <c r="B33" s="163"/>
      <c r="C33" s="163"/>
      <c r="D33" s="164"/>
      <c r="E33" s="44"/>
    </row>
    <row r="34" spans="1:5" ht="34.5" customHeight="1" thickBot="1">
      <c r="A34" s="142" t="s">
        <v>533</v>
      </c>
      <c r="B34" s="143"/>
      <c r="C34" s="165" t="s">
        <v>534</v>
      </c>
      <c r="D34" s="143"/>
      <c r="E34" s="43"/>
    </row>
    <row r="35" spans="1:5" ht="34.5" customHeight="1" thickBot="1">
      <c r="A35" s="137" t="s">
        <v>538</v>
      </c>
      <c r="B35" s="138"/>
      <c r="C35" s="138"/>
      <c r="D35" s="139"/>
      <c r="E35" s="43"/>
    </row>
    <row r="36" spans="1:5" ht="34.5" customHeight="1" thickBot="1">
      <c r="A36" s="34" t="s">
        <v>487</v>
      </c>
      <c r="B36" s="32" t="s">
        <v>438</v>
      </c>
      <c r="C36" s="34"/>
      <c r="D36" s="32" t="s">
        <v>0</v>
      </c>
      <c r="E36" s="42"/>
    </row>
    <row r="37" spans="1:5" ht="34.5" customHeight="1" thickBot="1">
      <c r="A37" s="37" t="s">
        <v>536</v>
      </c>
      <c r="B37" s="36" t="s">
        <v>1</v>
      </c>
      <c r="C37" s="34" t="s">
        <v>537</v>
      </c>
      <c r="D37" s="32" t="s">
        <v>2</v>
      </c>
      <c r="E37" s="41"/>
    </row>
    <row r="38" spans="1:5" ht="34.5" customHeight="1" thickBot="1">
      <c r="A38" s="140">
        <v>0</v>
      </c>
      <c r="B38" s="141"/>
      <c r="C38" s="142" t="s">
        <v>3</v>
      </c>
      <c r="D38" s="143"/>
      <c r="E38" s="41"/>
    </row>
    <row r="39" spans="1:5" ht="34.5" customHeight="1" thickBot="1">
      <c r="A39" s="140">
        <v>1191</v>
      </c>
      <c r="B39" s="141"/>
      <c r="C39" s="144" t="s">
        <v>4</v>
      </c>
      <c r="D39" s="145"/>
      <c r="E39" s="41"/>
    </row>
    <row r="40" spans="1:5" ht="34.5" customHeight="1" thickBot="1">
      <c r="A40" s="146">
        <f>A39-A38</f>
        <v>1191</v>
      </c>
      <c r="B40" s="147"/>
      <c r="C40" s="148"/>
      <c r="D40" s="35" t="s">
        <v>5</v>
      </c>
      <c r="E40" s="41"/>
    </row>
    <row r="41" spans="1:5" ht="34.5" customHeight="1" thickBot="1">
      <c r="A41" s="149">
        <v>35</v>
      </c>
      <c r="B41" s="150"/>
      <c r="C41" s="151"/>
      <c r="D41" s="35" t="s">
        <v>6</v>
      </c>
      <c r="E41" s="41"/>
    </row>
    <row r="42" spans="1:5" ht="34.5" customHeight="1" thickBot="1">
      <c r="A42" s="144">
        <f>A41*A40</f>
        <v>41685</v>
      </c>
      <c r="B42" s="152"/>
      <c r="C42" s="145"/>
      <c r="D42" s="35" t="s">
        <v>7</v>
      </c>
      <c r="E42" s="41"/>
    </row>
    <row r="43" spans="1:5" ht="34.5" customHeight="1" thickBot="1">
      <c r="A43" s="144">
        <v>0</v>
      </c>
      <c r="B43" s="152"/>
      <c r="C43" s="145"/>
      <c r="D43" s="35" t="s">
        <v>437</v>
      </c>
      <c r="E43" s="41"/>
    </row>
    <row r="44" spans="1:5" ht="34.5" customHeight="1" thickBot="1">
      <c r="A44" s="34">
        <v>0</v>
      </c>
      <c r="B44" s="32" t="s">
        <v>8</v>
      </c>
      <c r="C44" s="33">
        <v>41685</v>
      </c>
      <c r="D44" s="32" t="s">
        <v>9</v>
      </c>
      <c r="E44" s="41"/>
    </row>
    <row r="45" spans="1:5" ht="34.5" customHeight="1" thickBot="1">
      <c r="A45" s="153" t="s">
        <v>436</v>
      </c>
      <c r="B45" s="154"/>
      <c r="C45" s="154"/>
      <c r="D45" s="155"/>
      <c r="E45" s="41"/>
    </row>
    <row r="46" spans="1:5" ht="34.5" customHeight="1" thickBot="1">
      <c r="A46" s="156" t="s">
        <v>435</v>
      </c>
      <c r="B46" s="157"/>
      <c r="C46" s="157"/>
      <c r="D46" s="158"/>
      <c r="E46" s="41"/>
    </row>
    <row r="47" spans="1:5" ht="34.5" customHeight="1" thickBot="1">
      <c r="A47" s="40"/>
      <c r="B47" s="39"/>
      <c r="C47" s="39"/>
      <c r="D47" s="38"/>
      <c r="E47" s="41"/>
    </row>
    <row r="48" spans="1:5" ht="34.5" customHeight="1">
      <c r="A48" s="159" t="s">
        <v>441</v>
      </c>
      <c r="B48" s="160"/>
      <c r="C48" s="160"/>
      <c r="D48" s="161"/>
      <c r="E48" s="44"/>
    </row>
    <row r="49" spans="1:5" ht="34.5" customHeight="1" thickBot="1">
      <c r="A49" s="162"/>
      <c r="B49" s="163"/>
      <c r="C49" s="163"/>
      <c r="D49" s="164"/>
      <c r="E49" s="44"/>
    </row>
    <row r="50" spans="1:5" ht="34.5" customHeight="1" thickBot="1">
      <c r="A50" s="142" t="s">
        <v>533</v>
      </c>
      <c r="B50" s="143"/>
      <c r="C50" s="165" t="s">
        <v>534</v>
      </c>
      <c r="D50" s="143"/>
      <c r="E50" s="43"/>
    </row>
    <row r="51" spans="1:5" ht="34.5" customHeight="1" thickBot="1">
      <c r="A51" s="137" t="s">
        <v>538</v>
      </c>
      <c r="B51" s="138"/>
      <c r="C51" s="138"/>
      <c r="D51" s="139"/>
      <c r="E51" s="43"/>
    </row>
    <row r="52" spans="1:5" ht="34.5" customHeight="1" thickBot="1">
      <c r="A52" s="34" t="s">
        <v>487</v>
      </c>
      <c r="B52" s="32" t="s">
        <v>438</v>
      </c>
      <c r="C52" s="34"/>
      <c r="D52" s="32" t="s">
        <v>0</v>
      </c>
      <c r="E52" s="42"/>
    </row>
    <row r="53" spans="1:5" ht="34.5" customHeight="1" thickBot="1">
      <c r="A53" s="37" t="s">
        <v>536</v>
      </c>
      <c r="B53" s="36" t="s">
        <v>1</v>
      </c>
      <c r="C53" s="34" t="s">
        <v>537</v>
      </c>
      <c r="D53" s="32" t="s">
        <v>2</v>
      </c>
      <c r="E53" s="41"/>
    </row>
    <row r="54" spans="1:5" ht="34.5" customHeight="1" thickBot="1">
      <c r="A54" s="140">
        <v>0</v>
      </c>
      <c r="B54" s="141"/>
      <c r="C54" s="142" t="s">
        <v>3</v>
      </c>
      <c r="D54" s="143"/>
      <c r="E54" s="41"/>
    </row>
    <row r="55" spans="1:5" ht="34.5" customHeight="1" thickBot="1">
      <c r="A55" s="140">
        <v>1191</v>
      </c>
      <c r="B55" s="141"/>
      <c r="C55" s="144" t="s">
        <v>4</v>
      </c>
      <c r="D55" s="145"/>
      <c r="E55" s="41"/>
    </row>
    <row r="56" spans="1:5" ht="34.5" customHeight="1" thickBot="1">
      <c r="A56" s="146">
        <f>A55-A54</f>
        <v>1191</v>
      </c>
      <c r="B56" s="147"/>
      <c r="C56" s="148"/>
      <c r="D56" s="35" t="s">
        <v>5</v>
      </c>
      <c r="E56" s="41"/>
    </row>
    <row r="57" spans="1:5" ht="34.5" customHeight="1" thickBot="1">
      <c r="A57" s="149">
        <v>35</v>
      </c>
      <c r="B57" s="150"/>
      <c r="C57" s="151"/>
      <c r="D57" s="35" t="s">
        <v>6</v>
      </c>
      <c r="E57" s="41"/>
    </row>
    <row r="58" spans="1:5" ht="34.5" customHeight="1" thickBot="1">
      <c r="A58" s="144">
        <f>A57*A56</f>
        <v>41685</v>
      </c>
      <c r="B58" s="152"/>
      <c r="C58" s="145"/>
      <c r="D58" s="35" t="s">
        <v>7</v>
      </c>
      <c r="E58" s="41"/>
    </row>
    <row r="59" spans="1:5" ht="34.5" customHeight="1" thickBot="1">
      <c r="A59" s="144">
        <v>0</v>
      </c>
      <c r="B59" s="152"/>
      <c r="C59" s="145"/>
      <c r="D59" s="35" t="s">
        <v>437</v>
      </c>
      <c r="E59" s="41"/>
    </row>
    <row r="60" spans="1:5" ht="34.5" customHeight="1" thickBot="1">
      <c r="A60" s="34">
        <v>0</v>
      </c>
      <c r="B60" s="32" t="s">
        <v>8</v>
      </c>
      <c r="C60" s="33">
        <v>41685</v>
      </c>
      <c r="D60" s="32" t="s">
        <v>9</v>
      </c>
      <c r="E60" s="41"/>
    </row>
    <row r="61" spans="1:5" ht="34.5" customHeight="1" thickBot="1">
      <c r="A61" s="153" t="s">
        <v>436</v>
      </c>
      <c r="B61" s="154"/>
      <c r="C61" s="154"/>
      <c r="D61" s="155"/>
      <c r="E61" s="41"/>
    </row>
    <row r="62" spans="1:5" ht="34.5" customHeight="1" thickBot="1">
      <c r="A62" s="156" t="s">
        <v>435</v>
      </c>
      <c r="B62" s="157"/>
      <c r="C62" s="157"/>
      <c r="D62" s="158"/>
      <c r="E62" s="41"/>
    </row>
    <row r="63" spans="1:5" ht="34.5" hidden="1" customHeight="1">
      <c r="A63" s="159" t="s">
        <v>442</v>
      </c>
      <c r="B63" s="160"/>
      <c r="C63" s="160"/>
      <c r="D63" s="161"/>
      <c r="E63" s="44"/>
    </row>
    <row r="64" spans="1:5" ht="34.5" hidden="1" customHeight="1" thickBot="1">
      <c r="A64" s="162"/>
      <c r="B64" s="163"/>
      <c r="C64" s="163"/>
      <c r="D64" s="164"/>
      <c r="E64" s="44"/>
    </row>
    <row r="65" spans="1:5" ht="34.5" hidden="1" customHeight="1" thickBot="1">
      <c r="A65" s="142" t="s">
        <v>11</v>
      </c>
      <c r="B65" s="143"/>
      <c r="C65" s="165" t="s">
        <v>12</v>
      </c>
      <c r="D65" s="143"/>
      <c r="E65" s="43"/>
    </row>
    <row r="66" spans="1:5" ht="34.5" hidden="1" customHeight="1" thickBot="1">
      <c r="A66" s="137" t="s">
        <v>294</v>
      </c>
      <c r="B66" s="138"/>
      <c r="C66" s="138"/>
      <c r="D66" s="139"/>
      <c r="E66" s="43"/>
    </row>
    <row r="67" spans="1:5" ht="34.5" hidden="1" customHeight="1" thickBot="1">
      <c r="A67" s="34" t="s">
        <v>487</v>
      </c>
      <c r="B67" s="32" t="s">
        <v>438</v>
      </c>
      <c r="C67" s="34">
        <v>3</v>
      </c>
      <c r="D67" s="32" t="s">
        <v>0</v>
      </c>
      <c r="E67" s="42"/>
    </row>
    <row r="68" spans="1:5" ht="34.5" hidden="1" customHeight="1" thickBot="1">
      <c r="A68" s="37" t="s">
        <v>13</v>
      </c>
      <c r="B68" s="36" t="s">
        <v>1</v>
      </c>
      <c r="C68" s="34" t="s">
        <v>14</v>
      </c>
      <c r="D68" s="32" t="s">
        <v>2</v>
      </c>
      <c r="E68" s="41"/>
    </row>
    <row r="69" spans="1:5" ht="34.5" hidden="1" customHeight="1" thickBot="1">
      <c r="A69" s="140">
        <v>5215</v>
      </c>
      <c r="B69" s="141"/>
      <c r="C69" s="142" t="s">
        <v>3</v>
      </c>
      <c r="D69" s="143"/>
      <c r="E69" s="41"/>
    </row>
    <row r="70" spans="1:5" ht="34.5" hidden="1" customHeight="1" thickBot="1">
      <c r="A70" s="140">
        <v>5290</v>
      </c>
      <c r="B70" s="141"/>
      <c r="C70" s="144" t="s">
        <v>4</v>
      </c>
      <c r="D70" s="145"/>
      <c r="E70" s="41"/>
    </row>
    <row r="71" spans="1:5" ht="34.5" hidden="1" customHeight="1" thickBot="1">
      <c r="A71" s="146">
        <f>A70-A69</f>
        <v>75</v>
      </c>
      <c r="B71" s="147"/>
      <c r="C71" s="148"/>
      <c r="D71" s="35" t="s">
        <v>5</v>
      </c>
      <c r="E71" s="41"/>
    </row>
    <row r="72" spans="1:5" ht="34.5" hidden="1" customHeight="1" thickBot="1">
      <c r="A72" s="149">
        <v>50</v>
      </c>
      <c r="B72" s="150"/>
      <c r="C72" s="151"/>
      <c r="D72" s="35" t="s">
        <v>6</v>
      </c>
      <c r="E72" s="41"/>
    </row>
    <row r="73" spans="1:5" ht="34.5" hidden="1" customHeight="1" thickBot="1">
      <c r="A73" s="144">
        <f>A72*A71</f>
        <v>3750</v>
      </c>
      <c r="B73" s="152"/>
      <c r="C73" s="145"/>
      <c r="D73" s="35" t="s">
        <v>7</v>
      </c>
      <c r="E73" s="41"/>
    </row>
    <row r="74" spans="1:5" ht="34.5" hidden="1" customHeight="1" thickBot="1">
      <c r="A74" s="144">
        <v>0</v>
      </c>
      <c r="B74" s="152"/>
      <c r="C74" s="145"/>
      <c r="D74" s="35" t="s">
        <v>437</v>
      </c>
      <c r="E74" s="41"/>
    </row>
    <row r="75" spans="1:5" ht="34.5" hidden="1" customHeight="1" thickBot="1">
      <c r="A75" s="34">
        <v>0</v>
      </c>
      <c r="B75" s="32" t="s">
        <v>8</v>
      </c>
      <c r="C75" s="33">
        <v>3750</v>
      </c>
      <c r="D75" s="32" t="s">
        <v>9</v>
      </c>
      <c r="E75" s="41"/>
    </row>
    <row r="76" spans="1:5" ht="34.5" hidden="1" customHeight="1" thickBot="1">
      <c r="A76" s="153" t="s">
        <v>436</v>
      </c>
      <c r="B76" s="154"/>
      <c r="C76" s="154"/>
      <c r="D76" s="155"/>
      <c r="E76" s="41"/>
    </row>
    <row r="77" spans="1:5" ht="34.5" hidden="1" customHeight="1" thickBot="1">
      <c r="A77" s="156" t="s">
        <v>435</v>
      </c>
      <c r="B77" s="157"/>
      <c r="C77" s="157"/>
      <c r="D77" s="158"/>
      <c r="E77" s="41"/>
    </row>
    <row r="78" spans="1:5" ht="34.5" hidden="1" customHeight="1" thickBot="1">
      <c r="A78" s="40"/>
      <c r="B78" s="39"/>
      <c r="C78" s="39"/>
      <c r="D78" s="38"/>
      <c r="E78" s="41"/>
    </row>
    <row r="79" spans="1:5" ht="34.5" hidden="1" customHeight="1">
      <c r="A79" s="159" t="s">
        <v>442</v>
      </c>
      <c r="B79" s="160"/>
      <c r="C79" s="160"/>
      <c r="D79" s="161"/>
      <c r="E79" s="44"/>
    </row>
    <row r="80" spans="1:5" ht="34.5" hidden="1" customHeight="1" thickBot="1">
      <c r="A80" s="162"/>
      <c r="B80" s="163"/>
      <c r="C80" s="163"/>
      <c r="D80" s="164"/>
      <c r="E80" s="44"/>
    </row>
    <row r="81" spans="1:5" ht="34.5" hidden="1" customHeight="1" thickBot="1">
      <c r="A81" s="142" t="s">
        <v>11</v>
      </c>
      <c r="B81" s="143"/>
      <c r="C81" s="165" t="s">
        <v>12</v>
      </c>
      <c r="D81" s="143"/>
      <c r="E81" s="43"/>
    </row>
    <row r="82" spans="1:5" ht="34.5" hidden="1" customHeight="1" thickBot="1">
      <c r="A82" s="137" t="s">
        <v>294</v>
      </c>
      <c r="B82" s="138"/>
      <c r="C82" s="138"/>
      <c r="D82" s="139"/>
      <c r="E82" s="43"/>
    </row>
    <row r="83" spans="1:5" ht="34.5" hidden="1" customHeight="1" thickBot="1">
      <c r="A83" s="34" t="s">
        <v>487</v>
      </c>
      <c r="B83" s="32" t="s">
        <v>438</v>
      </c>
      <c r="C83" s="34">
        <v>3</v>
      </c>
      <c r="D83" s="32" t="s">
        <v>0</v>
      </c>
      <c r="E83" s="42"/>
    </row>
    <row r="84" spans="1:5" ht="34.5" hidden="1" customHeight="1" thickBot="1">
      <c r="A84" s="37" t="s">
        <v>13</v>
      </c>
      <c r="B84" s="36" t="s">
        <v>1</v>
      </c>
      <c r="C84" s="34" t="s">
        <v>14</v>
      </c>
      <c r="D84" s="32" t="s">
        <v>2</v>
      </c>
      <c r="E84" s="41"/>
    </row>
    <row r="85" spans="1:5" ht="34.5" hidden="1" customHeight="1" thickBot="1">
      <c r="A85" s="140">
        <v>5215</v>
      </c>
      <c r="B85" s="141"/>
      <c r="C85" s="142" t="s">
        <v>3</v>
      </c>
      <c r="D85" s="143"/>
      <c r="E85" s="41"/>
    </row>
    <row r="86" spans="1:5" ht="34.5" hidden="1" customHeight="1" thickBot="1">
      <c r="A86" s="140">
        <v>5290</v>
      </c>
      <c r="B86" s="141"/>
      <c r="C86" s="144" t="s">
        <v>4</v>
      </c>
      <c r="D86" s="145"/>
      <c r="E86" s="41"/>
    </row>
    <row r="87" spans="1:5" ht="34.5" hidden="1" customHeight="1" thickBot="1">
      <c r="A87" s="146">
        <f>A86-A85</f>
        <v>75</v>
      </c>
      <c r="B87" s="147"/>
      <c r="C87" s="148"/>
      <c r="D87" s="35" t="s">
        <v>5</v>
      </c>
      <c r="E87" s="41"/>
    </row>
    <row r="88" spans="1:5" ht="34.5" hidden="1" customHeight="1" thickBot="1">
      <c r="A88" s="149">
        <v>50</v>
      </c>
      <c r="B88" s="150"/>
      <c r="C88" s="151"/>
      <c r="D88" s="35" t="s">
        <v>6</v>
      </c>
      <c r="E88" s="41"/>
    </row>
    <row r="89" spans="1:5" ht="34.5" hidden="1" customHeight="1" thickBot="1">
      <c r="A89" s="144">
        <f>A88*A87</f>
        <v>3750</v>
      </c>
      <c r="B89" s="152"/>
      <c r="C89" s="145"/>
      <c r="D89" s="35" t="s">
        <v>7</v>
      </c>
      <c r="E89" s="41"/>
    </row>
    <row r="90" spans="1:5" ht="34.5" hidden="1" customHeight="1" thickBot="1">
      <c r="A90" s="144">
        <v>0</v>
      </c>
      <c r="B90" s="152"/>
      <c r="C90" s="145"/>
      <c r="D90" s="35" t="s">
        <v>437</v>
      </c>
      <c r="E90" s="41"/>
    </row>
    <row r="91" spans="1:5" ht="34.5" hidden="1" customHeight="1" thickBot="1">
      <c r="A91" s="34">
        <v>0</v>
      </c>
      <c r="B91" s="32" t="s">
        <v>8</v>
      </c>
      <c r="C91" s="33">
        <v>3750</v>
      </c>
      <c r="D91" s="32" t="s">
        <v>9</v>
      </c>
      <c r="E91" s="41"/>
    </row>
    <row r="92" spans="1:5" ht="34.5" hidden="1" customHeight="1" thickBot="1">
      <c r="A92" s="153" t="s">
        <v>436</v>
      </c>
      <c r="B92" s="154"/>
      <c r="C92" s="154"/>
      <c r="D92" s="155"/>
      <c r="E92" s="41"/>
    </row>
    <row r="93" spans="1:5" ht="34.5" hidden="1" customHeight="1" thickBot="1">
      <c r="A93" s="156" t="s">
        <v>435</v>
      </c>
      <c r="B93" s="157"/>
      <c r="C93" s="157"/>
      <c r="D93" s="158"/>
      <c r="E93" s="41"/>
    </row>
    <row r="94" spans="1:5" ht="34.5" hidden="1" customHeight="1">
      <c r="A94" s="159" t="s">
        <v>442</v>
      </c>
      <c r="B94" s="160" t="s">
        <v>441</v>
      </c>
      <c r="C94" s="160"/>
      <c r="D94" s="161"/>
      <c r="E94" s="44"/>
    </row>
    <row r="95" spans="1:5" ht="34.5" hidden="1" customHeight="1" thickBot="1">
      <c r="A95" s="162"/>
      <c r="B95" s="163"/>
      <c r="C95" s="163"/>
      <c r="D95" s="164"/>
      <c r="E95" s="44"/>
    </row>
    <row r="96" spans="1:5" ht="34.5" hidden="1" customHeight="1" thickBot="1">
      <c r="A96" s="142" t="s">
        <v>11</v>
      </c>
      <c r="B96" s="143"/>
      <c r="C96" s="165" t="s">
        <v>12</v>
      </c>
      <c r="D96" s="143"/>
      <c r="E96" s="43"/>
    </row>
    <row r="97" spans="1:5" ht="34.5" hidden="1" customHeight="1" thickBot="1">
      <c r="A97" s="137" t="s">
        <v>514</v>
      </c>
      <c r="B97" s="138"/>
      <c r="C97" s="138"/>
      <c r="D97" s="139"/>
      <c r="E97" s="43"/>
    </row>
    <row r="98" spans="1:5" ht="34.5" hidden="1" customHeight="1" thickBot="1">
      <c r="A98" s="34" t="s">
        <v>487</v>
      </c>
      <c r="B98" s="32" t="s">
        <v>438</v>
      </c>
      <c r="C98" s="34">
        <v>4</v>
      </c>
      <c r="D98" s="32" t="s">
        <v>0</v>
      </c>
      <c r="E98" s="42"/>
    </row>
    <row r="99" spans="1:5" ht="34.5" hidden="1" customHeight="1" thickBot="1">
      <c r="A99" s="37" t="s">
        <v>13</v>
      </c>
      <c r="B99" s="36" t="s">
        <v>1</v>
      </c>
      <c r="C99" s="34" t="s">
        <v>14</v>
      </c>
      <c r="D99" s="32" t="s">
        <v>2</v>
      </c>
      <c r="E99" s="41"/>
    </row>
    <row r="100" spans="1:5" ht="34.5" hidden="1" customHeight="1" thickBot="1">
      <c r="A100" s="140">
        <v>0</v>
      </c>
      <c r="B100" s="141"/>
      <c r="C100" s="142" t="s">
        <v>3</v>
      </c>
      <c r="D100" s="143"/>
      <c r="E100" s="41"/>
    </row>
    <row r="101" spans="1:5" ht="34.5" hidden="1" customHeight="1" thickBot="1">
      <c r="A101" s="140">
        <v>0</v>
      </c>
      <c r="B101" s="141"/>
      <c r="C101" s="144" t="s">
        <v>4</v>
      </c>
      <c r="D101" s="145"/>
      <c r="E101" s="41"/>
    </row>
    <row r="102" spans="1:5" ht="34.5" hidden="1" customHeight="1" thickBot="1">
      <c r="A102" s="146">
        <f>A101-A100</f>
        <v>0</v>
      </c>
      <c r="B102" s="147"/>
      <c r="C102" s="148"/>
      <c r="D102" s="35" t="s">
        <v>5</v>
      </c>
      <c r="E102" s="41"/>
    </row>
    <row r="103" spans="1:5" ht="34.5" hidden="1" customHeight="1" thickBot="1">
      <c r="A103" s="149">
        <v>50</v>
      </c>
      <c r="B103" s="150"/>
      <c r="C103" s="151"/>
      <c r="D103" s="35" t="s">
        <v>6</v>
      </c>
      <c r="E103" s="41"/>
    </row>
    <row r="104" spans="1:5" ht="34.5" hidden="1" customHeight="1" thickBot="1">
      <c r="A104" s="144">
        <f>A103*A102</f>
        <v>0</v>
      </c>
      <c r="B104" s="152"/>
      <c r="C104" s="145"/>
      <c r="D104" s="35" t="s">
        <v>7</v>
      </c>
      <c r="E104" s="41"/>
    </row>
    <row r="105" spans="1:5" ht="34.5" hidden="1" customHeight="1" thickBot="1">
      <c r="A105" s="144">
        <v>0</v>
      </c>
      <c r="B105" s="152"/>
      <c r="C105" s="145"/>
      <c r="D105" s="35" t="s">
        <v>437</v>
      </c>
      <c r="E105" s="41"/>
    </row>
    <row r="106" spans="1:5" ht="34.5" hidden="1" customHeight="1" thickBot="1">
      <c r="A106" s="34">
        <v>0</v>
      </c>
      <c r="B106" s="32" t="s">
        <v>8</v>
      </c>
      <c r="C106" s="33">
        <v>3000</v>
      </c>
      <c r="D106" s="32" t="s">
        <v>9</v>
      </c>
      <c r="E106" s="41"/>
    </row>
    <row r="107" spans="1:5" ht="34.5" hidden="1" customHeight="1" thickBot="1">
      <c r="A107" s="153" t="s">
        <v>436</v>
      </c>
      <c r="B107" s="154"/>
      <c r="C107" s="154"/>
      <c r="D107" s="155"/>
      <c r="E107" s="41"/>
    </row>
    <row r="108" spans="1:5" ht="34.5" hidden="1" customHeight="1" thickBot="1">
      <c r="A108" s="156" t="s">
        <v>435</v>
      </c>
      <c r="B108" s="157"/>
      <c r="C108" s="157"/>
      <c r="D108" s="158"/>
      <c r="E108" s="41"/>
    </row>
    <row r="109" spans="1:5" ht="34.5" hidden="1" customHeight="1" thickBot="1">
      <c r="A109" s="40"/>
      <c r="B109" s="39"/>
      <c r="C109" s="39"/>
      <c r="D109" s="38"/>
      <c r="E109" s="41"/>
    </row>
    <row r="110" spans="1:5" ht="34.5" hidden="1" customHeight="1">
      <c r="A110" s="159" t="s">
        <v>442</v>
      </c>
      <c r="B110" s="160" t="s">
        <v>441</v>
      </c>
      <c r="C110" s="160"/>
      <c r="D110" s="161"/>
      <c r="E110" s="44"/>
    </row>
    <row r="111" spans="1:5" ht="34.5" hidden="1" customHeight="1" thickBot="1">
      <c r="A111" s="162"/>
      <c r="B111" s="163"/>
      <c r="C111" s="163"/>
      <c r="D111" s="164"/>
      <c r="E111" s="44"/>
    </row>
    <row r="112" spans="1:5" ht="34.5" hidden="1" customHeight="1" thickBot="1">
      <c r="A112" s="142" t="s">
        <v>11</v>
      </c>
      <c r="B112" s="143"/>
      <c r="C112" s="165" t="s">
        <v>12</v>
      </c>
      <c r="D112" s="143"/>
      <c r="E112" s="43"/>
    </row>
    <row r="113" spans="1:5" ht="34.5" hidden="1" customHeight="1" thickBot="1">
      <c r="A113" s="137" t="s">
        <v>514</v>
      </c>
      <c r="B113" s="138"/>
      <c r="C113" s="138"/>
      <c r="D113" s="139"/>
      <c r="E113" s="43"/>
    </row>
    <row r="114" spans="1:5" ht="34.5" hidden="1" customHeight="1" thickBot="1">
      <c r="A114" s="34" t="s">
        <v>487</v>
      </c>
      <c r="B114" s="32" t="s">
        <v>438</v>
      </c>
      <c r="C114" s="34">
        <v>4</v>
      </c>
      <c r="D114" s="32" t="s">
        <v>0</v>
      </c>
      <c r="E114" s="42"/>
    </row>
    <row r="115" spans="1:5" ht="34.5" hidden="1" customHeight="1" thickBot="1">
      <c r="A115" s="37" t="s">
        <v>13</v>
      </c>
      <c r="B115" s="36" t="s">
        <v>1</v>
      </c>
      <c r="C115" s="34" t="s">
        <v>14</v>
      </c>
      <c r="D115" s="32" t="s">
        <v>2</v>
      </c>
      <c r="E115" s="41"/>
    </row>
    <row r="116" spans="1:5" ht="34.5" hidden="1" customHeight="1" thickBot="1">
      <c r="A116" s="140">
        <v>0</v>
      </c>
      <c r="B116" s="141"/>
      <c r="C116" s="142" t="s">
        <v>3</v>
      </c>
      <c r="D116" s="143"/>
      <c r="E116" s="41"/>
    </row>
    <row r="117" spans="1:5" ht="34.5" hidden="1" customHeight="1" thickBot="1">
      <c r="A117" s="140">
        <v>0</v>
      </c>
      <c r="B117" s="141"/>
      <c r="C117" s="144" t="s">
        <v>4</v>
      </c>
      <c r="D117" s="145"/>
      <c r="E117" s="41"/>
    </row>
    <row r="118" spans="1:5" ht="34.5" hidden="1" customHeight="1" thickBot="1">
      <c r="A118" s="146">
        <f>A117-A116</f>
        <v>0</v>
      </c>
      <c r="B118" s="147"/>
      <c r="C118" s="148"/>
      <c r="D118" s="35" t="s">
        <v>5</v>
      </c>
      <c r="E118" s="41"/>
    </row>
    <row r="119" spans="1:5" ht="34.5" hidden="1" customHeight="1" thickBot="1">
      <c r="A119" s="149">
        <v>50</v>
      </c>
      <c r="B119" s="150"/>
      <c r="C119" s="151"/>
      <c r="D119" s="35" t="s">
        <v>6</v>
      </c>
      <c r="E119" s="41"/>
    </row>
    <row r="120" spans="1:5" ht="34.5" hidden="1" customHeight="1" thickBot="1">
      <c r="A120" s="144">
        <f>A119*A118</f>
        <v>0</v>
      </c>
      <c r="B120" s="152"/>
      <c r="C120" s="145"/>
      <c r="D120" s="35" t="s">
        <v>7</v>
      </c>
      <c r="E120" s="41"/>
    </row>
    <row r="121" spans="1:5" ht="34.5" hidden="1" customHeight="1" thickBot="1">
      <c r="A121" s="144">
        <v>0</v>
      </c>
      <c r="B121" s="152"/>
      <c r="C121" s="145"/>
      <c r="D121" s="35" t="s">
        <v>437</v>
      </c>
      <c r="E121" s="41"/>
    </row>
    <row r="122" spans="1:5" ht="34.5" hidden="1" customHeight="1" thickBot="1">
      <c r="A122" s="34">
        <v>0</v>
      </c>
      <c r="B122" s="32" t="s">
        <v>8</v>
      </c>
      <c r="C122" s="33">
        <v>3000</v>
      </c>
      <c r="D122" s="32" t="s">
        <v>9</v>
      </c>
      <c r="E122" s="41"/>
    </row>
    <row r="123" spans="1:5" ht="34.5" hidden="1" customHeight="1" thickBot="1">
      <c r="A123" s="153" t="s">
        <v>436</v>
      </c>
      <c r="B123" s="154"/>
      <c r="C123" s="154"/>
      <c r="D123" s="155"/>
      <c r="E123" s="41"/>
    </row>
    <row r="124" spans="1:5" ht="34.5" hidden="1" customHeight="1" thickBot="1">
      <c r="A124" s="156" t="s">
        <v>435</v>
      </c>
      <c r="B124" s="157"/>
      <c r="C124" s="157"/>
      <c r="D124" s="158"/>
      <c r="E124" s="41"/>
    </row>
    <row r="125" spans="1:5" ht="34.5" hidden="1" customHeight="1">
      <c r="A125" s="159" t="s">
        <v>442</v>
      </c>
      <c r="B125" s="160" t="s">
        <v>441</v>
      </c>
      <c r="C125" s="160"/>
      <c r="D125" s="161"/>
      <c r="E125" s="44"/>
    </row>
    <row r="126" spans="1:5" ht="34.5" hidden="1" customHeight="1" thickBot="1">
      <c r="A126" s="162"/>
      <c r="B126" s="163"/>
      <c r="C126" s="163"/>
      <c r="D126" s="164"/>
      <c r="E126" s="44"/>
    </row>
    <row r="127" spans="1:5" ht="34.5" hidden="1" customHeight="1" thickBot="1">
      <c r="A127" s="142" t="s">
        <v>11</v>
      </c>
      <c r="B127" s="143"/>
      <c r="C127" s="165" t="s">
        <v>12</v>
      </c>
      <c r="D127" s="143"/>
      <c r="E127" s="43"/>
    </row>
    <row r="128" spans="1:5" ht="34.5" hidden="1" customHeight="1" thickBot="1">
      <c r="A128" s="137" t="s">
        <v>139</v>
      </c>
      <c r="B128" s="138"/>
      <c r="C128" s="138"/>
      <c r="D128" s="139"/>
      <c r="E128" s="43"/>
    </row>
    <row r="129" spans="1:5" ht="34.5" hidden="1" customHeight="1" thickBot="1">
      <c r="A129" s="34" t="s">
        <v>487</v>
      </c>
      <c r="B129" s="32" t="s">
        <v>438</v>
      </c>
      <c r="C129" s="34">
        <v>5</v>
      </c>
      <c r="D129" s="32" t="s">
        <v>0</v>
      </c>
      <c r="E129" s="42"/>
    </row>
    <row r="130" spans="1:5" ht="34.5" hidden="1" customHeight="1" thickBot="1">
      <c r="A130" s="37" t="s">
        <v>13</v>
      </c>
      <c r="B130" s="36" t="s">
        <v>1</v>
      </c>
      <c r="C130" s="34" t="s">
        <v>14</v>
      </c>
      <c r="D130" s="32" t="s">
        <v>2</v>
      </c>
      <c r="E130" s="41"/>
    </row>
    <row r="131" spans="1:5" ht="34.5" hidden="1" customHeight="1" thickBot="1">
      <c r="A131" s="140">
        <v>0</v>
      </c>
      <c r="B131" s="141"/>
      <c r="C131" s="142" t="s">
        <v>3</v>
      </c>
      <c r="D131" s="143"/>
      <c r="E131" s="41"/>
    </row>
    <row r="132" spans="1:5" ht="34.5" hidden="1" customHeight="1" thickBot="1">
      <c r="A132" s="140">
        <v>0</v>
      </c>
      <c r="B132" s="141"/>
      <c r="C132" s="144" t="s">
        <v>4</v>
      </c>
      <c r="D132" s="145"/>
      <c r="E132" s="41"/>
    </row>
    <row r="133" spans="1:5" ht="34.5" hidden="1" customHeight="1" thickBot="1">
      <c r="A133" s="146">
        <f>A132-A131</f>
        <v>0</v>
      </c>
      <c r="B133" s="147"/>
      <c r="C133" s="148"/>
      <c r="D133" s="35" t="s">
        <v>5</v>
      </c>
      <c r="E133" s="41"/>
    </row>
    <row r="134" spans="1:5" ht="34.5" hidden="1" customHeight="1" thickBot="1">
      <c r="A134" s="149">
        <v>50</v>
      </c>
      <c r="B134" s="150"/>
      <c r="C134" s="151"/>
      <c r="D134" s="35" t="s">
        <v>6</v>
      </c>
      <c r="E134" s="41"/>
    </row>
    <row r="135" spans="1:5" ht="34.5" hidden="1" customHeight="1" thickBot="1">
      <c r="A135" s="144">
        <f>A134*A133</f>
        <v>0</v>
      </c>
      <c r="B135" s="152"/>
      <c r="C135" s="145"/>
      <c r="D135" s="35" t="s">
        <v>7</v>
      </c>
      <c r="E135" s="41"/>
    </row>
    <row r="136" spans="1:5" ht="34.5" hidden="1" customHeight="1" thickBot="1">
      <c r="A136" s="144">
        <v>0</v>
      </c>
      <c r="B136" s="152"/>
      <c r="C136" s="145"/>
      <c r="D136" s="35" t="s">
        <v>437</v>
      </c>
      <c r="E136" s="41"/>
    </row>
    <row r="137" spans="1:5" ht="34.5" hidden="1" customHeight="1" thickBot="1">
      <c r="A137" s="34">
        <v>0</v>
      </c>
      <c r="B137" s="32" t="s">
        <v>8</v>
      </c>
      <c r="C137" s="33">
        <v>1250</v>
      </c>
      <c r="D137" s="32" t="s">
        <v>9</v>
      </c>
      <c r="E137" s="41"/>
    </row>
    <row r="138" spans="1:5" ht="34.5" hidden="1" customHeight="1" thickBot="1">
      <c r="A138" s="153" t="s">
        <v>436</v>
      </c>
      <c r="B138" s="154"/>
      <c r="C138" s="154"/>
      <c r="D138" s="155"/>
      <c r="E138" s="41"/>
    </row>
    <row r="139" spans="1:5" ht="34.5" hidden="1" customHeight="1" thickBot="1">
      <c r="A139" s="156" t="s">
        <v>435</v>
      </c>
      <c r="B139" s="157"/>
      <c r="C139" s="157"/>
      <c r="D139" s="158"/>
      <c r="E139" s="41"/>
    </row>
    <row r="140" spans="1:5" ht="34.5" hidden="1" customHeight="1" thickBot="1">
      <c r="A140" s="40"/>
      <c r="B140" s="39"/>
      <c r="C140" s="39"/>
      <c r="D140" s="38"/>
      <c r="E140" s="41"/>
    </row>
    <row r="141" spans="1:5" ht="34.5" hidden="1" customHeight="1">
      <c r="A141" s="159" t="s">
        <v>442</v>
      </c>
      <c r="B141" s="160" t="s">
        <v>441</v>
      </c>
      <c r="C141" s="160"/>
      <c r="D141" s="161"/>
      <c r="E141" s="44"/>
    </row>
    <row r="142" spans="1:5" ht="34.5" hidden="1" customHeight="1" thickBot="1">
      <c r="A142" s="162"/>
      <c r="B142" s="163"/>
      <c r="C142" s="163"/>
      <c r="D142" s="164"/>
      <c r="E142" s="44"/>
    </row>
    <row r="143" spans="1:5" ht="34.5" hidden="1" customHeight="1" thickBot="1">
      <c r="A143" s="142" t="s">
        <v>11</v>
      </c>
      <c r="B143" s="143"/>
      <c r="C143" s="165" t="s">
        <v>12</v>
      </c>
      <c r="D143" s="143"/>
      <c r="E143" s="43"/>
    </row>
    <row r="144" spans="1:5" ht="34.5" hidden="1" customHeight="1" thickBot="1">
      <c r="A144" s="137" t="s">
        <v>139</v>
      </c>
      <c r="B144" s="138"/>
      <c r="C144" s="138"/>
      <c r="D144" s="139"/>
      <c r="E144" s="43"/>
    </row>
    <row r="145" spans="1:5" ht="34.5" hidden="1" customHeight="1" thickBot="1">
      <c r="A145" s="34" t="s">
        <v>487</v>
      </c>
      <c r="B145" s="32" t="s">
        <v>438</v>
      </c>
      <c r="C145" s="34">
        <v>5</v>
      </c>
      <c r="D145" s="32" t="s">
        <v>0</v>
      </c>
      <c r="E145" s="42"/>
    </row>
    <row r="146" spans="1:5" ht="34.5" hidden="1" customHeight="1" thickBot="1">
      <c r="A146" s="37" t="s">
        <v>13</v>
      </c>
      <c r="B146" s="36" t="s">
        <v>1</v>
      </c>
      <c r="C146" s="34" t="s">
        <v>14</v>
      </c>
      <c r="D146" s="32" t="s">
        <v>2</v>
      </c>
      <c r="E146" s="41"/>
    </row>
    <row r="147" spans="1:5" ht="34.5" hidden="1" customHeight="1" thickBot="1">
      <c r="A147" s="140">
        <v>0</v>
      </c>
      <c r="B147" s="141"/>
      <c r="C147" s="142" t="s">
        <v>3</v>
      </c>
      <c r="D147" s="143"/>
      <c r="E147" s="41"/>
    </row>
    <row r="148" spans="1:5" ht="34.5" hidden="1" customHeight="1" thickBot="1">
      <c r="A148" s="140">
        <v>0</v>
      </c>
      <c r="B148" s="141"/>
      <c r="C148" s="144" t="s">
        <v>4</v>
      </c>
      <c r="D148" s="145"/>
      <c r="E148" s="41"/>
    </row>
    <row r="149" spans="1:5" ht="34.5" hidden="1" customHeight="1" thickBot="1">
      <c r="A149" s="146">
        <f>A148-A147</f>
        <v>0</v>
      </c>
      <c r="B149" s="147"/>
      <c r="C149" s="148"/>
      <c r="D149" s="35" t="s">
        <v>5</v>
      </c>
      <c r="E149" s="41"/>
    </row>
    <row r="150" spans="1:5" ht="34.5" hidden="1" customHeight="1" thickBot="1">
      <c r="A150" s="149">
        <v>50</v>
      </c>
      <c r="B150" s="150"/>
      <c r="C150" s="151"/>
      <c r="D150" s="35" t="s">
        <v>6</v>
      </c>
      <c r="E150" s="41"/>
    </row>
    <row r="151" spans="1:5" ht="34.5" hidden="1" customHeight="1" thickBot="1">
      <c r="A151" s="144">
        <f>A150*A149</f>
        <v>0</v>
      </c>
      <c r="B151" s="152"/>
      <c r="C151" s="145"/>
      <c r="D151" s="35" t="s">
        <v>7</v>
      </c>
      <c r="E151" s="41"/>
    </row>
    <row r="152" spans="1:5" ht="34.5" hidden="1" customHeight="1" thickBot="1">
      <c r="A152" s="144">
        <v>0</v>
      </c>
      <c r="B152" s="152"/>
      <c r="C152" s="145"/>
      <c r="D152" s="35" t="s">
        <v>437</v>
      </c>
      <c r="E152" s="41"/>
    </row>
    <row r="153" spans="1:5" ht="34.5" hidden="1" customHeight="1" thickBot="1">
      <c r="A153" s="34">
        <v>0</v>
      </c>
      <c r="B153" s="32" t="s">
        <v>8</v>
      </c>
      <c r="C153" s="33">
        <v>1250</v>
      </c>
      <c r="D153" s="32" t="s">
        <v>9</v>
      </c>
      <c r="E153" s="41"/>
    </row>
    <row r="154" spans="1:5" ht="34.5" hidden="1" customHeight="1" thickBot="1">
      <c r="A154" s="153" t="s">
        <v>436</v>
      </c>
      <c r="B154" s="154"/>
      <c r="C154" s="154"/>
      <c r="D154" s="155"/>
      <c r="E154" s="41"/>
    </row>
    <row r="155" spans="1:5" ht="34.5" hidden="1" customHeight="1" thickBot="1">
      <c r="A155" s="156" t="s">
        <v>435</v>
      </c>
      <c r="B155" s="157"/>
      <c r="C155" s="157"/>
      <c r="D155" s="158"/>
      <c r="E155" s="41"/>
    </row>
    <row r="156" spans="1:5" ht="34.5" hidden="1" customHeight="1">
      <c r="A156" s="159" t="s">
        <v>442</v>
      </c>
      <c r="B156" s="160" t="s">
        <v>441</v>
      </c>
      <c r="C156" s="160"/>
      <c r="D156" s="161"/>
      <c r="E156" s="44"/>
    </row>
    <row r="157" spans="1:5" ht="34.5" hidden="1" customHeight="1" thickBot="1">
      <c r="A157" s="162"/>
      <c r="B157" s="163"/>
      <c r="C157" s="163"/>
      <c r="D157" s="164"/>
      <c r="E157" s="44"/>
    </row>
    <row r="158" spans="1:5" ht="34.5" hidden="1" customHeight="1" thickBot="1">
      <c r="A158" s="142" t="s">
        <v>11</v>
      </c>
      <c r="B158" s="143"/>
      <c r="C158" s="165" t="s">
        <v>12</v>
      </c>
      <c r="D158" s="143"/>
      <c r="E158" s="43"/>
    </row>
    <row r="159" spans="1:5" ht="34.5" hidden="1" customHeight="1" thickBot="1">
      <c r="A159" s="137" t="s">
        <v>192</v>
      </c>
      <c r="B159" s="138"/>
      <c r="C159" s="138"/>
      <c r="D159" s="139"/>
      <c r="E159" s="43"/>
    </row>
    <row r="160" spans="1:5" ht="34.5" hidden="1" customHeight="1" thickBot="1">
      <c r="A160" s="34" t="s">
        <v>487</v>
      </c>
      <c r="B160" s="32" t="s">
        <v>438</v>
      </c>
      <c r="C160" s="34">
        <v>6</v>
      </c>
      <c r="D160" s="32" t="s">
        <v>0</v>
      </c>
      <c r="E160" s="42"/>
    </row>
    <row r="161" spans="1:5" ht="34.5" hidden="1" customHeight="1" thickBot="1">
      <c r="A161" s="37" t="s">
        <v>13</v>
      </c>
      <c r="B161" s="36" t="s">
        <v>1</v>
      </c>
      <c r="C161" s="34" t="s">
        <v>14</v>
      </c>
      <c r="D161" s="32" t="s">
        <v>2</v>
      </c>
      <c r="E161" s="41"/>
    </row>
    <row r="162" spans="1:5" ht="34.5" hidden="1" customHeight="1" thickBot="1">
      <c r="A162" s="140">
        <v>0</v>
      </c>
      <c r="B162" s="141"/>
      <c r="C162" s="142" t="s">
        <v>3</v>
      </c>
      <c r="D162" s="143"/>
      <c r="E162" s="41"/>
    </row>
    <row r="163" spans="1:5" ht="34.5" hidden="1" customHeight="1" thickBot="1">
      <c r="A163" s="140">
        <v>0</v>
      </c>
      <c r="B163" s="141"/>
      <c r="C163" s="144" t="s">
        <v>4</v>
      </c>
      <c r="D163" s="145"/>
      <c r="E163" s="41"/>
    </row>
    <row r="164" spans="1:5" ht="34.5" hidden="1" customHeight="1" thickBot="1">
      <c r="A164" s="146">
        <f>A163-A162</f>
        <v>0</v>
      </c>
      <c r="B164" s="147"/>
      <c r="C164" s="148"/>
      <c r="D164" s="35" t="s">
        <v>5</v>
      </c>
      <c r="E164" s="41"/>
    </row>
    <row r="165" spans="1:5" ht="34.5" hidden="1" customHeight="1" thickBot="1">
      <c r="A165" s="149">
        <v>50</v>
      </c>
      <c r="B165" s="150"/>
      <c r="C165" s="151"/>
      <c r="D165" s="35" t="s">
        <v>6</v>
      </c>
      <c r="E165" s="41"/>
    </row>
    <row r="166" spans="1:5" ht="34.5" hidden="1" customHeight="1" thickBot="1">
      <c r="A166" s="144">
        <f>A165*A164</f>
        <v>0</v>
      </c>
      <c r="B166" s="152"/>
      <c r="C166" s="145"/>
      <c r="D166" s="35" t="s">
        <v>7</v>
      </c>
      <c r="E166" s="41"/>
    </row>
    <row r="167" spans="1:5" ht="34.5" hidden="1" customHeight="1" thickBot="1">
      <c r="A167" s="144">
        <v>0</v>
      </c>
      <c r="B167" s="152"/>
      <c r="C167" s="145"/>
      <c r="D167" s="35" t="s">
        <v>437</v>
      </c>
      <c r="E167" s="41"/>
    </row>
    <row r="168" spans="1:5" ht="34.5" hidden="1" customHeight="1" thickBot="1">
      <c r="A168" s="34">
        <v>0</v>
      </c>
      <c r="B168" s="32" t="s">
        <v>8</v>
      </c>
      <c r="C168" s="33">
        <v>900</v>
      </c>
      <c r="D168" s="32" t="s">
        <v>9</v>
      </c>
      <c r="E168" s="41"/>
    </row>
    <row r="169" spans="1:5" ht="34.5" hidden="1" customHeight="1" thickBot="1">
      <c r="A169" s="153" t="s">
        <v>436</v>
      </c>
      <c r="B169" s="154"/>
      <c r="C169" s="154"/>
      <c r="D169" s="155"/>
      <c r="E169" s="41"/>
    </row>
    <row r="170" spans="1:5" ht="34.5" hidden="1" customHeight="1" thickBot="1">
      <c r="A170" s="156" t="s">
        <v>435</v>
      </c>
      <c r="B170" s="157"/>
      <c r="C170" s="157"/>
      <c r="D170" s="158"/>
      <c r="E170" s="41"/>
    </row>
    <row r="171" spans="1:5" ht="34.5" hidden="1" customHeight="1" thickBot="1">
      <c r="A171" s="40"/>
      <c r="B171" s="39"/>
      <c r="C171" s="39"/>
      <c r="D171" s="38"/>
      <c r="E171" s="41"/>
    </row>
    <row r="172" spans="1:5" ht="34.5" hidden="1" customHeight="1">
      <c r="A172" s="159" t="s">
        <v>442</v>
      </c>
      <c r="B172" s="160" t="s">
        <v>441</v>
      </c>
      <c r="C172" s="160"/>
      <c r="D172" s="161"/>
      <c r="E172" s="44"/>
    </row>
    <row r="173" spans="1:5" ht="34.5" hidden="1" customHeight="1" thickBot="1">
      <c r="A173" s="162"/>
      <c r="B173" s="163"/>
      <c r="C173" s="163"/>
      <c r="D173" s="164"/>
      <c r="E173" s="44"/>
    </row>
    <row r="174" spans="1:5" ht="34.5" hidden="1" customHeight="1" thickBot="1">
      <c r="A174" s="142" t="s">
        <v>11</v>
      </c>
      <c r="B174" s="143"/>
      <c r="C174" s="165" t="s">
        <v>12</v>
      </c>
      <c r="D174" s="143"/>
      <c r="E174" s="43"/>
    </row>
    <row r="175" spans="1:5" ht="34.5" hidden="1" customHeight="1" thickBot="1">
      <c r="A175" s="137" t="s">
        <v>192</v>
      </c>
      <c r="B175" s="138"/>
      <c r="C175" s="138"/>
      <c r="D175" s="139"/>
      <c r="E175" s="43"/>
    </row>
    <row r="176" spans="1:5" ht="34.5" hidden="1" customHeight="1" thickBot="1">
      <c r="A176" s="34" t="s">
        <v>487</v>
      </c>
      <c r="B176" s="32" t="s">
        <v>438</v>
      </c>
      <c r="C176" s="34">
        <v>6</v>
      </c>
      <c r="D176" s="32" t="s">
        <v>0</v>
      </c>
      <c r="E176" s="42"/>
    </row>
    <row r="177" spans="1:5" ht="34.5" hidden="1" customHeight="1" thickBot="1">
      <c r="A177" s="37" t="s">
        <v>13</v>
      </c>
      <c r="B177" s="36" t="s">
        <v>1</v>
      </c>
      <c r="C177" s="34" t="s">
        <v>14</v>
      </c>
      <c r="D177" s="32" t="s">
        <v>2</v>
      </c>
      <c r="E177" s="41"/>
    </row>
    <row r="178" spans="1:5" ht="34.5" hidden="1" customHeight="1" thickBot="1">
      <c r="A178" s="140">
        <v>0</v>
      </c>
      <c r="B178" s="141"/>
      <c r="C178" s="142" t="s">
        <v>3</v>
      </c>
      <c r="D178" s="143"/>
      <c r="E178" s="41"/>
    </row>
    <row r="179" spans="1:5" ht="34.5" hidden="1" customHeight="1" thickBot="1">
      <c r="A179" s="140">
        <v>0</v>
      </c>
      <c r="B179" s="141"/>
      <c r="C179" s="144" t="s">
        <v>4</v>
      </c>
      <c r="D179" s="145"/>
      <c r="E179" s="41"/>
    </row>
    <row r="180" spans="1:5" ht="34.5" hidden="1" customHeight="1" thickBot="1">
      <c r="A180" s="146">
        <f>A179-A178</f>
        <v>0</v>
      </c>
      <c r="B180" s="147"/>
      <c r="C180" s="148"/>
      <c r="D180" s="35" t="s">
        <v>5</v>
      </c>
      <c r="E180" s="41"/>
    </row>
    <row r="181" spans="1:5" ht="34.5" hidden="1" customHeight="1" thickBot="1">
      <c r="A181" s="149">
        <v>50</v>
      </c>
      <c r="B181" s="150"/>
      <c r="C181" s="151"/>
      <c r="D181" s="35" t="s">
        <v>6</v>
      </c>
      <c r="E181" s="41"/>
    </row>
    <row r="182" spans="1:5" ht="34.5" hidden="1" customHeight="1" thickBot="1">
      <c r="A182" s="144">
        <f>A181*A180</f>
        <v>0</v>
      </c>
      <c r="B182" s="152"/>
      <c r="C182" s="145"/>
      <c r="D182" s="35" t="s">
        <v>7</v>
      </c>
      <c r="E182" s="41"/>
    </row>
    <row r="183" spans="1:5" ht="34.5" hidden="1" customHeight="1" thickBot="1">
      <c r="A183" s="144">
        <v>0</v>
      </c>
      <c r="B183" s="152"/>
      <c r="C183" s="145"/>
      <c r="D183" s="35" t="s">
        <v>437</v>
      </c>
      <c r="E183" s="41"/>
    </row>
    <row r="184" spans="1:5" ht="34.5" hidden="1" customHeight="1" thickBot="1">
      <c r="A184" s="34">
        <v>0</v>
      </c>
      <c r="B184" s="32" t="s">
        <v>8</v>
      </c>
      <c r="C184" s="33">
        <v>900</v>
      </c>
      <c r="D184" s="32" t="s">
        <v>9</v>
      </c>
      <c r="E184" s="41"/>
    </row>
    <row r="185" spans="1:5" ht="34.5" hidden="1" customHeight="1" thickBot="1">
      <c r="A185" s="153" t="s">
        <v>436</v>
      </c>
      <c r="B185" s="154"/>
      <c r="C185" s="154"/>
      <c r="D185" s="155"/>
      <c r="E185" s="41"/>
    </row>
    <row r="186" spans="1:5" ht="34.5" hidden="1" customHeight="1" thickBot="1">
      <c r="A186" s="156" t="s">
        <v>435</v>
      </c>
      <c r="B186" s="157"/>
      <c r="C186" s="157"/>
      <c r="D186" s="158"/>
      <c r="E186" s="41"/>
    </row>
    <row r="187" spans="1:5" ht="34.5" hidden="1" customHeight="1">
      <c r="A187" s="159" t="s">
        <v>442</v>
      </c>
      <c r="B187" s="160" t="s">
        <v>441</v>
      </c>
      <c r="C187" s="160"/>
      <c r="D187" s="161"/>
      <c r="E187" s="44"/>
    </row>
    <row r="188" spans="1:5" ht="34.5" hidden="1" customHeight="1" thickBot="1">
      <c r="A188" s="162"/>
      <c r="B188" s="163"/>
      <c r="C188" s="163"/>
      <c r="D188" s="164"/>
      <c r="E188" s="44"/>
    </row>
    <row r="189" spans="1:5" ht="34.5" hidden="1" customHeight="1" thickBot="1">
      <c r="A189" s="142" t="s">
        <v>11</v>
      </c>
      <c r="B189" s="143"/>
      <c r="C189" s="165" t="s">
        <v>12</v>
      </c>
      <c r="D189" s="143"/>
      <c r="E189" s="43"/>
    </row>
    <row r="190" spans="1:5" ht="34.5" hidden="1" customHeight="1" thickBot="1">
      <c r="A190" s="137" t="s">
        <v>515</v>
      </c>
      <c r="B190" s="138"/>
      <c r="C190" s="138"/>
      <c r="D190" s="139"/>
      <c r="E190" s="43"/>
    </row>
    <row r="191" spans="1:5" ht="34.5" hidden="1" customHeight="1" thickBot="1">
      <c r="A191" s="34" t="s">
        <v>487</v>
      </c>
      <c r="B191" s="32" t="s">
        <v>438</v>
      </c>
      <c r="C191" s="34">
        <v>7</v>
      </c>
      <c r="D191" s="32" t="s">
        <v>0</v>
      </c>
      <c r="E191" s="42"/>
    </row>
    <row r="192" spans="1:5" ht="34.5" hidden="1" customHeight="1" thickBot="1">
      <c r="A192" s="37" t="s">
        <v>13</v>
      </c>
      <c r="B192" s="36" t="s">
        <v>1</v>
      </c>
      <c r="C192" s="34" t="s">
        <v>14</v>
      </c>
      <c r="D192" s="32" t="s">
        <v>2</v>
      </c>
      <c r="E192" s="41"/>
    </row>
    <row r="193" spans="1:5" ht="34.5" hidden="1" customHeight="1" thickBot="1">
      <c r="A193" s="140">
        <v>0</v>
      </c>
      <c r="B193" s="141"/>
      <c r="C193" s="142" t="s">
        <v>3</v>
      </c>
      <c r="D193" s="143"/>
      <c r="E193" s="41"/>
    </row>
    <row r="194" spans="1:5" ht="34.5" hidden="1" customHeight="1" thickBot="1">
      <c r="A194" s="140">
        <v>0</v>
      </c>
      <c r="B194" s="141"/>
      <c r="C194" s="144" t="s">
        <v>4</v>
      </c>
      <c r="D194" s="145"/>
      <c r="E194" s="41"/>
    </row>
    <row r="195" spans="1:5" ht="34.5" hidden="1" customHeight="1" thickBot="1">
      <c r="A195" s="146">
        <f>A194-A193</f>
        <v>0</v>
      </c>
      <c r="B195" s="147"/>
      <c r="C195" s="148"/>
      <c r="D195" s="35" t="s">
        <v>5</v>
      </c>
      <c r="E195" s="41"/>
    </row>
    <row r="196" spans="1:5" ht="34.5" hidden="1" customHeight="1" thickBot="1">
      <c r="A196" s="149">
        <v>50</v>
      </c>
      <c r="B196" s="150"/>
      <c r="C196" s="151"/>
      <c r="D196" s="35" t="s">
        <v>6</v>
      </c>
      <c r="E196" s="41"/>
    </row>
    <row r="197" spans="1:5" ht="34.5" hidden="1" customHeight="1" thickBot="1">
      <c r="A197" s="144">
        <f>A196*A195</f>
        <v>0</v>
      </c>
      <c r="B197" s="152"/>
      <c r="C197" s="145"/>
      <c r="D197" s="35" t="s">
        <v>7</v>
      </c>
      <c r="E197" s="41"/>
    </row>
    <row r="198" spans="1:5" ht="34.5" hidden="1" customHeight="1" thickBot="1">
      <c r="A198" s="144">
        <v>0</v>
      </c>
      <c r="B198" s="152"/>
      <c r="C198" s="145"/>
      <c r="D198" s="35" t="s">
        <v>437</v>
      </c>
      <c r="E198" s="41"/>
    </row>
    <row r="199" spans="1:5" ht="34.5" hidden="1" customHeight="1" thickBot="1">
      <c r="A199" s="34">
        <v>0</v>
      </c>
      <c r="B199" s="32" t="s">
        <v>8</v>
      </c>
      <c r="C199" s="33">
        <v>6500</v>
      </c>
      <c r="D199" s="32" t="s">
        <v>9</v>
      </c>
      <c r="E199" s="41"/>
    </row>
    <row r="200" spans="1:5" ht="34.5" hidden="1" customHeight="1" thickBot="1">
      <c r="A200" s="153" t="s">
        <v>436</v>
      </c>
      <c r="B200" s="154"/>
      <c r="C200" s="154"/>
      <c r="D200" s="155"/>
      <c r="E200" s="41"/>
    </row>
    <row r="201" spans="1:5" ht="34.5" hidden="1" customHeight="1" thickBot="1">
      <c r="A201" s="156" t="s">
        <v>435</v>
      </c>
      <c r="B201" s="157"/>
      <c r="C201" s="157"/>
      <c r="D201" s="158"/>
      <c r="E201" s="41"/>
    </row>
    <row r="202" spans="1:5" ht="34.5" hidden="1" customHeight="1" thickBot="1">
      <c r="A202" s="40"/>
      <c r="B202" s="39"/>
      <c r="C202" s="39"/>
      <c r="D202" s="38"/>
      <c r="E202" s="41"/>
    </row>
    <row r="203" spans="1:5" ht="34.5" hidden="1" customHeight="1">
      <c r="A203" s="159" t="s">
        <v>442</v>
      </c>
      <c r="B203" s="160" t="s">
        <v>441</v>
      </c>
      <c r="C203" s="160"/>
      <c r="D203" s="161"/>
      <c r="E203" s="44"/>
    </row>
    <row r="204" spans="1:5" ht="34.5" hidden="1" customHeight="1" thickBot="1">
      <c r="A204" s="162"/>
      <c r="B204" s="163"/>
      <c r="C204" s="163"/>
      <c r="D204" s="164"/>
      <c r="E204" s="44"/>
    </row>
    <row r="205" spans="1:5" ht="34.5" hidden="1" customHeight="1" thickBot="1">
      <c r="A205" s="142" t="s">
        <v>11</v>
      </c>
      <c r="B205" s="143"/>
      <c r="C205" s="165" t="s">
        <v>12</v>
      </c>
      <c r="D205" s="143"/>
      <c r="E205" s="43"/>
    </row>
    <row r="206" spans="1:5" ht="34.5" hidden="1" customHeight="1" thickBot="1">
      <c r="A206" s="137" t="s">
        <v>515</v>
      </c>
      <c r="B206" s="138"/>
      <c r="C206" s="138"/>
      <c r="D206" s="139"/>
      <c r="E206" s="43"/>
    </row>
    <row r="207" spans="1:5" ht="34.5" hidden="1" customHeight="1" thickBot="1">
      <c r="A207" s="34" t="s">
        <v>487</v>
      </c>
      <c r="B207" s="32" t="s">
        <v>438</v>
      </c>
      <c r="C207" s="34">
        <v>7</v>
      </c>
      <c r="D207" s="32" t="s">
        <v>0</v>
      </c>
      <c r="E207" s="42"/>
    </row>
    <row r="208" spans="1:5" ht="34.5" hidden="1" customHeight="1" thickBot="1">
      <c r="A208" s="37" t="s">
        <v>13</v>
      </c>
      <c r="B208" s="36" t="s">
        <v>1</v>
      </c>
      <c r="C208" s="34" t="s">
        <v>14</v>
      </c>
      <c r="D208" s="32" t="s">
        <v>2</v>
      </c>
      <c r="E208" s="41"/>
    </row>
    <row r="209" spans="1:5" ht="34.5" hidden="1" customHeight="1" thickBot="1">
      <c r="A209" s="140">
        <v>0</v>
      </c>
      <c r="B209" s="141"/>
      <c r="C209" s="142" t="s">
        <v>3</v>
      </c>
      <c r="D209" s="143"/>
      <c r="E209" s="41"/>
    </row>
    <row r="210" spans="1:5" ht="34.5" hidden="1" customHeight="1" thickBot="1">
      <c r="A210" s="140">
        <v>0</v>
      </c>
      <c r="B210" s="141"/>
      <c r="C210" s="144" t="s">
        <v>4</v>
      </c>
      <c r="D210" s="145"/>
      <c r="E210" s="41"/>
    </row>
    <row r="211" spans="1:5" ht="34.5" hidden="1" customHeight="1" thickBot="1">
      <c r="A211" s="146">
        <f>A210-A209</f>
        <v>0</v>
      </c>
      <c r="B211" s="147"/>
      <c r="C211" s="148"/>
      <c r="D211" s="35" t="s">
        <v>5</v>
      </c>
      <c r="E211" s="41"/>
    </row>
    <row r="212" spans="1:5" ht="34.5" hidden="1" customHeight="1" thickBot="1">
      <c r="A212" s="149">
        <v>50</v>
      </c>
      <c r="B212" s="150"/>
      <c r="C212" s="151"/>
      <c r="D212" s="35" t="s">
        <v>6</v>
      </c>
      <c r="E212" s="41"/>
    </row>
    <row r="213" spans="1:5" ht="34.5" hidden="1" customHeight="1" thickBot="1">
      <c r="A213" s="144">
        <f>A212*A211</f>
        <v>0</v>
      </c>
      <c r="B213" s="152"/>
      <c r="C213" s="145"/>
      <c r="D213" s="35" t="s">
        <v>7</v>
      </c>
      <c r="E213" s="41"/>
    </row>
    <row r="214" spans="1:5" ht="34.5" hidden="1" customHeight="1" thickBot="1">
      <c r="A214" s="144">
        <v>0</v>
      </c>
      <c r="B214" s="152"/>
      <c r="C214" s="145"/>
      <c r="D214" s="35" t="s">
        <v>437</v>
      </c>
      <c r="E214" s="41"/>
    </row>
    <row r="215" spans="1:5" ht="34.5" hidden="1" customHeight="1" thickBot="1">
      <c r="A215" s="34">
        <v>0</v>
      </c>
      <c r="B215" s="32" t="s">
        <v>8</v>
      </c>
      <c r="C215" s="33">
        <v>6500</v>
      </c>
      <c r="D215" s="32" t="s">
        <v>9</v>
      </c>
      <c r="E215" s="41"/>
    </row>
    <row r="216" spans="1:5" ht="34.5" hidden="1" customHeight="1" thickBot="1">
      <c r="A216" s="153" t="s">
        <v>436</v>
      </c>
      <c r="B216" s="154"/>
      <c r="C216" s="154"/>
      <c r="D216" s="155"/>
      <c r="E216" s="41"/>
    </row>
    <row r="217" spans="1:5" ht="34.5" hidden="1" customHeight="1" thickBot="1">
      <c r="A217" s="156" t="s">
        <v>435</v>
      </c>
      <c r="B217" s="157"/>
      <c r="C217" s="157"/>
      <c r="D217" s="158"/>
      <c r="E217" s="41"/>
    </row>
    <row r="218" spans="1:5" ht="34.5" hidden="1" customHeight="1">
      <c r="A218" s="159" t="s">
        <v>442</v>
      </c>
      <c r="B218" s="160" t="s">
        <v>441</v>
      </c>
      <c r="C218" s="160"/>
      <c r="D218" s="161"/>
      <c r="E218" s="44"/>
    </row>
    <row r="219" spans="1:5" ht="34.5" hidden="1" customHeight="1" thickBot="1">
      <c r="A219" s="162"/>
      <c r="B219" s="163"/>
      <c r="C219" s="163"/>
      <c r="D219" s="164"/>
      <c r="E219" s="44"/>
    </row>
    <row r="220" spans="1:5" ht="34.5" hidden="1" customHeight="1" thickBot="1">
      <c r="A220" s="142" t="s">
        <v>11</v>
      </c>
      <c r="B220" s="143"/>
      <c r="C220" s="165" t="s">
        <v>12</v>
      </c>
      <c r="D220" s="143"/>
      <c r="E220" s="43"/>
    </row>
    <row r="221" spans="1:5" ht="34.5" hidden="1" customHeight="1" thickBot="1">
      <c r="A221" s="137" t="s">
        <v>313</v>
      </c>
      <c r="B221" s="138"/>
      <c r="C221" s="138"/>
      <c r="D221" s="139"/>
      <c r="E221" s="43"/>
    </row>
    <row r="222" spans="1:5" ht="34.5" hidden="1" customHeight="1" thickBot="1">
      <c r="A222" s="34" t="s">
        <v>487</v>
      </c>
      <c r="B222" s="32" t="s">
        <v>438</v>
      </c>
      <c r="C222" s="34">
        <v>8</v>
      </c>
      <c r="D222" s="32" t="s">
        <v>0</v>
      </c>
      <c r="E222" s="42"/>
    </row>
    <row r="223" spans="1:5" ht="34.5" hidden="1" customHeight="1" thickBot="1">
      <c r="A223" s="37" t="s">
        <v>13</v>
      </c>
      <c r="B223" s="36" t="s">
        <v>1</v>
      </c>
      <c r="C223" s="34" t="s">
        <v>14</v>
      </c>
      <c r="D223" s="32" t="s">
        <v>2</v>
      </c>
      <c r="E223" s="41"/>
    </row>
    <row r="224" spans="1:5" ht="34.5" hidden="1" customHeight="1" thickBot="1">
      <c r="A224" s="140">
        <v>0</v>
      </c>
      <c r="B224" s="141"/>
      <c r="C224" s="142" t="s">
        <v>3</v>
      </c>
      <c r="D224" s="143"/>
      <c r="E224" s="41"/>
    </row>
    <row r="225" spans="1:5" ht="34.5" hidden="1" customHeight="1" thickBot="1">
      <c r="A225" s="140">
        <v>0</v>
      </c>
      <c r="B225" s="141"/>
      <c r="C225" s="144" t="s">
        <v>4</v>
      </c>
      <c r="D225" s="145"/>
      <c r="E225" s="41"/>
    </row>
    <row r="226" spans="1:5" ht="34.5" hidden="1" customHeight="1" thickBot="1">
      <c r="A226" s="146">
        <f>A225-A224</f>
        <v>0</v>
      </c>
      <c r="B226" s="147"/>
      <c r="C226" s="148"/>
      <c r="D226" s="35" t="s">
        <v>5</v>
      </c>
      <c r="E226" s="41"/>
    </row>
    <row r="227" spans="1:5" ht="34.5" hidden="1" customHeight="1" thickBot="1">
      <c r="A227" s="149">
        <v>45</v>
      </c>
      <c r="B227" s="150"/>
      <c r="C227" s="151"/>
      <c r="D227" s="35" t="s">
        <v>6</v>
      </c>
      <c r="E227" s="41"/>
    </row>
    <row r="228" spans="1:5" ht="34.5" hidden="1" customHeight="1" thickBot="1">
      <c r="A228" s="144">
        <f>A227*A226</f>
        <v>0</v>
      </c>
      <c r="B228" s="152"/>
      <c r="C228" s="145"/>
      <c r="D228" s="35" t="s">
        <v>7</v>
      </c>
      <c r="E228" s="41"/>
    </row>
    <row r="229" spans="1:5" ht="34.5" hidden="1" customHeight="1" thickBot="1">
      <c r="A229" s="144">
        <v>0</v>
      </c>
      <c r="B229" s="152"/>
      <c r="C229" s="145"/>
      <c r="D229" s="35" t="s">
        <v>437</v>
      </c>
      <c r="E229" s="41"/>
    </row>
    <row r="230" spans="1:5" ht="34.5" hidden="1" customHeight="1" thickBot="1">
      <c r="A230" s="34">
        <v>0</v>
      </c>
      <c r="B230" s="32" t="s">
        <v>8</v>
      </c>
      <c r="C230" s="33">
        <v>4300</v>
      </c>
      <c r="D230" s="32" t="s">
        <v>9</v>
      </c>
      <c r="E230" s="41"/>
    </row>
    <row r="231" spans="1:5" ht="34.5" hidden="1" customHeight="1" thickBot="1">
      <c r="A231" s="153" t="s">
        <v>436</v>
      </c>
      <c r="B231" s="154"/>
      <c r="C231" s="154"/>
      <c r="D231" s="155"/>
      <c r="E231" s="41"/>
    </row>
    <row r="232" spans="1:5" ht="34.5" hidden="1" customHeight="1" thickBot="1">
      <c r="A232" s="156" t="s">
        <v>435</v>
      </c>
      <c r="B232" s="157"/>
      <c r="C232" s="157"/>
      <c r="D232" s="158"/>
      <c r="E232" s="41"/>
    </row>
    <row r="233" spans="1:5" ht="34.5" hidden="1" customHeight="1" thickBot="1">
      <c r="A233" s="40"/>
      <c r="B233" s="39"/>
      <c r="C233" s="39"/>
      <c r="D233" s="38"/>
      <c r="E233" s="41"/>
    </row>
    <row r="234" spans="1:5" ht="34.5" hidden="1" customHeight="1">
      <c r="A234" s="159" t="s">
        <v>442</v>
      </c>
      <c r="B234" s="160" t="s">
        <v>441</v>
      </c>
      <c r="C234" s="160"/>
      <c r="D234" s="161"/>
      <c r="E234" s="44"/>
    </row>
    <row r="235" spans="1:5" ht="34.5" hidden="1" customHeight="1" thickBot="1">
      <c r="A235" s="162"/>
      <c r="B235" s="163"/>
      <c r="C235" s="163"/>
      <c r="D235" s="164"/>
      <c r="E235" s="44"/>
    </row>
    <row r="236" spans="1:5" ht="34.5" hidden="1" customHeight="1" thickBot="1">
      <c r="A236" s="142" t="s">
        <v>11</v>
      </c>
      <c r="B236" s="143"/>
      <c r="C236" s="165" t="s">
        <v>12</v>
      </c>
      <c r="D236" s="143"/>
      <c r="E236" s="43"/>
    </row>
    <row r="237" spans="1:5" ht="34.5" hidden="1" customHeight="1" thickBot="1">
      <c r="A237" s="137" t="s">
        <v>313</v>
      </c>
      <c r="B237" s="138"/>
      <c r="C237" s="138"/>
      <c r="D237" s="139"/>
      <c r="E237" s="43"/>
    </row>
    <row r="238" spans="1:5" ht="34.5" hidden="1" customHeight="1" thickBot="1">
      <c r="A238" s="34" t="s">
        <v>487</v>
      </c>
      <c r="B238" s="32" t="s">
        <v>438</v>
      </c>
      <c r="C238" s="34">
        <v>8</v>
      </c>
      <c r="D238" s="32" t="s">
        <v>0</v>
      </c>
      <c r="E238" s="42"/>
    </row>
    <row r="239" spans="1:5" ht="34.5" hidden="1" customHeight="1" thickBot="1">
      <c r="A239" s="37" t="s">
        <v>13</v>
      </c>
      <c r="B239" s="36" t="s">
        <v>1</v>
      </c>
      <c r="C239" s="34" t="s">
        <v>14</v>
      </c>
      <c r="D239" s="32" t="s">
        <v>2</v>
      </c>
      <c r="E239" s="41"/>
    </row>
    <row r="240" spans="1:5" ht="34.5" hidden="1" customHeight="1" thickBot="1">
      <c r="A240" s="140">
        <v>0</v>
      </c>
      <c r="B240" s="141"/>
      <c r="C240" s="142" t="s">
        <v>3</v>
      </c>
      <c r="D240" s="143"/>
      <c r="E240" s="41"/>
    </row>
    <row r="241" spans="1:5" ht="34.5" hidden="1" customHeight="1" thickBot="1">
      <c r="A241" s="140">
        <v>0</v>
      </c>
      <c r="B241" s="141"/>
      <c r="C241" s="144" t="s">
        <v>4</v>
      </c>
      <c r="D241" s="145"/>
      <c r="E241" s="41"/>
    </row>
    <row r="242" spans="1:5" ht="34.5" hidden="1" customHeight="1" thickBot="1">
      <c r="A242" s="146">
        <f>A241-A240</f>
        <v>0</v>
      </c>
      <c r="B242" s="147"/>
      <c r="C242" s="148"/>
      <c r="D242" s="35" t="s">
        <v>5</v>
      </c>
      <c r="E242" s="41"/>
    </row>
    <row r="243" spans="1:5" ht="34.5" hidden="1" customHeight="1" thickBot="1">
      <c r="A243" s="149">
        <v>45</v>
      </c>
      <c r="B243" s="150"/>
      <c r="C243" s="151"/>
      <c r="D243" s="35" t="s">
        <v>6</v>
      </c>
      <c r="E243" s="41"/>
    </row>
    <row r="244" spans="1:5" ht="34.5" hidden="1" customHeight="1" thickBot="1">
      <c r="A244" s="144">
        <f>A243*A242</f>
        <v>0</v>
      </c>
      <c r="B244" s="152"/>
      <c r="C244" s="145"/>
      <c r="D244" s="35" t="s">
        <v>7</v>
      </c>
      <c r="E244" s="41"/>
    </row>
    <row r="245" spans="1:5" ht="34.5" hidden="1" customHeight="1" thickBot="1">
      <c r="A245" s="144">
        <v>0</v>
      </c>
      <c r="B245" s="152"/>
      <c r="C245" s="145"/>
      <c r="D245" s="35" t="s">
        <v>437</v>
      </c>
      <c r="E245" s="41"/>
    </row>
    <row r="246" spans="1:5" ht="34.5" hidden="1" customHeight="1" thickBot="1">
      <c r="A246" s="34">
        <v>0</v>
      </c>
      <c r="B246" s="32" t="s">
        <v>8</v>
      </c>
      <c r="C246" s="33">
        <v>4300</v>
      </c>
      <c r="D246" s="32" t="s">
        <v>9</v>
      </c>
      <c r="E246" s="41"/>
    </row>
    <row r="247" spans="1:5" ht="34.5" hidden="1" customHeight="1" thickBot="1">
      <c r="A247" s="153" t="s">
        <v>436</v>
      </c>
      <c r="B247" s="154"/>
      <c r="C247" s="154"/>
      <c r="D247" s="155"/>
      <c r="E247" s="41"/>
    </row>
    <row r="248" spans="1:5" ht="34.5" hidden="1" customHeight="1" thickBot="1">
      <c r="A248" s="156" t="s">
        <v>435</v>
      </c>
      <c r="B248" s="157"/>
      <c r="C248" s="157"/>
      <c r="D248" s="158"/>
      <c r="E248" s="41"/>
    </row>
    <row r="249" spans="1:5" ht="34.5" hidden="1" customHeight="1">
      <c r="A249" s="159" t="s">
        <v>442</v>
      </c>
      <c r="B249" s="160" t="s">
        <v>441</v>
      </c>
      <c r="C249" s="160"/>
      <c r="D249" s="161"/>
      <c r="E249" s="44"/>
    </row>
    <row r="250" spans="1:5" ht="34.5" hidden="1" customHeight="1" thickBot="1">
      <c r="A250" s="162"/>
      <c r="B250" s="163"/>
      <c r="C250" s="163"/>
      <c r="D250" s="164"/>
      <c r="E250" s="44"/>
    </row>
    <row r="251" spans="1:5" ht="34.5" hidden="1" customHeight="1" thickBot="1">
      <c r="A251" s="142" t="s">
        <v>11</v>
      </c>
      <c r="B251" s="143"/>
      <c r="C251" s="165" t="s">
        <v>12</v>
      </c>
      <c r="D251" s="143"/>
      <c r="E251" s="43"/>
    </row>
    <row r="252" spans="1:5" ht="34.5" hidden="1" customHeight="1" thickBot="1">
      <c r="A252" s="137" t="s">
        <v>307</v>
      </c>
      <c r="B252" s="138"/>
      <c r="C252" s="138"/>
      <c r="D252" s="139"/>
      <c r="E252" s="43"/>
    </row>
    <row r="253" spans="1:5" ht="34.5" hidden="1" customHeight="1" thickBot="1">
      <c r="A253" s="34" t="s">
        <v>487</v>
      </c>
      <c r="B253" s="32" t="s">
        <v>438</v>
      </c>
      <c r="C253" s="34">
        <v>9</v>
      </c>
      <c r="D253" s="32" t="s">
        <v>0</v>
      </c>
      <c r="E253" s="42"/>
    </row>
    <row r="254" spans="1:5" ht="34.5" hidden="1" customHeight="1" thickBot="1">
      <c r="A254" s="37" t="s">
        <v>13</v>
      </c>
      <c r="B254" s="36" t="s">
        <v>1</v>
      </c>
      <c r="C254" s="34" t="s">
        <v>14</v>
      </c>
      <c r="D254" s="32" t="s">
        <v>2</v>
      </c>
      <c r="E254" s="41"/>
    </row>
    <row r="255" spans="1:5" ht="34.5" hidden="1" customHeight="1" thickBot="1">
      <c r="A255" s="140">
        <v>0</v>
      </c>
      <c r="B255" s="141"/>
      <c r="C255" s="142" t="s">
        <v>3</v>
      </c>
      <c r="D255" s="143"/>
      <c r="E255" s="41"/>
    </row>
    <row r="256" spans="1:5" ht="34.5" hidden="1" customHeight="1" thickBot="1">
      <c r="A256" s="140">
        <v>0</v>
      </c>
      <c r="B256" s="141"/>
      <c r="C256" s="144" t="s">
        <v>4</v>
      </c>
      <c r="D256" s="145"/>
      <c r="E256" s="41"/>
    </row>
    <row r="257" spans="1:5" ht="34.5" hidden="1" customHeight="1" thickBot="1">
      <c r="A257" s="146">
        <f>A256-A255</f>
        <v>0</v>
      </c>
      <c r="B257" s="147"/>
      <c r="C257" s="148"/>
      <c r="D257" s="35" t="s">
        <v>5</v>
      </c>
      <c r="E257" s="41"/>
    </row>
    <row r="258" spans="1:5" ht="34.5" hidden="1" customHeight="1" thickBot="1">
      <c r="A258" s="149">
        <v>50</v>
      </c>
      <c r="B258" s="150"/>
      <c r="C258" s="151"/>
      <c r="D258" s="35" t="s">
        <v>6</v>
      </c>
      <c r="E258" s="41"/>
    </row>
    <row r="259" spans="1:5" ht="34.5" hidden="1" customHeight="1" thickBot="1">
      <c r="A259" s="144">
        <f>A258*A257</f>
        <v>0</v>
      </c>
      <c r="B259" s="152"/>
      <c r="C259" s="145"/>
      <c r="D259" s="35" t="s">
        <v>7</v>
      </c>
      <c r="E259" s="41"/>
    </row>
    <row r="260" spans="1:5" ht="34.5" hidden="1" customHeight="1" thickBot="1">
      <c r="A260" s="144">
        <v>0</v>
      </c>
      <c r="B260" s="152"/>
      <c r="C260" s="145"/>
      <c r="D260" s="35" t="s">
        <v>437</v>
      </c>
      <c r="E260" s="41"/>
    </row>
    <row r="261" spans="1:5" ht="34.5" hidden="1" customHeight="1" thickBot="1">
      <c r="A261" s="34">
        <v>0</v>
      </c>
      <c r="B261" s="32" t="s">
        <v>8</v>
      </c>
      <c r="C261" s="33">
        <v>2250</v>
      </c>
      <c r="D261" s="32" t="s">
        <v>9</v>
      </c>
      <c r="E261" s="41"/>
    </row>
    <row r="262" spans="1:5" ht="34.5" hidden="1" customHeight="1" thickBot="1">
      <c r="A262" s="153" t="s">
        <v>436</v>
      </c>
      <c r="B262" s="154"/>
      <c r="C262" s="154"/>
      <c r="D262" s="155"/>
      <c r="E262" s="41"/>
    </row>
    <row r="263" spans="1:5" ht="34.5" hidden="1" customHeight="1" thickBot="1">
      <c r="A263" s="156" t="s">
        <v>435</v>
      </c>
      <c r="B263" s="157"/>
      <c r="C263" s="157"/>
      <c r="D263" s="158"/>
      <c r="E263" s="41"/>
    </row>
    <row r="264" spans="1:5" ht="34.5" hidden="1" customHeight="1" thickBot="1">
      <c r="A264" s="40"/>
      <c r="B264" s="39"/>
      <c r="C264" s="39"/>
      <c r="D264" s="38"/>
      <c r="E264" s="41"/>
    </row>
    <row r="265" spans="1:5" ht="34.5" hidden="1" customHeight="1">
      <c r="A265" s="159" t="s">
        <v>442</v>
      </c>
      <c r="B265" s="160" t="s">
        <v>441</v>
      </c>
      <c r="C265" s="160"/>
      <c r="D265" s="161"/>
      <c r="E265" s="44"/>
    </row>
    <row r="266" spans="1:5" ht="34.5" hidden="1" customHeight="1" thickBot="1">
      <c r="A266" s="162"/>
      <c r="B266" s="163"/>
      <c r="C266" s="163"/>
      <c r="D266" s="164"/>
      <c r="E266" s="44"/>
    </row>
    <row r="267" spans="1:5" ht="34.5" hidden="1" customHeight="1" thickBot="1">
      <c r="A267" s="142" t="s">
        <v>11</v>
      </c>
      <c r="B267" s="143"/>
      <c r="C267" s="165" t="s">
        <v>12</v>
      </c>
      <c r="D267" s="143"/>
      <c r="E267" s="43"/>
    </row>
    <row r="268" spans="1:5" ht="34.5" hidden="1" customHeight="1" thickBot="1">
      <c r="A268" s="137" t="s">
        <v>307</v>
      </c>
      <c r="B268" s="138"/>
      <c r="C268" s="138"/>
      <c r="D268" s="139"/>
      <c r="E268" s="43"/>
    </row>
    <row r="269" spans="1:5" ht="34.5" hidden="1" customHeight="1" thickBot="1">
      <c r="A269" s="34" t="s">
        <v>487</v>
      </c>
      <c r="B269" s="32" t="s">
        <v>438</v>
      </c>
      <c r="C269" s="34">
        <v>9</v>
      </c>
      <c r="D269" s="32" t="s">
        <v>0</v>
      </c>
      <c r="E269" s="42"/>
    </row>
    <row r="270" spans="1:5" ht="34.5" hidden="1" customHeight="1" thickBot="1">
      <c r="A270" s="37" t="s">
        <v>13</v>
      </c>
      <c r="B270" s="36" t="s">
        <v>1</v>
      </c>
      <c r="C270" s="34" t="s">
        <v>14</v>
      </c>
      <c r="D270" s="32" t="s">
        <v>2</v>
      </c>
      <c r="E270" s="41"/>
    </row>
    <row r="271" spans="1:5" ht="34.5" hidden="1" customHeight="1" thickBot="1">
      <c r="A271" s="140">
        <v>0</v>
      </c>
      <c r="B271" s="141"/>
      <c r="C271" s="142" t="s">
        <v>3</v>
      </c>
      <c r="D271" s="143"/>
      <c r="E271" s="41"/>
    </row>
    <row r="272" spans="1:5" ht="34.5" hidden="1" customHeight="1" thickBot="1">
      <c r="A272" s="140">
        <v>0</v>
      </c>
      <c r="B272" s="141"/>
      <c r="C272" s="144" t="s">
        <v>4</v>
      </c>
      <c r="D272" s="145"/>
      <c r="E272" s="41"/>
    </row>
    <row r="273" spans="1:5" ht="34.5" hidden="1" customHeight="1" thickBot="1">
      <c r="A273" s="146">
        <f>A272-A271</f>
        <v>0</v>
      </c>
      <c r="B273" s="147"/>
      <c r="C273" s="148"/>
      <c r="D273" s="35" t="s">
        <v>5</v>
      </c>
      <c r="E273" s="41"/>
    </row>
    <row r="274" spans="1:5" ht="34.5" hidden="1" customHeight="1" thickBot="1">
      <c r="A274" s="149">
        <v>50</v>
      </c>
      <c r="B274" s="150"/>
      <c r="C274" s="151"/>
      <c r="D274" s="35" t="s">
        <v>6</v>
      </c>
      <c r="E274" s="41"/>
    </row>
    <row r="275" spans="1:5" ht="34.5" hidden="1" customHeight="1" thickBot="1">
      <c r="A275" s="144">
        <f>A274*A273</f>
        <v>0</v>
      </c>
      <c r="B275" s="152"/>
      <c r="C275" s="145"/>
      <c r="D275" s="35" t="s">
        <v>7</v>
      </c>
      <c r="E275" s="41"/>
    </row>
    <row r="276" spans="1:5" ht="34.5" hidden="1" customHeight="1" thickBot="1">
      <c r="A276" s="144">
        <v>0</v>
      </c>
      <c r="B276" s="152"/>
      <c r="C276" s="145"/>
      <c r="D276" s="35" t="s">
        <v>437</v>
      </c>
      <c r="E276" s="41"/>
    </row>
    <row r="277" spans="1:5" ht="34.5" hidden="1" customHeight="1" thickBot="1">
      <c r="A277" s="34">
        <v>0</v>
      </c>
      <c r="B277" s="32" t="s">
        <v>8</v>
      </c>
      <c r="C277" s="33">
        <v>2250</v>
      </c>
      <c r="D277" s="32" t="s">
        <v>9</v>
      </c>
      <c r="E277" s="41"/>
    </row>
    <row r="278" spans="1:5" ht="34.5" hidden="1" customHeight="1" thickBot="1">
      <c r="A278" s="153" t="s">
        <v>436</v>
      </c>
      <c r="B278" s="154"/>
      <c r="C278" s="154"/>
      <c r="D278" s="155"/>
      <c r="E278" s="41"/>
    </row>
    <row r="279" spans="1:5" ht="34.5" hidden="1" customHeight="1" thickBot="1">
      <c r="A279" s="156" t="s">
        <v>435</v>
      </c>
      <c r="B279" s="157"/>
      <c r="C279" s="157"/>
      <c r="D279" s="158"/>
      <c r="E279" s="41"/>
    </row>
    <row r="280" spans="1:5" ht="34.5" hidden="1" customHeight="1">
      <c r="A280" s="159" t="s">
        <v>442</v>
      </c>
      <c r="B280" s="160" t="s">
        <v>441</v>
      </c>
      <c r="C280" s="160"/>
      <c r="D280" s="161"/>
      <c r="E280" s="44"/>
    </row>
    <row r="281" spans="1:5" ht="34.5" hidden="1" customHeight="1" thickBot="1">
      <c r="A281" s="162"/>
      <c r="B281" s="163"/>
      <c r="C281" s="163"/>
      <c r="D281" s="164"/>
      <c r="E281" s="44"/>
    </row>
    <row r="282" spans="1:5" ht="34.5" hidden="1" customHeight="1" thickBot="1">
      <c r="A282" s="142" t="s">
        <v>11</v>
      </c>
      <c r="B282" s="143"/>
      <c r="C282" s="165" t="s">
        <v>12</v>
      </c>
      <c r="D282" s="143"/>
      <c r="E282" s="43"/>
    </row>
    <row r="283" spans="1:5" ht="34.5" hidden="1" customHeight="1" thickBot="1">
      <c r="A283" s="137" t="s">
        <v>516</v>
      </c>
      <c r="B283" s="138"/>
      <c r="C283" s="138"/>
      <c r="D283" s="139"/>
      <c r="E283" s="43"/>
    </row>
    <row r="284" spans="1:5" ht="34.5" hidden="1" customHeight="1" thickBot="1">
      <c r="A284" s="34" t="s">
        <v>487</v>
      </c>
      <c r="B284" s="32" t="s">
        <v>438</v>
      </c>
      <c r="C284" s="34">
        <v>10</v>
      </c>
      <c r="D284" s="32" t="s">
        <v>0</v>
      </c>
      <c r="E284" s="42"/>
    </row>
    <row r="285" spans="1:5" ht="34.5" hidden="1" customHeight="1" thickBot="1">
      <c r="A285" s="37" t="s">
        <v>13</v>
      </c>
      <c r="B285" s="36" t="s">
        <v>1</v>
      </c>
      <c r="C285" s="34" t="s">
        <v>14</v>
      </c>
      <c r="D285" s="32" t="s">
        <v>2</v>
      </c>
      <c r="E285" s="41"/>
    </row>
    <row r="286" spans="1:5" ht="34.5" hidden="1" customHeight="1" thickBot="1">
      <c r="A286" s="140">
        <v>0</v>
      </c>
      <c r="B286" s="141"/>
      <c r="C286" s="142" t="s">
        <v>3</v>
      </c>
      <c r="D286" s="143"/>
      <c r="E286" s="41"/>
    </row>
    <row r="287" spans="1:5" ht="34.5" hidden="1" customHeight="1" thickBot="1">
      <c r="A287" s="140">
        <v>0</v>
      </c>
      <c r="B287" s="141"/>
      <c r="C287" s="144" t="s">
        <v>4</v>
      </c>
      <c r="D287" s="145"/>
      <c r="E287" s="41"/>
    </row>
    <row r="288" spans="1:5" ht="34.5" hidden="1" customHeight="1" thickBot="1">
      <c r="A288" s="146">
        <f>A287-A286</f>
        <v>0</v>
      </c>
      <c r="B288" s="147"/>
      <c r="C288" s="148"/>
      <c r="D288" s="35" t="s">
        <v>5</v>
      </c>
      <c r="E288" s="41"/>
    </row>
    <row r="289" spans="1:5" ht="34.5" hidden="1" customHeight="1" thickBot="1">
      <c r="A289" s="149">
        <v>50</v>
      </c>
      <c r="B289" s="150"/>
      <c r="C289" s="151"/>
      <c r="D289" s="35" t="s">
        <v>6</v>
      </c>
      <c r="E289" s="41"/>
    </row>
    <row r="290" spans="1:5" ht="34.5" hidden="1" customHeight="1" thickBot="1">
      <c r="A290" s="144">
        <f>A289*A288</f>
        <v>0</v>
      </c>
      <c r="B290" s="152"/>
      <c r="C290" s="145"/>
      <c r="D290" s="35" t="s">
        <v>7</v>
      </c>
      <c r="E290" s="41"/>
    </row>
    <row r="291" spans="1:5" ht="34.5" hidden="1" customHeight="1" thickBot="1">
      <c r="A291" s="144">
        <v>0</v>
      </c>
      <c r="B291" s="152"/>
      <c r="C291" s="145"/>
      <c r="D291" s="35" t="s">
        <v>437</v>
      </c>
      <c r="E291" s="41"/>
    </row>
    <row r="292" spans="1:5" ht="34.5" hidden="1" customHeight="1" thickBot="1">
      <c r="A292" s="34">
        <v>0</v>
      </c>
      <c r="B292" s="32" t="s">
        <v>8</v>
      </c>
      <c r="C292" s="33">
        <v>4750</v>
      </c>
      <c r="D292" s="32" t="s">
        <v>9</v>
      </c>
      <c r="E292" s="41"/>
    </row>
    <row r="293" spans="1:5" ht="34.5" hidden="1" customHeight="1" thickBot="1">
      <c r="A293" s="153" t="s">
        <v>436</v>
      </c>
      <c r="B293" s="154"/>
      <c r="C293" s="154"/>
      <c r="D293" s="155"/>
      <c r="E293" s="41"/>
    </row>
    <row r="294" spans="1:5" ht="34.5" hidden="1" customHeight="1" thickBot="1">
      <c r="A294" s="156" t="s">
        <v>435</v>
      </c>
      <c r="B294" s="157"/>
      <c r="C294" s="157"/>
      <c r="D294" s="158"/>
      <c r="E294" s="41"/>
    </row>
    <row r="295" spans="1:5" ht="34.5" hidden="1" customHeight="1" thickBot="1">
      <c r="A295" s="40"/>
      <c r="B295" s="39"/>
      <c r="C295" s="39"/>
      <c r="D295" s="38"/>
      <c r="E295" s="41"/>
    </row>
    <row r="296" spans="1:5" ht="34.5" hidden="1" customHeight="1">
      <c r="A296" s="159" t="s">
        <v>442</v>
      </c>
      <c r="B296" s="160" t="s">
        <v>441</v>
      </c>
      <c r="C296" s="160"/>
      <c r="D296" s="161"/>
      <c r="E296" s="44"/>
    </row>
    <row r="297" spans="1:5" ht="34.5" hidden="1" customHeight="1" thickBot="1">
      <c r="A297" s="162"/>
      <c r="B297" s="163"/>
      <c r="C297" s="163"/>
      <c r="D297" s="164"/>
      <c r="E297" s="44"/>
    </row>
    <row r="298" spans="1:5" ht="34.5" hidden="1" customHeight="1" thickBot="1">
      <c r="A298" s="142" t="s">
        <v>11</v>
      </c>
      <c r="B298" s="143"/>
      <c r="C298" s="165" t="s">
        <v>12</v>
      </c>
      <c r="D298" s="143"/>
      <c r="E298" s="43"/>
    </row>
    <row r="299" spans="1:5" ht="34.5" hidden="1" customHeight="1" thickBot="1">
      <c r="A299" s="137" t="s">
        <v>516</v>
      </c>
      <c r="B299" s="138"/>
      <c r="C299" s="138"/>
      <c r="D299" s="139"/>
      <c r="E299" s="43"/>
    </row>
    <row r="300" spans="1:5" ht="34.5" hidden="1" customHeight="1" thickBot="1">
      <c r="A300" s="34" t="s">
        <v>487</v>
      </c>
      <c r="B300" s="32" t="s">
        <v>438</v>
      </c>
      <c r="C300" s="34">
        <v>10</v>
      </c>
      <c r="D300" s="32" t="s">
        <v>0</v>
      </c>
      <c r="E300" s="42"/>
    </row>
    <row r="301" spans="1:5" ht="34.5" hidden="1" customHeight="1" thickBot="1">
      <c r="A301" s="37" t="s">
        <v>13</v>
      </c>
      <c r="B301" s="36" t="s">
        <v>1</v>
      </c>
      <c r="C301" s="34" t="s">
        <v>14</v>
      </c>
      <c r="D301" s="32" t="s">
        <v>2</v>
      </c>
      <c r="E301" s="41"/>
    </row>
    <row r="302" spans="1:5" ht="34.5" hidden="1" customHeight="1" thickBot="1">
      <c r="A302" s="140">
        <v>0</v>
      </c>
      <c r="B302" s="141"/>
      <c r="C302" s="142" t="s">
        <v>3</v>
      </c>
      <c r="D302" s="143"/>
      <c r="E302" s="41"/>
    </row>
    <row r="303" spans="1:5" ht="34.5" hidden="1" customHeight="1" thickBot="1">
      <c r="A303" s="140">
        <v>0</v>
      </c>
      <c r="B303" s="141"/>
      <c r="C303" s="144" t="s">
        <v>4</v>
      </c>
      <c r="D303" s="145"/>
      <c r="E303" s="41"/>
    </row>
    <row r="304" spans="1:5" ht="34.5" hidden="1" customHeight="1" thickBot="1">
      <c r="A304" s="146">
        <f>A303-A302</f>
        <v>0</v>
      </c>
      <c r="B304" s="147"/>
      <c r="C304" s="148"/>
      <c r="D304" s="35" t="s">
        <v>5</v>
      </c>
      <c r="E304" s="41"/>
    </row>
    <row r="305" spans="1:5" ht="34.5" hidden="1" customHeight="1" thickBot="1">
      <c r="A305" s="149">
        <v>50</v>
      </c>
      <c r="B305" s="150"/>
      <c r="C305" s="151"/>
      <c r="D305" s="35" t="s">
        <v>6</v>
      </c>
      <c r="E305" s="41"/>
    </row>
    <row r="306" spans="1:5" ht="34.5" hidden="1" customHeight="1" thickBot="1">
      <c r="A306" s="144">
        <f>A305*A304</f>
        <v>0</v>
      </c>
      <c r="B306" s="152"/>
      <c r="C306" s="145"/>
      <c r="D306" s="35" t="s">
        <v>7</v>
      </c>
      <c r="E306" s="41"/>
    </row>
    <row r="307" spans="1:5" ht="34.5" hidden="1" customHeight="1" thickBot="1">
      <c r="A307" s="144">
        <v>0</v>
      </c>
      <c r="B307" s="152"/>
      <c r="C307" s="145"/>
      <c r="D307" s="35" t="s">
        <v>437</v>
      </c>
      <c r="E307" s="41"/>
    </row>
    <row r="308" spans="1:5" ht="34.5" hidden="1" customHeight="1" thickBot="1">
      <c r="A308" s="34">
        <v>0</v>
      </c>
      <c r="B308" s="32" t="s">
        <v>8</v>
      </c>
      <c r="C308" s="33">
        <v>4750</v>
      </c>
      <c r="D308" s="32" t="s">
        <v>9</v>
      </c>
      <c r="E308" s="41"/>
    </row>
    <row r="309" spans="1:5" ht="34.5" hidden="1" customHeight="1" thickBot="1">
      <c r="A309" s="153" t="s">
        <v>436</v>
      </c>
      <c r="B309" s="154"/>
      <c r="C309" s="154"/>
      <c r="D309" s="155"/>
      <c r="E309" s="41"/>
    </row>
    <row r="310" spans="1:5" ht="34.5" hidden="1" customHeight="1" thickBot="1">
      <c r="A310" s="156" t="s">
        <v>435</v>
      </c>
      <c r="B310" s="157"/>
      <c r="C310" s="157"/>
      <c r="D310" s="158"/>
      <c r="E310" s="41"/>
    </row>
    <row r="311" spans="1:5" ht="34.5" hidden="1" customHeight="1">
      <c r="A311" s="159" t="s">
        <v>442</v>
      </c>
      <c r="B311" s="160" t="s">
        <v>441</v>
      </c>
      <c r="C311" s="160"/>
      <c r="D311" s="161"/>
      <c r="E311" s="44"/>
    </row>
    <row r="312" spans="1:5" ht="34.5" hidden="1" customHeight="1" thickBot="1">
      <c r="A312" s="162"/>
      <c r="B312" s="163"/>
      <c r="C312" s="163"/>
      <c r="D312" s="164"/>
      <c r="E312" s="44"/>
    </row>
    <row r="313" spans="1:5" ht="34.5" hidden="1" customHeight="1" thickBot="1">
      <c r="A313" s="142" t="s">
        <v>11</v>
      </c>
      <c r="B313" s="143"/>
      <c r="C313" s="165" t="s">
        <v>12</v>
      </c>
      <c r="D313" s="143"/>
      <c r="E313" s="43"/>
    </row>
    <row r="314" spans="1:5" ht="34.5" hidden="1" customHeight="1" thickBot="1">
      <c r="A314" s="166" t="s">
        <v>511</v>
      </c>
      <c r="B314" s="167"/>
      <c r="C314" s="167"/>
      <c r="D314" s="168"/>
      <c r="E314" s="43"/>
    </row>
    <row r="315" spans="1:5" ht="34.5" hidden="1" customHeight="1" thickBot="1">
      <c r="A315" s="34" t="s">
        <v>487</v>
      </c>
      <c r="B315" s="32" t="s">
        <v>438</v>
      </c>
      <c r="C315" s="34">
        <v>11</v>
      </c>
      <c r="D315" s="32" t="s">
        <v>0</v>
      </c>
      <c r="E315" s="42"/>
    </row>
    <row r="316" spans="1:5" ht="34.5" hidden="1" customHeight="1" thickBot="1">
      <c r="A316" s="37" t="s">
        <v>13</v>
      </c>
      <c r="B316" s="36" t="s">
        <v>1</v>
      </c>
      <c r="C316" s="34" t="s">
        <v>14</v>
      </c>
      <c r="D316" s="32" t="s">
        <v>2</v>
      </c>
      <c r="E316" s="41"/>
    </row>
    <row r="317" spans="1:5" ht="34.5" hidden="1" customHeight="1" thickBot="1">
      <c r="A317" s="140">
        <v>0</v>
      </c>
      <c r="B317" s="141"/>
      <c r="C317" s="142" t="s">
        <v>3</v>
      </c>
      <c r="D317" s="143"/>
      <c r="E317" s="41"/>
    </row>
    <row r="318" spans="1:5" ht="34.5" hidden="1" customHeight="1" thickBot="1">
      <c r="A318" s="140">
        <v>0</v>
      </c>
      <c r="B318" s="141"/>
      <c r="C318" s="144" t="s">
        <v>4</v>
      </c>
      <c r="D318" s="145"/>
      <c r="E318" s="41"/>
    </row>
    <row r="319" spans="1:5" ht="34.5" hidden="1" customHeight="1" thickBot="1">
      <c r="A319" s="146">
        <f>A318-A317</f>
        <v>0</v>
      </c>
      <c r="B319" s="147"/>
      <c r="C319" s="148"/>
      <c r="D319" s="35" t="s">
        <v>5</v>
      </c>
      <c r="E319" s="41"/>
    </row>
    <row r="320" spans="1:5" ht="34.5" hidden="1" customHeight="1" thickBot="1">
      <c r="A320" s="149">
        <v>40</v>
      </c>
      <c r="B320" s="150"/>
      <c r="C320" s="151"/>
      <c r="D320" s="35" t="s">
        <v>6</v>
      </c>
      <c r="E320" s="41"/>
    </row>
    <row r="321" spans="1:5" ht="34.5" hidden="1" customHeight="1" thickBot="1">
      <c r="A321" s="144">
        <f>A320*A319</f>
        <v>0</v>
      </c>
      <c r="B321" s="152"/>
      <c r="C321" s="145"/>
      <c r="D321" s="35" t="s">
        <v>7</v>
      </c>
      <c r="E321" s="41"/>
    </row>
    <row r="322" spans="1:5" ht="34.5" hidden="1" customHeight="1" thickBot="1">
      <c r="A322" s="144">
        <v>0</v>
      </c>
      <c r="B322" s="152"/>
      <c r="C322" s="145"/>
      <c r="D322" s="35" t="s">
        <v>437</v>
      </c>
      <c r="E322" s="41"/>
    </row>
    <row r="323" spans="1:5" ht="34.5" hidden="1" customHeight="1" thickBot="1">
      <c r="A323" s="34">
        <v>0</v>
      </c>
      <c r="B323" s="32" t="s">
        <v>8</v>
      </c>
      <c r="C323" s="33">
        <v>3600</v>
      </c>
      <c r="D323" s="32" t="s">
        <v>9</v>
      </c>
      <c r="E323" s="41"/>
    </row>
    <row r="324" spans="1:5" ht="34.5" hidden="1" customHeight="1" thickBot="1">
      <c r="A324" s="153" t="s">
        <v>436</v>
      </c>
      <c r="B324" s="154"/>
      <c r="C324" s="154"/>
      <c r="D324" s="155"/>
      <c r="E324" s="41"/>
    </row>
    <row r="325" spans="1:5" ht="34.5" hidden="1" customHeight="1" thickBot="1">
      <c r="A325" s="156" t="s">
        <v>435</v>
      </c>
      <c r="B325" s="157"/>
      <c r="C325" s="157"/>
      <c r="D325" s="158"/>
      <c r="E325" s="41"/>
    </row>
    <row r="326" spans="1:5" ht="34.5" hidden="1" customHeight="1" thickBot="1">
      <c r="A326" s="40"/>
      <c r="B326" s="39"/>
      <c r="C326" s="39"/>
      <c r="D326" s="38"/>
      <c r="E326" s="41"/>
    </row>
    <row r="327" spans="1:5" ht="34.5" hidden="1" customHeight="1">
      <c r="A327" s="159" t="s">
        <v>442</v>
      </c>
      <c r="B327" s="160" t="s">
        <v>441</v>
      </c>
      <c r="C327" s="160"/>
      <c r="D327" s="161"/>
      <c r="E327" s="44"/>
    </row>
    <row r="328" spans="1:5" ht="34.5" hidden="1" customHeight="1" thickBot="1">
      <c r="A328" s="162"/>
      <c r="B328" s="163"/>
      <c r="C328" s="163"/>
      <c r="D328" s="164"/>
      <c r="E328" s="44"/>
    </row>
    <row r="329" spans="1:5" ht="34.5" hidden="1" customHeight="1" thickBot="1">
      <c r="A329" s="142" t="s">
        <v>11</v>
      </c>
      <c r="B329" s="143"/>
      <c r="C329" s="165" t="s">
        <v>12</v>
      </c>
      <c r="D329" s="143"/>
      <c r="E329" s="43"/>
    </row>
    <row r="330" spans="1:5" ht="34.5" hidden="1" customHeight="1" thickBot="1">
      <c r="A330" s="166" t="s">
        <v>511</v>
      </c>
      <c r="B330" s="167"/>
      <c r="C330" s="167"/>
      <c r="D330" s="168"/>
      <c r="E330" s="43"/>
    </row>
    <row r="331" spans="1:5" ht="34.5" hidden="1" customHeight="1" thickBot="1">
      <c r="A331" s="34" t="s">
        <v>487</v>
      </c>
      <c r="B331" s="32" t="s">
        <v>438</v>
      </c>
      <c r="C331" s="34">
        <v>11</v>
      </c>
      <c r="D331" s="32" t="s">
        <v>0</v>
      </c>
      <c r="E331" s="42"/>
    </row>
    <row r="332" spans="1:5" ht="34.5" hidden="1" customHeight="1" thickBot="1">
      <c r="A332" s="37" t="s">
        <v>13</v>
      </c>
      <c r="B332" s="36" t="s">
        <v>1</v>
      </c>
      <c r="C332" s="34" t="s">
        <v>14</v>
      </c>
      <c r="D332" s="32" t="s">
        <v>2</v>
      </c>
      <c r="E332" s="41"/>
    </row>
    <row r="333" spans="1:5" ht="34.5" hidden="1" customHeight="1" thickBot="1">
      <c r="A333" s="140">
        <v>0</v>
      </c>
      <c r="B333" s="141"/>
      <c r="C333" s="142" t="s">
        <v>3</v>
      </c>
      <c r="D333" s="143"/>
      <c r="E333" s="41"/>
    </row>
    <row r="334" spans="1:5" ht="34.5" hidden="1" customHeight="1" thickBot="1">
      <c r="A334" s="140">
        <v>0</v>
      </c>
      <c r="B334" s="141"/>
      <c r="C334" s="144" t="s">
        <v>4</v>
      </c>
      <c r="D334" s="145"/>
      <c r="E334" s="41"/>
    </row>
    <row r="335" spans="1:5" ht="34.5" hidden="1" customHeight="1" thickBot="1">
      <c r="A335" s="146">
        <f>A334-A333</f>
        <v>0</v>
      </c>
      <c r="B335" s="147"/>
      <c r="C335" s="148"/>
      <c r="D335" s="35" t="s">
        <v>5</v>
      </c>
      <c r="E335" s="41"/>
    </row>
    <row r="336" spans="1:5" ht="34.5" hidden="1" customHeight="1" thickBot="1">
      <c r="A336" s="149">
        <v>40</v>
      </c>
      <c r="B336" s="150"/>
      <c r="C336" s="151"/>
      <c r="D336" s="35" t="s">
        <v>6</v>
      </c>
      <c r="E336" s="41"/>
    </row>
    <row r="337" spans="1:5" ht="34.5" hidden="1" customHeight="1" thickBot="1">
      <c r="A337" s="144">
        <f>A336*A335</f>
        <v>0</v>
      </c>
      <c r="B337" s="152"/>
      <c r="C337" s="145"/>
      <c r="D337" s="35" t="s">
        <v>7</v>
      </c>
      <c r="E337" s="41"/>
    </row>
    <row r="338" spans="1:5" ht="34.5" hidden="1" customHeight="1" thickBot="1">
      <c r="A338" s="144">
        <v>0</v>
      </c>
      <c r="B338" s="152"/>
      <c r="C338" s="145"/>
      <c r="D338" s="35" t="s">
        <v>437</v>
      </c>
      <c r="E338" s="41"/>
    </row>
    <row r="339" spans="1:5" ht="34.5" hidden="1" customHeight="1" thickBot="1">
      <c r="A339" s="34">
        <v>0</v>
      </c>
      <c r="B339" s="32" t="s">
        <v>8</v>
      </c>
      <c r="C339" s="33">
        <v>3600</v>
      </c>
      <c r="D339" s="32" t="s">
        <v>9</v>
      </c>
      <c r="E339" s="41"/>
    </row>
    <row r="340" spans="1:5" ht="34.5" hidden="1" customHeight="1" thickBot="1">
      <c r="A340" s="153" t="s">
        <v>436</v>
      </c>
      <c r="B340" s="154"/>
      <c r="C340" s="154"/>
      <c r="D340" s="155"/>
      <c r="E340" s="41"/>
    </row>
    <row r="341" spans="1:5" ht="34.5" hidden="1" customHeight="1" thickBot="1">
      <c r="A341" s="156" t="s">
        <v>435</v>
      </c>
      <c r="B341" s="157"/>
      <c r="C341" s="157"/>
      <c r="D341" s="158"/>
      <c r="E341" s="41"/>
    </row>
    <row r="342" spans="1:5" ht="34.5" hidden="1" customHeight="1">
      <c r="A342" s="159" t="s">
        <v>442</v>
      </c>
      <c r="B342" s="160" t="s">
        <v>441</v>
      </c>
      <c r="C342" s="160"/>
      <c r="D342" s="161"/>
      <c r="E342" s="44"/>
    </row>
    <row r="343" spans="1:5" ht="34.5" hidden="1" customHeight="1" thickBot="1">
      <c r="A343" s="162"/>
      <c r="B343" s="163"/>
      <c r="C343" s="163"/>
      <c r="D343" s="164"/>
      <c r="E343" s="44"/>
    </row>
    <row r="344" spans="1:5" ht="34.5" hidden="1" customHeight="1" thickBot="1">
      <c r="A344" s="142" t="s">
        <v>11</v>
      </c>
      <c r="B344" s="143"/>
      <c r="C344" s="165" t="s">
        <v>12</v>
      </c>
      <c r="D344" s="143"/>
      <c r="E344" s="43"/>
    </row>
    <row r="345" spans="1:5" ht="34.5" hidden="1" customHeight="1" thickBot="1">
      <c r="A345" s="137" t="s">
        <v>517</v>
      </c>
      <c r="B345" s="138"/>
      <c r="C345" s="138"/>
      <c r="D345" s="139"/>
      <c r="E345" s="43"/>
    </row>
    <row r="346" spans="1:5" ht="34.5" hidden="1" customHeight="1" thickBot="1">
      <c r="A346" s="34" t="s">
        <v>487</v>
      </c>
      <c r="B346" s="32" t="s">
        <v>438</v>
      </c>
      <c r="C346" s="34">
        <v>12</v>
      </c>
      <c r="D346" s="32" t="s">
        <v>0</v>
      </c>
      <c r="E346" s="42"/>
    </row>
    <row r="347" spans="1:5" ht="34.5" hidden="1" customHeight="1" thickBot="1">
      <c r="A347" s="37" t="s">
        <v>13</v>
      </c>
      <c r="B347" s="36" t="s">
        <v>1</v>
      </c>
      <c r="C347" s="34" t="s">
        <v>14</v>
      </c>
      <c r="D347" s="32" t="s">
        <v>2</v>
      </c>
      <c r="E347" s="41"/>
    </row>
    <row r="348" spans="1:5" ht="34.5" hidden="1" customHeight="1" thickBot="1">
      <c r="A348" s="140">
        <v>0</v>
      </c>
      <c r="B348" s="141"/>
      <c r="C348" s="142" t="s">
        <v>3</v>
      </c>
      <c r="D348" s="143"/>
      <c r="E348" s="41"/>
    </row>
    <row r="349" spans="1:5" ht="34.5" hidden="1" customHeight="1" thickBot="1">
      <c r="A349" s="140">
        <v>0</v>
      </c>
      <c r="B349" s="141"/>
      <c r="C349" s="144" t="s">
        <v>4</v>
      </c>
      <c r="D349" s="145"/>
      <c r="E349" s="41"/>
    </row>
    <row r="350" spans="1:5" ht="34.5" hidden="1" customHeight="1" thickBot="1">
      <c r="A350" s="146">
        <f>A349-A348</f>
        <v>0</v>
      </c>
      <c r="B350" s="147"/>
      <c r="C350" s="148"/>
      <c r="D350" s="35" t="s">
        <v>5</v>
      </c>
      <c r="E350" s="41"/>
    </row>
    <row r="351" spans="1:5" ht="34.5" hidden="1" customHeight="1" thickBot="1">
      <c r="A351" s="149">
        <v>50</v>
      </c>
      <c r="B351" s="150"/>
      <c r="C351" s="151"/>
      <c r="D351" s="35" t="s">
        <v>6</v>
      </c>
      <c r="E351" s="41"/>
    </row>
    <row r="352" spans="1:5" ht="34.5" hidden="1" customHeight="1" thickBot="1">
      <c r="A352" s="144">
        <f>A351*A350</f>
        <v>0</v>
      </c>
      <c r="B352" s="152"/>
      <c r="C352" s="145"/>
      <c r="D352" s="35" t="s">
        <v>7</v>
      </c>
      <c r="E352" s="41"/>
    </row>
    <row r="353" spans="1:5" ht="34.5" hidden="1" customHeight="1" thickBot="1">
      <c r="A353" s="144">
        <v>0</v>
      </c>
      <c r="B353" s="152"/>
      <c r="C353" s="145"/>
      <c r="D353" s="35" t="s">
        <v>437</v>
      </c>
      <c r="E353" s="41"/>
    </row>
    <row r="354" spans="1:5" ht="34.5" hidden="1" customHeight="1" thickBot="1">
      <c r="A354" s="34">
        <v>0</v>
      </c>
      <c r="B354" s="32" t="s">
        <v>8</v>
      </c>
      <c r="C354" s="33">
        <v>1150</v>
      </c>
      <c r="D354" s="32" t="s">
        <v>9</v>
      </c>
      <c r="E354" s="41"/>
    </row>
    <row r="355" spans="1:5" ht="34.5" hidden="1" customHeight="1" thickBot="1">
      <c r="A355" s="153" t="s">
        <v>436</v>
      </c>
      <c r="B355" s="154"/>
      <c r="C355" s="154"/>
      <c r="D355" s="155"/>
      <c r="E355" s="41"/>
    </row>
    <row r="356" spans="1:5" ht="34.5" hidden="1" customHeight="1" thickBot="1">
      <c r="A356" s="156" t="s">
        <v>435</v>
      </c>
      <c r="B356" s="157"/>
      <c r="C356" s="157"/>
      <c r="D356" s="158"/>
      <c r="E356" s="41"/>
    </row>
    <row r="357" spans="1:5" ht="34.5" hidden="1" customHeight="1" thickBot="1">
      <c r="A357" s="40"/>
      <c r="B357" s="39"/>
      <c r="C357" s="39"/>
      <c r="D357" s="38"/>
      <c r="E357" s="41"/>
    </row>
    <row r="358" spans="1:5" ht="34.5" hidden="1" customHeight="1">
      <c r="A358" s="159" t="s">
        <v>442</v>
      </c>
      <c r="B358" s="160" t="s">
        <v>441</v>
      </c>
      <c r="C358" s="160"/>
      <c r="D358" s="161"/>
      <c r="E358" s="44"/>
    </row>
    <row r="359" spans="1:5" ht="34.5" hidden="1" customHeight="1" thickBot="1">
      <c r="A359" s="162"/>
      <c r="B359" s="163"/>
      <c r="C359" s="163"/>
      <c r="D359" s="164"/>
      <c r="E359" s="44"/>
    </row>
    <row r="360" spans="1:5" ht="34.5" hidden="1" customHeight="1" thickBot="1">
      <c r="A360" s="142" t="s">
        <v>11</v>
      </c>
      <c r="B360" s="143"/>
      <c r="C360" s="165" t="s">
        <v>12</v>
      </c>
      <c r="D360" s="143"/>
      <c r="E360" s="43"/>
    </row>
    <row r="361" spans="1:5" ht="34.5" hidden="1" customHeight="1" thickBot="1">
      <c r="A361" s="137" t="s">
        <v>517</v>
      </c>
      <c r="B361" s="138"/>
      <c r="C361" s="138"/>
      <c r="D361" s="139"/>
      <c r="E361" s="43"/>
    </row>
    <row r="362" spans="1:5" ht="34.5" hidden="1" customHeight="1" thickBot="1">
      <c r="A362" s="34" t="s">
        <v>487</v>
      </c>
      <c r="B362" s="32" t="s">
        <v>438</v>
      </c>
      <c r="C362" s="34">
        <v>12</v>
      </c>
      <c r="D362" s="32" t="s">
        <v>0</v>
      </c>
      <c r="E362" s="42"/>
    </row>
    <row r="363" spans="1:5" ht="34.5" hidden="1" customHeight="1" thickBot="1">
      <c r="A363" s="37" t="s">
        <v>13</v>
      </c>
      <c r="B363" s="36" t="s">
        <v>1</v>
      </c>
      <c r="C363" s="34" t="s">
        <v>14</v>
      </c>
      <c r="D363" s="32" t="s">
        <v>2</v>
      </c>
      <c r="E363" s="41"/>
    </row>
    <row r="364" spans="1:5" ht="34.5" hidden="1" customHeight="1" thickBot="1">
      <c r="A364" s="140">
        <v>0</v>
      </c>
      <c r="B364" s="141"/>
      <c r="C364" s="142" t="s">
        <v>3</v>
      </c>
      <c r="D364" s="143"/>
      <c r="E364" s="41"/>
    </row>
    <row r="365" spans="1:5" ht="34.5" hidden="1" customHeight="1" thickBot="1">
      <c r="A365" s="140">
        <v>0</v>
      </c>
      <c r="B365" s="141"/>
      <c r="C365" s="144" t="s">
        <v>4</v>
      </c>
      <c r="D365" s="145"/>
      <c r="E365" s="41"/>
    </row>
    <row r="366" spans="1:5" ht="34.5" hidden="1" customHeight="1" thickBot="1">
      <c r="A366" s="146">
        <f>A365-A364</f>
        <v>0</v>
      </c>
      <c r="B366" s="147"/>
      <c r="C366" s="148"/>
      <c r="D366" s="35" t="s">
        <v>5</v>
      </c>
      <c r="E366" s="41"/>
    </row>
    <row r="367" spans="1:5" ht="34.5" hidden="1" customHeight="1" thickBot="1">
      <c r="A367" s="149">
        <v>50</v>
      </c>
      <c r="B367" s="150"/>
      <c r="C367" s="151"/>
      <c r="D367" s="35" t="s">
        <v>6</v>
      </c>
      <c r="E367" s="41"/>
    </row>
    <row r="368" spans="1:5" ht="34.5" hidden="1" customHeight="1" thickBot="1">
      <c r="A368" s="144">
        <f>A367*A366</f>
        <v>0</v>
      </c>
      <c r="B368" s="152"/>
      <c r="C368" s="145"/>
      <c r="D368" s="35" t="s">
        <v>7</v>
      </c>
      <c r="E368" s="41"/>
    </row>
    <row r="369" spans="1:5" ht="34.5" hidden="1" customHeight="1" thickBot="1">
      <c r="A369" s="144">
        <v>0</v>
      </c>
      <c r="B369" s="152"/>
      <c r="C369" s="145"/>
      <c r="D369" s="35" t="s">
        <v>437</v>
      </c>
      <c r="E369" s="41"/>
    </row>
    <row r="370" spans="1:5" ht="34.5" hidden="1" customHeight="1" thickBot="1">
      <c r="A370" s="34">
        <v>0</v>
      </c>
      <c r="B370" s="32" t="s">
        <v>8</v>
      </c>
      <c r="C370" s="33">
        <v>1150</v>
      </c>
      <c r="D370" s="32" t="s">
        <v>9</v>
      </c>
      <c r="E370" s="41"/>
    </row>
    <row r="371" spans="1:5" ht="34.5" hidden="1" customHeight="1" thickBot="1">
      <c r="A371" s="153" t="s">
        <v>436</v>
      </c>
      <c r="B371" s="154"/>
      <c r="C371" s="154"/>
      <c r="D371" s="155"/>
      <c r="E371" s="41"/>
    </row>
    <row r="372" spans="1:5" ht="34.5" hidden="1" customHeight="1" thickBot="1">
      <c r="A372" s="156" t="s">
        <v>435</v>
      </c>
      <c r="B372" s="157"/>
      <c r="C372" s="157"/>
      <c r="D372" s="158"/>
      <c r="E372" s="41"/>
    </row>
    <row r="373" spans="1:5" ht="34.5" hidden="1" customHeight="1">
      <c r="A373" s="159" t="s">
        <v>442</v>
      </c>
      <c r="B373" s="160" t="s">
        <v>441</v>
      </c>
      <c r="C373" s="160"/>
      <c r="D373" s="161"/>
      <c r="E373" s="44"/>
    </row>
    <row r="374" spans="1:5" ht="34.5" hidden="1" customHeight="1" thickBot="1">
      <c r="A374" s="162"/>
      <c r="B374" s="163"/>
      <c r="C374" s="163"/>
      <c r="D374" s="164"/>
      <c r="E374" s="44"/>
    </row>
    <row r="375" spans="1:5" ht="34.5" hidden="1" customHeight="1" thickBot="1">
      <c r="A375" s="142" t="s">
        <v>11</v>
      </c>
      <c r="B375" s="143"/>
      <c r="C375" s="165" t="s">
        <v>12</v>
      </c>
      <c r="D375" s="143"/>
      <c r="E375" s="43"/>
    </row>
    <row r="376" spans="1:5" ht="34.5" hidden="1" customHeight="1" thickBot="1">
      <c r="A376" s="137" t="s">
        <v>518</v>
      </c>
      <c r="B376" s="138"/>
      <c r="C376" s="138"/>
      <c r="D376" s="139"/>
      <c r="E376" s="43"/>
    </row>
    <row r="377" spans="1:5" ht="34.5" hidden="1" customHeight="1" thickBot="1">
      <c r="A377" s="34" t="s">
        <v>487</v>
      </c>
      <c r="B377" s="32" t="s">
        <v>438</v>
      </c>
      <c r="C377" s="34">
        <v>13</v>
      </c>
      <c r="D377" s="32" t="s">
        <v>0</v>
      </c>
      <c r="E377" s="42"/>
    </row>
    <row r="378" spans="1:5" ht="34.5" hidden="1" customHeight="1" thickBot="1">
      <c r="A378" s="37" t="s">
        <v>13</v>
      </c>
      <c r="B378" s="36" t="s">
        <v>1</v>
      </c>
      <c r="C378" s="34" t="s">
        <v>14</v>
      </c>
      <c r="D378" s="32" t="s">
        <v>2</v>
      </c>
      <c r="E378" s="41"/>
    </row>
    <row r="379" spans="1:5" ht="34.5" hidden="1" customHeight="1" thickBot="1">
      <c r="A379" s="140">
        <v>0</v>
      </c>
      <c r="B379" s="141"/>
      <c r="C379" s="142" t="s">
        <v>3</v>
      </c>
      <c r="D379" s="143"/>
      <c r="E379" s="41"/>
    </row>
    <row r="380" spans="1:5" ht="34.5" hidden="1" customHeight="1" thickBot="1">
      <c r="A380" s="140">
        <v>0</v>
      </c>
      <c r="B380" s="141"/>
      <c r="C380" s="144" t="s">
        <v>4</v>
      </c>
      <c r="D380" s="145"/>
      <c r="E380" s="41"/>
    </row>
    <row r="381" spans="1:5" ht="34.5" hidden="1" customHeight="1" thickBot="1">
      <c r="A381" s="146">
        <f>A380-A379</f>
        <v>0</v>
      </c>
      <c r="B381" s="147"/>
      <c r="C381" s="148"/>
      <c r="D381" s="35" t="s">
        <v>5</v>
      </c>
      <c r="E381" s="41"/>
    </row>
    <row r="382" spans="1:5" ht="34.5" hidden="1" customHeight="1" thickBot="1">
      <c r="A382" s="149">
        <v>50</v>
      </c>
      <c r="B382" s="150"/>
      <c r="C382" s="151"/>
      <c r="D382" s="35" t="s">
        <v>6</v>
      </c>
      <c r="E382" s="41"/>
    </row>
    <row r="383" spans="1:5" ht="34.5" hidden="1" customHeight="1" thickBot="1">
      <c r="A383" s="144">
        <f>A382*A381</f>
        <v>0</v>
      </c>
      <c r="B383" s="152"/>
      <c r="C383" s="145"/>
      <c r="D383" s="35" t="s">
        <v>7</v>
      </c>
      <c r="E383" s="41"/>
    </row>
    <row r="384" spans="1:5" ht="34.5" hidden="1" customHeight="1" thickBot="1">
      <c r="A384" s="144">
        <v>0</v>
      </c>
      <c r="B384" s="152"/>
      <c r="C384" s="145"/>
      <c r="D384" s="35" t="s">
        <v>437</v>
      </c>
      <c r="E384" s="41"/>
    </row>
    <row r="385" spans="1:5" ht="34.5" hidden="1" customHeight="1" thickBot="1">
      <c r="A385" s="34">
        <v>0</v>
      </c>
      <c r="B385" s="32" t="s">
        <v>8</v>
      </c>
      <c r="C385" s="33">
        <v>3000</v>
      </c>
      <c r="D385" s="32" t="s">
        <v>9</v>
      </c>
      <c r="E385" s="41"/>
    </row>
    <row r="386" spans="1:5" ht="34.5" hidden="1" customHeight="1" thickBot="1">
      <c r="A386" s="153" t="s">
        <v>436</v>
      </c>
      <c r="B386" s="154"/>
      <c r="C386" s="154"/>
      <c r="D386" s="155"/>
      <c r="E386" s="41"/>
    </row>
    <row r="387" spans="1:5" ht="34.5" hidden="1" customHeight="1" thickBot="1">
      <c r="A387" s="156" t="s">
        <v>435</v>
      </c>
      <c r="B387" s="157"/>
      <c r="C387" s="157"/>
      <c r="D387" s="158"/>
      <c r="E387" s="41"/>
    </row>
    <row r="388" spans="1:5" ht="34.5" hidden="1" customHeight="1" thickBot="1">
      <c r="A388" s="40"/>
      <c r="B388" s="39"/>
      <c r="C388" s="39"/>
      <c r="D388" s="38"/>
      <c r="E388" s="41"/>
    </row>
    <row r="389" spans="1:5" ht="34.5" hidden="1" customHeight="1">
      <c r="A389" s="159" t="s">
        <v>442</v>
      </c>
      <c r="B389" s="160" t="s">
        <v>441</v>
      </c>
      <c r="C389" s="160"/>
      <c r="D389" s="161"/>
      <c r="E389" s="44"/>
    </row>
    <row r="390" spans="1:5" ht="34.5" hidden="1" customHeight="1" thickBot="1">
      <c r="A390" s="162"/>
      <c r="B390" s="163"/>
      <c r="C390" s="163"/>
      <c r="D390" s="164"/>
      <c r="E390" s="44"/>
    </row>
    <row r="391" spans="1:5" ht="34.5" hidden="1" customHeight="1" thickBot="1">
      <c r="A391" s="142" t="s">
        <v>11</v>
      </c>
      <c r="B391" s="143"/>
      <c r="C391" s="165" t="s">
        <v>12</v>
      </c>
      <c r="D391" s="143"/>
      <c r="E391" s="43"/>
    </row>
    <row r="392" spans="1:5" ht="34.5" hidden="1" customHeight="1" thickBot="1">
      <c r="A392" s="137" t="s">
        <v>518</v>
      </c>
      <c r="B392" s="138"/>
      <c r="C392" s="138"/>
      <c r="D392" s="139"/>
      <c r="E392" s="43"/>
    </row>
    <row r="393" spans="1:5" ht="34.5" hidden="1" customHeight="1" thickBot="1">
      <c r="A393" s="34" t="s">
        <v>487</v>
      </c>
      <c r="B393" s="32" t="s">
        <v>438</v>
      </c>
      <c r="C393" s="34">
        <v>13</v>
      </c>
      <c r="D393" s="32" t="s">
        <v>0</v>
      </c>
      <c r="E393" s="42"/>
    </row>
    <row r="394" spans="1:5" ht="34.5" hidden="1" customHeight="1" thickBot="1">
      <c r="A394" s="37" t="s">
        <v>13</v>
      </c>
      <c r="B394" s="36" t="s">
        <v>1</v>
      </c>
      <c r="C394" s="34" t="s">
        <v>14</v>
      </c>
      <c r="D394" s="32" t="s">
        <v>2</v>
      </c>
      <c r="E394" s="41"/>
    </row>
    <row r="395" spans="1:5" ht="34.5" hidden="1" customHeight="1" thickBot="1">
      <c r="A395" s="140">
        <v>0</v>
      </c>
      <c r="B395" s="141"/>
      <c r="C395" s="142" t="s">
        <v>3</v>
      </c>
      <c r="D395" s="143"/>
      <c r="E395" s="41"/>
    </row>
    <row r="396" spans="1:5" ht="34.5" hidden="1" customHeight="1" thickBot="1">
      <c r="A396" s="140">
        <v>0</v>
      </c>
      <c r="B396" s="141"/>
      <c r="C396" s="144" t="s">
        <v>4</v>
      </c>
      <c r="D396" s="145"/>
      <c r="E396" s="41"/>
    </row>
    <row r="397" spans="1:5" ht="34.5" hidden="1" customHeight="1" thickBot="1">
      <c r="A397" s="146">
        <f>A396-A395</f>
        <v>0</v>
      </c>
      <c r="B397" s="147"/>
      <c r="C397" s="148"/>
      <c r="D397" s="35" t="s">
        <v>5</v>
      </c>
      <c r="E397" s="41"/>
    </row>
    <row r="398" spans="1:5" ht="34.5" hidden="1" customHeight="1" thickBot="1">
      <c r="A398" s="149">
        <v>50</v>
      </c>
      <c r="B398" s="150"/>
      <c r="C398" s="151"/>
      <c r="D398" s="35" t="s">
        <v>6</v>
      </c>
      <c r="E398" s="41"/>
    </row>
    <row r="399" spans="1:5" ht="34.5" hidden="1" customHeight="1" thickBot="1">
      <c r="A399" s="144">
        <f>A398*A397</f>
        <v>0</v>
      </c>
      <c r="B399" s="152"/>
      <c r="C399" s="145"/>
      <c r="D399" s="35" t="s">
        <v>7</v>
      </c>
      <c r="E399" s="41"/>
    </row>
    <row r="400" spans="1:5" ht="34.5" hidden="1" customHeight="1" thickBot="1">
      <c r="A400" s="144">
        <v>0</v>
      </c>
      <c r="B400" s="152"/>
      <c r="C400" s="145"/>
      <c r="D400" s="35" t="s">
        <v>437</v>
      </c>
      <c r="E400" s="41"/>
    </row>
    <row r="401" spans="1:5" ht="34.5" hidden="1" customHeight="1" thickBot="1">
      <c r="A401" s="34">
        <v>0</v>
      </c>
      <c r="B401" s="32" t="s">
        <v>8</v>
      </c>
      <c r="C401" s="33">
        <v>3000</v>
      </c>
      <c r="D401" s="32" t="s">
        <v>9</v>
      </c>
      <c r="E401" s="41"/>
    </row>
    <row r="402" spans="1:5" ht="34.5" hidden="1" customHeight="1" thickBot="1">
      <c r="A402" s="153" t="s">
        <v>436</v>
      </c>
      <c r="B402" s="154"/>
      <c r="C402" s="154"/>
      <c r="D402" s="155"/>
      <c r="E402" s="41"/>
    </row>
    <row r="403" spans="1:5" ht="34.5" hidden="1" customHeight="1" thickBot="1">
      <c r="A403" s="156" t="s">
        <v>435</v>
      </c>
      <c r="B403" s="157"/>
      <c r="C403" s="157"/>
      <c r="D403" s="158"/>
      <c r="E403" s="41"/>
    </row>
    <row r="404" spans="1:5" s="45" customFormat="1" ht="34.5" hidden="1" customHeight="1">
      <c r="A404" s="159" t="s">
        <v>442</v>
      </c>
      <c r="B404" s="160" t="s">
        <v>441</v>
      </c>
      <c r="C404" s="160"/>
      <c r="D404" s="161"/>
      <c r="E404" s="46"/>
    </row>
    <row r="405" spans="1:5" ht="34.5" hidden="1" customHeight="1" thickBot="1">
      <c r="A405" s="162"/>
      <c r="B405" s="163"/>
      <c r="C405" s="163"/>
      <c r="D405" s="164"/>
      <c r="E405" s="44"/>
    </row>
    <row r="406" spans="1:5" ht="34.5" hidden="1" customHeight="1" thickBot="1">
      <c r="A406" s="142" t="s">
        <v>11</v>
      </c>
      <c r="B406" s="143"/>
      <c r="C406" s="165" t="s">
        <v>12</v>
      </c>
      <c r="D406" s="143"/>
      <c r="E406" s="44"/>
    </row>
    <row r="407" spans="1:5" ht="34.5" hidden="1" customHeight="1" thickBot="1">
      <c r="A407" s="137" t="s">
        <v>519</v>
      </c>
      <c r="B407" s="138"/>
      <c r="C407" s="138"/>
      <c r="D407" s="139"/>
      <c r="E407" s="43"/>
    </row>
    <row r="408" spans="1:5" ht="34.5" hidden="1" customHeight="1" thickBot="1">
      <c r="A408" s="34" t="s">
        <v>487</v>
      </c>
      <c r="B408" s="32" t="s">
        <v>438</v>
      </c>
      <c r="C408" s="34">
        <v>14</v>
      </c>
      <c r="D408" s="32" t="s">
        <v>0</v>
      </c>
      <c r="E408" s="43"/>
    </row>
    <row r="409" spans="1:5" ht="34.5" hidden="1" customHeight="1" thickBot="1">
      <c r="A409" s="37" t="s">
        <v>13</v>
      </c>
      <c r="B409" s="36" t="s">
        <v>1</v>
      </c>
      <c r="C409" s="34" t="s">
        <v>14</v>
      </c>
      <c r="D409" s="32" t="s">
        <v>2</v>
      </c>
      <c r="E409" s="42"/>
    </row>
    <row r="410" spans="1:5" ht="34.5" hidden="1" customHeight="1" thickBot="1">
      <c r="A410" s="140">
        <v>0</v>
      </c>
      <c r="B410" s="141"/>
      <c r="C410" s="142" t="s">
        <v>3</v>
      </c>
      <c r="D410" s="143"/>
      <c r="E410" s="41"/>
    </row>
    <row r="411" spans="1:5" ht="34.5" hidden="1" customHeight="1" thickBot="1">
      <c r="A411" s="140">
        <v>0</v>
      </c>
      <c r="B411" s="141"/>
      <c r="C411" s="144" t="s">
        <v>4</v>
      </c>
      <c r="D411" s="145"/>
      <c r="E411" s="41"/>
    </row>
    <row r="412" spans="1:5" ht="34.5" hidden="1" customHeight="1" thickBot="1">
      <c r="A412" s="146">
        <f>A411-A410</f>
        <v>0</v>
      </c>
      <c r="B412" s="147"/>
      <c r="C412" s="148"/>
      <c r="D412" s="35" t="s">
        <v>5</v>
      </c>
      <c r="E412" s="41"/>
    </row>
    <row r="413" spans="1:5" ht="34.5" hidden="1" customHeight="1" thickBot="1">
      <c r="A413" s="149">
        <v>50</v>
      </c>
      <c r="B413" s="150"/>
      <c r="C413" s="151"/>
      <c r="D413" s="35" t="s">
        <v>6</v>
      </c>
      <c r="E413" s="41"/>
    </row>
    <row r="414" spans="1:5" ht="34.5" hidden="1" customHeight="1" thickBot="1">
      <c r="A414" s="144">
        <f>A413*A412</f>
        <v>0</v>
      </c>
      <c r="B414" s="152"/>
      <c r="C414" s="145"/>
      <c r="D414" s="35" t="s">
        <v>7</v>
      </c>
      <c r="E414" s="41"/>
    </row>
    <row r="415" spans="1:5" ht="34.5" hidden="1" customHeight="1" thickBot="1">
      <c r="A415" s="144">
        <v>0</v>
      </c>
      <c r="B415" s="152"/>
      <c r="C415" s="145"/>
      <c r="D415" s="35" t="s">
        <v>437</v>
      </c>
      <c r="E415" s="41"/>
    </row>
    <row r="416" spans="1:5" ht="34.5" hidden="1" customHeight="1" thickBot="1">
      <c r="A416" s="34">
        <v>0</v>
      </c>
      <c r="B416" s="32" t="s">
        <v>8</v>
      </c>
      <c r="C416" s="33">
        <v>2750</v>
      </c>
      <c r="D416" s="32" t="s">
        <v>9</v>
      </c>
      <c r="E416" s="41"/>
    </row>
    <row r="417" spans="1:5" ht="34.5" hidden="1" customHeight="1" thickBot="1">
      <c r="A417" s="153" t="s">
        <v>436</v>
      </c>
      <c r="B417" s="154"/>
      <c r="C417" s="154"/>
      <c r="D417" s="155"/>
      <c r="E417" s="41"/>
    </row>
    <row r="418" spans="1:5" ht="34.5" hidden="1" customHeight="1" thickBot="1">
      <c r="A418" s="156" t="s">
        <v>435</v>
      </c>
      <c r="B418" s="157"/>
      <c r="C418" s="157"/>
      <c r="D418" s="158"/>
      <c r="E418" s="41"/>
    </row>
    <row r="419" spans="1:5" ht="34.5" hidden="1" customHeight="1" thickBot="1">
      <c r="A419" s="40"/>
      <c r="B419" s="39"/>
      <c r="C419" s="39"/>
      <c r="D419" s="38"/>
      <c r="E419" s="41"/>
    </row>
    <row r="420" spans="1:5" ht="34.5" hidden="1" customHeight="1">
      <c r="A420" s="159" t="s">
        <v>442</v>
      </c>
      <c r="B420" s="160" t="s">
        <v>441</v>
      </c>
      <c r="C420" s="160"/>
      <c r="D420" s="161"/>
      <c r="E420" s="41"/>
    </row>
    <row r="421" spans="1:5" ht="34.5" hidden="1" customHeight="1" thickBot="1">
      <c r="A421" s="162"/>
      <c r="B421" s="163"/>
      <c r="C421" s="163"/>
      <c r="D421" s="164"/>
      <c r="E421" s="44"/>
    </row>
    <row r="422" spans="1:5" ht="34.5" hidden="1" customHeight="1" thickBot="1">
      <c r="A422" s="142" t="s">
        <v>11</v>
      </c>
      <c r="B422" s="143"/>
      <c r="C422" s="165" t="s">
        <v>12</v>
      </c>
      <c r="D422" s="143"/>
      <c r="E422" s="44"/>
    </row>
    <row r="423" spans="1:5" ht="34.5" hidden="1" customHeight="1" thickBot="1">
      <c r="A423" s="137" t="s">
        <v>519</v>
      </c>
      <c r="B423" s="138"/>
      <c r="C423" s="138"/>
      <c r="D423" s="139"/>
      <c r="E423" s="43"/>
    </row>
    <row r="424" spans="1:5" ht="34.5" hidden="1" customHeight="1" thickBot="1">
      <c r="A424" s="34" t="s">
        <v>487</v>
      </c>
      <c r="B424" s="32" t="s">
        <v>438</v>
      </c>
      <c r="C424" s="34">
        <v>14</v>
      </c>
      <c r="D424" s="32" t="s">
        <v>0</v>
      </c>
      <c r="E424" s="43"/>
    </row>
    <row r="425" spans="1:5" ht="34.5" hidden="1" customHeight="1" thickBot="1">
      <c r="A425" s="37" t="s">
        <v>13</v>
      </c>
      <c r="B425" s="36" t="s">
        <v>1</v>
      </c>
      <c r="C425" s="34" t="s">
        <v>14</v>
      </c>
      <c r="D425" s="32" t="s">
        <v>2</v>
      </c>
      <c r="E425" s="42"/>
    </row>
    <row r="426" spans="1:5" ht="34.5" hidden="1" customHeight="1" thickBot="1">
      <c r="A426" s="140">
        <v>0</v>
      </c>
      <c r="B426" s="141"/>
      <c r="C426" s="142" t="s">
        <v>3</v>
      </c>
      <c r="D426" s="143"/>
      <c r="E426" s="41"/>
    </row>
    <row r="427" spans="1:5" ht="34.5" hidden="1" customHeight="1" thickBot="1">
      <c r="A427" s="140">
        <v>0</v>
      </c>
      <c r="B427" s="141"/>
      <c r="C427" s="144" t="s">
        <v>4</v>
      </c>
      <c r="D427" s="145"/>
      <c r="E427" s="41"/>
    </row>
    <row r="428" spans="1:5" ht="34.5" hidden="1" customHeight="1" thickBot="1">
      <c r="A428" s="146">
        <f>A427-A426</f>
        <v>0</v>
      </c>
      <c r="B428" s="147"/>
      <c r="C428" s="148"/>
      <c r="D428" s="35" t="s">
        <v>5</v>
      </c>
      <c r="E428" s="41"/>
    </row>
    <row r="429" spans="1:5" ht="34.5" hidden="1" customHeight="1" thickBot="1">
      <c r="A429" s="149">
        <v>50</v>
      </c>
      <c r="B429" s="150"/>
      <c r="C429" s="151"/>
      <c r="D429" s="35" t="s">
        <v>6</v>
      </c>
      <c r="E429" s="41"/>
    </row>
    <row r="430" spans="1:5" ht="34.5" hidden="1" customHeight="1" thickBot="1">
      <c r="A430" s="144">
        <f>A429*A428</f>
        <v>0</v>
      </c>
      <c r="B430" s="152"/>
      <c r="C430" s="145"/>
      <c r="D430" s="35" t="s">
        <v>7</v>
      </c>
      <c r="E430" s="41" t="s">
        <v>15</v>
      </c>
    </row>
    <row r="431" spans="1:5" ht="34.5" hidden="1" customHeight="1" thickBot="1">
      <c r="A431" s="144">
        <v>0</v>
      </c>
      <c r="B431" s="152"/>
      <c r="C431" s="145"/>
      <c r="D431" s="35" t="s">
        <v>437</v>
      </c>
      <c r="E431" s="41"/>
    </row>
    <row r="432" spans="1:5" ht="34.5" hidden="1" customHeight="1" thickBot="1">
      <c r="A432" s="34">
        <v>0</v>
      </c>
      <c r="B432" s="32" t="s">
        <v>8</v>
      </c>
      <c r="C432" s="33">
        <v>2750</v>
      </c>
      <c r="D432" s="32" t="s">
        <v>9</v>
      </c>
      <c r="E432" s="41"/>
    </row>
    <row r="433" spans="1:5" ht="34.5" hidden="1" customHeight="1" thickBot="1">
      <c r="A433" s="153" t="s">
        <v>436</v>
      </c>
      <c r="B433" s="154"/>
      <c r="C433" s="154"/>
      <c r="D433" s="155"/>
      <c r="E433" s="41"/>
    </row>
    <row r="434" spans="1:5" ht="34.5" hidden="1" customHeight="1" thickBot="1">
      <c r="A434" s="156" t="s">
        <v>435</v>
      </c>
      <c r="B434" s="157"/>
      <c r="C434" s="157"/>
      <c r="D434" s="158"/>
      <c r="E434" s="41"/>
    </row>
    <row r="435" spans="1:5" ht="34.5" hidden="1" customHeight="1">
      <c r="A435" s="159" t="s">
        <v>442</v>
      </c>
      <c r="B435" s="160" t="s">
        <v>441</v>
      </c>
      <c r="C435" s="160"/>
      <c r="D435" s="161"/>
      <c r="E435" s="41"/>
    </row>
    <row r="436" spans="1:5" ht="34.5" hidden="1" customHeight="1" thickBot="1">
      <c r="A436" s="162"/>
      <c r="B436" s="163"/>
      <c r="C436" s="163"/>
      <c r="D436" s="164"/>
      <c r="E436" s="44"/>
    </row>
    <row r="437" spans="1:5" ht="34.5" hidden="1" customHeight="1" thickBot="1">
      <c r="A437" s="142" t="s">
        <v>11</v>
      </c>
      <c r="B437" s="143"/>
      <c r="C437" s="165" t="s">
        <v>12</v>
      </c>
      <c r="D437" s="143"/>
      <c r="E437" s="44"/>
    </row>
    <row r="438" spans="1:5" ht="34.5" hidden="1" customHeight="1" thickBot="1">
      <c r="A438" s="137" t="s">
        <v>520</v>
      </c>
      <c r="B438" s="138"/>
      <c r="C438" s="138"/>
      <c r="D438" s="139"/>
      <c r="E438" s="43"/>
    </row>
    <row r="439" spans="1:5" ht="34.5" hidden="1" customHeight="1" thickBot="1">
      <c r="A439" s="34" t="s">
        <v>487</v>
      </c>
      <c r="B439" s="32" t="s">
        <v>438</v>
      </c>
      <c r="C439" s="34">
        <v>15</v>
      </c>
      <c r="D439" s="32" t="s">
        <v>0</v>
      </c>
      <c r="E439" s="43"/>
    </row>
    <row r="440" spans="1:5" ht="34.5" hidden="1" customHeight="1" thickBot="1">
      <c r="A440" s="37" t="s">
        <v>13</v>
      </c>
      <c r="B440" s="36" t="s">
        <v>1</v>
      </c>
      <c r="C440" s="34" t="s">
        <v>14</v>
      </c>
      <c r="D440" s="32" t="s">
        <v>2</v>
      </c>
      <c r="E440" s="42"/>
    </row>
    <row r="441" spans="1:5" ht="34.5" hidden="1" customHeight="1" thickBot="1">
      <c r="A441" s="140">
        <v>0</v>
      </c>
      <c r="B441" s="141"/>
      <c r="C441" s="142" t="s">
        <v>3</v>
      </c>
      <c r="D441" s="143"/>
      <c r="E441" s="41"/>
    </row>
    <row r="442" spans="1:5" ht="34.5" hidden="1" customHeight="1" thickBot="1">
      <c r="A442" s="140">
        <v>0</v>
      </c>
      <c r="B442" s="141"/>
      <c r="C442" s="144" t="s">
        <v>4</v>
      </c>
      <c r="D442" s="145"/>
      <c r="E442" s="41"/>
    </row>
    <row r="443" spans="1:5" ht="34.5" hidden="1" customHeight="1" thickBot="1">
      <c r="A443" s="146">
        <f>A442-A441</f>
        <v>0</v>
      </c>
      <c r="B443" s="147"/>
      <c r="C443" s="148"/>
      <c r="D443" s="35" t="s">
        <v>5</v>
      </c>
      <c r="E443" s="41"/>
    </row>
    <row r="444" spans="1:5" ht="34.5" hidden="1" customHeight="1" thickBot="1">
      <c r="A444" s="149">
        <v>50</v>
      </c>
      <c r="B444" s="150"/>
      <c r="C444" s="151"/>
      <c r="D444" s="35" t="s">
        <v>6</v>
      </c>
      <c r="E444" s="41"/>
    </row>
    <row r="445" spans="1:5" ht="34.5" hidden="1" customHeight="1" thickBot="1">
      <c r="A445" s="144">
        <f>A444*A443</f>
        <v>0</v>
      </c>
      <c r="B445" s="152"/>
      <c r="C445" s="145"/>
      <c r="D445" s="35" t="s">
        <v>7</v>
      </c>
      <c r="E445" s="41"/>
    </row>
    <row r="446" spans="1:5" ht="34.5" hidden="1" customHeight="1" thickBot="1">
      <c r="A446" s="144">
        <v>0</v>
      </c>
      <c r="B446" s="152"/>
      <c r="C446" s="145"/>
      <c r="D446" s="35" t="s">
        <v>437</v>
      </c>
      <c r="E446" s="41"/>
    </row>
    <row r="447" spans="1:5" ht="34.5" hidden="1" customHeight="1" thickBot="1">
      <c r="A447" s="34">
        <v>0</v>
      </c>
      <c r="B447" s="32" t="s">
        <v>8</v>
      </c>
      <c r="C447" s="33">
        <v>2900</v>
      </c>
      <c r="D447" s="32" t="s">
        <v>9</v>
      </c>
      <c r="E447" s="41"/>
    </row>
    <row r="448" spans="1:5" ht="34.5" hidden="1" customHeight="1" thickBot="1">
      <c r="A448" s="153" t="s">
        <v>436</v>
      </c>
      <c r="B448" s="154"/>
      <c r="C448" s="154"/>
      <c r="D448" s="155"/>
      <c r="E448" s="41"/>
    </row>
    <row r="449" spans="1:5" ht="34.5" hidden="1" customHeight="1" thickBot="1">
      <c r="A449" s="156" t="s">
        <v>435</v>
      </c>
      <c r="B449" s="157"/>
      <c r="C449" s="157"/>
      <c r="D449" s="158"/>
      <c r="E449" s="41"/>
    </row>
    <row r="450" spans="1:5" ht="34.5" hidden="1" customHeight="1" thickBot="1">
      <c r="A450" s="40"/>
      <c r="B450" s="39"/>
      <c r="C450" s="39"/>
      <c r="D450" s="38"/>
      <c r="E450" s="41"/>
    </row>
    <row r="451" spans="1:5" ht="34.5" hidden="1" customHeight="1">
      <c r="A451" s="159" t="s">
        <v>442</v>
      </c>
      <c r="B451" s="160" t="s">
        <v>441</v>
      </c>
      <c r="C451" s="160"/>
      <c r="D451" s="161"/>
      <c r="E451" s="41"/>
    </row>
    <row r="452" spans="1:5" ht="34.5" hidden="1" customHeight="1" thickBot="1">
      <c r="A452" s="162"/>
      <c r="B452" s="163"/>
      <c r="C452" s="163"/>
      <c r="D452" s="164"/>
      <c r="E452" s="44"/>
    </row>
    <row r="453" spans="1:5" ht="34.5" hidden="1" customHeight="1" thickBot="1">
      <c r="A453" s="142" t="s">
        <v>11</v>
      </c>
      <c r="B453" s="143"/>
      <c r="C453" s="165" t="s">
        <v>12</v>
      </c>
      <c r="D453" s="143"/>
      <c r="E453" s="44"/>
    </row>
    <row r="454" spans="1:5" ht="34.5" hidden="1" customHeight="1" thickBot="1">
      <c r="A454" s="137" t="s">
        <v>520</v>
      </c>
      <c r="B454" s="138"/>
      <c r="C454" s="138"/>
      <c r="D454" s="139"/>
      <c r="E454" s="43"/>
    </row>
    <row r="455" spans="1:5" ht="34.5" hidden="1" customHeight="1" thickBot="1">
      <c r="A455" s="34" t="s">
        <v>487</v>
      </c>
      <c r="B455" s="32" t="s">
        <v>438</v>
      </c>
      <c r="C455" s="34">
        <v>15</v>
      </c>
      <c r="D455" s="32" t="s">
        <v>0</v>
      </c>
      <c r="E455" s="43"/>
    </row>
    <row r="456" spans="1:5" ht="34.5" hidden="1" customHeight="1" thickBot="1">
      <c r="A456" s="37" t="s">
        <v>13</v>
      </c>
      <c r="B456" s="36" t="s">
        <v>1</v>
      </c>
      <c r="C456" s="34" t="s">
        <v>14</v>
      </c>
      <c r="D456" s="32" t="s">
        <v>2</v>
      </c>
      <c r="E456" s="42"/>
    </row>
    <row r="457" spans="1:5" ht="34.5" hidden="1" customHeight="1" thickBot="1">
      <c r="A457" s="140">
        <v>0</v>
      </c>
      <c r="B457" s="141"/>
      <c r="C457" s="142" t="s">
        <v>3</v>
      </c>
      <c r="D457" s="143"/>
      <c r="E457" s="41"/>
    </row>
    <row r="458" spans="1:5" ht="34.5" hidden="1" customHeight="1" thickBot="1">
      <c r="A458" s="140">
        <v>0</v>
      </c>
      <c r="B458" s="141"/>
      <c r="C458" s="144" t="s">
        <v>4</v>
      </c>
      <c r="D458" s="145"/>
      <c r="E458" s="41"/>
    </row>
    <row r="459" spans="1:5" ht="34.5" hidden="1" customHeight="1" thickBot="1">
      <c r="A459" s="146">
        <f>A458-A457</f>
        <v>0</v>
      </c>
      <c r="B459" s="147"/>
      <c r="C459" s="148"/>
      <c r="D459" s="35" t="s">
        <v>5</v>
      </c>
      <c r="E459" s="41"/>
    </row>
    <row r="460" spans="1:5" ht="34.5" hidden="1" customHeight="1" thickBot="1">
      <c r="A460" s="149">
        <v>50</v>
      </c>
      <c r="B460" s="150"/>
      <c r="C460" s="151"/>
      <c r="D460" s="35" t="s">
        <v>6</v>
      </c>
      <c r="E460" s="41"/>
    </row>
    <row r="461" spans="1:5" ht="34.5" hidden="1" customHeight="1" thickBot="1">
      <c r="A461" s="144">
        <f>A460*A459</f>
        <v>0</v>
      </c>
      <c r="B461" s="152"/>
      <c r="C461" s="145"/>
      <c r="D461" s="35" t="s">
        <v>7</v>
      </c>
      <c r="E461" s="41"/>
    </row>
    <row r="462" spans="1:5" ht="34.5" hidden="1" customHeight="1" thickBot="1">
      <c r="A462" s="144">
        <v>0</v>
      </c>
      <c r="B462" s="152"/>
      <c r="C462" s="145"/>
      <c r="D462" s="35" t="s">
        <v>437</v>
      </c>
      <c r="E462" s="41"/>
    </row>
    <row r="463" spans="1:5" ht="34.5" hidden="1" customHeight="1" thickBot="1">
      <c r="A463" s="34">
        <v>0</v>
      </c>
      <c r="B463" s="32" t="s">
        <v>8</v>
      </c>
      <c r="C463" s="33">
        <v>2900</v>
      </c>
      <c r="D463" s="32" t="s">
        <v>9</v>
      </c>
      <c r="E463" s="41"/>
    </row>
    <row r="464" spans="1:5" ht="34.5" hidden="1" customHeight="1" thickBot="1">
      <c r="A464" s="153" t="s">
        <v>436</v>
      </c>
      <c r="B464" s="154"/>
      <c r="C464" s="154"/>
      <c r="D464" s="155"/>
      <c r="E464" s="41"/>
    </row>
    <row r="465" spans="1:5" ht="34.5" hidden="1" customHeight="1" thickBot="1">
      <c r="A465" s="156" t="s">
        <v>435</v>
      </c>
      <c r="B465" s="157"/>
      <c r="C465" s="157"/>
      <c r="D465" s="158"/>
      <c r="E465" s="41"/>
    </row>
    <row r="466" spans="1:5" ht="34.5" hidden="1" customHeight="1">
      <c r="A466" s="159" t="s">
        <v>442</v>
      </c>
      <c r="B466" s="160" t="s">
        <v>441</v>
      </c>
      <c r="C466" s="160"/>
      <c r="D466" s="161"/>
      <c r="E466" s="41"/>
    </row>
    <row r="467" spans="1:5" ht="34.5" hidden="1" customHeight="1" thickBot="1">
      <c r="A467" s="162"/>
      <c r="B467" s="163"/>
      <c r="C467" s="163"/>
      <c r="D467" s="164"/>
      <c r="E467" s="44"/>
    </row>
    <row r="468" spans="1:5" ht="34.5" hidden="1" customHeight="1" thickBot="1">
      <c r="A468" s="142" t="s">
        <v>11</v>
      </c>
      <c r="B468" s="143"/>
      <c r="C468" s="165" t="s">
        <v>12</v>
      </c>
      <c r="D468" s="143"/>
      <c r="E468" s="44"/>
    </row>
    <row r="469" spans="1:5" ht="34.5" hidden="1" customHeight="1" thickBot="1">
      <c r="A469" s="137" t="s">
        <v>521</v>
      </c>
      <c r="B469" s="138"/>
      <c r="C469" s="138"/>
      <c r="D469" s="139"/>
      <c r="E469" s="43"/>
    </row>
    <row r="470" spans="1:5" ht="34.5" hidden="1" customHeight="1" thickBot="1">
      <c r="A470" s="34" t="s">
        <v>487</v>
      </c>
      <c r="B470" s="32" t="s">
        <v>438</v>
      </c>
      <c r="C470" s="34">
        <v>18</v>
      </c>
      <c r="D470" s="32" t="s">
        <v>0</v>
      </c>
      <c r="E470" s="43"/>
    </row>
    <row r="471" spans="1:5" ht="34.5" hidden="1" customHeight="1" thickBot="1">
      <c r="A471" s="37" t="s">
        <v>13</v>
      </c>
      <c r="B471" s="36" t="s">
        <v>1</v>
      </c>
      <c r="C471" s="34" t="s">
        <v>14</v>
      </c>
      <c r="D471" s="32" t="s">
        <v>2</v>
      </c>
      <c r="E471" s="42"/>
    </row>
    <row r="472" spans="1:5" ht="34.5" hidden="1" customHeight="1" thickBot="1">
      <c r="A472" s="140">
        <v>0</v>
      </c>
      <c r="B472" s="141"/>
      <c r="C472" s="142" t="s">
        <v>3</v>
      </c>
      <c r="D472" s="143"/>
      <c r="E472" s="41"/>
    </row>
    <row r="473" spans="1:5" ht="34.5" hidden="1" customHeight="1" thickBot="1">
      <c r="A473" s="140">
        <v>0</v>
      </c>
      <c r="B473" s="141"/>
      <c r="C473" s="144" t="s">
        <v>4</v>
      </c>
      <c r="D473" s="145"/>
      <c r="E473" s="41"/>
    </row>
    <row r="474" spans="1:5" ht="34.5" hidden="1" customHeight="1" thickBot="1">
      <c r="A474" s="146">
        <f>A473-A472</f>
        <v>0</v>
      </c>
      <c r="B474" s="147"/>
      <c r="C474" s="148"/>
      <c r="D474" s="35" t="s">
        <v>5</v>
      </c>
      <c r="E474" s="41"/>
    </row>
    <row r="475" spans="1:5" ht="34.5" hidden="1" customHeight="1" thickBot="1">
      <c r="A475" s="149">
        <v>50</v>
      </c>
      <c r="B475" s="150"/>
      <c r="C475" s="151"/>
      <c r="D475" s="35" t="s">
        <v>6</v>
      </c>
      <c r="E475" s="41"/>
    </row>
    <row r="476" spans="1:5" ht="34.5" hidden="1" customHeight="1" thickBot="1">
      <c r="A476" s="144">
        <f>A475*A474</f>
        <v>0</v>
      </c>
      <c r="B476" s="152"/>
      <c r="C476" s="145"/>
      <c r="D476" s="35" t="s">
        <v>7</v>
      </c>
      <c r="E476" s="41"/>
    </row>
    <row r="477" spans="1:5" ht="34.5" hidden="1" customHeight="1" thickBot="1">
      <c r="A477" s="144">
        <v>0</v>
      </c>
      <c r="B477" s="152"/>
      <c r="C477" s="145"/>
      <c r="D477" s="35" t="s">
        <v>437</v>
      </c>
      <c r="E477" s="41"/>
    </row>
    <row r="478" spans="1:5" ht="34.5" hidden="1" customHeight="1" thickBot="1">
      <c r="A478" s="34">
        <v>0</v>
      </c>
      <c r="B478" s="32" t="s">
        <v>8</v>
      </c>
      <c r="C478" s="33">
        <v>900</v>
      </c>
      <c r="D478" s="32" t="s">
        <v>9</v>
      </c>
      <c r="E478" s="41"/>
    </row>
    <row r="479" spans="1:5" ht="34.5" hidden="1" customHeight="1" thickBot="1">
      <c r="A479" s="153" t="s">
        <v>436</v>
      </c>
      <c r="B479" s="154"/>
      <c r="C479" s="154"/>
      <c r="D479" s="155"/>
      <c r="E479" s="41"/>
    </row>
    <row r="480" spans="1:5" ht="34.5" hidden="1" customHeight="1" thickBot="1">
      <c r="A480" s="156" t="s">
        <v>435</v>
      </c>
      <c r="B480" s="157"/>
      <c r="C480" s="157"/>
      <c r="D480" s="158"/>
      <c r="E480" s="41"/>
    </row>
    <row r="481" spans="1:5" ht="34.5" hidden="1" customHeight="1" thickBot="1">
      <c r="A481" s="40"/>
      <c r="B481" s="39"/>
      <c r="C481" s="39"/>
      <c r="D481" s="38"/>
      <c r="E481" s="41"/>
    </row>
    <row r="482" spans="1:5" ht="34.5" hidden="1" customHeight="1">
      <c r="A482" s="159" t="s">
        <v>442</v>
      </c>
      <c r="B482" s="160" t="s">
        <v>441</v>
      </c>
      <c r="C482" s="160"/>
      <c r="D482" s="161"/>
      <c r="E482" s="41"/>
    </row>
    <row r="483" spans="1:5" ht="34.5" hidden="1" customHeight="1" thickBot="1">
      <c r="A483" s="162"/>
      <c r="B483" s="163"/>
      <c r="C483" s="163"/>
      <c r="D483" s="164"/>
      <c r="E483" s="44"/>
    </row>
    <row r="484" spans="1:5" ht="34.5" hidden="1" customHeight="1" thickBot="1">
      <c r="A484" s="142" t="s">
        <v>11</v>
      </c>
      <c r="B484" s="143"/>
      <c r="C484" s="165" t="s">
        <v>12</v>
      </c>
      <c r="D484" s="143"/>
      <c r="E484" s="44"/>
    </row>
    <row r="485" spans="1:5" ht="34.5" hidden="1" customHeight="1" thickBot="1">
      <c r="A485" s="137" t="s">
        <v>521</v>
      </c>
      <c r="B485" s="138"/>
      <c r="C485" s="138"/>
      <c r="D485" s="139"/>
      <c r="E485" s="43"/>
    </row>
    <row r="486" spans="1:5" ht="34.5" hidden="1" customHeight="1" thickBot="1">
      <c r="A486" s="34" t="s">
        <v>487</v>
      </c>
      <c r="B486" s="32" t="s">
        <v>438</v>
      </c>
      <c r="C486" s="34">
        <v>18</v>
      </c>
      <c r="D486" s="32" t="s">
        <v>0</v>
      </c>
      <c r="E486" s="43"/>
    </row>
    <row r="487" spans="1:5" ht="34.5" hidden="1" customHeight="1" thickBot="1">
      <c r="A487" s="37" t="s">
        <v>13</v>
      </c>
      <c r="B487" s="36" t="s">
        <v>1</v>
      </c>
      <c r="C487" s="34" t="s">
        <v>14</v>
      </c>
      <c r="D487" s="32" t="s">
        <v>2</v>
      </c>
      <c r="E487" s="42"/>
    </row>
    <row r="488" spans="1:5" ht="34.5" hidden="1" customHeight="1" thickBot="1">
      <c r="A488" s="140">
        <v>0</v>
      </c>
      <c r="B488" s="141"/>
      <c r="C488" s="142" t="s">
        <v>3</v>
      </c>
      <c r="D488" s="143"/>
      <c r="E488" s="41"/>
    </row>
    <row r="489" spans="1:5" ht="34.5" hidden="1" customHeight="1" thickBot="1">
      <c r="A489" s="140">
        <v>0</v>
      </c>
      <c r="B489" s="141"/>
      <c r="C489" s="144" t="s">
        <v>4</v>
      </c>
      <c r="D489" s="145"/>
      <c r="E489" s="41"/>
    </row>
    <row r="490" spans="1:5" ht="34.5" hidden="1" customHeight="1" thickBot="1">
      <c r="A490" s="146">
        <f>A489-A488</f>
        <v>0</v>
      </c>
      <c r="B490" s="147"/>
      <c r="C490" s="148"/>
      <c r="D490" s="35" t="s">
        <v>5</v>
      </c>
      <c r="E490" s="41"/>
    </row>
    <row r="491" spans="1:5" ht="34.5" hidden="1" customHeight="1" thickBot="1">
      <c r="A491" s="149">
        <v>50</v>
      </c>
      <c r="B491" s="150"/>
      <c r="C491" s="151"/>
      <c r="D491" s="35" t="s">
        <v>6</v>
      </c>
      <c r="E491" s="41"/>
    </row>
    <row r="492" spans="1:5" ht="34.5" hidden="1" customHeight="1" thickBot="1">
      <c r="A492" s="144">
        <f>A491*A490</f>
        <v>0</v>
      </c>
      <c r="B492" s="152"/>
      <c r="C492" s="145"/>
      <c r="D492" s="35" t="s">
        <v>7</v>
      </c>
      <c r="E492" s="41"/>
    </row>
    <row r="493" spans="1:5" ht="34.5" hidden="1" customHeight="1" thickBot="1">
      <c r="A493" s="144">
        <v>0</v>
      </c>
      <c r="B493" s="152"/>
      <c r="C493" s="145"/>
      <c r="D493" s="35" t="s">
        <v>437</v>
      </c>
      <c r="E493" s="41"/>
    </row>
    <row r="494" spans="1:5" ht="34.5" hidden="1" customHeight="1" thickBot="1">
      <c r="A494" s="34">
        <v>0</v>
      </c>
      <c r="B494" s="32" t="s">
        <v>8</v>
      </c>
      <c r="C494" s="33">
        <v>900</v>
      </c>
      <c r="D494" s="32" t="s">
        <v>9</v>
      </c>
      <c r="E494" s="41"/>
    </row>
    <row r="495" spans="1:5" ht="34.5" hidden="1" customHeight="1" thickBot="1">
      <c r="A495" s="153" t="s">
        <v>436</v>
      </c>
      <c r="B495" s="154"/>
      <c r="C495" s="154"/>
      <c r="D495" s="155"/>
      <c r="E495" s="41"/>
    </row>
    <row r="496" spans="1:5" ht="34.5" hidden="1" customHeight="1" thickBot="1">
      <c r="A496" s="156" t="s">
        <v>435</v>
      </c>
      <c r="B496" s="157"/>
      <c r="C496" s="157"/>
      <c r="D496" s="158"/>
      <c r="E496" s="41"/>
    </row>
    <row r="497" spans="1:5" ht="34.5" hidden="1" customHeight="1">
      <c r="A497" s="159" t="s">
        <v>442</v>
      </c>
      <c r="B497" s="160" t="s">
        <v>441</v>
      </c>
      <c r="C497" s="160"/>
      <c r="D497" s="161"/>
      <c r="E497" s="41"/>
    </row>
    <row r="498" spans="1:5" ht="34.5" hidden="1" customHeight="1" thickBot="1">
      <c r="A498" s="162"/>
      <c r="B498" s="163"/>
      <c r="C498" s="163"/>
      <c r="D498" s="164"/>
      <c r="E498" s="44"/>
    </row>
    <row r="499" spans="1:5" ht="34.5" hidden="1" customHeight="1" thickBot="1">
      <c r="A499" s="142" t="s">
        <v>11</v>
      </c>
      <c r="B499" s="143"/>
      <c r="C499" s="165" t="s">
        <v>12</v>
      </c>
      <c r="D499" s="143"/>
      <c r="E499" s="44"/>
    </row>
    <row r="500" spans="1:5" ht="34.5" hidden="1" customHeight="1" thickBot="1">
      <c r="A500" s="137" t="s">
        <v>522</v>
      </c>
      <c r="B500" s="138"/>
      <c r="C500" s="138"/>
      <c r="D500" s="139"/>
      <c r="E500" s="43"/>
    </row>
    <row r="501" spans="1:5" ht="34.5" hidden="1" customHeight="1" thickBot="1">
      <c r="A501" s="34" t="s">
        <v>487</v>
      </c>
      <c r="B501" s="32" t="s">
        <v>438</v>
      </c>
      <c r="C501" s="34">
        <v>17</v>
      </c>
      <c r="D501" s="32" t="s">
        <v>0</v>
      </c>
      <c r="E501" s="43"/>
    </row>
    <row r="502" spans="1:5" ht="34.5" hidden="1" customHeight="1" thickBot="1">
      <c r="A502" s="37" t="s">
        <v>13</v>
      </c>
      <c r="B502" s="36" t="s">
        <v>1</v>
      </c>
      <c r="C502" s="34" t="s">
        <v>14</v>
      </c>
      <c r="D502" s="32" t="s">
        <v>2</v>
      </c>
      <c r="E502" s="42"/>
    </row>
    <row r="503" spans="1:5" ht="34.5" hidden="1" customHeight="1" thickBot="1">
      <c r="A503" s="140">
        <v>0</v>
      </c>
      <c r="B503" s="141"/>
      <c r="C503" s="142" t="s">
        <v>3</v>
      </c>
      <c r="D503" s="143"/>
      <c r="E503" s="41"/>
    </row>
    <row r="504" spans="1:5" ht="34.5" hidden="1" customHeight="1" thickBot="1">
      <c r="A504" s="140">
        <v>0</v>
      </c>
      <c r="B504" s="141"/>
      <c r="C504" s="144" t="s">
        <v>4</v>
      </c>
      <c r="D504" s="145"/>
      <c r="E504" s="41"/>
    </row>
    <row r="505" spans="1:5" ht="34.5" hidden="1" customHeight="1" thickBot="1">
      <c r="A505" s="146">
        <f>A504-A503</f>
        <v>0</v>
      </c>
      <c r="B505" s="147"/>
      <c r="C505" s="148"/>
      <c r="D505" s="35" t="s">
        <v>5</v>
      </c>
      <c r="E505" s="41"/>
    </row>
    <row r="506" spans="1:5" ht="34.5" hidden="1" customHeight="1" thickBot="1">
      <c r="A506" s="149">
        <v>50</v>
      </c>
      <c r="B506" s="150"/>
      <c r="C506" s="151"/>
      <c r="D506" s="35" t="s">
        <v>6</v>
      </c>
      <c r="E506" s="41"/>
    </row>
    <row r="507" spans="1:5" ht="34.5" hidden="1" customHeight="1" thickBot="1">
      <c r="A507" s="144">
        <f>A506*A505</f>
        <v>0</v>
      </c>
      <c r="B507" s="152"/>
      <c r="C507" s="145"/>
      <c r="D507" s="35" t="s">
        <v>7</v>
      </c>
      <c r="E507" s="41"/>
    </row>
    <row r="508" spans="1:5" ht="34.5" hidden="1" customHeight="1" thickBot="1">
      <c r="A508" s="144">
        <v>0</v>
      </c>
      <c r="B508" s="152"/>
      <c r="C508" s="145"/>
      <c r="D508" s="35" t="s">
        <v>437</v>
      </c>
      <c r="E508" s="41"/>
    </row>
    <row r="509" spans="1:5" ht="34.5" hidden="1" customHeight="1" thickBot="1">
      <c r="A509" s="34">
        <v>0</v>
      </c>
      <c r="B509" s="32" t="s">
        <v>8</v>
      </c>
      <c r="C509" s="33">
        <v>2800</v>
      </c>
      <c r="D509" s="32" t="s">
        <v>9</v>
      </c>
      <c r="E509" s="41"/>
    </row>
    <row r="510" spans="1:5" ht="34.5" hidden="1" customHeight="1" thickBot="1">
      <c r="A510" s="153" t="s">
        <v>436</v>
      </c>
      <c r="B510" s="154"/>
      <c r="C510" s="154"/>
      <c r="D510" s="155"/>
      <c r="E510" s="41"/>
    </row>
    <row r="511" spans="1:5" ht="34.5" hidden="1" customHeight="1" thickBot="1">
      <c r="A511" s="156" t="s">
        <v>435</v>
      </c>
      <c r="B511" s="157"/>
      <c r="C511" s="157"/>
      <c r="D511" s="158"/>
      <c r="E511" s="41"/>
    </row>
    <row r="512" spans="1:5" ht="34.5" hidden="1" customHeight="1" thickBot="1">
      <c r="A512" s="40"/>
      <c r="B512" s="39"/>
      <c r="C512" s="39"/>
      <c r="D512" s="38"/>
      <c r="E512" s="41"/>
    </row>
    <row r="513" spans="1:5" ht="34.5" hidden="1" customHeight="1">
      <c r="A513" s="159" t="s">
        <v>442</v>
      </c>
      <c r="B513" s="160" t="s">
        <v>441</v>
      </c>
      <c r="C513" s="160"/>
      <c r="D513" s="161"/>
      <c r="E513" s="41"/>
    </row>
    <row r="514" spans="1:5" ht="34.5" hidden="1" customHeight="1" thickBot="1">
      <c r="A514" s="162"/>
      <c r="B514" s="163"/>
      <c r="C514" s="163"/>
      <c r="D514" s="164"/>
      <c r="E514" s="44"/>
    </row>
    <row r="515" spans="1:5" ht="34.5" hidden="1" customHeight="1" thickBot="1">
      <c r="A515" s="142" t="s">
        <v>11</v>
      </c>
      <c r="B515" s="143"/>
      <c r="C515" s="165" t="s">
        <v>12</v>
      </c>
      <c r="D515" s="143"/>
      <c r="E515" s="44"/>
    </row>
    <row r="516" spans="1:5" ht="34.5" hidden="1" customHeight="1" thickBot="1">
      <c r="A516" s="137" t="s">
        <v>522</v>
      </c>
      <c r="B516" s="138"/>
      <c r="C516" s="138"/>
      <c r="D516" s="139"/>
      <c r="E516" s="43"/>
    </row>
    <row r="517" spans="1:5" ht="34.5" hidden="1" customHeight="1" thickBot="1">
      <c r="A517" s="34" t="s">
        <v>487</v>
      </c>
      <c r="B517" s="32" t="s">
        <v>438</v>
      </c>
      <c r="C517" s="34">
        <v>17</v>
      </c>
      <c r="D517" s="32" t="s">
        <v>0</v>
      </c>
      <c r="E517" s="43"/>
    </row>
    <row r="518" spans="1:5" ht="34.5" hidden="1" customHeight="1" thickBot="1">
      <c r="A518" s="37" t="s">
        <v>13</v>
      </c>
      <c r="B518" s="36" t="s">
        <v>1</v>
      </c>
      <c r="C518" s="34" t="s">
        <v>14</v>
      </c>
      <c r="D518" s="32" t="s">
        <v>2</v>
      </c>
      <c r="E518" s="42"/>
    </row>
    <row r="519" spans="1:5" ht="34.5" hidden="1" customHeight="1" thickBot="1">
      <c r="A519" s="140">
        <v>0</v>
      </c>
      <c r="B519" s="141"/>
      <c r="C519" s="142" t="s">
        <v>3</v>
      </c>
      <c r="D519" s="143"/>
      <c r="E519" s="41"/>
    </row>
    <row r="520" spans="1:5" ht="34.5" hidden="1" customHeight="1" thickBot="1">
      <c r="A520" s="140">
        <v>0</v>
      </c>
      <c r="B520" s="141"/>
      <c r="C520" s="144" t="s">
        <v>4</v>
      </c>
      <c r="D520" s="145"/>
      <c r="E520" s="41"/>
    </row>
    <row r="521" spans="1:5" ht="34.5" hidden="1" customHeight="1" thickBot="1">
      <c r="A521" s="146">
        <f>A520-A519</f>
        <v>0</v>
      </c>
      <c r="B521" s="147"/>
      <c r="C521" s="148"/>
      <c r="D521" s="35" t="s">
        <v>5</v>
      </c>
      <c r="E521" s="41"/>
    </row>
    <row r="522" spans="1:5" ht="34.5" hidden="1" customHeight="1" thickBot="1">
      <c r="A522" s="149">
        <v>50</v>
      </c>
      <c r="B522" s="150"/>
      <c r="C522" s="151"/>
      <c r="D522" s="35" t="s">
        <v>6</v>
      </c>
      <c r="E522" s="41"/>
    </row>
    <row r="523" spans="1:5" ht="34.5" hidden="1" customHeight="1" thickBot="1">
      <c r="A523" s="144">
        <f>A522*A521</f>
        <v>0</v>
      </c>
      <c r="B523" s="152"/>
      <c r="C523" s="145"/>
      <c r="D523" s="35" t="s">
        <v>7</v>
      </c>
      <c r="E523" s="41"/>
    </row>
    <row r="524" spans="1:5" ht="34.5" hidden="1" customHeight="1" thickBot="1">
      <c r="A524" s="144">
        <v>0</v>
      </c>
      <c r="B524" s="152"/>
      <c r="C524" s="145"/>
      <c r="D524" s="35" t="s">
        <v>437</v>
      </c>
      <c r="E524" s="41"/>
    </row>
    <row r="525" spans="1:5" ht="34.5" hidden="1" customHeight="1" thickBot="1">
      <c r="A525" s="34">
        <v>0</v>
      </c>
      <c r="B525" s="32" t="s">
        <v>8</v>
      </c>
      <c r="C525" s="33">
        <v>2800</v>
      </c>
      <c r="D525" s="32" t="s">
        <v>9</v>
      </c>
      <c r="E525" s="41"/>
    </row>
    <row r="526" spans="1:5" ht="34.5" hidden="1" customHeight="1" thickBot="1">
      <c r="A526" s="153" t="s">
        <v>436</v>
      </c>
      <c r="B526" s="154"/>
      <c r="C526" s="154"/>
      <c r="D526" s="155"/>
      <c r="E526" s="41"/>
    </row>
    <row r="527" spans="1:5" ht="34.5" hidden="1" customHeight="1" thickBot="1">
      <c r="A527" s="156" t="s">
        <v>435</v>
      </c>
      <c r="B527" s="157"/>
      <c r="C527" s="157"/>
      <c r="D527" s="158"/>
      <c r="E527" s="41"/>
    </row>
    <row r="528" spans="1:5" ht="34.5" hidden="1" customHeight="1">
      <c r="A528" s="159" t="s">
        <v>442</v>
      </c>
      <c r="B528" s="160" t="s">
        <v>441</v>
      </c>
      <c r="C528" s="160"/>
      <c r="D528" s="161"/>
      <c r="E528" s="41"/>
    </row>
    <row r="529" spans="1:5" ht="34.5" hidden="1" customHeight="1" thickBot="1">
      <c r="A529" s="162"/>
      <c r="B529" s="163"/>
      <c r="C529" s="163"/>
      <c r="D529" s="164"/>
      <c r="E529" s="44"/>
    </row>
    <row r="530" spans="1:5" ht="34.5" hidden="1" customHeight="1" thickBot="1">
      <c r="A530" s="142" t="s">
        <v>11</v>
      </c>
      <c r="B530" s="143"/>
      <c r="C530" s="165" t="s">
        <v>12</v>
      </c>
      <c r="D530" s="143"/>
      <c r="E530" s="44"/>
    </row>
    <row r="531" spans="1:5" ht="34.5" hidden="1" customHeight="1" thickBot="1">
      <c r="A531" s="137" t="s">
        <v>523</v>
      </c>
      <c r="B531" s="138"/>
      <c r="C531" s="138"/>
      <c r="D531" s="139"/>
      <c r="E531" s="43"/>
    </row>
    <row r="532" spans="1:5" ht="34.5" hidden="1" customHeight="1" thickBot="1">
      <c r="A532" s="34" t="s">
        <v>487</v>
      </c>
      <c r="B532" s="32" t="s">
        <v>438</v>
      </c>
      <c r="C532" s="34">
        <v>18</v>
      </c>
      <c r="D532" s="32" t="s">
        <v>0</v>
      </c>
      <c r="E532" s="43"/>
    </row>
    <row r="533" spans="1:5" ht="34.5" hidden="1" customHeight="1" thickBot="1">
      <c r="A533" s="37" t="s">
        <v>13</v>
      </c>
      <c r="B533" s="36" t="s">
        <v>1</v>
      </c>
      <c r="C533" s="34" t="s">
        <v>14</v>
      </c>
      <c r="D533" s="32" t="s">
        <v>2</v>
      </c>
      <c r="E533" s="42"/>
    </row>
    <row r="534" spans="1:5" ht="34.5" hidden="1" customHeight="1" thickBot="1">
      <c r="A534" s="140">
        <v>0</v>
      </c>
      <c r="B534" s="141"/>
      <c r="C534" s="142" t="s">
        <v>3</v>
      </c>
      <c r="D534" s="143"/>
      <c r="E534" s="41"/>
    </row>
    <row r="535" spans="1:5" ht="34.5" hidden="1" customHeight="1" thickBot="1">
      <c r="A535" s="140">
        <v>0</v>
      </c>
      <c r="B535" s="141"/>
      <c r="C535" s="144" t="s">
        <v>4</v>
      </c>
      <c r="D535" s="145"/>
      <c r="E535" s="41"/>
    </row>
    <row r="536" spans="1:5" ht="34.5" hidden="1" customHeight="1" thickBot="1">
      <c r="A536" s="146">
        <f>A535-A534</f>
        <v>0</v>
      </c>
      <c r="B536" s="147"/>
      <c r="C536" s="148"/>
      <c r="D536" s="35" t="s">
        <v>5</v>
      </c>
      <c r="E536" s="41"/>
    </row>
    <row r="537" spans="1:5" ht="34.5" hidden="1" customHeight="1" thickBot="1">
      <c r="A537" s="149">
        <v>50</v>
      </c>
      <c r="B537" s="150"/>
      <c r="C537" s="151"/>
      <c r="D537" s="35" t="s">
        <v>6</v>
      </c>
      <c r="E537" s="41"/>
    </row>
    <row r="538" spans="1:5" ht="34.5" hidden="1" customHeight="1" thickBot="1">
      <c r="A538" s="144">
        <f>A537*A536</f>
        <v>0</v>
      </c>
      <c r="B538" s="152"/>
      <c r="C538" s="145"/>
      <c r="D538" s="35" t="s">
        <v>7</v>
      </c>
      <c r="E538" s="41"/>
    </row>
    <row r="539" spans="1:5" ht="34.5" hidden="1" customHeight="1" thickBot="1">
      <c r="A539" s="144">
        <v>0</v>
      </c>
      <c r="B539" s="152"/>
      <c r="C539" s="145"/>
      <c r="D539" s="35" t="s">
        <v>437</v>
      </c>
      <c r="E539" s="41"/>
    </row>
    <row r="540" spans="1:5" ht="34.5" hidden="1" customHeight="1" thickBot="1">
      <c r="A540" s="34">
        <v>0</v>
      </c>
      <c r="B540" s="32" t="s">
        <v>8</v>
      </c>
      <c r="C540" s="33">
        <v>4500</v>
      </c>
      <c r="D540" s="32" t="s">
        <v>9</v>
      </c>
      <c r="E540" s="41"/>
    </row>
    <row r="541" spans="1:5" ht="34.5" hidden="1" customHeight="1" thickBot="1">
      <c r="A541" s="153" t="s">
        <v>436</v>
      </c>
      <c r="B541" s="154"/>
      <c r="C541" s="154"/>
      <c r="D541" s="155"/>
      <c r="E541" s="41"/>
    </row>
    <row r="542" spans="1:5" ht="34.5" hidden="1" customHeight="1" thickBot="1">
      <c r="A542" s="156" t="s">
        <v>435</v>
      </c>
      <c r="B542" s="157"/>
      <c r="C542" s="157"/>
      <c r="D542" s="158"/>
      <c r="E542" s="41"/>
    </row>
    <row r="543" spans="1:5" ht="34.5" hidden="1" customHeight="1" thickBot="1">
      <c r="A543" s="40"/>
      <c r="B543" s="39"/>
      <c r="C543" s="39"/>
      <c r="D543" s="38"/>
      <c r="E543" s="41"/>
    </row>
    <row r="544" spans="1:5" ht="34.5" hidden="1" customHeight="1">
      <c r="A544" s="159" t="s">
        <v>442</v>
      </c>
      <c r="B544" s="160" t="s">
        <v>441</v>
      </c>
      <c r="C544" s="160"/>
      <c r="D544" s="161"/>
      <c r="E544" s="41"/>
    </row>
    <row r="545" spans="1:5" ht="34.5" hidden="1" customHeight="1" thickBot="1">
      <c r="A545" s="162"/>
      <c r="B545" s="163"/>
      <c r="C545" s="163"/>
      <c r="D545" s="164"/>
      <c r="E545" s="44"/>
    </row>
    <row r="546" spans="1:5" ht="34.5" hidden="1" customHeight="1" thickBot="1">
      <c r="A546" s="142" t="s">
        <v>11</v>
      </c>
      <c r="B546" s="143"/>
      <c r="C546" s="165" t="s">
        <v>12</v>
      </c>
      <c r="D546" s="143"/>
      <c r="E546" s="44"/>
    </row>
    <row r="547" spans="1:5" ht="34.5" hidden="1" customHeight="1" thickBot="1">
      <c r="A547" s="137" t="s">
        <v>523</v>
      </c>
      <c r="B547" s="138"/>
      <c r="C547" s="138"/>
      <c r="D547" s="139"/>
      <c r="E547" s="43"/>
    </row>
    <row r="548" spans="1:5" ht="34.5" hidden="1" customHeight="1" thickBot="1">
      <c r="A548" s="34" t="s">
        <v>487</v>
      </c>
      <c r="B548" s="32" t="s">
        <v>438</v>
      </c>
      <c r="C548" s="34">
        <v>18</v>
      </c>
      <c r="D548" s="32" t="s">
        <v>0</v>
      </c>
      <c r="E548" s="43"/>
    </row>
    <row r="549" spans="1:5" ht="34.5" hidden="1" customHeight="1" thickBot="1">
      <c r="A549" s="37" t="s">
        <v>13</v>
      </c>
      <c r="B549" s="36" t="s">
        <v>1</v>
      </c>
      <c r="C549" s="34" t="s">
        <v>14</v>
      </c>
      <c r="D549" s="32" t="s">
        <v>2</v>
      </c>
      <c r="E549" s="42"/>
    </row>
    <row r="550" spans="1:5" ht="34.5" hidden="1" customHeight="1" thickBot="1">
      <c r="A550" s="140">
        <v>0</v>
      </c>
      <c r="B550" s="141"/>
      <c r="C550" s="142" t="s">
        <v>3</v>
      </c>
      <c r="D550" s="143"/>
      <c r="E550" s="41"/>
    </row>
    <row r="551" spans="1:5" ht="34.5" hidden="1" customHeight="1" thickBot="1">
      <c r="A551" s="140">
        <v>0</v>
      </c>
      <c r="B551" s="141"/>
      <c r="C551" s="144" t="s">
        <v>4</v>
      </c>
      <c r="D551" s="145"/>
      <c r="E551" s="41"/>
    </row>
    <row r="552" spans="1:5" ht="34.5" hidden="1" customHeight="1" thickBot="1">
      <c r="A552" s="146">
        <f>A551-A550</f>
        <v>0</v>
      </c>
      <c r="B552" s="147"/>
      <c r="C552" s="148"/>
      <c r="D552" s="35" t="s">
        <v>5</v>
      </c>
      <c r="E552" s="41"/>
    </row>
    <row r="553" spans="1:5" ht="34.5" hidden="1" customHeight="1" thickBot="1">
      <c r="A553" s="149">
        <v>50</v>
      </c>
      <c r="B553" s="150"/>
      <c r="C553" s="151"/>
      <c r="D553" s="35" t="s">
        <v>6</v>
      </c>
      <c r="E553" s="41"/>
    </row>
    <row r="554" spans="1:5" ht="34.5" hidden="1" customHeight="1" thickBot="1">
      <c r="A554" s="144">
        <f>A553*A552</f>
        <v>0</v>
      </c>
      <c r="B554" s="152"/>
      <c r="C554" s="145"/>
      <c r="D554" s="35" t="s">
        <v>7</v>
      </c>
      <c r="E554" s="41"/>
    </row>
    <row r="555" spans="1:5" ht="34.5" hidden="1" customHeight="1" thickBot="1">
      <c r="A555" s="144">
        <v>0</v>
      </c>
      <c r="B555" s="152"/>
      <c r="C555" s="145"/>
      <c r="D555" s="35" t="s">
        <v>437</v>
      </c>
      <c r="E555" s="41"/>
    </row>
    <row r="556" spans="1:5" ht="34.5" hidden="1" customHeight="1" thickBot="1">
      <c r="A556" s="34">
        <v>0</v>
      </c>
      <c r="B556" s="32" t="s">
        <v>8</v>
      </c>
      <c r="C556" s="33">
        <v>4500</v>
      </c>
      <c r="D556" s="32" t="s">
        <v>9</v>
      </c>
      <c r="E556" s="41"/>
    </row>
    <row r="557" spans="1:5" ht="34.5" hidden="1" customHeight="1" thickBot="1">
      <c r="A557" s="153" t="s">
        <v>436</v>
      </c>
      <c r="B557" s="154"/>
      <c r="C557" s="154"/>
      <c r="D557" s="155"/>
      <c r="E557" s="41"/>
    </row>
    <row r="558" spans="1:5" ht="34.5" hidden="1" customHeight="1" thickBot="1">
      <c r="A558" s="156" t="s">
        <v>435</v>
      </c>
      <c r="B558" s="157"/>
      <c r="C558" s="157"/>
      <c r="D558" s="158"/>
      <c r="E558" s="41"/>
    </row>
    <row r="559" spans="1:5" ht="34.5" hidden="1" customHeight="1">
      <c r="A559" s="159" t="s">
        <v>442</v>
      </c>
      <c r="B559" s="160" t="s">
        <v>441</v>
      </c>
      <c r="C559" s="160"/>
      <c r="D559" s="161"/>
      <c r="E559" s="41"/>
    </row>
    <row r="560" spans="1:5" ht="34.5" hidden="1" customHeight="1" thickBot="1">
      <c r="A560" s="162"/>
      <c r="B560" s="163"/>
      <c r="C560" s="163"/>
      <c r="D560" s="164"/>
      <c r="E560" s="44"/>
    </row>
    <row r="561" spans="1:5" ht="34.5" hidden="1" customHeight="1" thickBot="1">
      <c r="A561" s="142" t="s">
        <v>11</v>
      </c>
      <c r="B561" s="143"/>
      <c r="C561" s="165" t="s">
        <v>12</v>
      </c>
      <c r="D561" s="143"/>
      <c r="E561" s="44"/>
    </row>
    <row r="562" spans="1:5" ht="34.5" hidden="1" customHeight="1" thickBot="1">
      <c r="A562" s="137" t="s">
        <v>295</v>
      </c>
      <c r="B562" s="138"/>
      <c r="C562" s="138"/>
      <c r="D562" s="139"/>
      <c r="E562" s="43"/>
    </row>
    <row r="563" spans="1:5" ht="34.5" hidden="1" customHeight="1" thickBot="1">
      <c r="A563" s="34" t="s">
        <v>487</v>
      </c>
      <c r="B563" s="32" t="s">
        <v>438</v>
      </c>
      <c r="C563" s="34">
        <v>19</v>
      </c>
      <c r="D563" s="32" t="s">
        <v>0</v>
      </c>
      <c r="E563" s="43"/>
    </row>
    <row r="564" spans="1:5" ht="34.5" hidden="1" customHeight="1" thickBot="1">
      <c r="A564" s="37" t="s">
        <v>13</v>
      </c>
      <c r="B564" s="36" t="s">
        <v>1</v>
      </c>
      <c r="C564" s="34" t="s">
        <v>14</v>
      </c>
      <c r="D564" s="32" t="s">
        <v>2</v>
      </c>
      <c r="E564" s="42"/>
    </row>
    <row r="565" spans="1:5" ht="34.5" hidden="1" customHeight="1" thickBot="1">
      <c r="A565" s="140">
        <v>0</v>
      </c>
      <c r="B565" s="141"/>
      <c r="C565" s="142" t="s">
        <v>3</v>
      </c>
      <c r="D565" s="143"/>
      <c r="E565" s="41"/>
    </row>
    <row r="566" spans="1:5" ht="34.5" hidden="1" customHeight="1" thickBot="1">
      <c r="A566" s="140">
        <v>0</v>
      </c>
      <c r="B566" s="141"/>
      <c r="C566" s="144" t="s">
        <v>4</v>
      </c>
      <c r="D566" s="145"/>
      <c r="E566" s="41"/>
    </row>
    <row r="567" spans="1:5" ht="34.5" hidden="1" customHeight="1" thickBot="1">
      <c r="A567" s="146">
        <f>A566-A565</f>
        <v>0</v>
      </c>
      <c r="B567" s="147"/>
      <c r="C567" s="148"/>
      <c r="D567" s="35" t="s">
        <v>5</v>
      </c>
      <c r="E567" s="41"/>
    </row>
    <row r="568" spans="1:5" ht="34.5" hidden="1" customHeight="1" thickBot="1">
      <c r="A568" s="149">
        <v>50</v>
      </c>
      <c r="B568" s="150"/>
      <c r="C568" s="151"/>
      <c r="D568" s="35" t="s">
        <v>6</v>
      </c>
      <c r="E568" s="41"/>
    </row>
    <row r="569" spans="1:5" ht="34.5" hidden="1" customHeight="1" thickBot="1">
      <c r="A569" s="144">
        <f>A568*A567</f>
        <v>0</v>
      </c>
      <c r="B569" s="152"/>
      <c r="C569" s="145"/>
      <c r="D569" s="35" t="s">
        <v>7</v>
      </c>
      <c r="E569" s="41"/>
    </row>
    <row r="570" spans="1:5" ht="34.5" hidden="1" customHeight="1" thickBot="1">
      <c r="A570" s="144">
        <v>0</v>
      </c>
      <c r="B570" s="152"/>
      <c r="C570" s="145"/>
      <c r="D570" s="35" t="s">
        <v>437</v>
      </c>
      <c r="E570" s="41"/>
    </row>
    <row r="571" spans="1:5" ht="34.5" hidden="1" customHeight="1" thickBot="1">
      <c r="A571" s="34">
        <v>0</v>
      </c>
      <c r="B571" s="32" t="s">
        <v>8</v>
      </c>
      <c r="C571" s="33">
        <v>4500</v>
      </c>
      <c r="D571" s="32" t="s">
        <v>9</v>
      </c>
      <c r="E571" s="41"/>
    </row>
    <row r="572" spans="1:5" ht="34.5" hidden="1" customHeight="1" thickBot="1">
      <c r="A572" s="153" t="s">
        <v>436</v>
      </c>
      <c r="B572" s="154"/>
      <c r="C572" s="154"/>
      <c r="D572" s="155"/>
      <c r="E572" s="41"/>
    </row>
    <row r="573" spans="1:5" ht="34.5" hidden="1" customHeight="1" thickBot="1">
      <c r="A573" s="156" t="s">
        <v>435</v>
      </c>
      <c r="B573" s="157"/>
      <c r="C573" s="157"/>
      <c r="D573" s="158"/>
      <c r="E573" s="41"/>
    </row>
    <row r="574" spans="1:5" ht="34.5" hidden="1" customHeight="1" thickBot="1">
      <c r="A574" s="40"/>
      <c r="B574" s="39"/>
      <c r="C574" s="39"/>
      <c r="D574" s="38"/>
      <c r="E574" s="41"/>
    </row>
    <row r="575" spans="1:5" ht="34.5" hidden="1" customHeight="1">
      <c r="A575" s="159" t="s">
        <v>442</v>
      </c>
      <c r="B575" s="160" t="s">
        <v>441</v>
      </c>
      <c r="C575" s="160"/>
      <c r="D575" s="161"/>
      <c r="E575" s="41"/>
    </row>
    <row r="576" spans="1:5" ht="34.5" hidden="1" customHeight="1" thickBot="1">
      <c r="A576" s="162"/>
      <c r="B576" s="163"/>
      <c r="C576" s="163"/>
      <c r="D576" s="164"/>
      <c r="E576" s="44"/>
    </row>
    <row r="577" spans="1:5" ht="34.5" hidden="1" customHeight="1" thickBot="1">
      <c r="A577" s="142" t="s">
        <v>11</v>
      </c>
      <c r="B577" s="143"/>
      <c r="C577" s="165" t="s">
        <v>12</v>
      </c>
      <c r="D577" s="143"/>
      <c r="E577" s="44"/>
    </row>
    <row r="578" spans="1:5" ht="34.5" hidden="1" customHeight="1" thickBot="1">
      <c r="A578" s="137" t="s">
        <v>295</v>
      </c>
      <c r="B578" s="138"/>
      <c r="C578" s="138"/>
      <c r="D578" s="139"/>
      <c r="E578" s="43"/>
    </row>
    <row r="579" spans="1:5" ht="34.5" hidden="1" customHeight="1" thickBot="1">
      <c r="A579" s="34" t="s">
        <v>487</v>
      </c>
      <c r="B579" s="32" t="s">
        <v>438</v>
      </c>
      <c r="C579" s="34">
        <v>19</v>
      </c>
      <c r="D579" s="32" t="s">
        <v>0</v>
      </c>
      <c r="E579" s="43"/>
    </row>
    <row r="580" spans="1:5" ht="34.5" hidden="1" customHeight="1" thickBot="1">
      <c r="A580" s="37" t="s">
        <v>13</v>
      </c>
      <c r="B580" s="36" t="s">
        <v>1</v>
      </c>
      <c r="C580" s="34" t="s">
        <v>14</v>
      </c>
      <c r="D580" s="32" t="s">
        <v>2</v>
      </c>
      <c r="E580" s="42"/>
    </row>
    <row r="581" spans="1:5" ht="34.5" hidden="1" customHeight="1" thickBot="1">
      <c r="A581" s="140">
        <v>0</v>
      </c>
      <c r="B581" s="141"/>
      <c r="C581" s="142" t="s">
        <v>3</v>
      </c>
      <c r="D581" s="143"/>
      <c r="E581" s="41"/>
    </row>
    <row r="582" spans="1:5" ht="34.5" hidden="1" customHeight="1" thickBot="1">
      <c r="A582" s="140">
        <v>0</v>
      </c>
      <c r="B582" s="141"/>
      <c r="C582" s="144" t="s">
        <v>4</v>
      </c>
      <c r="D582" s="145"/>
      <c r="E582" s="41"/>
    </row>
    <row r="583" spans="1:5" ht="34.5" hidden="1" customHeight="1" thickBot="1">
      <c r="A583" s="146">
        <f>A582-A581</f>
        <v>0</v>
      </c>
      <c r="B583" s="147"/>
      <c r="C583" s="148"/>
      <c r="D583" s="35" t="s">
        <v>5</v>
      </c>
      <c r="E583" s="41"/>
    </row>
    <row r="584" spans="1:5" ht="34.5" hidden="1" customHeight="1" thickBot="1">
      <c r="A584" s="149">
        <v>50</v>
      </c>
      <c r="B584" s="150"/>
      <c r="C584" s="151"/>
      <c r="D584" s="35" t="s">
        <v>6</v>
      </c>
      <c r="E584" s="41"/>
    </row>
    <row r="585" spans="1:5" ht="34.5" hidden="1" customHeight="1" thickBot="1">
      <c r="A585" s="144">
        <f>A584*A583</f>
        <v>0</v>
      </c>
      <c r="B585" s="152"/>
      <c r="C585" s="145"/>
      <c r="D585" s="35" t="s">
        <v>7</v>
      </c>
      <c r="E585" s="41"/>
    </row>
    <row r="586" spans="1:5" ht="34.5" hidden="1" customHeight="1" thickBot="1">
      <c r="A586" s="144">
        <v>0</v>
      </c>
      <c r="B586" s="152"/>
      <c r="C586" s="145"/>
      <c r="D586" s="35" t="s">
        <v>437</v>
      </c>
      <c r="E586" s="41"/>
    </row>
    <row r="587" spans="1:5" ht="34.5" hidden="1" customHeight="1" thickBot="1">
      <c r="A587" s="34">
        <v>0</v>
      </c>
      <c r="B587" s="32" t="s">
        <v>8</v>
      </c>
      <c r="C587" s="33">
        <v>4500</v>
      </c>
      <c r="D587" s="32" t="s">
        <v>9</v>
      </c>
      <c r="E587" s="41"/>
    </row>
    <row r="588" spans="1:5" ht="34.5" hidden="1" customHeight="1" thickBot="1">
      <c r="A588" s="153" t="s">
        <v>436</v>
      </c>
      <c r="B588" s="154"/>
      <c r="C588" s="154"/>
      <c r="D588" s="155"/>
      <c r="E588" s="41"/>
    </row>
    <row r="589" spans="1:5" ht="34.5" hidden="1" customHeight="1" thickBot="1">
      <c r="A589" s="156" t="s">
        <v>435</v>
      </c>
      <c r="B589" s="157"/>
      <c r="C589" s="157"/>
      <c r="D589" s="158"/>
      <c r="E589" s="41"/>
    </row>
    <row r="590" spans="1:5" ht="34.5" hidden="1" customHeight="1">
      <c r="A590" s="159" t="s">
        <v>442</v>
      </c>
      <c r="B590" s="160" t="s">
        <v>441</v>
      </c>
      <c r="C590" s="160"/>
      <c r="D590" s="161"/>
      <c r="E590" s="41"/>
    </row>
    <row r="591" spans="1:5" ht="34.5" hidden="1" customHeight="1" thickBot="1">
      <c r="A591" s="162"/>
      <c r="B591" s="163"/>
      <c r="C591" s="163"/>
      <c r="D591" s="164"/>
      <c r="E591" s="44"/>
    </row>
    <row r="592" spans="1:5" ht="34.5" hidden="1" customHeight="1" thickBot="1">
      <c r="A592" s="142" t="s">
        <v>11</v>
      </c>
      <c r="B592" s="143"/>
      <c r="C592" s="165" t="s">
        <v>12</v>
      </c>
      <c r="D592" s="143"/>
      <c r="E592" s="44"/>
    </row>
    <row r="593" spans="1:5" ht="34.5" hidden="1" customHeight="1" thickBot="1">
      <c r="A593" s="137" t="s">
        <v>524</v>
      </c>
      <c r="B593" s="138"/>
      <c r="C593" s="138"/>
      <c r="D593" s="139"/>
      <c r="E593" s="43"/>
    </row>
    <row r="594" spans="1:5" ht="34.5" hidden="1" customHeight="1" thickBot="1">
      <c r="A594" s="34" t="s">
        <v>487</v>
      </c>
      <c r="B594" s="32" t="s">
        <v>438</v>
      </c>
      <c r="C594" s="34">
        <v>20</v>
      </c>
      <c r="D594" s="32" t="s">
        <v>0</v>
      </c>
      <c r="E594" s="43"/>
    </row>
    <row r="595" spans="1:5" ht="34.5" hidden="1" customHeight="1" thickBot="1">
      <c r="A595" s="37" t="s">
        <v>13</v>
      </c>
      <c r="B595" s="36" t="s">
        <v>1</v>
      </c>
      <c r="C595" s="34" t="s">
        <v>14</v>
      </c>
      <c r="D595" s="32" t="s">
        <v>2</v>
      </c>
      <c r="E595" s="42"/>
    </row>
    <row r="596" spans="1:5" ht="34.5" hidden="1" customHeight="1" thickBot="1">
      <c r="A596" s="140">
        <v>0</v>
      </c>
      <c r="B596" s="141"/>
      <c r="C596" s="142" t="s">
        <v>3</v>
      </c>
      <c r="D596" s="143"/>
      <c r="E596" s="41"/>
    </row>
    <row r="597" spans="1:5" ht="34.5" hidden="1" customHeight="1" thickBot="1">
      <c r="A597" s="140">
        <v>0</v>
      </c>
      <c r="B597" s="141"/>
      <c r="C597" s="144" t="s">
        <v>4</v>
      </c>
      <c r="D597" s="145"/>
      <c r="E597" s="41"/>
    </row>
    <row r="598" spans="1:5" ht="34.5" hidden="1" customHeight="1" thickBot="1">
      <c r="A598" s="146">
        <f>A597-A596</f>
        <v>0</v>
      </c>
      <c r="B598" s="147"/>
      <c r="C598" s="148"/>
      <c r="D598" s="35" t="s">
        <v>5</v>
      </c>
      <c r="E598" s="41"/>
    </row>
    <row r="599" spans="1:5" ht="34.5" hidden="1" customHeight="1" thickBot="1">
      <c r="A599" s="149">
        <v>50</v>
      </c>
      <c r="B599" s="150"/>
      <c r="C599" s="151"/>
      <c r="D599" s="35" t="s">
        <v>6</v>
      </c>
      <c r="E599" s="41"/>
    </row>
    <row r="600" spans="1:5" ht="34.5" hidden="1" customHeight="1" thickBot="1">
      <c r="A600" s="144">
        <f>A599*A598</f>
        <v>0</v>
      </c>
      <c r="B600" s="152"/>
      <c r="C600" s="145"/>
      <c r="D600" s="35" t="s">
        <v>7</v>
      </c>
      <c r="E600" s="41"/>
    </row>
    <row r="601" spans="1:5" ht="34.5" hidden="1" customHeight="1" thickBot="1">
      <c r="A601" s="144">
        <v>0</v>
      </c>
      <c r="B601" s="152"/>
      <c r="C601" s="145"/>
      <c r="D601" s="35" t="s">
        <v>437</v>
      </c>
      <c r="E601" s="41"/>
    </row>
    <row r="602" spans="1:5" ht="34.5" hidden="1" customHeight="1" thickBot="1">
      <c r="A602" s="34">
        <v>0</v>
      </c>
      <c r="B602" s="32" t="s">
        <v>8</v>
      </c>
      <c r="C602" s="33">
        <v>1250</v>
      </c>
      <c r="D602" s="32" t="s">
        <v>9</v>
      </c>
      <c r="E602" s="41"/>
    </row>
    <row r="603" spans="1:5" ht="34.5" hidden="1" customHeight="1" thickBot="1">
      <c r="A603" s="153" t="s">
        <v>436</v>
      </c>
      <c r="B603" s="154"/>
      <c r="C603" s="154"/>
      <c r="D603" s="155"/>
      <c r="E603" s="41"/>
    </row>
    <row r="604" spans="1:5" ht="34.5" hidden="1" customHeight="1" thickBot="1">
      <c r="A604" s="156" t="s">
        <v>435</v>
      </c>
      <c r="B604" s="157"/>
      <c r="C604" s="157"/>
      <c r="D604" s="158"/>
      <c r="E604" s="41"/>
    </row>
    <row r="605" spans="1:5" ht="34.5" hidden="1" customHeight="1" thickBot="1">
      <c r="A605" s="40"/>
      <c r="B605" s="39"/>
      <c r="C605" s="39"/>
      <c r="D605" s="38"/>
      <c r="E605" s="41"/>
    </row>
    <row r="606" spans="1:5" ht="34.5" hidden="1" customHeight="1">
      <c r="A606" s="159" t="s">
        <v>442</v>
      </c>
      <c r="B606" s="160" t="s">
        <v>441</v>
      </c>
      <c r="C606" s="160"/>
      <c r="D606" s="161"/>
      <c r="E606" s="41"/>
    </row>
    <row r="607" spans="1:5" ht="34.5" hidden="1" customHeight="1" thickBot="1">
      <c r="A607" s="162"/>
      <c r="B607" s="163"/>
      <c r="C607" s="163"/>
      <c r="D607" s="164"/>
      <c r="E607" s="44"/>
    </row>
    <row r="608" spans="1:5" ht="34.5" hidden="1" customHeight="1" thickBot="1">
      <c r="A608" s="142" t="s">
        <v>11</v>
      </c>
      <c r="B608" s="143"/>
      <c r="C608" s="165" t="s">
        <v>12</v>
      </c>
      <c r="D608" s="143"/>
      <c r="E608" s="44"/>
    </row>
    <row r="609" spans="1:5" ht="34.5" hidden="1" customHeight="1" thickBot="1">
      <c r="A609" s="137" t="s">
        <v>524</v>
      </c>
      <c r="B609" s="138"/>
      <c r="C609" s="138"/>
      <c r="D609" s="139"/>
      <c r="E609" s="43"/>
    </row>
    <row r="610" spans="1:5" ht="34.5" hidden="1" customHeight="1" thickBot="1">
      <c r="A610" s="34" t="s">
        <v>487</v>
      </c>
      <c r="B610" s="32" t="s">
        <v>438</v>
      </c>
      <c r="C610" s="34">
        <v>20</v>
      </c>
      <c r="D610" s="32" t="s">
        <v>0</v>
      </c>
      <c r="E610" s="43"/>
    </row>
    <row r="611" spans="1:5" ht="34.5" hidden="1" customHeight="1" thickBot="1">
      <c r="A611" s="37" t="s">
        <v>13</v>
      </c>
      <c r="B611" s="36" t="s">
        <v>1</v>
      </c>
      <c r="C611" s="34" t="s">
        <v>14</v>
      </c>
      <c r="D611" s="32" t="s">
        <v>2</v>
      </c>
      <c r="E611" s="42"/>
    </row>
    <row r="612" spans="1:5" ht="34.5" hidden="1" customHeight="1" thickBot="1">
      <c r="A612" s="140">
        <v>0</v>
      </c>
      <c r="B612" s="141"/>
      <c r="C612" s="142" t="s">
        <v>3</v>
      </c>
      <c r="D612" s="143"/>
      <c r="E612" s="41"/>
    </row>
    <row r="613" spans="1:5" ht="34.5" hidden="1" customHeight="1" thickBot="1">
      <c r="A613" s="140">
        <v>0</v>
      </c>
      <c r="B613" s="141"/>
      <c r="C613" s="144" t="s">
        <v>4</v>
      </c>
      <c r="D613" s="145"/>
      <c r="E613" s="41"/>
    </row>
    <row r="614" spans="1:5" ht="34.5" hidden="1" customHeight="1" thickBot="1">
      <c r="A614" s="146">
        <f>A613-A612</f>
        <v>0</v>
      </c>
      <c r="B614" s="147"/>
      <c r="C614" s="148"/>
      <c r="D614" s="35" t="s">
        <v>5</v>
      </c>
      <c r="E614" s="41"/>
    </row>
    <row r="615" spans="1:5" ht="34.5" hidden="1" customHeight="1" thickBot="1">
      <c r="A615" s="149">
        <v>50</v>
      </c>
      <c r="B615" s="150"/>
      <c r="C615" s="151"/>
      <c r="D615" s="35" t="s">
        <v>6</v>
      </c>
      <c r="E615" s="41"/>
    </row>
    <row r="616" spans="1:5" ht="34.5" hidden="1" customHeight="1" thickBot="1">
      <c r="A616" s="144">
        <f>A615*A614</f>
        <v>0</v>
      </c>
      <c r="B616" s="152"/>
      <c r="C616" s="145"/>
      <c r="D616" s="35" t="s">
        <v>7</v>
      </c>
      <c r="E616" s="41"/>
    </row>
    <row r="617" spans="1:5" ht="34.5" hidden="1" customHeight="1" thickBot="1">
      <c r="A617" s="144">
        <v>0</v>
      </c>
      <c r="B617" s="152"/>
      <c r="C617" s="145"/>
      <c r="D617" s="35" t="s">
        <v>437</v>
      </c>
      <c r="E617" s="41"/>
    </row>
    <row r="618" spans="1:5" ht="34.5" hidden="1" customHeight="1" thickBot="1">
      <c r="A618" s="34">
        <v>0</v>
      </c>
      <c r="B618" s="32" t="s">
        <v>8</v>
      </c>
      <c r="C618" s="33">
        <v>1250</v>
      </c>
      <c r="D618" s="32" t="s">
        <v>9</v>
      </c>
      <c r="E618" s="41"/>
    </row>
    <row r="619" spans="1:5" ht="34.5" hidden="1" customHeight="1" thickBot="1">
      <c r="A619" s="153" t="s">
        <v>436</v>
      </c>
      <c r="B619" s="154"/>
      <c r="C619" s="154"/>
      <c r="D619" s="155"/>
      <c r="E619" s="41"/>
    </row>
    <row r="620" spans="1:5" ht="34.5" hidden="1" customHeight="1" thickBot="1">
      <c r="A620" s="156" t="s">
        <v>435</v>
      </c>
      <c r="B620" s="157"/>
      <c r="C620" s="157"/>
      <c r="D620" s="158"/>
      <c r="E620" s="41"/>
    </row>
    <row r="621" spans="1:5" ht="34.5" hidden="1" customHeight="1">
      <c r="A621" s="159" t="s">
        <v>442</v>
      </c>
      <c r="B621" s="160" t="s">
        <v>441</v>
      </c>
      <c r="C621" s="160"/>
      <c r="D621" s="161"/>
      <c r="E621" s="41"/>
    </row>
    <row r="622" spans="1:5" ht="34.5" hidden="1" customHeight="1" thickBot="1">
      <c r="A622" s="162"/>
      <c r="B622" s="163"/>
      <c r="C622" s="163"/>
      <c r="D622" s="164"/>
      <c r="E622" s="44"/>
    </row>
    <row r="623" spans="1:5" ht="34.5" hidden="1" customHeight="1" thickBot="1">
      <c r="A623" s="142" t="s">
        <v>11</v>
      </c>
      <c r="B623" s="143"/>
      <c r="C623" s="165" t="s">
        <v>12</v>
      </c>
      <c r="D623" s="143"/>
      <c r="E623" s="44"/>
    </row>
    <row r="624" spans="1:5" ht="34.5" hidden="1" customHeight="1" thickBot="1">
      <c r="A624" s="137" t="s">
        <v>525</v>
      </c>
      <c r="B624" s="138"/>
      <c r="C624" s="138"/>
      <c r="D624" s="139"/>
      <c r="E624" s="43"/>
    </row>
    <row r="625" spans="1:5" ht="34.5" hidden="1" customHeight="1" thickBot="1">
      <c r="A625" s="34" t="s">
        <v>487</v>
      </c>
      <c r="B625" s="32" t="s">
        <v>438</v>
      </c>
      <c r="C625" s="34">
        <v>21</v>
      </c>
      <c r="D625" s="32" t="s">
        <v>0</v>
      </c>
      <c r="E625" s="43"/>
    </row>
    <row r="626" spans="1:5" ht="34.5" hidden="1" customHeight="1" thickBot="1">
      <c r="A626" s="37" t="s">
        <v>13</v>
      </c>
      <c r="B626" s="36" t="s">
        <v>1</v>
      </c>
      <c r="C626" s="34" t="s">
        <v>14</v>
      </c>
      <c r="D626" s="32" t="s">
        <v>2</v>
      </c>
      <c r="E626" s="42"/>
    </row>
    <row r="627" spans="1:5" ht="34.5" hidden="1" customHeight="1" thickBot="1">
      <c r="A627" s="140">
        <v>0</v>
      </c>
      <c r="B627" s="141"/>
      <c r="C627" s="142" t="s">
        <v>3</v>
      </c>
      <c r="D627" s="143"/>
      <c r="E627" s="41"/>
    </row>
    <row r="628" spans="1:5" ht="34.5" hidden="1" customHeight="1" thickBot="1">
      <c r="A628" s="140">
        <v>0</v>
      </c>
      <c r="B628" s="141"/>
      <c r="C628" s="144" t="s">
        <v>4</v>
      </c>
      <c r="D628" s="145"/>
      <c r="E628" s="41"/>
    </row>
    <row r="629" spans="1:5" ht="34.5" hidden="1" customHeight="1" thickBot="1">
      <c r="A629" s="146">
        <f>A628-A627</f>
        <v>0</v>
      </c>
      <c r="B629" s="147"/>
      <c r="C629" s="148"/>
      <c r="D629" s="35" t="s">
        <v>5</v>
      </c>
      <c r="E629" s="41"/>
    </row>
    <row r="630" spans="1:5" ht="34.5" hidden="1" customHeight="1" thickBot="1">
      <c r="A630" s="149">
        <v>50</v>
      </c>
      <c r="B630" s="150"/>
      <c r="C630" s="151"/>
      <c r="D630" s="35" t="s">
        <v>6</v>
      </c>
      <c r="E630" s="41"/>
    </row>
    <row r="631" spans="1:5" ht="34.5" hidden="1" customHeight="1" thickBot="1">
      <c r="A631" s="144">
        <f>A630*A629</f>
        <v>0</v>
      </c>
      <c r="B631" s="152"/>
      <c r="C631" s="145"/>
      <c r="D631" s="35" t="s">
        <v>7</v>
      </c>
      <c r="E631" s="41"/>
    </row>
    <row r="632" spans="1:5" ht="34.5" hidden="1" customHeight="1" thickBot="1">
      <c r="A632" s="144">
        <v>0</v>
      </c>
      <c r="B632" s="152"/>
      <c r="C632" s="145"/>
      <c r="D632" s="35" t="s">
        <v>437</v>
      </c>
      <c r="E632" s="41"/>
    </row>
    <row r="633" spans="1:5" ht="34.5" hidden="1" customHeight="1" thickBot="1">
      <c r="A633" s="34">
        <v>0</v>
      </c>
      <c r="B633" s="32" t="s">
        <v>8</v>
      </c>
      <c r="C633" s="33">
        <v>2500</v>
      </c>
      <c r="D633" s="32" t="s">
        <v>9</v>
      </c>
      <c r="E633" s="41"/>
    </row>
    <row r="634" spans="1:5" ht="34.5" hidden="1" customHeight="1" thickBot="1">
      <c r="A634" s="153" t="s">
        <v>436</v>
      </c>
      <c r="B634" s="154"/>
      <c r="C634" s="154"/>
      <c r="D634" s="155"/>
      <c r="E634" s="41"/>
    </row>
    <row r="635" spans="1:5" ht="34.5" hidden="1" customHeight="1" thickBot="1">
      <c r="A635" s="156" t="s">
        <v>435</v>
      </c>
      <c r="B635" s="157"/>
      <c r="C635" s="157"/>
      <c r="D635" s="158"/>
      <c r="E635" s="41"/>
    </row>
    <row r="636" spans="1:5" ht="34.5" hidden="1" customHeight="1" thickBot="1">
      <c r="A636" s="40"/>
      <c r="B636" s="39"/>
      <c r="C636" s="39"/>
      <c r="D636" s="38"/>
      <c r="E636" s="41"/>
    </row>
    <row r="637" spans="1:5" ht="34.5" hidden="1" customHeight="1">
      <c r="A637" s="159" t="s">
        <v>442</v>
      </c>
      <c r="B637" s="160" t="s">
        <v>441</v>
      </c>
      <c r="C637" s="160"/>
      <c r="D637" s="161"/>
      <c r="E637" s="41"/>
    </row>
    <row r="638" spans="1:5" ht="34.5" hidden="1" customHeight="1" thickBot="1">
      <c r="A638" s="162"/>
      <c r="B638" s="163"/>
      <c r="C638" s="163"/>
      <c r="D638" s="164"/>
      <c r="E638" s="44"/>
    </row>
    <row r="639" spans="1:5" ht="34.5" hidden="1" customHeight="1" thickBot="1">
      <c r="A639" s="142" t="s">
        <v>11</v>
      </c>
      <c r="B639" s="143"/>
      <c r="C639" s="165" t="s">
        <v>12</v>
      </c>
      <c r="D639" s="143"/>
      <c r="E639" s="44"/>
    </row>
    <row r="640" spans="1:5" ht="34.5" hidden="1" customHeight="1" thickBot="1">
      <c r="A640" s="137" t="s">
        <v>525</v>
      </c>
      <c r="B640" s="138"/>
      <c r="C640" s="138"/>
      <c r="D640" s="139"/>
      <c r="E640" s="43"/>
    </row>
    <row r="641" spans="1:5" ht="34.5" hidden="1" customHeight="1" thickBot="1">
      <c r="A641" s="34" t="s">
        <v>487</v>
      </c>
      <c r="B641" s="32" t="s">
        <v>438</v>
      </c>
      <c r="C641" s="34">
        <v>21</v>
      </c>
      <c r="D641" s="32" t="s">
        <v>0</v>
      </c>
      <c r="E641" s="43"/>
    </row>
    <row r="642" spans="1:5" ht="34.5" hidden="1" customHeight="1" thickBot="1">
      <c r="A642" s="37" t="s">
        <v>13</v>
      </c>
      <c r="B642" s="36" t="s">
        <v>1</v>
      </c>
      <c r="C642" s="34" t="s">
        <v>14</v>
      </c>
      <c r="D642" s="32" t="s">
        <v>2</v>
      </c>
      <c r="E642" s="42"/>
    </row>
    <row r="643" spans="1:5" ht="34.5" hidden="1" customHeight="1" thickBot="1">
      <c r="A643" s="140">
        <v>0</v>
      </c>
      <c r="B643" s="141"/>
      <c r="C643" s="142" t="s">
        <v>3</v>
      </c>
      <c r="D643" s="143"/>
      <c r="E643" s="41"/>
    </row>
    <row r="644" spans="1:5" ht="34.5" hidden="1" customHeight="1" thickBot="1">
      <c r="A644" s="140">
        <v>0</v>
      </c>
      <c r="B644" s="141"/>
      <c r="C644" s="144" t="s">
        <v>4</v>
      </c>
      <c r="D644" s="145"/>
      <c r="E644" s="41"/>
    </row>
    <row r="645" spans="1:5" ht="34.5" hidden="1" customHeight="1" thickBot="1">
      <c r="A645" s="146">
        <f>A644-A643</f>
        <v>0</v>
      </c>
      <c r="B645" s="147"/>
      <c r="C645" s="148"/>
      <c r="D645" s="35" t="s">
        <v>5</v>
      </c>
      <c r="E645" s="41"/>
    </row>
    <row r="646" spans="1:5" ht="34.5" hidden="1" customHeight="1" thickBot="1">
      <c r="A646" s="149">
        <v>50</v>
      </c>
      <c r="B646" s="150"/>
      <c r="C646" s="151"/>
      <c r="D646" s="35" t="s">
        <v>6</v>
      </c>
      <c r="E646" s="41"/>
    </row>
    <row r="647" spans="1:5" ht="34.5" hidden="1" customHeight="1" thickBot="1">
      <c r="A647" s="144">
        <f>A646*A645</f>
        <v>0</v>
      </c>
      <c r="B647" s="152"/>
      <c r="C647" s="145"/>
      <c r="D647" s="35" t="s">
        <v>7</v>
      </c>
      <c r="E647" s="41"/>
    </row>
    <row r="648" spans="1:5" ht="34.5" hidden="1" customHeight="1" thickBot="1">
      <c r="A648" s="144">
        <v>0</v>
      </c>
      <c r="B648" s="152"/>
      <c r="C648" s="145"/>
      <c r="D648" s="35" t="s">
        <v>437</v>
      </c>
      <c r="E648" s="41"/>
    </row>
    <row r="649" spans="1:5" ht="34.5" hidden="1" customHeight="1" thickBot="1">
      <c r="A649" s="34">
        <v>0</v>
      </c>
      <c r="B649" s="32" t="s">
        <v>8</v>
      </c>
      <c r="C649" s="33">
        <v>2500</v>
      </c>
      <c r="D649" s="32" t="s">
        <v>9</v>
      </c>
      <c r="E649" s="41"/>
    </row>
    <row r="650" spans="1:5" ht="34.5" hidden="1" customHeight="1" thickBot="1">
      <c r="A650" s="153" t="s">
        <v>436</v>
      </c>
      <c r="B650" s="154"/>
      <c r="C650" s="154"/>
      <c r="D650" s="155"/>
      <c r="E650" s="41"/>
    </row>
    <row r="651" spans="1:5" ht="34.5" hidden="1" customHeight="1" thickBot="1">
      <c r="A651" s="156" t="s">
        <v>435</v>
      </c>
      <c r="B651" s="157"/>
      <c r="C651" s="157"/>
      <c r="D651" s="158"/>
      <c r="E651" s="41"/>
    </row>
    <row r="652" spans="1:5" ht="34.5" hidden="1" customHeight="1">
      <c r="A652" s="159" t="s">
        <v>442</v>
      </c>
      <c r="B652" s="160" t="s">
        <v>441</v>
      </c>
      <c r="C652" s="160"/>
      <c r="D652" s="161"/>
      <c r="E652" s="41"/>
    </row>
    <row r="653" spans="1:5" ht="34.5" hidden="1" customHeight="1" thickBot="1">
      <c r="A653" s="162"/>
      <c r="B653" s="163"/>
      <c r="C653" s="163"/>
      <c r="D653" s="164"/>
      <c r="E653" s="44"/>
    </row>
    <row r="654" spans="1:5" ht="34.5" hidden="1" customHeight="1" thickBot="1">
      <c r="A654" s="142" t="s">
        <v>11</v>
      </c>
      <c r="B654" s="143"/>
      <c r="C654" s="165" t="s">
        <v>12</v>
      </c>
      <c r="D654" s="143"/>
      <c r="E654" s="44"/>
    </row>
    <row r="655" spans="1:5" ht="34.5" hidden="1" customHeight="1" thickBot="1">
      <c r="A655" s="137" t="s">
        <v>61</v>
      </c>
      <c r="B655" s="138"/>
      <c r="C655" s="138"/>
      <c r="D655" s="139"/>
      <c r="E655" s="43"/>
    </row>
    <row r="656" spans="1:5" ht="34.5" hidden="1" customHeight="1" thickBot="1">
      <c r="A656" s="34" t="s">
        <v>487</v>
      </c>
      <c r="B656" s="32" t="s">
        <v>438</v>
      </c>
      <c r="C656" s="34">
        <v>22</v>
      </c>
      <c r="D656" s="32" t="s">
        <v>0</v>
      </c>
      <c r="E656" s="43"/>
    </row>
    <row r="657" spans="1:5" ht="34.5" hidden="1" customHeight="1" thickBot="1">
      <c r="A657" s="37" t="s">
        <v>13</v>
      </c>
      <c r="B657" s="36" t="s">
        <v>1</v>
      </c>
      <c r="C657" s="34" t="s">
        <v>14</v>
      </c>
      <c r="D657" s="32" t="s">
        <v>2</v>
      </c>
      <c r="E657" s="42"/>
    </row>
    <row r="658" spans="1:5" ht="34.5" hidden="1" customHeight="1" thickBot="1">
      <c r="A658" s="140">
        <v>0</v>
      </c>
      <c r="B658" s="141"/>
      <c r="C658" s="142" t="s">
        <v>3</v>
      </c>
      <c r="D658" s="143"/>
      <c r="E658" s="41"/>
    </row>
    <row r="659" spans="1:5" ht="34.5" hidden="1" customHeight="1" thickBot="1">
      <c r="A659" s="140">
        <v>0</v>
      </c>
      <c r="B659" s="141"/>
      <c r="C659" s="144" t="s">
        <v>4</v>
      </c>
      <c r="D659" s="145"/>
      <c r="E659" s="41"/>
    </row>
    <row r="660" spans="1:5" ht="34.5" hidden="1" customHeight="1" thickBot="1">
      <c r="A660" s="146">
        <f>A659-A658</f>
        <v>0</v>
      </c>
      <c r="B660" s="147"/>
      <c r="C660" s="148"/>
      <c r="D660" s="35" t="s">
        <v>5</v>
      </c>
      <c r="E660" s="41"/>
    </row>
    <row r="661" spans="1:5" ht="34.5" hidden="1" customHeight="1" thickBot="1">
      <c r="A661" s="149">
        <v>50</v>
      </c>
      <c r="B661" s="150"/>
      <c r="C661" s="151"/>
      <c r="D661" s="35" t="s">
        <v>6</v>
      </c>
      <c r="E661" s="41"/>
    </row>
    <row r="662" spans="1:5" ht="34.5" hidden="1" customHeight="1" thickBot="1">
      <c r="A662" s="144">
        <f>A661*A660</f>
        <v>0</v>
      </c>
      <c r="B662" s="152"/>
      <c r="C662" s="145"/>
      <c r="D662" s="35" t="s">
        <v>7</v>
      </c>
      <c r="E662" s="41"/>
    </row>
    <row r="663" spans="1:5" ht="34.5" hidden="1" customHeight="1" thickBot="1">
      <c r="A663" s="144">
        <v>0</v>
      </c>
      <c r="B663" s="152"/>
      <c r="C663" s="145"/>
      <c r="D663" s="35" t="s">
        <v>437</v>
      </c>
      <c r="E663" s="41"/>
    </row>
    <row r="664" spans="1:5" ht="34.5" hidden="1" customHeight="1" thickBot="1">
      <c r="A664" s="34">
        <v>0</v>
      </c>
      <c r="B664" s="32" t="s">
        <v>8</v>
      </c>
      <c r="C664" s="33">
        <v>3250</v>
      </c>
      <c r="D664" s="32" t="s">
        <v>9</v>
      </c>
      <c r="E664" s="41"/>
    </row>
    <row r="665" spans="1:5" ht="34.5" hidden="1" customHeight="1" thickBot="1">
      <c r="A665" s="153" t="s">
        <v>436</v>
      </c>
      <c r="B665" s="154"/>
      <c r="C665" s="154"/>
      <c r="D665" s="155"/>
      <c r="E665" s="41"/>
    </row>
    <row r="666" spans="1:5" ht="34.5" hidden="1" customHeight="1" thickBot="1">
      <c r="A666" s="156" t="s">
        <v>435</v>
      </c>
      <c r="B666" s="157"/>
      <c r="C666" s="157"/>
      <c r="D666" s="158"/>
      <c r="E666" s="41"/>
    </row>
    <row r="667" spans="1:5" ht="34.5" hidden="1" customHeight="1" thickBot="1">
      <c r="A667" s="40"/>
      <c r="B667" s="39"/>
      <c r="C667" s="39"/>
      <c r="D667" s="38"/>
      <c r="E667" s="41"/>
    </row>
    <row r="668" spans="1:5" ht="34.5" hidden="1" customHeight="1">
      <c r="A668" s="159" t="s">
        <v>442</v>
      </c>
      <c r="B668" s="160" t="s">
        <v>441</v>
      </c>
      <c r="C668" s="160"/>
      <c r="D668" s="161"/>
      <c r="E668" s="41"/>
    </row>
    <row r="669" spans="1:5" ht="34.5" hidden="1" customHeight="1" thickBot="1">
      <c r="A669" s="162"/>
      <c r="B669" s="163"/>
      <c r="C669" s="163"/>
      <c r="D669" s="164"/>
      <c r="E669" s="44"/>
    </row>
    <row r="670" spans="1:5" ht="34.5" hidden="1" customHeight="1" thickBot="1">
      <c r="A670" s="142" t="s">
        <v>11</v>
      </c>
      <c r="B670" s="143"/>
      <c r="C670" s="165" t="s">
        <v>12</v>
      </c>
      <c r="D670" s="143"/>
      <c r="E670" s="44"/>
    </row>
    <row r="671" spans="1:5" ht="34.5" hidden="1" customHeight="1" thickBot="1">
      <c r="A671" s="137" t="s">
        <v>61</v>
      </c>
      <c r="B671" s="138"/>
      <c r="C671" s="138"/>
      <c r="D671" s="139"/>
      <c r="E671" s="43"/>
    </row>
    <row r="672" spans="1:5" ht="34.5" hidden="1" customHeight="1" thickBot="1">
      <c r="A672" s="34" t="s">
        <v>487</v>
      </c>
      <c r="B672" s="32" t="s">
        <v>438</v>
      </c>
      <c r="C672" s="34">
        <v>22</v>
      </c>
      <c r="D672" s="32" t="s">
        <v>0</v>
      </c>
      <c r="E672" s="43"/>
    </row>
    <row r="673" spans="1:5" ht="34.5" hidden="1" customHeight="1" thickBot="1">
      <c r="A673" s="37" t="s">
        <v>13</v>
      </c>
      <c r="B673" s="36" t="s">
        <v>1</v>
      </c>
      <c r="C673" s="34" t="s">
        <v>14</v>
      </c>
      <c r="D673" s="32" t="s">
        <v>2</v>
      </c>
      <c r="E673" s="42"/>
    </row>
    <row r="674" spans="1:5" ht="34.5" hidden="1" customHeight="1" thickBot="1">
      <c r="A674" s="140">
        <v>0</v>
      </c>
      <c r="B674" s="141"/>
      <c r="C674" s="142" t="s">
        <v>3</v>
      </c>
      <c r="D674" s="143"/>
      <c r="E674" s="41"/>
    </row>
    <row r="675" spans="1:5" ht="34.5" hidden="1" customHeight="1" thickBot="1">
      <c r="A675" s="140">
        <v>0</v>
      </c>
      <c r="B675" s="141"/>
      <c r="C675" s="144" t="s">
        <v>4</v>
      </c>
      <c r="D675" s="145"/>
      <c r="E675" s="41"/>
    </row>
    <row r="676" spans="1:5" ht="34.5" hidden="1" customHeight="1" thickBot="1">
      <c r="A676" s="146">
        <f>A675-A674</f>
        <v>0</v>
      </c>
      <c r="B676" s="147"/>
      <c r="C676" s="148"/>
      <c r="D676" s="35" t="s">
        <v>5</v>
      </c>
      <c r="E676" s="41"/>
    </row>
    <row r="677" spans="1:5" ht="34.5" hidden="1" customHeight="1" thickBot="1">
      <c r="A677" s="149">
        <v>50</v>
      </c>
      <c r="B677" s="150"/>
      <c r="C677" s="151"/>
      <c r="D677" s="35" t="s">
        <v>6</v>
      </c>
      <c r="E677" s="41"/>
    </row>
    <row r="678" spans="1:5" ht="34.5" hidden="1" customHeight="1" thickBot="1">
      <c r="A678" s="144">
        <f>A677*A676</f>
        <v>0</v>
      </c>
      <c r="B678" s="152"/>
      <c r="C678" s="145"/>
      <c r="D678" s="35" t="s">
        <v>7</v>
      </c>
      <c r="E678" s="41"/>
    </row>
    <row r="679" spans="1:5" ht="34.5" hidden="1" customHeight="1" thickBot="1">
      <c r="A679" s="144">
        <v>0</v>
      </c>
      <c r="B679" s="152"/>
      <c r="C679" s="145"/>
      <c r="D679" s="35" t="s">
        <v>437</v>
      </c>
      <c r="E679" s="41"/>
    </row>
    <row r="680" spans="1:5" ht="34.5" hidden="1" customHeight="1" thickBot="1">
      <c r="A680" s="34">
        <v>0</v>
      </c>
      <c r="B680" s="32" t="s">
        <v>8</v>
      </c>
      <c r="C680" s="33">
        <v>3250</v>
      </c>
      <c r="D680" s="32" t="s">
        <v>9</v>
      </c>
      <c r="E680" s="41"/>
    </row>
    <row r="681" spans="1:5" ht="34.5" hidden="1" customHeight="1" thickBot="1">
      <c r="A681" s="153" t="s">
        <v>436</v>
      </c>
      <c r="B681" s="154"/>
      <c r="C681" s="154"/>
      <c r="D681" s="155"/>
      <c r="E681" s="41"/>
    </row>
    <row r="682" spans="1:5" ht="34.5" hidden="1" customHeight="1" thickBot="1">
      <c r="A682" s="156" t="s">
        <v>435</v>
      </c>
      <c r="B682" s="157"/>
      <c r="C682" s="157"/>
      <c r="D682" s="158"/>
      <c r="E682" s="41"/>
    </row>
    <row r="683" spans="1:5" ht="34.5" hidden="1" customHeight="1">
      <c r="A683" s="159" t="s">
        <v>442</v>
      </c>
      <c r="B683" s="160" t="s">
        <v>441</v>
      </c>
      <c r="C683" s="160"/>
      <c r="D683" s="161"/>
      <c r="E683" s="41"/>
    </row>
    <row r="684" spans="1:5" ht="34.5" hidden="1" customHeight="1" thickBot="1">
      <c r="A684" s="162"/>
      <c r="B684" s="163"/>
      <c r="C684" s="163"/>
      <c r="D684" s="164"/>
      <c r="E684" s="44"/>
    </row>
    <row r="685" spans="1:5" ht="34.5" hidden="1" customHeight="1" thickBot="1">
      <c r="A685" s="142" t="s">
        <v>11</v>
      </c>
      <c r="B685" s="143"/>
      <c r="C685" s="165" t="s">
        <v>12</v>
      </c>
      <c r="D685" s="143"/>
      <c r="E685" s="44"/>
    </row>
    <row r="686" spans="1:5" ht="34.5" hidden="1" customHeight="1" thickBot="1">
      <c r="A686" s="137" t="s">
        <v>526</v>
      </c>
      <c r="B686" s="138"/>
      <c r="C686" s="138"/>
      <c r="D686" s="139"/>
      <c r="E686" s="43"/>
    </row>
    <row r="687" spans="1:5" ht="34.5" hidden="1" customHeight="1" thickBot="1">
      <c r="A687" s="34" t="s">
        <v>487</v>
      </c>
      <c r="B687" s="32" t="s">
        <v>438</v>
      </c>
      <c r="C687" s="34">
        <v>23</v>
      </c>
      <c r="D687" s="32" t="s">
        <v>0</v>
      </c>
      <c r="E687" s="43"/>
    </row>
    <row r="688" spans="1:5" ht="34.5" hidden="1" customHeight="1" thickBot="1">
      <c r="A688" s="37" t="s">
        <v>13</v>
      </c>
      <c r="B688" s="36" t="s">
        <v>1</v>
      </c>
      <c r="C688" s="34" t="s">
        <v>14</v>
      </c>
      <c r="D688" s="32" t="s">
        <v>2</v>
      </c>
      <c r="E688" s="42"/>
    </row>
    <row r="689" spans="1:5" ht="34.5" hidden="1" customHeight="1" thickBot="1">
      <c r="A689" s="140">
        <v>0</v>
      </c>
      <c r="B689" s="141"/>
      <c r="C689" s="142" t="s">
        <v>3</v>
      </c>
      <c r="D689" s="143"/>
      <c r="E689" s="41"/>
    </row>
    <row r="690" spans="1:5" ht="34.5" hidden="1" customHeight="1" thickBot="1">
      <c r="A690" s="140">
        <v>0</v>
      </c>
      <c r="B690" s="141"/>
      <c r="C690" s="144" t="s">
        <v>4</v>
      </c>
      <c r="D690" s="145"/>
      <c r="E690" s="41"/>
    </row>
    <row r="691" spans="1:5" ht="34.5" hidden="1" customHeight="1" thickBot="1">
      <c r="A691" s="146">
        <f>A690-A689</f>
        <v>0</v>
      </c>
      <c r="B691" s="147"/>
      <c r="C691" s="148"/>
      <c r="D691" s="35" t="s">
        <v>5</v>
      </c>
      <c r="E691" s="41"/>
    </row>
    <row r="692" spans="1:5" ht="34.5" hidden="1" customHeight="1" thickBot="1">
      <c r="A692" s="149">
        <v>50</v>
      </c>
      <c r="B692" s="150"/>
      <c r="C692" s="151"/>
      <c r="D692" s="35" t="s">
        <v>6</v>
      </c>
      <c r="E692" s="41"/>
    </row>
    <row r="693" spans="1:5" ht="34.5" hidden="1" customHeight="1" thickBot="1">
      <c r="A693" s="144">
        <f>A692*A691</f>
        <v>0</v>
      </c>
      <c r="B693" s="152"/>
      <c r="C693" s="145"/>
      <c r="D693" s="35" t="s">
        <v>7</v>
      </c>
      <c r="E693" s="41"/>
    </row>
    <row r="694" spans="1:5" ht="34.5" hidden="1" customHeight="1" thickBot="1">
      <c r="A694" s="144">
        <v>0</v>
      </c>
      <c r="B694" s="152"/>
      <c r="C694" s="145"/>
      <c r="D694" s="35" t="s">
        <v>437</v>
      </c>
      <c r="E694" s="41"/>
    </row>
    <row r="695" spans="1:5" ht="34.5" hidden="1" customHeight="1" thickBot="1">
      <c r="A695" s="34">
        <v>0</v>
      </c>
      <c r="B695" s="32" t="s">
        <v>8</v>
      </c>
      <c r="C695" s="33">
        <v>2000</v>
      </c>
      <c r="D695" s="32" t="s">
        <v>9</v>
      </c>
      <c r="E695" s="41"/>
    </row>
    <row r="696" spans="1:5" ht="34.5" hidden="1" customHeight="1" thickBot="1">
      <c r="A696" s="153" t="s">
        <v>436</v>
      </c>
      <c r="B696" s="154"/>
      <c r="C696" s="154"/>
      <c r="D696" s="155"/>
      <c r="E696" s="41"/>
    </row>
    <row r="697" spans="1:5" ht="34.5" hidden="1" customHeight="1" thickBot="1">
      <c r="A697" s="156" t="s">
        <v>435</v>
      </c>
      <c r="B697" s="157"/>
      <c r="C697" s="157"/>
      <c r="D697" s="158"/>
      <c r="E697" s="41"/>
    </row>
    <row r="698" spans="1:5" ht="34.5" hidden="1" customHeight="1" thickBot="1">
      <c r="A698" s="40"/>
      <c r="B698" s="39"/>
      <c r="C698" s="39"/>
      <c r="D698" s="38"/>
      <c r="E698" s="41"/>
    </row>
    <row r="699" spans="1:5" ht="34.5" hidden="1" customHeight="1">
      <c r="A699" s="159" t="s">
        <v>442</v>
      </c>
      <c r="B699" s="160" t="s">
        <v>441</v>
      </c>
      <c r="C699" s="160"/>
      <c r="D699" s="161"/>
      <c r="E699" s="41"/>
    </row>
    <row r="700" spans="1:5" ht="34.5" hidden="1" customHeight="1" thickBot="1">
      <c r="A700" s="162"/>
      <c r="B700" s="163"/>
      <c r="C700" s="163"/>
      <c r="D700" s="164"/>
      <c r="E700" s="44"/>
    </row>
    <row r="701" spans="1:5" ht="34.5" hidden="1" customHeight="1" thickBot="1">
      <c r="A701" s="142" t="s">
        <v>11</v>
      </c>
      <c r="B701" s="143"/>
      <c r="C701" s="165" t="s">
        <v>12</v>
      </c>
      <c r="D701" s="143"/>
      <c r="E701" s="44"/>
    </row>
    <row r="702" spans="1:5" ht="34.5" hidden="1" customHeight="1" thickBot="1">
      <c r="A702" s="137" t="s">
        <v>526</v>
      </c>
      <c r="B702" s="138"/>
      <c r="C702" s="138"/>
      <c r="D702" s="139"/>
      <c r="E702" s="43"/>
    </row>
    <row r="703" spans="1:5" ht="34.5" hidden="1" customHeight="1" thickBot="1">
      <c r="A703" s="34" t="s">
        <v>487</v>
      </c>
      <c r="B703" s="32" t="s">
        <v>438</v>
      </c>
      <c r="C703" s="34">
        <v>23</v>
      </c>
      <c r="D703" s="32" t="s">
        <v>0</v>
      </c>
      <c r="E703" s="43"/>
    </row>
    <row r="704" spans="1:5" ht="34.5" hidden="1" customHeight="1" thickBot="1">
      <c r="A704" s="37" t="s">
        <v>13</v>
      </c>
      <c r="B704" s="36" t="s">
        <v>1</v>
      </c>
      <c r="C704" s="34" t="s">
        <v>14</v>
      </c>
      <c r="D704" s="32" t="s">
        <v>2</v>
      </c>
      <c r="E704" s="42"/>
    </row>
    <row r="705" spans="1:5" ht="34.5" hidden="1" customHeight="1" thickBot="1">
      <c r="A705" s="140">
        <v>0</v>
      </c>
      <c r="B705" s="141"/>
      <c r="C705" s="142" t="s">
        <v>3</v>
      </c>
      <c r="D705" s="143"/>
      <c r="E705" s="41"/>
    </row>
    <row r="706" spans="1:5" ht="34.5" hidden="1" customHeight="1" thickBot="1">
      <c r="A706" s="140">
        <v>0</v>
      </c>
      <c r="B706" s="141"/>
      <c r="C706" s="144" t="s">
        <v>4</v>
      </c>
      <c r="D706" s="145"/>
      <c r="E706" s="41"/>
    </row>
    <row r="707" spans="1:5" ht="34.5" hidden="1" customHeight="1" thickBot="1">
      <c r="A707" s="146">
        <f>A706-A705</f>
        <v>0</v>
      </c>
      <c r="B707" s="147"/>
      <c r="C707" s="148"/>
      <c r="D707" s="35" t="s">
        <v>5</v>
      </c>
      <c r="E707" s="41"/>
    </row>
    <row r="708" spans="1:5" ht="34.5" hidden="1" customHeight="1" thickBot="1">
      <c r="A708" s="149">
        <v>50</v>
      </c>
      <c r="B708" s="150"/>
      <c r="C708" s="151"/>
      <c r="D708" s="35" t="s">
        <v>6</v>
      </c>
      <c r="E708" s="41"/>
    </row>
    <row r="709" spans="1:5" ht="34.5" hidden="1" customHeight="1" thickBot="1">
      <c r="A709" s="144">
        <f>A708*A707</f>
        <v>0</v>
      </c>
      <c r="B709" s="152"/>
      <c r="C709" s="145"/>
      <c r="D709" s="35" t="s">
        <v>7</v>
      </c>
      <c r="E709" s="41"/>
    </row>
    <row r="710" spans="1:5" ht="34.5" hidden="1" customHeight="1" thickBot="1">
      <c r="A710" s="144">
        <v>0</v>
      </c>
      <c r="B710" s="152"/>
      <c r="C710" s="145"/>
      <c r="D710" s="35" t="s">
        <v>437</v>
      </c>
      <c r="E710" s="41"/>
    </row>
    <row r="711" spans="1:5" ht="34.5" hidden="1" customHeight="1" thickBot="1">
      <c r="A711" s="34">
        <v>0</v>
      </c>
      <c r="B711" s="32" t="s">
        <v>8</v>
      </c>
      <c r="C711" s="33">
        <v>2000</v>
      </c>
      <c r="D711" s="32" t="s">
        <v>9</v>
      </c>
      <c r="E711" s="41"/>
    </row>
    <row r="712" spans="1:5" ht="34.5" hidden="1" customHeight="1" thickBot="1">
      <c r="A712" s="153" t="s">
        <v>436</v>
      </c>
      <c r="B712" s="154"/>
      <c r="C712" s="154"/>
      <c r="D712" s="155"/>
      <c r="E712" s="41"/>
    </row>
    <row r="713" spans="1:5" ht="34.5" hidden="1" customHeight="1" thickBot="1">
      <c r="A713" s="156" t="s">
        <v>435</v>
      </c>
      <c r="B713" s="157"/>
      <c r="C713" s="157"/>
      <c r="D713" s="158"/>
      <c r="E713" s="41"/>
    </row>
    <row r="714" spans="1:5" ht="34.5" hidden="1" customHeight="1">
      <c r="A714" s="159" t="s">
        <v>442</v>
      </c>
      <c r="B714" s="160" t="s">
        <v>441</v>
      </c>
      <c r="C714" s="160"/>
      <c r="D714" s="161"/>
      <c r="E714" s="44"/>
    </row>
    <row r="715" spans="1:5" ht="34.5" hidden="1" customHeight="1" thickBot="1">
      <c r="A715" s="162"/>
      <c r="B715" s="163"/>
      <c r="C715" s="163"/>
      <c r="D715" s="164"/>
      <c r="E715" s="44"/>
    </row>
    <row r="716" spans="1:5" ht="34.5" hidden="1" customHeight="1" thickBot="1">
      <c r="A716" s="142" t="s">
        <v>11</v>
      </c>
      <c r="B716" s="143"/>
      <c r="C716" s="165" t="s">
        <v>12</v>
      </c>
      <c r="D716" s="143"/>
      <c r="E716" s="43"/>
    </row>
    <row r="717" spans="1:5" ht="34.5" hidden="1" customHeight="1" thickBot="1">
      <c r="A717" s="137" t="s">
        <v>527</v>
      </c>
      <c r="B717" s="138"/>
      <c r="C717" s="138"/>
      <c r="D717" s="139"/>
      <c r="E717" s="43"/>
    </row>
    <row r="718" spans="1:5" ht="34.5" hidden="1" customHeight="1" thickBot="1">
      <c r="A718" s="34" t="s">
        <v>487</v>
      </c>
      <c r="B718" s="32" t="s">
        <v>438</v>
      </c>
      <c r="C718" s="34">
        <v>24</v>
      </c>
      <c r="D718" s="32" t="s">
        <v>0</v>
      </c>
      <c r="E718" s="42"/>
    </row>
    <row r="719" spans="1:5" ht="34.5" hidden="1" customHeight="1" thickBot="1">
      <c r="A719" s="37" t="s">
        <v>13</v>
      </c>
      <c r="B719" s="36" t="s">
        <v>1</v>
      </c>
      <c r="C719" s="34" t="s">
        <v>14</v>
      </c>
      <c r="D719" s="32" t="s">
        <v>2</v>
      </c>
      <c r="E719" s="41"/>
    </row>
    <row r="720" spans="1:5" ht="34.5" hidden="1" customHeight="1" thickBot="1">
      <c r="A720" s="140">
        <v>0</v>
      </c>
      <c r="B720" s="141"/>
      <c r="C720" s="142" t="s">
        <v>3</v>
      </c>
      <c r="D720" s="143"/>
      <c r="E720" s="41"/>
    </row>
    <row r="721" spans="1:5" ht="34.5" hidden="1" customHeight="1" thickBot="1">
      <c r="A721" s="140">
        <v>0</v>
      </c>
      <c r="B721" s="141"/>
      <c r="C721" s="144" t="s">
        <v>4</v>
      </c>
      <c r="D721" s="145"/>
      <c r="E721" s="41"/>
    </row>
    <row r="722" spans="1:5" ht="34.5" hidden="1" customHeight="1" thickBot="1">
      <c r="A722" s="146">
        <f>A721-A720</f>
        <v>0</v>
      </c>
      <c r="B722" s="147"/>
      <c r="C722" s="148"/>
      <c r="D722" s="35" t="s">
        <v>5</v>
      </c>
      <c r="E722" s="41"/>
    </row>
    <row r="723" spans="1:5" ht="34.5" hidden="1" customHeight="1" thickBot="1">
      <c r="A723" s="149">
        <v>50</v>
      </c>
      <c r="B723" s="150"/>
      <c r="C723" s="151"/>
      <c r="D723" s="35" t="s">
        <v>6</v>
      </c>
      <c r="E723" s="41"/>
    </row>
    <row r="724" spans="1:5" ht="34.5" hidden="1" customHeight="1" thickBot="1">
      <c r="A724" s="144">
        <f>A723*A722</f>
        <v>0</v>
      </c>
      <c r="B724" s="152"/>
      <c r="C724" s="145"/>
      <c r="D724" s="35" t="s">
        <v>7</v>
      </c>
      <c r="E724" s="41"/>
    </row>
    <row r="725" spans="1:5" ht="34.5" hidden="1" customHeight="1" thickBot="1">
      <c r="A725" s="144">
        <v>0</v>
      </c>
      <c r="B725" s="152"/>
      <c r="C725" s="145"/>
      <c r="D725" s="35" t="s">
        <v>437</v>
      </c>
      <c r="E725" s="41"/>
    </row>
    <row r="726" spans="1:5" ht="34.5" hidden="1" customHeight="1" thickBot="1">
      <c r="A726" s="34">
        <v>0</v>
      </c>
      <c r="B726" s="32" t="s">
        <v>8</v>
      </c>
      <c r="C726" s="33">
        <v>1500</v>
      </c>
      <c r="D726" s="32" t="s">
        <v>9</v>
      </c>
      <c r="E726" s="41"/>
    </row>
    <row r="727" spans="1:5" ht="34.5" hidden="1" customHeight="1" thickBot="1">
      <c r="A727" s="153" t="s">
        <v>436</v>
      </c>
      <c r="B727" s="154"/>
      <c r="C727" s="154"/>
      <c r="D727" s="155"/>
      <c r="E727" s="41"/>
    </row>
    <row r="728" spans="1:5" ht="34.5" hidden="1" customHeight="1" thickBot="1">
      <c r="A728" s="156" t="s">
        <v>435</v>
      </c>
      <c r="B728" s="157"/>
      <c r="C728" s="157"/>
      <c r="D728" s="158"/>
      <c r="E728" s="41"/>
    </row>
    <row r="729" spans="1:5" ht="34.5" hidden="1" customHeight="1" thickBot="1">
      <c r="A729" s="40"/>
      <c r="B729" s="39"/>
      <c r="C729" s="39"/>
      <c r="D729" s="38"/>
      <c r="E729" s="41"/>
    </row>
    <row r="730" spans="1:5" ht="34.5" hidden="1" customHeight="1" thickBot="1">
      <c r="A730" s="137" t="s">
        <v>527</v>
      </c>
      <c r="B730" s="138"/>
      <c r="C730" s="138"/>
      <c r="D730" s="139"/>
      <c r="E730" s="44"/>
    </row>
    <row r="731" spans="1:5" ht="34.5" hidden="1" customHeight="1" thickBot="1">
      <c r="A731" s="34" t="s">
        <v>487</v>
      </c>
      <c r="B731" s="32" t="s">
        <v>438</v>
      </c>
      <c r="C731" s="34">
        <v>24</v>
      </c>
      <c r="D731" s="32" t="s">
        <v>0</v>
      </c>
      <c r="E731" s="44"/>
    </row>
    <row r="732" spans="1:5" ht="34.5" hidden="1" customHeight="1" thickBot="1">
      <c r="A732" s="37" t="s">
        <v>13</v>
      </c>
      <c r="B732" s="36" t="s">
        <v>1</v>
      </c>
      <c r="C732" s="34" t="s">
        <v>14</v>
      </c>
      <c r="D732" s="32" t="s">
        <v>2</v>
      </c>
      <c r="E732" s="43"/>
    </row>
    <row r="733" spans="1:5" ht="34.5" hidden="1" customHeight="1" thickBot="1">
      <c r="A733" s="140">
        <v>0</v>
      </c>
      <c r="B733" s="141"/>
      <c r="C733" s="142" t="s">
        <v>3</v>
      </c>
      <c r="D733" s="143"/>
      <c r="E733" s="43"/>
    </row>
    <row r="734" spans="1:5" ht="34.5" hidden="1" customHeight="1" thickBot="1">
      <c r="A734" s="140">
        <v>0</v>
      </c>
      <c r="B734" s="141"/>
      <c r="C734" s="144" t="s">
        <v>4</v>
      </c>
      <c r="D734" s="145"/>
      <c r="E734" s="42"/>
    </row>
    <row r="735" spans="1:5" ht="34.5" hidden="1" customHeight="1" thickBot="1">
      <c r="A735" s="146">
        <f>A734-A733</f>
        <v>0</v>
      </c>
      <c r="B735" s="147"/>
      <c r="C735" s="148"/>
      <c r="D735" s="35" t="s">
        <v>5</v>
      </c>
      <c r="E735" s="41"/>
    </row>
    <row r="736" spans="1:5" ht="34.5" hidden="1" customHeight="1" thickBot="1">
      <c r="A736" s="149">
        <v>50</v>
      </c>
      <c r="B736" s="150"/>
      <c r="C736" s="151"/>
      <c r="D736" s="35" t="s">
        <v>6</v>
      </c>
      <c r="E736" s="41"/>
    </row>
    <row r="737" spans="1:5" ht="34.5" hidden="1" customHeight="1" thickBot="1">
      <c r="A737" s="144">
        <f>A736*A735</f>
        <v>0</v>
      </c>
      <c r="B737" s="152"/>
      <c r="C737" s="145"/>
      <c r="D737" s="35" t="s">
        <v>7</v>
      </c>
      <c r="E737" s="41"/>
    </row>
    <row r="738" spans="1:5" ht="34.5" hidden="1" customHeight="1" thickBot="1">
      <c r="A738" s="144">
        <v>0</v>
      </c>
      <c r="B738" s="152"/>
      <c r="C738" s="145"/>
      <c r="D738" s="35" t="s">
        <v>437</v>
      </c>
      <c r="E738" s="41"/>
    </row>
    <row r="739" spans="1:5" ht="34.5" hidden="1" customHeight="1" thickBot="1">
      <c r="A739" s="34">
        <v>0</v>
      </c>
      <c r="B739" s="32" t="s">
        <v>8</v>
      </c>
      <c r="C739" s="33">
        <v>1500</v>
      </c>
      <c r="D739" s="32" t="s">
        <v>9</v>
      </c>
      <c r="E739" s="41"/>
    </row>
    <row r="740" spans="1:5" ht="34.5" hidden="1" customHeight="1" thickBot="1">
      <c r="A740" s="153" t="s">
        <v>436</v>
      </c>
      <c r="B740" s="154"/>
      <c r="C740" s="154"/>
      <c r="D740" s="155"/>
      <c r="E740" s="41"/>
    </row>
    <row r="741" spans="1:5" ht="34.5" hidden="1" customHeight="1" thickBot="1">
      <c r="A741" s="144">
        <v>0</v>
      </c>
      <c r="B741" s="152"/>
      <c r="C741" s="145"/>
      <c r="D741" s="35" t="s">
        <v>437</v>
      </c>
      <c r="E741" s="41"/>
    </row>
    <row r="742" spans="1:5" ht="34.5" hidden="1" customHeight="1" thickBot="1">
      <c r="A742" s="34">
        <v>0</v>
      </c>
      <c r="B742" s="32" t="s">
        <v>8</v>
      </c>
      <c r="C742" s="33">
        <v>1500</v>
      </c>
      <c r="D742" s="32" t="s">
        <v>9</v>
      </c>
      <c r="E742" s="41"/>
    </row>
    <row r="743" spans="1:5" ht="34.5" hidden="1" customHeight="1" thickBot="1">
      <c r="A743" s="153" t="s">
        <v>436</v>
      </c>
      <c r="B743" s="154"/>
      <c r="C743" s="154"/>
      <c r="D743" s="155"/>
      <c r="E743" s="41"/>
    </row>
    <row r="744" spans="1:5" ht="34.5" hidden="1" customHeight="1" thickBot="1">
      <c r="A744" s="156" t="s">
        <v>435</v>
      </c>
      <c r="B744" s="157"/>
      <c r="C744" s="157"/>
      <c r="D744" s="158"/>
      <c r="E744" s="41"/>
    </row>
    <row r="745" spans="1:5" ht="34.5" hidden="1" customHeight="1">
      <c r="A745" s="159" t="s">
        <v>441</v>
      </c>
      <c r="B745" s="160"/>
      <c r="C745" s="160"/>
      <c r="D745" s="161"/>
      <c r="E745" s="44"/>
    </row>
    <row r="746" spans="1:5" ht="34.5" hidden="1" customHeight="1" thickBot="1">
      <c r="A746" s="162"/>
      <c r="B746" s="163"/>
      <c r="C746" s="163"/>
      <c r="D746" s="164"/>
      <c r="E746" s="44"/>
    </row>
    <row r="747" spans="1:5" ht="34.5" hidden="1" customHeight="1" thickBot="1">
      <c r="A747" s="142" t="s">
        <v>11</v>
      </c>
      <c r="B747" s="143"/>
      <c r="C747" s="165" t="s">
        <v>12</v>
      </c>
      <c r="D747" s="143"/>
      <c r="E747" s="43"/>
    </row>
    <row r="748" spans="1:5" ht="34.5" hidden="1" customHeight="1" thickBot="1">
      <c r="A748" s="137" t="s">
        <v>523</v>
      </c>
      <c r="B748" s="138"/>
      <c r="C748" s="138"/>
      <c r="D748" s="139"/>
      <c r="E748" s="43"/>
    </row>
    <row r="749" spans="1:5" ht="34.5" hidden="1" customHeight="1" thickBot="1">
      <c r="A749" s="34" t="s">
        <v>487</v>
      </c>
      <c r="B749" s="32" t="s">
        <v>438</v>
      </c>
      <c r="C749" s="34">
        <v>25</v>
      </c>
      <c r="D749" s="32" t="s">
        <v>0</v>
      </c>
      <c r="E749" s="42"/>
    </row>
    <row r="750" spans="1:5" ht="34.5" hidden="1" customHeight="1" thickBot="1">
      <c r="A750" s="37" t="s">
        <v>13</v>
      </c>
      <c r="B750" s="36" t="s">
        <v>1</v>
      </c>
      <c r="C750" s="34" t="s">
        <v>14</v>
      </c>
      <c r="D750" s="32" t="s">
        <v>2</v>
      </c>
      <c r="E750" s="41"/>
    </row>
    <row r="751" spans="1:5" ht="34.5" hidden="1" customHeight="1" thickBot="1">
      <c r="A751" s="140">
        <v>0</v>
      </c>
      <c r="B751" s="141"/>
      <c r="C751" s="142" t="s">
        <v>3</v>
      </c>
      <c r="D751" s="143"/>
      <c r="E751" s="41"/>
    </row>
    <row r="752" spans="1:5" ht="34.5" hidden="1" customHeight="1" thickBot="1">
      <c r="A752" s="140">
        <v>0</v>
      </c>
      <c r="B752" s="141"/>
      <c r="C752" s="144" t="s">
        <v>4</v>
      </c>
      <c r="D752" s="145"/>
      <c r="E752" s="41"/>
    </row>
    <row r="753" spans="1:5" ht="34.5" hidden="1" customHeight="1" thickBot="1">
      <c r="A753" s="146">
        <f>A752-A751</f>
        <v>0</v>
      </c>
      <c r="B753" s="147"/>
      <c r="C753" s="148"/>
      <c r="D753" s="35" t="s">
        <v>5</v>
      </c>
      <c r="E753" s="41"/>
    </row>
    <row r="754" spans="1:5" ht="34.5" hidden="1" customHeight="1" thickBot="1">
      <c r="A754" s="149">
        <v>50</v>
      </c>
      <c r="B754" s="150"/>
      <c r="C754" s="151"/>
      <c r="D754" s="35" t="s">
        <v>6</v>
      </c>
      <c r="E754" s="41"/>
    </row>
    <row r="755" spans="1:5" ht="34.5" hidden="1" customHeight="1" thickBot="1">
      <c r="A755" s="144">
        <f>A754*A753</f>
        <v>0</v>
      </c>
      <c r="B755" s="152"/>
      <c r="C755" s="145"/>
      <c r="D755" s="35" t="s">
        <v>7</v>
      </c>
      <c r="E755" s="41"/>
    </row>
    <row r="756" spans="1:5" ht="34.5" hidden="1" customHeight="1" thickBot="1">
      <c r="A756" s="144">
        <v>0</v>
      </c>
      <c r="B756" s="152"/>
      <c r="C756" s="145"/>
      <c r="D756" s="35" t="s">
        <v>437</v>
      </c>
      <c r="E756" s="41"/>
    </row>
    <row r="757" spans="1:5" ht="34.5" hidden="1" customHeight="1" thickBot="1">
      <c r="A757" s="34">
        <v>0</v>
      </c>
      <c r="B757" s="32" t="s">
        <v>8</v>
      </c>
      <c r="C757" s="33">
        <v>2000</v>
      </c>
      <c r="D757" s="32" t="s">
        <v>9</v>
      </c>
      <c r="E757" s="41"/>
    </row>
    <row r="758" spans="1:5" ht="34.5" hidden="1" customHeight="1" thickBot="1">
      <c r="A758" s="153" t="s">
        <v>436</v>
      </c>
      <c r="B758" s="154"/>
      <c r="C758" s="154"/>
      <c r="D758" s="155"/>
      <c r="E758" s="41"/>
    </row>
    <row r="759" spans="1:5" ht="34.5" hidden="1" customHeight="1" thickBot="1">
      <c r="A759" s="156" t="s">
        <v>435</v>
      </c>
      <c r="B759" s="157"/>
      <c r="C759" s="157"/>
      <c r="D759" s="158"/>
      <c r="E759" s="41"/>
    </row>
    <row r="760" spans="1:5" ht="34.5" hidden="1" customHeight="1" thickBot="1">
      <c r="A760" s="40"/>
      <c r="B760" s="39"/>
      <c r="C760" s="39"/>
      <c r="D760" s="38"/>
      <c r="E760" s="41"/>
    </row>
    <row r="761" spans="1:5" ht="34.5" hidden="1" customHeight="1">
      <c r="A761" s="159" t="s">
        <v>441</v>
      </c>
      <c r="B761" s="160"/>
      <c r="C761" s="160"/>
      <c r="D761" s="161"/>
      <c r="E761" s="44"/>
    </row>
    <row r="762" spans="1:5" ht="34.5" hidden="1" customHeight="1" thickBot="1">
      <c r="A762" s="162"/>
      <c r="B762" s="163"/>
      <c r="C762" s="163"/>
      <c r="D762" s="164"/>
      <c r="E762" s="44"/>
    </row>
    <row r="763" spans="1:5" ht="34.5" hidden="1" customHeight="1" thickBot="1">
      <c r="A763" s="142" t="s">
        <v>11</v>
      </c>
      <c r="B763" s="143"/>
      <c r="C763" s="165" t="s">
        <v>12</v>
      </c>
      <c r="D763" s="143"/>
      <c r="E763" s="43"/>
    </row>
    <row r="764" spans="1:5" ht="34.5" hidden="1" customHeight="1" thickBot="1">
      <c r="A764" s="137" t="s">
        <v>523</v>
      </c>
      <c r="B764" s="138"/>
      <c r="C764" s="138"/>
      <c r="D764" s="139"/>
      <c r="E764" s="43"/>
    </row>
    <row r="765" spans="1:5" ht="34.5" hidden="1" customHeight="1" thickBot="1">
      <c r="A765" s="34" t="s">
        <v>487</v>
      </c>
      <c r="B765" s="32" t="s">
        <v>438</v>
      </c>
      <c r="C765" s="34">
        <v>25</v>
      </c>
      <c r="D765" s="32" t="s">
        <v>0</v>
      </c>
      <c r="E765" s="42"/>
    </row>
    <row r="766" spans="1:5" ht="34.5" hidden="1" customHeight="1" thickBot="1">
      <c r="A766" s="37" t="s">
        <v>13</v>
      </c>
      <c r="B766" s="36" t="s">
        <v>1</v>
      </c>
      <c r="C766" s="34" t="s">
        <v>14</v>
      </c>
      <c r="D766" s="32" t="s">
        <v>2</v>
      </c>
      <c r="E766" s="41"/>
    </row>
    <row r="767" spans="1:5" ht="34.5" hidden="1" customHeight="1" thickBot="1">
      <c r="A767" s="140">
        <v>0</v>
      </c>
      <c r="B767" s="141"/>
      <c r="C767" s="142" t="s">
        <v>3</v>
      </c>
      <c r="D767" s="143"/>
      <c r="E767" s="41"/>
    </row>
    <row r="768" spans="1:5" ht="34.5" hidden="1" customHeight="1" thickBot="1">
      <c r="A768" s="140">
        <v>0</v>
      </c>
      <c r="B768" s="141"/>
      <c r="C768" s="144" t="s">
        <v>4</v>
      </c>
      <c r="D768" s="145"/>
      <c r="E768" s="41"/>
    </row>
    <row r="769" spans="1:5" ht="34.5" hidden="1" customHeight="1" thickBot="1">
      <c r="A769" s="146">
        <f>A768-A767</f>
        <v>0</v>
      </c>
      <c r="B769" s="147"/>
      <c r="C769" s="148"/>
      <c r="D769" s="35" t="s">
        <v>5</v>
      </c>
      <c r="E769" s="41"/>
    </row>
    <row r="770" spans="1:5" ht="34.5" hidden="1" customHeight="1" thickBot="1">
      <c r="A770" s="149">
        <v>50</v>
      </c>
      <c r="B770" s="150"/>
      <c r="C770" s="151"/>
      <c r="D770" s="35" t="s">
        <v>6</v>
      </c>
      <c r="E770" s="41"/>
    </row>
    <row r="771" spans="1:5" ht="34.5" hidden="1" customHeight="1" thickBot="1">
      <c r="A771" s="144">
        <f>A770*A769</f>
        <v>0</v>
      </c>
      <c r="B771" s="152"/>
      <c r="C771" s="145"/>
      <c r="D771" s="35" t="s">
        <v>7</v>
      </c>
      <c r="E771" s="41"/>
    </row>
    <row r="772" spans="1:5" ht="34.5" hidden="1" customHeight="1" thickBot="1">
      <c r="A772" s="144">
        <v>0</v>
      </c>
      <c r="B772" s="152"/>
      <c r="C772" s="145"/>
      <c r="D772" s="35" t="s">
        <v>437</v>
      </c>
      <c r="E772" s="41"/>
    </row>
    <row r="773" spans="1:5" ht="34.5" hidden="1" customHeight="1" thickBot="1">
      <c r="A773" s="34">
        <v>0</v>
      </c>
      <c r="B773" s="32" t="s">
        <v>8</v>
      </c>
      <c r="C773" s="33">
        <v>2000</v>
      </c>
      <c r="D773" s="32" t="s">
        <v>9</v>
      </c>
      <c r="E773" s="41"/>
    </row>
    <row r="774" spans="1:5" ht="34.5" hidden="1" customHeight="1" thickBot="1">
      <c r="A774" s="153" t="s">
        <v>436</v>
      </c>
      <c r="B774" s="154"/>
      <c r="C774" s="154"/>
      <c r="D774" s="155"/>
      <c r="E774" s="41"/>
    </row>
    <row r="775" spans="1:5" ht="34.5" hidden="1" customHeight="1" thickBot="1">
      <c r="A775" s="156" t="s">
        <v>435</v>
      </c>
      <c r="B775" s="157"/>
      <c r="C775" s="157"/>
      <c r="D775" s="158"/>
      <c r="E775" s="41"/>
    </row>
    <row r="776" spans="1:5" ht="34.5" hidden="1" customHeight="1">
      <c r="A776" s="159" t="s">
        <v>442</v>
      </c>
      <c r="B776" s="160" t="s">
        <v>441</v>
      </c>
      <c r="C776" s="160"/>
      <c r="D776" s="161"/>
      <c r="E776" s="44"/>
    </row>
    <row r="777" spans="1:5" ht="34.5" hidden="1" customHeight="1" thickBot="1">
      <c r="A777" s="162"/>
      <c r="B777" s="163"/>
      <c r="C777" s="163"/>
      <c r="D777" s="164"/>
      <c r="E777" s="44"/>
    </row>
    <row r="778" spans="1:5" ht="34.5" hidden="1" customHeight="1" thickBot="1">
      <c r="A778" s="142" t="s">
        <v>11</v>
      </c>
      <c r="B778" s="143"/>
      <c r="C778" s="165" t="s">
        <v>12</v>
      </c>
      <c r="D778" s="143"/>
      <c r="E778" s="43"/>
    </row>
    <row r="779" spans="1:5" ht="34.5" hidden="1" customHeight="1" thickBot="1">
      <c r="A779" s="137" t="s">
        <v>337</v>
      </c>
      <c r="B779" s="138"/>
      <c r="C779" s="138"/>
      <c r="D779" s="139"/>
      <c r="E779" s="43"/>
    </row>
    <row r="780" spans="1:5" ht="34.5" hidden="1" customHeight="1" thickBot="1">
      <c r="A780" s="34" t="s">
        <v>487</v>
      </c>
      <c r="B780" s="32" t="s">
        <v>438</v>
      </c>
      <c r="C780" s="34">
        <v>26</v>
      </c>
      <c r="D780" s="32" t="s">
        <v>0</v>
      </c>
      <c r="E780" s="42"/>
    </row>
    <row r="781" spans="1:5" ht="34.5" hidden="1" customHeight="1" thickBot="1">
      <c r="A781" s="37" t="s">
        <v>13</v>
      </c>
      <c r="B781" s="36" t="s">
        <v>1</v>
      </c>
      <c r="C781" s="34" t="s">
        <v>14</v>
      </c>
      <c r="D781" s="32" t="s">
        <v>2</v>
      </c>
      <c r="E781" s="41"/>
    </row>
    <row r="782" spans="1:5" ht="34.5" hidden="1" customHeight="1" thickBot="1">
      <c r="A782" s="140">
        <v>0</v>
      </c>
      <c r="B782" s="141"/>
      <c r="C782" s="142" t="s">
        <v>3</v>
      </c>
      <c r="D782" s="143"/>
      <c r="E782" s="41"/>
    </row>
    <row r="783" spans="1:5" ht="34.5" hidden="1" customHeight="1" thickBot="1">
      <c r="A783" s="140">
        <v>0</v>
      </c>
      <c r="B783" s="141"/>
      <c r="C783" s="144" t="s">
        <v>4</v>
      </c>
      <c r="D783" s="145"/>
      <c r="E783" s="41"/>
    </row>
    <row r="784" spans="1:5" ht="34.5" hidden="1" customHeight="1" thickBot="1">
      <c r="A784" s="146">
        <f>A783-A782</f>
        <v>0</v>
      </c>
      <c r="B784" s="147"/>
      <c r="C784" s="148"/>
      <c r="D784" s="35" t="s">
        <v>5</v>
      </c>
      <c r="E784" s="41"/>
    </row>
    <row r="785" spans="1:5" ht="34.5" hidden="1" customHeight="1" thickBot="1">
      <c r="A785" s="149">
        <v>50</v>
      </c>
      <c r="B785" s="150"/>
      <c r="C785" s="151"/>
      <c r="D785" s="35" t="s">
        <v>6</v>
      </c>
      <c r="E785" s="41"/>
    </row>
    <row r="786" spans="1:5" ht="34.5" hidden="1" customHeight="1" thickBot="1">
      <c r="A786" s="144">
        <f>A785*A784</f>
        <v>0</v>
      </c>
      <c r="B786" s="152"/>
      <c r="C786" s="145"/>
      <c r="D786" s="35" t="s">
        <v>7</v>
      </c>
      <c r="E786" s="41"/>
    </row>
    <row r="787" spans="1:5" ht="34.5" hidden="1" customHeight="1" thickBot="1">
      <c r="A787" s="144">
        <v>0</v>
      </c>
      <c r="B787" s="152"/>
      <c r="C787" s="145"/>
      <c r="D787" s="35" t="s">
        <v>437</v>
      </c>
      <c r="E787" s="41"/>
    </row>
    <row r="788" spans="1:5" ht="34.5" hidden="1" customHeight="1" thickBot="1">
      <c r="A788" s="34">
        <v>0</v>
      </c>
      <c r="B788" s="32" t="s">
        <v>8</v>
      </c>
      <c r="C788" s="33">
        <v>500</v>
      </c>
      <c r="D788" s="32" t="s">
        <v>9</v>
      </c>
      <c r="E788" s="41"/>
    </row>
    <row r="789" spans="1:5" ht="34.5" hidden="1" customHeight="1" thickBot="1">
      <c r="A789" s="153" t="s">
        <v>436</v>
      </c>
      <c r="B789" s="154"/>
      <c r="C789" s="154"/>
      <c r="D789" s="155"/>
      <c r="E789" s="41"/>
    </row>
    <row r="790" spans="1:5" ht="34.5" hidden="1" customHeight="1" thickBot="1">
      <c r="A790" s="156" t="s">
        <v>435</v>
      </c>
      <c r="B790" s="157"/>
      <c r="C790" s="157"/>
      <c r="D790" s="158"/>
      <c r="E790" s="41"/>
    </row>
    <row r="791" spans="1:5" ht="34.5" hidden="1" customHeight="1" thickBot="1">
      <c r="A791" s="40"/>
      <c r="B791" s="39"/>
      <c r="C791" s="39"/>
      <c r="D791" s="38"/>
      <c r="E791" s="41"/>
    </row>
    <row r="792" spans="1:5" ht="34.5" hidden="1" customHeight="1">
      <c r="A792" s="159" t="s">
        <v>442</v>
      </c>
      <c r="B792" s="160" t="s">
        <v>441</v>
      </c>
      <c r="C792" s="160"/>
      <c r="D792" s="161"/>
      <c r="E792" s="44"/>
    </row>
    <row r="793" spans="1:5" ht="34.5" hidden="1" customHeight="1" thickBot="1">
      <c r="A793" s="162"/>
      <c r="B793" s="163"/>
      <c r="C793" s="163"/>
      <c r="D793" s="164"/>
      <c r="E793" s="44"/>
    </row>
    <row r="794" spans="1:5" ht="34.5" hidden="1" customHeight="1" thickBot="1">
      <c r="A794" s="142" t="s">
        <v>11</v>
      </c>
      <c r="B794" s="143"/>
      <c r="C794" s="165" t="s">
        <v>12</v>
      </c>
      <c r="D794" s="143"/>
      <c r="E794" s="43"/>
    </row>
    <row r="795" spans="1:5" ht="34.5" hidden="1" customHeight="1" thickBot="1">
      <c r="A795" s="137" t="s">
        <v>337</v>
      </c>
      <c r="B795" s="138"/>
      <c r="C795" s="138"/>
      <c r="D795" s="139"/>
      <c r="E795" s="43"/>
    </row>
    <row r="796" spans="1:5" ht="34.5" hidden="1" customHeight="1" thickBot="1">
      <c r="A796" s="34" t="s">
        <v>487</v>
      </c>
      <c r="B796" s="32" t="s">
        <v>438</v>
      </c>
      <c r="C796" s="34">
        <v>26</v>
      </c>
      <c r="D796" s="32" t="s">
        <v>0</v>
      </c>
      <c r="E796" s="42"/>
    </row>
    <row r="797" spans="1:5" ht="34.5" hidden="1" customHeight="1" thickBot="1">
      <c r="A797" s="37" t="s">
        <v>13</v>
      </c>
      <c r="B797" s="36" t="s">
        <v>1</v>
      </c>
      <c r="C797" s="34" t="s">
        <v>14</v>
      </c>
      <c r="D797" s="32" t="s">
        <v>2</v>
      </c>
      <c r="E797" s="41"/>
    </row>
    <row r="798" spans="1:5" ht="34.5" hidden="1" customHeight="1" thickBot="1">
      <c r="A798" s="140">
        <v>0</v>
      </c>
      <c r="B798" s="141"/>
      <c r="C798" s="142" t="s">
        <v>3</v>
      </c>
      <c r="D798" s="143"/>
      <c r="E798" s="41"/>
    </row>
    <row r="799" spans="1:5" ht="34.5" hidden="1" customHeight="1" thickBot="1">
      <c r="A799" s="140">
        <v>0</v>
      </c>
      <c r="B799" s="141"/>
      <c r="C799" s="144" t="s">
        <v>4</v>
      </c>
      <c r="D799" s="145"/>
      <c r="E799" s="41"/>
    </row>
    <row r="800" spans="1:5" ht="34.5" hidden="1" customHeight="1" thickBot="1">
      <c r="A800" s="146">
        <f>A799-A798</f>
        <v>0</v>
      </c>
      <c r="B800" s="147"/>
      <c r="C800" s="148"/>
      <c r="D800" s="35" t="s">
        <v>5</v>
      </c>
      <c r="E800" s="41"/>
    </row>
    <row r="801" spans="1:5" ht="34.5" hidden="1" customHeight="1" thickBot="1">
      <c r="A801" s="149">
        <v>50</v>
      </c>
      <c r="B801" s="150"/>
      <c r="C801" s="151"/>
      <c r="D801" s="35" t="s">
        <v>6</v>
      </c>
      <c r="E801" s="41"/>
    </row>
    <row r="802" spans="1:5" ht="34.5" hidden="1" customHeight="1" thickBot="1">
      <c r="A802" s="144">
        <f>A801*A800</f>
        <v>0</v>
      </c>
      <c r="B802" s="152"/>
      <c r="C802" s="145"/>
      <c r="D802" s="35" t="s">
        <v>7</v>
      </c>
      <c r="E802" s="41"/>
    </row>
    <row r="803" spans="1:5" ht="34.5" hidden="1" customHeight="1" thickBot="1">
      <c r="A803" s="144">
        <v>0</v>
      </c>
      <c r="B803" s="152"/>
      <c r="C803" s="145"/>
      <c r="D803" s="35" t="s">
        <v>437</v>
      </c>
      <c r="E803" s="41"/>
    </row>
    <row r="804" spans="1:5" ht="34.5" hidden="1" customHeight="1" thickBot="1">
      <c r="A804" s="34">
        <v>0</v>
      </c>
      <c r="B804" s="32" t="s">
        <v>8</v>
      </c>
      <c r="C804" s="33">
        <v>500</v>
      </c>
      <c r="D804" s="32" t="s">
        <v>9</v>
      </c>
      <c r="E804" s="41"/>
    </row>
    <row r="805" spans="1:5" ht="34.5" hidden="1" customHeight="1" thickBot="1">
      <c r="A805" s="153" t="s">
        <v>436</v>
      </c>
      <c r="B805" s="154"/>
      <c r="C805" s="154"/>
      <c r="D805" s="155"/>
      <c r="E805" s="41"/>
    </row>
    <row r="806" spans="1:5" ht="34.5" hidden="1" customHeight="1" thickBot="1">
      <c r="A806" s="156" t="s">
        <v>435</v>
      </c>
      <c r="B806" s="157"/>
      <c r="C806" s="157"/>
      <c r="D806" s="158"/>
      <c r="E806" s="41"/>
    </row>
    <row r="807" spans="1:5" ht="34.5" hidden="1" customHeight="1">
      <c r="A807" s="159" t="s">
        <v>442</v>
      </c>
      <c r="B807" s="160" t="s">
        <v>441</v>
      </c>
      <c r="C807" s="160"/>
      <c r="D807" s="161"/>
      <c r="E807" s="44"/>
    </row>
    <row r="808" spans="1:5" ht="34.5" hidden="1" customHeight="1" thickBot="1">
      <c r="A808" s="162"/>
      <c r="B808" s="163"/>
      <c r="C808" s="163"/>
      <c r="D808" s="164"/>
      <c r="E808" s="44"/>
    </row>
    <row r="809" spans="1:5" ht="34.5" hidden="1" customHeight="1" thickBot="1">
      <c r="A809" s="142" t="s">
        <v>11</v>
      </c>
      <c r="B809" s="143"/>
      <c r="C809" s="165" t="s">
        <v>12</v>
      </c>
      <c r="D809" s="143"/>
      <c r="E809" s="43"/>
    </row>
    <row r="810" spans="1:5" ht="34.5" hidden="1" customHeight="1" thickBot="1">
      <c r="A810" s="137" t="s">
        <v>528</v>
      </c>
      <c r="B810" s="138"/>
      <c r="C810" s="138"/>
      <c r="D810" s="139"/>
      <c r="E810" s="43"/>
    </row>
    <row r="811" spans="1:5" ht="34.5" hidden="1" customHeight="1" thickBot="1">
      <c r="A811" s="34" t="s">
        <v>487</v>
      </c>
      <c r="B811" s="32" t="s">
        <v>438</v>
      </c>
      <c r="C811" s="34">
        <v>27</v>
      </c>
      <c r="D811" s="32" t="s">
        <v>0</v>
      </c>
      <c r="E811" s="42"/>
    </row>
    <row r="812" spans="1:5" ht="34.5" hidden="1" customHeight="1" thickBot="1">
      <c r="A812" s="37" t="s">
        <v>13</v>
      </c>
      <c r="B812" s="36" t="s">
        <v>1</v>
      </c>
      <c r="C812" s="34" t="s">
        <v>14</v>
      </c>
      <c r="D812" s="32" t="s">
        <v>2</v>
      </c>
      <c r="E812" s="41"/>
    </row>
    <row r="813" spans="1:5" ht="34.5" hidden="1" customHeight="1" thickBot="1">
      <c r="A813" s="140">
        <v>0</v>
      </c>
      <c r="B813" s="141"/>
      <c r="C813" s="142" t="s">
        <v>3</v>
      </c>
      <c r="D813" s="143"/>
      <c r="E813" s="41"/>
    </row>
    <row r="814" spans="1:5" ht="34.5" hidden="1" customHeight="1" thickBot="1">
      <c r="A814" s="140">
        <v>0</v>
      </c>
      <c r="B814" s="141"/>
      <c r="C814" s="144" t="s">
        <v>4</v>
      </c>
      <c r="D814" s="145"/>
      <c r="E814" s="41"/>
    </row>
    <row r="815" spans="1:5" ht="34.5" hidden="1" customHeight="1" thickBot="1">
      <c r="A815" s="146">
        <f>A814-A813</f>
        <v>0</v>
      </c>
      <c r="B815" s="147"/>
      <c r="C815" s="148"/>
      <c r="D815" s="35" t="s">
        <v>5</v>
      </c>
      <c r="E815" s="41"/>
    </row>
    <row r="816" spans="1:5" ht="34.5" hidden="1" customHeight="1" thickBot="1">
      <c r="A816" s="149">
        <v>50</v>
      </c>
      <c r="B816" s="150"/>
      <c r="C816" s="151"/>
      <c r="D816" s="35" t="s">
        <v>6</v>
      </c>
      <c r="E816" s="41"/>
    </row>
    <row r="817" spans="1:5" ht="34.5" hidden="1" customHeight="1" thickBot="1">
      <c r="A817" s="144">
        <f>A816*A815</f>
        <v>0</v>
      </c>
      <c r="B817" s="152"/>
      <c r="C817" s="145"/>
      <c r="D817" s="35" t="s">
        <v>7</v>
      </c>
      <c r="E817" s="41"/>
    </row>
    <row r="818" spans="1:5" ht="34.5" hidden="1" customHeight="1" thickBot="1">
      <c r="A818" s="144">
        <v>0</v>
      </c>
      <c r="B818" s="152"/>
      <c r="C818" s="145"/>
      <c r="D818" s="35" t="s">
        <v>437</v>
      </c>
      <c r="E818" s="41"/>
    </row>
    <row r="819" spans="1:5" ht="34.5" hidden="1" customHeight="1" thickBot="1">
      <c r="A819" s="34">
        <v>0</v>
      </c>
      <c r="B819" s="32" t="s">
        <v>8</v>
      </c>
      <c r="C819" s="33">
        <v>2850</v>
      </c>
      <c r="D819" s="32" t="s">
        <v>9</v>
      </c>
      <c r="E819" s="41"/>
    </row>
    <row r="820" spans="1:5" ht="34.5" hidden="1" customHeight="1" thickBot="1">
      <c r="A820" s="153" t="s">
        <v>436</v>
      </c>
      <c r="B820" s="154"/>
      <c r="C820" s="154"/>
      <c r="D820" s="155"/>
      <c r="E820" s="41"/>
    </row>
    <row r="821" spans="1:5" ht="34.5" hidden="1" customHeight="1" thickBot="1">
      <c r="A821" s="156" t="s">
        <v>435</v>
      </c>
      <c r="B821" s="157"/>
      <c r="C821" s="157"/>
      <c r="D821" s="158"/>
      <c r="E821" s="41"/>
    </row>
    <row r="822" spans="1:5" ht="34.5" hidden="1" customHeight="1" thickBot="1">
      <c r="A822" s="40"/>
      <c r="B822" s="39"/>
      <c r="C822" s="39"/>
      <c r="D822" s="38"/>
      <c r="E822" s="41"/>
    </row>
    <row r="823" spans="1:5" ht="34.5" hidden="1" customHeight="1">
      <c r="A823" s="159" t="s">
        <v>442</v>
      </c>
      <c r="B823" s="160" t="s">
        <v>441</v>
      </c>
      <c r="C823" s="160"/>
      <c r="D823" s="161"/>
      <c r="E823" s="44"/>
    </row>
    <row r="824" spans="1:5" ht="34.5" hidden="1" customHeight="1" thickBot="1">
      <c r="A824" s="162"/>
      <c r="B824" s="163"/>
      <c r="C824" s="163"/>
      <c r="D824" s="164"/>
      <c r="E824" s="44"/>
    </row>
    <row r="825" spans="1:5" ht="34.5" hidden="1" customHeight="1" thickBot="1">
      <c r="A825" s="142" t="s">
        <v>11</v>
      </c>
      <c r="B825" s="143"/>
      <c r="C825" s="165" t="s">
        <v>12</v>
      </c>
      <c r="D825" s="143"/>
      <c r="E825" s="43"/>
    </row>
    <row r="826" spans="1:5" ht="34.5" hidden="1" customHeight="1" thickBot="1">
      <c r="A826" s="137" t="s">
        <v>528</v>
      </c>
      <c r="B826" s="138"/>
      <c r="C826" s="138"/>
      <c r="D826" s="139"/>
      <c r="E826" s="43"/>
    </row>
    <row r="827" spans="1:5" ht="34.5" hidden="1" customHeight="1" thickBot="1">
      <c r="A827" s="34" t="s">
        <v>487</v>
      </c>
      <c r="B827" s="32" t="s">
        <v>438</v>
      </c>
      <c r="C827" s="34">
        <v>27</v>
      </c>
      <c r="D827" s="32" t="s">
        <v>0</v>
      </c>
      <c r="E827" s="42"/>
    </row>
    <row r="828" spans="1:5" ht="34.5" hidden="1" customHeight="1" thickBot="1">
      <c r="A828" s="37" t="s">
        <v>13</v>
      </c>
      <c r="B828" s="36" t="s">
        <v>1</v>
      </c>
      <c r="C828" s="34" t="s">
        <v>14</v>
      </c>
      <c r="D828" s="32" t="s">
        <v>2</v>
      </c>
      <c r="E828" s="41"/>
    </row>
    <row r="829" spans="1:5" ht="34.5" hidden="1" customHeight="1" thickBot="1">
      <c r="A829" s="140">
        <v>0</v>
      </c>
      <c r="B829" s="141"/>
      <c r="C829" s="142" t="s">
        <v>3</v>
      </c>
      <c r="D829" s="143"/>
      <c r="E829" s="41"/>
    </row>
    <row r="830" spans="1:5" ht="34.5" hidden="1" customHeight="1" thickBot="1">
      <c r="A830" s="140">
        <v>0</v>
      </c>
      <c r="B830" s="141"/>
      <c r="C830" s="144" t="s">
        <v>4</v>
      </c>
      <c r="D830" s="145"/>
      <c r="E830" s="41"/>
    </row>
    <row r="831" spans="1:5" ht="34.5" hidden="1" customHeight="1" thickBot="1">
      <c r="A831" s="146">
        <f>A830-A829</f>
        <v>0</v>
      </c>
      <c r="B831" s="147"/>
      <c r="C831" s="148"/>
      <c r="D831" s="35" t="s">
        <v>5</v>
      </c>
      <c r="E831" s="41"/>
    </row>
    <row r="832" spans="1:5" ht="34.5" hidden="1" customHeight="1" thickBot="1">
      <c r="A832" s="149">
        <v>50</v>
      </c>
      <c r="B832" s="150"/>
      <c r="C832" s="151"/>
      <c r="D832" s="35" t="s">
        <v>6</v>
      </c>
      <c r="E832" s="41"/>
    </row>
    <row r="833" spans="1:5" ht="34.5" hidden="1" customHeight="1" thickBot="1">
      <c r="A833" s="144">
        <f>A832*A831</f>
        <v>0</v>
      </c>
      <c r="B833" s="152"/>
      <c r="C833" s="145"/>
      <c r="D833" s="35" t="s">
        <v>7</v>
      </c>
      <c r="E833" s="41"/>
    </row>
    <row r="834" spans="1:5" ht="34.5" hidden="1" customHeight="1" thickBot="1">
      <c r="A834" s="144">
        <v>0</v>
      </c>
      <c r="B834" s="152"/>
      <c r="C834" s="145"/>
      <c r="D834" s="35" t="s">
        <v>437</v>
      </c>
      <c r="E834" s="41"/>
    </row>
    <row r="835" spans="1:5" ht="34.5" hidden="1" customHeight="1" thickBot="1">
      <c r="A835" s="34">
        <v>0</v>
      </c>
      <c r="B835" s="32" t="s">
        <v>8</v>
      </c>
      <c r="C835" s="33">
        <v>2850</v>
      </c>
      <c r="D835" s="32" t="s">
        <v>9</v>
      </c>
      <c r="E835" s="41"/>
    </row>
    <row r="836" spans="1:5" ht="34.5" hidden="1" customHeight="1" thickBot="1">
      <c r="A836" s="153" t="s">
        <v>436</v>
      </c>
      <c r="B836" s="154"/>
      <c r="C836" s="154"/>
      <c r="D836" s="155"/>
      <c r="E836" s="41"/>
    </row>
    <row r="837" spans="1:5" ht="34.5" hidden="1" customHeight="1" thickBot="1">
      <c r="A837" s="156" t="s">
        <v>435</v>
      </c>
      <c r="B837" s="157"/>
      <c r="C837" s="157"/>
      <c r="D837" s="158"/>
      <c r="E837" s="41"/>
    </row>
    <row r="838" spans="1:5" ht="34.5" hidden="1" customHeight="1">
      <c r="A838" s="159" t="s">
        <v>442</v>
      </c>
      <c r="B838" s="160" t="s">
        <v>441</v>
      </c>
      <c r="C838" s="160"/>
      <c r="D838" s="161"/>
      <c r="E838" s="28"/>
    </row>
    <row r="839" spans="1:5" ht="34.5" hidden="1" customHeight="1" thickBot="1">
      <c r="A839" s="162"/>
      <c r="B839" s="163"/>
      <c r="C839" s="163"/>
      <c r="D839" s="164"/>
      <c r="E839" s="28"/>
    </row>
    <row r="840" spans="1:5" ht="34.5" hidden="1" customHeight="1" thickBot="1">
      <c r="A840" s="142" t="s">
        <v>11</v>
      </c>
      <c r="B840" s="143"/>
      <c r="C840" s="165" t="s">
        <v>12</v>
      </c>
      <c r="D840" s="143"/>
      <c r="E840" s="28"/>
    </row>
    <row r="841" spans="1:5" ht="34.5" hidden="1" customHeight="1" thickBot="1">
      <c r="A841" s="137" t="s">
        <v>529</v>
      </c>
      <c r="B841" s="138"/>
      <c r="C841" s="138"/>
      <c r="D841" s="139"/>
      <c r="E841" s="28"/>
    </row>
    <row r="842" spans="1:5" ht="34.5" hidden="1" customHeight="1" thickBot="1">
      <c r="A842" s="34" t="s">
        <v>487</v>
      </c>
      <c r="B842" s="32" t="s">
        <v>438</v>
      </c>
      <c r="C842" s="34">
        <v>28</v>
      </c>
      <c r="D842" s="32" t="s">
        <v>0</v>
      </c>
      <c r="E842" s="28"/>
    </row>
    <row r="843" spans="1:5" ht="34.5" hidden="1" customHeight="1" thickBot="1">
      <c r="A843" s="37" t="s">
        <v>13</v>
      </c>
      <c r="B843" s="36" t="s">
        <v>1</v>
      </c>
      <c r="C843" s="34" t="s">
        <v>14</v>
      </c>
      <c r="D843" s="32" t="s">
        <v>2</v>
      </c>
      <c r="E843" s="28"/>
    </row>
    <row r="844" spans="1:5" ht="34.5" hidden="1" customHeight="1" thickBot="1">
      <c r="A844" s="140">
        <v>0</v>
      </c>
      <c r="B844" s="141"/>
      <c r="C844" s="142" t="s">
        <v>3</v>
      </c>
      <c r="D844" s="143"/>
      <c r="E844" s="28"/>
    </row>
    <row r="845" spans="1:5" ht="34.5" hidden="1" customHeight="1" thickBot="1">
      <c r="A845" s="140">
        <v>0</v>
      </c>
      <c r="B845" s="141"/>
      <c r="C845" s="144" t="s">
        <v>4</v>
      </c>
      <c r="D845" s="145"/>
      <c r="E845" s="28"/>
    </row>
    <row r="846" spans="1:5" ht="34.5" hidden="1" customHeight="1" thickBot="1">
      <c r="A846" s="146">
        <f>A845-A844</f>
        <v>0</v>
      </c>
      <c r="B846" s="147"/>
      <c r="C846" s="148"/>
      <c r="D846" s="35" t="s">
        <v>5</v>
      </c>
      <c r="E846" s="28"/>
    </row>
    <row r="847" spans="1:5" ht="34.5" hidden="1" customHeight="1" thickBot="1">
      <c r="A847" s="149">
        <v>50</v>
      </c>
      <c r="B847" s="150"/>
      <c r="C847" s="151"/>
      <c r="D847" s="35" t="s">
        <v>6</v>
      </c>
      <c r="E847" s="28"/>
    </row>
    <row r="848" spans="1:5" ht="34.5" hidden="1" customHeight="1" thickBot="1">
      <c r="A848" s="144">
        <f>A847*A846</f>
        <v>0</v>
      </c>
      <c r="B848" s="152"/>
      <c r="C848" s="145"/>
      <c r="D848" s="35" t="s">
        <v>7</v>
      </c>
      <c r="E848" s="28"/>
    </row>
    <row r="849" spans="1:4" ht="34.5" hidden="1" customHeight="1" thickBot="1">
      <c r="A849" s="144">
        <v>0</v>
      </c>
      <c r="B849" s="152"/>
      <c r="C849" s="145"/>
      <c r="D849" s="35" t="s">
        <v>437</v>
      </c>
    </row>
    <row r="850" spans="1:4" ht="34.5" hidden="1" customHeight="1" thickBot="1">
      <c r="A850" s="34">
        <v>0</v>
      </c>
      <c r="B850" s="32" t="s">
        <v>8</v>
      </c>
      <c r="C850" s="33">
        <v>2750</v>
      </c>
      <c r="D850" s="32" t="s">
        <v>9</v>
      </c>
    </row>
    <row r="851" spans="1:4" ht="34.5" hidden="1" customHeight="1" thickBot="1">
      <c r="A851" s="153" t="s">
        <v>436</v>
      </c>
      <c r="B851" s="154"/>
      <c r="C851" s="154"/>
      <c r="D851" s="155"/>
    </row>
    <row r="852" spans="1:4" ht="34.5" hidden="1" customHeight="1" thickBot="1">
      <c r="A852" s="156" t="s">
        <v>435</v>
      </c>
      <c r="B852" s="157"/>
      <c r="C852" s="157"/>
      <c r="D852" s="158"/>
    </row>
    <row r="853" spans="1:4" ht="34.5" hidden="1" customHeight="1" thickBot="1">
      <c r="A853" s="40"/>
      <c r="B853" s="39"/>
      <c r="C853" s="39"/>
      <c r="D853" s="38"/>
    </row>
    <row r="854" spans="1:4" ht="34.5" hidden="1" customHeight="1">
      <c r="A854" s="159" t="s">
        <v>442</v>
      </c>
      <c r="B854" s="160" t="s">
        <v>441</v>
      </c>
      <c r="C854" s="160"/>
      <c r="D854" s="161"/>
    </row>
    <row r="855" spans="1:4" ht="34.5" hidden="1" customHeight="1" thickBot="1">
      <c r="A855" s="162"/>
      <c r="B855" s="163"/>
      <c r="C855" s="163"/>
      <c r="D855" s="164"/>
    </row>
    <row r="856" spans="1:4" ht="34.5" hidden="1" customHeight="1" thickBot="1">
      <c r="A856" s="142" t="s">
        <v>11</v>
      </c>
      <c r="B856" s="143"/>
      <c r="C856" s="165" t="s">
        <v>12</v>
      </c>
      <c r="D856" s="143"/>
    </row>
    <row r="857" spans="1:4" ht="34.5" hidden="1" customHeight="1" thickBot="1">
      <c r="A857" s="137" t="s">
        <v>529</v>
      </c>
      <c r="B857" s="138"/>
      <c r="C857" s="138"/>
      <c r="D857" s="139"/>
    </row>
    <row r="858" spans="1:4" ht="34.5" hidden="1" customHeight="1" thickBot="1">
      <c r="A858" s="34" t="s">
        <v>487</v>
      </c>
      <c r="B858" s="32" t="s">
        <v>438</v>
      </c>
      <c r="C858" s="34">
        <v>28</v>
      </c>
      <c r="D858" s="32" t="s">
        <v>0</v>
      </c>
    </row>
    <row r="859" spans="1:4" ht="34.5" hidden="1" customHeight="1" thickBot="1">
      <c r="A859" s="37" t="s">
        <v>13</v>
      </c>
      <c r="B859" s="36" t="s">
        <v>1</v>
      </c>
      <c r="C859" s="34" t="s">
        <v>14</v>
      </c>
      <c r="D859" s="32" t="s">
        <v>2</v>
      </c>
    </row>
    <row r="860" spans="1:4" ht="34.5" hidden="1" customHeight="1" thickBot="1">
      <c r="A860" s="140">
        <v>0</v>
      </c>
      <c r="B860" s="141"/>
      <c r="C860" s="142" t="s">
        <v>3</v>
      </c>
      <c r="D860" s="143"/>
    </row>
    <row r="861" spans="1:4" ht="34.5" hidden="1" customHeight="1" thickBot="1">
      <c r="A861" s="140">
        <v>0</v>
      </c>
      <c r="B861" s="141"/>
      <c r="C861" s="144" t="s">
        <v>4</v>
      </c>
      <c r="D861" s="145"/>
    </row>
    <row r="862" spans="1:4" ht="34.5" hidden="1" customHeight="1" thickBot="1">
      <c r="A862" s="146">
        <f>A861-A860</f>
        <v>0</v>
      </c>
      <c r="B862" s="147"/>
      <c r="C862" s="148"/>
      <c r="D862" s="35" t="s">
        <v>5</v>
      </c>
    </row>
    <row r="863" spans="1:4" ht="34.5" hidden="1" customHeight="1" thickBot="1">
      <c r="A863" s="149">
        <v>50</v>
      </c>
      <c r="B863" s="150"/>
      <c r="C863" s="151"/>
      <c r="D863" s="35" t="s">
        <v>6</v>
      </c>
    </row>
    <row r="864" spans="1:4" ht="34.5" hidden="1" customHeight="1" thickBot="1">
      <c r="A864" s="144">
        <f>A863*A862</f>
        <v>0</v>
      </c>
      <c r="B864" s="152"/>
      <c r="C864" s="145"/>
      <c r="D864" s="35" t="s">
        <v>7</v>
      </c>
    </row>
    <row r="865" spans="1:6" ht="34.5" hidden="1" customHeight="1" thickBot="1">
      <c r="A865" s="144">
        <v>0</v>
      </c>
      <c r="B865" s="152"/>
      <c r="C865" s="145"/>
      <c r="D865" s="35" t="s">
        <v>437</v>
      </c>
      <c r="E865" s="28"/>
      <c r="F865" s="28"/>
    </row>
    <row r="866" spans="1:6" ht="34.5" hidden="1" customHeight="1" thickBot="1">
      <c r="A866" s="34">
        <v>0</v>
      </c>
      <c r="B866" s="32" t="s">
        <v>8</v>
      </c>
      <c r="C866" s="33">
        <v>2750</v>
      </c>
      <c r="D866" s="32" t="s">
        <v>9</v>
      </c>
      <c r="E866" s="28"/>
      <c r="F866" s="28"/>
    </row>
    <row r="867" spans="1:6" ht="34.5" hidden="1" customHeight="1" thickBot="1">
      <c r="A867" s="153" t="s">
        <v>436</v>
      </c>
      <c r="B867" s="154"/>
      <c r="C867" s="154"/>
      <c r="D867" s="155"/>
      <c r="E867" s="28"/>
      <c r="F867" s="28"/>
    </row>
    <row r="868" spans="1:6" ht="34.5" hidden="1" customHeight="1" thickBot="1">
      <c r="A868" s="156" t="s">
        <v>435</v>
      </c>
      <c r="B868" s="157"/>
      <c r="C868" s="157"/>
      <c r="D868" s="158"/>
      <c r="E868" s="140">
        <v>1285</v>
      </c>
      <c r="F868" s="141"/>
    </row>
    <row r="869" spans="1:6" ht="34.5" hidden="1" customHeight="1">
      <c r="A869" s="159" t="s">
        <v>442</v>
      </c>
      <c r="B869" s="160" t="s">
        <v>441</v>
      </c>
      <c r="C869" s="160"/>
      <c r="D869" s="161"/>
      <c r="E869" s="28"/>
      <c r="F869" s="28"/>
    </row>
    <row r="870" spans="1:6" ht="34.5" hidden="1" customHeight="1" thickBot="1">
      <c r="A870" s="162"/>
      <c r="B870" s="163"/>
      <c r="C870" s="163"/>
      <c r="D870" s="164"/>
      <c r="E870" s="28"/>
      <c r="F870" s="28"/>
    </row>
    <row r="871" spans="1:6" ht="34.5" hidden="1" customHeight="1" thickBot="1">
      <c r="A871" s="142" t="s">
        <v>11</v>
      </c>
      <c r="B871" s="143"/>
      <c r="C871" s="165" t="s">
        <v>12</v>
      </c>
      <c r="D871" s="143"/>
      <c r="E871" s="28"/>
      <c r="F871" s="28"/>
    </row>
    <row r="872" spans="1:6" ht="34.5" hidden="1" customHeight="1" thickBot="1">
      <c r="A872" s="137" t="s">
        <v>530</v>
      </c>
      <c r="B872" s="138"/>
      <c r="C872" s="138"/>
      <c r="D872" s="139"/>
      <c r="E872" s="28"/>
      <c r="F872" s="28"/>
    </row>
    <row r="873" spans="1:6" ht="34.5" hidden="1" customHeight="1" thickBot="1">
      <c r="A873" s="34" t="s">
        <v>487</v>
      </c>
      <c r="B873" s="32" t="s">
        <v>438</v>
      </c>
      <c r="C873" s="34">
        <v>29</v>
      </c>
      <c r="D873" s="32" t="s">
        <v>0</v>
      </c>
      <c r="E873" s="28"/>
      <c r="F873" s="28"/>
    </row>
    <row r="874" spans="1:6" ht="34.5" hidden="1" customHeight="1" thickBot="1">
      <c r="A874" s="37" t="s">
        <v>13</v>
      </c>
      <c r="B874" s="36" t="s">
        <v>1</v>
      </c>
      <c r="C874" s="34" t="s">
        <v>14</v>
      </c>
      <c r="D874" s="32" t="s">
        <v>2</v>
      </c>
      <c r="E874" s="28"/>
      <c r="F874" s="28"/>
    </row>
    <row r="875" spans="1:6" ht="34.5" hidden="1" customHeight="1" thickBot="1">
      <c r="A875" s="146">
        <v>0</v>
      </c>
      <c r="B875" s="148"/>
      <c r="C875" s="142" t="s">
        <v>3</v>
      </c>
      <c r="D875" s="143"/>
      <c r="E875" s="28"/>
      <c r="F875" s="28"/>
    </row>
    <row r="876" spans="1:6" ht="34.5" hidden="1" customHeight="1" thickBot="1">
      <c r="A876" s="146">
        <v>0</v>
      </c>
      <c r="B876" s="148"/>
      <c r="C876" s="144" t="s">
        <v>4</v>
      </c>
      <c r="D876" s="145"/>
      <c r="E876" s="28"/>
      <c r="F876" s="28"/>
    </row>
    <row r="877" spans="1:6" ht="34.5" hidden="1" customHeight="1" thickBot="1">
      <c r="A877" s="146">
        <f>A876-A875</f>
        <v>0</v>
      </c>
      <c r="B877" s="147"/>
      <c r="C877" s="148"/>
      <c r="D877" s="35" t="s">
        <v>5</v>
      </c>
      <c r="E877" s="28"/>
      <c r="F877" s="28"/>
    </row>
    <row r="878" spans="1:6" ht="34.5" hidden="1" customHeight="1" thickBot="1">
      <c r="A878" s="149">
        <v>50</v>
      </c>
      <c r="B878" s="150"/>
      <c r="C878" s="151"/>
      <c r="D878" s="35" t="s">
        <v>6</v>
      </c>
      <c r="E878" s="28"/>
      <c r="F878" s="28"/>
    </row>
    <row r="879" spans="1:6" ht="34.5" hidden="1" customHeight="1" thickBot="1">
      <c r="A879" s="144">
        <f>A878*A877</f>
        <v>0</v>
      </c>
      <c r="B879" s="152"/>
      <c r="C879" s="145"/>
      <c r="D879" s="35" t="s">
        <v>7</v>
      </c>
      <c r="E879" s="28"/>
      <c r="F879" s="28"/>
    </row>
    <row r="880" spans="1:6" ht="34.5" hidden="1" customHeight="1" thickBot="1">
      <c r="A880" s="144">
        <v>0</v>
      </c>
      <c r="B880" s="152"/>
      <c r="C880" s="145"/>
      <c r="D880" s="35" t="s">
        <v>437</v>
      </c>
      <c r="E880" s="28"/>
      <c r="F880" s="28"/>
    </row>
    <row r="881" spans="1:4" ht="34.5" hidden="1" customHeight="1" thickBot="1">
      <c r="A881" s="34">
        <v>0</v>
      </c>
      <c r="B881" s="32" t="s">
        <v>8</v>
      </c>
      <c r="C881" s="33">
        <v>1200</v>
      </c>
      <c r="D881" s="32" t="s">
        <v>9</v>
      </c>
    </row>
    <row r="882" spans="1:4" ht="34.5" hidden="1" customHeight="1" thickBot="1">
      <c r="A882" s="153"/>
      <c r="B882" s="154"/>
      <c r="C882" s="154"/>
      <c r="D882" s="155"/>
    </row>
    <row r="883" spans="1:4" ht="34.5" hidden="1" customHeight="1" thickBot="1">
      <c r="A883" s="156" t="s">
        <v>435</v>
      </c>
      <c r="B883" s="157"/>
      <c r="C883" s="157"/>
      <c r="D883" s="158"/>
    </row>
    <row r="884" spans="1:4" ht="34.5" hidden="1" customHeight="1" thickBot="1">
      <c r="A884" s="40"/>
      <c r="B884" s="39"/>
      <c r="C884" s="39"/>
      <c r="D884" s="38"/>
    </row>
    <row r="885" spans="1:4" ht="34.5" hidden="1" customHeight="1">
      <c r="A885" s="159" t="s">
        <v>442</v>
      </c>
      <c r="B885" s="160" t="s">
        <v>441</v>
      </c>
      <c r="C885" s="160"/>
      <c r="D885" s="161"/>
    </row>
    <row r="886" spans="1:4" ht="34.5" hidden="1" customHeight="1" thickBot="1">
      <c r="A886" s="162"/>
      <c r="B886" s="163"/>
      <c r="C886" s="163"/>
      <c r="D886" s="164"/>
    </row>
    <row r="887" spans="1:4" ht="34.5" hidden="1" customHeight="1" thickBot="1">
      <c r="A887" s="142" t="s">
        <v>11</v>
      </c>
      <c r="B887" s="143"/>
      <c r="C887" s="165" t="s">
        <v>12</v>
      </c>
      <c r="D887" s="143"/>
    </row>
    <row r="888" spans="1:4" ht="34.5" hidden="1" customHeight="1" thickBot="1">
      <c r="A888" s="137" t="s">
        <v>530</v>
      </c>
      <c r="B888" s="138"/>
      <c r="C888" s="138"/>
      <c r="D888" s="139"/>
    </row>
    <row r="889" spans="1:4" ht="34.5" hidden="1" customHeight="1" thickBot="1">
      <c r="A889" s="34" t="s">
        <v>487</v>
      </c>
      <c r="B889" s="32" t="s">
        <v>438</v>
      </c>
      <c r="C889" s="34">
        <v>29</v>
      </c>
      <c r="D889" s="32" t="s">
        <v>0</v>
      </c>
    </row>
    <row r="890" spans="1:4" ht="34.5" hidden="1" customHeight="1" thickBot="1">
      <c r="A890" s="37" t="s">
        <v>13</v>
      </c>
      <c r="B890" s="36" t="s">
        <v>1</v>
      </c>
      <c r="C890" s="34" t="s">
        <v>14</v>
      </c>
      <c r="D890" s="32" t="s">
        <v>2</v>
      </c>
    </row>
    <row r="891" spans="1:4" ht="34.5" hidden="1" customHeight="1" thickBot="1">
      <c r="A891" s="146">
        <v>0</v>
      </c>
      <c r="B891" s="148"/>
      <c r="C891" s="142" t="s">
        <v>3</v>
      </c>
      <c r="D891" s="143"/>
    </row>
    <row r="892" spans="1:4" ht="34.5" hidden="1" customHeight="1" thickBot="1">
      <c r="A892" s="146">
        <v>0</v>
      </c>
      <c r="B892" s="148"/>
      <c r="C892" s="144" t="s">
        <v>4</v>
      </c>
      <c r="D892" s="145"/>
    </row>
    <row r="893" spans="1:4" ht="34.5" hidden="1" customHeight="1" thickBot="1">
      <c r="A893" s="146">
        <f>A892-A891</f>
        <v>0</v>
      </c>
      <c r="B893" s="147"/>
      <c r="C893" s="148"/>
      <c r="D893" s="35" t="s">
        <v>5</v>
      </c>
    </row>
    <row r="894" spans="1:4" ht="34.5" hidden="1" customHeight="1" thickBot="1">
      <c r="A894" s="149">
        <v>50</v>
      </c>
      <c r="B894" s="150"/>
      <c r="C894" s="151"/>
      <c r="D894" s="35" t="s">
        <v>6</v>
      </c>
    </row>
    <row r="895" spans="1:4" ht="34.5" hidden="1" customHeight="1" thickBot="1">
      <c r="A895" s="144">
        <f>A894*A893</f>
        <v>0</v>
      </c>
      <c r="B895" s="152"/>
      <c r="C895" s="145"/>
      <c r="D895" s="35" t="s">
        <v>7</v>
      </c>
    </row>
    <row r="896" spans="1:4" ht="34.5" hidden="1" customHeight="1" thickBot="1">
      <c r="A896" s="144">
        <v>0</v>
      </c>
      <c r="B896" s="152"/>
      <c r="C896" s="145"/>
      <c r="D896" s="35" t="s">
        <v>437</v>
      </c>
    </row>
    <row r="897" spans="1:4" ht="34.5" hidden="1" customHeight="1" thickBot="1">
      <c r="A897" s="34">
        <v>0</v>
      </c>
      <c r="B897" s="32" t="s">
        <v>8</v>
      </c>
      <c r="C897" s="33">
        <v>1200</v>
      </c>
      <c r="D897" s="32" t="s">
        <v>9</v>
      </c>
    </row>
    <row r="898" spans="1:4" ht="34.5" hidden="1" customHeight="1" thickBot="1">
      <c r="A898" s="153"/>
      <c r="B898" s="154"/>
      <c r="C898" s="154"/>
      <c r="D898" s="155"/>
    </row>
    <row r="899" spans="1:4" ht="34.5" hidden="1" customHeight="1" thickBot="1">
      <c r="A899" s="156" t="s">
        <v>435</v>
      </c>
      <c r="B899" s="157"/>
      <c r="C899" s="157"/>
      <c r="D899" s="158"/>
    </row>
    <row r="900" spans="1:4" ht="34.5" hidden="1" customHeight="1">
      <c r="A900" s="159" t="s">
        <v>442</v>
      </c>
      <c r="B900" s="160" t="s">
        <v>441</v>
      </c>
      <c r="C900" s="160"/>
      <c r="D900" s="161"/>
    </row>
    <row r="901" spans="1:4" ht="34.5" hidden="1" customHeight="1" thickBot="1">
      <c r="A901" s="162"/>
      <c r="B901" s="163"/>
      <c r="C901" s="163"/>
      <c r="D901" s="164"/>
    </row>
    <row r="902" spans="1:4" ht="34.5" hidden="1" customHeight="1" thickBot="1">
      <c r="A902" s="142" t="s">
        <v>11</v>
      </c>
      <c r="B902" s="143"/>
      <c r="C902" s="165" t="s">
        <v>12</v>
      </c>
      <c r="D902" s="143"/>
    </row>
    <row r="903" spans="1:4" ht="34.5" hidden="1" customHeight="1" thickBot="1">
      <c r="A903" s="137" t="s">
        <v>531</v>
      </c>
      <c r="B903" s="138"/>
      <c r="C903" s="138"/>
      <c r="D903" s="139"/>
    </row>
    <row r="904" spans="1:4" ht="34.5" hidden="1" customHeight="1" thickBot="1">
      <c r="A904" s="34" t="s">
        <v>487</v>
      </c>
      <c r="B904" s="32" t="s">
        <v>438</v>
      </c>
      <c r="C904" s="34">
        <v>30</v>
      </c>
      <c r="D904" s="32" t="s">
        <v>0</v>
      </c>
    </row>
    <row r="905" spans="1:4" ht="34.5" hidden="1" customHeight="1" thickBot="1">
      <c r="A905" s="37" t="s">
        <v>13</v>
      </c>
      <c r="B905" s="36" t="s">
        <v>1</v>
      </c>
      <c r="C905" s="34" t="s">
        <v>14</v>
      </c>
      <c r="D905" s="32" t="s">
        <v>2</v>
      </c>
    </row>
    <row r="906" spans="1:4" ht="34.5" hidden="1" customHeight="1" thickBot="1">
      <c r="A906" s="140">
        <v>0</v>
      </c>
      <c r="B906" s="141"/>
      <c r="C906" s="142" t="s">
        <v>3</v>
      </c>
      <c r="D906" s="143"/>
    </row>
    <row r="907" spans="1:4" ht="34.5" hidden="1" customHeight="1" thickBot="1">
      <c r="A907" s="140">
        <v>0</v>
      </c>
      <c r="B907" s="141"/>
      <c r="C907" s="144" t="s">
        <v>4</v>
      </c>
      <c r="D907" s="145"/>
    </row>
    <row r="908" spans="1:4" ht="34.5" hidden="1" customHeight="1" thickBot="1">
      <c r="A908" s="146">
        <f>A907-A906</f>
        <v>0</v>
      </c>
      <c r="B908" s="147"/>
      <c r="C908" s="148"/>
      <c r="D908" s="35" t="s">
        <v>5</v>
      </c>
    </row>
    <row r="909" spans="1:4" ht="34.5" hidden="1" customHeight="1" thickBot="1">
      <c r="A909" s="149">
        <v>50</v>
      </c>
      <c r="B909" s="150"/>
      <c r="C909" s="151"/>
      <c r="D909" s="35" t="s">
        <v>6</v>
      </c>
    </row>
    <row r="910" spans="1:4" ht="34.5" hidden="1" customHeight="1" thickBot="1">
      <c r="A910" s="144">
        <f>A909*A908</f>
        <v>0</v>
      </c>
      <c r="B910" s="152"/>
      <c r="C910" s="145"/>
      <c r="D910" s="35" t="s">
        <v>7</v>
      </c>
    </row>
    <row r="911" spans="1:4" ht="34.5" hidden="1" customHeight="1" thickBot="1">
      <c r="A911" s="144">
        <v>0</v>
      </c>
      <c r="B911" s="152"/>
      <c r="C911" s="145"/>
      <c r="D911" s="35" t="s">
        <v>437</v>
      </c>
    </row>
    <row r="912" spans="1:4" ht="34.5" hidden="1" customHeight="1" thickBot="1">
      <c r="A912" s="34">
        <v>0</v>
      </c>
      <c r="B912" s="32" t="s">
        <v>8</v>
      </c>
      <c r="C912" s="33">
        <v>1900</v>
      </c>
      <c r="D912" s="32" t="s">
        <v>9</v>
      </c>
    </row>
    <row r="913" spans="1:4" ht="34.5" hidden="1" customHeight="1" thickBot="1">
      <c r="A913" s="153" t="s">
        <v>436</v>
      </c>
      <c r="B913" s="154"/>
      <c r="C913" s="154"/>
      <c r="D913" s="155"/>
    </row>
    <row r="914" spans="1:4" ht="34.5" hidden="1" customHeight="1" thickBot="1">
      <c r="A914" s="156" t="s">
        <v>435</v>
      </c>
      <c r="B914" s="157"/>
      <c r="C914" s="157"/>
      <c r="D914" s="158"/>
    </row>
    <row r="915" spans="1:4" ht="34.5" hidden="1" customHeight="1" thickBot="1">
      <c r="A915" s="40"/>
      <c r="B915" s="39"/>
      <c r="C915" s="39"/>
      <c r="D915" s="38"/>
    </row>
    <row r="916" spans="1:4" ht="34.5" hidden="1" customHeight="1">
      <c r="A916" s="159" t="s">
        <v>442</v>
      </c>
      <c r="B916" s="160" t="s">
        <v>441</v>
      </c>
      <c r="C916" s="160"/>
      <c r="D916" s="161"/>
    </row>
    <row r="917" spans="1:4" ht="34.5" hidden="1" customHeight="1" thickBot="1">
      <c r="A917" s="162"/>
      <c r="B917" s="163"/>
      <c r="C917" s="163"/>
      <c r="D917" s="164"/>
    </row>
    <row r="918" spans="1:4" ht="34.5" hidden="1" customHeight="1" thickBot="1">
      <c r="A918" s="142" t="s">
        <v>11</v>
      </c>
      <c r="B918" s="143"/>
      <c r="C918" s="165" t="s">
        <v>12</v>
      </c>
      <c r="D918" s="143"/>
    </row>
    <row r="919" spans="1:4" ht="34.5" hidden="1" customHeight="1" thickBot="1">
      <c r="A919" s="137" t="s">
        <v>531</v>
      </c>
      <c r="B919" s="138"/>
      <c r="C919" s="138"/>
      <c r="D919" s="139"/>
    </row>
    <row r="920" spans="1:4" ht="34.5" hidden="1" customHeight="1" thickBot="1">
      <c r="A920" s="34" t="s">
        <v>487</v>
      </c>
      <c r="B920" s="32" t="s">
        <v>438</v>
      </c>
      <c r="C920" s="34">
        <v>30</v>
      </c>
      <c r="D920" s="32" t="s">
        <v>0</v>
      </c>
    </row>
    <row r="921" spans="1:4" ht="34.5" hidden="1" customHeight="1" thickBot="1">
      <c r="A921" s="37" t="s">
        <v>13</v>
      </c>
      <c r="B921" s="36" t="s">
        <v>1</v>
      </c>
      <c r="C921" s="34" t="s">
        <v>14</v>
      </c>
      <c r="D921" s="32" t="s">
        <v>2</v>
      </c>
    </row>
    <row r="922" spans="1:4" ht="34.5" hidden="1" customHeight="1" thickBot="1">
      <c r="A922" s="140">
        <v>0</v>
      </c>
      <c r="B922" s="141"/>
      <c r="C922" s="142" t="s">
        <v>3</v>
      </c>
      <c r="D922" s="143"/>
    </row>
    <row r="923" spans="1:4" ht="34.5" hidden="1" customHeight="1" thickBot="1">
      <c r="A923" s="140">
        <v>0</v>
      </c>
      <c r="B923" s="141"/>
      <c r="C923" s="144" t="s">
        <v>4</v>
      </c>
      <c r="D923" s="145"/>
    </row>
    <row r="924" spans="1:4" ht="34.5" hidden="1" customHeight="1" thickBot="1">
      <c r="A924" s="146">
        <f>A923-A922</f>
        <v>0</v>
      </c>
      <c r="B924" s="147"/>
      <c r="C924" s="148"/>
      <c r="D924" s="35" t="s">
        <v>5</v>
      </c>
    </row>
    <row r="925" spans="1:4" ht="34.5" hidden="1" customHeight="1" thickBot="1">
      <c r="A925" s="149">
        <v>50</v>
      </c>
      <c r="B925" s="150"/>
      <c r="C925" s="151"/>
      <c r="D925" s="35" t="s">
        <v>6</v>
      </c>
    </row>
    <row r="926" spans="1:4" ht="34.5" hidden="1" customHeight="1" thickBot="1">
      <c r="A926" s="144">
        <f>A925*A924</f>
        <v>0</v>
      </c>
      <c r="B926" s="152"/>
      <c r="C926" s="145"/>
      <c r="D926" s="35" t="s">
        <v>7</v>
      </c>
    </row>
    <row r="927" spans="1:4" ht="34.5" hidden="1" customHeight="1" thickBot="1">
      <c r="A927" s="144">
        <v>0</v>
      </c>
      <c r="B927" s="152"/>
      <c r="C927" s="145"/>
      <c r="D927" s="35" t="s">
        <v>437</v>
      </c>
    </row>
    <row r="928" spans="1:4" ht="34.5" hidden="1" customHeight="1" thickBot="1">
      <c r="A928" s="34">
        <v>0</v>
      </c>
      <c r="B928" s="32" t="s">
        <v>8</v>
      </c>
      <c r="C928" s="33">
        <v>1900</v>
      </c>
      <c r="D928" s="32" t="s">
        <v>9</v>
      </c>
    </row>
    <row r="929" spans="1:4" ht="34.5" hidden="1" customHeight="1" thickBot="1">
      <c r="A929" s="153" t="s">
        <v>436</v>
      </c>
      <c r="B929" s="154"/>
      <c r="C929" s="154"/>
      <c r="D929" s="155"/>
    </row>
    <row r="930" spans="1:4" ht="34.5" hidden="1" customHeight="1" thickBot="1">
      <c r="A930" s="156" t="s">
        <v>435</v>
      </c>
      <c r="B930" s="157"/>
      <c r="C930" s="157"/>
      <c r="D930" s="158"/>
    </row>
    <row r="931" spans="1:4" ht="34.5" hidden="1" customHeight="1">
      <c r="A931" s="159" t="s">
        <v>442</v>
      </c>
      <c r="B931" s="160" t="s">
        <v>441</v>
      </c>
      <c r="C931" s="160"/>
      <c r="D931" s="161"/>
    </row>
    <row r="932" spans="1:4" ht="34.5" hidden="1" customHeight="1" thickBot="1">
      <c r="A932" s="162"/>
      <c r="B932" s="163"/>
      <c r="C932" s="163"/>
      <c r="D932" s="164"/>
    </row>
    <row r="933" spans="1:4" ht="34.5" hidden="1" customHeight="1" thickBot="1">
      <c r="A933" s="142" t="s">
        <v>11</v>
      </c>
      <c r="B933" s="143"/>
      <c r="C933" s="165" t="s">
        <v>12</v>
      </c>
      <c r="D933" s="143"/>
    </row>
    <row r="934" spans="1:4" ht="34.5" hidden="1" customHeight="1" thickBot="1">
      <c r="A934" s="137" t="s">
        <v>532</v>
      </c>
      <c r="B934" s="138"/>
      <c r="C934" s="138"/>
      <c r="D934" s="139"/>
    </row>
    <row r="935" spans="1:4" ht="34.5" hidden="1" customHeight="1" thickBot="1">
      <c r="A935" s="34" t="s">
        <v>487</v>
      </c>
      <c r="B935" s="32" t="s">
        <v>438</v>
      </c>
      <c r="C935" s="34">
        <v>31</v>
      </c>
      <c r="D935" s="32" t="s">
        <v>0</v>
      </c>
    </row>
    <row r="936" spans="1:4" ht="34.5" hidden="1" customHeight="1" thickBot="1">
      <c r="A936" s="37" t="s">
        <v>13</v>
      </c>
      <c r="B936" s="36" t="s">
        <v>1</v>
      </c>
      <c r="C936" s="34" t="s">
        <v>14</v>
      </c>
      <c r="D936" s="32" t="s">
        <v>2</v>
      </c>
    </row>
    <row r="937" spans="1:4" ht="34.5" hidden="1" customHeight="1" thickBot="1">
      <c r="A937" s="140">
        <v>0</v>
      </c>
      <c r="B937" s="141"/>
      <c r="C937" s="142" t="s">
        <v>3</v>
      </c>
      <c r="D937" s="143"/>
    </row>
    <row r="938" spans="1:4" ht="34.5" hidden="1" customHeight="1" thickBot="1">
      <c r="A938" s="140">
        <v>0</v>
      </c>
      <c r="B938" s="141"/>
      <c r="C938" s="144" t="s">
        <v>4</v>
      </c>
      <c r="D938" s="145"/>
    </row>
    <row r="939" spans="1:4" ht="34.5" hidden="1" customHeight="1" thickBot="1">
      <c r="A939" s="146">
        <f>A938-A937</f>
        <v>0</v>
      </c>
      <c r="B939" s="147"/>
      <c r="C939" s="148"/>
      <c r="D939" s="35" t="s">
        <v>5</v>
      </c>
    </row>
    <row r="940" spans="1:4" ht="34.5" hidden="1" customHeight="1" thickBot="1">
      <c r="A940" s="149">
        <v>50</v>
      </c>
      <c r="B940" s="150"/>
      <c r="C940" s="151"/>
      <c r="D940" s="35" t="s">
        <v>6</v>
      </c>
    </row>
    <row r="941" spans="1:4" ht="34.5" hidden="1" customHeight="1" thickBot="1">
      <c r="A941" s="144">
        <f>A940*A939</f>
        <v>0</v>
      </c>
      <c r="B941" s="152"/>
      <c r="C941" s="145"/>
      <c r="D941" s="35" t="s">
        <v>7</v>
      </c>
    </row>
    <row r="942" spans="1:4" ht="34.5" hidden="1" customHeight="1" thickBot="1">
      <c r="A942" s="144">
        <v>0</v>
      </c>
      <c r="B942" s="152"/>
      <c r="C942" s="145"/>
      <c r="D942" s="35" t="s">
        <v>437</v>
      </c>
    </row>
    <row r="943" spans="1:4" ht="34.5" hidden="1" customHeight="1" thickBot="1">
      <c r="A943" s="34">
        <v>0</v>
      </c>
      <c r="B943" s="32" t="s">
        <v>8</v>
      </c>
      <c r="C943" s="33">
        <v>650</v>
      </c>
      <c r="D943" s="32" t="s">
        <v>9</v>
      </c>
    </row>
    <row r="944" spans="1:4" ht="34.5" hidden="1" customHeight="1" thickBot="1">
      <c r="A944" s="153" t="s">
        <v>436</v>
      </c>
      <c r="B944" s="154"/>
      <c r="C944" s="154"/>
      <c r="D944" s="155"/>
    </row>
    <row r="945" spans="1:4" ht="34.5" hidden="1" customHeight="1" thickBot="1">
      <c r="A945" s="156" t="s">
        <v>435</v>
      </c>
      <c r="B945" s="157"/>
      <c r="C945" s="157"/>
      <c r="D945" s="158"/>
    </row>
    <row r="946" spans="1:4" ht="34.5" hidden="1" customHeight="1" thickBot="1">
      <c r="A946" s="40"/>
      <c r="B946" s="39"/>
      <c r="C946" s="39"/>
      <c r="D946" s="38"/>
    </row>
    <row r="947" spans="1:4" ht="34.5" hidden="1" customHeight="1">
      <c r="A947" s="159" t="s">
        <v>442</v>
      </c>
      <c r="B947" s="160" t="s">
        <v>441</v>
      </c>
      <c r="C947" s="160"/>
      <c r="D947" s="161"/>
    </row>
    <row r="948" spans="1:4" ht="34.5" hidden="1" customHeight="1" thickBot="1">
      <c r="A948" s="162"/>
      <c r="B948" s="163"/>
      <c r="C948" s="163"/>
      <c r="D948" s="164"/>
    </row>
    <row r="949" spans="1:4" ht="34.5" hidden="1" customHeight="1" thickBot="1">
      <c r="A949" s="142" t="s">
        <v>11</v>
      </c>
      <c r="B949" s="143"/>
      <c r="C949" s="165" t="s">
        <v>12</v>
      </c>
      <c r="D949" s="143"/>
    </row>
    <row r="950" spans="1:4" ht="34.5" hidden="1" customHeight="1" thickBot="1">
      <c r="A950" s="137" t="s">
        <v>532</v>
      </c>
      <c r="B950" s="138"/>
      <c r="C950" s="138"/>
      <c r="D950" s="139"/>
    </row>
    <row r="951" spans="1:4" ht="34.5" hidden="1" customHeight="1" thickBot="1">
      <c r="A951" s="34" t="s">
        <v>487</v>
      </c>
      <c r="B951" s="32" t="s">
        <v>438</v>
      </c>
      <c r="C951" s="34">
        <v>31</v>
      </c>
      <c r="D951" s="32" t="s">
        <v>0</v>
      </c>
    </row>
    <row r="952" spans="1:4" ht="34.5" hidden="1" customHeight="1" thickBot="1">
      <c r="A952" s="37" t="s">
        <v>13</v>
      </c>
      <c r="B952" s="36" t="s">
        <v>1</v>
      </c>
      <c r="C952" s="34" t="s">
        <v>14</v>
      </c>
      <c r="D952" s="32" t="s">
        <v>2</v>
      </c>
    </row>
    <row r="953" spans="1:4" ht="34.5" hidden="1" customHeight="1" thickBot="1">
      <c r="A953" s="140">
        <v>0</v>
      </c>
      <c r="B953" s="141"/>
      <c r="C953" s="142" t="s">
        <v>3</v>
      </c>
      <c r="D953" s="143"/>
    </row>
    <row r="954" spans="1:4" ht="34.5" hidden="1" customHeight="1" thickBot="1">
      <c r="A954" s="140">
        <v>0</v>
      </c>
      <c r="B954" s="141"/>
      <c r="C954" s="144" t="s">
        <v>4</v>
      </c>
      <c r="D954" s="145"/>
    </row>
    <row r="955" spans="1:4" ht="34.5" hidden="1" customHeight="1" thickBot="1">
      <c r="A955" s="146">
        <f>A954-A953</f>
        <v>0</v>
      </c>
      <c r="B955" s="147"/>
      <c r="C955" s="148"/>
      <c r="D955" s="35" t="s">
        <v>5</v>
      </c>
    </row>
    <row r="956" spans="1:4" ht="34.5" hidden="1" customHeight="1" thickBot="1">
      <c r="A956" s="149">
        <v>50</v>
      </c>
      <c r="B956" s="150"/>
      <c r="C956" s="151"/>
      <c r="D956" s="35" t="s">
        <v>6</v>
      </c>
    </row>
    <row r="957" spans="1:4" ht="34.5" hidden="1" customHeight="1" thickBot="1">
      <c r="A957" s="144">
        <f>A956*A955</f>
        <v>0</v>
      </c>
      <c r="B957" s="152"/>
      <c r="C957" s="145"/>
      <c r="D957" s="35" t="s">
        <v>7</v>
      </c>
    </row>
    <row r="958" spans="1:4" ht="34.5" hidden="1" customHeight="1" thickBot="1">
      <c r="A958" s="144">
        <v>0</v>
      </c>
      <c r="B958" s="152"/>
      <c r="C958" s="145"/>
      <c r="D958" s="35" t="s">
        <v>437</v>
      </c>
    </row>
    <row r="959" spans="1:4" ht="34.5" hidden="1" customHeight="1" thickBot="1">
      <c r="A959" s="34">
        <v>0</v>
      </c>
      <c r="B959" s="32" t="s">
        <v>8</v>
      </c>
      <c r="C959" s="33">
        <v>650</v>
      </c>
      <c r="D959" s="32" t="s">
        <v>9</v>
      </c>
    </row>
    <row r="960" spans="1:4" ht="34.5" hidden="1" customHeight="1" thickBot="1">
      <c r="A960" s="153" t="s">
        <v>436</v>
      </c>
      <c r="B960" s="154"/>
      <c r="C960" s="154"/>
      <c r="D960" s="155"/>
    </row>
    <row r="961" spans="1:4" ht="34.5" hidden="1" customHeight="1" thickBot="1">
      <c r="A961" s="156" t="s">
        <v>435</v>
      </c>
      <c r="B961" s="157"/>
      <c r="C961" s="157"/>
      <c r="D961" s="158"/>
    </row>
    <row r="962" spans="1:4" ht="34.5" hidden="1" customHeight="1">
      <c r="A962" s="159" t="s">
        <v>442</v>
      </c>
      <c r="B962" s="160" t="s">
        <v>441</v>
      </c>
      <c r="C962" s="160"/>
      <c r="D962" s="161"/>
    </row>
    <row r="963" spans="1:4" ht="34.5" hidden="1" customHeight="1" thickBot="1">
      <c r="A963" s="162"/>
      <c r="B963" s="163"/>
      <c r="C963" s="163"/>
      <c r="D963" s="164"/>
    </row>
    <row r="964" spans="1:4" ht="34.5" hidden="1" customHeight="1" thickBot="1">
      <c r="A964" s="142" t="s">
        <v>11</v>
      </c>
      <c r="B964" s="143"/>
      <c r="C964" s="165" t="s">
        <v>12</v>
      </c>
      <c r="D964" s="143"/>
    </row>
    <row r="965" spans="1:4" ht="34.5" hidden="1" customHeight="1" thickBot="1">
      <c r="A965" s="137" t="s">
        <v>364</v>
      </c>
      <c r="B965" s="138"/>
      <c r="C965" s="138"/>
      <c r="D965" s="139"/>
    </row>
    <row r="966" spans="1:4" ht="34.5" hidden="1" customHeight="1" thickBot="1">
      <c r="A966" s="34" t="s">
        <v>487</v>
      </c>
      <c r="B966" s="32" t="s">
        <v>438</v>
      </c>
      <c r="C966" s="34">
        <v>22</v>
      </c>
      <c r="D966" s="32" t="s">
        <v>0</v>
      </c>
    </row>
    <row r="967" spans="1:4" ht="34.5" hidden="1" customHeight="1" thickBot="1">
      <c r="A967" s="37" t="s">
        <v>13</v>
      </c>
      <c r="B967" s="36" t="s">
        <v>1</v>
      </c>
      <c r="C967" s="34" t="s">
        <v>14</v>
      </c>
      <c r="D967" s="32" t="s">
        <v>2</v>
      </c>
    </row>
    <row r="968" spans="1:4" ht="34.5" hidden="1" customHeight="1" thickBot="1">
      <c r="A968" s="140">
        <v>0</v>
      </c>
      <c r="B968" s="141"/>
      <c r="C968" s="142" t="s">
        <v>3</v>
      </c>
      <c r="D968" s="143"/>
    </row>
    <row r="969" spans="1:4" ht="34.5" hidden="1" customHeight="1" thickBot="1">
      <c r="A969" s="140">
        <v>0</v>
      </c>
      <c r="B969" s="141"/>
      <c r="C969" s="144" t="s">
        <v>4</v>
      </c>
      <c r="D969" s="145"/>
    </row>
    <row r="970" spans="1:4" ht="34.5" hidden="1" customHeight="1" thickBot="1">
      <c r="A970" s="146">
        <f>A969-A968</f>
        <v>0</v>
      </c>
      <c r="B970" s="147"/>
      <c r="C970" s="148"/>
      <c r="D970" s="35" t="s">
        <v>5</v>
      </c>
    </row>
    <row r="971" spans="1:4" ht="34.5" hidden="1" customHeight="1" thickBot="1">
      <c r="A971" s="149">
        <v>50</v>
      </c>
      <c r="B971" s="150"/>
      <c r="C971" s="151"/>
      <c r="D971" s="35" t="s">
        <v>6</v>
      </c>
    </row>
    <row r="972" spans="1:4" ht="34.5" hidden="1" customHeight="1" thickBot="1">
      <c r="A972" s="144">
        <f>A971*A970</f>
        <v>0</v>
      </c>
      <c r="B972" s="152"/>
      <c r="C972" s="145"/>
      <c r="D972" s="35" t="s">
        <v>7</v>
      </c>
    </row>
    <row r="973" spans="1:4" ht="34.5" hidden="1" customHeight="1" thickBot="1">
      <c r="A973" s="144">
        <v>0</v>
      </c>
      <c r="B973" s="152"/>
      <c r="C973" s="145"/>
      <c r="D973" s="35" t="s">
        <v>437</v>
      </c>
    </row>
    <row r="974" spans="1:4" ht="34.5" hidden="1" customHeight="1" thickBot="1">
      <c r="A974" s="34">
        <v>0</v>
      </c>
      <c r="B974" s="32" t="s">
        <v>8</v>
      </c>
      <c r="C974" s="33">
        <v>1250</v>
      </c>
      <c r="D974" s="32" t="s">
        <v>9</v>
      </c>
    </row>
    <row r="975" spans="1:4" ht="34.5" hidden="1" customHeight="1" thickBot="1">
      <c r="A975" s="153" t="s">
        <v>436</v>
      </c>
      <c r="B975" s="154"/>
      <c r="C975" s="154"/>
      <c r="D975" s="155"/>
    </row>
    <row r="976" spans="1:4" ht="34.5" hidden="1" customHeight="1" thickBot="1">
      <c r="A976" s="156" t="s">
        <v>435</v>
      </c>
      <c r="B976" s="157"/>
      <c r="C976" s="157"/>
      <c r="D976" s="158"/>
    </row>
    <row r="977" spans="1:4" ht="34.5" hidden="1" customHeight="1" thickBot="1">
      <c r="A977" s="40"/>
      <c r="B977" s="39"/>
      <c r="C977" s="39"/>
      <c r="D977" s="38"/>
    </row>
    <row r="978" spans="1:4" ht="34.5" hidden="1" customHeight="1">
      <c r="A978" s="159" t="s">
        <v>442</v>
      </c>
      <c r="B978" s="160" t="s">
        <v>441</v>
      </c>
      <c r="C978" s="160"/>
      <c r="D978" s="161"/>
    </row>
    <row r="979" spans="1:4" ht="34.5" hidden="1" customHeight="1" thickBot="1">
      <c r="A979" s="162"/>
      <c r="B979" s="163"/>
      <c r="C979" s="163"/>
      <c r="D979" s="164"/>
    </row>
    <row r="980" spans="1:4" ht="34.5" hidden="1" customHeight="1" thickBot="1">
      <c r="A980" s="142" t="s">
        <v>11</v>
      </c>
      <c r="B980" s="143"/>
      <c r="C980" s="165" t="s">
        <v>12</v>
      </c>
      <c r="D980" s="143"/>
    </row>
    <row r="981" spans="1:4" ht="34.5" hidden="1" customHeight="1" thickBot="1">
      <c r="A981" s="137" t="s">
        <v>364</v>
      </c>
      <c r="B981" s="138"/>
      <c r="C981" s="138"/>
      <c r="D981" s="139"/>
    </row>
    <row r="982" spans="1:4" ht="34.5" hidden="1" customHeight="1" thickBot="1">
      <c r="A982" s="34" t="s">
        <v>487</v>
      </c>
      <c r="B982" s="32" t="s">
        <v>438</v>
      </c>
      <c r="C982" s="34">
        <v>22</v>
      </c>
      <c r="D982" s="32" t="s">
        <v>0</v>
      </c>
    </row>
    <row r="983" spans="1:4" ht="34.5" hidden="1" customHeight="1" thickBot="1">
      <c r="A983" s="37" t="s">
        <v>13</v>
      </c>
      <c r="B983" s="36" t="s">
        <v>1</v>
      </c>
      <c r="C983" s="34" t="s">
        <v>14</v>
      </c>
      <c r="D983" s="32" t="s">
        <v>2</v>
      </c>
    </row>
    <row r="984" spans="1:4" ht="34.5" hidden="1" customHeight="1" thickBot="1">
      <c r="A984" s="140">
        <v>0</v>
      </c>
      <c r="B984" s="141"/>
      <c r="C984" s="142" t="s">
        <v>3</v>
      </c>
      <c r="D984" s="143"/>
    </row>
    <row r="985" spans="1:4" ht="34.5" hidden="1" customHeight="1" thickBot="1">
      <c r="A985" s="140">
        <v>0</v>
      </c>
      <c r="B985" s="141"/>
      <c r="C985" s="144" t="s">
        <v>4</v>
      </c>
      <c r="D985" s="145"/>
    </row>
    <row r="986" spans="1:4" ht="34.5" hidden="1" customHeight="1" thickBot="1">
      <c r="A986" s="146">
        <f>A985-A984</f>
        <v>0</v>
      </c>
      <c r="B986" s="147"/>
      <c r="C986" s="148"/>
      <c r="D986" s="35" t="s">
        <v>5</v>
      </c>
    </row>
    <row r="987" spans="1:4" ht="34.5" hidden="1" customHeight="1" thickBot="1">
      <c r="A987" s="149">
        <v>50</v>
      </c>
      <c r="B987" s="150"/>
      <c r="C987" s="151"/>
      <c r="D987" s="35" t="s">
        <v>6</v>
      </c>
    </row>
    <row r="988" spans="1:4" ht="34.5" hidden="1" customHeight="1" thickBot="1">
      <c r="A988" s="144">
        <f>A987*A986</f>
        <v>0</v>
      </c>
      <c r="B988" s="152"/>
      <c r="C988" s="145"/>
      <c r="D988" s="35" t="s">
        <v>7</v>
      </c>
    </row>
    <row r="989" spans="1:4" ht="34.5" hidden="1" customHeight="1" thickBot="1">
      <c r="A989" s="144">
        <v>0</v>
      </c>
      <c r="B989" s="152"/>
      <c r="C989" s="145"/>
      <c r="D989" s="35" t="s">
        <v>437</v>
      </c>
    </row>
    <row r="990" spans="1:4" ht="34.5" hidden="1" customHeight="1" thickBot="1">
      <c r="A990" s="34">
        <v>0</v>
      </c>
      <c r="B990" s="32" t="s">
        <v>8</v>
      </c>
      <c r="C990" s="33">
        <v>1250</v>
      </c>
      <c r="D990" s="32" t="s">
        <v>9</v>
      </c>
    </row>
    <row r="991" spans="1:4" ht="34.5" hidden="1" customHeight="1" thickBot="1">
      <c r="A991" s="153" t="s">
        <v>436</v>
      </c>
      <c r="B991" s="154"/>
      <c r="C991" s="154"/>
      <c r="D991" s="155"/>
    </row>
    <row r="992" spans="1:4" ht="34.5" hidden="1" customHeight="1" thickBot="1">
      <c r="A992" s="156" t="s">
        <v>435</v>
      </c>
      <c r="B992" s="157"/>
      <c r="C992" s="157"/>
      <c r="D992" s="158"/>
    </row>
    <row r="993" spans="1:4" ht="34.5" hidden="1" customHeight="1">
      <c r="A993" s="159" t="s">
        <v>442</v>
      </c>
      <c r="B993" s="160" t="s">
        <v>441</v>
      </c>
      <c r="C993" s="160"/>
      <c r="D993" s="161"/>
    </row>
    <row r="994" spans="1:4" ht="34.5" hidden="1" customHeight="1" thickBot="1">
      <c r="A994" s="162"/>
      <c r="B994" s="163"/>
      <c r="C994" s="163"/>
      <c r="D994" s="164"/>
    </row>
    <row r="995" spans="1:4" ht="34.5" hidden="1" customHeight="1" thickBot="1">
      <c r="A995" s="142" t="s">
        <v>11</v>
      </c>
      <c r="B995" s="143"/>
      <c r="C995" s="165" t="s">
        <v>12</v>
      </c>
      <c r="D995" s="143"/>
    </row>
    <row r="996" spans="1:4" ht="34.5" hidden="1" customHeight="1" thickBot="1">
      <c r="A996" s="137" t="s">
        <v>498</v>
      </c>
      <c r="B996" s="138"/>
      <c r="C996" s="138"/>
      <c r="D996" s="139"/>
    </row>
    <row r="997" spans="1:4" ht="34.5" hidden="1" customHeight="1" thickBot="1">
      <c r="A997" s="34" t="s">
        <v>487</v>
      </c>
      <c r="B997" s="32" t="s">
        <v>438</v>
      </c>
      <c r="C997" s="34">
        <v>33</v>
      </c>
      <c r="D997" s="32" t="s">
        <v>0</v>
      </c>
    </row>
    <row r="998" spans="1:4" ht="34.5" hidden="1" customHeight="1" thickBot="1">
      <c r="A998" s="37" t="s">
        <v>13</v>
      </c>
      <c r="B998" s="36" t="s">
        <v>1</v>
      </c>
      <c r="C998" s="34" t="s">
        <v>14</v>
      </c>
      <c r="D998" s="32" t="s">
        <v>2</v>
      </c>
    </row>
    <row r="999" spans="1:4" ht="34.5" hidden="1" customHeight="1" thickBot="1">
      <c r="A999" s="140">
        <v>0</v>
      </c>
      <c r="B999" s="141"/>
      <c r="C999" s="142" t="s">
        <v>3</v>
      </c>
      <c r="D999" s="143"/>
    </row>
    <row r="1000" spans="1:4" ht="34.5" hidden="1" customHeight="1" thickBot="1">
      <c r="A1000" s="140">
        <v>0</v>
      </c>
      <c r="B1000" s="141"/>
      <c r="C1000" s="144" t="s">
        <v>4</v>
      </c>
      <c r="D1000" s="145"/>
    </row>
    <row r="1001" spans="1:4" ht="34.5" hidden="1" customHeight="1" thickBot="1">
      <c r="A1001" s="146">
        <f>A1000-A999</f>
        <v>0</v>
      </c>
      <c r="B1001" s="147"/>
      <c r="C1001" s="148"/>
      <c r="D1001" s="35" t="s">
        <v>5</v>
      </c>
    </row>
    <row r="1002" spans="1:4" ht="34.5" hidden="1" customHeight="1" thickBot="1">
      <c r="A1002" s="149">
        <v>50</v>
      </c>
      <c r="B1002" s="150"/>
      <c r="C1002" s="151"/>
      <c r="D1002" s="35" t="s">
        <v>6</v>
      </c>
    </row>
    <row r="1003" spans="1:4" ht="34.5" hidden="1" customHeight="1" thickBot="1">
      <c r="A1003" s="144">
        <f>A1002*A1001</f>
        <v>0</v>
      </c>
      <c r="B1003" s="152"/>
      <c r="C1003" s="145"/>
      <c r="D1003" s="35" t="s">
        <v>7</v>
      </c>
    </row>
    <row r="1004" spans="1:4" ht="34.5" hidden="1" customHeight="1" thickBot="1">
      <c r="A1004" s="144">
        <v>0</v>
      </c>
      <c r="B1004" s="152"/>
      <c r="C1004" s="145"/>
      <c r="D1004" s="35" t="s">
        <v>437</v>
      </c>
    </row>
    <row r="1005" spans="1:4" ht="34.5" hidden="1" customHeight="1" thickBot="1">
      <c r="A1005" s="34">
        <v>0</v>
      </c>
      <c r="B1005" s="32" t="s">
        <v>8</v>
      </c>
      <c r="C1005" s="33">
        <v>2500</v>
      </c>
      <c r="D1005" s="32" t="s">
        <v>9</v>
      </c>
    </row>
    <row r="1006" spans="1:4" ht="34.5" hidden="1" customHeight="1" thickBot="1">
      <c r="A1006" s="153" t="s">
        <v>436</v>
      </c>
      <c r="B1006" s="154"/>
      <c r="C1006" s="154"/>
      <c r="D1006" s="155"/>
    </row>
    <row r="1007" spans="1:4" ht="34.5" hidden="1" customHeight="1" thickBot="1">
      <c r="A1007" s="156" t="s">
        <v>435</v>
      </c>
      <c r="B1007" s="157"/>
      <c r="C1007" s="157"/>
      <c r="D1007" s="158"/>
    </row>
    <row r="1008" spans="1:4" ht="34.5" hidden="1" customHeight="1" thickBot="1">
      <c r="A1008" s="40"/>
      <c r="B1008" s="39"/>
      <c r="C1008" s="39"/>
      <c r="D1008" s="38"/>
    </row>
    <row r="1009" spans="1:4" ht="34.5" hidden="1" customHeight="1">
      <c r="A1009" s="159" t="s">
        <v>442</v>
      </c>
      <c r="B1009" s="160" t="s">
        <v>441</v>
      </c>
      <c r="C1009" s="160"/>
      <c r="D1009" s="161"/>
    </row>
    <row r="1010" spans="1:4" ht="34.5" hidden="1" customHeight="1" thickBot="1">
      <c r="A1010" s="162"/>
      <c r="B1010" s="163"/>
      <c r="C1010" s="163"/>
      <c r="D1010" s="164"/>
    </row>
    <row r="1011" spans="1:4" ht="34.5" hidden="1" customHeight="1" thickBot="1">
      <c r="A1011" s="142" t="s">
        <v>11</v>
      </c>
      <c r="B1011" s="143"/>
      <c r="C1011" s="165" t="s">
        <v>12</v>
      </c>
      <c r="D1011" s="143"/>
    </row>
    <row r="1012" spans="1:4" ht="34.5" hidden="1" customHeight="1" thickBot="1">
      <c r="A1012" s="137" t="s">
        <v>498</v>
      </c>
      <c r="B1012" s="138"/>
      <c r="C1012" s="138"/>
      <c r="D1012" s="139"/>
    </row>
    <row r="1013" spans="1:4" ht="34.5" hidden="1" customHeight="1" thickBot="1">
      <c r="A1013" s="34" t="s">
        <v>487</v>
      </c>
      <c r="B1013" s="32" t="s">
        <v>438</v>
      </c>
      <c r="C1013" s="34">
        <v>33</v>
      </c>
      <c r="D1013" s="32" t="s">
        <v>0</v>
      </c>
    </row>
    <row r="1014" spans="1:4" ht="34.5" hidden="1" customHeight="1" thickBot="1">
      <c r="A1014" s="37" t="s">
        <v>13</v>
      </c>
      <c r="B1014" s="36" t="s">
        <v>1</v>
      </c>
      <c r="C1014" s="34" t="s">
        <v>14</v>
      </c>
      <c r="D1014" s="32" t="s">
        <v>2</v>
      </c>
    </row>
    <row r="1015" spans="1:4" ht="34.5" hidden="1" customHeight="1" thickBot="1">
      <c r="A1015" s="140">
        <v>0</v>
      </c>
      <c r="B1015" s="141"/>
      <c r="C1015" s="142" t="s">
        <v>3</v>
      </c>
      <c r="D1015" s="143"/>
    </row>
    <row r="1016" spans="1:4" ht="34.5" hidden="1" customHeight="1" thickBot="1">
      <c r="A1016" s="140">
        <v>0</v>
      </c>
      <c r="B1016" s="141"/>
      <c r="C1016" s="144" t="s">
        <v>4</v>
      </c>
      <c r="D1016" s="145"/>
    </row>
    <row r="1017" spans="1:4" ht="34.5" hidden="1" customHeight="1" thickBot="1">
      <c r="A1017" s="146">
        <f>A1016-A1015</f>
        <v>0</v>
      </c>
      <c r="B1017" s="147"/>
      <c r="C1017" s="148"/>
      <c r="D1017" s="35" t="s">
        <v>5</v>
      </c>
    </row>
    <row r="1018" spans="1:4" ht="34.5" hidden="1" customHeight="1" thickBot="1">
      <c r="A1018" s="149">
        <v>50</v>
      </c>
      <c r="B1018" s="150"/>
      <c r="C1018" s="151"/>
      <c r="D1018" s="35" t="s">
        <v>6</v>
      </c>
    </row>
    <row r="1019" spans="1:4" ht="34.5" hidden="1" customHeight="1" thickBot="1">
      <c r="A1019" s="144">
        <f>A1018*A1017</f>
        <v>0</v>
      </c>
      <c r="B1019" s="152"/>
      <c r="C1019" s="145"/>
      <c r="D1019" s="35" t="s">
        <v>7</v>
      </c>
    </row>
    <row r="1020" spans="1:4" ht="34.5" hidden="1" customHeight="1" thickBot="1">
      <c r="A1020" s="144">
        <v>0</v>
      </c>
      <c r="B1020" s="152"/>
      <c r="C1020" s="145"/>
      <c r="D1020" s="35" t="s">
        <v>437</v>
      </c>
    </row>
    <row r="1021" spans="1:4" ht="34.5" hidden="1" customHeight="1" thickBot="1">
      <c r="A1021" s="34">
        <v>0</v>
      </c>
      <c r="B1021" s="32" t="s">
        <v>8</v>
      </c>
      <c r="C1021" s="33">
        <v>2500</v>
      </c>
      <c r="D1021" s="32" t="s">
        <v>9</v>
      </c>
    </row>
    <row r="1022" spans="1:4" ht="34.5" hidden="1" customHeight="1" thickBot="1">
      <c r="A1022" s="153" t="s">
        <v>436</v>
      </c>
      <c r="B1022" s="154"/>
      <c r="C1022" s="154"/>
      <c r="D1022" s="155"/>
    </row>
    <row r="1023" spans="1:4" ht="34.5" hidden="1" customHeight="1" thickBot="1">
      <c r="A1023" s="156" t="s">
        <v>435</v>
      </c>
      <c r="B1023" s="157"/>
      <c r="C1023" s="157"/>
      <c r="D1023" s="158"/>
    </row>
    <row r="1024" spans="1:4" ht="34.5" hidden="1" customHeight="1">
      <c r="A1024" s="159" t="s">
        <v>442</v>
      </c>
      <c r="B1024" s="160" t="s">
        <v>441</v>
      </c>
      <c r="C1024" s="160"/>
      <c r="D1024" s="161"/>
    </row>
    <row r="1025" spans="1:4" ht="34.5" hidden="1" customHeight="1" thickBot="1">
      <c r="A1025" s="162"/>
      <c r="B1025" s="163"/>
      <c r="C1025" s="163"/>
      <c r="D1025" s="164"/>
    </row>
    <row r="1026" spans="1:4" ht="34.5" hidden="1" customHeight="1" thickBot="1">
      <c r="A1026" s="142" t="s">
        <v>11</v>
      </c>
      <c r="B1026" s="143"/>
      <c r="C1026" s="165" t="s">
        <v>12</v>
      </c>
      <c r="D1026" s="143"/>
    </row>
    <row r="1027" spans="1:4" ht="34.5" hidden="1" customHeight="1" thickBot="1">
      <c r="A1027" s="137" t="s">
        <v>497</v>
      </c>
      <c r="B1027" s="138"/>
      <c r="C1027" s="138"/>
      <c r="D1027" s="139"/>
    </row>
    <row r="1028" spans="1:4" ht="34.5" hidden="1" customHeight="1" thickBot="1">
      <c r="A1028" s="34" t="s">
        <v>487</v>
      </c>
      <c r="B1028" s="32" t="s">
        <v>438</v>
      </c>
      <c r="C1028" s="34">
        <v>34</v>
      </c>
      <c r="D1028" s="32" t="s">
        <v>0</v>
      </c>
    </row>
    <row r="1029" spans="1:4" ht="34.5" hidden="1" customHeight="1" thickBot="1">
      <c r="A1029" s="37" t="s">
        <v>13</v>
      </c>
      <c r="B1029" s="36" t="s">
        <v>1</v>
      </c>
      <c r="C1029" s="34" t="s">
        <v>14</v>
      </c>
      <c r="D1029" s="32" t="s">
        <v>2</v>
      </c>
    </row>
    <row r="1030" spans="1:4" ht="34.5" hidden="1" customHeight="1" thickBot="1">
      <c r="A1030" s="140">
        <v>0</v>
      </c>
      <c r="B1030" s="141"/>
      <c r="C1030" s="142" t="s">
        <v>3</v>
      </c>
      <c r="D1030" s="143"/>
    </row>
    <row r="1031" spans="1:4" ht="34.5" hidden="1" customHeight="1" thickBot="1">
      <c r="A1031" s="140">
        <v>0</v>
      </c>
      <c r="B1031" s="141"/>
      <c r="C1031" s="144" t="s">
        <v>4</v>
      </c>
      <c r="D1031" s="145"/>
    </row>
    <row r="1032" spans="1:4" ht="34.5" hidden="1" customHeight="1" thickBot="1">
      <c r="A1032" s="146">
        <f>A1031-A1030</f>
        <v>0</v>
      </c>
      <c r="B1032" s="147"/>
      <c r="C1032" s="148"/>
      <c r="D1032" s="35" t="s">
        <v>5</v>
      </c>
    </row>
    <row r="1033" spans="1:4" ht="34.5" hidden="1" customHeight="1" thickBot="1">
      <c r="A1033" s="149">
        <v>50</v>
      </c>
      <c r="B1033" s="150"/>
      <c r="C1033" s="151"/>
      <c r="D1033" s="35" t="s">
        <v>6</v>
      </c>
    </row>
    <row r="1034" spans="1:4" ht="34.5" hidden="1" customHeight="1" thickBot="1">
      <c r="A1034" s="144">
        <f>A1033*A1032</f>
        <v>0</v>
      </c>
      <c r="B1034" s="152"/>
      <c r="C1034" s="145"/>
      <c r="D1034" s="35" t="s">
        <v>7</v>
      </c>
    </row>
    <row r="1035" spans="1:4" ht="34.5" hidden="1" customHeight="1" thickBot="1">
      <c r="A1035" s="144">
        <v>0</v>
      </c>
      <c r="B1035" s="152"/>
      <c r="C1035" s="145"/>
      <c r="D1035" s="35" t="s">
        <v>437</v>
      </c>
    </row>
    <row r="1036" spans="1:4" ht="34.5" hidden="1" customHeight="1" thickBot="1">
      <c r="A1036" s="34">
        <v>0</v>
      </c>
      <c r="B1036" s="32" t="s">
        <v>8</v>
      </c>
      <c r="C1036" s="33">
        <v>1850</v>
      </c>
      <c r="D1036" s="32" t="s">
        <v>9</v>
      </c>
    </row>
    <row r="1037" spans="1:4" ht="34.5" hidden="1" customHeight="1" thickBot="1">
      <c r="A1037" s="153" t="s">
        <v>436</v>
      </c>
      <c r="B1037" s="154"/>
      <c r="C1037" s="154"/>
      <c r="D1037" s="155"/>
    </row>
    <row r="1038" spans="1:4" ht="34.5" hidden="1" customHeight="1" thickBot="1">
      <c r="A1038" s="156" t="s">
        <v>435</v>
      </c>
      <c r="B1038" s="157"/>
      <c r="C1038" s="157"/>
      <c r="D1038" s="158"/>
    </row>
    <row r="1039" spans="1:4" ht="34.5" hidden="1" customHeight="1" thickBot="1">
      <c r="A1039" s="40"/>
      <c r="B1039" s="39"/>
      <c r="C1039" s="39"/>
      <c r="D1039" s="38"/>
    </row>
    <row r="1040" spans="1:4" ht="34.5" hidden="1" customHeight="1">
      <c r="A1040" s="159" t="s">
        <v>442</v>
      </c>
      <c r="B1040" s="160" t="s">
        <v>441</v>
      </c>
      <c r="C1040" s="160"/>
      <c r="D1040" s="161"/>
    </row>
    <row r="1041" spans="1:4" ht="34.5" hidden="1" customHeight="1" thickBot="1">
      <c r="A1041" s="162"/>
      <c r="B1041" s="163"/>
      <c r="C1041" s="163"/>
      <c r="D1041" s="164"/>
    </row>
    <row r="1042" spans="1:4" ht="34.5" hidden="1" customHeight="1" thickBot="1">
      <c r="A1042" s="142" t="s">
        <v>11</v>
      </c>
      <c r="B1042" s="143"/>
      <c r="C1042" s="165" t="s">
        <v>12</v>
      </c>
      <c r="D1042" s="143"/>
    </row>
    <row r="1043" spans="1:4" ht="34.5" hidden="1" customHeight="1" thickBot="1">
      <c r="A1043" s="137" t="s">
        <v>497</v>
      </c>
      <c r="B1043" s="138"/>
      <c r="C1043" s="138"/>
      <c r="D1043" s="139"/>
    </row>
    <row r="1044" spans="1:4" ht="34.5" hidden="1" customHeight="1" thickBot="1">
      <c r="A1044" s="34" t="s">
        <v>487</v>
      </c>
      <c r="B1044" s="32" t="s">
        <v>438</v>
      </c>
      <c r="C1044" s="34">
        <v>34</v>
      </c>
      <c r="D1044" s="32" t="s">
        <v>0</v>
      </c>
    </row>
    <row r="1045" spans="1:4" ht="34.5" hidden="1" customHeight="1" thickBot="1">
      <c r="A1045" s="37" t="s">
        <v>13</v>
      </c>
      <c r="B1045" s="36" t="s">
        <v>1</v>
      </c>
      <c r="C1045" s="34" t="s">
        <v>14</v>
      </c>
      <c r="D1045" s="32" t="s">
        <v>2</v>
      </c>
    </row>
    <row r="1046" spans="1:4" ht="34.5" hidden="1" customHeight="1" thickBot="1">
      <c r="A1046" s="140">
        <v>0</v>
      </c>
      <c r="B1046" s="141"/>
      <c r="C1046" s="142" t="s">
        <v>3</v>
      </c>
      <c r="D1046" s="143"/>
    </row>
    <row r="1047" spans="1:4" ht="34.5" hidden="1" customHeight="1" thickBot="1">
      <c r="A1047" s="140">
        <v>0</v>
      </c>
      <c r="B1047" s="141"/>
      <c r="C1047" s="144" t="s">
        <v>4</v>
      </c>
      <c r="D1047" s="145"/>
    </row>
    <row r="1048" spans="1:4" ht="34.5" hidden="1" customHeight="1" thickBot="1">
      <c r="A1048" s="146">
        <f>A1047-A1046</f>
        <v>0</v>
      </c>
      <c r="B1048" s="147"/>
      <c r="C1048" s="148"/>
      <c r="D1048" s="35" t="s">
        <v>5</v>
      </c>
    </row>
    <row r="1049" spans="1:4" ht="34.5" hidden="1" customHeight="1" thickBot="1">
      <c r="A1049" s="149">
        <v>50</v>
      </c>
      <c r="B1049" s="150"/>
      <c r="C1049" s="151"/>
      <c r="D1049" s="35" t="s">
        <v>6</v>
      </c>
    </row>
    <row r="1050" spans="1:4" ht="34.5" hidden="1" customHeight="1" thickBot="1">
      <c r="A1050" s="144">
        <f>A1049*A1048</f>
        <v>0</v>
      </c>
      <c r="B1050" s="152"/>
      <c r="C1050" s="145"/>
      <c r="D1050" s="35" t="s">
        <v>7</v>
      </c>
    </row>
    <row r="1051" spans="1:4" ht="34.5" hidden="1" customHeight="1" thickBot="1">
      <c r="A1051" s="144">
        <v>0</v>
      </c>
      <c r="B1051" s="152"/>
      <c r="C1051" s="145"/>
      <c r="D1051" s="35" t="s">
        <v>437</v>
      </c>
    </row>
    <row r="1052" spans="1:4" ht="34.5" hidden="1" customHeight="1" thickBot="1">
      <c r="A1052" s="34">
        <v>0</v>
      </c>
      <c r="B1052" s="32" t="s">
        <v>8</v>
      </c>
      <c r="C1052" s="33">
        <v>1850</v>
      </c>
      <c r="D1052" s="32" t="s">
        <v>9</v>
      </c>
    </row>
    <row r="1053" spans="1:4" ht="34.5" hidden="1" customHeight="1" thickBot="1">
      <c r="A1053" s="153" t="s">
        <v>436</v>
      </c>
      <c r="B1053" s="154"/>
      <c r="C1053" s="154"/>
      <c r="D1053" s="155"/>
    </row>
    <row r="1054" spans="1:4" ht="34.5" hidden="1" customHeight="1" thickBot="1">
      <c r="A1054" s="156" t="s">
        <v>435</v>
      </c>
      <c r="B1054" s="157"/>
      <c r="C1054" s="157"/>
      <c r="D1054" s="158"/>
    </row>
    <row r="1055" spans="1:4" ht="34.5" hidden="1" customHeight="1">
      <c r="A1055" s="159" t="s">
        <v>442</v>
      </c>
      <c r="B1055" s="160" t="s">
        <v>441</v>
      </c>
      <c r="C1055" s="160"/>
      <c r="D1055" s="161"/>
    </row>
    <row r="1056" spans="1:4" ht="34.5" hidden="1" customHeight="1" thickBot="1">
      <c r="A1056" s="162"/>
      <c r="B1056" s="163"/>
      <c r="C1056" s="163"/>
      <c r="D1056" s="164"/>
    </row>
    <row r="1057" spans="1:4" ht="34.5" hidden="1" customHeight="1" thickBot="1">
      <c r="A1057" s="142" t="s">
        <v>11</v>
      </c>
      <c r="B1057" s="143"/>
      <c r="C1057" s="165" t="s">
        <v>12</v>
      </c>
      <c r="D1057" s="143"/>
    </row>
    <row r="1058" spans="1:4" ht="34.5" hidden="1" customHeight="1" thickBot="1">
      <c r="A1058" s="137" t="s">
        <v>496</v>
      </c>
      <c r="B1058" s="138"/>
      <c r="C1058" s="138"/>
      <c r="D1058" s="139"/>
    </row>
    <row r="1059" spans="1:4" ht="34.5" hidden="1" customHeight="1" thickBot="1">
      <c r="A1059" s="34" t="s">
        <v>487</v>
      </c>
      <c r="B1059" s="32" t="s">
        <v>438</v>
      </c>
      <c r="C1059" s="34">
        <v>35</v>
      </c>
      <c r="D1059" s="32" t="s">
        <v>0</v>
      </c>
    </row>
    <row r="1060" spans="1:4" ht="34.5" hidden="1" customHeight="1" thickBot="1">
      <c r="A1060" s="37" t="s">
        <v>13</v>
      </c>
      <c r="B1060" s="36" t="s">
        <v>1</v>
      </c>
      <c r="C1060" s="34" t="s">
        <v>14</v>
      </c>
      <c r="D1060" s="32" t="s">
        <v>2</v>
      </c>
    </row>
    <row r="1061" spans="1:4" ht="34.5" hidden="1" customHeight="1" thickBot="1">
      <c r="A1061" s="140">
        <v>0</v>
      </c>
      <c r="B1061" s="141"/>
      <c r="C1061" s="142" t="s">
        <v>3</v>
      </c>
      <c r="D1061" s="143"/>
    </row>
    <row r="1062" spans="1:4" ht="34.5" hidden="1" customHeight="1" thickBot="1">
      <c r="A1062" s="140">
        <v>0</v>
      </c>
      <c r="B1062" s="141"/>
      <c r="C1062" s="144" t="s">
        <v>4</v>
      </c>
      <c r="D1062" s="145"/>
    </row>
    <row r="1063" spans="1:4" ht="34.5" hidden="1" customHeight="1" thickBot="1">
      <c r="A1063" s="146">
        <f>A1062-A1061</f>
        <v>0</v>
      </c>
      <c r="B1063" s="147"/>
      <c r="C1063" s="148"/>
      <c r="D1063" s="35" t="s">
        <v>5</v>
      </c>
    </row>
    <row r="1064" spans="1:4" ht="34.5" hidden="1" customHeight="1" thickBot="1">
      <c r="A1064" s="149">
        <v>50</v>
      </c>
      <c r="B1064" s="150"/>
      <c r="C1064" s="151"/>
      <c r="D1064" s="35" t="s">
        <v>6</v>
      </c>
    </row>
    <row r="1065" spans="1:4" ht="34.5" hidden="1" customHeight="1" thickBot="1">
      <c r="A1065" s="144">
        <f>A1064*A1063</f>
        <v>0</v>
      </c>
      <c r="B1065" s="152"/>
      <c r="C1065" s="145"/>
      <c r="D1065" s="35" t="s">
        <v>7</v>
      </c>
    </row>
    <row r="1066" spans="1:4" ht="34.5" hidden="1" customHeight="1" thickBot="1">
      <c r="A1066" s="144">
        <v>0</v>
      </c>
      <c r="B1066" s="152"/>
      <c r="C1066" s="145"/>
      <c r="D1066" s="35" t="s">
        <v>437</v>
      </c>
    </row>
    <row r="1067" spans="1:4" ht="34.5" hidden="1" customHeight="1" thickBot="1">
      <c r="A1067" s="34">
        <v>0</v>
      </c>
      <c r="B1067" s="32" t="s">
        <v>8</v>
      </c>
      <c r="C1067" s="33">
        <v>1000</v>
      </c>
      <c r="D1067" s="32" t="s">
        <v>9</v>
      </c>
    </row>
    <row r="1068" spans="1:4" ht="34.5" hidden="1" customHeight="1" thickBot="1">
      <c r="A1068" s="153" t="s">
        <v>436</v>
      </c>
      <c r="B1068" s="154"/>
      <c r="C1068" s="154"/>
      <c r="D1068" s="155"/>
    </row>
    <row r="1069" spans="1:4" ht="34.5" hidden="1" customHeight="1" thickBot="1">
      <c r="A1069" s="156" t="s">
        <v>435</v>
      </c>
      <c r="B1069" s="157"/>
      <c r="C1069" s="157"/>
      <c r="D1069" s="158"/>
    </row>
    <row r="1070" spans="1:4" ht="34.5" hidden="1" customHeight="1" thickBot="1">
      <c r="A1070" s="40"/>
      <c r="B1070" s="39"/>
      <c r="C1070" s="39"/>
      <c r="D1070" s="38"/>
    </row>
    <row r="1071" spans="1:4" ht="34.5" hidden="1" customHeight="1">
      <c r="A1071" s="159" t="s">
        <v>442</v>
      </c>
      <c r="B1071" s="160" t="s">
        <v>441</v>
      </c>
      <c r="C1071" s="160"/>
      <c r="D1071" s="161"/>
    </row>
    <row r="1072" spans="1:4" ht="34.5" hidden="1" customHeight="1" thickBot="1">
      <c r="A1072" s="162"/>
      <c r="B1072" s="163"/>
      <c r="C1072" s="163"/>
      <c r="D1072" s="164"/>
    </row>
    <row r="1073" spans="1:4" ht="34.5" hidden="1" customHeight="1" thickBot="1">
      <c r="A1073" s="142" t="s">
        <v>11</v>
      </c>
      <c r="B1073" s="143"/>
      <c r="C1073" s="165" t="s">
        <v>12</v>
      </c>
      <c r="D1073" s="143"/>
    </row>
    <row r="1074" spans="1:4" ht="34.5" hidden="1" customHeight="1" thickBot="1">
      <c r="A1074" s="137" t="s">
        <v>496</v>
      </c>
      <c r="B1074" s="138"/>
      <c r="C1074" s="138"/>
      <c r="D1074" s="139"/>
    </row>
    <row r="1075" spans="1:4" ht="34.5" hidden="1" customHeight="1" thickBot="1">
      <c r="A1075" s="34" t="s">
        <v>487</v>
      </c>
      <c r="B1075" s="32" t="s">
        <v>438</v>
      </c>
      <c r="C1075" s="34">
        <v>35</v>
      </c>
      <c r="D1075" s="32" t="s">
        <v>0</v>
      </c>
    </row>
    <row r="1076" spans="1:4" ht="34.5" hidden="1" customHeight="1" thickBot="1">
      <c r="A1076" s="37" t="s">
        <v>13</v>
      </c>
      <c r="B1076" s="36" t="s">
        <v>1</v>
      </c>
      <c r="C1076" s="34" t="s">
        <v>14</v>
      </c>
      <c r="D1076" s="32" t="s">
        <v>2</v>
      </c>
    </row>
    <row r="1077" spans="1:4" ht="34.5" hidden="1" customHeight="1" thickBot="1">
      <c r="A1077" s="140">
        <v>0</v>
      </c>
      <c r="B1077" s="141"/>
      <c r="C1077" s="142" t="s">
        <v>3</v>
      </c>
      <c r="D1077" s="143"/>
    </row>
    <row r="1078" spans="1:4" ht="34.5" hidden="1" customHeight="1" thickBot="1">
      <c r="A1078" s="140">
        <v>0</v>
      </c>
      <c r="B1078" s="141"/>
      <c r="C1078" s="144" t="s">
        <v>4</v>
      </c>
      <c r="D1078" s="145"/>
    </row>
    <row r="1079" spans="1:4" ht="34.5" hidden="1" customHeight="1" thickBot="1">
      <c r="A1079" s="146">
        <f>A1078-A1077</f>
        <v>0</v>
      </c>
      <c r="B1079" s="147"/>
      <c r="C1079" s="148"/>
      <c r="D1079" s="35" t="s">
        <v>5</v>
      </c>
    </row>
    <row r="1080" spans="1:4" ht="34.5" hidden="1" customHeight="1" thickBot="1">
      <c r="A1080" s="149">
        <v>50</v>
      </c>
      <c r="B1080" s="150"/>
      <c r="C1080" s="151"/>
      <c r="D1080" s="35" t="s">
        <v>6</v>
      </c>
    </row>
    <row r="1081" spans="1:4" ht="34.5" hidden="1" customHeight="1" thickBot="1">
      <c r="A1081" s="144">
        <f>A1080*A1079</f>
        <v>0</v>
      </c>
      <c r="B1081" s="152"/>
      <c r="C1081" s="145"/>
      <c r="D1081" s="35" t="s">
        <v>7</v>
      </c>
    </row>
    <row r="1082" spans="1:4" ht="34.5" hidden="1" customHeight="1" thickBot="1">
      <c r="A1082" s="144">
        <v>0</v>
      </c>
      <c r="B1082" s="152"/>
      <c r="C1082" s="145"/>
      <c r="D1082" s="35" t="s">
        <v>437</v>
      </c>
    </row>
    <row r="1083" spans="1:4" ht="34.5" hidden="1" customHeight="1" thickBot="1">
      <c r="A1083" s="34">
        <v>0</v>
      </c>
      <c r="B1083" s="32" t="s">
        <v>8</v>
      </c>
      <c r="C1083" s="33">
        <v>1000</v>
      </c>
      <c r="D1083" s="32" t="s">
        <v>9</v>
      </c>
    </row>
    <row r="1084" spans="1:4" ht="34.5" hidden="1" customHeight="1" thickBot="1">
      <c r="A1084" s="153" t="s">
        <v>436</v>
      </c>
      <c r="B1084" s="154"/>
      <c r="C1084" s="154"/>
      <c r="D1084" s="155"/>
    </row>
    <row r="1085" spans="1:4" ht="34.5" hidden="1" customHeight="1" thickBot="1">
      <c r="A1085" s="156" t="s">
        <v>435</v>
      </c>
      <c r="B1085" s="157"/>
      <c r="C1085" s="157"/>
      <c r="D1085" s="158"/>
    </row>
    <row r="1086" spans="1:4" ht="34.5" hidden="1" customHeight="1">
      <c r="A1086" s="159" t="s">
        <v>442</v>
      </c>
      <c r="B1086" s="160" t="s">
        <v>441</v>
      </c>
      <c r="C1086" s="160"/>
      <c r="D1086" s="161"/>
    </row>
    <row r="1087" spans="1:4" ht="34.5" hidden="1" customHeight="1" thickBot="1">
      <c r="A1087" s="162"/>
      <c r="B1087" s="163"/>
      <c r="C1087" s="163"/>
      <c r="D1087" s="164"/>
    </row>
    <row r="1088" spans="1:4" ht="34.5" hidden="1" customHeight="1" thickBot="1">
      <c r="A1088" s="142" t="s">
        <v>11</v>
      </c>
      <c r="B1088" s="143"/>
      <c r="C1088" s="165" t="s">
        <v>12</v>
      </c>
      <c r="D1088" s="143"/>
    </row>
    <row r="1089" spans="1:4" ht="34.5" hidden="1" customHeight="1" thickBot="1">
      <c r="A1089" s="137" t="s">
        <v>123</v>
      </c>
      <c r="B1089" s="138"/>
      <c r="C1089" s="138"/>
      <c r="D1089" s="139"/>
    </row>
    <row r="1090" spans="1:4" ht="34.5" hidden="1" customHeight="1" thickBot="1">
      <c r="A1090" s="34" t="s">
        <v>487</v>
      </c>
      <c r="B1090" s="32" t="s">
        <v>438</v>
      </c>
      <c r="C1090" s="34">
        <v>36</v>
      </c>
      <c r="D1090" s="32" t="s">
        <v>0</v>
      </c>
    </row>
    <row r="1091" spans="1:4" ht="34.5" hidden="1" customHeight="1" thickBot="1">
      <c r="A1091" s="37" t="s">
        <v>13</v>
      </c>
      <c r="B1091" s="36" t="s">
        <v>1</v>
      </c>
      <c r="C1091" s="34" t="s">
        <v>14</v>
      </c>
      <c r="D1091" s="32" t="s">
        <v>2</v>
      </c>
    </row>
    <row r="1092" spans="1:4" ht="34.5" hidden="1" customHeight="1" thickBot="1">
      <c r="A1092" s="140">
        <v>0</v>
      </c>
      <c r="B1092" s="141"/>
      <c r="C1092" s="142" t="s">
        <v>3</v>
      </c>
      <c r="D1092" s="143"/>
    </row>
    <row r="1093" spans="1:4" ht="34.5" hidden="1" customHeight="1" thickBot="1">
      <c r="A1093" s="140">
        <v>0</v>
      </c>
      <c r="B1093" s="141"/>
      <c r="C1093" s="144" t="s">
        <v>4</v>
      </c>
      <c r="D1093" s="145"/>
    </row>
    <row r="1094" spans="1:4" ht="34.5" hidden="1" customHeight="1" thickBot="1">
      <c r="A1094" s="146">
        <f>A1093-A1092</f>
        <v>0</v>
      </c>
      <c r="B1094" s="147"/>
      <c r="C1094" s="148"/>
      <c r="D1094" s="35" t="s">
        <v>5</v>
      </c>
    </row>
    <row r="1095" spans="1:4" ht="34.5" hidden="1" customHeight="1" thickBot="1">
      <c r="A1095" s="149">
        <v>50</v>
      </c>
      <c r="B1095" s="150"/>
      <c r="C1095" s="151"/>
      <c r="D1095" s="35" t="s">
        <v>6</v>
      </c>
    </row>
    <row r="1096" spans="1:4" ht="34.5" hidden="1" customHeight="1" thickBot="1">
      <c r="A1096" s="144">
        <f>A1095*A1094</f>
        <v>0</v>
      </c>
      <c r="B1096" s="152"/>
      <c r="C1096" s="145"/>
      <c r="D1096" s="35" t="s">
        <v>7</v>
      </c>
    </row>
    <row r="1097" spans="1:4" ht="34.5" hidden="1" customHeight="1" thickBot="1">
      <c r="A1097" s="144">
        <v>0</v>
      </c>
      <c r="B1097" s="152"/>
      <c r="C1097" s="145"/>
      <c r="D1097" s="35" t="s">
        <v>437</v>
      </c>
    </row>
    <row r="1098" spans="1:4" ht="34.5" hidden="1" customHeight="1" thickBot="1">
      <c r="A1098" s="34">
        <v>0</v>
      </c>
      <c r="B1098" s="32" t="s">
        <v>8</v>
      </c>
      <c r="C1098" s="33">
        <v>950</v>
      </c>
      <c r="D1098" s="32" t="s">
        <v>9</v>
      </c>
    </row>
    <row r="1099" spans="1:4" ht="34.5" hidden="1" customHeight="1" thickBot="1">
      <c r="A1099" s="153" t="s">
        <v>436</v>
      </c>
      <c r="B1099" s="154"/>
      <c r="C1099" s="154"/>
      <c r="D1099" s="155"/>
    </row>
    <row r="1100" spans="1:4" ht="34.5" hidden="1" customHeight="1" thickBot="1">
      <c r="A1100" s="156" t="s">
        <v>435</v>
      </c>
      <c r="B1100" s="157"/>
      <c r="C1100" s="157"/>
      <c r="D1100" s="158"/>
    </row>
    <row r="1101" spans="1:4" ht="34.5" hidden="1" customHeight="1" thickBot="1">
      <c r="A1101" s="40"/>
      <c r="B1101" s="39"/>
      <c r="C1101" s="39"/>
      <c r="D1101" s="38"/>
    </row>
    <row r="1102" spans="1:4" ht="34.5" hidden="1" customHeight="1">
      <c r="A1102" s="159" t="s">
        <v>442</v>
      </c>
      <c r="B1102" s="160" t="s">
        <v>441</v>
      </c>
      <c r="C1102" s="160"/>
      <c r="D1102" s="161"/>
    </row>
    <row r="1103" spans="1:4" ht="34.5" hidden="1" customHeight="1" thickBot="1">
      <c r="A1103" s="162"/>
      <c r="B1103" s="163"/>
      <c r="C1103" s="163"/>
      <c r="D1103" s="164"/>
    </row>
    <row r="1104" spans="1:4" ht="34.5" hidden="1" customHeight="1" thickBot="1">
      <c r="A1104" s="142" t="s">
        <v>11</v>
      </c>
      <c r="B1104" s="143"/>
      <c r="C1104" s="165" t="s">
        <v>12</v>
      </c>
      <c r="D1104" s="143"/>
    </row>
    <row r="1105" spans="1:4" ht="34.5" hidden="1" customHeight="1" thickBot="1">
      <c r="A1105" s="137" t="s">
        <v>123</v>
      </c>
      <c r="B1105" s="138"/>
      <c r="C1105" s="138"/>
      <c r="D1105" s="139"/>
    </row>
    <row r="1106" spans="1:4" ht="34.5" hidden="1" customHeight="1" thickBot="1">
      <c r="A1106" s="34" t="s">
        <v>487</v>
      </c>
      <c r="B1106" s="32" t="s">
        <v>438</v>
      </c>
      <c r="C1106" s="34">
        <v>36</v>
      </c>
      <c r="D1106" s="32" t="s">
        <v>0</v>
      </c>
    </row>
    <row r="1107" spans="1:4" ht="34.5" hidden="1" customHeight="1" thickBot="1">
      <c r="A1107" s="37" t="s">
        <v>13</v>
      </c>
      <c r="B1107" s="36" t="s">
        <v>1</v>
      </c>
      <c r="C1107" s="34" t="s">
        <v>14</v>
      </c>
      <c r="D1107" s="32" t="s">
        <v>2</v>
      </c>
    </row>
    <row r="1108" spans="1:4" ht="34.5" hidden="1" customHeight="1" thickBot="1">
      <c r="A1108" s="140">
        <v>0</v>
      </c>
      <c r="B1108" s="141"/>
      <c r="C1108" s="142" t="s">
        <v>3</v>
      </c>
      <c r="D1108" s="143"/>
    </row>
    <row r="1109" spans="1:4" ht="34.5" hidden="1" customHeight="1" thickBot="1">
      <c r="A1109" s="140">
        <v>0</v>
      </c>
      <c r="B1109" s="141"/>
      <c r="C1109" s="144" t="s">
        <v>4</v>
      </c>
      <c r="D1109" s="145"/>
    </row>
    <row r="1110" spans="1:4" ht="34.5" hidden="1" customHeight="1" thickBot="1">
      <c r="A1110" s="146">
        <f>A1109-A1108</f>
        <v>0</v>
      </c>
      <c r="B1110" s="147"/>
      <c r="C1110" s="148"/>
      <c r="D1110" s="35" t="s">
        <v>5</v>
      </c>
    </row>
    <row r="1111" spans="1:4" ht="34.5" hidden="1" customHeight="1" thickBot="1">
      <c r="A1111" s="149">
        <v>50</v>
      </c>
      <c r="B1111" s="150"/>
      <c r="C1111" s="151"/>
      <c r="D1111" s="35" t="s">
        <v>6</v>
      </c>
    </row>
    <row r="1112" spans="1:4" ht="34.5" hidden="1" customHeight="1" thickBot="1">
      <c r="A1112" s="144">
        <f>A1111*A1110</f>
        <v>0</v>
      </c>
      <c r="B1112" s="152"/>
      <c r="C1112" s="145"/>
      <c r="D1112" s="35" t="s">
        <v>7</v>
      </c>
    </row>
    <row r="1113" spans="1:4" ht="34.5" hidden="1" customHeight="1" thickBot="1">
      <c r="A1113" s="144">
        <v>0</v>
      </c>
      <c r="B1113" s="152"/>
      <c r="C1113" s="145"/>
      <c r="D1113" s="35" t="s">
        <v>437</v>
      </c>
    </row>
    <row r="1114" spans="1:4" ht="34.5" hidden="1" customHeight="1" thickBot="1">
      <c r="A1114" s="34">
        <v>0</v>
      </c>
      <c r="B1114" s="32" t="s">
        <v>8</v>
      </c>
      <c r="C1114" s="33">
        <v>950</v>
      </c>
      <c r="D1114" s="32" t="s">
        <v>9</v>
      </c>
    </row>
    <row r="1115" spans="1:4" ht="34.5" hidden="1" customHeight="1" thickBot="1">
      <c r="A1115" s="153" t="s">
        <v>436</v>
      </c>
      <c r="B1115" s="154"/>
      <c r="C1115" s="154"/>
      <c r="D1115" s="155"/>
    </row>
    <row r="1116" spans="1:4" ht="34.5" hidden="1" customHeight="1" thickBot="1">
      <c r="A1116" s="156" t="s">
        <v>435</v>
      </c>
      <c r="B1116" s="157"/>
      <c r="C1116" s="157"/>
      <c r="D1116" s="158"/>
    </row>
    <row r="1117" spans="1:4" ht="34.5" hidden="1" customHeight="1">
      <c r="A1117" s="159" t="s">
        <v>442</v>
      </c>
      <c r="B1117" s="160" t="s">
        <v>441</v>
      </c>
      <c r="C1117" s="160"/>
      <c r="D1117" s="161"/>
    </row>
    <row r="1118" spans="1:4" ht="34.5" hidden="1" customHeight="1" thickBot="1">
      <c r="A1118" s="162"/>
      <c r="B1118" s="163"/>
      <c r="C1118" s="163"/>
      <c r="D1118" s="164"/>
    </row>
    <row r="1119" spans="1:4" ht="34.5" hidden="1" customHeight="1" thickBot="1">
      <c r="A1119" s="142" t="s">
        <v>11</v>
      </c>
      <c r="B1119" s="143"/>
      <c r="C1119" s="165" t="s">
        <v>12</v>
      </c>
      <c r="D1119" s="143"/>
    </row>
    <row r="1120" spans="1:4" ht="34.5" hidden="1" customHeight="1" thickBot="1">
      <c r="A1120" s="137" t="s">
        <v>413</v>
      </c>
      <c r="B1120" s="138"/>
      <c r="C1120" s="138"/>
      <c r="D1120" s="139"/>
    </row>
    <row r="1121" spans="1:4" ht="34.5" hidden="1" customHeight="1" thickBot="1">
      <c r="A1121" s="34" t="s">
        <v>487</v>
      </c>
      <c r="B1121" s="32" t="s">
        <v>438</v>
      </c>
      <c r="C1121" s="34">
        <v>37</v>
      </c>
      <c r="D1121" s="32" t="s">
        <v>0</v>
      </c>
    </row>
    <row r="1122" spans="1:4" ht="34.5" hidden="1" customHeight="1" thickBot="1">
      <c r="A1122" s="37" t="s">
        <v>13</v>
      </c>
      <c r="B1122" s="36" t="s">
        <v>1</v>
      </c>
      <c r="C1122" s="34" t="s">
        <v>14</v>
      </c>
      <c r="D1122" s="32" t="s">
        <v>2</v>
      </c>
    </row>
    <row r="1123" spans="1:4" ht="34.5" hidden="1" customHeight="1" thickBot="1">
      <c r="A1123" s="140">
        <v>0</v>
      </c>
      <c r="B1123" s="141"/>
      <c r="C1123" s="142" t="s">
        <v>3</v>
      </c>
      <c r="D1123" s="143"/>
    </row>
    <row r="1124" spans="1:4" ht="34.5" hidden="1" customHeight="1" thickBot="1">
      <c r="A1124" s="140">
        <v>0</v>
      </c>
      <c r="B1124" s="141"/>
      <c r="C1124" s="144" t="s">
        <v>4</v>
      </c>
      <c r="D1124" s="145"/>
    </row>
    <row r="1125" spans="1:4" ht="34.5" hidden="1" customHeight="1" thickBot="1">
      <c r="A1125" s="146">
        <f>A1124-A1123</f>
        <v>0</v>
      </c>
      <c r="B1125" s="147"/>
      <c r="C1125" s="148"/>
      <c r="D1125" s="35" t="s">
        <v>5</v>
      </c>
    </row>
    <row r="1126" spans="1:4" ht="34.5" hidden="1" customHeight="1" thickBot="1">
      <c r="A1126" s="149">
        <v>50</v>
      </c>
      <c r="B1126" s="150"/>
      <c r="C1126" s="151"/>
      <c r="D1126" s="35" t="s">
        <v>6</v>
      </c>
    </row>
    <row r="1127" spans="1:4" ht="34.5" hidden="1" customHeight="1" thickBot="1">
      <c r="A1127" s="144">
        <f>A1126*A1125</f>
        <v>0</v>
      </c>
      <c r="B1127" s="152"/>
      <c r="C1127" s="145"/>
      <c r="D1127" s="35" t="s">
        <v>7</v>
      </c>
    </row>
    <row r="1128" spans="1:4" ht="34.5" hidden="1" customHeight="1" thickBot="1">
      <c r="A1128" s="144">
        <v>0</v>
      </c>
      <c r="B1128" s="152"/>
      <c r="C1128" s="145"/>
      <c r="D1128" s="35" t="s">
        <v>437</v>
      </c>
    </row>
    <row r="1129" spans="1:4" ht="34.5" hidden="1" customHeight="1" thickBot="1">
      <c r="A1129" s="34">
        <v>0</v>
      </c>
      <c r="B1129" s="32" t="s">
        <v>8</v>
      </c>
      <c r="C1129" s="33">
        <v>1350</v>
      </c>
      <c r="D1129" s="32" t="s">
        <v>9</v>
      </c>
    </row>
    <row r="1130" spans="1:4" ht="34.5" hidden="1" customHeight="1" thickBot="1">
      <c r="A1130" s="153" t="s">
        <v>436</v>
      </c>
      <c r="B1130" s="154"/>
      <c r="C1130" s="154"/>
      <c r="D1130" s="155"/>
    </row>
    <row r="1131" spans="1:4" ht="34.5" hidden="1" customHeight="1" thickBot="1">
      <c r="A1131" s="156" t="s">
        <v>435</v>
      </c>
      <c r="B1131" s="157"/>
      <c r="C1131" s="157"/>
      <c r="D1131" s="158"/>
    </row>
    <row r="1132" spans="1:4" ht="34.5" hidden="1" customHeight="1" thickBot="1">
      <c r="A1132" s="40"/>
      <c r="B1132" s="39"/>
      <c r="C1132" s="39"/>
      <c r="D1132" s="38"/>
    </row>
    <row r="1133" spans="1:4" ht="34.5" hidden="1" customHeight="1">
      <c r="A1133" s="159" t="s">
        <v>442</v>
      </c>
      <c r="B1133" s="160" t="s">
        <v>441</v>
      </c>
      <c r="C1133" s="160"/>
      <c r="D1133" s="161"/>
    </row>
    <row r="1134" spans="1:4" ht="34.5" hidden="1" customHeight="1" thickBot="1">
      <c r="A1134" s="162"/>
      <c r="B1134" s="163"/>
      <c r="C1134" s="163"/>
      <c r="D1134" s="164"/>
    </row>
    <row r="1135" spans="1:4" ht="34.5" hidden="1" customHeight="1" thickBot="1">
      <c r="A1135" s="142" t="s">
        <v>11</v>
      </c>
      <c r="B1135" s="143"/>
      <c r="C1135" s="165" t="s">
        <v>12</v>
      </c>
      <c r="D1135" s="143"/>
    </row>
    <row r="1136" spans="1:4" ht="34.5" hidden="1" customHeight="1" thickBot="1">
      <c r="A1136" s="137" t="s">
        <v>413</v>
      </c>
      <c r="B1136" s="138"/>
      <c r="C1136" s="138"/>
      <c r="D1136" s="139"/>
    </row>
    <row r="1137" spans="1:4" ht="34.5" hidden="1" customHeight="1" thickBot="1">
      <c r="A1137" s="34" t="s">
        <v>487</v>
      </c>
      <c r="B1137" s="32" t="s">
        <v>438</v>
      </c>
      <c r="C1137" s="34">
        <v>37</v>
      </c>
      <c r="D1137" s="32" t="s">
        <v>0</v>
      </c>
    </row>
    <row r="1138" spans="1:4" ht="34.5" hidden="1" customHeight="1" thickBot="1">
      <c r="A1138" s="37" t="s">
        <v>13</v>
      </c>
      <c r="B1138" s="36" t="s">
        <v>1</v>
      </c>
      <c r="C1138" s="34" t="s">
        <v>14</v>
      </c>
      <c r="D1138" s="32" t="s">
        <v>2</v>
      </c>
    </row>
    <row r="1139" spans="1:4" ht="34.5" hidden="1" customHeight="1" thickBot="1">
      <c r="A1139" s="140">
        <v>0</v>
      </c>
      <c r="B1139" s="141"/>
      <c r="C1139" s="142" t="s">
        <v>3</v>
      </c>
      <c r="D1139" s="143"/>
    </row>
    <row r="1140" spans="1:4" ht="34.5" hidden="1" customHeight="1" thickBot="1">
      <c r="A1140" s="140">
        <v>0</v>
      </c>
      <c r="B1140" s="141"/>
      <c r="C1140" s="144" t="s">
        <v>4</v>
      </c>
      <c r="D1140" s="145"/>
    </row>
    <row r="1141" spans="1:4" ht="34.5" hidden="1" customHeight="1" thickBot="1">
      <c r="A1141" s="146">
        <f>A1140-A1139</f>
        <v>0</v>
      </c>
      <c r="B1141" s="147"/>
      <c r="C1141" s="148"/>
      <c r="D1141" s="35" t="s">
        <v>5</v>
      </c>
    </row>
    <row r="1142" spans="1:4" ht="34.5" hidden="1" customHeight="1" thickBot="1">
      <c r="A1142" s="149">
        <v>50</v>
      </c>
      <c r="B1142" s="150"/>
      <c r="C1142" s="151"/>
      <c r="D1142" s="35" t="s">
        <v>6</v>
      </c>
    </row>
    <row r="1143" spans="1:4" ht="34.5" hidden="1" customHeight="1" thickBot="1">
      <c r="A1143" s="144">
        <f>A1142*A1141</f>
        <v>0</v>
      </c>
      <c r="B1143" s="152"/>
      <c r="C1143" s="145"/>
      <c r="D1143" s="35" t="s">
        <v>7</v>
      </c>
    </row>
    <row r="1144" spans="1:4" ht="34.5" hidden="1" customHeight="1" thickBot="1">
      <c r="A1144" s="144">
        <v>0</v>
      </c>
      <c r="B1144" s="152"/>
      <c r="C1144" s="145"/>
      <c r="D1144" s="35" t="s">
        <v>437</v>
      </c>
    </row>
    <row r="1145" spans="1:4" ht="34.5" hidden="1" customHeight="1" thickBot="1">
      <c r="A1145" s="34">
        <v>0</v>
      </c>
      <c r="B1145" s="32" t="s">
        <v>8</v>
      </c>
      <c r="C1145" s="33">
        <v>1350</v>
      </c>
      <c r="D1145" s="32" t="s">
        <v>9</v>
      </c>
    </row>
    <row r="1146" spans="1:4" ht="34.5" hidden="1" customHeight="1" thickBot="1">
      <c r="A1146" s="153" t="s">
        <v>436</v>
      </c>
      <c r="B1146" s="154"/>
      <c r="C1146" s="154"/>
      <c r="D1146" s="155"/>
    </row>
    <row r="1147" spans="1:4" ht="34.5" hidden="1" customHeight="1" thickBot="1">
      <c r="A1147" s="156" t="s">
        <v>435</v>
      </c>
      <c r="B1147" s="157"/>
      <c r="C1147" s="157"/>
      <c r="D1147" s="158"/>
    </row>
    <row r="1148" spans="1:4" ht="34.5" hidden="1" customHeight="1">
      <c r="A1148" s="159" t="s">
        <v>442</v>
      </c>
      <c r="B1148" s="160" t="s">
        <v>441</v>
      </c>
      <c r="C1148" s="160"/>
      <c r="D1148" s="161"/>
    </row>
    <row r="1149" spans="1:4" ht="34.5" hidden="1" customHeight="1" thickBot="1">
      <c r="A1149" s="162"/>
      <c r="B1149" s="163"/>
      <c r="C1149" s="163"/>
      <c r="D1149" s="164"/>
    </row>
    <row r="1150" spans="1:4" ht="34.5" hidden="1" customHeight="1" thickBot="1">
      <c r="A1150" s="142" t="s">
        <v>11</v>
      </c>
      <c r="B1150" s="143"/>
      <c r="C1150" s="165" t="s">
        <v>12</v>
      </c>
      <c r="D1150" s="143"/>
    </row>
    <row r="1151" spans="1:4" ht="34.5" hidden="1" customHeight="1" thickBot="1">
      <c r="A1151" s="137" t="s">
        <v>495</v>
      </c>
      <c r="B1151" s="138"/>
      <c r="C1151" s="138"/>
      <c r="D1151" s="139"/>
    </row>
    <row r="1152" spans="1:4" ht="34.5" hidden="1" customHeight="1" thickBot="1">
      <c r="A1152" s="34" t="s">
        <v>487</v>
      </c>
      <c r="B1152" s="32" t="s">
        <v>438</v>
      </c>
      <c r="C1152" s="34">
        <v>38</v>
      </c>
      <c r="D1152" s="32" t="s">
        <v>0</v>
      </c>
    </row>
    <row r="1153" spans="1:4" ht="34.5" hidden="1" customHeight="1" thickBot="1">
      <c r="A1153" s="37" t="s">
        <v>13</v>
      </c>
      <c r="B1153" s="36" t="s">
        <v>1</v>
      </c>
      <c r="C1153" s="34" t="s">
        <v>14</v>
      </c>
      <c r="D1153" s="32" t="s">
        <v>2</v>
      </c>
    </row>
    <row r="1154" spans="1:4" ht="34.5" hidden="1" customHeight="1" thickBot="1">
      <c r="A1154" s="140">
        <v>0</v>
      </c>
      <c r="B1154" s="141"/>
      <c r="C1154" s="142" t="s">
        <v>3</v>
      </c>
      <c r="D1154" s="143"/>
    </row>
    <row r="1155" spans="1:4" ht="34.5" hidden="1" customHeight="1" thickBot="1">
      <c r="A1155" s="140">
        <v>0</v>
      </c>
      <c r="B1155" s="141"/>
      <c r="C1155" s="144" t="s">
        <v>4</v>
      </c>
      <c r="D1155" s="145"/>
    </row>
    <row r="1156" spans="1:4" ht="34.5" hidden="1" customHeight="1" thickBot="1">
      <c r="A1156" s="146">
        <f>A1155-A1154</f>
        <v>0</v>
      </c>
      <c r="B1156" s="147"/>
      <c r="C1156" s="148"/>
      <c r="D1156" s="35" t="s">
        <v>5</v>
      </c>
    </row>
    <row r="1157" spans="1:4" ht="34.5" hidden="1" customHeight="1" thickBot="1">
      <c r="A1157" s="149">
        <v>50</v>
      </c>
      <c r="B1157" s="150"/>
      <c r="C1157" s="151"/>
      <c r="D1157" s="35" t="s">
        <v>6</v>
      </c>
    </row>
    <row r="1158" spans="1:4" ht="34.5" hidden="1" customHeight="1" thickBot="1">
      <c r="A1158" s="144">
        <f>A1157*A1156</f>
        <v>0</v>
      </c>
      <c r="B1158" s="152"/>
      <c r="C1158" s="145"/>
      <c r="D1158" s="35" t="s">
        <v>7</v>
      </c>
    </row>
    <row r="1159" spans="1:4" ht="34.5" hidden="1" customHeight="1" thickBot="1">
      <c r="A1159" s="144">
        <v>0</v>
      </c>
      <c r="B1159" s="152"/>
      <c r="C1159" s="145"/>
      <c r="D1159" s="35" t="s">
        <v>437</v>
      </c>
    </row>
    <row r="1160" spans="1:4" ht="34.5" hidden="1" customHeight="1" thickBot="1">
      <c r="A1160" s="34">
        <v>0</v>
      </c>
      <c r="B1160" s="32" t="s">
        <v>8</v>
      </c>
      <c r="C1160" s="33">
        <v>2000</v>
      </c>
      <c r="D1160" s="32" t="s">
        <v>9</v>
      </c>
    </row>
    <row r="1161" spans="1:4" ht="34.5" hidden="1" customHeight="1" thickBot="1">
      <c r="A1161" s="153" t="s">
        <v>436</v>
      </c>
      <c r="B1161" s="154"/>
      <c r="C1161" s="154"/>
      <c r="D1161" s="155"/>
    </row>
    <row r="1162" spans="1:4" ht="34.5" hidden="1" customHeight="1" thickBot="1">
      <c r="A1162" s="156" t="s">
        <v>435</v>
      </c>
      <c r="B1162" s="157"/>
      <c r="C1162" s="157"/>
      <c r="D1162" s="158"/>
    </row>
    <row r="1163" spans="1:4" ht="34.5" hidden="1" customHeight="1" thickBot="1">
      <c r="A1163" s="40"/>
      <c r="B1163" s="39"/>
      <c r="C1163" s="39"/>
      <c r="D1163" s="38"/>
    </row>
    <row r="1164" spans="1:4" ht="34.5" hidden="1" customHeight="1">
      <c r="A1164" s="159" t="s">
        <v>442</v>
      </c>
      <c r="B1164" s="160" t="s">
        <v>441</v>
      </c>
      <c r="C1164" s="160"/>
      <c r="D1164" s="161"/>
    </row>
    <row r="1165" spans="1:4" ht="34.5" hidden="1" customHeight="1" thickBot="1">
      <c r="A1165" s="162"/>
      <c r="B1165" s="163"/>
      <c r="C1165" s="163"/>
      <c r="D1165" s="164"/>
    </row>
    <row r="1166" spans="1:4" ht="34.5" hidden="1" customHeight="1" thickBot="1">
      <c r="A1166" s="142" t="s">
        <v>11</v>
      </c>
      <c r="B1166" s="143"/>
      <c r="C1166" s="165" t="s">
        <v>12</v>
      </c>
      <c r="D1166" s="143"/>
    </row>
    <row r="1167" spans="1:4" ht="34.5" hidden="1" customHeight="1" thickBot="1">
      <c r="A1167" s="137" t="s">
        <v>495</v>
      </c>
      <c r="B1167" s="138"/>
      <c r="C1167" s="138"/>
      <c r="D1167" s="139"/>
    </row>
    <row r="1168" spans="1:4" ht="34.5" hidden="1" customHeight="1" thickBot="1">
      <c r="A1168" s="34" t="s">
        <v>487</v>
      </c>
      <c r="B1168" s="32" t="s">
        <v>438</v>
      </c>
      <c r="C1168" s="34">
        <v>38</v>
      </c>
      <c r="D1168" s="32" t="s">
        <v>0</v>
      </c>
    </row>
    <row r="1169" spans="1:4" ht="34.5" hidden="1" customHeight="1" thickBot="1">
      <c r="A1169" s="37" t="s">
        <v>13</v>
      </c>
      <c r="B1169" s="36" t="s">
        <v>1</v>
      </c>
      <c r="C1169" s="34" t="s">
        <v>14</v>
      </c>
      <c r="D1169" s="32" t="s">
        <v>2</v>
      </c>
    </row>
    <row r="1170" spans="1:4" ht="34.5" hidden="1" customHeight="1" thickBot="1">
      <c r="A1170" s="140">
        <v>0</v>
      </c>
      <c r="B1170" s="141"/>
      <c r="C1170" s="142" t="s">
        <v>3</v>
      </c>
      <c r="D1170" s="143"/>
    </row>
    <row r="1171" spans="1:4" ht="34.5" hidden="1" customHeight="1" thickBot="1">
      <c r="A1171" s="140">
        <v>0</v>
      </c>
      <c r="B1171" s="141"/>
      <c r="C1171" s="144" t="s">
        <v>4</v>
      </c>
      <c r="D1171" s="145"/>
    </row>
    <row r="1172" spans="1:4" ht="34.5" hidden="1" customHeight="1" thickBot="1">
      <c r="A1172" s="146">
        <f>A1171-A1170</f>
        <v>0</v>
      </c>
      <c r="B1172" s="147"/>
      <c r="C1172" s="148"/>
      <c r="D1172" s="35" t="s">
        <v>5</v>
      </c>
    </row>
    <row r="1173" spans="1:4" ht="34.5" hidden="1" customHeight="1" thickBot="1">
      <c r="A1173" s="149">
        <v>50</v>
      </c>
      <c r="B1173" s="150"/>
      <c r="C1173" s="151"/>
      <c r="D1173" s="35" t="s">
        <v>6</v>
      </c>
    </row>
    <row r="1174" spans="1:4" ht="34.5" hidden="1" customHeight="1" thickBot="1">
      <c r="A1174" s="144">
        <f>A1173*A1172</f>
        <v>0</v>
      </c>
      <c r="B1174" s="152"/>
      <c r="C1174" s="145"/>
      <c r="D1174" s="35" t="s">
        <v>7</v>
      </c>
    </row>
    <row r="1175" spans="1:4" ht="34.5" hidden="1" customHeight="1" thickBot="1">
      <c r="A1175" s="144">
        <v>0</v>
      </c>
      <c r="B1175" s="152"/>
      <c r="C1175" s="145"/>
      <c r="D1175" s="35" t="s">
        <v>437</v>
      </c>
    </row>
    <row r="1176" spans="1:4" ht="34.5" hidden="1" customHeight="1" thickBot="1">
      <c r="A1176" s="34">
        <v>0</v>
      </c>
      <c r="B1176" s="32" t="s">
        <v>8</v>
      </c>
      <c r="C1176" s="33">
        <v>2000</v>
      </c>
      <c r="D1176" s="32" t="s">
        <v>9</v>
      </c>
    </row>
    <row r="1177" spans="1:4" ht="34.5" hidden="1" customHeight="1" thickBot="1">
      <c r="A1177" s="153" t="s">
        <v>436</v>
      </c>
      <c r="B1177" s="154"/>
      <c r="C1177" s="154"/>
      <c r="D1177" s="155"/>
    </row>
    <row r="1178" spans="1:4" ht="34.5" hidden="1" customHeight="1" thickBot="1">
      <c r="A1178" s="156" t="s">
        <v>435</v>
      </c>
      <c r="B1178" s="157"/>
      <c r="C1178" s="157"/>
      <c r="D1178" s="158"/>
    </row>
    <row r="1179" spans="1:4" ht="34.5" hidden="1" customHeight="1">
      <c r="A1179" s="159" t="s">
        <v>442</v>
      </c>
      <c r="B1179" s="160" t="s">
        <v>441</v>
      </c>
      <c r="C1179" s="160"/>
      <c r="D1179" s="161"/>
    </row>
    <row r="1180" spans="1:4" ht="34.5" hidden="1" customHeight="1" thickBot="1">
      <c r="A1180" s="162"/>
      <c r="B1180" s="163"/>
      <c r="C1180" s="163"/>
      <c r="D1180" s="164"/>
    </row>
    <row r="1181" spans="1:4" ht="34.5" hidden="1" customHeight="1" thickBot="1">
      <c r="A1181" s="142" t="s">
        <v>11</v>
      </c>
      <c r="B1181" s="143"/>
      <c r="C1181" s="165" t="s">
        <v>12</v>
      </c>
      <c r="D1181" s="143"/>
    </row>
    <row r="1182" spans="1:4" ht="34.5" hidden="1" customHeight="1" thickBot="1">
      <c r="A1182" s="137" t="s">
        <v>114</v>
      </c>
      <c r="B1182" s="138"/>
      <c r="C1182" s="138"/>
      <c r="D1182" s="139"/>
    </row>
    <row r="1183" spans="1:4" ht="34.5" hidden="1" customHeight="1" thickBot="1">
      <c r="A1183" s="34" t="s">
        <v>487</v>
      </c>
      <c r="B1183" s="32" t="s">
        <v>438</v>
      </c>
      <c r="C1183" s="34">
        <v>39</v>
      </c>
      <c r="D1183" s="32" t="s">
        <v>0</v>
      </c>
    </row>
    <row r="1184" spans="1:4" ht="34.5" hidden="1" customHeight="1" thickBot="1">
      <c r="A1184" s="37" t="s">
        <v>13</v>
      </c>
      <c r="B1184" s="36" t="s">
        <v>1</v>
      </c>
      <c r="C1184" s="34" t="s">
        <v>14</v>
      </c>
      <c r="D1184" s="32" t="s">
        <v>2</v>
      </c>
    </row>
    <row r="1185" spans="1:4" ht="34.5" hidden="1" customHeight="1" thickBot="1">
      <c r="A1185" s="140">
        <v>0</v>
      </c>
      <c r="B1185" s="141"/>
      <c r="C1185" s="142" t="s">
        <v>3</v>
      </c>
      <c r="D1185" s="143"/>
    </row>
    <row r="1186" spans="1:4" ht="34.5" hidden="1" customHeight="1" thickBot="1">
      <c r="A1186" s="140">
        <v>0</v>
      </c>
      <c r="B1186" s="141"/>
      <c r="C1186" s="144" t="s">
        <v>4</v>
      </c>
      <c r="D1186" s="145"/>
    </row>
    <row r="1187" spans="1:4" ht="34.5" hidden="1" customHeight="1" thickBot="1">
      <c r="A1187" s="146">
        <f>A1186-A1185</f>
        <v>0</v>
      </c>
      <c r="B1187" s="147"/>
      <c r="C1187" s="148"/>
      <c r="D1187" s="35" t="s">
        <v>5</v>
      </c>
    </row>
    <row r="1188" spans="1:4" ht="34.5" hidden="1" customHeight="1" thickBot="1">
      <c r="A1188" s="149">
        <v>50</v>
      </c>
      <c r="B1188" s="150"/>
      <c r="C1188" s="151"/>
      <c r="D1188" s="35" t="s">
        <v>6</v>
      </c>
    </row>
    <row r="1189" spans="1:4" ht="34.5" hidden="1" customHeight="1" thickBot="1">
      <c r="A1189" s="144">
        <f>A1188*A1187</f>
        <v>0</v>
      </c>
      <c r="B1189" s="152"/>
      <c r="C1189" s="145"/>
      <c r="D1189" s="35" t="s">
        <v>7</v>
      </c>
    </row>
    <row r="1190" spans="1:4" ht="34.5" hidden="1" customHeight="1" thickBot="1">
      <c r="A1190" s="144">
        <v>0</v>
      </c>
      <c r="B1190" s="152"/>
      <c r="C1190" s="145"/>
      <c r="D1190" s="35" t="s">
        <v>437</v>
      </c>
    </row>
    <row r="1191" spans="1:4" ht="34.5" hidden="1" customHeight="1" thickBot="1">
      <c r="A1191" s="34">
        <v>0</v>
      </c>
      <c r="B1191" s="32" t="s">
        <v>8</v>
      </c>
      <c r="C1191" s="33">
        <v>1250</v>
      </c>
      <c r="D1191" s="32" t="s">
        <v>9</v>
      </c>
    </row>
    <row r="1192" spans="1:4" ht="34.5" hidden="1" customHeight="1" thickBot="1">
      <c r="A1192" s="153" t="s">
        <v>436</v>
      </c>
      <c r="B1192" s="154"/>
      <c r="C1192" s="154"/>
      <c r="D1192" s="155"/>
    </row>
    <row r="1193" spans="1:4" ht="34.5" hidden="1" customHeight="1" thickBot="1">
      <c r="A1193" s="156" t="s">
        <v>435</v>
      </c>
      <c r="B1193" s="157"/>
      <c r="C1193" s="157"/>
      <c r="D1193" s="158"/>
    </row>
    <row r="1194" spans="1:4" ht="34.5" hidden="1" customHeight="1" thickBot="1">
      <c r="A1194" s="40"/>
      <c r="B1194" s="39"/>
      <c r="C1194" s="39"/>
      <c r="D1194" s="38"/>
    </row>
    <row r="1195" spans="1:4" ht="34.5" hidden="1" customHeight="1">
      <c r="A1195" s="159" t="s">
        <v>442</v>
      </c>
      <c r="B1195" s="160" t="s">
        <v>441</v>
      </c>
      <c r="C1195" s="160"/>
      <c r="D1195" s="161"/>
    </row>
    <row r="1196" spans="1:4" ht="34.5" hidden="1" customHeight="1" thickBot="1">
      <c r="A1196" s="162"/>
      <c r="B1196" s="163"/>
      <c r="C1196" s="163"/>
      <c r="D1196" s="164"/>
    </row>
    <row r="1197" spans="1:4" ht="34.5" hidden="1" customHeight="1" thickBot="1">
      <c r="A1197" s="142" t="s">
        <v>11</v>
      </c>
      <c r="B1197" s="143"/>
      <c r="C1197" s="165" t="s">
        <v>12</v>
      </c>
      <c r="D1197" s="143"/>
    </row>
    <row r="1198" spans="1:4" ht="34.5" hidden="1" customHeight="1" thickBot="1">
      <c r="A1198" s="137" t="s">
        <v>114</v>
      </c>
      <c r="B1198" s="138"/>
      <c r="C1198" s="138"/>
      <c r="D1198" s="139"/>
    </row>
    <row r="1199" spans="1:4" ht="34.5" hidden="1" customHeight="1" thickBot="1">
      <c r="A1199" s="34" t="s">
        <v>487</v>
      </c>
      <c r="B1199" s="32" t="s">
        <v>438</v>
      </c>
      <c r="C1199" s="34">
        <v>39</v>
      </c>
      <c r="D1199" s="32" t="s">
        <v>0</v>
      </c>
    </row>
    <row r="1200" spans="1:4" ht="34.5" hidden="1" customHeight="1" thickBot="1">
      <c r="A1200" s="37" t="s">
        <v>13</v>
      </c>
      <c r="B1200" s="36" t="s">
        <v>1</v>
      </c>
      <c r="C1200" s="34" t="s">
        <v>14</v>
      </c>
      <c r="D1200" s="32" t="s">
        <v>2</v>
      </c>
    </row>
    <row r="1201" spans="1:4" ht="34.5" hidden="1" customHeight="1" thickBot="1">
      <c r="A1201" s="140">
        <v>0</v>
      </c>
      <c r="B1201" s="141"/>
      <c r="C1201" s="142" t="s">
        <v>3</v>
      </c>
      <c r="D1201" s="143"/>
    </row>
    <row r="1202" spans="1:4" ht="34.5" hidden="1" customHeight="1" thickBot="1">
      <c r="A1202" s="140">
        <v>0</v>
      </c>
      <c r="B1202" s="141"/>
      <c r="C1202" s="144" t="s">
        <v>4</v>
      </c>
      <c r="D1202" s="145"/>
    </row>
    <row r="1203" spans="1:4" ht="34.5" hidden="1" customHeight="1" thickBot="1">
      <c r="A1203" s="146">
        <f>A1202-A1201</f>
        <v>0</v>
      </c>
      <c r="B1203" s="147"/>
      <c r="C1203" s="148"/>
      <c r="D1203" s="35" t="s">
        <v>5</v>
      </c>
    </row>
    <row r="1204" spans="1:4" ht="34.5" hidden="1" customHeight="1" thickBot="1">
      <c r="A1204" s="149">
        <v>50</v>
      </c>
      <c r="B1204" s="150"/>
      <c r="C1204" s="151"/>
      <c r="D1204" s="35" t="s">
        <v>6</v>
      </c>
    </row>
    <row r="1205" spans="1:4" ht="34.5" hidden="1" customHeight="1" thickBot="1">
      <c r="A1205" s="144">
        <f>A1204*A1203</f>
        <v>0</v>
      </c>
      <c r="B1205" s="152"/>
      <c r="C1205" s="145"/>
      <c r="D1205" s="35" t="s">
        <v>7</v>
      </c>
    </row>
    <row r="1206" spans="1:4" ht="34.5" hidden="1" customHeight="1" thickBot="1">
      <c r="A1206" s="144">
        <v>0</v>
      </c>
      <c r="B1206" s="152"/>
      <c r="C1206" s="145"/>
      <c r="D1206" s="35" t="s">
        <v>437</v>
      </c>
    </row>
    <row r="1207" spans="1:4" ht="34.5" hidden="1" customHeight="1" thickBot="1">
      <c r="A1207" s="34">
        <v>0</v>
      </c>
      <c r="B1207" s="32" t="s">
        <v>8</v>
      </c>
      <c r="C1207" s="33">
        <v>1250</v>
      </c>
      <c r="D1207" s="32" t="s">
        <v>9</v>
      </c>
    </row>
    <row r="1208" spans="1:4" ht="34.5" hidden="1" customHeight="1" thickBot="1">
      <c r="A1208" s="153" t="s">
        <v>436</v>
      </c>
      <c r="B1208" s="154"/>
      <c r="C1208" s="154"/>
      <c r="D1208" s="155"/>
    </row>
    <row r="1209" spans="1:4" ht="34.5" hidden="1" customHeight="1" thickBot="1">
      <c r="A1209" s="156" t="s">
        <v>435</v>
      </c>
      <c r="B1209" s="157"/>
      <c r="C1209" s="157"/>
      <c r="D1209" s="158"/>
    </row>
    <row r="1210" spans="1:4" ht="34.5" hidden="1" customHeight="1">
      <c r="A1210" s="159" t="s">
        <v>442</v>
      </c>
      <c r="B1210" s="160" t="s">
        <v>441</v>
      </c>
      <c r="C1210" s="160"/>
      <c r="D1210" s="161"/>
    </row>
    <row r="1211" spans="1:4" ht="34.5" hidden="1" customHeight="1" thickBot="1">
      <c r="A1211" s="162"/>
      <c r="B1211" s="163"/>
      <c r="C1211" s="163"/>
      <c r="D1211" s="164"/>
    </row>
    <row r="1212" spans="1:4" ht="34.5" hidden="1" customHeight="1" thickBot="1">
      <c r="A1212" s="142" t="s">
        <v>11</v>
      </c>
      <c r="B1212" s="143"/>
      <c r="C1212" s="165" t="s">
        <v>12</v>
      </c>
      <c r="D1212" s="143"/>
    </row>
    <row r="1213" spans="1:4" ht="34.5" hidden="1" customHeight="1" thickBot="1">
      <c r="A1213" s="137" t="s">
        <v>389</v>
      </c>
      <c r="B1213" s="138"/>
      <c r="C1213" s="138"/>
      <c r="D1213" s="139"/>
    </row>
    <row r="1214" spans="1:4" ht="34.5" hidden="1" customHeight="1" thickBot="1">
      <c r="A1214" s="34" t="s">
        <v>487</v>
      </c>
      <c r="B1214" s="32" t="s">
        <v>438</v>
      </c>
      <c r="C1214" s="34">
        <v>40</v>
      </c>
      <c r="D1214" s="32" t="s">
        <v>0</v>
      </c>
    </row>
    <row r="1215" spans="1:4" ht="34.5" hidden="1" customHeight="1" thickBot="1">
      <c r="A1215" s="37" t="s">
        <v>13</v>
      </c>
      <c r="B1215" s="36" t="s">
        <v>1</v>
      </c>
      <c r="C1215" s="34" t="s">
        <v>14</v>
      </c>
      <c r="D1215" s="32" t="s">
        <v>2</v>
      </c>
    </row>
    <row r="1216" spans="1:4" ht="34.5" hidden="1" customHeight="1" thickBot="1">
      <c r="A1216" s="140">
        <v>0</v>
      </c>
      <c r="B1216" s="141"/>
      <c r="C1216" s="142" t="s">
        <v>3</v>
      </c>
      <c r="D1216" s="143"/>
    </row>
    <row r="1217" spans="1:4" ht="34.5" hidden="1" customHeight="1" thickBot="1">
      <c r="A1217" s="140">
        <v>0</v>
      </c>
      <c r="B1217" s="141"/>
      <c r="C1217" s="144" t="s">
        <v>4</v>
      </c>
      <c r="D1217" s="145"/>
    </row>
    <row r="1218" spans="1:4" ht="34.5" hidden="1" customHeight="1" thickBot="1">
      <c r="A1218" s="146">
        <f>A1217-A1216</f>
        <v>0</v>
      </c>
      <c r="B1218" s="147"/>
      <c r="C1218" s="148"/>
      <c r="D1218" s="35" t="s">
        <v>5</v>
      </c>
    </row>
    <row r="1219" spans="1:4" ht="34.5" hidden="1" customHeight="1" thickBot="1">
      <c r="A1219" s="149">
        <v>50</v>
      </c>
      <c r="B1219" s="150"/>
      <c r="C1219" s="151"/>
      <c r="D1219" s="35" t="s">
        <v>6</v>
      </c>
    </row>
    <row r="1220" spans="1:4" ht="34.5" hidden="1" customHeight="1" thickBot="1">
      <c r="A1220" s="144">
        <f>A1219*A1218</f>
        <v>0</v>
      </c>
      <c r="B1220" s="152"/>
      <c r="C1220" s="145"/>
      <c r="D1220" s="35" t="s">
        <v>7</v>
      </c>
    </row>
    <row r="1221" spans="1:4" ht="34.5" hidden="1" customHeight="1" thickBot="1">
      <c r="A1221" s="144">
        <v>0</v>
      </c>
      <c r="B1221" s="152"/>
      <c r="C1221" s="145"/>
      <c r="D1221" s="35" t="s">
        <v>437</v>
      </c>
    </row>
    <row r="1222" spans="1:4" ht="34.5" hidden="1" customHeight="1" thickBot="1">
      <c r="A1222" s="34">
        <v>0</v>
      </c>
      <c r="B1222" s="32" t="s">
        <v>8</v>
      </c>
      <c r="C1222" s="33">
        <v>750</v>
      </c>
      <c r="D1222" s="32" t="s">
        <v>9</v>
      </c>
    </row>
    <row r="1223" spans="1:4" ht="34.5" hidden="1" customHeight="1" thickBot="1">
      <c r="A1223" s="153" t="s">
        <v>436</v>
      </c>
      <c r="B1223" s="154"/>
      <c r="C1223" s="154"/>
      <c r="D1223" s="155"/>
    </row>
    <row r="1224" spans="1:4" ht="34.5" hidden="1" customHeight="1" thickBot="1">
      <c r="A1224" s="156" t="s">
        <v>435</v>
      </c>
      <c r="B1224" s="157"/>
      <c r="C1224" s="157"/>
      <c r="D1224" s="158"/>
    </row>
    <row r="1225" spans="1:4" ht="34.5" hidden="1" customHeight="1" thickBot="1">
      <c r="A1225" s="40"/>
      <c r="B1225" s="39"/>
      <c r="C1225" s="39"/>
      <c r="D1225" s="38"/>
    </row>
    <row r="1226" spans="1:4" ht="34.5" hidden="1" customHeight="1">
      <c r="A1226" s="159" t="s">
        <v>442</v>
      </c>
      <c r="B1226" s="160" t="s">
        <v>441</v>
      </c>
      <c r="C1226" s="160"/>
      <c r="D1226" s="161"/>
    </row>
    <row r="1227" spans="1:4" ht="34.5" hidden="1" customHeight="1" thickBot="1">
      <c r="A1227" s="162"/>
      <c r="B1227" s="163"/>
      <c r="C1227" s="163"/>
      <c r="D1227" s="164"/>
    </row>
    <row r="1228" spans="1:4" ht="34.5" hidden="1" customHeight="1" thickBot="1">
      <c r="A1228" s="142" t="s">
        <v>11</v>
      </c>
      <c r="B1228" s="143"/>
      <c r="C1228" s="165" t="s">
        <v>12</v>
      </c>
      <c r="D1228" s="143"/>
    </row>
    <row r="1229" spans="1:4" ht="34.5" hidden="1" customHeight="1" thickBot="1">
      <c r="A1229" s="137" t="s">
        <v>389</v>
      </c>
      <c r="B1229" s="138"/>
      <c r="C1229" s="138"/>
      <c r="D1229" s="139"/>
    </row>
    <row r="1230" spans="1:4" ht="34.5" hidden="1" customHeight="1" thickBot="1">
      <c r="A1230" s="34" t="s">
        <v>487</v>
      </c>
      <c r="B1230" s="32" t="s">
        <v>438</v>
      </c>
      <c r="C1230" s="34">
        <v>40</v>
      </c>
      <c r="D1230" s="32" t="s">
        <v>0</v>
      </c>
    </row>
    <row r="1231" spans="1:4" ht="34.5" hidden="1" customHeight="1" thickBot="1">
      <c r="A1231" s="37" t="s">
        <v>13</v>
      </c>
      <c r="B1231" s="36" t="s">
        <v>1</v>
      </c>
      <c r="C1231" s="34" t="s">
        <v>14</v>
      </c>
      <c r="D1231" s="32" t="s">
        <v>2</v>
      </c>
    </row>
    <row r="1232" spans="1:4" ht="34.5" hidden="1" customHeight="1" thickBot="1">
      <c r="A1232" s="140">
        <v>0</v>
      </c>
      <c r="B1232" s="141"/>
      <c r="C1232" s="142" t="s">
        <v>3</v>
      </c>
      <c r="D1232" s="143"/>
    </row>
    <row r="1233" spans="1:4" ht="34.5" hidden="1" customHeight="1" thickBot="1">
      <c r="A1233" s="140">
        <v>0</v>
      </c>
      <c r="B1233" s="141"/>
      <c r="C1233" s="144" t="s">
        <v>4</v>
      </c>
      <c r="D1233" s="145"/>
    </row>
    <row r="1234" spans="1:4" ht="34.5" hidden="1" customHeight="1" thickBot="1">
      <c r="A1234" s="146">
        <f>A1233-A1232</f>
        <v>0</v>
      </c>
      <c r="B1234" s="147"/>
      <c r="C1234" s="148"/>
      <c r="D1234" s="35" t="s">
        <v>5</v>
      </c>
    </row>
    <row r="1235" spans="1:4" ht="34.5" hidden="1" customHeight="1" thickBot="1">
      <c r="A1235" s="149">
        <v>50</v>
      </c>
      <c r="B1235" s="150"/>
      <c r="C1235" s="151"/>
      <c r="D1235" s="35" t="s">
        <v>6</v>
      </c>
    </row>
    <row r="1236" spans="1:4" ht="34.5" hidden="1" customHeight="1" thickBot="1">
      <c r="A1236" s="144">
        <f>A1235*A1234</f>
        <v>0</v>
      </c>
      <c r="B1236" s="152"/>
      <c r="C1236" s="145"/>
      <c r="D1236" s="35" t="s">
        <v>7</v>
      </c>
    </row>
    <row r="1237" spans="1:4" ht="34.5" hidden="1" customHeight="1" thickBot="1">
      <c r="A1237" s="144">
        <v>0</v>
      </c>
      <c r="B1237" s="152"/>
      <c r="C1237" s="145"/>
      <c r="D1237" s="35" t="s">
        <v>437</v>
      </c>
    </row>
    <row r="1238" spans="1:4" ht="34.5" hidden="1" customHeight="1" thickBot="1">
      <c r="A1238" s="34">
        <v>0</v>
      </c>
      <c r="B1238" s="32" t="s">
        <v>8</v>
      </c>
      <c r="C1238" s="33">
        <v>750</v>
      </c>
      <c r="D1238" s="32" t="s">
        <v>9</v>
      </c>
    </row>
    <row r="1239" spans="1:4" ht="34.5" hidden="1" customHeight="1" thickBot="1">
      <c r="A1239" s="153" t="s">
        <v>436</v>
      </c>
      <c r="B1239" s="154"/>
      <c r="C1239" s="154"/>
      <c r="D1239" s="155"/>
    </row>
    <row r="1240" spans="1:4" ht="34.5" hidden="1" customHeight="1" thickBot="1">
      <c r="A1240" s="156" t="s">
        <v>435</v>
      </c>
      <c r="B1240" s="157"/>
      <c r="C1240" s="157"/>
      <c r="D1240" s="158"/>
    </row>
    <row r="1241" spans="1:4" ht="34.5" hidden="1" customHeight="1">
      <c r="A1241" s="159" t="s">
        <v>442</v>
      </c>
      <c r="B1241" s="160" t="s">
        <v>441</v>
      </c>
      <c r="C1241" s="160"/>
      <c r="D1241" s="161"/>
    </row>
    <row r="1242" spans="1:4" ht="34.5" hidden="1" customHeight="1" thickBot="1">
      <c r="A1242" s="162"/>
      <c r="B1242" s="163"/>
      <c r="C1242" s="163"/>
      <c r="D1242" s="164"/>
    </row>
    <row r="1243" spans="1:4" ht="34.5" hidden="1" customHeight="1" thickBot="1">
      <c r="A1243" s="142" t="s">
        <v>11</v>
      </c>
      <c r="B1243" s="143"/>
      <c r="C1243" s="165" t="s">
        <v>12</v>
      </c>
      <c r="D1243" s="143"/>
    </row>
    <row r="1244" spans="1:4" ht="34.5" hidden="1" customHeight="1" thickBot="1">
      <c r="A1244" s="137" t="s">
        <v>325</v>
      </c>
      <c r="B1244" s="138"/>
      <c r="C1244" s="138"/>
      <c r="D1244" s="139"/>
    </row>
    <row r="1245" spans="1:4" ht="34.5" hidden="1" customHeight="1" thickBot="1">
      <c r="A1245" s="34" t="s">
        <v>487</v>
      </c>
      <c r="B1245" s="32" t="s">
        <v>438</v>
      </c>
      <c r="C1245" s="34">
        <v>41</v>
      </c>
      <c r="D1245" s="32" t="s">
        <v>0</v>
      </c>
    </row>
    <row r="1246" spans="1:4" ht="34.5" hidden="1" customHeight="1" thickBot="1">
      <c r="A1246" s="37" t="s">
        <v>13</v>
      </c>
      <c r="B1246" s="36" t="s">
        <v>1</v>
      </c>
      <c r="C1246" s="34" t="s">
        <v>14</v>
      </c>
      <c r="D1246" s="32" t="s">
        <v>2</v>
      </c>
    </row>
    <row r="1247" spans="1:4" ht="34.5" hidden="1" customHeight="1" thickBot="1">
      <c r="A1247" s="140">
        <v>0</v>
      </c>
      <c r="B1247" s="141"/>
      <c r="C1247" s="142" t="s">
        <v>3</v>
      </c>
      <c r="D1247" s="143"/>
    </row>
    <row r="1248" spans="1:4" ht="34.5" hidden="1" customHeight="1" thickBot="1">
      <c r="A1248" s="140">
        <v>0</v>
      </c>
      <c r="B1248" s="141"/>
      <c r="C1248" s="144" t="s">
        <v>4</v>
      </c>
      <c r="D1248" s="145"/>
    </row>
    <row r="1249" spans="1:4" ht="34.5" hidden="1" customHeight="1" thickBot="1">
      <c r="A1249" s="146">
        <f>A1248-A1247</f>
        <v>0</v>
      </c>
      <c r="B1249" s="147"/>
      <c r="C1249" s="148"/>
      <c r="D1249" s="35" t="s">
        <v>5</v>
      </c>
    </row>
    <row r="1250" spans="1:4" ht="34.5" hidden="1" customHeight="1" thickBot="1">
      <c r="A1250" s="149">
        <v>50</v>
      </c>
      <c r="B1250" s="150"/>
      <c r="C1250" s="151"/>
      <c r="D1250" s="35" t="s">
        <v>6</v>
      </c>
    </row>
    <row r="1251" spans="1:4" ht="34.5" hidden="1" customHeight="1" thickBot="1">
      <c r="A1251" s="144">
        <f>A1250*A1249</f>
        <v>0</v>
      </c>
      <c r="B1251" s="152"/>
      <c r="C1251" s="145"/>
      <c r="D1251" s="35" t="s">
        <v>7</v>
      </c>
    </row>
    <row r="1252" spans="1:4" ht="34.5" hidden="1" customHeight="1" thickBot="1">
      <c r="A1252" s="144">
        <v>0</v>
      </c>
      <c r="B1252" s="152"/>
      <c r="C1252" s="145"/>
      <c r="D1252" s="35" t="s">
        <v>437</v>
      </c>
    </row>
    <row r="1253" spans="1:4" ht="34.5" hidden="1" customHeight="1" thickBot="1">
      <c r="A1253" s="34">
        <v>0</v>
      </c>
      <c r="B1253" s="32" t="s">
        <v>8</v>
      </c>
      <c r="C1253" s="33">
        <v>3250</v>
      </c>
      <c r="D1253" s="32" t="s">
        <v>9</v>
      </c>
    </row>
    <row r="1254" spans="1:4" ht="34.5" hidden="1" customHeight="1" thickBot="1">
      <c r="A1254" s="153" t="s">
        <v>436</v>
      </c>
      <c r="B1254" s="154"/>
      <c r="C1254" s="154"/>
      <c r="D1254" s="155"/>
    </row>
    <row r="1255" spans="1:4" ht="34.5" hidden="1" customHeight="1" thickBot="1">
      <c r="A1255" s="156" t="s">
        <v>435</v>
      </c>
      <c r="B1255" s="157"/>
      <c r="C1255" s="157"/>
      <c r="D1255" s="158"/>
    </row>
    <row r="1256" spans="1:4" ht="34.5" hidden="1" customHeight="1" thickBot="1">
      <c r="A1256" s="40"/>
      <c r="B1256" s="39"/>
      <c r="C1256" s="39"/>
      <c r="D1256" s="38"/>
    </row>
    <row r="1257" spans="1:4" ht="34.5" hidden="1" customHeight="1">
      <c r="A1257" s="159" t="s">
        <v>442</v>
      </c>
      <c r="B1257" s="160" t="s">
        <v>441</v>
      </c>
      <c r="C1257" s="160"/>
      <c r="D1257" s="161"/>
    </row>
    <row r="1258" spans="1:4" ht="34.5" hidden="1" customHeight="1" thickBot="1">
      <c r="A1258" s="162"/>
      <c r="B1258" s="163"/>
      <c r="C1258" s="163"/>
      <c r="D1258" s="164"/>
    </row>
    <row r="1259" spans="1:4" ht="34.5" hidden="1" customHeight="1" thickBot="1">
      <c r="A1259" s="142" t="s">
        <v>11</v>
      </c>
      <c r="B1259" s="143"/>
      <c r="C1259" s="165" t="s">
        <v>12</v>
      </c>
      <c r="D1259" s="143"/>
    </row>
    <row r="1260" spans="1:4" ht="34.5" hidden="1" customHeight="1" thickBot="1">
      <c r="A1260" s="137" t="s">
        <v>325</v>
      </c>
      <c r="B1260" s="138"/>
      <c r="C1260" s="138"/>
      <c r="D1260" s="139"/>
    </row>
    <row r="1261" spans="1:4" ht="34.5" hidden="1" customHeight="1" thickBot="1">
      <c r="A1261" s="34" t="s">
        <v>487</v>
      </c>
      <c r="B1261" s="32" t="s">
        <v>438</v>
      </c>
      <c r="C1261" s="34">
        <v>41</v>
      </c>
      <c r="D1261" s="32" t="s">
        <v>0</v>
      </c>
    </row>
    <row r="1262" spans="1:4" ht="34.5" hidden="1" customHeight="1" thickBot="1">
      <c r="A1262" s="37" t="s">
        <v>13</v>
      </c>
      <c r="B1262" s="36" t="s">
        <v>1</v>
      </c>
      <c r="C1262" s="34" t="s">
        <v>14</v>
      </c>
      <c r="D1262" s="32" t="s">
        <v>2</v>
      </c>
    </row>
    <row r="1263" spans="1:4" ht="34.5" hidden="1" customHeight="1" thickBot="1">
      <c r="A1263" s="140">
        <v>0</v>
      </c>
      <c r="B1263" s="141"/>
      <c r="C1263" s="142" t="s">
        <v>3</v>
      </c>
      <c r="D1263" s="143"/>
    </row>
    <row r="1264" spans="1:4" ht="34.5" hidden="1" customHeight="1" thickBot="1">
      <c r="A1264" s="140">
        <v>0</v>
      </c>
      <c r="B1264" s="141"/>
      <c r="C1264" s="144" t="s">
        <v>4</v>
      </c>
      <c r="D1264" s="145"/>
    </row>
    <row r="1265" spans="1:4" ht="34.5" hidden="1" customHeight="1" thickBot="1">
      <c r="A1265" s="146">
        <f>A1264-A1263</f>
        <v>0</v>
      </c>
      <c r="B1265" s="147"/>
      <c r="C1265" s="148"/>
      <c r="D1265" s="35" t="s">
        <v>5</v>
      </c>
    </row>
    <row r="1266" spans="1:4" ht="34.5" hidden="1" customHeight="1" thickBot="1">
      <c r="A1266" s="149">
        <v>50</v>
      </c>
      <c r="B1266" s="150"/>
      <c r="C1266" s="151"/>
      <c r="D1266" s="35" t="s">
        <v>6</v>
      </c>
    </row>
    <row r="1267" spans="1:4" ht="34.5" hidden="1" customHeight="1" thickBot="1">
      <c r="A1267" s="144">
        <f>A1266*A1265</f>
        <v>0</v>
      </c>
      <c r="B1267" s="152"/>
      <c r="C1267" s="145"/>
      <c r="D1267" s="35" t="s">
        <v>7</v>
      </c>
    </row>
    <row r="1268" spans="1:4" ht="34.5" hidden="1" customHeight="1" thickBot="1">
      <c r="A1268" s="144">
        <v>0</v>
      </c>
      <c r="B1268" s="152"/>
      <c r="C1268" s="145"/>
      <c r="D1268" s="35" t="s">
        <v>437</v>
      </c>
    </row>
    <row r="1269" spans="1:4" ht="34.5" hidden="1" customHeight="1" thickBot="1">
      <c r="A1269" s="34">
        <v>0</v>
      </c>
      <c r="B1269" s="32" t="s">
        <v>8</v>
      </c>
      <c r="C1269" s="33">
        <v>3250</v>
      </c>
      <c r="D1269" s="32" t="s">
        <v>9</v>
      </c>
    </row>
    <row r="1270" spans="1:4" ht="34.5" hidden="1" customHeight="1" thickBot="1">
      <c r="A1270" s="153" t="s">
        <v>436</v>
      </c>
      <c r="B1270" s="154"/>
      <c r="C1270" s="154"/>
      <c r="D1270" s="155"/>
    </row>
    <row r="1271" spans="1:4" ht="34.5" hidden="1" customHeight="1" thickBot="1">
      <c r="A1271" s="156" t="s">
        <v>435</v>
      </c>
      <c r="B1271" s="157"/>
      <c r="C1271" s="157"/>
      <c r="D1271" s="158"/>
    </row>
    <row r="1272" spans="1:4" ht="34.5" hidden="1" customHeight="1">
      <c r="A1272" s="159" t="s">
        <v>442</v>
      </c>
      <c r="B1272" s="160" t="s">
        <v>441</v>
      </c>
      <c r="C1272" s="160"/>
      <c r="D1272" s="161"/>
    </row>
    <row r="1273" spans="1:4" ht="34.5" hidden="1" customHeight="1" thickBot="1">
      <c r="A1273" s="162"/>
      <c r="B1273" s="163"/>
      <c r="C1273" s="163"/>
      <c r="D1273" s="164"/>
    </row>
    <row r="1274" spans="1:4" ht="34.5" hidden="1" customHeight="1" thickBot="1">
      <c r="A1274" s="142" t="s">
        <v>11</v>
      </c>
      <c r="B1274" s="143"/>
      <c r="C1274" s="165" t="s">
        <v>12</v>
      </c>
      <c r="D1274" s="143"/>
    </row>
    <row r="1275" spans="1:4" ht="34.5" hidden="1" customHeight="1" thickBot="1">
      <c r="A1275" s="137" t="s">
        <v>494</v>
      </c>
      <c r="B1275" s="138"/>
      <c r="C1275" s="138"/>
      <c r="D1275" s="139"/>
    </row>
    <row r="1276" spans="1:4" ht="34.5" hidden="1" customHeight="1" thickBot="1">
      <c r="A1276" s="34" t="s">
        <v>487</v>
      </c>
      <c r="B1276" s="32" t="s">
        <v>438</v>
      </c>
      <c r="C1276" s="34">
        <v>42</v>
      </c>
      <c r="D1276" s="32" t="s">
        <v>0</v>
      </c>
    </row>
    <row r="1277" spans="1:4" ht="34.5" hidden="1" customHeight="1" thickBot="1">
      <c r="A1277" s="37" t="s">
        <v>13</v>
      </c>
      <c r="B1277" s="36" t="s">
        <v>1</v>
      </c>
      <c r="C1277" s="34" t="s">
        <v>14</v>
      </c>
      <c r="D1277" s="32" t="s">
        <v>2</v>
      </c>
    </row>
    <row r="1278" spans="1:4" ht="34.5" hidden="1" customHeight="1" thickBot="1">
      <c r="A1278" s="140">
        <v>0</v>
      </c>
      <c r="B1278" s="141"/>
      <c r="C1278" s="142" t="s">
        <v>3</v>
      </c>
      <c r="D1278" s="143"/>
    </row>
    <row r="1279" spans="1:4" ht="34.5" hidden="1" customHeight="1" thickBot="1">
      <c r="A1279" s="140">
        <v>0</v>
      </c>
      <c r="B1279" s="141"/>
      <c r="C1279" s="144" t="s">
        <v>4</v>
      </c>
      <c r="D1279" s="145"/>
    </row>
    <row r="1280" spans="1:4" ht="34.5" hidden="1" customHeight="1" thickBot="1">
      <c r="A1280" s="146">
        <f>A1279-A1278</f>
        <v>0</v>
      </c>
      <c r="B1280" s="147"/>
      <c r="C1280" s="148"/>
      <c r="D1280" s="35" t="s">
        <v>5</v>
      </c>
    </row>
    <row r="1281" spans="1:4" ht="34.5" hidden="1" customHeight="1" thickBot="1">
      <c r="A1281" s="149">
        <v>50</v>
      </c>
      <c r="B1281" s="150"/>
      <c r="C1281" s="151"/>
      <c r="D1281" s="35" t="s">
        <v>6</v>
      </c>
    </row>
    <row r="1282" spans="1:4" ht="34.5" hidden="1" customHeight="1" thickBot="1">
      <c r="A1282" s="144">
        <f>A1281*A1280</f>
        <v>0</v>
      </c>
      <c r="B1282" s="152"/>
      <c r="C1282" s="145"/>
      <c r="D1282" s="35" t="s">
        <v>7</v>
      </c>
    </row>
    <row r="1283" spans="1:4" ht="34.5" hidden="1" customHeight="1" thickBot="1">
      <c r="A1283" s="144">
        <v>0</v>
      </c>
      <c r="B1283" s="152"/>
      <c r="C1283" s="145"/>
      <c r="D1283" s="35" t="s">
        <v>437</v>
      </c>
    </row>
    <row r="1284" spans="1:4" ht="34.5" hidden="1" customHeight="1" thickBot="1">
      <c r="A1284" s="34">
        <v>0</v>
      </c>
      <c r="B1284" s="32" t="s">
        <v>8</v>
      </c>
      <c r="C1284" s="33">
        <v>1250</v>
      </c>
      <c r="D1284" s="32" t="s">
        <v>9</v>
      </c>
    </row>
    <row r="1285" spans="1:4" ht="34.5" hidden="1" customHeight="1" thickBot="1">
      <c r="A1285" s="153" t="s">
        <v>436</v>
      </c>
      <c r="B1285" s="154"/>
      <c r="C1285" s="154"/>
      <c r="D1285" s="155"/>
    </row>
    <row r="1286" spans="1:4" ht="34.5" hidden="1" customHeight="1" thickBot="1">
      <c r="A1286" s="156" t="s">
        <v>435</v>
      </c>
      <c r="B1286" s="157"/>
      <c r="C1286" s="157"/>
      <c r="D1286" s="158"/>
    </row>
    <row r="1287" spans="1:4" ht="34.5" hidden="1" customHeight="1" thickBot="1">
      <c r="A1287" s="40"/>
      <c r="B1287" s="39"/>
      <c r="C1287" s="39"/>
      <c r="D1287" s="38"/>
    </row>
    <row r="1288" spans="1:4" ht="34.5" hidden="1" customHeight="1">
      <c r="A1288" s="159" t="s">
        <v>442</v>
      </c>
      <c r="B1288" s="160" t="s">
        <v>441</v>
      </c>
      <c r="C1288" s="160"/>
      <c r="D1288" s="161"/>
    </row>
    <row r="1289" spans="1:4" ht="34.5" hidden="1" customHeight="1" thickBot="1">
      <c r="A1289" s="162"/>
      <c r="B1289" s="163"/>
      <c r="C1289" s="163"/>
      <c r="D1289" s="164"/>
    </row>
    <row r="1290" spans="1:4" ht="34.5" hidden="1" customHeight="1" thickBot="1">
      <c r="A1290" s="142" t="s">
        <v>11</v>
      </c>
      <c r="B1290" s="143"/>
      <c r="C1290" s="165" t="s">
        <v>12</v>
      </c>
      <c r="D1290" s="143"/>
    </row>
    <row r="1291" spans="1:4" ht="34.5" hidden="1" customHeight="1" thickBot="1">
      <c r="A1291" s="137" t="s">
        <v>494</v>
      </c>
      <c r="B1291" s="138"/>
      <c r="C1291" s="138"/>
      <c r="D1291" s="139"/>
    </row>
    <row r="1292" spans="1:4" ht="34.5" hidden="1" customHeight="1" thickBot="1">
      <c r="A1292" s="34" t="s">
        <v>487</v>
      </c>
      <c r="B1292" s="32" t="s">
        <v>438</v>
      </c>
      <c r="C1292" s="34">
        <v>42</v>
      </c>
      <c r="D1292" s="32" t="s">
        <v>0</v>
      </c>
    </row>
    <row r="1293" spans="1:4" ht="34.5" hidden="1" customHeight="1" thickBot="1">
      <c r="A1293" s="37" t="s">
        <v>13</v>
      </c>
      <c r="B1293" s="36" t="s">
        <v>1</v>
      </c>
      <c r="C1293" s="34" t="s">
        <v>14</v>
      </c>
      <c r="D1293" s="32" t="s">
        <v>2</v>
      </c>
    </row>
    <row r="1294" spans="1:4" ht="34.5" hidden="1" customHeight="1" thickBot="1">
      <c r="A1294" s="140">
        <v>0</v>
      </c>
      <c r="B1294" s="141"/>
      <c r="C1294" s="142" t="s">
        <v>3</v>
      </c>
      <c r="D1294" s="143"/>
    </row>
    <row r="1295" spans="1:4" ht="34.5" hidden="1" customHeight="1" thickBot="1">
      <c r="A1295" s="140">
        <v>0</v>
      </c>
      <c r="B1295" s="141"/>
      <c r="C1295" s="144" t="s">
        <v>4</v>
      </c>
      <c r="D1295" s="145"/>
    </row>
    <row r="1296" spans="1:4" ht="34.5" hidden="1" customHeight="1" thickBot="1">
      <c r="A1296" s="146">
        <f>A1295-A1294</f>
        <v>0</v>
      </c>
      <c r="B1296" s="147"/>
      <c r="C1296" s="148"/>
      <c r="D1296" s="35" t="s">
        <v>5</v>
      </c>
    </row>
    <row r="1297" spans="1:4" ht="34.5" hidden="1" customHeight="1" thickBot="1">
      <c r="A1297" s="149">
        <v>50</v>
      </c>
      <c r="B1297" s="150"/>
      <c r="C1297" s="151"/>
      <c r="D1297" s="35" t="s">
        <v>6</v>
      </c>
    </row>
    <row r="1298" spans="1:4" ht="34.5" hidden="1" customHeight="1" thickBot="1">
      <c r="A1298" s="144">
        <f>A1297*A1296</f>
        <v>0</v>
      </c>
      <c r="B1298" s="152"/>
      <c r="C1298" s="145"/>
      <c r="D1298" s="35" t="s">
        <v>7</v>
      </c>
    </row>
    <row r="1299" spans="1:4" ht="34.5" hidden="1" customHeight="1" thickBot="1">
      <c r="A1299" s="144">
        <v>0</v>
      </c>
      <c r="B1299" s="152"/>
      <c r="C1299" s="145"/>
      <c r="D1299" s="35" t="s">
        <v>437</v>
      </c>
    </row>
    <row r="1300" spans="1:4" ht="34.5" hidden="1" customHeight="1" thickBot="1">
      <c r="A1300" s="34">
        <v>0</v>
      </c>
      <c r="B1300" s="32" t="s">
        <v>8</v>
      </c>
      <c r="C1300" s="33">
        <v>1250</v>
      </c>
      <c r="D1300" s="32" t="s">
        <v>9</v>
      </c>
    </row>
    <row r="1301" spans="1:4" ht="34.5" hidden="1" customHeight="1" thickBot="1">
      <c r="A1301" s="153" t="s">
        <v>436</v>
      </c>
      <c r="B1301" s="154"/>
      <c r="C1301" s="154"/>
      <c r="D1301" s="155"/>
    </row>
    <row r="1302" spans="1:4" ht="34.5" hidden="1" customHeight="1" thickBot="1">
      <c r="A1302" s="156" t="s">
        <v>435</v>
      </c>
      <c r="B1302" s="157"/>
      <c r="C1302" s="157"/>
      <c r="D1302" s="158"/>
    </row>
    <row r="1303" spans="1:4" ht="34.5" hidden="1" customHeight="1">
      <c r="A1303" s="159" t="s">
        <v>442</v>
      </c>
      <c r="B1303" s="160" t="s">
        <v>441</v>
      </c>
      <c r="C1303" s="160"/>
      <c r="D1303" s="161"/>
    </row>
    <row r="1304" spans="1:4" ht="34.5" hidden="1" customHeight="1" thickBot="1">
      <c r="A1304" s="162"/>
      <c r="B1304" s="163"/>
      <c r="C1304" s="163"/>
      <c r="D1304" s="164"/>
    </row>
    <row r="1305" spans="1:4" ht="34.5" hidden="1" customHeight="1" thickBot="1">
      <c r="A1305" s="142" t="s">
        <v>11</v>
      </c>
      <c r="B1305" s="143"/>
      <c r="C1305" s="165" t="s">
        <v>12</v>
      </c>
      <c r="D1305" s="143"/>
    </row>
    <row r="1306" spans="1:4" ht="34.5" hidden="1" customHeight="1" thickBot="1">
      <c r="A1306" s="137" t="s">
        <v>493</v>
      </c>
      <c r="B1306" s="138"/>
      <c r="C1306" s="138"/>
      <c r="D1306" s="139"/>
    </row>
    <row r="1307" spans="1:4" ht="34.5" hidden="1" customHeight="1" thickBot="1">
      <c r="A1307" s="34" t="s">
        <v>487</v>
      </c>
      <c r="B1307" s="32" t="s">
        <v>438</v>
      </c>
      <c r="C1307" s="34">
        <v>43</v>
      </c>
      <c r="D1307" s="32" t="s">
        <v>0</v>
      </c>
    </row>
    <row r="1308" spans="1:4" ht="34.5" hidden="1" customHeight="1" thickBot="1">
      <c r="A1308" s="37" t="s">
        <v>13</v>
      </c>
      <c r="B1308" s="36" t="s">
        <v>1</v>
      </c>
      <c r="C1308" s="34" t="s">
        <v>14</v>
      </c>
      <c r="D1308" s="32" t="s">
        <v>2</v>
      </c>
    </row>
    <row r="1309" spans="1:4" ht="34.5" hidden="1" customHeight="1" thickBot="1">
      <c r="A1309" s="140">
        <v>0</v>
      </c>
      <c r="B1309" s="141"/>
      <c r="C1309" s="142" t="s">
        <v>3</v>
      </c>
      <c r="D1309" s="143"/>
    </row>
    <row r="1310" spans="1:4" ht="34.5" hidden="1" customHeight="1" thickBot="1">
      <c r="A1310" s="140">
        <v>0</v>
      </c>
      <c r="B1310" s="141"/>
      <c r="C1310" s="144" t="s">
        <v>4</v>
      </c>
      <c r="D1310" s="145"/>
    </row>
    <row r="1311" spans="1:4" ht="34.5" hidden="1" customHeight="1" thickBot="1">
      <c r="A1311" s="146">
        <f>A1310-A1309</f>
        <v>0</v>
      </c>
      <c r="B1311" s="147"/>
      <c r="C1311" s="148"/>
      <c r="D1311" s="35" t="s">
        <v>5</v>
      </c>
    </row>
    <row r="1312" spans="1:4" ht="34.5" hidden="1" customHeight="1" thickBot="1">
      <c r="A1312" s="149">
        <v>50</v>
      </c>
      <c r="B1312" s="150"/>
      <c r="C1312" s="151"/>
      <c r="D1312" s="35" t="s">
        <v>6</v>
      </c>
    </row>
    <row r="1313" spans="1:4" ht="34.5" hidden="1" customHeight="1" thickBot="1">
      <c r="A1313" s="144">
        <f>A1312*A1311</f>
        <v>0</v>
      </c>
      <c r="B1313" s="152"/>
      <c r="C1313" s="145"/>
      <c r="D1313" s="35" t="s">
        <v>7</v>
      </c>
    </row>
    <row r="1314" spans="1:4" ht="34.5" hidden="1" customHeight="1" thickBot="1">
      <c r="A1314" s="144">
        <v>0</v>
      </c>
      <c r="B1314" s="152"/>
      <c r="C1314" s="145"/>
      <c r="D1314" s="35" t="s">
        <v>437</v>
      </c>
    </row>
    <row r="1315" spans="1:4" ht="34.5" hidden="1" customHeight="1" thickBot="1">
      <c r="A1315" s="34">
        <v>0</v>
      </c>
      <c r="B1315" s="32" t="s">
        <v>8</v>
      </c>
      <c r="C1315" s="33">
        <v>2450</v>
      </c>
      <c r="D1315" s="32" t="s">
        <v>9</v>
      </c>
    </row>
    <row r="1316" spans="1:4" ht="34.5" hidden="1" customHeight="1" thickBot="1">
      <c r="A1316" s="153" t="s">
        <v>436</v>
      </c>
      <c r="B1316" s="154"/>
      <c r="C1316" s="154"/>
      <c r="D1316" s="155"/>
    </row>
    <row r="1317" spans="1:4" ht="34.5" hidden="1" customHeight="1" thickBot="1">
      <c r="A1317" s="156" t="s">
        <v>435</v>
      </c>
      <c r="B1317" s="157"/>
      <c r="C1317" s="157"/>
      <c r="D1317" s="158"/>
    </row>
    <row r="1318" spans="1:4" ht="34.5" hidden="1" customHeight="1" thickBot="1">
      <c r="A1318" s="40"/>
      <c r="B1318" s="39"/>
      <c r="C1318" s="39"/>
      <c r="D1318" s="38"/>
    </row>
    <row r="1319" spans="1:4" ht="34.5" hidden="1" customHeight="1">
      <c r="A1319" s="159" t="s">
        <v>442</v>
      </c>
      <c r="B1319" s="160" t="s">
        <v>441</v>
      </c>
      <c r="C1319" s="160"/>
      <c r="D1319" s="161"/>
    </row>
    <row r="1320" spans="1:4" ht="34.5" hidden="1" customHeight="1" thickBot="1">
      <c r="A1320" s="162"/>
      <c r="B1320" s="163"/>
      <c r="C1320" s="163"/>
      <c r="D1320" s="164"/>
    </row>
    <row r="1321" spans="1:4" ht="34.5" hidden="1" customHeight="1" thickBot="1">
      <c r="A1321" s="142" t="s">
        <v>11</v>
      </c>
      <c r="B1321" s="143"/>
      <c r="C1321" s="165" t="s">
        <v>12</v>
      </c>
      <c r="D1321" s="143"/>
    </row>
    <row r="1322" spans="1:4" ht="34.5" hidden="1" customHeight="1" thickBot="1">
      <c r="A1322" s="137" t="s">
        <v>493</v>
      </c>
      <c r="B1322" s="138"/>
      <c r="C1322" s="138"/>
      <c r="D1322" s="139"/>
    </row>
    <row r="1323" spans="1:4" ht="34.5" hidden="1" customHeight="1" thickBot="1">
      <c r="A1323" s="34" t="s">
        <v>487</v>
      </c>
      <c r="B1323" s="32" t="s">
        <v>438</v>
      </c>
      <c r="C1323" s="34">
        <v>43</v>
      </c>
      <c r="D1323" s="32" t="s">
        <v>0</v>
      </c>
    </row>
    <row r="1324" spans="1:4" ht="34.5" hidden="1" customHeight="1" thickBot="1">
      <c r="A1324" s="37" t="s">
        <v>13</v>
      </c>
      <c r="B1324" s="36" t="s">
        <v>1</v>
      </c>
      <c r="C1324" s="34" t="s">
        <v>14</v>
      </c>
      <c r="D1324" s="32" t="s">
        <v>2</v>
      </c>
    </row>
    <row r="1325" spans="1:4" ht="34.5" hidden="1" customHeight="1" thickBot="1">
      <c r="A1325" s="140">
        <v>0</v>
      </c>
      <c r="B1325" s="141"/>
      <c r="C1325" s="142" t="s">
        <v>3</v>
      </c>
      <c r="D1325" s="143"/>
    </row>
    <row r="1326" spans="1:4" ht="34.5" hidden="1" customHeight="1" thickBot="1">
      <c r="A1326" s="140">
        <v>0</v>
      </c>
      <c r="B1326" s="141"/>
      <c r="C1326" s="144" t="s">
        <v>4</v>
      </c>
      <c r="D1326" s="145"/>
    </row>
    <row r="1327" spans="1:4" ht="34.5" hidden="1" customHeight="1" thickBot="1">
      <c r="A1327" s="146">
        <f>A1326-A1325</f>
        <v>0</v>
      </c>
      <c r="B1327" s="147"/>
      <c r="C1327" s="148"/>
      <c r="D1327" s="35" t="s">
        <v>5</v>
      </c>
    </row>
    <row r="1328" spans="1:4" ht="34.5" hidden="1" customHeight="1" thickBot="1">
      <c r="A1328" s="149">
        <v>50</v>
      </c>
      <c r="B1328" s="150"/>
      <c r="C1328" s="151"/>
      <c r="D1328" s="35" t="s">
        <v>6</v>
      </c>
    </row>
    <row r="1329" spans="1:4" ht="34.5" hidden="1" customHeight="1" thickBot="1">
      <c r="A1329" s="144">
        <f>A1328*A1327</f>
        <v>0</v>
      </c>
      <c r="B1329" s="152"/>
      <c r="C1329" s="145"/>
      <c r="D1329" s="35" t="s">
        <v>7</v>
      </c>
    </row>
    <row r="1330" spans="1:4" ht="34.5" hidden="1" customHeight="1" thickBot="1">
      <c r="A1330" s="144">
        <v>0</v>
      </c>
      <c r="B1330" s="152"/>
      <c r="C1330" s="145"/>
      <c r="D1330" s="35" t="s">
        <v>437</v>
      </c>
    </row>
    <row r="1331" spans="1:4" ht="34.5" hidden="1" customHeight="1" thickBot="1">
      <c r="A1331" s="34">
        <v>0</v>
      </c>
      <c r="B1331" s="32" t="s">
        <v>8</v>
      </c>
      <c r="C1331" s="33">
        <v>2450</v>
      </c>
      <c r="D1331" s="32" t="s">
        <v>9</v>
      </c>
    </row>
    <row r="1332" spans="1:4" ht="34.5" hidden="1" customHeight="1" thickBot="1">
      <c r="A1332" s="153" t="s">
        <v>436</v>
      </c>
      <c r="B1332" s="154"/>
      <c r="C1332" s="154"/>
      <c r="D1332" s="155"/>
    </row>
    <row r="1333" spans="1:4" ht="34.5" hidden="1" customHeight="1" thickBot="1">
      <c r="A1333" s="156" t="s">
        <v>435</v>
      </c>
      <c r="B1333" s="157"/>
      <c r="C1333" s="157"/>
      <c r="D1333" s="158"/>
    </row>
    <row r="1334" spans="1:4" ht="34.5" hidden="1" customHeight="1">
      <c r="A1334" s="159" t="s">
        <v>442</v>
      </c>
      <c r="B1334" s="160" t="s">
        <v>441</v>
      </c>
      <c r="C1334" s="160"/>
      <c r="D1334" s="161"/>
    </row>
    <row r="1335" spans="1:4" ht="34.5" hidden="1" customHeight="1" thickBot="1">
      <c r="A1335" s="162"/>
      <c r="B1335" s="163"/>
      <c r="C1335" s="163"/>
      <c r="D1335" s="164"/>
    </row>
    <row r="1336" spans="1:4" ht="34.5" hidden="1" customHeight="1" thickBot="1">
      <c r="A1336" s="142" t="s">
        <v>11</v>
      </c>
      <c r="B1336" s="143"/>
      <c r="C1336" s="165" t="s">
        <v>12</v>
      </c>
      <c r="D1336" s="143"/>
    </row>
    <row r="1337" spans="1:4" ht="34.5" hidden="1" customHeight="1" thickBot="1">
      <c r="A1337" s="137" t="s">
        <v>492</v>
      </c>
      <c r="B1337" s="138"/>
      <c r="C1337" s="138"/>
      <c r="D1337" s="139"/>
    </row>
    <row r="1338" spans="1:4" ht="34.5" hidden="1" customHeight="1" thickBot="1">
      <c r="A1338" s="34" t="s">
        <v>487</v>
      </c>
      <c r="B1338" s="32" t="s">
        <v>438</v>
      </c>
      <c r="C1338" s="34">
        <v>44</v>
      </c>
      <c r="D1338" s="32" t="s">
        <v>0</v>
      </c>
    </row>
    <row r="1339" spans="1:4" ht="34.5" hidden="1" customHeight="1" thickBot="1">
      <c r="A1339" s="37" t="s">
        <v>13</v>
      </c>
      <c r="B1339" s="36" t="s">
        <v>1</v>
      </c>
      <c r="C1339" s="34" t="s">
        <v>14</v>
      </c>
      <c r="D1339" s="32" t="s">
        <v>2</v>
      </c>
    </row>
    <row r="1340" spans="1:4" ht="34.5" hidden="1" customHeight="1" thickBot="1">
      <c r="A1340" s="140">
        <v>0</v>
      </c>
      <c r="B1340" s="141"/>
      <c r="C1340" s="142" t="s">
        <v>3</v>
      </c>
      <c r="D1340" s="143"/>
    </row>
    <row r="1341" spans="1:4" ht="34.5" hidden="1" customHeight="1" thickBot="1">
      <c r="A1341" s="140">
        <v>0</v>
      </c>
      <c r="B1341" s="141"/>
      <c r="C1341" s="144" t="s">
        <v>4</v>
      </c>
      <c r="D1341" s="145"/>
    </row>
    <row r="1342" spans="1:4" ht="34.5" hidden="1" customHeight="1" thickBot="1">
      <c r="A1342" s="146">
        <f>A1341-A1340</f>
        <v>0</v>
      </c>
      <c r="B1342" s="147"/>
      <c r="C1342" s="148"/>
      <c r="D1342" s="35" t="s">
        <v>5</v>
      </c>
    </row>
    <row r="1343" spans="1:4" ht="34.5" hidden="1" customHeight="1" thickBot="1">
      <c r="A1343" s="149">
        <v>50</v>
      </c>
      <c r="B1343" s="150"/>
      <c r="C1343" s="151"/>
      <c r="D1343" s="35" t="s">
        <v>6</v>
      </c>
    </row>
    <row r="1344" spans="1:4" ht="34.5" hidden="1" customHeight="1" thickBot="1">
      <c r="A1344" s="144">
        <f>A1343*A1342</f>
        <v>0</v>
      </c>
      <c r="B1344" s="152"/>
      <c r="C1344" s="145"/>
      <c r="D1344" s="35" t="s">
        <v>7</v>
      </c>
    </row>
    <row r="1345" spans="1:4" ht="34.5" hidden="1" customHeight="1" thickBot="1">
      <c r="A1345" s="144">
        <v>0</v>
      </c>
      <c r="B1345" s="152"/>
      <c r="C1345" s="145"/>
      <c r="D1345" s="35" t="s">
        <v>437</v>
      </c>
    </row>
    <row r="1346" spans="1:4" ht="34.5" hidden="1" customHeight="1" thickBot="1">
      <c r="A1346" s="34">
        <v>0</v>
      </c>
      <c r="B1346" s="32" t="s">
        <v>8</v>
      </c>
      <c r="C1346" s="33">
        <v>0</v>
      </c>
      <c r="D1346" s="32" t="s">
        <v>9</v>
      </c>
    </row>
    <row r="1347" spans="1:4" ht="34.5" hidden="1" customHeight="1" thickBot="1">
      <c r="A1347" s="153" t="s">
        <v>436</v>
      </c>
      <c r="B1347" s="154"/>
      <c r="C1347" s="154"/>
      <c r="D1347" s="155"/>
    </row>
    <row r="1348" spans="1:4" ht="34.5" hidden="1" customHeight="1" thickBot="1">
      <c r="A1348" s="156" t="s">
        <v>435</v>
      </c>
      <c r="B1348" s="157"/>
      <c r="C1348" s="157"/>
      <c r="D1348" s="158"/>
    </row>
    <row r="1349" spans="1:4" ht="34.5" hidden="1" customHeight="1" thickBot="1">
      <c r="A1349" s="40"/>
      <c r="B1349" s="39"/>
      <c r="C1349" s="39"/>
      <c r="D1349" s="38"/>
    </row>
    <row r="1350" spans="1:4" ht="34.5" hidden="1" customHeight="1">
      <c r="A1350" s="159" t="s">
        <v>442</v>
      </c>
      <c r="B1350" s="160" t="s">
        <v>441</v>
      </c>
      <c r="C1350" s="160"/>
      <c r="D1350" s="161"/>
    </row>
    <row r="1351" spans="1:4" ht="34.5" hidden="1" customHeight="1" thickBot="1">
      <c r="A1351" s="162"/>
      <c r="B1351" s="163"/>
      <c r="C1351" s="163"/>
      <c r="D1351" s="164"/>
    </row>
    <row r="1352" spans="1:4" ht="34.5" hidden="1" customHeight="1" thickBot="1">
      <c r="A1352" s="142" t="s">
        <v>11</v>
      </c>
      <c r="B1352" s="143"/>
      <c r="C1352" s="165" t="s">
        <v>12</v>
      </c>
      <c r="D1352" s="143"/>
    </row>
    <row r="1353" spans="1:4" ht="34.5" hidden="1" customHeight="1" thickBot="1">
      <c r="A1353" s="137" t="s">
        <v>492</v>
      </c>
      <c r="B1353" s="138"/>
      <c r="C1353" s="138"/>
      <c r="D1353" s="139"/>
    </row>
    <row r="1354" spans="1:4" ht="34.5" hidden="1" customHeight="1" thickBot="1">
      <c r="A1354" s="34" t="s">
        <v>487</v>
      </c>
      <c r="B1354" s="32" t="s">
        <v>438</v>
      </c>
      <c r="C1354" s="34">
        <v>44</v>
      </c>
      <c r="D1354" s="32" t="s">
        <v>0</v>
      </c>
    </row>
    <row r="1355" spans="1:4" ht="34.5" hidden="1" customHeight="1" thickBot="1">
      <c r="A1355" s="37" t="s">
        <v>13</v>
      </c>
      <c r="B1355" s="36" t="s">
        <v>1</v>
      </c>
      <c r="C1355" s="34" t="s">
        <v>14</v>
      </c>
      <c r="D1355" s="32" t="s">
        <v>2</v>
      </c>
    </row>
    <row r="1356" spans="1:4" ht="34.5" hidden="1" customHeight="1" thickBot="1">
      <c r="A1356" s="140">
        <v>0</v>
      </c>
      <c r="B1356" s="141"/>
      <c r="C1356" s="142" t="s">
        <v>3</v>
      </c>
      <c r="D1356" s="143"/>
    </row>
    <row r="1357" spans="1:4" ht="34.5" hidden="1" customHeight="1" thickBot="1">
      <c r="A1357" s="140">
        <v>0</v>
      </c>
      <c r="B1357" s="141"/>
      <c r="C1357" s="144" t="s">
        <v>4</v>
      </c>
      <c r="D1357" s="145"/>
    </row>
    <row r="1358" spans="1:4" ht="34.5" hidden="1" customHeight="1" thickBot="1">
      <c r="A1358" s="146">
        <f>A1357-A1356</f>
        <v>0</v>
      </c>
      <c r="B1358" s="147"/>
      <c r="C1358" s="148"/>
      <c r="D1358" s="35" t="s">
        <v>5</v>
      </c>
    </row>
    <row r="1359" spans="1:4" ht="34.5" hidden="1" customHeight="1" thickBot="1">
      <c r="A1359" s="149">
        <v>50</v>
      </c>
      <c r="B1359" s="150"/>
      <c r="C1359" s="151"/>
      <c r="D1359" s="35" t="s">
        <v>6</v>
      </c>
    </row>
    <row r="1360" spans="1:4" ht="34.5" hidden="1" customHeight="1" thickBot="1">
      <c r="A1360" s="144">
        <f>A1359*A1358</f>
        <v>0</v>
      </c>
      <c r="B1360" s="152"/>
      <c r="C1360" s="145"/>
      <c r="D1360" s="35" t="s">
        <v>7</v>
      </c>
    </row>
    <row r="1361" spans="1:4" ht="34.5" hidden="1" customHeight="1" thickBot="1">
      <c r="A1361" s="144">
        <v>0</v>
      </c>
      <c r="B1361" s="152"/>
      <c r="C1361" s="145"/>
      <c r="D1361" s="35" t="s">
        <v>437</v>
      </c>
    </row>
    <row r="1362" spans="1:4" ht="34.5" hidden="1" customHeight="1" thickBot="1">
      <c r="A1362" s="34">
        <v>0</v>
      </c>
      <c r="B1362" s="32" t="s">
        <v>8</v>
      </c>
      <c r="C1362" s="33">
        <v>0</v>
      </c>
      <c r="D1362" s="32" t="s">
        <v>9</v>
      </c>
    </row>
    <row r="1363" spans="1:4" ht="34.5" hidden="1" customHeight="1" thickBot="1">
      <c r="A1363" s="153" t="s">
        <v>436</v>
      </c>
      <c r="B1363" s="154"/>
      <c r="C1363" s="154"/>
      <c r="D1363" s="155"/>
    </row>
    <row r="1364" spans="1:4" ht="34.5" hidden="1" customHeight="1" thickBot="1">
      <c r="A1364" s="156" t="s">
        <v>435</v>
      </c>
      <c r="B1364" s="157"/>
      <c r="C1364" s="157"/>
      <c r="D1364" s="158"/>
    </row>
    <row r="1365" spans="1:4" ht="34.5" hidden="1" customHeight="1">
      <c r="A1365" s="159" t="s">
        <v>442</v>
      </c>
      <c r="B1365" s="160" t="s">
        <v>441</v>
      </c>
      <c r="C1365" s="160"/>
      <c r="D1365" s="161"/>
    </row>
    <row r="1366" spans="1:4" ht="34.5" hidden="1" customHeight="1" thickBot="1">
      <c r="A1366" s="162"/>
      <c r="B1366" s="163"/>
      <c r="C1366" s="163"/>
      <c r="D1366" s="164"/>
    </row>
    <row r="1367" spans="1:4" ht="34.5" hidden="1" customHeight="1" thickBot="1">
      <c r="A1367" s="142" t="s">
        <v>11</v>
      </c>
      <c r="B1367" s="143"/>
      <c r="C1367" s="165" t="s">
        <v>12</v>
      </c>
      <c r="D1367" s="143"/>
    </row>
    <row r="1368" spans="1:4" ht="34.5" hidden="1" customHeight="1" thickBot="1">
      <c r="A1368" s="137" t="s">
        <v>54</v>
      </c>
      <c r="B1368" s="138"/>
      <c r="C1368" s="138"/>
      <c r="D1368" s="139"/>
    </row>
    <row r="1369" spans="1:4" ht="34.5" hidden="1" customHeight="1" thickBot="1">
      <c r="A1369" s="34" t="s">
        <v>487</v>
      </c>
      <c r="B1369" s="32" t="s">
        <v>438</v>
      </c>
      <c r="C1369" s="34">
        <v>45</v>
      </c>
      <c r="D1369" s="32" t="s">
        <v>0</v>
      </c>
    </row>
    <row r="1370" spans="1:4" ht="34.5" hidden="1" customHeight="1" thickBot="1">
      <c r="A1370" s="37" t="s">
        <v>13</v>
      </c>
      <c r="B1370" s="36" t="s">
        <v>1</v>
      </c>
      <c r="C1370" s="34" t="s">
        <v>14</v>
      </c>
      <c r="D1370" s="32" t="s">
        <v>2</v>
      </c>
    </row>
    <row r="1371" spans="1:4" ht="34.5" hidden="1" customHeight="1" thickBot="1">
      <c r="A1371" s="140">
        <v>0</v>
      </c>
      <c r="B1371" s="141"/>
      <c r="C1371" s="142" t="s">
        <v>3</v>
      </c>
      <c r="D1371" s="143"/>
    </row>
    <row r="1372" spans="1:4" ht="34.5" hidden="1" customHeight="1" thickBot="1">
      <c r="A1372" s="140">
        <v>0</v>
      </c>
      <c r="B1372" s="141"/>
      <c r="C1372" s="144" t="s">
        <v>4</v>
      </c>
      <c r="D1372" s="145"/>
    </row>
    <row r="1373" spans="1:4" ht="34.5" hidden="1" customHeight="1" thickBot="1">
      <c r="A1373" s="146">
        <v>10</v>
      </c>
      <c r="B1373" s="147"/>
      <c r="C1373" s="148"/>
      <c r="D1373" s="35" t="s">
        <v>5</v>
      </c>
    </row>
    <row r="1374" spans="1:4" ht="34.5" hidden="1" customHeight="1" thickBot="1">
      <c r="A1374" s="149">
        <v>50</v>
      </c>
      <c r="B1374" s="150"/>
      <c r="C1374" s="151"/>
      <c r="D1374" s="35" t="s">
        <v>6</v>
      </c>
    </row>
    <row r="1375" spans="1:4" ht="34.5" hidden="1" customHeight="1" thickBot="1">
      <c r="A1375" s="144">
        <f>A1374*A1373</f>
        <v>500</v>
      </c>
      <c r="B1375" s="152"/>
      <c r="C1375" s="145"/>
      <c r="D1375" s="35" t="s">
        <v>7</v>
      </c>
    </row>
    <row r="1376" spans="1:4" ht="34.5" hidden="1" customHeight="1" thickBot="1">
      <c r="A1376" s="144">
        <v>0</v>
      </c>
      <c r="B1376" s="152"/>
      <c r="C1376" s="145"/>
      <c r="D1376" s="35" t="s">
        <v>437</v>
      </c>
    </row>
    <row r="1377" spans="1:4" ht="34.5" hidden="1" customHeight="1" thickBot="1">
      <c r="A1377" s="34">
        <v>0</v>
      </c>
      <c r="B1377" s="32" t="s">
        <v>8</v>
      </c>
      <c r="C1377" s="33">
        <v>500</v>
      </c>
      <c r="D1377" s="32" t="s">
        <v>9</v>
      </c>
    </row>
    <row r="1378" spans="1:4" ht="34.5" hidden="1" customHeight="1" thickBot="1">
      <c r="A1378" s="153" t="s">
        <v>436</v>
      </c>
      <c r="B1378" s="154"/>
      <c r="C1378" s="154"/>
      <c r="D1378" s="155"/>
    </row>
    <row r="1379" spans="1:4" ht="34.5" hidden="1" customHeight="1" thickBot="1">
      <c r="A1379" s="156" t="s">
        <v>435</v>
      </c>
      <c r="B1379" s="157"/>
      <c r="C1379" s="157"/>
      <c r="D1379" s="158"/>
    </row>
    <row r="1380" spans="1:4" ht="34.5" hidden="1" customHeight="1" thickBot="1">
      <c r="A1380" s="40"/>
      <c r="B1380" s="39"/>
      <c r="C1380" s="39"/>
      <c r="D1380" s="38"/>
    </row>
    <row r="1381" spans="1:4" ht="34.5" hidden="1" customHeight="1">
      <c r="A1381" s="159" t="s">
        <v>442</v>
      </c>
      <c r="B1381" s="160" t="s">
        <v>441</v>
      </c>
      <c r="C1381" s="160"/>
      <c r="D1381" s="161"/>
    </row>
    <row r="1382" spans="1:4" ht="34.5" hidden="1" customHeight="1" thickBot="1">
      <c r="A1382" s="162"/>
      <c r="B1382" s="163"/>
      <c r="C1382" s="163"/>
      <c r="D1382" s="164"/>
    </row>
    <row r="1383" spans="1:4" ht="34.5" hidden="1" customHeight="1" thickBot="1">
      <c r="A1383" s="142" t="s">
        <v>11</v>
      </c>
      <c r="B1383" s="143"/>
      <c r="C1383" s="165" t="s">
        <v>12</v>
      </c>
      <c r="D1383" s="143"/>
    </row>
    <row r="1384" spans="1:4" ht="34.5" hidden="1" customHeight="1" thickBot="1">
      <c r="A1384" s="137" t="s">
        <v>54</v>
      </c>
      <c r="B1384" s="138"/>
      <c r="C1384" s="138"/>
      <c r="D1384" s="139"/>
    </row>
    <row r="1385" spans="1:4" ht="34.5" hidden="1" customHeight="1" thickBot="1">
      <c r="A1385" s="34" t="s">
        <v>487</v>
      </c>
      <c r="B1385" s="32" t="s">
        <v>438</v>
      </c>
      <c r="C1385" s="34">
        <v>45</v>
      </c>
      <c r="D1385" s="32" t="s">
        <v>0</v>
      </c>
    </row>
    <row r="1386" spans="1:4" ht="34.5" hidden="1" customHeight="1" thickBot="1">
      <c r="A1386" s="37" t="s">
        <v>13</v>
      </c>
      <c r="B1386" s="36" t="s">
        <v>1</v>
      </c>
      <c r="C1386" s="34" t="s">
        <v>14</v>
      </c>
      <c r="D1386" s="32" t="s">
        <v>2</v>
      </c>
    </row>
    <row r="1387" spans="1:4" ht="34.5" hidden="1" customHeight="1" thickBot="1">
      <c r="A1387" s="140">
        <v>0</v>
      </c>
      <c r="B1387" s="141"/>
      <c r="C1387" s="142" t="s">
        <v>3</v>
      </c>
      <c r="D1387" s="143"/>
    </row>
    <row r="1388" spans="1:4" ht="34.5" hidden="1" customHeight="1" thickBot="1">
      <c r="A1388" s="140">
        <v>0</v>
      </c>
      <c r="B1388" s="141"/>
      <c r="C1388" s="144" t="s">
        <v>4</v>
      </c>
      <c r="D1388" s="145"/>
    </row>
    <row r="1389" spans="1:4" ht="34.5" hidden="1" customHeight="1" thickBot="1">
      <c r="A1389" s="146">
        <v>10</v>
      </c>
      <c r="B1389" s="147"/>
      <c r="C1389" s="148"/>
      <c r="D1389" s="35" t="s">
        <v>5</v>
      </c>
    </row>
    <row r="1390" spans="1:4" ht="34.5" hidden="1" customHeight="1" thickBot="1">
      <c r="A1390" s="149">
        <v>50</v>
      </c>
      <c r="B1390" s="150"/>
      <c r="C1390" s="151"/>
      <c r="D1390" s="35" t="s">
        <v>6</v>
      </c>
    </row>
    <row r="1391" spans="1:4" ht="34.5" hidden="1" customHeight="1" thickBot="1">
      <c r="A1391" s="144">
        <f>A1390*A1389</f>
        <v>500</v>
      </c>
      <c r="B1391" s="152"/>
      <c r="C1391" s="145"/>
      <c r="D1391" s="35" t="s">
        <v>7</v>
      </c>
    </row>
    <row r="1392" spans="1:4" ht="34.5" hidden="1" customHeight="1" thickBot="1">
      <c r="A1392" s="144">
        <v>0</v>
      </c>
      <c r="B1392" s="152"/>
      <c r="C1392" s="145"/>
      <c r="D1392" s="35" t="s">
        <v>437</v>
      </c>
    </row>
    <row r="1393" spans="1:4" ht="34.5" hidden="1" customHeight="1" thickBot="1">
      <c r="A1393" s="34">
        <v>0</v>
      </c>
      <c r="B1393" s="32" t="s">
        <v>8</v>
      </c>
      <c r="C1393" s="33">
        <v>500</v>
      </c>
      <c r="D1393" s="32" t="s">
        <v>9</v>
      </c>
    </row>
    <row r="1394" spans="1:4" ht="34.5" hidden="1" customHeight="1" thickBot="1">
      <c r="A1394" s="153" t="s">
        <v>436</v>
      </c>
      <c r="B1394" s="154"/>
      <c r="C1394" s="154"/>
      <c r="D1394" s="155"/>
    </row>
    <row r="1395" spans="1:4" ht="34.5" hidden="1" customHeight="1" thickBot="1">
      <c r="A1395" s="156" t="s">
        <v>435</v>
      </c>
      <c r="B1395" s="157"/>
      <c r="C1395" s="157"/>
      <c r="D1395" s="158"/>
    </row>
    <row r="1396" spans="1:4" ht="34.5" hidden="1" customHeight="1">
      <c r="A1396" s="159" t="s">
        <v>442</v>
      </c>
      <c r="B1396" s="160" t="s">
        <v>441</v>
      </c>
      <c r="C1396" s="160"/>
      <c r="D1396" s="161"/>
    </row>
    <row r="1397" spans="1:4" ht="34.5" hidden="1" customHeight="1" thickBot="1">
      <c r="A1397" s="162"/>
      <c r="B1397" s="163"/>
      <c r="C1397" s="163"/>
      <c r="D1397" s="164"/>
    </row>
    <row r="1398" spans="1:4" ht="34.5" hidden="1" customHeight="1" thickBot="1">
      <c r="A1398" s="142" t="s">
        <v>11</v>
      </c>
      <c r="B1398" s="143"/>
      <c r="C1398" s="165" t="s">
        <v>12</v>
      </c>
      <c r="D1398" s="143"/>
    </row>
    <row r="1399" spans="1:4" ht="34.5" hidden="1" customHeight="1" thickBot="1">
      <c r="A1399" s="137" t="s">
        <v>332</v>
      </c>
      <c r="B1399" s="138"/>
      <c r="C1399" s="138"/>
      <c r="D1399" s="139"/>
    </row>
    <row r="1400" spans="1:4" ht="34.5" hidden="1" customHeight="1" thickBot="1">
      <c r="A1400" s="34" t="s">
        <v>487</v>
      </c>
      <c r="B1400" s="32" t="s">
        <v>438</v>
      </c>
      <c r="C1400" s="34">
        <v>46</v>
      </c>
      <c r="D1400" s="32" t="s">
        <v>0</v>
      </c>
    </row>
    <row r="1401" spans="1:4" ht="34.5" hidden="1" customHeight="1" thickBot="1">
      <c r="A1401" s="37" t="s">
        <v>13</v>
      </c>
      <c r="B1401" s="36" t="s">
        <v>1</v>
      </c>
      <c r="C1401" s="34" t="s">
        <v>14</v>
      </c>
      <c r="D1401" s="32" t="s">
        <v>2</v>
      </c>
    </row>
    <row r="1402" spans="1:4" ht="34.5" hidden="1" customHeight="1" thickBot="1">
      <c r="A1402" s="140">
        <v>0</v>
      </c>
      <c r="B1402" s="141"/>
      <c r="C1402" s="142" t="s">
        <v>3</v>
      </c>
      <c r="D1402" s="143"/>
    </row>
    <row r="1403" spans="1:4" ht="34.5" hidden="1" customHeight="1" thickBot="1">
      <c r="A1403" s="140">
        <v>0</v>
      </c>
      <c r="B1403" s="141"/>
      <c r="C1403" s="144" t="s">
        <v>4</v>
      </c>
      <c r="D1403" s="145"/>
    </row>
    <row r="1404" spans="1:4" ht="34.5" hidden="1" customHeight="1" thickBot="1">
      <c r="A1404" s="146">
        <f>A1403-A1402</f>
        <v>0</v>
      </c>
      <c r="B1404" s="147"/>
      <c r="C1404" s="148"/>
      <c r="D1404" s="35" t="s">
        <v>5</v>
      </c>
    </row>
    <row r="1405" spans="1:4" ht="34.5" hidden="1" customHeight="1" thickBot="1">
      <c r="A1405" s="149">
        <v>50</v>
      </c>
      <c r="B1405" s="150"/>
      <c r="C1405" s="151"/>
      <c r="D1405" s="35" t="s">
        <v>6</v>
      </c>
    </row>
    <row r="1406" spans="1:4" ht="34.5" hidden="1" customHeight="1" thickBot="1">
      <c r="A1406" s="144">
        <f>A1405*A1404</f>
        <v>0</v>
      </c>
      <c r="B1406" s="152"/>
      <c r="C1406" s="145"/>
      <c r="D1406" s="35" t="s">
        <v>7</v>
      </c>
    </row>
    <row r="1407" spans="1:4" ht="34.5" hidden="1" customHeight="1" thickBot="1">
      <c r="A1407" s="144">
        <v>0</v>
      </c>
      <c r="B1407" s="152"/>
      <c r="C1407" s="145"/>
      <c r="D1407" s="35" t="s">
        <v>437</v>
      </c>
    </row>
    <row r="1408" spans="1:4" ht="34.5" hidden="1" customHeight="1" thickBot="1">
      <c r="A1408" s="34">
        <v>0</v>
      </c>
      <c r="B1408" s="32" t="s">
        <v>8</v>
      </c>
      <c r="C1408" s="33">
        <v>1400</v>
      </c>
      <c r="D1408" s="32" t="s">
        <v>9</v>
      </c>
    </row>
    <row r="1409" spans="1:4" ht="34.5" hidden="1" customHeight="1" thickBot="1">
      <c r="A1409" s="153" t="s">
        <v>436</v>
      </c>
      <c r="B1409" s="154"/>
      <c r="C1409" s="154"/>
      <c r="D1409" s="155"/>
    </row>
    <row r="1410" spans="1:4" ht="34.5" hidden="1" customHeight="1" thickBot="1">
      <c r="A1410" s="156" t="s">
        <v>435</v>
      </c>
      <c r="B1410" s="157"/>
      <c r="C1410" s="157"/>
      <c r="D1410" s="158"/>
    </row>
    <row r="1411" spans="1:4" ht="34.5" hidden="1" customHeight="1" thickBot="1">
      <c r="A1411" s="40"/>
      <c r="B1411" s="39"/>
      <c r="C1411" s="39"/>
      <c r="D1411" s="38"/>
    </row>
    <row r="1412" spans="1:4" ht="34.5" hidden="1" customHeight="1">
      <c r="A1412" s="159" t="s">
        <v>442</v>
      </c>
      <c r="B1412" s="160" t="s">
        <v>441</v>
      </c>
      <c r="C1412" s="160"/>
      <c r="D1412" s="161"/>
    </row>
    <row r="1413" spans="1:4" ht="34.5" hidden="1" customHeight="1" thickBot="1">
      <c r="A1413" s="162"/>
      <c r="B1413" s="163"/>
      <c r="C1413" s="163"/>
      <c r="D1413" s="164"/>
    </row>
    <row r="1414" spans="1:4" ht="34.5" hidden="1" customHeight="1" thickBot="1">
      <c r="A1414" s="142" t="s">
        <v>11</v>
      </c>
      <c r="B1414" s="143"/>
      <c r="C1414" s="165" t="s">
        <v>12</v>
      </c>
      <c r="D1414" s="143"/>
    </row>
    <row r="1415" spans="1:4" ht="34.5" hidden="1" customHeight="1" thickBot="1">
      <c r="A1415" s="137" t="s">
        <v>332</v>
      </c>
      <c r="B1415" s="138"/>
      <c r="C1415" s="138"/>
      <c r="D1415" s="139"/>
    </row>
    <row r="1416" spans="1:4" ht="34.5" hidden="1" customHeight="1" thickBot="1">
      <c r="A1416" s="34" t="s">
        <v>487</v>
      </c>
      <c r="B1416" s="32" t="s">
        <v>438</v>
      </c>
      <c r="C1416" s="34">
        <v>46</v>
      </c>
      <c r="D1416" s="32" t="s">
        <v>0</v>
      </c>
    </row>
    <row r="1417" spans="1:4" ht="34.5" hidden="1" customHeight="1" thickBot="1">
      <c r="A1417" s="37" t="s">
        <v>13</v>
      </c>
      <c r="B1417" s="36" t="s">
        <v>1</v>
      </c>
      <c r="C1417" s="34" t="s">
        <v>14</v>
      </c>
      <c r="D1417" s="32" t="s">
        <v>2</v>
      </c>
    </row>
    <row r="1418" spans="1:4" ht="34.5" hidden="1" customHeight="1" thickBot="1">
      <c r="A1418" s="140">
        <v>0</v>
      </c>
      <c r="B1418" s="141"/>
      <c r="C1418" s="142" t="s">
        <v>3</v>
      </c>
      <c r="D1418" s="143"/>
    </row>
    <row r="1419" spans="1:4" ht="34.5" hidden="1" customHeight="1" thickBot="1">
      <c r="A1419" s="140">
        <v>0</v>
      </c>
      <c r="B1419" s="141"/>
      <c r="C1419" s="144" t="s">
        <v>4</v>
      </c>
      <c r="D1419" s="145"/>
    </row>
    <row r="1420" spans="1:4" ht="34.5" hidden="1" customHeight="1" thickBot="1">
      <c r="A1420" s="146">
        <f>A1419-A1418</f>
        <v>0</v>
      </c>
      <c r="B1420" s="147"/>
      <c r="C1420" s="148"/>
      <c r="D1420" s="35" t="s">
        <v>5</v>
      </c>
    </row>
    <row r="1421" spans="1:4" ht="34.5" hidden="1" customHeight="1" thickBot="1">
      <c r="A1421" s="149">
        <v>50</v>
      </c>
      <c r="B1421" s="150"/>
      <c r="C1421" s="151"/>
      <c r="D1421" s="35" t="s">
        <v>6</v>
      </c>
    </row>
    <row r="1422" spans="1:4" ht="34.5" hidden="1" customHeight="1" thickBot="1">
      <c r="A1422" s="144">
        <f>A1421*A1420</f>
        <v>0</v>
      </c>
      <c r="B1422" s="152"/>
      <c r="C1422" s="145"/>
      <c r="D1422" s="35" t="s">
        <v>7</v>
      </c>
    </row>
    <row r="1423" spans="1:4" ht="34.5" hidden="1" customHeight="1" thickBot="1">
      <c r="A1423" s="144">
        <v>0</v>
      </c>
      <c r="B1423" s="152"/>
      <c r="C1423" s="145"/>
      <c r="D1423" s="35" t="s">
        <v>437</v>
      </c>
    </row>
    <row r="1424" spans="1:4" ht="34.5" hidden="1" customHeight="1" thickBot="1">
      <c r="A1424" s="34">
        <v>0</v>
      </c>
      <c r="B1424" s="32" t="s">
        <v>8</v>
      </c>
      <c r="C1424" s="33">
        <v>1400</v>
      </c>
      <c r="D1424" s="32" t="s">
        <v>9</v>
      </c>
    </row>
    <row r="1425" spans="1:16" ht="34.5" hidden="1" customHeight="1" thickBot="1">
      <c r="A1425" s="153" t="s">
        <v>436</v>
      </c>
      <c r="B1425" s="154"/>
      <c r="C1425" s="154"/>
      <c r="D1425" s="155"/>
      <c r="E1425" s="28"/>
      <c r="F1425" s="28"/>
      <c r="G1425" s="28"/>
      <c r="H1425" s="28"/>
      <c r="I1425" s="28"/>
      <c r="J1425" s="27"/>
      <c r="K1425" s="27"/>
      <c r="L1425" s="27"/>
      <c r="M1425" s="27"/>
      <c r="N1425" s="27"/>
      <c r="O1425" s="27"/>
      <c r="P1425" s="27"/>
    </row>
    <row r="1426" spans="1:16" ht="34.5" hidden="1" customHeight="1" thickBot="1">
      <c r="A1426" s="156" t="s">
        <v>435</v>
      </c>
      <c r="B1426" s="157"/>
      <c r="C1426" s="157"/>
      <c r="D1426" s="158"/>
      <c r="E1426" s="28"/>
      <c r="F1426" s="28"/>
      <c r="G1426" s="28"/>
      <c r="H1426" s="28"/>
      <c r="I1426" s="28"/>
      <c r="J1426" s="27"/>
      <c r="K1426" s="27"/>
      <c r="L1426" s="27"/>
      <c r="M1426" s="27"/>
      <c r="N1426" s="27"/>
      <c r="O1426" s="27"/>
      <c r="P1426" s="27"/>
    </row>
    <row r="1427" spans="1:16" s="28" customFormat="1" ht="34.5" hidden="1" customHeight="1">
      <c r="A1427" s="159" t="s">
        <v>442</v>
      </c>
      <c r="B1427" s="160" t="s">
        <v>441</v>
      </c>
      <c r="C1427" s="160"/>
      <c r="D1427" s="161"/>
      <c r="J1427" s="27"/>
      <c r="K1427" s="27"/>
      <c r="L1427" s="27"/>
      <c r="M1427" s="27"/>
      <c r="N1427" s="27"/>
      <c r="O1427" s="27"/>
      <c r="P1427" s="27"/>
    </row>
    <row r="1428" spans="1:16" s="28" customFormat="1" ht="34.5" hidden="1" customHeight="1" thickBot="1">
      <c r="A1428" s="162"/>
      <c r="B1428" s="163"/>
      <c r="C1428" s="163"/>
      <c r="D1428" s="164"/>
      <c r="J1428" s="27"/>
      <c r="K1428" s="27"/>
      <c r="L1428" s="27"/>
      <c r="M1428" s="27"/>
      <c r="N1428" s="27"/>
      <c r="O1428" s="27"/>
      <c r="P1428" s="27"/>
    </row>
    <row r="1429" spans="1:16" s="28" customFormat="1" ht="34.5" hidden="1" customHeight="1" thickBot="1">
      <c r="A1429" s="142" t="s">
        <v>11</v>
      </c>
      <c r="B1429" s="143"/>
      <c r="C1429" s="165" t="s">
        <v>12</v>
      </c>
      <c r="D1429" s="143"/>
      <c r="J1429" s="27"/>
      <c r="K1429" s="27"/>
      <c r="L1429" s="27"/>
      <c r="M1429" s="27"/>
      <c r="N1429" s="27"/>
      <c r="O1429" s="27"/>
      <c r="P1429" s="27"/>
    </row>
    <row r="1430" spans="1:16" s="28" customFormat="1" ht="34.5" hidden="1" customHeight="1" thickBot="1">
      <c r="A1430" s="137" t="s">
        <v>145</v>
      </c>
      <c r="B1430" s="138"/>
      <c r="C1430" s="138"/>
      <c r="D1430" s="139"/>
      <c r="J1430" s="27"/>
      <c r="K1430" s="27"/>
      <c r="L1430" s="27"/>
      <c r="M1430" s="27"/>
      <c r="N1430" s="27"/>
      <c r="O1430" s="27"/>
      <c r="P1430" s="27"/>
    </row>
    <row r="1431" spans="1:16" s="28" customFormat="1" ht="34.5" hidden="1" customHeight="1" thickBot="1">
      <c r="A1431" s="34" t="s">
        <v>487</v>
      </c>
      <c r="B1431" s="32" t="s">
        <v>438</v>
      </c>
      <c r="C1431" s="34">
        <v>47</v>
      </c>
      <c r="D1431" s="32" t="s">
        <v>0</v>
      </c>
      <c r="J1431" s="27"/>
      <c r="K1431" s="27"/>
      <c r="L1431" s="27"/>
      <c r="M1431" s="27"/>
      <c r="N1431" s="27"/>
      <c r="O1431" s="27"/>
      <c r="P1431" s="27"/>
    </row>
    <row r="1432" spans="1:16" s="28" customFormat="1" ht="34.5" hidden="1" customHeight="1" thickBot="1">
      <c r="A1432" s="37" t="s">
        <v>13</v>
      </c>
      <c r="B1432" s="36" t="s">
        <v>1</v>
      </c>
      <c r="C1432" s="34" t="s">
        <v>14</v>
      </c>
      <c r="D1432" s="32" t="s">
        <v>2</v>
      </c>
      <c r="J1432" s="27"/>
      <c r="K1432" s="27"/>
      <c r="L1432" s="27"/>
      <c r="M1432" s="27"/>
      <c r="N1432" s="27"/>
      <c r="O1432" s="27"/>
      <c r="P1432" s="27"/>
    </row>
    <row r="1433" spans="1:16" s="28" customFormat="1" ht="34.5" hidden="1" customHeight="1" thickBot="1">
      <c r="A1433" s="140">
        <v>0</v>
      </c>
      <c r="B1433" s="141"/>
      <c r="C1433" s="142" t="s">
        <v>3</v>
      </c>
      <c r="D1433" s="143"/>
      <c r="J1433" s="27"/>
      <c r="K1433" s="27"/>
      <c r="L1433" s="27"/>
      <c r="M1433" s="27"/>
      <c r="N1433" s="27"/>
      <c r="O1433" s="27"/>
      <c r="P1433" s="27"/>
    </row>
    <row r="1434" spans="1:16" s="28" customFormat="1" ht="34.5" hidden="1" customHeight="1" thickBot="1">
      <c r="A1434" s="140">
        <v>0</v>
      </c>
      <c r="B1434" s="141"/>
      <c r="C1434" s="144" t="s">
        <v>4</v>
      </c>
      <c r="D1434" s="145"/>
      <c r="J1434" s="27"/>
      <c r="K1434" s="27"/>
      <c r="L1434" s="27"/>
      <c r="M1434" s="27"/>
      <c r="N1434" s="27"/>
      <c r="O1434" s="27"/>
      <c r="P1434" s="27"/>
    </row>
    <row r="1435" spans="1:16" s="28" customFormat="1" ht="34.5" hidden="1" customHeight="1" thickBot="1">
      <c r="A1435" s="146">
        <v>12</v>
      </c>
      <c r="B1435" s="147"/>
      <c r="C1435" s="148"/>
      <c r="D1435" s="35" t="s">
        <v>5</v>
      </c>
      <c r="J1435" s="27"/>
      <c r="K1435" s="27"/>
      <c r="L1435" s="27"/>
      <c r="M1435" s="27"/>
      <c r="N1435" s="27"/>
      <c r="O1435" s="27"/>
      <c r="P1435" s="27"/>
    </row>
    <row r="1436" spans="1:16" s="28" customFormat="1" ht="34.5" hidden="1" customHeight="1" thickBot="1">
      <c r="A1436" s="149">
        <v>50</v>
      </c>
      <c r="B1436" s="150"/>
      <c r="C1436" s="151"/>
      <c r="D1436" s="35" t="s">
        <v>6</v>
      </c>
      <c r="J1436" s="27"/>
      <c r="K1436" s="27"/>
      <c r="L1436" s="27"/>
      <c r="M1436" s="27"/>
      <c r="N1436" s="27"/>
      <c r="O1436" s="27"/>
      <c r="P1436" s="27"/>
    </row>
    <row r="1437" spans="1:16" s="28" customFormat="1" ht="34.5" hidden="1" customHeight="1" thickBot="1">
      <c r="A1437" s="144">
        <f>A1436*A1435</f>
        <v>600</v>
      </c>
      <c r="B1437" s="152"/>
      <c r="C1437" s="145"/>
      <c r="D1437" s="35" t="s">
        <v>7</v>
      </c>
      <c r="J1437" s="27"/>
      <c r="K1437" s="27"/>
      <c r="L1437" s="27"/>
      <c r="M1437" s="27"/>
      <c r="N1437" s="27"/>
      <c r="O1437" s="27"/>
      <c r="P1437" s="27"/>
    </row>
    <row r="1438" spans="1:16" s="28" customFormat="1" ht="34.5" hidden="1" customHeight="1" thickBot="1">
      <c r="A1438" s="144">
        <v>0</v>
      </c>
      <c r="B1438" s="152"/>
      <c r="C1438" s="145"/>
      <c r="D1438" s="35" t="s">
        <v>437</v>
      </c>
      <c r="J1438" s="27"/>
      <c r="K1438" s="27"/>
      <c r="L1438" s="27"/>
      <c r="M1438" s="27"/>
      <c r="N1438" s="27"/>
      <c r="O1438" s="27"/>
      <c r="P1438" s="27"/>
    </row>
    <row r="1439" spans="1:16" s="28" customFormat="1" ht="34.5" hidden="1" customHeight="1" thickBot="1">
      <c r="A1439" s="34">
        <v>0</v>
      </c>
      <c r="B1439" s="32" t="s">
        <v>8</v>
      </c>
      <c r="C1439" s="33">
        <v>600</v>
      </c>
      <c r="D1439" s="32" t="s">
        <v>9</v>
      </c>
      <c r="J1439" s="27"/>
      <c r="K1439" s="27"/>
      <c r="L1439" s="27"/>
      <c r="M1439" s="27"/>
      <c r="N1439" s="27"/>
      <c r="O1439" s="27"/>
      <c r="P1439" s="27"/>
    </row>
    <row r="1440" spans="1:16" s="28" customFormat="1" ht="34.5" hidden="1" customHeight="1" thickBot="1">
      <c r="A1440" s="153" t="s">
        <v>436</v>
      </c>
      <c r="B1440" s="154"/>
      <c r="C1440" s="154"/>
      <c r="D1440" s="155"/>
      <c r="J1440" s="27"/>
      <c r="K1440" s="27"/>
      <c r="L1440" s="27"/>
      <c r="M1440" s="27"/>
      <c r="N1440" s="27"/>
      <c r="O1440" s="27"/>
      <c r="P1440" s="27"/>
    </row>
    <row r="1441" spans="1:16" s="28" customFormat="1" ht="34.5" hidden="1" customHeight="1" thickBot="1">
      <c r="A1441" s="156" t="s">
        <v>435</v>
      </c>
      <c r="B1441" s="157"/>
      <c r="C1441" s="157"/>
      <c r="D1441" s="158"/>
      <c r="J1441" s="27"/>
      <c r="K1441" s="27"/>
      <c r="L1441" s="27"/>
      <c r="M1441" s="27"/>
      <c r="N1441" s="27"/>
      <c r="O1441" s="27"/>
      <c r="P1441" s="27"/>
    </row>
    <row r="1442" spans="1:16" s="28" customFormat="1" ht="34.5" hidden="1" customHeight="1" thickBot="1">
      <c r="A1442" s="40"/>
      <c r="B1442" s="39"/>
      <c r="C1442" s="39"/>
      <c r="D1442" s="38"/>
      <c r="J1442" s="27"/>
      <c r="K1442" s="27"/>
      <c r="L1442" s="27"/>
      <c r="M1442" s="27"/>
      <c r="N1442" s="27"/>
      <c r="O1442" s="27"/>
      <c r="P1442" s="27"/>
    </row>
    <row r="1443" spans="1:16" s="28" customFormat="1" ht="34.5" hidden="1" customHeight="1">
      <c r="A1443" s="159" t="s">
        <v>442</v>
      </c>
      <c r="B1443" s="160" t="s">
        <v>441</v>
      </c>
      <c r="C1443" s="160"/>
      <c r="D1443" s="161"/>
      <c r="J1443" s="27"/>
      <c r="K1443" s="27"/>
      <c r="L1443" s="27"/>
      <c r="M1443" s="27"/>
      <c r="N1443" s="27"/>
      <c r="O1443" s="27"/>
      <c r="P1443" s="27"/>
    </row>
    <row r="1444" spans="1:16" s="28" customFormat="1" ht="34.5" hidden="1" customHeight="1" thickBot="1">
      <c r="A1444" s="162"/>
      <c r="B1444" s="163"/>
      <c r="C1444" s="163"/>
      <c r="D1444" s="164"/>
      <c r="J1444" s="27"/>
      <c r="K1444" s="27"/>
      <c r="L1444" s="27"/>
      <c r="M1444" s="27"/>
      <c r="N1444" s="27"/>
      <c r="O1444" s="27"/>
      <c r="P1444" s="27"/>
    </row>
    <row r="1445" spans="1:16" s="28" customFormat="1" ht="34.5" hidden="1" customHeight="1" thickBot="1">
      <c r="A1445" s="142" t="s">
        <v>11</v>
      </c>
      <c r="B1445" s="143"/>
      <c r="C1445" s="165" t="s">
        <v>12</v>
      </c>
      <c r="D1445" s="143"/>
      <c r="J1445" s="27"/>
      <c r="K1445" s="27"/>
      <c r="L1445" s="27"/>
      <c r="M1445" s="27"/>
      <c r="N1445" s="27"/>
      <c r="O1445" s="27"/>
      <c r="P1445" s="27"/>
    </row>
    <row r="1446" spans="1:16" s="28" customFormat="1" ht="34.5" hidden="1" customHeight="1" thickBot="1">
      <c r="A1446" s="137" t="s">
        <v>145</v>
      </c>
      <c r="B1446" s="138"/>
      <c r="C1446" s="138"/>
      <c r="D1446" s="139"/>
      <c r="J1446" s="27"/>
      <c r="K1446" s="27"/>
      <c r="L1446" s="27"/>
      <c r="M1446" s="27"/>
      <c r="N1446" s="27"/>
      <c r="O1446" s="27"/>
      <c r="P1446" s="27"/>
    </row>
    <row r="1447" spans="1:16" s="28" customFormat="1" ht="34.5" hidden="1" customHeight="1" thickBot="1">
      <c r="A1447" s="34" t="s">
        <v>487</v>
      </c>
      <c r="B1447" s="32" t="s">
        <v>438</v>
      </c>
      <c r="C1447" s="34">
        <v>47</v>
      </c>
      <c r="D1447" s="32" t="s">
        <v>0</v>
      </c>
      <c r="J1447" s="27"/>
      <c r="K1447" s="27"/>
      <c r="L1447" s="27"/>
      <c r="M1447" s="27"/>
      <c r="N1447" s="27"/>
      <c r="O1447" s="27"/>
      <c r="P1447" s="27"/>
    </row>
    <row r="1448" spans="1:16" s="28" customFormat="1" ht="34.5" hidden="1" customHeight="1" thickBot="1">
      <c r="A1448" s="37" t="s">
        <v>13</v>
      </c>
      <c r="B1448" s="36" t="s">
        <v>1</v>
      </c>
      <c r="C1448" s="34" t="s">
        <v>14</v>
      </c>
      <c r="D1448" s="32" t="s">
        <v>2</v>
      </c>
      <c r="J1448" s="27"/>
      <c r="K1448" s="27"/>
      <c r="L1448" s="27"/>
      <c r="M1448" s="27"/>
      <c r="N1448" s="27"/>
      <c r="O1448" s="27"/>
      <c r="P1448" s="27"/>
    </row>
    <row r="1449" spans="1:16" s="28" customFormat="1" ht="34.5" hidden="1" customHeight="1" thickBot="1">
      <c r="A1449" s="140">
        <v>0</v>
      </c>
      <c r="B1449" s="141"/>
      <c r="C1449" s="142" t="s">
        <v>3</v>
      </c>
      <c r="D1449" s="143"/>
      <c r="J1449" s="27"/>
      <c r="K1449" s="27"/>
      <c r="L1449" s="27"/>
      <c r="M1449" s="27"/>
      <c r="N1449" s="27"/>
      <c r="O1449" s="27"/>
      <c r="P1449" s="27"/>
    </row>
    <row r="1450" spans="1:16" s="28" customFormat="1" ht="34.5" hidden="1" customHeight="1" thickBot="1">
      <c r="A1450" s="140">
        <v>0</v>
      </c>
      <c r="B1450" s="141"/>
      <c r="C1450" s="144" t="s">
        <v>4</v>
      </c>
      <c r="D1450" s="145"/>
      <c r="J1450" s="27"/>
      <c r="K1450" s="27"/>
      <c r="L1450" s="27"/>
      <c r="M1450" s="27"/>
      <c r="N1450" s="27"/>
      <c r="O1450" s="27"/>
      <c r="P1450" s="27"/>
    </row>
    <row r="1451" spans="1:16" s="28" customFormat="1" ht="34.5" hidden="1" customHeight="1" thickBot="1">
      <c r="A1451" s="146">
        <v>12</v>
      </c>
      <c r="B1451" s="147"/>
      <c r="C1451" s="148"/>
      <c r="D1451" s="35" t="s">
        <v>5</v>
      </c>
      <c r="J1451" s="27"/>
      <c r="K1451" s="27"/>
      <c r="L1451" s="27"/>
      <c r="M1451" s="27"/>
      <c r="N1451" s="27"/>
      <c r="O1451" s="27"/>
      <c r="P1451" s="27"/>
    </row>
    <row r="1452" spans="1:16" s="28" customFormat="1" ht="34.5" hidden="1" customHeight="1" thickBot="1">
      <c r="A1452" s="149">
        <v>50</v>
      </c>
      <c r="B1452" s="150"/>
      <c r="C1452" s="151"/>
      <c r="D1452" s="35" t="s">
        <v>6</v>
      </c>
      <c r="J1452" s="27"/>
      <c r="K1452" s="27"/>
      <c r="L1452" s="27"/>
      <c r="M1452" s="27"/>
      <c r="N1452" s="27"/>
      <c r="O1452" s="27"/>
      <c r="P1452" s="27"/>
    </row>
    <row r="1453" spans="1:16" s="28" customFormat="1" ht="34.5" hidden="1" customHeight="1" thickBot="1">
      <c r="A1453" s="144">
        <f>A1452*A1451</f>
        <v>600</v>
      </c>
      <c r="B1453" s="152"/>
      <c r="C1453" s="145"/>
      <c r="D1453" s="35" t="s">
        <v>7</v>
      </c>
      <c r="J1453" s="27"/>
      <c r="K1453" s="27"/>
      <c r="L1453" s="27"/>
      <c r="M1453" s="27"/>
      <c r="N1453" s="27"/>
      <c r="O1453" s="27"/>
      <c r="P1453" s="27"/>
    </row>
    <row r="1454" spans="1:16" s="28" customFormat="1" ht="34.5" hidden="1" customHeight="1" thickBot="1">
      <c r="A1454" s="144">
        <v>0</v>
      </c>
      <c r="B1454" s="152"/>
      <c r="C1454" s="145"/>
      <c r="D1454" s="35" t="s">
        <v>437</v>
      </c>
      <c r="J1454" s="27"/>
      <c r="K1454" s="27"/>
      <c r="L1454" s="27"/>
      <c r="M1454" s="27"/>
      <c r="N1454" s="27"/>
      <c r="O1454" s="27"/>
      <c r="P1454" s="27"/>
    </row>
    <row r="1455" spans="1:16" s="28" customFormat="1" ht="34.5" hidden="1" customHeight="1" thickBot="1">
      <c r="A1455" s="34">
        <v>0</v>
      </c>
      <c r="B1455" s="32" t="s">
        <v>8</v>
      </c>
      <c r="C1455" s="33">
        <v>600</v>
      </c>
      <c r="D1455" s="32" t="s">
        <v>9</v>
      </c>
      <c r="J1455" s="27"/>
      <c r="K1455" s="27"/>
      <c r="L1455" s="27"/>
      <c r="M1455" s="27"/>
      <c r="N1455" s="27"/>
      <c r="O1455" s="27"/>
      <c r="P1455" s="27"/>
    </row>
    <row r="1456" spans="1:16" s="28" customFormat="1" ht="34.5" hidden="1" customHeight="1" thickBot="1">
      <c r="A1456" s="153" t="s">
        <v>436</v>
      </c>
      <c r="B1456" s="154"/>
      <c r="C1456" s="154"/>
      <c r="D1456" s="155"/>
      <c r="J1456" s="27"/>
      <c r="K1456" s="27"/>
      <c r="L1456" s="27"/>
      <c r="M1456" s="27"/>
      <c r="N1456" s="27"/>
      <c r="O1456" s="27"/>
      <c r="P1456" s="27"/>
    </row>
    <row r="1457" spans="1:16" s="28" customFormat="1" ht="34.5" hidden="1" customHeight="1" thickBot="1">
      <c r="A1457" s="156" t="s">
        <v>435</v>
      </c>
      <c r="B1457" s="157"/>
      <c r="C1457" s="157"/>
      <c r="D1457" s="158"/>
      <c r="J1457" s="27"/>
      <c r="K1457" s="27"/>
      <c r="L1457" s="27"/>
      <c r="M1457" s="27"/>
      <c r="N1457" s="27"/>
      <c r="O1457" s="27"/>
      <c r="P1457" s="27"/>
    </row>
    <row r="1458" spans="1:16" s="28" customFormat="1" ht="34.5" hidden="1" customHeight="1">
      <c r="A1458" s="159" t="s">
        <v>442</v>
      </c>
      <c r="B1458" s="160" t="s">
        <v>441</v>
      </c>
      <c r="C1458" s="160"/>
      <c r="D1458" s="161"/>
      <c r="J1458" s="27"/>
      <c r="K1458" s="27"/>
      <c r="L1458" s="27"/>
      <c r="M1458" s="27"/>
      <c r="N1458" s="27"/>
      <c r="O1458" s="27"/>
      <c r="P1458" s="27"/>
    </row>
    <row r="1459" spans="1:16" s="28" customFormat="1" ht="34.5" hidden="1" customHeight="1" thickBot="1">
      <c r="A1459" s="162"/>
      <c r="B1459" s="163"/>
      <c r="C1459" s="163"/>
      <c r="D1459" s="164"/>
      <c r="J1459" s="27"/>
      <c r="K1459" s="27"/>
      <c r="L1459" s="27"/>
      <c r="M1459" s="27"/>
      <c r="N1459" s="27"/>
      <c r="O1459" s="27"/>
      <c r="P1459" s="27"/>
    </row>
    <row r="1460" spans="1:16" s="28" customFormat="1" ht="34.5" hidden="1" customHeight="1" thickBot="1">
      <c r="A1460" s="142" t="s">
        <v>11</v>
      </c>
      <c r="B1460" s="143"/>
      <c r="C1460" s="165" t="s">
        <v>12</v>
      </c>
      <c r="D1460" s="143"/>
      <c r="J1460" s="27"/>
      <c r="K1460" s="27"/>
      <c r="L1460" s="27"/>
      <c r="M1460" s="27"/>
      <c r="N1460" s="27"/>
      <c r="O1460" s="27"/>
      <c r="P1460" s="27"/>
    </row>
    <row r="1461" spans="1:16" s="28" customFormat="1" ht="34.5" hidden="1" customHeight="1" thickBot="1">
      <c r="A1461" s="137" t="s">
        <v>491</v>
      </c>
      <c r="B1461" s="138"/>
      <c r="C1461" s="138"/>
      <c r="D1461" s="139"/>
      <c r="J1461" s="27"/>
      <c r="K1461" s="27"/>
      <c r="L1461" s="27"/>
      <c r="M1461" s="27"/>
      <c r="N1461" s="27"/>
      <c r="O1461" s="27"/>
      <c r="P1461" s="27"/>
    </row>
    <row r="1462" spans="1:16" s="28" customFormat="1" ht="34.5" hidden="1" customHeight="1" thickBot="1">
      <c r="A1462" s="34" t="s">
        <v>487</v>
      </c>
      <c r="B1462" s="32" t="s">
        <v>438</v>
      </c>
      <c r="C1462" s="34">
        <v>48</v>
      </c>
      <c r="D1462" s="32" t="s">
        <v>0</v>
      </c>
      <c r="J1462" s="27"/>
      <c r="K1462" s="27"/>
      <c r="L1462" s="27"/>
      <c r="M1462" s="27"/>
      <c r="N1462" s="27"/>
      <c r="O1462" s="27"/>
      <c r="P1462" s="27"/>
    </row>
    <row r="1463" spans="1:16" s="28" customFormat="1" ht="34.5" hidden="1" customHeight="1" thickBot="1">
      <c r="A1463" s="37" t="s">
        <v>13</v>
      </c>
      <c r="B1463" s="36" t="s">
        <v>1</v>
      </c>
      <c r="C1463" s="34" t="s">
        <v>14</v>
      </c>
      <c r="D1463" s="32" t="s">
        <v>2</v>
      </c>
      <c r="J1463" s="27"/>
      <c r="K1463" s="27"/>
      <c r="L1463" s="27"/>
      <c r="M1463" s="27"/>
      <c r="N1463" s="27"/>
      <c r="O1463" s="27"/>
      <c r="P1463" s="27"/>
    </row>
    <row r="1464" spans="1:16" s="28" customFormat="1" ht="34.5" hidden="1" customHeight="1" thickBot="1">
      <c r="A1464" s="140">
        <v>0</v>
      </c>
      <c r="B1464" s="141"/>
      <c r="C1464" s="142" t="s">
        <v>3</v>
      </c>
      <c r="D1464" s="143"/>
      <c r="J1464" s="27"/>
      <c r="K1464" s="27"/>
      <c r="L1464" s="27"/>
      <c r="M1464" s="27"/>
      <c r="N1464" s="27"/>
      <c r="O1464" s="27"/>
      <c r="P1464" s="27"/>
    </row>
    <row r="1465" spans="1:16" s="28" customFormat="1" ht="34.5" hidden="1" customHeight="1" thickBot="1">
      <c r="A1465" s="140">
        <v>0</v>
      </c>
      <c r="B1465" s="141"/>
      <c r="C1465" s="144" t="s">
        <v>4</v>
      </c>
      <c r="D1465" s="145"/>
      <c r="J1465" s="27"/>
      <c r="K1465" s="27"/>
      <c r="L1465" s="27"/>
      <c r="M1465" s="27"/>
      <c r="N1465" s="27"/>
      <c r="O1465" s="27"/>
      <c r="P1465" s="27"/>
    </row>
    <row r="1466" spans="1:16" s="28" customFormat="1" ht="34.5" hidden="1" customHeight="1" thickBot="1">
      <c r="A1466" s="146">
        <f>A1465-A1464</f>
        <v>0</v>
      </c>
      <c r="B1466" s="147"/>
      <c r="C1466" s="148"/>
      <c r="D1466" s="35" t="s">
        <v>5</v>
      </c>
      <c r="J1466" s="27"/>
      <c r="K1466" s="27"/>
      <c r="L1466" s="27"/>
      <c r="M1466" s="27"/>
      <c r="N1466" s="27"/>
      <c r="O1466" s="27"/>
      <c r="P1466" s="27"/>
    </row>
    <row r="1467" spans="1:16" s="28" customFormat="1" ht="34.5" hidden="1" customHeight="1" thickBot="1">
      <c r="A1467" s="149">
        <v>50</v>
      </c>
      <c r="B1467" s="150"/>
      <c r="C1467" s="151"/>
      <c r="D1467" s="35" t="s">
        <v>6</v>
      </c>
      <c r="J1467" s="27"/>
      <c r="K1467" s="27"/>
      <c r="L1467" s="27"/>
      <c r="M1467" s="27"/>
      <c r="N1467" s="27"/>
      <c r="O1467" s="27"/>
      <c r="P1467" s="27"/>
    </row>
    <row r="1468" spans="1:16" s="28" customFormat="1" ht="34.5" hidden="1" customHeight="1" thickBot="1">
      <c r="A1468" s="144">
        <f>A1467*A1466</f>
        <v>0</v>
      </c>
      <c r="B1468" s="152"/>
      <c r="C1468" s="145"/>
      <c r="D1468" s="35" t="s">
        <v>7</v>
      </c>
      <c r="J1468" s="27"/>
      <c r="K1468" s="27"/>
      <c r="L1468" s="27"/>
      <c r="M1468" s="27"/>
      <c r="N1468" s="27"/>
      <c r="O1468" s="27"/>
      <c r="P1468" s="27"/>
    </row>
    <row r="1469" spans="1:16" s="28" customFormat="1" ht="34.5" hidden="1" customHeight="1" thickBot="1">
      <c r="A1469" s="144">
        <v>0</v>
      </c>
      <c r="B1469" s="152"/>
      <c r="C1469" s="145"/>
      <c r="D1469" s="35" t="s">
        <v>437</v>
      </c>
      <c r="J1469" s="27"/>
      <c r="K1469" s="27"/>
      <c r="L1469" s="27"/>
      <c r="M1469" s="27"/>
      <c r="N1469" s="27"/>
      <c r="O1469" s="27"/>
      <c r="P1469" s="27"/>
    </row>
    <row r="1470" spans="1:16" s="28" customFormat="1" ht="34.5" hidden="1" customHeight="1" thickBot="1">
      <c r="A1470" s="34">
        <v>0</v>
      </c>
      <c r="B1470" s="32" t="s">
        <v>8</v>
      </c>
      <c r="C1470" s="33">
        <v>1150</v>
      </c>
      <c r="D1470" s="32" t="s">
        <v>9</v>
      </c>
      <c r="J1470" s="27"/>
      <c r="K1470" s="27"/>
      <c r="L1470" s="27"/>
      <c r="M1470" s="27"/>
      <c r="N1470" s="27"/>
      <c r="O1470" s="27"/>
      <c r="P1470" s="27"/>
    </row>
    <row r="1471" spans="1:16" s="28" customFormat="1" ht="34.5" hidden="1" customHeight="1" thickBot="1">
      <c r="A1471" s="153" t="s">
        <v>436</v>
      </c>
      <c r="B1471" s="154"/>
      <c r="C1471" s="154"/>
      <c r="D1471" s="155"/>
      <c r="J1471" s="27"/>
      <c r="K1471" s="27"/>
      <c r="L1471" s="27"/>
      <c r="M1471" s="27"/>
      <c r="N1471" s="27"/>
      <c r="O1471" s="27"/>
      <c r="P1471" s="27"/>
    </row>
    <row r="1472" spans="1:16" s="28" customFormat="1" ht="34.5" hidden="1" customHeight="1" thickBot="1">
      <c r="A1472" s="156" t="s">
        <v>435</v>
      </c>
      <c r="B1472" s="157"/>
      <c r="C1472" s="157"/>
      <c r="D1472" s="158"/>
      <c r="J1472" s="27"/>
      <c r="K1472" s="27"/>
      <c r="L1472" s="27"/>
      <c r="M1472" s="27"/>
      <c r="N1472" s="27"/>
      <c r="O1472" s="27"/>
      <c r="P1472" s="27"/>
    </row>
    <row r="1473" spans="1:16" s="28" customFormat="1" ht="34.5" hidden="1" customHeight="1" thickBot="1">
      <c r="A1473" s="40"/>
      <c r="B1473" s="39"/>
      <c r="C1473" s="39"/>
      <c r="D1473" s="38"/>
      <c r="J1473" s="27"/>
      <c r="K1473" s="27"/>
      <c r="L1473" s="27"/>
      <c r="M1473" s="27"/>
      <c r="N1473" s="27"/>
      <c r="O1473" s="27"/>
      <c r="P1473" s="27"/>
    </row>
    <row r="1474" spans="1:16" s="28" customFormat="1" ht="34.5" hidden="1" customHeight="1">
      <c r="A1474" s="159" t="s">
        <v>442</v>
      </c>
      <c r="B1474" s="160" t="s">
        <v>441</v>
      </c>
      <c r="C1474" s="160"/>
      <c r="D1474" s="161"/>
      <c r="J1474" s="27"/>
      <c r="K1474" s="27"/>
      <c r="L1474" s="27"/>
      <c r="M1474" s="27"/>
      <c r="N1474" s="27"/>
      <c r="O1474" s="27"/>
      <c r="P1474" s="27"/>
    </row>
    <row r="1475" spans="1:16" s="28" customFormat="1" ht="34.5" hidden="1" customHeight="1" thickBot="1">
      <c r="A1475" s="162"/>
      <c r="B1475" s="163"/>
      <c r="C1475" s="163"/>
      <c r="D1475" s="164"/>
      <c r="J1475" s="27"/>
      <c r="K1475" s="27"/>
      <c r="L1475" s="27"/>
      <c r="M1475" s="27"/>
      <c r="N1475" s="27"/>
      <c r="O1475" s="27"/>
      <c r="P1475" s="27"/>
    </row>
    <row r="1476" spans="1:16" s="28" customFormat="1" ht="34.5" hidden="1" customHeight="1" thickBot="1">
      <c r="A1476" s="142" t="s">
        <v>11</v>
      </c>
      <c r="B1476" s="143"/>
      <c r="C1476" s="165" t="s">
        <v>12</v>
      </c>
      <c r="D1476" s="143"/>
      <c r="J1476" s="27"/>
      <c r="K1476" s="27"/>
      <c r="L1476" s="27"/>
      <c r="M1476" s="27"/>
      <c r="N1476" s="27"/>
      <c r="O1476" s="27"/>
      <c r="P1476" s="27"/>
    </row>
    <row r="1477" spans="1:16" s="28" customFormat="1" ht="34.5" hidden="1" customHeight="1" thickBot="1">
      <c r="A1477" s="137" t="s">
        <v>491</v>
      </c>
      <c r="B1477" s="138"/>
      <c r="C1477" s="138"/>
      <c r="D1477" s="139"/>
      <c r="J1477" s="27"/>
      <c r="K1477" s="27"/>
      <c r="L1477" s="27"/>
      <c r="M1477" s="27"/>
      <c r="N1477" s="27"/>
      <c r="O1477" s="27"/>
      <c r="P1477" s="27"/>
    </row>
    <row r="1478" spans="1:16" s="28" customFormat="1" ht="34.5" hidden="1" customHeight="1" thickBot="1">
      <c r="A1478" s="34" t="s">
        <v>487</v>
      </c>
      <c r="B1478" s="32" t="s">
        <v>438</v>
      </c>
      <c r="C1478" s="34">
        <v>48</v>
      </c>
      <c r="D1478" s="32" t="s">
        <v>0</v>
      </c>
      <c r="J1478" s="27"/>
      <c r="K1478" s="27"/>
      <c r="L1478" s="27"/>
      <c r="M1478" s="27"/>
      <c r="N1478" s="27"/>
      <c r="O1478" s="27"/>
      <c r="P1478" s="27"/>
    </row>
    <row r="1479" spans="1:16" s="28" customFormat="1" ht="34.5" hidden="1" customHeight="1" thickBot="1">
      <c r="A1479" s="37" t="s">
        <v>13</v>
      </c>
      <c r="B1479" s="36" t="s">
        <v>1</v>
      </c>
      <c r="C1479" s="34" t="s">
        <v>14</v>
      </c>
      <c r="D1479" s="32" t="s">
        <v>2</v>
      </c>
      <c r="J1479" s="27"/>
      <c r="K1479" s="27"/>
      <c r="L1479" s="27"/>
      <c r="M1479" s="27"/>
      <c r="N1479" s="27"/>
      <c r="O1479" s="27"/>
      <c r="P1479" s="27"/>
    </row>
    <row r="1480" spans="1:16" s="28" customFormat="1" ht="34.5" hidden="1" customHeight="1" thickBot="1">
      <c r="A1480" s="140">
        <v>0</v>
      </c>
      <c r="B1480" s="141"/>
      <c r="C1480" s="142" t="s">
        <v>3</v>
      </c>
      <c r="D1480" s="143"/>
      <c r="J1480" s="27"/>
      <c r="K1480" s="27"/>
      <c r="L1480" s="27"/>
      <c r="M1480" s="27"/>
      <c r="N1480" s="27"/>
      <c r="O1480" s="27"/>
      <c r="P1480" s="27"/>
    </row>
    <row r="1481" spans="1:16" s="28" customFormat="1" ht="34.5" hidden="1" customHeight="1" thickBot="1">
      <c r="A1481" s="140">
        <v>0</v>
      </c>
      <c r="B1481" s="141"/>
      <c r="C1481" s="144" t="s">
        <v>4</v>
      </c>
      <c r="D1481" s="145"/>
      <c r="J1481" s="27"/>
      <c r="K1481" s="27"/>
      <c r="L1481" s="27"/>
      <c r="M1481" s="27"/>
      <c r="N1481" s="27"/>
      <c r="O1481" s="27"/>
      <c r="P1481" s="27"/>
    </row>
    <row r="1482" spans="1:16" s="28" customFormat="1" ht="34.5" hidden="1" customHeight="1" thickBot="1">
      <c r="A1482" s="146">
        <f>A1481-A1480</f>
        <v>0</v>
      </c>
      <c r="B1482" s="147"/>
      <c r="C1482" s="148"/>
      <c r="D1482" s="35" t="s">
        <v>5</v>
      </c>
      <c r="J1482" s="27"/>
      <c r="K1482" s="27"/>
      <c r="L1482" s="27"/>
      <c r="M1482" s="27"/>
      <c r="N1482" s="27"/>
      <c r="O1482" s="27"/>
      <c r="P1482" s="27"/>
    </row>
    <row r="1483" spans="1:16" s="28" customFormat="1" ht="34.5" hidden="1" customHeight="1" thickBot="1">
      <c r="A1483" s="149">
        <v>50</v>
      </c>
      <c r="B1483" s="150"/>
      <c r="C1483" s="151"/>
      <c r="D1483" s="35" t="s">
        <v>6</v>
      </c>
      <c r="J1483" s="27"/>
      <c r="K1483" s="27"/>
      <c r="L1483" s="27"/>
      <c r="M1483" s="27"/>
      <c r="N1483" s="27"/>
      <c r="O1483" s="27"/>
      <c r="P1483" s="27"/>
    </row>
    <row r="1484" spans="1:16" s="28" customFormat="1" ht="34.5" hidden="1" customHeight="1" thickBot="1">
      <c r="A1484" s="144">
        <f>A1483*A1482</f>
        <v>0</v>
      </c>
      <c r="B1484" s="152"/>
      <c r="C1484" s="145"/>
      <c r="D1484" s="35" t="s">
        <v>7</v>
      </c>
      <c r="J1484" s="27"/>
      <c r="K1484" s="27"/>
      <c r="L1484" s="27"/>
      <c r="M1484" s="27"/>
      <c r="N1484" s="27"/>
      <c r="O1484" s="27"/>
      <c r="P1484" s="27"/>
    </row>
    <row r="1485" spans="1:16" s="28" customFormat="1" ht="34.5" hidden="1" customHeight="1" thickBot="1">
      <c r="A1485" s="144">
        <v>0</v>
      </c>
      <c r="B1485" s="152"/>
      <c r="C1485" s="145"/>
      <c r="D1485" s="35" t="s">
        <v>437</v>
      </c>
      <c r="J1485" s="27"/>
      <c r="K1485" s="27"/>
      <c r="L1485" s="27"/>
      <c r="M1485" s="27"/>
      <c r="N1485" s="27"/>
      <c r="O1485" s="27"/>
      <c r="P1485" s="27"/>
    </row>
    <row r="1486" spans="1:16" s="28" customFormat="1" ht="34.5" hidden="1" customHeight="1" thickBot="1">
      <c r="A1486" s="34">
        <v>0</v>
      </c>
      <c r="B1486" s="32" t="s">
        <v>8</v>
      </c>
      <c r="C1486" s="33">
        <v>1150</v>
      </c>
      <c r="D1486" s="32" t="s">
        <v>9</v>
      </c>
      <c r="J1486" s="27"/>
      <c r="K1486" s="27"/>
      <c r="L1486" s="27"/>
      <c r="M1486" s="27"/>
      <c r="N1486" s="27"/>
      <c r="O1486" s="27"/>
      <c r="P1486" s="27"/>
    </row>
    <row r="1487" spans="1:16" s="28" customFormat="1" ht="34.5" hidden="1" customHeight="1" thickBot="1">
      <c r="A1487" s="153" t="s">
        <v>436</v>
      </c>
      <c r="B1487" s="154"/>
      <c r="C1487" s="154"/>
      <c r="D1487" s="155"/>
      <c r="J1487" s="27"/>
      <c r="K1487" s="27"/>
      <c r="L1487" s="27"/>
      <c r="M1487" s="27"/>
      <c r="N1487" s="27"/>
      <c r="O1487" s="27"/>
      <c r="P1487" s="27"/>
    </row>
    <row r="1488" spans="1:16" s="28" customFormat="1" ht="34.5" hidden="1" customHeight="1" thickBot="1">
      <c r="A1488" s="156" t="s">
        <v>435</v>
      </c>
      <c r="B1488" s="157"/>
      <c r="C1488" s="157"/>
      <c r="D1488" s="158"/>
      <c r="J1488" s="27"/>
      <c r="K1488" s="27"/>
      <c r="L1488" s="27"/>
      <c r="M1488" s="27"/>
      <c r="N1488" s="27"/>
      <c r="O1488" s="27"/>
      <c r="P1488" s="27"/>
    </row>
    <row r="1489" spans="1:16" s="28" customFormat="1" ht="34.5" hidden="1" customHeight="1">
      <c r="A1489" s="159" t="s">
        <v>442</v>
      </c>
      <c r="B1489" s="160" t="s">
        <v>441</v>
      </c>
      <c r="C1489" s="160"/>
      <c r="D1489" s="161"/>
      <c r="J1489" s="27"/>
      <c r="K1489" s="27"/>
      <c r="L1489" s="27"/>
      <c r="M1489" s="27"/>
      <c r="N1489" s="27"/>
      <c r="O1489" s="27"/>
      <c r="P1489" s="27"/>
    </row>
    <row r="1490" spans="1:16" s="28" customFormat="1" ht="34.5" hidden="1" customHeight="1" thickBot="1">
      <c r="A1490" s="162"/>
      <c r="B1490" s="163"/>
      <c r="C1490" s="163"/>
      <c r="D1490" s="164"/>
      <c r="J1490" s="27"/>
      <c r="K1490" s="27"/>
      <c r="L1490" s="27"/>
      <c r="M1490" s="27"/>
      <c r="N1490" s="27"/>
      <c r="O1490" s="27"/>
      <c r="P1490" s="27"/>
    </row>
    <row r="1491" spans="1:16" s="28" customFormat="1" ht="34.5" hidden="1" customHeight="1" thickBot="1">
      <c r="A1491" s="142" t="s">
        <v>11</v>
      </c>
      <c r="B1491" s="143"/>
      <c r="C1491" s="165" t="s">
        <v>12</v>
      </c>
      <c r="D1491" s="143"/>
      <c r="J1491" s="27"/>
      <c r="K1491" s="27"/>
      <c r="L1491" s="27"/>
      <c r="M1491" s="27"/>
      <c r="N1491" s="27"/>
      <c r="O1491" s="27"/>
      <c r="P1491" s="27"/>
    </row>
    <row r="1492" spans="1:16" s="28" customFormat="1" ht="34.5" hidden="1" customHeight="1" thickBot="1">
      <c r="A1492" s="137" t="s">
        <v>431</v>
      </c>
      <c r="B1492" s="138"/>
      <c r="C1492" s="138"/>
      <c r="D1492" s="139"/>
      <c r="J1492" s="27"/>
      <c r="K1492" s="27"/>
      <c r="L1492" s="27"/>
      <c r="M1492" s="27"/>
      <c r="N1492" s="27"/>
      <c r="O1492" s="27"/>
      <c r="P1492" s="27"/>
    </row>
    <row r="1493" spans="1:16" s="28" customFormat="1" ht="34.5" hidden="1" customHeight="1" thickBot="1">
      <c r="A1493" s="34" t="s">
        <v>487</v>
      </c>
      <c r="B1493" s="32" t="s">
        <v>438</v>
      </c>
      <c r="C1493" s="34">
        <v>49</v>
      </c>
      <c r="D1493" s="32" t="s">
        <v>0</v>
      </c>
      <c r="J1493" s="27"/>
      <c r="K1493" s="27"/>
      <c r="L1493" s="27"/>
      <c r="M1493" s="27"/>
      <c r="N1493" s="27"/>
      <c r="O1493" s="27"/>
      <c r="P1493" s="27"/>
    </row>
    <row r="1494" spans="1:16" s="28" customFormat="1" ht="34.5" hidden="1" customHeight="1" thickBot="1">
      <c r="A1494" s="37" t="s">
        <v>13</v>
      </c>
      <c r="B1494" s="36" t="s">
        <v>1</v>
      </c>
      <c r="C1494" s="34" t="s">
        <v>14</v>
      </c>
      <c r="D1494" s="32" t="s">
        <v>2</v>
      </c>
      <c r="J1494" s="27"/>
      <c r="K1494" s="27"/>
      <c r="L1494" s="27"/>
      <c r="M1494" s="27"/>
      <c r="N1494" s="27"/>
      <c r="O1494" s="27"/>
      <c r="P1494" s="27"/>
    </row>
    <row r="1495" spans="1:16" s="28" customFormat="1" ht="34.5" hidden="1" customHeight="1" thickBot="1">
      <c r="A1495" s="140">
        <v>0</v>
      </c>
      <c r="B1495" s="141"/>
      <c r="C1495" s="142" t="s">
        <v>3</v>
      </c>
      <c r="D1495" s="143"/>
      <c r="J1495" s="27"/>
      <c r="K1495" s="27"/>
      <c r="L1495" s="27"/>
      <c r="M1495" s="27"/>
      <c r="N1495" s="27"/>
      <c r="O1495" s="27"/>
      <c r="P1495" s="27"/>
    </row>
    <row r="1496" spans="1:16" s="28" customFormat="1" ht="34.5" hidden="1" customHeight="1" thickBot="1">
      <c r="A1496" s="140">
        <v>0</v>
      </c>
      <c r="B1496" s="141"/>
      <c r="C1496" s="144" t="s">
        <v>4</v>
      </c>
      <c r="D1496" s="145"/>
      <c r="J1496" s="27"/>
      <c r="K1496" s="27"/>
      <c r="L1496" s="27"/>
      <c r="M1496" s="27"/>
      <c r="N1496" s="27"/>
      <c r="O1496" s="27"/>
      <c r="P1496" s="27"/>
    </row>
    <row r="1497" spans="1:16" s="28" customFormat="1" ht="34.5" hidden="1" customHeight="1" thickBot="1">
      <c r="A1497" s="146">
        <f>A1496-A1495</f>
        <v>0</v>
      </c>
      <c r="B1497" s="147"/>
      <c r="C1497" s="148"/>
      <c r="D1497" s="35" t="s">
        <v>5</v>
      </c>
      <c r="J1497" s="27"/>
      <c r="K1497" s="27"/>
      <c r="L1497" s="27"/>
      <c r="M1497" s="27"/>
      <c r="N1497" s="27"/>
      <c r="O1497" s="27"/>
      <c r="P1497" s="27"/>
    </row>
    <row r="1498" spans="1:16" s="28" customFormat="1" ht="34.5" hidden="1" customHeight="1" thickBot="1">
      <c r="A1498" s="149">
        <v>50</v>
      </c>
      <c r="B1498" s="150"/>
      <c r="C1498" s="151"/>
      <c r="D1498" s="35" t="s">
        <v>6</v>
      </c>
      <c r="J1498" s="27"/>
      <c r="K1498" s="27"/>
      <c r="L1498" s="27"/>
      <c r="M1498" s="27"/>
      <c r="N1498" s="27"/>
      <c r="O1498" s="27"/>
      <c r="P1498" s="27"/>
    </row>
    <row r="1499" spans="1:16" s="28" customFormat="1" ht="34.5" hidden="1" customHeight="1" thickBot="1">
      <c r="A1499" s="144">
        <f>A1498*A1497</f>
        <v>0</v>
      </c>
      <c r="B1499" s="152"/>
      <c r="C1499" s="145"/>
      <c r="D1499" s="35" t="s">
        <v>7</v>
      </c>
      <c r="J1499" s="27"/>
      <c r="K1499" s="27"/>
      <c r="L1499" s="27"/>
      <c r="M1499" s="27"/>
      <c r="N1499" s="27"/>
      <c r="O1499" s="27"/>
      <c r="P1499" s="27"/>
    </row>
    <row r="1500" spans="1:16" s="28" customFormat="1" ht="34.5" hidden="1" customHeight="1" thickBot="1">
      <c r="A1500" s="144">
        <v>0</v>
      </c>
      <c r="B1500" s="152"/>
      <c r="C1500" s="145"/>
      <c r="D1500" s="35" t="s">
        <v>437</v>
      </c>
      <c r="J1500" s="27"/>
      <c r="K1500" s="27"/>
      <c r="L1500" s="27"/>
      <c r="M1500" s="27"/>
      <c r="N1500" s="27"/>
      <c r="O1500" s="27"/>
      <c r="P1500" s="27"/>
    </row>
    <row r="1501" spans="1:16" s="28" customFormat="1" ht="34.5" hidden="1" customHeight="1" thickBot="1">
      <c r="A1501" s="34">
        <v>0</v>
      </c>
      <c r="B1501" s="32" t="s">
        <v>8</v>
      </c>
      <c r="C1501" s="33">
        <v>1500</v>
      </c>
      <c r="D1501" s="32" t="s">
        <v>9</v>
      </c>
      <c r="J1501" s="27"/>
      <c r="K1501" s="27"/>
      <c r="L1501" s="27"/>
      <c r="M1501" s="27"/>
      <c r="N1501" s="27"/>
      <c r="O1501" s="27"/>
      <c r="P1501" s="27"/>
    </row>
    <row r="1502" spans="1:16" s="28" customFormat="1" ht="34.5" hidden="1" customHeight="1" thickBot="1">
      <c r="A1502" s="153" t="s">
        <v>436</v>
      </c>
      <c r="B1502" s="154"/>
      <c r="C1502" s="154"/>
      <c r="D1502" s="155"/>
      <c r="J1502" s="27"/>
      <c r="K1502" s="27"/>
      <c r="L1502" s="27"/>
      <c r="M1502" s="27"/>
      <c r="N1502" s="27"/>
      <c r="O1502" s="27"/>
      <c r="P1502" s="27"/>
    </row>
    <row r="1503" spans="1:16" s="28" customFormat="1" ht="34.5" hidden="1" customHeight="1" thickBot="1">
      <c r="A1503" s="156" t="s">
        <v>435</v>
      </c>
      <c r="B1503" s="157"/>
      <c r="C1503" s="157"/>
      <c r="D1503" s="158"/>
      <c r="J1503" s="27"/>
      <c r="K1503" s="27"/>
      <c r="L1503" s="27"/>
      <c r="M1503" s="27"/>
      <c r="N1503" s="27"/>
      <c r="O1503" s="27"/>
      <c r="P1503" s="27"/>
    </row>
    <row r="1504" spans="1:16" s="28" customFormat="1" ht="34.5" hidden="1" customHeight="1" thickBot="1">
      <c r="A1504" s="40"/>
      <c r="B1504" s="39"/>
      <c r="C1504" s="39"/>
      <c r="D1504" s="38"/>
      <c r="J1504" s="27"/>
      <c r="K1504" s="27"/>
      <c r="L1504" s="27"/>
      <c r="M1504" s="27"/>
      <c r="N1504" s="27"/>
      <c r="O1504" s="27"/>
      <c r="P1504" s="27"/>
    </row>
    <row r="1505" spans="1:16" s="28" customFormat="1" ht="34.5" hidden="1" customHeight="1">
      <c r="A1505" s="159" t="s">
        <v>442</v>
      </c>
      <c r="B1505" s="160" t="s">
        <v>441</v>
      </c>
      <c r="C1505" s="160"/>
      <c r="D1505" s="161"/>
      <c r="J1505" s="27"/>
      <c r="K1505" s="27"/>
      <c r="L1505" s="27"/>
      <c r="M1505" s="27"/>
      <c r="N1505" s="27"/>
      <c r="O1505" s="27"/>
      <c r="P1505" s="27"/>
    </row>
    <row r="1506" spans="1:16" s="28" customFormat="1" ht="34.5" hidden="1" customHeight="1" thickBot="1">
      <c r="A1506" s="162"/>
      <c r="B1506" s="163"/>
      <c r="C1506" s="163"/>
      <c r="D1506" s="164"/>
      <c r="J1506" s="27"/>
      <c r="K1506" s="27"/>
      <c r="L1506" s="27"/>
      <c r="M1506" s="27"/>
      <c r="N1506" s="27"/>
      <c r="O1506" s="27"/>
      <c r="P1506" s="27"/>
    </row>
    <row r="1507" spans="1:16" s="28" customFormat="1" ht="34.5" hidden="1" customHeight="1" thickBot="1">
      <c r="A1507" s="142" t="s">
        <v>11</v>
      </c>
      <c r="B1507" s="143"/>
      <c r="C1507" s="165" t="s">
        <v>12</v>
      </c>
      <c r="D1507" s="143"/>
      <c r="J1507" s="27"/>
      <c r="K1507" s="27"/>
      <c r="L1507" s="27"/>
      <c r="M1507" s="27"/>
      <c r="N1507" s="27"/>
      <c r="O1507" s="27"/>
      <c r="P1507" s="27"/>
    </row>
    <row r="1508" spans="1:16" s="28" customFormat="1" ht="34.5" hidden="1" customHeight="1" thickBot="1">
      <c r="A1508" s="137" t="s">
        <v>431</v>
      </c>
      <c r="B1508" s="138"/>
      <c r="C1508" s="138"/>
      <c r="D1508" s="139"/>
      <c r="J1508" s="27"/>
      <c r="K1508" s="27"/>
      <c r="L1508" s="27"/>
      <c r="M1508" s="27"/>
      <c r="N1508" s="27"/>
      <c r="O1508" s="27"/>
      <c r="P1508" s="27"/>
    </row>
    <row r="1509" spans="1:16" s="28" customFormat="1" ht="34.5" hidden="1" customHeight="1" thickBot="1">
      <c r="A1509" s="34" t="s">
        <v>487</v>
      </c>
      <c r="B1509" s="32" t="s">
        <v>438</v>
      </c>
      <c r="C1509" s="34">
        <v>49</v>
      </c>
      <c r="D1509" s="32" t="s">
        <v>0</v>
      </c>
      <c r="J1509" s="27"/>
      <c r="K1509" s="27"/>
      <c r="L1509" s="27"/>
      <c r="M1509" s="27"/>
      <c r="N1509" s="27"/>
      <c r="O1509" s="27"/>
      <c r="P1509" s="27"/>
    </row>
    <row r="1510" spans="1:16" s="28" customFormat="1" ht="34.5" hidden="1" customHeight="1" thickBot="1">
      <c r="A1510" s="37" t="s">
        <v>13</v>
      </c>
      <c r="B1510" s="36" t="s">
        <v>1</v>
      </c>
      <c r="C1510" s="34" t="s">
        <v>14</v>
      </c>
      <c r="D1510" s="32" t="s">
        <v>2</v>
      </c>
      <c r="J1510" s="27"/>
      <c r="K1510" s="27"/>
      <c r="L1510" s="27"/>
      <c r="M1510" s="27"/>
      <c r="N1510" s="27"/>
      <c r="O1510" s="27"/>
      <c r="P1510" s="27"/>
    </row>
    <row r="1511" spans="1:16" s="28" customFormat="1" ht="34.5" hidden="1" customHeight="1" thickBot="1">
      <c r="A1511" s="140">
        <v>0</v>
      </c>
      <c r="B1511" s="141"/>
      <c r="C1511" s="142" t="s">
        <v>3</v>
      </c>
      <c r="D1511" s="143"/>
      <c r="J1511" s="27"/>
      <c r="K1511" s="27"/>
      <c r="L1511" s="27"/>
      <c r="M1511" s="27"/>
      <c r="N1511" s="27"/>
      <c r="O1511" s="27"/>
      <c r="P1511" s="27"/>
    </row>
    <row r="1512" spans="1:16" s="28" customFormat="1" ht="34.5" hidden="1" customHeight="1" thickBot="1">
      <c r="A1512" s="140">
        <v>0</v>
      </c>
      <c r="B1512" s="141"/>
      <c r="C1512" s="144" t="s">
        <v>4</v>
      </c>
      <c r="D1512" s="145"/>
      <c r="J1512" s="27"/>
      <c r="K1512" s="27"/>
      <c r="L1512" s="27"/>
      <c r="M1512" s="27"/>
      <c r="N1512" s="27"/>
      <c r="O1512" s="27"/>
      <c r="P1512" s="27"/>
    </row>
    <row r="1513" spans="1:16" s="28" customFormat="1" ht="34.5" hidden="1" customHeight="1" thickBot="1">
      <c r="A1513" s="146">
        <f>A1512-A1511</f>
        <v>0</v>
      </c>
      <c r="B1513" s="147"/>
      <c r="C1513" s="148"/>
      <c r="D1513" s="35" t="s">
        <v>5</v>
      </c>
      <c r="J1513" s="27"/>
      <c r="K1513" s="27"/>
      <c r="L1513" s="27"/>
      <c r="M1513" s="27"/>
      <c r="N1513" s="27"/>
      <c r="O1513" s="27"/>
      <c r="P1513" s="27"/>
    </row>
    <row r="1514" spans="1:16" s="28" customFormat="1" ht="34.5" hidden="1" customHeight="1" thickBot="1">
      <c r="A1514" s="149">
        <v>50</v>
      </c>
      <c r="B1514" s="150"/>
      <c r="C1514" s="151"/>
      <c r="D1514" s="35" t="s">
        <v>6</v>
      </c>
      <c r="J1514" s="27"/>
      <c r="K1514" s="27"/>
      <c r="L1514" s="27"/>
      <c r="M1514" s="27"/>
      <c r="N1514" s="27"/>
      <c r="O1514" s="27"/>
      <c r="P1514" s="27"/>
    </row>
    <row r="1515" spans="1:16" s="28" customFormat="1" ht="34.5" hidden="1" customHeight="1" thickBot="1">
      <c r="A1515" s="144">
        <f>A1514*A1513</f>
        <v>0</v>
      </c>
      <c r="B1515" s="152"/>
      <c r="C1515" s="145"/>
      <c r="D1515" s="35" t="s">
        <v>7</v>
      </c>
      <c r="J1515" s="27"/>
      <c r="K1515" s="27"/>
      <c r="L1515" s="27"/>
      <c r="M1515" s="27"/>
      <c r="N1515" s="27"/>
      <c r="O1515" s="27"/>
      <c r="P1515" s="27"/>
    </row>
    <row r="1516" spans="1:16" s="28" customFormat="1" ht="34.5" hidden="1" customHeight="1" thickBot="1">
      <c r="A1516" s="144">
        <v>0</v>
      </c>
      <c r="B1516" s="152"/>
      <c r="C1516" s="145"/>
      <c r="D1516" s="35" t="s">
        <v>437</v>
      </c>
      <c r="J1516" s="27"/>
      <c r="K1516" s="27"/>
      <c r="L1516" s="27"/>
      <c r="M1516" s="27"/>
      <c r="N1516" s="27"/>
      <c r="O1516" s="27"/>
      <c r="P1516" s="27"/>
    </row>
    <row r="1517" spans="1:16" s="28" customFormat="1" ht="34.5" hidden="1" customHeight="1" thickBot="1">
      <c r="A1517" s="34">
        <v>0</v>
      </c>
      <c r="B1517" s="32" t="s">
        <v>8</v>
      </c>
      <c r="C1517" s="33">
        <v>1500</v>
      </c>
      <c r="D1517" s="32" t="s">
        <v>9</v>
      </c>
      <c r="J1517" s="27"/>
      <c r="K1517" s="27"/>
      <c r="L1517" s="27"/>
      <c r="M1517" s="27"/>
      <c r="N1517" s="27"/>
      <c r="O1517" s="27"/>
      <c r="P1517" s="27"/>
    </row>
    <row r="1518" spans="1:16" s="28" customFormat="1" ht="34.5" hidden="1" customHeight="1" thickBot="1">
      <c r="A1518" s="153" t="s">
        <v>436</v>
      </c>
      <c r="B1518" s="154"/>
      <c r="C1518" s="154"/>
      <c r="D1518" s="155"/>
      <c r="J1518" s="27"/>
      <c r="K1518" s="27"/>
      <c r="L1518" s="27"/>
      <c r="M1518" s="27"/>
      <c r="N1518" s="27"/>
      <c r="O1518" s="27"/>
      <c r="P1518" s="27"/>
    </row>
    <row r="1519" spans="1:16" s="28" customFormat="1" ht="34.5" hidden="1" customHeight="1" thickBot="1">
      <c r="A1519" s="156" t="s">
        <v>435</v>
      </c>
      <c r="B1519" s="157"/>
      <c r="C1519" s="157"/>
      <c r="D1519" s="158"/>
      <c r="J1519" s="27"/>
      <c r="K1519" s="27"/>
      <c r="L1519" s="27"/>
      <c r="M1519" s="27"/>
      <c r="N1519" s="27"/>
      <c r="O1519" s="27"/>
      <c r="P1519" s="27"/>
    </row>
    <row r="1520" spans="1:16" s="28" customFormat="1" ht="34.5" hidden="1" customHeight="1">
      <c r="A1520" s="159" t="s">
        <v>442</v>
      </c>
      <c r="B1520" s="160" t="s">
        <v>441</v>
      </c>
      <c r="C1520" s="160"/>
      <c r="D1520" s="161"/>
      <c r="J1520" s="27"/>
      <c r="K1520" s="27"/>
      <c r="L1520" s="27"/>
      <c r="M1520" s="27"/>
      <c r="N1520" s="27"/>
      <c r="O1520" s="27"/>
      <c r="P1520" s="27"/>
    </row>
    <row r="1521" spans="1:16" s="28" customFormat="1" ht="34.5" hidden="1" customHeight="1" thickBot="1">
      <c r="A1521" s="162"/>
      <c r="B1521" s="163"/>
      <c r="C1521" s="163"/>
      <c r="D1521" s="164"/>
      <c r="J1521" s="27"/>
      <c r="K1521" s="27"/>
      <c r="L1521" s="27"/>
      <c r="M1521" s="27"/>
      <c r="N1521" s="27"/>
      <c r="O1521" s="27"/>
      <c r="P1521" s="27"/>
    </row>
    <row r="1522" spans="1:16" s="28" customFormat="1" ht="34.5" hidden="1" customHeight="1" thickBot="1">
      <c r="A1522" s="142" t="s">
        <v>11</v>
      </c>
      <c r="B1522" s="143"/>
      <c r="C1522" s="165" t="s">
        <v>12</v>
      </c>
      <c r="D1522" s="143"/>
      <c r="J1522" s="27"/>
      <c r="K1522" s="27"/>
      <c r="L1522" s="27"/>
      <c r="M1522" s="27"/>
      <c r="N1522" s="27"/>
      <c r="O1522" s="27"/>
      <c r="P1522" s="27"/>
    </row>
    <row r="1523" spans="1:16" s="28" customFormat="1" ht="34.5" hidden="1" customHeight="1" thickBot="1">
      <c r="A1523" s="137" t="s">
        <v>490</v>
      </c>
      <c r="B1523" s="138"/>
      <c r="C1523" s="138"/>
      <c r="D1523" s="139"/>
      <c r="J1523" s="27"/>
      <c r="K1523" s="27"/>
      <c r="L1523" s="27"/>
      <c r="M1523" s="27"/>
      <c r="N1523" s="27"/>
      <c r="O1523" s="27"/>
      <c r="P1523" s="27"/>
    </row>
    <row r="1524" spans="1:16" s="28" customFormat="1" ht="34.5" hidden="1" customHeight="1" thickBot="1">
      <c r="A1524" s="34" t="s">
        <v>487</v>
      </c>
      <c r="B1524" s="32" t="s">
        <v>438</v>
      </c>
      <c r="C1524" s="34">
        <v>50</v>
      </c>
      <c r="D1524" s="32" t="s">
        <v>0</v>
      </c>
      <c r="J1524" s="27"/>
      <c r="K1524" s="27"/>
      <c r="L1524" s="27"/>
      <c r="M1524" s="27"/>
      <c r="N1524" s="27"/>
      <c r="O1524" s="27"/>
      <c r="P1524" s="27"/>
    </row>
    <row r="1525" spans="1:16" s="28" customFormat="1" ht="34.5" hidden="1" customHeight="1" thickBot="1">
      <c r="A1525" s="37" t="s">
        <v>13</v>
      </c>
      <c r="B1525" s="36" t="s">
        <v>1</v>
      </c>
      <c r="C1525" s="34" t="s">
        <v>14</v>
      </c>
      <c r="D1525" s="32" t="s">
        <v>2</v>
      </c>
      <c r="J1525" s="27"/>
      <c r="K1525" s="27"/>
      <c r="L1525" s="27"/>
      <c r="M1525" s="27"/>
      <c r="N1525" s="27"/>
      <c r="O1525" s="27"/>
      <c r="P1525" s="27"/>
    </row>
    <row r="1526" spans="1:16" s="28" customFormat="1" ht="34.5" hidden="1" customHeight="1" thickBot="1">
      <c r="A1526" s="140">
        <v>0</v>
      </c>
      <c r="B1526" s="141"/>
      <c r="C1526" s="142" t="s">
        <v>3</v>
      </c>
      <c r="D1526" s="143"/>
      <c r="J1526" s="27"/>
      <c r="K1526" s="27"/>
      <c r="L1526" s="27"/>
      <c r="M1526" s="27"/>
      <c r="N1526" s="27"/>
      <c r="O1526" s="27"/>
      <c r="P1526" s="27"/>
    </row>
    <row r="1527" spans="1:16" s="28" customFormat="1" ht="34.5" hidden="1" customHeight="1" thickBot="1">
      <c r="A1527" s="140">
        <v>0</v>
      </c>
      <c r="B1527" s="141"/>
      <c r="C1527" s="144" t="s">
        <v>4</v>
      </c>
      <c r="D1527" s="145"/>
      <c r="J1527" s="27"/>
      <c r="K1527" s="27"/>
      <c r="L1527" s="27"/>
      <c r="M1527" s="27"/>
      <c r="N1527" s="27"/>
      <c r="O1527" s="27"/>
      <c r="P1527" s="27"/>
    </row>
    <row r="1528" spans="1:16" s="28" customFormat="1" ht="34.5" hidden="1" customHeight="1" thickBot="1">
      <c r="A1528" s="146">
        <v>12</v>
      </c>
      <c r="B1528" s="147"/>
      <c r="C1528" s="148"/>
      <c r="D1528" s="35" t="s">
        <v>5</v>
      </c>
      <c r="J1528" s="27"/>
      <c r="K1528" s="27"/>
      <c r="L1528" s="27"/>
      <c r="M1528" s="27"/>
      <c r="N1528" s="27"/>
      <c r="O1528" s="27"/>
      <c r="P1528" s="27"/>
    </row>
    <row r="1529" spans="1:16" s="28" customFormat="1" ht="34.5" hidden="1" customHeight="1" thickBot="1">
      <c r="A1529" s="149">
        <v>50</v>
      </c>
      <c r="B1529" s="150"/>
      <c r="C1529" s="151"/>
      <c r="D1529" s="35" t="s">
        <v>6</v>
      </c>
      <c r="J1529" s="27"/>
      <c r="K1529" s="27"/>
      <c r="L1529" s="27"/>
      <c r="M1529" s="27"/>
      <c r="N1529" s="27"/>
      <c r="O1529" s="27"/>
      <c r="P1529" s="27"/>
    </row>
    <row r="1530" spans="1:16" s="28" customFormat="1" ht="34.5" hidden="1" customHeight="1" thickBot="1">
      <c r="A1530" s="144">
        <f>A1529*A1528</f>
        <v>600</v>
      </c>
      <c r="B1530" s="152"/>
      <c r="C1530" s="145"/>
      <c r="D1530" s="35" t="s">
        <v>7</v>
      </c>
      <c r="J1530" s="27"/>
      <c r="K1530" s="27"/>
      <c r="L1530" s="27"/>
      <c r="M1530" s="27"/>
      <c r="N1530" s="27"/>
      <c r="O1530" s="27"/>
      <c r="P1530" s="27"/>
    </row>
    <row r="1531" spans="1:16" s="28" customFormat="1" ht="34.5" hidden="1" customHeight="1" thickBot="1">
      <c r="A1531" s="144">
        <v>0</v>
      </c>
      <c r="B1531" s="152"/>
      <c r="C1531" s="145"/>
      <c r="D1531" s="35" t="s">
        <v>437</v>
      </c>
      <c r="J1531" s="27"/>
      <c r="K1531" s="27"/>
      <c r="L1531" s="27"/>
      <c r="M1531" s="27"/>
      <c r="N1531" s="27"/>
      <c r="O1531" s="27"/>
      <c r="P1531" s="27"/>
    </row>
    <row r="1532" spans="1:16" s="28" customFormat="1" ht="34.5" hidden="1" customHeight="1" thickBot="1">
      <c r="A1532" s="34">
        <v>0</v>
      </c>
      <c r="B1532" s="32" t="s">
        <v>8</v>
      </c>
      <c r="C1532" s="33">
        <v>600</v>
      </c>
      <c r="D1532" s="32" t="s">
        <v>9</v>
      </c>
      <c r="J1532" s="27"/>
      <c r="K1532" s="27"/>
      <c r="L1532" s="27"/>
      <c r="M1532" s="27"/>
      <c r="N1532" s="27"/>
      <c r="O1532" s="27"/>
      <c r="P1532" s="27"/>
    </row>
    <row r="1533" spans="1:16" s="28" customFormat="1" ht="34.5" hidden="1" customHeight="1" thickBot="1">
      <c r="A1533" s="153" t="s">
        <v>436</v>
      </c>
      <c r="B1533" s="154"/>
      <c r="C1533" s="154"/>
      <c r="D1533" s="155"/>
      <c r="J1533" s="27"/>
      <c r="K1533" s="27"/>
      <c r="L1533" s="27"/>
      <c r="M1533" s="27"/>
      <c r="N1533" s="27"/>
      <c r="O1533" s="27"/>
      <c r="P1533" s="27"/>
    </row>
    <row r="1534" spans="1:16" s="28" customFormat="1" ht="34.5" hidden="1" customHeight="1" thickBot="1">
      <c r="A1534" s="156" t="s">
        <v>435</v>
      </c>
      <c r="B1534" s="157"/>
      <c r="C1534" s="157"/>
      <c r="D1534" s="158"/>
      <c r="J1534" s="27"/>
      <c r="K1534" s="27"/>
      <c r="L1534" s="27"/>
      <c r="M1534" s="27"/>
      <c r="N1534" s="27"/>
      <c r="O1534" s="27"/>
      <c r="P1534" s="27"/>
    </row>
    <row r="1535" spans="1:16" s="28" customFormat="1" ht="34.5" hidden="1" customHeight="1" thickBot="1">
      <c r="A1535" s="40"/>
      <c r="B1535" s="39"/>
      <c r="C1535" s="39"/>
      <c r="D1535" s="38"/>
      <c r="J1535" s="27"/>
      <c r="K1535" s="27"/>
      <c r="L1535" s="27"/>
      <c r="M1535" s="27"/>
      <c r="N1535" s="27"/>
      <c r="O1535" s="27"/>
      <c r="P1535" s="27"/>
    </row>
    <row r="1536" spans="1:16" s="28" customFormat="1" ht="34.5" hidden="1" customHeight="1">
      <c r="A1536" s="159" t="s">
        <v>442</v>
      </c>
      <c r="B1536" s="160" t="s">
        <v>441</v>
      </c>
      <c r="C1536" s="160"/>
      <c r="D1536" s="161"/>
      <c r="J1536" s="27"/>
      <c r="K1536" s="27"/>
      <c r="L1536" s="27"/>
      <c r="M1536" s="27"/>
      <c r="N1536" s="27"/>
      <c r="O1536" s="27"/>
      <c r="P1536" s="27"/>
    </row>
    <row r="1537" spans="1:16" s="28" customFormat="1" ht="34.5" hidden="1" customHeight="1" thickBot="1">
      <c r="A1537" s="162"/>
      <c r="B1537" s="163"/>
      <c r="C1537" s="163"/>
      <c r="D1537" s="164"/>
      <c r="J1537" s="27"/>
      <c r="K1537" s="27"/>
      <c r="L1537" s="27"/>
      <c r="M1537" s="27"/>
      <c r="N1537" s="27"/>
      <c r="O1537" s="27"/>
      <c r="P1537" s="27"/>
    </row>
    <row r="1538" spans="1:16" s="28" customFormat="1" ht="34.5" hidden="1" customHeight="1" thickBot="1">
      <c r="A1538" s="142" t="s">
        <v>11</v>
      </c>
      <c r="B1538" s="143"/>
      <c r="C1538" s="165" t="s">
        <v>12</v>
      </c>
      <c r="D1538" s="143"/>
      <c r="J1538" s="27"/>
      <c r="K1538" s="27"/>
      <c r="L1538" s="27"/>
      <c r="M1538" s="27"/>
      <c r="N1538" s="27"/>
      <c r="O1538" s="27"/>
      <c r="P1538" s="27"/>
    </row>
    <row r="1539" spans="1:16" s="28" customFormat="1" ht="34.5" hidden="1" customHeight="1" thickBot="1">
      <c r="A1539" s="137" t="s">
        <v>490</v>
      </c>
      <c r="B1539" s="138"/>
      <c r="C1539" s="138"/>
      <c r="D1539" s="139"/>
      <c r="J1539" s="27"/>
      <c r="K1539" s="27"/>
      <c r="L1539" s="27"/>
      <c r="M1539" s="27"/>
      <c r="N1539" s="27"/>
      <c r="O1539" s="27"/>
      <c r="P1539" s="27"/>
    </row>
    <row r="1540" spans="1:16" s="28" customFormat="1" ht="34.5" hidden="1" customHeight="1" thickBot="1">
      <c r="A1540" s="34" t="s">
        <v>487</v>
      </c>
      <c r="B1540" s="32" t="s">
        <v>438</v>
      </c>
      <c r="C1540" s="34">
        <v>50</v>
      </c>
      <c r="D1540" s="32" t="s">
        <v>0</v>
      </c>
      <c r="J1540" s="27"/>
      <c r="K1540" s="27"/>
      <c r="L1540" s="27"/>
      <c r="M1540" s="27"/>
      <c r="N1540" s="27"/>
      <c r="O1540" s="27"/>
      <c r="P1540" s="27"/>
    </row>
    <row r="1541" spans="1:16" s="28" customFormat="1" ht="34.5" hidden="1" customHeight="1" thickBot="1">
      <c r="A1541" s="37" t="s">
        <v>13</v>
      </c>
      <c r="B1541" s="36" t="s">
        <v>1</v>
      </c>
      <c r="C1541" s="34" t="s">
        <v>14</v>
      </c>
      <c r="D1541" s="32" t="s">
        <v>2</v>
      </c>
      <c r="J1541" s="27"/>
      <c r="K1541" s="27"/>
      <c r="L1541" s="27"/>
      <c r="M1541" s="27"/>
      <c r="N1541" s="27"/>
      <c r="O1541" s="27"/>
      <c r="P1541" s="27"/>
    </row>
    <row r="1542" spans="1:16" s="28" customFormat="1" ht="34.5" hidden="1" customHeight="1" thickBot="1">
      <c r="A1542" s="140">
        <v>0</v>
      </c>
      <c r="B1542" s="141"/>
      <c r="C1542" s="142" t="s">
        <v>3</v>
      </c>
      <c r="D1542" s="143"/>
      <c r="J1542" s="27"/>
      <c r="K1542" s="27"/>
      <c r="L1542" s="27"/>
      <c r="M1542" s="27"/>
      <c r="N1542" s="27"/>
      <c r="O1542" s="27"/>
      <c r="P1542" s="27"/>
    </row>
    <row r="1543" spans="1:16" s="28" customFormat="1" ht="34.5" hidden="1" customHeight="1" thickBot="1">
      <c r="A1543" s="140">
        <v>0</v>
      </c>
      <c r="B1543" s="141"/>
      <c r="C1543" s="144" t="s">
        <v>4</v>
      </c>
      <c r="D1543" s="145"/>
      <c r="J1543" s="27"/>
      <c r="K1543" s="27"/>
      <c r="L1543" s="27"/>
      <c r="M1543" s="27"/>
      <c r="N1543" s="27"/>
      <c r="O1543" s="27"/>
      <c r="P1543" s="27"/>
    </row>
    <row r="1544" spans="1:16" s="28" customFormat="1" ht="34.5" hidden="1" customHeight="1" thickBot="1">
      <c r="A1544" s="146">
        <v>12</v>
      </c>
      <c r="B1544" s="147"/>
      <c r="C1544" s="148"/>
      <c r="D1544" s="35" t="s">
        <v>5</v>
      </c>
      <c r="J1544" s="27"/>
      <c r="K1544" s="27"/>
      <c r="L1544" s="27"/>
      <c r="M1544" s="27"/>
      <c r="N1544" s="27"/>
      <c r="O1544" s="27"/>
      <c r="P1544" s="27"/>
    </row>
    <row r="1545" spans="1:16" s="28" customFormat="1" ht="34.5" hidden="1" customHeight="1" thickBot="1">
      <c r="A1545" s="149">
        <v>50</v>
      </c>
      <c r="B1545" s="150"/>
      <c r="C1545" s="151"/>
      <c r="D1545" s="35" t="s">
        <v>6</v>
      </c>
      <c r="J1545" s="27"/>
      <c r="K1545" s="27"/>
      <c r="L1545" s="27"/>
      <c r="M1545" s="27"/>
      <c r="N1545" s="27"/>
      <c r="O1545" s="27"/>
      <c r="P1545" s="27"/>
    </row>
    <row r="1546" spans="1:16" s="28" customFormat="1" ht="34.5" hidden="1" customHeight="1" thickBot="1">
      <c r="A1546" s="144">
        <f>A1545*A1544</f>
        <v>600</v>
      </c>
      <c r="B1546" s="152"/>
      <c r="C1546" s="145"/>
      <c r="D1546" s="35" t="s">
        <v>7</v>
      </c>
      <c r="J1546" s="27"/>
      <c r="K1546" s="27"/>
      <c r="L1546" s="27"/>
      <c r="M1546" s="27"/>
      <c r="N1546" s="27"/>
      <c r="O1546" s="27"/>
      <c r="P1546" s="27"/>
    </row>
    <row r="1547" spans="1:16" s="28" customFormat="1" ht="34.5" hidden="1" customHeight="1" thickBot="1">
      <c r="A1547" s="144">
        <v>0</v>
      </c>
      <c r="B1547" s="152"/>
      <c r="C1547" s="145"/>
      <c r="D1547" s="35" t="s">
        <v>437</v>
      </c>
      <c r="J1547" s="27"/>
      <c r="K1547" s="27"/>
      <c r="L1547" s="27"/>
      <c r="M1547" s="27"/>
      <c r="N1547" s="27"/>
      <c r="O1547" s="27"/>
      <c r="P1547" s="27"/>
    </row>
    <row r="1548" spans="1:16" s="28" customFormat="1" ht="34.5" hidden="1" customHeight="1" thickBot="1">
      <c r="A1548" s="34">
        <v>0</v>
      </c>
      <c r="B1548" s="32" t="s">
        <v>8</v>
      </c>
      <c r="C1548" s="33">
        <v>600</v>
      </c>
      <c r="D1548" s="32" t="s">
        <v>9</v>
      </c>
      <c r="J1548" s="27"/>
      <c r="K1548" s="27"/>
      <c r="L1548" s="27"/>
      <c r="M1548" s="27"/>
      <c r="N1548" s="27"/>
      <c r="O1548" s="27"/>
      <c r="P1548" s="27"/>
    </row>
    <row r="1549" spans="1:16" s="28" customFormat="1" ht="34.5" hidden="1" customHeight="1" thickBot="1">
      <c r="A1549" s="153" t="s">
        <v>436</v>
      </c>
      <c r="B1549" s="154"/>
      <c r="C1549" s="154"/>
      <c r="D1549" s="155"/>
      <c r="J1549" s="27"/>
      <c r="K1549" s="27"/>
      <c r="L1549" s="27"/>
      <c r="M1549" s="27"/>
      <c r="N1549" s="27"/>
      <c r="O1549" s="27"/>
      <c r="P1549" s="27"/>
    </row>
    <row r="1550" spans="1:16" s="28" customFormat="1" ht="34.5" hidden="1" customHeight="1" thickBot="1">
      <c r="A1550" s="156" t="s">
        <v>435</v>
      </c>
      <c r="B1550" s="157"/>
      <c r="C1550" s="157"/>
      <c r="D1550" s="158"/>
      <c r="J1550" s="27"/>
      <c r="K1550" s="27"/>
      <c r="L1550" s="27"/>
      <c r="M1550" s="27"/>
      <c r="N1550" s="27"/>
      <c r="O1550" s="27"/>
      <c r="P1550" s="27"/>
    </row>
    <row r="1551" spans="1:16" s="28" customFormat="1" ht="34.5" hidden="1" customHeight="1">
      <c r="A1551" s="159" t="s">
        <v>442</v>
      </c>
      <c r="B1551" s="160" t="s">
        <v>441</v>
      </c>
      <c r="C1551" s="160"/>
      <c r="D1551" s="161"/>
      <c r="J1551" s="27"/>
      <c r="K1551" s="27"/>
      <c r="L1551" s="27"/>
      <c r="M1551" s="27"/>
      <c r="N1551" s="27"/>
      <c r="O1551" s="27"/>
      <c r="P1551" s="27"/>
    </row>
    <row r="1552" spans="1:16" s="28" customFormat="1" ht="34.5" hidden="1" customHeight="1" thickBot="1">
      <c r="A1552" s="162"/>
      <c r="B1552" s="163"/>
      <c r="C1552" s="163"/>
      <c r="D1552" s="164"/>
      <c r="J1552" s="27"/>
      <c r="K1552" s="27"/>
      <c r="L1552" s="27"/>
      <c r="M1552" s="27"/>
      <c r="N1552" s="27"/>
      <c r="O1552" s="27"/>
      <c r="P1552" s="27"/>
    </row>
    <row r="1553" spans="1:16" s="28" customFormat="1" ht="34.5" hidden="1" customHeight="1" thickBot="1">
      <c r="A1553" s="142" t="s">
        <v>11</v>
      </c>
      <c r="B1553" s="143"/>
      <c r="C1553" s="165" t="s">
        <v>12</v>
      </c>
      <c r="D1553" s="143"/>
      <c r="J1553" s="27"/>
      <c r="K1553" s="27"/>
      <c r="L1553" s="27"/>
      <c r="M1553" s="27"/>
      <c r="N1553" s="27"/>
      <c r="O1553" s="27"/>
      <c r="P1553" s="27"/>
    </row>
    <row r="1554" spans="1:16" s="28" customFormat="1" ht="34.5" hidden="1" customHeight="1" thickBot="1">
      <c r="A1554" s="137" t="s">
        <v>489</v>
      </c>
      <c r="B1554" s="138"/>
      <c r="C1554" s="138"/>
      <c r="D1554" s="139"/>
      <c r="J1554" s="27"/>
      <c r="K1554" s="27"/>
      <c r="L1554" s="27"/>
      <c r="M1554" s="27"/>
      <c r="N1554" s="27"/>
      <c r="O1554" s="27"/>
      <c r="P1554" s="27"/>
    </row>
    <row r="1555" spans="1:16" s="28" customFormat="1" ht="34.5" hidden="1" customHeight="1" thickBot="1">
      <c r="A1555" s="34" t="s">
        <v>487</v>
      </c>
      <c r="B1555" s="32" t="s">
        <v>438</v>
      </c>
      <c r="C1555" s="34">
        <v>51</v>
      </c>
      <c r="D1555" s="32" t="s">
        <v>0</v>
      </c>
      <c r="J1555" s="27"/>
      <c r="K1555" s="27"/>
      <c r="L1555" s="27"/>
      <c r="M1555" s="27"/>
      <c r="N1555" s="27"/>
      <c r="O1555" s="27"/>
      <c r="P1555" s="27"/>
    </row>
    <row r="1556" spans="1:16" s="28" customFormat="1" ht="34.5" hidden="1" customHeight="1" thickBot="1">
      <c r="A1556" s="37" t="s">
        <v>13</v>
      </c>
      <c r="B1556" s="36" t="s">
        <v>1</v>
      </c>
      <c r="C1556" s="34" t="s">
        <v>14</v>
      </c>
      <c r="D1556" s="32" t="s">
        <v>2</v>
      </c>
      <c r="J1556" s="27"/>
      <c r="K1556" s="27"/>
      <c r="L1556" s="27"/>
      <c r="M1556" s="27"/>
      <c r="N1556" s="27"/>
      <c r="O1556" s="27"/>
      <c r="P1556" s="27"/>
    </row>
    <row r="1557" spans="1:16" s="28" customFormat="1" ht="34.5" hidden="1" customHeight="1" thickBot="1">
      <c r="A1557" s="140">
        <v>0</v>
      </c>
      <c r="B1557" s="141"/>
      <c r="C1557" s="142" t="s">
        <v>3</v>
      </c>
      <c r="D1557" s="143"/>
      <c r="J1557" s="27"/>
      <c r="K1557" s="27"/>
      <c r="L1557" s="27"/>
      <c r="M1557" s="27"/>
      <c r="N1557" s="27"/>
      <c r="O1557" s="27"/>
      <c r="P1557" s="27"/>
    </row>
    <row r="1558" spans="1:16" s="28" customFormat="1" ht="34.5" hidden="1" customHeight="1" thickBot="1">
      <c r="A1558" s="140">
        <v>0</v>
      </c>
      <c r="B1558" s="141"/>
      <c r="C1558" s="144" t="s">
        <v>4</v>
      </c>
      <c r="D1558" s="145"/>
      <c r="J1558" s="27"/>
      <c r="K1558" s="27"/>
      <c r="L1558" s="27"/>
      <c r="M1558" s="27"/>
      <c r="N1558" s="27"/>
      <c r="O1558" s="27"/>
      <c r="P1558" s="27"/>
    </row>
    <row r="1559" spans="1:16" s="28" customFormat="1" ht="34.5" hidden="1" customHeight="1" thickBot="1">
      <c r="A1559" s="146">
        <f>A1558-A1557</f>
        <v>0</v>
      </c>
      <c r="B1559" s="147"/>
      <c r="C1559" s="148"/>
      <c r="D1559" s="35" t="s">
        <v>5</v>
      </c>
      <c r="J1559" s="27"/>
      <c r="K1559" s="27"/>
      <c r="L1559" s="27"/>
      <c r="M1559" s="27"/>
      <c r="N1559" s="27"/>
      <c r="O1559" s="27"/>
      <c r="P1559" s="27"/>
    </row>
    <row r="1560" spans="1:16" s="28" customFormat="1" ht="34.5" hidden="1" customHeight="1" thickBot="1">
      <c r="A1560" s="149">
        <v>50</v>
      </c>
      <c r="B1560" s="150"/>
      <c r="C1560" s="151"/>
      <c r="D1560" s="35" t="s">
        <v>6</v>
      </c>
      <c r="J1560" s="27"/>
      <c r="K1560" s="27"/>
      <c r="L1560" s="27"/>
      <c r="M1560" s="27"/>
      <c r="N1560" s="27"/>
      <c r="O1560" s="27"/>
      <c r="P1560" s="27"/>
    </row>
    <row r="1561" spans="1:16" s="28" customFormat="1" ht="34.5" hidden="1" customHeight="1" thickBot="1">
      <c r="A1561" s="144">
        <f>A1560*A1559</f>
        <v>0</v>
      </c>
      <c r="B1561" s="152"/>
      <c r="C1561" s="145"/>
      <c r="D1561" s="35" t="s">
        <v>7</v>
      </c>
      <c r="J1561" s="27"/>
      <c r="K1561" s="27"/>
      <c r="L1561" s="27"/>
      <c r="M1561" s="27"/>
      <c r="N1561" s="27"/>
      <c r="O1561" s="27"/>
      <c r="P1561" s="27"/>
    </row>
    <row r="1562" spans="1:16" s="28" customFormat="1" ht="34.5" hidden="1" customHeight="1" thickBot="1">
      <c r="A1562" s="144">
        <v>0</v>
      </c>
      <c r="B1562" s="152"/>
      <c r="C1562" s="145"/>
      <c r="D1562" s="35" t="s">
        <v>437</v>
      </c>
      <c r="J1562" s="27"/>
      <c r="K1562" s="27"/>
      <c r="L1562" s="27"/>
      <c r="M1562" s="27"/>
      <c r="N1562" s="27"/>
      <c r="O1562" s="27"/>
      <c r="P1562" s="27"/>
    </row>
    <row r="1563" spans="1:16" s="28" customFormat="1" ht="34.5" hidden="1" customHeight="1" thickBot="1">
      <c r="A1563" s="34">
        <v>0</v>
      </c>
      <c r="B1563" s="32" t="s">
        <v>8</v>
      </c>
      <c r="C1563" s="33">
        <v>2950</v>
      </c>
      <c r="D1563" s="32" t="s">
        <v>9</v>
      </c>
      <c r="J1563" s="27"/>
      <c r="K1563" s="27"/>
      <c r="L1563" s="27"/>
      <c r="M1563" s="27"/>
      <c r="N1563" s="27"/>
      <c r="O1563" s="27"/>
      <c r="P1563" s="27"/>
    </row>
    <row r="1564" spans="1:16" s="28" customFormat="1" ht="34.5" hidden="1" customHeight="1" thickBot="1">
      <c r="A1564" s="153" t="s">
        <v>436</v>
      </c>
      <c r="B1564" s="154"/>
      <c r="C1564" s="154"/>
      <c r="D1564" s="155"/>
      <c r="J1564" s="27"/>
      <c r="K1564" s="27"/>
      <c r="L1564" s="27"/>
      <c r="M1564" s="27"/>
      <c r="N1564" s="27"/>
      <c r="O1564" s="27"/>
      <c r="P1564" s="27"/>
    </row>
    <row r="1565" spans="1:16" s="28" customFormat="1" ht="34.5" hidden="1" customHeight="1" thickBot="1">
      <c r="A1565" s="156" t="s">
        <v>435</v>
      </c>
      <c r="B1565" s="157"/>
      <c r="C1565" s="157"/>
      <c r="D1565" s="158"/>
      <c r="J1565" s="27"/>
      <c r="K1565" s="27"/>
      <c r="L1565" s="27"/>
      <c r="M1565" s="27"/>
      <c r="N1565" s="27"/>
      <c r="O1565" s="27"/>
      <c r="P1565" s="27"/>
    </row>
    <row r="1566" spans="1:16" s="28" customFormat="1" ht="34.5" hidden="1" customHeight="1" thickBot="1">
      <c r="A1566" s="40"/>
      <c r="B1566" s="39"/>
      <c r="C1566" s="39"/>
      <c r="D1566" s="38"/>
      <c r="J1566" s="27"/>
      <c r="K1566" s="27"/>
      <c r="L1566" s="27"/>
      <c r="M1566" s="27"/>
      <c r="N1566" s="27"/>
      <c r="O1566" s="27"/>
      <c r="P1566" s="27"/>
    </row>
    <row r="1567" spans="1:16" s="28" customFormat="1" ht="34.5" hidden="1" customHeight="1">
      <c r="A1567" s="159" t="s">
        <v>442</v>
      </c>
      <c r="B1567" s="160" t="s">
        <v>441</v>
      </c>
      <c r="C1567" s="160"/>
      <c r="D1567" s="161"/>
      <c r="J1567" s="27"/>
      <c r="K1567" s="27"/>
      <c r="L1567" s="27"/>
      <c r="M1567" s="27"/>
      <c r="N1567" s="27"/>
      <c r="O1567" s="27"/>
      <c r="P1567" s="27"/>
    </row>
    <row r="1568" spans="1:16" s="28" customFormat="1" ht="34.5" hidden="1" customHeight="1" thickBot="1">
      <c r="A1568" s="162"/>
      <c r="B1568" s="163"/>
      <c r="C1568" s="163"/>
      <c r="D1568" s="164"/>
      <c r="J1568" s="27"/>
      <c r="K1568" s="27"/>
      <c r="L1568" s="27"/>
      <c r="M1568" s="27"/>
      <c r="N1568" s="27"/>
      <c r="O1568" s="27"/>
      <c r="P1568" s="27"/>
    </row>
    <row r="1569" spans="1:16" s="28" customFormat="1" ht="34.5" hidden="1" customHeight="1" thickBot="1">
      <c r="A1569" s="142" t="s">
        <v>11</v>
      </c>
      <c r="B1569" s="143"/>
      <c r="C1569" s="165" t="s">
        <v>12</v>
      </c>
      <c r="D1569" s="143"/>
      <c r="J1569" s="27"/>
      <c r="K1569" s="27"/>
      <c r="L1569" s="27"/>
      <c r="M1569" s="27"/>
      <c r="N1569" s="27"/>
      <c r="O1569" s="27"/>
      <c r="P1569" s="27"/>
    </row>
    <row r="1570" spans="1:16" s="28" customFormat="1" ht="34.5" hidden="1" customHeight="1" thickBot="1">
      <c r="A1570" s="137" t="s">
        <v>489</v>
      </c>
      <c r="B1570" s="138"/>
      <c r="C1570" s="138"/>
      <c r="D1570" s="139"/>
      <c r="J1570" s="27"/>
      <c r="K1570" s="27"/>
      <c r="L1570" s="27"/>
      <c r="M1570" s="27"/>
      <c r="N1570" s="27"/>
      <c r="O1570" s="27"/>
      <c r="P1570" s="27"/>
    </row>
    <row r="1571" spans="1:16" s="28" customFormat="1" ht="34.5" hidden="1" customHeight="1" thickBot="1">
      <c r="A1571" s="34" t="s">
        <v>487</v>
      </c>
      <c r="B1571" s="32" t="s">
        <v>438</v>
      </c>
      <c r="C1571" s="34">
        <v>51</v>
      </c>
      <c r="D1571" s="32" t="s">
        <v>0</v>
      </c>
      <c r="J1571" s="27"/>
      <c r="K1571" s="27"/>
      <c r="L1571" s="27"/>
      <c r="M1571" s="27"/>
      <c r="N1571" s="27"/>
      <c r="O1571" s="27"/>
      <c r="P1571" s="27"/>
    </row>
    <row r="1572" spans="1:16" s="28" customFormat="1" ht="34.5" hidden="1" customHeight="1" thickBot="1">
      <c r="A1572" s="37" t="s">
        <v>13</v>
      </c>
      <c r="B1572" s="36" t="s">
        <v>1</v>
      </c>
      <c r="C1572" s="34" t="s">
        <v>14</v>
      </c>
      <c r="D1572" s="32" t="s">
        <v>2</v>
      </c>
      <c r="J1572" s="27"/>
      <c r="K1572" s="27"/>
      <c r="L1572" s="27"/>
      <c r="M1572" s="27"/>
      <c r="N1572" s="27"/>
      <c r="O1572" s="27"/>
      <c r="P1572" s="27"/>
    </row>
    <row r="1573" spans="1:16" s="28" customFormat="1" ht="34.5" hidden="1" customHeight="1" thickBot="1">
      <c r="A1573" s="140">
        <v>0</v>
      </c>
      <c r="B1573" s="141"/>
      <c r="C1573" s="142" t="s">
        <v>3</v>
      </c>
      <c r="D1573" s="143"/>
      <c r="J1573" s="27"/>
      <c r="K1573" s="27"/>
      <c r="L1573" s="27"/>
      <c r="M1573" s="27"/>
      <c r="N1573" s="27"/>
      <c r="O1573" s="27"/>
      <c r="P1573" s="27"/>
    </row>
    <row r="1574" spans="1:16" s="28" customFormat="1" ht="34.5" hidden="1" customHeight="1" thickBot="1">
      <c r="A1574" s="140">
        <v>0</v>
      </c>
      <c r="B1574" s="141"/>
      <c r="C1574" s="144" t="s">
        <v>4</v>
      </c>
      <c r="D1574" s="145"/>
      <c r="J1574" s="27"/>
      <c r="K1574" s="27"/>
      <c r="L1574" s="27"/>
      <c r="M1574" s="27"/>
      <c r="N1574" s="27"/>
      <c r="O1574" s="27"/>
      <c r="P1574" s="27"/>
    </row>
    <row r="1575" spans="1:16" s="28" customFormat="1" ht="34.5" hidden="1" customHeight="1" thickBot="1">
      <c r="A1575" s="146">
        <f>A1574-A1573</f>
        <v>0</v>
      </c>
      <c r="B1575" s="147"/>
      <c r="C1575" s="148"/>
      <c r="D1575" s="35" t="s">
        <v>5</v>
      </c>
      <c r="J1575" s="27"/>
      <c r="K1575" s="27"/>
      <c r="L1575" s="27"/>
      <c r="M1575" s="27"/>
      <c r="N1575" s="27"/>
      <c r="O1575" s="27"/>
      <c r="P1575" s="27"/>
    </row>
    <row r="1576" spans="1:16" s="28" customFormat="1" ht="34.5" hidden="1" customHeight="1" thickBot="1">
      <c r="A1576" s="149">
        <v>50</v>
      </c>
      <c r="B1576" s="150"/>
      <c r="C1576" s="151"/>
      <c r="D1576" s="35" t="s">
        <v>6</v>
      </c>
      <c r="J1576" s="27"/>
      <c r="K1576" s="27"/>
      <c r="L1576" s="27"/>
      <c r="M1576" s="27"/>
      <c r="N1576" s="27"/>
      <c r="O1576" s="27"/>
      <c r="P1576" s="27"/>
    </row>
    <row r="1577" spans="1:16" s="28" customFormat="1" ht="34.5" hidden="1" customHeight="1" thickBot="1">
      <c r="A1577" s="144">
        <f>A1576*A1575</f>
        <v>0</v>
      </c>
      <c r="B1577" s="152"/>
      <c r="C1577" s="145"/>
      <c r="D1577" s="35" t="s">
        <v>7</v>
      </c>
      <c r="J1577" s="27"/>
      <c r="K1577" s="27"/>
      <c r="L1577" s="27"/>
      <c r="M1577" s="27"/>
      <c r="N1577" s="27"/>
      <c r="O1577" s="27"/>
      <c r="P1577" s="27"/>
    </row>
    <row r="1578" spans="1:16" s="28" customFormat="1" ht="34.5" hidden="1" customHeight="1" thickBot="1">
      <c r="A1578" s="144">
        <v>0</v>
      </c>
      <c r="B1578" s="152"/>
      <c r="C1578" s="145"/>
      <c r="D1578" s="35" t="s">
        <v>437</v>
      </c>
      <c r="J1578" s="27"/>
      <c r="K1578" s="27"/>
      <c r="L1578" s="27"/>
      <c r="M1578" s="27"/>
      <c r="N1578" s="27"/>
      <c r="O1578" s="27"/>
      <c r="P1578" s="27"/>
    </row>
    <row r="1579" spans="1:16" s="28" customFormat="1" ht="34.5" hidden="1" customHeight="1" thickBot="1">
      <c r="A1579" s="34">
        <v>0</v>
      </c>
      <c r="B1579" s="32" t="s">
        <v>8</v>
      </c>
      <c r="C1579" s="33">
        <v>2950</v>
      </c>
      <c r="D1579" s="32" t="s">
        <v>9</v>
      </c>
      <c r="J1579" s="27"/>
      <c r="K1579" s="27"/>
      <c r="L1579" s="27"/>
      <c r="M1579" s="27"/>
      <c r="N1579" s="27"/>
      <c r="O1579" s="27"/>
      <c r="P1579" s="27"/>
    </row>
    <row r="1580" spans="1:16" s="28" customFormat="1" ht="34.5" hidden="1" customHeight="1" thickBot="1">
      <c r="A1580" s="153" t="s">
        <v>436</v>
      </c>
      <c r="B1580" s="154"/>
      <c r="C1580" s="154"/>
      <c r="D1580" s="155"/>
      <c r="J1580" s="27"/>
      <c r="K1580" s="27"/>
      <c r="L1580" s="27"/>
      <c r="M1580" s="27"/>
      <c r="N1580" s="27"/>
      <c r="O1580" s="27"/>
      <c r="P1580" s="27"/>
    </row>
    <row r="1581" spans="1:16" s="28" customFormat="1" ht="34.5" hidden="1" customHeight="1" thickBot="1">
      <c r="A1581" s="156" t="s">
        <v>435</v>
      </c>
      <c r="B1581" s="157"/>
      <c r="C1581" s="157"/>
      <c r="D1581" s="158"/>
      <c r="J1581" s="27"/>
      <c r="K1581" s="27"/>
      <c r="L1581" s="27"/>
      <c r="M1581" s="27"/>
      <c r="N1581" s="27"/>
      <c r="O1581" s="27"/>
      <c r="P1581" s="27"/>
    </row>
    <row r="1582" spans="1:16" s="28" customFormat="1" ht="34.5" hidden="1" customHeight="1">
      <c r="A1582" s="159" t="s">
        <v>442</v>
      </c>
      <c r="B1582" s="160" t="s">
        <v>441</v>
      </c>
      <c r="C1582" s="160"/>
      <c r="D1582" s="161"/>
      <c r="J1582" s="27"/>
      <c r="K1582" s="27"/>
      <c r="L1582" s="27"/>
      <c r="M1582" s="27"/>
      <c r="N1582" s="27"/>
      <c r="O1582" s="27"/>
      <c r="P1582" s="27"/>
    </row>
    <row r="1583" spans="1:16" s="28" customFormat="1" ht="34.5" hidden="1" customHeight="1" thickBot="1">
      <c r="A1583" s="162"/>
      <c r="B1583" s="163"/>
      <c r="C1583" s="163"/>
      <c r="D1583" s="164"/>
      <c r="J1583" s="27"/>
      <c r="K1583" s="27"/>
      <c r="L1583" s="27"/>
      <c r="M1583" s="27"/>
      <c r="N1583" s="27"/>
      <c r="O1583" s="27"/>
      <c r="P1583" s="27"/>
    </row>
    <row r="1584" spans="1:16" s="28" customFormat="1" ht="34.5" hidden="1" customHeight="1" thickBot="1">
      <c r="A1584" s="142" t="s">
        <v>11</v>
      </c>
      <c r="B1584" s="143"/>
      <c r="C1584" s="165" t="s">
        <v>12</v>
      </c>
      <c r="D1584" s="143"/>
      <c r="J1584" s="27"/>
      <c r="K1584" s="27"/>
      <c r="L1584" s="27"/>
      <c r="M1584" s="27"/>
      <c r="N1584" s="27"/>
      <c r="O1584" s="27"/>
      <c r="P1584" s="27"/>
    </row>
    <row r="1585" spans="1:16" s="28" customFormat="1" ht="34.5" hidden="1" customHeight="1" thickBot="1">
      <c r="A1585" s="137" t="s">
        <v>488</v>
      </c>
      <c r="B1585" s="138"/>
      <c r="C1585" s="138"/>
      <c r="D1585" s="139"/>
      <c r="J1585" s="27"/>
      <c r="K1585" s="27"/>
      <c r="L1585" s="27"/>
      <c r="M1585" s="27"/>
      <c r="N1585" s="27"/>
      <c r="O1585" s="27"/>
      <c r="P1585" s="27"/>
    </row>
    <row r="1586" spans="1:16" s="28" customFormat="1" ht="34.5" hidden="1" customHeight="1" thickBot="1">
      <c r="A1586" s="34" t="s">
        <v>487</v>
      </c>
      <c r="B1586" s="32" t="s">
        <v>438</v>
      </c>
      <c r="C1586" s="34">
        <v>52</v>
      </c>
      <c r="D1586" s="32" t="s">
        <v>0</v>
      </c>
      <c r="J1586" s="27"/>
      <c r="K1586" s="27"/>
      <c r="L1586" s="27"/>
      <c r="M1586" s="27"/>
      <c r="N1586" s="27"/>
      <c r="O1586" s="27"/>
      <c r="P1586" s="27"/>
    </row>
    <row r="1587" spans="1:16" s="28" customFormat="1" ht="34.5" hidden="1" customHeight="1" thickBot="1">
      <c r="A1587" s="37" t="s">
        <v>13</v>
      </c>
      <c r="B1587" s="36" t="s">
        <v>1</v>
      </c>
      <c r="C1587" s="34" t="s">
        <v>14</v>
      </c>
      <c r="D1587" s="32" t="s">
        <v>2</v>
      </c>
      <c r="J1587" s="27"/>
      <c r="K1587" s="27"/>
      <c r="L1587" s="27"/>
      <c r="M1587" s="27"/>
      <c r="N1587" s="27"/>
      <c r="O1587" s="27"/>
      <c r="P1587" s="27"/>
    </row>
    <row r="1588" spans="1:16" s="28" customFormat="1" ht="34.5" hidden="1" customHeight="1" thickBot="1">
      <c r="A1588" s="140">
        <v>0</v>
      </c>
      <c r="B1588" s="141"/>
      <c r="C1588" s="142" t="s">
        <v>3</v>
      </c>
      <c r="D1588" s="143"/>
      <c r="J1588" s="27"/>
      <c r="K1588" s="27"/>
      <c r="L1588" s="27"/>
      <c r="M1588" s="27"/>
      <c r="N1588" s="27"/>
      <c r="O1588" s="27"/>
      <c r="P1588" s="27"/>
    </row>
    <row r="1589" spans="1:16" s="28" customFormat="1" ht="34.5" hidden="1" customHeight="1" thickBot="1">
      <c r="A1589" s="140">
        <v>0</v>
      </c>
      <c r="B1589" s="141"/>
      <c r="C1589" s="144" t="s">
        <v>4</v>
      </c>
      <c r="D1589" s="145"/>
      <c r="J1589" s="27"/>
      <c r="K1589" s="27"/>
      <c r="L1589" s="27"/>
      <c r="M1589" s="27"/>
      <c r="N1589" s="27"/>
      <c r="O1589" s="27"/>
      <c r="P1589" s="27"/>
    </row>
    <row r="1590" spans="1:16" s="28" customFormat="1" ht="34.5" hidden="1" customHeight="1" thickBot="1">
      <c r="A1590" s="146">
        <f>A1589-A1588</f>
        <v>0</v>
      </c>
      <c r="B1590" s="147"/>
      <c r="C1590" s="148"/>
      <c r="D1590" s="35" t="s">
        <v>5</v>
      </c>
      <c r="J1590" s="27"/>
      <c r="K1590" s="27"/>
      <c r="L1590" s="27"/>
      <c r="M1590" s="27"/>
      <c r="N1590" s="27"/>
      <c r="O1590" s="27"/>
      <c r="P1590" s="27"/>
    </row>
    <row r="1591" spans="1:16" s="28" customFormat="1" ht="34.5" hidden="1" customHeight="1" thickBot="1">
      <c r="A1591" s="149">
        <v>50</v>
      </c>
      <c r="B1591" s="150"/>
      <c r="C1591" s="151"/>
      <c r="D1591" s="35" t="s">
        <v>6</v>
      </c>
      <c r="J1591" s="27"/>
      <c r="K1591" s="27"/>
      <c r="L1591" s="27"/>
      <c r="M1591" s="27"/>
      <c r="N1591" s="27"/>
      <c r="O1591" s="27"/>
      <c r="P1591" s="27"/>
    </row>
    <row r="1592" spans="1:16" s="28" customFormat="1" ht="34.5" hidden="1" customHeight="1" thickBot="1">
      <c r="A1592" s="144">
        <f>A1591*A1590</f>
        <v>0</v>
      </c>
      <c r="B1592" s="152"/>
      <c r="C1592" s="145"/>
      <c r="D1592" s="35" t="s">
        <v>7</v>
      </c>
      <c r="J1592" s="27"/>
      <c r="K1592" s="27"/>
      <c r="L1592" s="27"/>
      <c r="M1592" s="27"/>
      <c r="N1592" s="27"/>
      <c r="O1592" s="27"/>
      <c r="P1592" s="27"/>
    </row>
    <row r="1593" spans="1:16" s="28" customFormat="1" ht="34.5" hidden="1" customHeight="1" thickBot="1">
      <c r="A1593" s="144">
        <v>0</v>
      </c>
      <c r="B1593" s="152"/>
      <c r="C1593" s="145"/>
      <c r="D1593" s="35" t="s">
        <v>437</v>
      </c>
      <c r="J1593" s="27"/>
      <c r="K1593" s="27"/>
      <c r="L1593" s="27"/>
      <c r="M1593" s="27"/>
      <c r="N1593" s="27"/>
      <c r="O1593" s="27"/>
      <c r="P1593" s="27"/>
    </row>
    <row r="1594" spans="1:16" s="28" customFormat="1" ht="34.5" hidden="1" customHeight="1" thickBot="1">
      <c r="A1594" s="34">
        <v>0</v>
      </c>
      <c r="B1594" s="32" t="s">
        <v>8</v>
      </c>
      <c r="C1594" s="33">
        <v>2100</v>
      </c>
      <c r="D1594" s="32" t="s">
        <v>9</v>
      </c>
      <c r="J1594" s="27"/>
      <c r="K1594" s="27"/>
      <c r="L1594" s="27"/>
      <c r="M1594" s="27"/>
      <c r="N1594" s="27"/>
      <c r="O1594" s="27"/>
      <c r="P1594" s="27"/>
    </row>
    <row r="1595" spans="1:16" s="28" customFormat="1" ht="34.5" hidden="1" customHeight="1" thickBot="1">
      <c r="A1595" s="153" t="s">
        <v>436</v>
      </c>
      <c r="B1595" s="154"/>
      <c r="C1595" s="154"/>
      <c r="D1595" s="155"/>
      <c r="J1595" s="27"/>
      <c r="K1595" s="27"/>
      <c r="L1595" s="27"/>
      <c r="M1595" s="27"/>
      <c r="N1595" s="27"/>
      <c r="O1595" s="27"/>
      <c r="P1595" s="27"/>
    </row>
    <row r="1596" spans="1:16" s="28" customFormat="1" ht="34.5" hidden="1" customHeight="1" thickBot="1">
      <c r="A1596" s="156" t="s">
        <v>435</v>
      </c>
      <c r="B1596" s="157"/>
      <c r="C1596" s="157"/>
      <c r="D1596" s="158"/>
      <c r="J1596" s="27"/>
      <c r="K1596" s="27"/>
      <c r="L1596" s="27"/>
      <c r="M1596" s="27"/>
      <c r="N1596" s="27"/>
      <c r="O1596" s="27"/>
      <c r="P1596" s="27"/>
    </row>
    <row r="1597" spans="1:16" s="28" customFormat="1" ht="34.5" hidden="1" customHeight="1" thickBot="1">
      <c r="A1597" s="40"/>
      <c r="B1597" s="39"/>
      <c r="C1597" s="39"/>
      <c r="D1597" s="38"/>
      <c r="J1597" s="27"/>
      <c r="K1597" s="27"/>
      <c r="L1597" s="27"/>
      <c r="M1597" s="27"/>
      <c r="N1597" s="27"/>
      <c r="O1597" s="27"/>
      <c r="P1597" s="27"/>
    </row>
    <row r="1598" spans="1:16" s="28" customFormat="1" ht="34.5" hidden="1" customHeight="1">
      <c r="A1598" s="159" t="s">
        <v>442</v>
      </c>
      <c r="B1598" s="160" t="s">
        <v>441</v>
      </c>
      <c r="C1598" s="160"/>
      <c r="D1598" s="161"/>
      <c r="J1598" s="27"/>
      <c r="K1598" s="27"/>
      <c r="L1598" s="27"/>
      <c r="M1598" s="27"/>
      <c r="N1598" s="27"/>
      <c r="O1598" s="27"/>
      <c r="P1598" s="27"/>
    </row>
    <row r="1599" spans="1:16" s="28" customFormat="1" ht="34.5" hidden="1" customHeight="1" thickBot="1">
      <c r="A1599" s="162"/>
      <c r="B1599" s="163"/>
      <c r="C1599" s="163"/>
      <c r="D1599" s="164"/>
      <c r="J1599" s="27"/>
      <c r="K1599" s="27"/>
      <c r="L1599" s="27"/>
      <c r="M1599" s="27"/>
      <c r="N1599" s="27"/>
      <c r="O1599" s="27"/>
      <c r="P1599" s="27"/>
    </row>
    <row r="1600" spans="1:16" s="28" customFormat="1" ht="34.5" hidden="1" customHeight="1" thickBot="1">
      <c r="A1600" s="142" t="s">
        <v>11</v>
      </c>
      <c r="B1600" s="143"/>
      <c r="C1600" s="165" t="s">
        <v>12</v>
      </c>
      <c r="D1600" s="143"/>
      <c r="J1600" s="27"/>
      <c r="K1600" s="27"/>
      <c r="L1600" s="27"/>
      <c r="M1600" s="27"/>
      <c r="N1600" s="27"/>
      <c r="O1600" s="27"/>
      <c r="P1600" s="27"/>
    </row>
    <row r="1601" spans="1:16" s="28" customFormat="1" ht="34.5" hidden="1" customHeight="1" thickBot="1">
      <c r="A1601" s="137" t="s">
        <v>488</v>
      </c>
      <c r="B1601" s="138"/>
      <c r="C1601" s="138"/>
      <c r="D1601" s="139"/>
      <c r="J1601" s="27"/>
      <c r="K1601" s="27"/>
      <c r="L1601" s="27"/>
      <c r="M1601" s="27"/>
      <c r="N1601" s="27"/>
      <c r="O1601" s="27"/>
      <c r="P1601" s="27"/>
    </row>
    <row r="1602" spans="1:16" s="28" customFormat="1" ht="34.5" hidden="1" customHeight="1" thickBot="1">
      <c r="A1602" s="34" t="s">
        <v>487</v>
      </c>
      <c r="B1602" s="32" t="s">
        <v>438</v>
      </c>
      <c r="C1602" s="34">
        <v>52</v>
      </c>
      <c r="D1602" s="32" t="s">
        <v>0</v>
      </c>
      <c r="J1602" s="27"/>
      <c r="K1602" s="27"/>
      <c r="L1602" s="27"/>
      <c r="M1602" s="27"/>
      <c r="N1602" s="27"/>
      <c r="O1602" s="27"/>
      <c r="P1602" s="27"/>
    </row>
    <row r="1603" spans="1:16" s="28" customFormat="1" ht="34.5" hidden="1" customHeight="1" thickBot="1">
      <c r="A1603" s="37" t="s">
        <v>13</v>
      </c>
      <c r="B1603" s="36" t="s">
        <v>1</v>
      </c>
      <c r="C1603" s="34" t="s">
        <v>14</v>
      </c>
      <c r="D1603" s="32" t="s">
        <v>2</v>
      </c>
      <c r="J1603" s="27"/>
      <c r="K1603" s="27"/>
      <c r="L1603" s="27"/>
      <c r="M1603" s="27"/>
      <c r="N1603" s="27"/>
      <c r="O1603" s="27"/>
      <c r="P1603" s="27"/>
    </row>
    <row r="1604" spans="1:16" s="28" customFormat="1" ht="34.5" hidden="1" customHeight="1" thickBot="1">
      <c r="A1604" s="140">
        <v>0</v>
      </c>
      <c r="B1604" s="141"/>
      <c r="C1604" s="142" t="s">
        <v>3</v>
      </c>
      <c r="D1604" s="143"/>
      <c r="J1604" s="27"/>
      <c r="K1604" s="27"/>
      <c r="L1604" s="27"/>
      <c r="M1604" s="27"/>
      <c r="N1604" s="27"/>
      <c r="O1604" s="27"/>
      <c r="P1604" s="27"/>
    </row>
    <row r="1605" spans="1:16" s="28" customFormat="1" ht="34.5" hidden="1" customHeight="1" thickBot="1">
      <c r="A1605" s="140">
        <v>0</v>
      </c>
      <c r="B1605" s="141"/>
      <c r="C1605" s="144" t="s">
        <v>4</v>
      </c>
      <c r="D1605" s="145"/>
      <c r="J1605" s="27"/>
      <c r="K1605" s="27"/>
      <c r="L1605" s="27"/>
      <c r="M1605" s="27"/>
      <c r="N1605" s="27"/>
      <c r="O1605" s="27"/>
      <c r="P1605" s="27"/>
    </row>
    <row r="1606" spans="1:16" s="28" customFormat="1" ht="34.5" hidden="1" customHeight="1" thickBot="1">
      <c r="A1606" s="146">
        <f>A1605-A1604</f>
        <v>0</v>
      </c>
      <c r="B1606" s="147"/>
      <c r="C1606" s="148"/>
      <c r="D1606" s="35" t="s">
        <v>5</v>
      </c>
      <c r="J1606" s="27"/>
      <c r="K1606" s="27"/>
      <c r="L1606" s="27"/>
      <c r="M1606" s="27"/>
      <c r="N1606" s="27"/>
      <c r="O1606" s="27"/>
      <c r="P1606" s="27"/>
    </row>
    <row r="1607" spans="1:16" s="28" customFormat="1" ht="34.5" hidden="1" customHeight="1" thickBot="1">
      <c r="A1607" s="149">
        <v>50</v>
      </c>
      <c r="B1607" s="150"/>
      <c r="C1607" s="151"/>
      <c r="D1607" s="35" t="s">
        <v>6</v>
      </c>
      <c r="J1607" s="27"/>
      <c r="K1607" s="27"/>
      <c r="L1607" s="27"/>
      <c r="M1607" s="27"/>
      <c r="N1607" s="27"/>
      <c r="O1607" s="27"/>
      <c r="P1607" s="27"/>
    </row>
    <row r="1608" spans="1:16" s="28" customFormat="1" ht="34.5" hidden="1" customHeight="1" thickBot="1">
      <c r="A1608" s="144">
        <f>A1607*A1606</f>
        <v>0</v>
      </c>
      <c r="B1608" s="152"/>
      <c r="C1608" s="145"/>
      <c r="D1608" s="35" t="s">
        <v>7</v>
      </c>
      <c r="J1608" s="27"/>
      <c r="K1608" s="27"/>
      <c r="L1608" s="27"/>
      <c r="M1608" s="27"/>
      <c r="N1608" s="27"/>
      <c r="O1608" s="27"/>
      <c r="P1608" s="27"/>
    </row>
    <row r="1609" spans="1:16" s="28" customFormat="1" ht="34.5" hidden="1" customHeight="1" thickBot="1">
      <c r="A1609" s="144">
        <v>0</v>
      </c>
      <c r="B1609" s="152"/>
      <c r="C1609" s="145"/>
      <c r="D1609" s="35" t="s">
        <v>437</v>
      </c>
      <c r="J1609" s="27"/>
      <c r="K1609" s="27"/>
      <c r="L1609" s="27"/>
      <c r="M1609" s="27"/>
      <c r="N1609" s="27"/>
      <c r="O1609" s="27"/>
      <c r="P1609" s="27"/>
    </row>
    <row r="1610" spans="1:16" s="28" customFormat="1" ht="34.5" hidden="1" customHeight="1" thickBot="1">
      <c r="A1610" s="34">
        <v>0</v>
      </c>
      <c r="B1610" s="32" t="s">
        <v>8</v>
      </c>
      <c r="C1610" s="33">
        <v>2100</v>
      </c>
      <c r="D1610" s="32" t="s">
        <v>9</v>
      </c>
      <c r="J1610" s="27"/>
      <c r="K1610" s="27"/>
      <c r="L1610" s="27"/>
      <c r="M1610" s="27"/>
      <c r="N1610" s="27"/>
      <c r="O1610" s="27"/>
      <c r="P1610" s="27"/>
    </row>
    <row r="1611" spans="1:16" s="28" customFormat="1" ht="34.5" hidden="1" customHeight="1" thickBot="1">
      <c r="A1611" s="153" t="s">
        <v>436</v>
      </c>
      <c r="B1611" s="154"/>
      <c r="C1611" s="154"/>
      <c r="D1611" s="155"/>
      <c r="J1611" s="27"/>
      <c r="K1611" s="27"/>
      <c r="L1611" s="27"/>
      <c r="M1611" s="27"/>
      <c r="N1611" s="27"/>
      <c r="O1611" s="27"/>
      <c r="P1611" s="27"/>
    </row>
    <row r="1612" spans="1:16" s="28" customFormat="1" ht="34.5" hidden="1" customHeight="1" thickBot="1">
      <c r="A1612" s="156" t="s">
        <v>435</v>
      </c>
      <c r="B1612" s="157"/>
      <c r="C1612" s="157"/>
      <c r="D1612" s="158"/>
      <c r="J1612" s="27"/>
      <c r="K1612" s="27"/>
      <c r="L1612" s="27"/>
      <c r="M1612" s="27"/>
      <c r="N1612" s="27"/>
      <c r="O1612" s="27"/>
      <c r="P1612" s="27"/>
    </row>
    <row r="1613" spans="1:16" s="28" customFormat="1" ht="34.5" hidden="1" customHeight="1">
      <c r="A1613" s="159" t="s">
        <v>442</v>
      </c>
      <c r="B1613" s="160" t="s">
        <v>441</v>
      </c>
      <c r="C1613" s="160"/>
      <c r="D1613" s="161"/>
      <c r="J1613" s="27"/>
      <c r="K1613" s="27"/>
      <c r="L1613" s="27"/>
      <c r="M1613" s="27"/>
      <c r="N1613" s="27"/>
      <c r="O1613" s="27"/>
      <c r="P1613" s="27"/>
    </row>
    <row r="1614" spans="1:16" s="28" customFormat="1" ht="34.5" hidden="1" customHeight="1" thickBot="1">
      <c r="A1614" s="162"/>
      <c r="B1614" s="163"/>
      <c r="C1614" s="163"/>
      <c r="D1614" s="164"/>
      <c r="J1614" s="27"/>
      <c r="K1614" s="27"/>
      <c r="L1614" s="27"/>
      <c r="M1614" s="27"/>
      <c r="N1614" s="27"/>
      <c r="O1614" s="27"/>
      <c r="P1614" s="27"/>
    </row>
    <row r="1615" spans="1:16" s="28" customFormat="1" ht="34.5" hidden="1" customHeight="1" thickBot="1">
      <c r="A1615" s="142" t="s">
        <v>11</v>
      </c>
      <c r="B1615" s="143"/>
      <c r="C1615" s="165" t="s">
        <v>12</v>
      </c>
      <c r="D1615" s="143"/>
      <c r="J1615" s="27"/>
      <c r="K1615" s="27"/>
      <c r="L1615" s="27"/>
      <c r="M1615" s="27"/>
      <c r="N1615" s="27"/>
      <c r="O1615" s="27"/>
      <c r="P1615" s="27"/>
    </row>
    <row r="1616" spans="1:16" s="28" customFormat="1" ht="34.5" hidden="1" customHeight="1" thickBot="1">
      <c r="A1616" s="137" t="s">
        <v>25</v>
      </c>
      <c r="B1616" s="138"/>
      <c r="C1616" s="138"/>
      <c r="D1616" s="139"/>
      <c r="J1616" s="27"/>
      <c r="K1616" s="27"/>
      <c r="L1616" s="27"/>
      <c r="M1616" s="27"/>
      <c r="N1616" s="27"/>
      <c r="O1616" s="27"/>
      <c r="P1616" s="27"/>
    </row>
    <row r="1617" spans="1:16" s="28" customFormat="1" ht="34.5" hidden="1" customHeight="1" thickBot="1">
      <c r="A1617" s="34" t="s">
        <v>458</v>
      </c>
      <c r="B1617" s="32" t="s">
        <v>438</v>
      </c>
      <c r="C1617" s="34"/>
      <c r="D1617" s="32" t="s">
        <v>0</v>
      </c>
      <c r="J1617" s="27"/>
      <c r="K1617" s="27"/>
      <c r="L1617" s="27"/>
      <c r="M1617" s="27"/>
      <c r="N1617" s="27"/>
      <c r="O1617" s="27"/>
      <c r="P1617" s="27"/>
    </row>
    <row r="1618" spans="1:16" s="28" customFormat="1" ht="34.5" hidden="1" customHeight="1" thickBot="1">
      <c r="A1618" s="37" t="s">
        <v>13</v>
      </c>
      <c r="B1618" s="36" t="s">
        <v>1</v>
      </c>
      <c r="C1618" s="34" t="s">
        <v>14</v>
      </c>
      <c r="D1618" s="32" t="s">
        <v>2</v>
      </c>
      <c r="J1618" s="27"/>
      <c r="K1618" s="27"/>
      <c r="L1618" s="27"/>
      <c r="M1618" s="27"/>
      <c r="N1618" s="27"/>
      <c r="O1618" s="27"/>
      <c r="P1618" s="27"/>
    </row>
    <row r="1619" spans="1:16" s="28" customFormat="1" ht="34.5" hidden="1" customHeight="1" thickBot="1">
      <c r="A1619" s="140">
        <v>0</v>
      </c>
      <c r="B1619" s="141"/>
      <c r="C1619" s="142" t="s">
        <v>3</v>
      </c>
      <c r="D1619" s="143"/>
      <c r="J1619" s="27"/>
      <c r="K1619" s="27"/>
      <c r="L1619" s="27"/>
      <c r="M1619" s="27"/>
      <c r="N1619" s="27"/>
      <c r="O1619" s="27"/>
      <c r="P1619" s="27"/>
    </row>
    <row r="1620" spans="1:16" s="28" customFormat="1" ht="34.5" hidden="1" customHeight="1" thickBot="1">
      <c r="A1620" s="140">
        <v>0</v>
      </c>
      <c r="B1620" s="141"/>
      <c r="C1620" s="144" t="s">
        <v>4</v>
      </c>
      <c r="D1620" s="145"/>
      <c r="J1620" s="27"/>
      <c r="K1620" s="27"/>
      <c r="L1620" s="27"/>
      <c r="M1620" s="27"/>
      <c r="N1620" s="27"/>
      <c r="O1620" s="27"/>
      <c r="P1620" s="27"/>
    </row>
    <row r="1621" spans="1:16" s="28" customFormat="1" ht="34.5" hidden="1" customHeight="1" thickBot="1">
      <c r="A1621" s="146">
        <f>A1620-A1619</f>
        <v>0</v>
      </c>
      <c r="B1621" s="147"/>
      <c r="C1621" s="148"/>
      <c r="D1621" s="35" t="s">
        <v>5</v>
      </c>
      <c r="J1621" s="27"/>
      <c r="K1621" s="27"/>
      <c r="L1621" s="27"/>
      <c r="M1621" s="27"/>
      <c r="N1621" s="27"/>
      <c r="O1621" s="27"/>
      <c r="P1621" s="27"/>
    </row>
    <row r="1622" spans="1:16" s="28" customFormat="1" ht="34.5" hidden="1" customHeight="1" thickBot="1">
      <c r="A1622" s="149">
        <v>50</v>
      </c>
      <c r="B1622" s="150"/>
      <c r="C1622" s="151"/>
      <c r="D1622" s="35" t="s">
        <v>6</v>
      </c>
      <c r="J1622" s="27"/>
      <c r="K1622" s="27"/>
      <c r="L1622" s="27"/>
      <c r="M1622" s="27"/>
      <c r="N1622" s="27"/>
      <c r="O1622" s="27"/>
      <c r="P1622" s="27"/>
    </row>
    <row r="1623" spans="1:16" s="28" customFormat="1" ht="34.5" hidden="1" customHeight="1" thickBot="1">
      <c r="A1623" s="144">
        <f>A1622*A1621</f>
        <v>0</v>
      </c>
      <c r="B1623" s="152"/>
      <c r="C1623" s="145"/>
      <c r="D1623" s="35" t="s">
        <v>7</v>
      </c>
      <c r="J1623" s="27"/>
      <c r="K1623" s="27"/>
      <c r="L1623" s="27"/>
      <c r="M1623" s="27"/>
      <c r="N1623" s="27"/>
      <c r="O1623" s="27"/>
      <c r="P1623" s="27"/>
    </row>
    <row r="1624" spans="1:16" s="28" customFormat="1" ht="34.5" hidden="1" customHeight="1" thickBot="1">
      <c r="A1624" s="144">
        <v>0</v>
      </c>
      <c r="B1624" s="152"/>
      <c r="C1624" s="145"/>
      <c r="D1624" s="35" t="s">
        <v>437</v>
      </c>
      <c r="J1624" s="27"/>
      <c r="K1624" s="27"/>
      <c r="L1624" s="27"/>
      <c r="M1624" s="27"/>
      <c r="N1624" s="27"/>
      <c r="O1624" s="27"/>
      <c r="P1624" s="27"/>
    </row>
    <row r="1625" spans="1:16" s="28" customFormat="1" ht="34.5" hidden="1" customHeight="1" thickBot="1">
      <c r="A1625" s="34">
        <v>0</v>
      </c>
      <c r="B1625" s="32" t="s">
        <v>8</v>
      </c>
      <c r="C1625" s="33">
        <v>4000</v>
      </c>
      <c r="D1625" s="32" t="s">
        <v>9</v>
      </c>
      <c r="J1625" s="27"/>
      <c r="K1625" s="27"/>
      <c r="L1625" s="27"/>
      <c r="M1625" s="27"/>
      <c r="N1625" s="27"/>
      <c r="O1625" s="27"/>
      <c r="P1625" s="27"/>
    </row>
    <row r="1626" spans="1:16" s="28" customFormat="1" ht="34.5" hidden="1" customHeight="1" thickBot="1">
      <c r="A1626" s="153" t="s">
        <v>436</v>
      </c>
      <c r="B1626" s="154"/>
      <c r="C1626" s="154"/>
      <c r="D1626" s="155"/>
      <c r="J1626" s="27"/>
      <c r="K1626" s="27"/>
      <c r="L1626" s="27"/>
      <c r="M1626" s="27"/>
      <c r="N1626" s="27"/>
      <c r="O1626" s="27"/>
      <c r="P1626" s="27"/>
    </row>
    <row r="1627" spans="1:16" s="28" customFormat="1" ht="34.5" hidden="1" customHeight="1" thickBot="1">
      <c r="A1627" s="156" t="s">
        <v>435</v>
      </c>
      <c r="B1627" s="157"/>
      <c r="C1627" s="157"/>
      <c r="D1627" s="158"/>
      <c r="J1627" s="27"/>
      <c r="K1627" s="27"/>
      <c r="L1627" s="27"/>
      <c r="M1627" s="27"/>
      <c r="N1627" s="27"/>
      <c r="O1627" s="27"/>
      <c r="P1627" s="27"/>
    </row>
    <row r="1628" spans="1:16" s="28" customFormat="1" ht="34.5" hidden="1" customHeight="1" thickBot="1">
      <c r="A1628" s="40"/>
      <c r="B1628" s="39"/>
      <c r="C1628" s="39"/>
      <c r="D1628" s="38"/>
      <c r="J1628" s="27"/>
      <c r="K1628" s="27"/>
      <c r="L1628" s="27"/>
      <c r="M1628" s="27"/>
      <c r="N1628" s="27"/>
      <c r="O1628" s="27"/>
      <c r="P1628" s="27"/>
    </row>
    <row r="1629" spans="1:16" s="28" customFormat="1" ht="34.5" hidden="1" customHeight="1">
      <c r="A1629" s="159" t="s">
        <v>442</v>
      </c>
      <c r="B1629" s="160" t="s">
        <v>441</v>
      </c>
      <c r="C1629" s="160"/>
      <c r="D1629" s="161"/>
      <c r="J1629" s="27"/>
      <c r="K1629" s="27"/>
      <c r="L1629" s="27"/>
      <c r="M1629" s="27"/>
      <c r="N1629" s="27"/>
      <c r="O1629" s="27"/>
      <c r="P1629" s="27"/>
    </row>
    <row r="1630" spans="1:16" s="28" customFormat="1" ht="34.5" hidden="1" customHeight="1" thickBot="1">
      <c r="A1630" s="162"/>
      <c r="B1630" s="163"/>
      <c r="C1630" s="163"/>
      <c r="D1630" s="164"/>
      <c r="J1630" s="27"/>
      <c r="K1630" s="27"/>
      <c r="L1630" s="27"/>
      <c r="M1630" s="27"/>
      <c r="N1630" s="27"/>
      <c r="O1630" s="27"/>
      <c r="P1630" s="27"/>
    </row>
    <row r="1631" spans="1:16" s="28" customFormat="1" ht="34.5" hidden="1" customHeight="1" thickBot="1">
      <c r="A1631" s="142" t="s">
        <v>11</v>
      </c>
      <c r="B1631" s="143"/>
      <c r="C1631" s="165" t="s">
        <v>12</v>
      </c>
      <c r="D1631" s="143"/>
      <c r="J1631" s="27"/>
      <c r="K1631" s="27"/>
      <c r="L1631" s="27"/>
      <c r="M1631" s="27"/>
      <c r="N1631" s="27"/>
      <c r="O1631" s="27"/>
      <c r="P1631" s="27"/>
    </row>
    <row r="1632" spans="1:16" s="28" customFormat="1" ht="34.5" hidden="1" customHeight="1" thickBot="1">
      <c r="A1632" s="137" t="s">
        <v>25</v>
      </c>
      <c r="B1632" s="138"/>
      <c r="C1632" s="138"/>
      <c r="D1632" s="139"/>
      <c r="J1632" s="27"/>
      <c r="K1632" s="27"/>
      <c r="L1632" s="27"/>
      <c r="M1632" s="27"/>
      <c r="N1632" s="27"/>
      <c r="O1632" s="27"/>
      <c r="P1632" s="27"/>
    </row>
    <row r="1633" spans="1:16" s="28" customFormat="1" ht="34.5" hidden="1" customHeight="1" thickBot="1">
      <c r="A1633" s="34" t="s">
        <v>458</v>
      </c>
      <c r="B1633" s="32" t="s">
        <v>438</v>
      </c>
      <c r="C1633" s="34"/>
      <c r="D1633" s="32" t="s">
        <v>0</v>
      </c>
      <c r="J1633" s="27"/>
      <c r="K1633" s="27"/>
      <c r="L1633" s="27"/>
      <c r="M1633" s="27"/>
      <c r="N1633" s="27"/>
      <c r="O1633" s="27"/>
      <c r="P1633" s="27"/>
    </row>
    <row r="1634" spans="1:16" s="28" customFormat="1" ht="34.5" hidden="1" customHeight="1" thickBot="1">
      <c r="A1634" s="37" t="s">
        <v>13</v>
      </c>
      <c r="B1634" s="36" t="s">
        <v>1</v>
      </c>
      <c r="C1634" s="34" t="s">
        <v>14</v>
      </c>
      <c r="D1634" s="32" t="s">
        <v>2</v>
      </c>
      <c r="J1634" s="27"/>
      <c r="K1634" s="27"/>
      <c r="L1634" s="27"/>
      <c r="M1634" s="27"/>
      <c r="N1634" s="27"/>
      <c r="O1634" s="27"/>
      <c r="P1634" s="27"/>
    </row>
    <row r="1635" spans="1:16" s="28" customFormat="1" ht="34.5" hidden="1" customHeight="1" thickBot="1">
      <c r="A1635" s="140">
        <v>0</v>
      </c>
      <c r="B1635" s="141"/>
      <c r="C1635" s="142" t="s">
        <v>3</v>
      </c>
      <c r="D1635" s="143"/>
      <c r="J1635" s="27"/>
      <c r="K1635" s="27"/>
      <c r="L1635" s="27"/>
      <c r="M1635" s="27"/>
      <c r="N1635" s="27"/>
      <c r="O1635" s="27"/>
      <c r="P1635" s="27"/>
    </row>
    <row r="1636" spans="1:16" s="28" customFormat="1" ht="34.5" hidden="1" customHeight="1" thickBot="1">
      <c r="A1636" s="140">
        <v>0</v>
      </c>
      <c r="B1636" s="141"/>
      <c r="C1636" s="144" t="s">
        <v>4</v>
      </c>
      <c r="D1636" s="145"/>
      <c r="J1636" s="27"/>
      <c r="K1636" s="27"/>
      <c r="L1636" s="27"/>
      <c r="M1636" s="27"/>
      <c r="N1636" s="27"/>
      <c r="O1636" s="27"/>
      <c r="P1636" s="27"/>
    </row>
    <row r="1637" spans="1:16" s="28" customFormat="1" ht="34.5" hidden="1" customHeight="1" thickBot="1">
      <c r="A1637" s="146">
        <f>A1636-A1635</f>
        <v>0</v>
      </c>
      <c r="B1637" s="147"/>
      <c r="C1637" s="148"/>
      <c r="D1637" s="35" t="s">
        <v>5</v>
      </c>
      <c r="J1637" s="27"/>
      <c r="K1637" s="27"/>
      <c r="L1637" s="27"/>
      <c r="M1637" s="27"/>
      <c r="N1637" s="27"/>
      <c r="O1637" s="27"/>
      <c r="P1637" s="27"/>
    </row>
    <row r="1638" spans="1:16" s="28" customFormat="1" ht="34.5" hidden="1" customHeight="1" thickBot="1">
      <c r="A1638" s="149">
        <v>50</v>
      </c>
      <c r="B1638" s="150"/>
      <c r="C1638" s="151"/>
      <c r="D1638" s="35" t="s">
        <v>6</v>
      </c>
      <c r="J1638" s="27"/>
      <c r="K1638" s="27"/>
      <c r="L1638" s="27"/>
      <c r="M1638" s="27"/>
      <c r="N1638" s="27"/>
      <c r="O1638" s="27"/>
      <c r="P1638" s="27"/>
    </row>
    <row r="1639" spans="1:16" s="28" customFormat="1" ht="34.5" hidden="1" customHeight="1" thickBot="1">
      <c r="A1639" s="144">
        <f>A1638*A1637</f>
        <v>0</v>
      </c>
      <c r="B1639" s="152"/>
      <c r="C1639" s="145"/>
      <c r="D1639" s="35" t="s">
        <v>7</v>
      </c>
      <c r="J1639" s="27"/>
      <c r="K1639" s="27"/>
      <c r="L1639" s="27"/>
      <c r="M1639" s="27"/>
      <c r="N1639" s="27"/>
      <c r="O1639" s="27"/>
      <c r="P1639" s="27"/>
    </row>
    <row r="1640" spans="1:16" s="28" customFormat="1" ht="34.5" hidden="1" customHeight="1" thickBot="1">
      <c r="A1640" s="144">
        <v>0</v>
      </c>
      <c r="B1640" s="152"/>
      <c r="C1640" s="145"/>
      <c r="D1640" s="35" t="s">
        <v>437</v>
      </c>
      <c r="J1640" s="27"/>
      <c r="K1640" s="27"/>
      <c r="L1640" s="27"/>
      <c r="M1640" s="27"/>
      <c r="N1640" s="27"/>
      <c r="O1640" s="27"/>
      <c r="P1640" s="27"/>
    </row>
    <row r="1641" spans="1:16" s="28" customFormat="1" ht="34.5" hidden="1" customHeight="1" thickBot="1">
      <c r="A1641" s="34">
        <v>0</v>
      </c>
      <c r="B1641" s="32" t="s">
        <v>8</v>
      </c>
      <c r="C1641" s="33">
        <v>4000</v>
      </c>
      <c r="D1641" s="32" t="s">
        <v>9</v>
      </c>
      <c r="J1641" s="27"/>
      <c r="K1641" s="27"/>
      <c r="L1641" s="27"/>
      <c r="M1641" s="27"/>
      <c r="N1641" s="27"/>
      <c r="O1641" s="27"/>
      <c r="P1641" s="27"/>
    </row>
    <row r="1642" spans="1:16" s="28" customFormat="1" ht="34.5" hidden="1" customHeight="1" thickBot="1">
      <c r="A1642" s="153" t="s">
        <v>436</v>
      </c>
      <c r="B1642" s="154"/>
      <c r="C1642" s="154"/>
      <c r="D1642" s="155"/>
      <c r="J1642" s="27"/>
      <c r="K1642" s="27"/>
      <c r="L1642" s="27"/>
      <c r="M1642" s="27"/>
      <c r="N1642" s="27"/>
      <c r="O1642" s="27"/>
      <c r="P1642" s="27"/>
    </row>
    <row r="1643" spans="1:16" s="28" customFormat="1" ht="34.5" hidden="1" customHeight="1" thickBot="1">
      <c r="A1643" s="156" t="s">
        <v>435</v>
      </c>
      <c r="B1643" s="157"/>
      <c r="C1643" s="157"/>
      <c r="D1643" s="158"/>
      <c r="J1643" s="27"/>
      <c r="K1643" s="27"/>
      <c r="L1643" s="27"/>
      <c r="M1643" s="27"/>
      <c r="N1643" s="27"/>
      <c r="O1643" s="27"/>
      <c r="P1643" s="27"/>
    </row>
    <row r="1644" spans="1:16" s="28" customFormat="1" ht="34.5" hidden="1" customHeight="1">
      <c r="A1644" s="159" t="s">
        <v>442</v>
      </c>
      <c r="B1644" s="160" t="s">
        <v>441</v>
      </c>
      <c r="C1644" s="160"/>
      <c r="D1644" s="161"/>
      <c r="J1644" s="27"/>
      <c r="K1644" s="27"/>
      <c r="L1644" s="27"/>
      <c r="M1644" s="27"/>
      <c r="N1644" s="27"/>
      <c r="O1644" s="27"/>
      <c r="P1644" s="27"/>
    </row>
    <row r="1645" spans="1:16" s="28" customFormat="1" ht="34.5" hidden="1" customHeight="1" thickBot="1">
      <c r="A1645" s="162"/>
      <c r="B1645" s="163"/>
      <c r="C1645" s="163"/>
      <c r="D1645" s="164"/>
      <c r="J1645" s="27"/>
      <c r="K1645" s="27"/>
      <c r="L1645" s="27"/>
      <c r="M1645" s="27"/>
      <c r="N1645" s="27"/>
      <c r="O1645" s="27"/>
      <c r="P1645" s="27"/>
    </row>
    <row r="1646" spans="1:16" s="28" customFormat="1" ht="34.5" hidden="1" customHeight="1" thickBot="1">
      <c r="A1646" s="142" t="s">
        <v>11</v>
      </c>
      <c r="B1646" s="143"/>
      <c r="C1646" s="165" t="s">
        <v>12</v>
      </c>
      <c r="D1646" s="143"/>
      <c r="J1646" s="27"/>
      <c r="K1646" s="27"/>
      <c r="L1646" s="27"/>
      <c r="M1646" s="27"/>
      <c r="N1646" s="27"/>
      <c r="O1646" s="27"/>
      <c r="P1646" s="27"/>
    </row>
    <row r="1647" spans="1:16" s="28" customFormat="1" ht="34.5" hidden="1" customHeight="1" thickBot="1">
      <c r="A1647" s="137" t="s">
        <v>428</v>
      </c>
      <c r="B1647" s="138"/>
      <c r="C1647" s="138"/>
      <c r="D1647" s="139"/>
      <c r="J1647" s="27"/>
      <c r="K1647" s="27"/>
      <c r="L1647" s="27"/>
      <c r="M1647" s="27"/>
      <c r="N1647" s="27"/>
      <c r="O1647" s="27"/>
      <c r="P1647" s="27"/>
    </row>
    <row r="1648" spans="1:16" s="28" customFormat="1" ht="34.5" hidden="1" customHeight="1" thickBot="1">
      <c r="A1648" s="34" t="s">
        <v>458</v>
      </c>
      <c r="B1648" s="32" t="s">
        <v>438</v>
      </c>
      <c r="C1648" s="34">
        <v>54</v>
      </c>
      <c r="D1648" s="32" t="s">
        <v>0</v>
      </c>
      <c r="J1648" s="27"/>
      <c r="K1648" s="27"/>
      <c r="L1648" s="27"/>
      <c r="M1648" s="27"/>
      <c r="N1648" s="27"/>
      <c r="O1648" s="27"/>
      <c r="P1648" s="27"/>
    </row>
    <row r="1649" spans="1:16" s="28" customFormat="1" ht="34.5" hidden="1" customHeight="1" thickBot="1">
      <c r="A1649" s="37" t="s">
        <v>13</v>
      </c>
      <c r="B1649" s="36" t="s">
        <v>1</v>
      </c>
      <c r="C1649" s="34" t="s">
        <v>14</v>
      </c>
      <c r="D1649" s="32" t="s">
        <v>2</v>
      </c>
      <c r="J1649" s="27"/>
      <c r="K1649" s="27"/>
      <c r="L1649" s="27"/>
      <c r="M1649" s="27"/>
      <c r="N1649" s="27"/>
      <c r="O1649" s="27"/>
      <c r="P1649" s="27"/>
    </row>
    <row r="1650" spans="1:16" s="28" customFormat="1" ht="34.5" hidden="1" customHeight="1" thickBot="1">
      <c r="A1650" s="140">
        <v>0</v>
      </c>
      <c r="B1650" s="141"/>
      <c r="C1650" s="142" t="s">
        <v>3</v>
      </c>
      <c r="D1650" s="143"/>
      <c r="J1650" s="27"/>
      <c r="K1650" s="27"/>
      <c r="L1650" s="27"/>
      <c r="M1650" s="27"/>
      <c r="N1650" s="27"/>
      <c r="O1650" s="27"/>
      <c r="P1650" s="27"/>
    </row>
    <row r="1651" spans="1:16" s="28" customFormat="1" ht="34.5" hidden="1" customHeight="1" thickBot="1">
      <c r="A1651" s="140">
        <v>0</v>
      </c>
      <c r="B1651" s="141"/>
      <c r="C1651" s="144" t="s">
        <v>4</v>
      </c>
      <c r="D1651" s="145"/>
      <c r="J1651" s="27"/>
      <c r="K1651" s="27"/>
      <c r="L1651" s="27"/>
      <c r="M1651" s="27"/>
      <c r="N1651" s="27"/>
      <c r="O1651" s="27"/>
      <c r="P1651" s="27"/>
    </row>
    <row r="1652" spans="1:16" s="28" customFormat="1" ht="34.5" hidden="1" customHeight="1" thickBot="1">
      <c r="A1652" s="146">
        <f>A1651-A1650</f>
        <v>0</v>
      </c>
      <c r="B1652" s="147"/>
      <c r="C1652" s="148"/>
      <c r="D1652" s="35" t="s">
        <v>5</v>
      </c>
      <c r="J1652" s="27"/>
      <c r="K1652" s="27"/>
      <c r="L1652" s="27"/>
      <c r="M1652" s="27"/>
      <c r="N1652" s="27"/>
      <c r="O1652" s="27"/>
      <c r="P1652" s="27"/>
    </row>
    <row r="1653" spans="1:16" s="28" customFormat="1" ht="34.5" hidden="1" customHeight="1" thickBot="1">
      <c r="A1653" s="149">
        <v>50</v>
      </c>
      <c r="B1653" s="150"/>
      <c r="C1653" s="151"/>
      <c r="D1653" s="35" t="s">
        <v>6</v>
      </c>
      <c r="J1653" s="27"/>
      <c r="K1653" s="27"/>
      <c r="L1653" s="27"/>
      <c r="M1653" s="27"/>
      <c r="N1653" s="27"/>
      <c r="O1653" s="27"/>
      <c r="P1653" s="27"/>
    </row>
    <row r="1654" spans="1:16" s="28" customFormat="1" ht="34.5" hidden="1" customHeight="1" thickBot="1">
      <c r="A1654" s="144">
        <f>A1653*A1652</f>
        <v>0</v>
      </c>
      <c r="B1654" s="152"/>
      <c r="C1654" s="145"/>
      <c r="D1654" s="35" t="s">
        <v>7</v>
      </c>
      <c r="J1654" s="27"/>
      <c r="K1654" s="27"/>
      <c r="L1654" s="27"/>
      <c r="M1654" s="27"/>
      <c r="N1654" s="27"/>
      <c r="O1654" s="27"/>
      <c r="P1654" s="27"/>
    </row>
    <row r="1655" spans="1:16" s="28" customFormat="1" ht="34.5" hidden="1" customHeight="1" thickBot="1">
      <c r="A1655" s="144">
        <v>0</v>
      </c>
      <c r="B1655" s="152"/>
      <c r="C1655" s="145"/>
      <c r="D1655" s="35" t="s">
        <v>437</v>
      </c>
      <c r="J1655" s="27"/>
      <c r="K1655" s="27"/>
      <c r="L1655" s="27"/>
      <c r="M1655" s="27"/>
      <c r="N1655" s="27"/>
      <c r="O1655" s="27"/>
      <c r="P1655" s="27"/>
    </row>
    <row r="1656" spans="1:16" s="28" customFormat="1" ht="34.5" hidden="1" customHeight="1" thickBot="1">
      <c r="A1656" s="34">
        <v>0</v>
      </c>
      <c r="B1656" s="32" t="s">
        <v>8</v>
      </c>
      <c r="C1656" s="33">
        <v>1200</v>
      </c>
      <c r="D1656" s="32" t="s">
        <v>9</v>
      </c>
      <c r="J1656" s="27"/>
      <c r="K1656" s="27"/>
      <c r="L1656" s="27"/>
      <c r="M1656" s="27"/>
      <c r="N1656" s="27"/>
      <c r="O1656" s="27"/>
      <c r="P1656" s="27"/>
    </row>
    <row r="1657" spans="1:16" s="28" customFormat="1" ht="34.5" hidden="1" customHeight="1" thickBot="1">
      <c r="A1657" s="153" t="s">
        <v>436</v>
      </c>
      <c r="B1657" s="154"/>
      <c r="C1657" s="154"/>
      <c r="D1657" s="155"/>
      <c r="J1657" s="27"/>
      <c r="K1657" s="27"/>
      <c r="L1657" s="27"/>
      <c r="M1657" s="27"/>
      <c r="N1657" s="27"/>
      <c r="O1657" s="27"/>
      <c r="P1657" s="27"/>
    </row>
    <row r="1658" spans="1:16" s="28" customFormat="1" ht="34.5" hidden="1" customHeight="1" thickBot="1">
      <c r="A1658" s="156" t="s">
        <v>435</v>
      </c>
      <c r="B1658" s="157"/>
      <c r="C1658" s="157"/>
      <c r="D1658" s="158"/>
      <c r="J1658" s="27"/>
      <c r="K1658" s="27"/>
      <c r="L1658" s="27"/>
      <c r="M1658" s="27"/>
      <c r="N1658" s="27"/>
      <c r="O1658" s="27"/>
      <c r="P1658" s="27"/>
    </row>
    <row r="1659" spans="1:16" s="28" customFormat="1" ht="34.5" hidden="1" customHeight="1" thickBot="1">
      <c r="A1659" s="40"/>
      <c r="B1659" s="39"/>
      <c r="C1659" s="39"/>
      <c r="D1659" s="38"/>
      <c r="J1659" s="27"/>
      <c r="K1659" s="27"/>
      <c r="L1659" s="27"/>
      <c r="M1659" s="27"/>
      <c r="N1659" s="27"/>
      <c r="O1659" s="27"/>
      <c r="P1659" s="27"/>
    </row>
    <row r="1660" spans="1:16" s="28" customFormat="1" ht="34.5" hidden="1" customHeight="1">
      <c r="A1660" s="159" t="s">
        <v>442</v>
      </c>
      <c r="B1660" s="160" t="s">
        <v>441</v>
      </c>
      <c r="C1660" s="160"/>
      <c r="D1660" s="161"/>
      <c r="J1660" s="27"/>
      <c r="K1660" s="27"/>
      <c r="L1660" s="27"/>
      <c r="M1660" s="27"/>
      <c r="N1660" s="27"/>
      <c r="O1660" s="27"/>
      <c r="P1660" s="27"/>
    </row>
    <row r="1661" spans="1:16" s="28" customFormat="1" ht="34.5" hidden="1" customHeight="1" thickBot="1">
      <c r="A1661" s="162"/>
      <c r="B1661" s="163"/>
      <c r="C1661" s="163"/>
      <c r="D1661" s="164"/>
      <c r="J1661" s="27"/>
      <c r="K1661" s="27"/>
      <c r="L1661" s="27"/>
      <c r="M1661" s="27"/>
      <c r="N1661" s="27"/>
      <c r="O1661" s="27"/>
      <c r="P1661" s="27"/>
    </row>
    <row r="1662" spans="1:16" s="28" customFormat="1" ht="34.5" hidden="1" customHeight="1" thickBot="1">
      <c r="A1662" s="142" t="s">
        <v>11</v>
      </c>
      <c r="B1662" s="143"/>
      <c r="C1662" s="165" t="s">
        <v>12</v>
      </c>
      <c r="D1662" s="143"/>
      <c r="J1662" s="27"/>
      <c r="K1662" s="27"/>
      <c r="L1662" s="27"/>
      <c r="M1662" s="27"/>
      <c r="N1662" s="27"/>
      <c r="O1662" s="27"/>
      <c r="P1662" s="27"/>
    </row>
    <row r="1663" spans="1:16" s="28" customFormat="1" ht="34.5" hidden="1" customHeight="1" thickBot="1">
      <c r="A1663" s="137" t="s">
        <v>428</v>
      </c>
      <c r="B1663" s="138"/>
      <c r="C1663" s="138"/>
      <c r="D1663" s="139"/>
      <c r="J1663" s="27"/>
      <c r="K1663" s="27"/>
      <c r="L1663" s="27"/>
      <c r="M1663" s="27"/>
      <c r="N1663" s="27"/>
      <c r="O1663" s="27"/>
      <c r="P1663" s="27"/>
    </row>
    <row r="1664" spans="1:16" s="28" customFormat="1" ht="34.5" hidden="1" customHeight="1" thickBot="1">
      <c r="A1664" s="34" t="s">
        <v>458</v>
      </c>
      <c r="B1664" s="32" t="s">
        <v>438</v>
      </c>
      <c r="C1664" s="34">
        <v>54</v>
      </c>
      <c r="D1664" s="32" t="s">
        <v>0</v>
      </c>
      <c r="J1664" s="27"/>
      <c r="K1664" s="27"/>
      <c r="L1664" s="27"/>
      <c r="M1664" s="27"/>
      <c r="N1664" s="27"/>
      <c r="O1664" s="27"/>
      <c r="P1664" s="27"/>
    </row>
    <row r="1665" spans="1:16" s="28" customFormat="1" ht="34.5" hidden="1" customHeight="1" thickBot="1">
      <c r="A1665" s="37" t="s">
        <v>13</v>
      </c>
      <c r="B1665" s="36" t="s">
        <v>1</v>
      </c>
      <c r="C1665" s="34" t="s">
        <v>14</v>
      </c>
      <c r="D1665" s="32" t="s">
        <v>2</v>
      </c>
      <c r="J1665" s="27"/>
      <c r="K1665" s="27"/>
      <c r="L1665" s="27"/>
      <c r="M1665" s="27"/>
      <c r="N1665" s="27"/>
      <c r="O1665" s="27"/>
      <c r="P1665" s="27"/>
    </row>
    <row r="1666" spans="1:16" s="28" customFormat="1" ht="34.5" hidden="1" customHeight="1" thickBot="1">
      <c r="A1666" s="140">
        <v>0</v>
      </c>
      <c r="B1666" s="141"/>
      <c r="C1666" s="142" t="s">
        <v>3</v>
      </c>
      <c r="D1666" s="143"/>
      <c r="J1666" s="27"/>
      <c r="K1666" s="27"/>
      <c r="L1666" s="27"/>
      <c r="M1666" s="27"/>
      <c r="N1666" s="27"/>
      <c r="O1666" s="27"/>
      <c r="P1666" s="27"/>
    </row>
    <row r="1667" spans="1:16" s="28" customFormat="1" ht="34.5" hidden="1" customHeight="1" thickBot="1">
      <c r="A1667" s="140">
        <v>0</v>
      </c>
      <c r="B1667" s="141"/>
      <c r="C1667" s="144" t="s">
        <v>4</v>
      </c>
      <c r="D1667" s="145"/>
      <c r="J1667" s="27"/>
      <c r="K1667" s="27"/>
      <c r="L1667" s="27"/>
      <c r="M1667" s="27"/>
      <c r="N1667" s="27"/>
      <c r="O1667" s="27"/>
      <c r="P1667" s="27"/>
    </row>
    <row r="1668" spans="1:16" s="28" customFormat="1" ht="34.5" hidden="1" customHeight="1" thickBot="1">
      <c r="A1668" s="146">
        <f>A1667-A1666</f>
        <v>0</v>
      </c>
      <c r="B1668" s="147"/>
      <c r="C1668" s="148"/>
      <c r="D1668" s="35" t="s">
        <v>5</v>
      </c>
      <c r="J1668" s="27"/>
      <c r="K1668" s="27"/>
      <c r="L1668" s="27"/>
      <c r="M1668" s="27"/>
      <c r="N1668" s="27"/>
      <c r="O1668" s="27"/>
      <c r="P1668" s="27"/>
    </row>
    <row r="1669" spans="1:16" s="28" customFormat="1" ht="34.5" hidden="1" customHeight="1" thickBot="1">
      <c r="A1669" s="149">
        <v>50</v>
      </c>
      <c r="B1669" s="150"/>
      <c r="C1669" s="151"/>
      <c r="D1669" s="35" t="s">
        <v>6</v>
      </c>
      <c r="J1669" s="27"/>
      <c r="K1669" s="27"/>
      <c r="L1669" s="27"/>
      <c r="M1669" s="27"/>
      <c r="N1669" s="27"/>
      <c r="O1669" s="27"/>
      <c r="P1669" s="27"/>
    </row>
    <row r="1670" spans="1:16" s="28" customFormat="1" ht="34.5" hidden="1" customHeight="1" thickBot="1">
      <c r="A1670" s="144">
        <f>A1669*A1668</f>
        <v>0</v>
      </c>
      <c r="B1670" s="152"/>
      <c r="C1670" s="145"/>
      <c r="D1670" s="35" t="s">
        <v>7</v>
      </c>
      <c r="J1670" s="27"/>
      <c r="K1670" s="27"/>
      <c r="L1670" s="27"/>
      <c r="M1670" s="27"/>
      <c r="N1670" s="27"/>
      <c r="O1670" s="27"/>
      <c r="P1670" s="27"/>
    </row>
    <row r="1671" spans="1:16" s="28" customFormat="1" ht="34.5" hidden="1" customHeight="1" thickBot="1">
      <c r="A1671" s="144">
        <v>0</v>
      </c>
      <c r="B1671" s="152"/>
      <c r="C1671" s="145"/>
      <c r="D1671" s="35" t="s">
        <v>437</v>
      </c>
      <c r="J1671" s="27"/>
      <c r="K1671" s="27"/>
      <c r="L1671" s="27"/>
      <c r="M1671" s="27"/>
      <c r="N1671" s="27"/>
      <c r="O1671" s="27"/>
      <c r="P1671" s="27"/>
    </row>
    <row r="1672" spans="1:16" s="28" customFormat="1" ht="34.5" hidden="1" customHeight="1" thickBot="1">
      <c r="A1672" s="34">
        <v>0</v>
      </c>
      <c r="B1672" s="32" t="s">
        <v>8</v>
      </c>
      <c r="C1672" s="33">
        <v>1200</v>
      </c>
      <c r="D1672" s="32" t="s">
        <v>9</v>
      </c>
      <c r="J1672" s="27"/>
      <c r="K1672" s="27"/>
      <c r="L1672" s="27"/>
      <c r="M1672" s="27"/>
      <c r="N1672" s="27"/>
      <c r="O1672" s="27"/>
      <c r="P1672" s="27"/>
    </row>
    <row r="1673" spans="1:16" s="28" customFormat="1" ht="34.5" hidden="1" customHeight="1" thickBot="1">
      <c r="A1673" s="153" t="s">
        <v>436</v>
      </c>
      <c r="B1673" s="154"/>
      <c r="C1673" s="154"/>
      <c r="D1673" s="155"/>
      <c r="J1673" s="27"/>
      <c r="K1673" s="27"/>
      <c r="L1673" s="27"/>
      <c r="M1673" s="27"/>
      <c r="N1673" s="27"/>
      <c r="O1673" s="27"/>
      <c r="P1673" s="27"/>
    </row>
    <row r="1674" spans="1:16" s="28" customFormat="1" ht="34.5" hidden="1" customHeight="1" thickBot="1">
      <c r="A1674" s="156" t="s">
        <v>435</v>
      </c>
      <c r="B1674" s="157"/>
      <c r="C1674" s="157"/>
      <c r="D1674" s="158"/>
      <c r="J1674" s="27"/>
      <c r="K1674" s="27"/>
      <c r="L1674" s="27"/>
      <c r="M1674" s="27"/>
      <c r="N1674" s="27"/>
      <c r="O1674" s="27"/>
      <c r="P1674" s="27"/>
    </row>
    <row r="1675" spans="1:16" s="28" customFormat="1" ht="34.5" hidden="1" customHeight="1">
      <c r="A1675" s="159" t="s">
        <v>442</v>
      </c>
      <c r="B1675" s="160" t="s">
        <v>441</v>
      </c>
      <c r="C1675" s="160"/>
      <c r="D1675" s="161"/>
      <c r="J1675" s="27"/>
      <c r="K1675" s="27"/>
      <c r="L1675" s="27"/>
      <c r="M1675" s="27"/>
      <c r="N1675" s="27"/>
      <c r="O1675" s="27"/>
      <c r="P1675" s="27"/>
    </row>
    <row r="1676" spans="1:16" s="28" customFormat="1" ht="34.5" hidden="1" customHeight="1" thickBot="1">
      <c r="A1676" s="162"/>
      <c r="B1676" s="163"/>
      <c r="C1676" s="163"/>
      <c r="D1676" s="164"/>
      <c r="J1676" s="27"/>
      <c r="K1676" s="27"/>
      <c r="L1676" s="27"/>
      <c r="M1676" s="27"/>
      <c r="N1676" s="27"/>
      <c r="O1676" s="27"/>
      <c r="P1676" s="27"/>
    </row>
    <row r="1677" spans="1:16" s="28" customFormat="1" ht="34.5" hidden="1" customHeight="1" thickBot="1">
      <c r="A1677" s="142" t="s">
        <v>11</v>
      </c>
      <c r="B1677" s="143"/>
      <c r="C1677" s="165" t="s">
        <v>12</v>
      </c>
      <c r="D1677" s="143"/>
      <c r="J1677" s="27"/>
      <c r="K1677" s="27"/>
      <c r="L1677" s="27"/>
      <c r="M1677" s="27"/>
      <c r="N1677" s="27"/>
      <c r="O1677" s="27"/>
      <c r="P1677" s="27"/>
    </row>
    <row r="1678" spans="1:16" s="28" customFormat="1" ht="34.5" hidden="1" customHeight="1" thickBot="1">
      <c r="A1678" s="137" t="s">
        <v>460</v>
      </c>
      <c r="B1678" s="138"/>
      <c r="C1678" s="138"/>
      <c r="D1678" s="139"/>
      <c r="J1678" s="27"/>
      <c r="K1678" s="27"/>
      <c r="L1678" s="27"/>
      <c r="M1678" s="27"/>
      <c r="N1678" s="27"/>
      <c r="O1678" s="27"/>
      <c r="P1678" s="27"/>
    </row>
    <row r="1679" spans="1:16" s="28" customFormat="1" ht="34.5" hidden="1" customHeight="1" thickBot="1">
      <c r="A1679" s="34" t="s">
        <v>458</v>
      </c>
      <c r="B1679" s="32" t="s">
        <v>438</v>
      </c>
      <c r="C1679" s="34">
        <v>55</v>
      </c>
      <c r="D1679" s="32" t="s">
        <v>0</v>
      </c>
      <c r="J1679" s="27"/>
      <c r="K1679" s="27"/>
      <c r="L1679" s="27"/>
      <c r="M1679" s="27"/>
      <c r="N1679" s="27"/>
      <c r="O1679" s="27"/>
      <c r="P1679" s="27"/>
    </row>
    <row r="1680" spans="1:16" s="28" customFormat="1" ht="34.5" hidden="1" customHeight="1" thickBot="1">
      <c r="A1680" s="37" t="s">
        <v>13</v>
      </c>
      <c r="B1680" s="36" t="s">
        <v>1</v>
      </c>
      <c r="C1680" s="34" t="s">
        <v>14</v>
      </c>
      <c r="D1680" s="32" t="s">
        <v>2</v>
      </c>
      <c r="J1680" s="27"/>
      <c r="K1680" s="27"/>
      <c r="L1680" s="27"/>
      <c r="M1680" s="27"/>
      <c r="N1680" s="27"/>
      <c r="O1680" s="27"/>
      <c r="P1680" s="27"/>
    </row>
    <row r="1681" spans="1:16" s="28" customFormat="1" ht="34.5" hidden="1" customHeight="1" thickBot="1">
      <c r="A1681" s="140">
        <v>0</v>
      </c>
      <c r="B1681" s="141"/>
      <c r="C1681" s="142" t="s">
        <v>3</v>
      </c>
      <c r="D1681" s="143"/>
      <c r="J1681" s="27"/>
      <c r="K1681" s="27"/>
      <c r="L1681" s="27"/>
      <c r="M1681" s="27"/>
      <c r="N1681" s="27"/>
      <c r="O1681" s="27"/>
      <c r="P1681" s="27"/>
    </row>
    <row r="1682" spans="1:16" s="28" customFormat="1" ht="34.5" hidden="1" customHeight="1" thickBot="1">
      <c r="A1682" s="140">
        <v>0</v>
      </c>
      <c r="B1682" s="141"/>
      <c r="C1682" s="144" t="s">
        <v>4</v>
      </c>
      <c r="D1682" s="145"/>
      <c r="J1682" s="27"/>
      <c r="K1682" s="27"/>
      <c r="L1682" s="27"/>
      <c r="M1682" s="27"/>
      <c r="N1682" s="27"/>
      <c r="O1682" s="27"/>
      <c r="P1682" s="27"/>
    </row>
    <row r="1683" spans="1:16" s="28" customFormat="1" ht="34.5" hidden="1" customHeight="1" thickBot="1">
      <c r="A1683" s="146">
        <f>A1682-A1681</f>
        <v>0</v>
      </c>
      <c r="B1683" s="147"/>
      <c r="C1683" s="148"/>
      <c r="D1683" s="35" t="s">
        <v>5</v>
      </c>
      <c r="J1683" s="27"/>
      <c r="K1683" s="27"/>
      <c r="L1683" s="27"/>
      <c r="M1683" s="27"/>
      <c r="N1683" s="27"/>
      <c r="O1683" s="27"/>
      <c r="P1683" s="27"/>
    </row>
    <row r="1684" spans="1:16" s="28" customFormat="1" ht="34.5" hidden="1" customHeight="1" thickBot="1">
      <c r="A1684" s="149">
        <v>50</v>
      </c>
      <c r="B1684" s="150"/>
      <c r="C1684" s="151"/>
      <c r="D1684" s="35" t="s">
        <v>6</v>
      </c>
      <c r="J1684" s="27"/>
      <c r="K1684" s="27"/>
      <c r="L1684" s="27"/>
      <c r="M1684" s="27"/>
      <c r="N1684" s="27"/>
      <c r="O1684" s="27"/>
      <c r="P1684" s="27"/>
    </row>
    <row r="1685" spans="1:16" s="28" customFormat="1" ht="34.5" hidden="1" customHeight="1" thickBot="1">
      <c r="A1685" s="144">
        <f>A1684*A1683</f>
        <v>0</v>
      </c>
      <c r="B1685" s="152"/>
      <c r="C1685" s="145"/>
      <c r="D1685" s="35" t="s">
        <v>7</v>
      </c>
      <c r="J1685" s="27"/>
      <c r="K1685" s="27"/>
      <c r="L1685" s="27"/>
      <c r="M1685" s="27"/>
      <c r="N1685" s="27"/>
      <c r="O1685" s="27"/>
      <c r="P1685" s="27"/>
    </row>
    <row r="1686" spans="1:16" s="28" customFormat="1" ht="34.5" hidden="1" customHeight="1" thickBot="1">
      <c r="A1686" s="144">
        <v>0</v>
      </c>
      <c r="B1686" s="152"/>
      <c r="C1686" s="145"/>
      <c r="D1686" s="35" t="s">
        <v>437</v>
      </c>
      <c r="J1686" s="27"/>
      <c r="K1686" s="27"/>
      <c r="L1686" s="27"/>
      <c r="M1686" s="27"/>
      <c r="N1686" s="27"/>
      <c r="O1686" s="27"/>
      <c r="P1686" s="27"/>
    </row>
    <row r="1687" spans="1:16" s="28" customFormat="1" ht="34.5" hidden="1" customHeight="1" thickBot="1">
      <c r="A1687" s="34">
        <v>0</v>
      </c>
      <c r="B1687" s="32" t="s">
        <v>8</v>
      </c>
      <c r="C1687" s="33">
        <v>1900</v>
      </c>
      <c r="D1687" s="32" t="s">
        <v>9</v>
      </c>
      <c r="J1687" s="27"/>
      <c r="K1687" s="27"/>
      <c r="L1687" s="27"/>
      <c r="M1687" s="27"/>
      <c r="N1687" s="27"/>
      <c r="O1687" s="27"/>
      <c r="P1687" s="27"/>
    </row>
    <row r="1688" spans="1:16" s="28" customFormat="1" ht="34.5" hidden="1" customHeight="1" thickBot="1">
      <c r="A1688" s="153" t="s">
        <v>436</v>
      </c>
      <c r="B1688" s="154"/>
      <c r="C1688" s="154"/>
      <c r="D1688" s="155"/>
      <c r="J1688" s="27"/>
      <c r="K1688" s="27"/>
      <c r="L1688" s="27"/>
      <c r="M1688" s="27"/>
      <c r="N1688" s="27"/>
      <c r="O1688" s="27"/>
      <c r="P1688" s="27"/>
    </row>
    <row r="1689" spans="1:16" s="28" customFormat="1" ht="34.5" hidden="1" customHeight="1" thickBot="1">
      <c r="A1689" s="156" t="s">
        <v>435</v>
      </c>
      <c r="B1689" s="157"/>
      <c r="C1689" s="157"/>
      <c r="D1689" s="158"/>
      <c r="J1689" s="27"/>
      <c r="K1689" s="27"/>
      <c r="L1689" s="27"/>
      <c r="M1689" s="27"/>
      <c r="N1689" s="27"/>
      <c r="O1689" s="27"/>
      <c r="P1689" s="27"/>
    </row>
    <row r="1690" spans="1:16" s="28" customFormat="1" ht="34.5" hidden="1" customHeight="1" thickBot="1">
      <c r="A1690" s="40"/>
      <c r="B1690" s="39"/>
      <c r="C1690" s="39"/>
      <c r="D1690" s="38"/>
      <c r="J1690" s="27"/>
      <c r="K1690" s="27"/>
      <c r="L1690" s="27"/>
      <c r="M1690" s="27"/>
      <c r="N1690" s="27"/>
      <c r="O1690" s="27"/>
      <c r="P1690" s="27"/>
    </row>
    <row r="1691" spans="1:16" s="28" customFormat="1" ht="34.5" hidden="1" customHeight="1">
      <c r="A1691" s="159" t="s">
        <v>442</v>
      </c>
      <c r="B1691" s="160" t="s">
        <v>441</v>
      </c>
      <c r="C1691" s="160"/>
      <c r="D1691" s="161"/>
      <c r="J1691" s="27"/>
      <c r="K1691" s="27"/>
      <c r="L1691" s="27"/>
      <c r="M1691" s="27"/>
      <c r="N1691" s="27"/>
      <c r="O1691" s="27"/>
      <c r="P1691" s="27"/>
    </row>
    <row r="1692" spans="1:16" s="28" customFormat="1" ht="34.5" hidden="1" customHeight="1" thickBot="1">
      <c r="A1692" s="162"/>
      <c r="B1692" s="163"/>
      <c r="C1692" s="163"/>
      <c r="D1692" s="164"/>
      <c r="J1692" s="27"/>
      <c r="K1692" s="27"/>
      <c r="L1692" s="27"/>
      <c r="M1692" s="27"/>
      <c r="N1692" s="27"/>
      <c r="O1692" s="27"/>
      <c r="P1692" s="27"/>
    </row>
    <row r="1693" spans="1:16" s="28" customFormat="1" ht="34.5" hidden="1" customHeight="1" thickBot="1">
      <c r="A1693" s="142" t="s">
        <v>11</v>
      </c>
      <c r="B1693" s="143"/>
      <c r="C1693" s="165" t="s">
        <v>12</v>
      </c>
      <c r="D1693" s="143"/>
      <c r="J1693" s="27"/>
      <c r="K1693" s="27"/>
      <c r="L1693" s="27"/>
      <c r="M1693" s="27"/>
      <c r="N1693" s="27"/>
      <c r="O1693" s="27"/>
      <c r="P1693" s="27"/>
    </row>
    <row r="1694" spans="1:16" s="28" customFormat="1" ht="34.5" hidden="1" customHeight="1" thickBot="1">
      <c r="A1694" s="137" t="s">
        <v>460</v>
      </c>
      <c r="B1694" s="138"/>
      <c r="C1694" s="138"/>
      <c r="D1694" s="139"/>
      <c r="J1694" s="27"/>
      <c r="K1694" s="27"/>
      <c r="L1694" s="27"/>
      <c r="M1694" s="27"/>
      <c r="N1694" s="27"/>
      <c r="O1694" s="27"/>
      <c r="P1694" s="27"/>
    </row>
    <row r="1695" spans="1:16" s="28" customFormat="1" ht="34.5" hidden="1" customHeight="1" thickBot="1">
      <c r="A1695" s="34" t="s">
        <v>458</v>
      </c>
      <c r="B1695" s="32" t="s">
        <v>438</v>
      </c>
      <c r="C1695" s="34">
        <v>55</v>
      </c>
      <c r="D1695" s="32" t="s">
        <v>0</v>
      </c>
      <c r="J1695" s="27"/>
      <c r="K1695" s="27"/>
      <c r="L1695" s="27"/>
      <c r="M1695" s="27"/>
      <c r="N1695" s="27"/>
      <c r="O1695" s="27"/>
      <c r="P1695" s="27"/>
    </row>
    <row r="1696" spans="1:16" s="28" customFormat="1" ht="34.5" hidden="1" customHeight="1" thickBot="1">
      <c r="A1696" s="37" t="s">
        <v>13</v>
      </c>
      <c r="B1696" s="36" t="s">
        <v>1</v>
      </c>
      <c r="C1696" s="34" t="s">
        <v>14</v>
      </c>
      <c r="D1696" s="32" t="s">
        <v>2</v>
      </c>
      <c r="J1696" s="27"/>
      <c r="K1696" s="27"/>
      <c r="L1696" s="27"/>
      <c r="M1696" s="27"/>
      <c r="N1696" s="27"/>
      <c r="O1696" s="27"/>
      <c r="P1696" s="27"/>
    </row>
    <row r="1697" spans="1:16" s="28" customFormat="1" ht="34.5" hidden="1" customHeight="1" thickBot="1">
      <c r="A1697" s="140">
        <v>0</v>
      </c>
      <c r="B1697" s="141"/>
      <c r="C1697" s="142" t="s">
        <v>3</v>
      </c>
      <c r="D1697" s="143"/>
      <c r="J1697" s="27"/>
      <c r="K1697" s="27"/>
      <c r="L1697" s="27"/>
      <c r="M1697" s="27"/>
      <c r="N1697" s="27"/>
      <c r="O1697" s="27"/>
      <c r="P1697" s="27"/>
    </row>
    <row r="1698" spans="1:16" s="28" customFormat="1" ht="34.5" hidden="1" customHeight="1" thickBot="1">
      <c r="A1698" s="140">
        <v>0</v>
      </c>
      <c r="B1698" s="141"/>
      <c r="C1698" s="144" t="s">
        <v>4</v>
      </c>
      <c r="D1698" s="145"/>
      <c r="J1698" s="27"/>
      <c r="K1698" s="27"/>
      <c r="L1698" s="27"/>
      <c r="M1698" s="27"/>
      <c r="N1698" s="27"/>
      <c r="O1698" s="27"/>
      <c r="P1698" s="27"/>
    </row>
    <row r="1699" spans="1:16" s="28" customFormat="1" ht="34.5" hidden="1" customHeight="1" thickBot="1">
      <c r="A1699" s="146">
        <f>A1698-A1697</f>
        <v>0</v>
      </c>
      <c r="B1699" s="147"/>
      <c r="C1699" s="148"/>
      <c r="D1699" s="35" t="s">
        <v>5</v>
      </c>
      <c r="J1699" s="27"/>
      <c r="K1699" s="27"/>
      <c r="L1699" s="27"/>
      <c r="M1699" s="27"/>
      <c r="N1699" s="27"/>
      <c r="O1699" s="27"/>
      <c r="P1699" s="27"/>
    </row>
    <row r="1700" spans="1:16" s="28" customFormat="1" ht="34.5" hidden="1" customHeight="1" thickBot="1">
      <c r="A1700" s="149">
        <v>50</v>
      </c>
      <c r="B1700" s="150"/>
      <c r="C1700" s="151"/>
      <c r="D1700" s="35" t="s">
        <v>6</v>
      </c>
      <c r="J1700" s="27"/>
      <c r="K1700" s="27"/>
      <c r="L1700" s="27"/>
      <c r="M1700" s="27"/>
      <c r="N1700" s="27"/>
      <c r="O1700" s="27"/>
      <c r="P1700" s="27"/>
    </row>
    <row r="1701" spans="1:16" s="28" customFormat="1" ht="34.5" hidden="1" customHeight="1" thickBot="1">
      <c r="A1701" s="144">
        <f>A1700*A1699</f>
        <v>0</v>
      </c>
      <c r="B1701" s="152"/>
      <c r="C1701" s="145"/>
      <c r="D1701" s="35" t="s">
        <v>7</v>
      </c>
      <c r="J1701" s="27"/>
      <c r="K1701" s="27"/>
      <c r="L1701" s="27"/>
      <c r="M1701" s="27"/>
      <c r="N1701" s="27"/>
      <c r="O1701" s="27"/>
      <c r="P1701" s="27"/>
    </row>
    <row r="1702" spans="1:16" s="28" customFormat="1" ht="34.5" hidden="1" customHeight="1" thickBot="1">
      <c r="A1702" s="144">
        <v>0</v>
      </c>
      <c r="B1702" s="152"/>
      <c r="C1702" s="145"/>
      <c r="D1702" s="35" t="s">
        <v>437</v>
      </c>
      <c r="J1702" s="27"/>
      <c r="K1702" s="27"/>
      <c r="L1702" s="27"/>
      <c r="M1702" s="27"/>
      <c r="N1702" s="27"/>
      <c r="O1702" s="27"/>
      <c r="P1702" s="27"/>
    </row>
    <row r="1703" spans="1:16" s="28" customFormat="1" ht="34.5" hidden="1" customHeight="1" thickBot="1">
      <c r="A1703" s="34">
        <v>0</v>
      </c>
      <c r="B1703" s="32" t="s">
        <v>8</v>
      </c>
      <c r="C1703" s="33">
        <v>1900</v>
      </c>
      <c r="D1703" s="32" t="s">
        <v>9</v>
      </c>
      <c r="J1703" s="27"/>
      <c r="K1703" s="27"/>
      <c r="L1703" s="27"/>
      <c r="M1703" s="27"/>
      <c r="N1703" s="27"/>
      <c r="O1703" s="27"/>
      <c r="P1703" s="27"/>
    </row>
    <row r="1704" spans="1:16" s="28" customFormat="1" ht="34.5" hidden="1" customHeight="1" thickBot="1">
      <c r="A1704" s="153" t="s">
        <v>436</v>
      </c>
      <c r="B1704" s="154"/>
      <c r="C1704" s="154"/>
      <c r="D1704" s="155"/>
      <c r="J1704" s="27"/>
      <c r="K1704" s="27"/>
      <c r="L1704" s="27"/>
      <c r="M1704" s="27"/>
      <c r="N1704" s="27"/>
      <c r="O1704" s="27"/>
      <c r="P1704" s="27"/>
    </row>
    <row r="1705" spans="1:16" s="28" customFormat="1" ht="34.5" hidden="1" customHeight="1" thickBot="1">
      <c r="A1705" s="156" t="s">
        <v>435</v>
      </c>
      <c r="B1705" s="157"/>
      <c r="C1705" s="157"/>
      <c r="D1705" s="158"/>
      <c r="J1705" s="27"/>
      <c r="K1705" s="27"/>
      <c r="L1705" s="27"/>
      <c r="M1705" s="27"/>
      <c r="N1705" s="27"/>
      <c r="O1705" s="27"/>
      <c r="P1705" s="27"/>
    </row>
    <row r="1706" spans="1:16" s="28" customFormat="1" ht="34.5" hidden="1" customHeight="1">
      <c r="A1706" s="159" t="s">
        <v>442</v>
      </c>
      <c r="B1706" s="160" t="s">
        <v>441</v>
      </c>
      <c r="C1706" s="160"/>
      <c r="D1706" s="161"/>
      <c r="J1706" s="27"/>
      <c r="K1706" s="27"/>
      <c r="L1706" s="27"/>
      <c r="M1706" s="27"/>
      <c r="N1706" s="27"/>
      <c r="O1706" s="27"/>
      <c r="P1706" s="27"/>
    </row>
    <row r="1707" spans="1:16" s="28" customFormat="1" ht="34.5" hidden="1" customHeight="1" thickBot="1">
      <c r="A1707" s="162"/>
      <c r="B1707" s="163"/>
      <c r="C1707" s="163"/>
      <c r="D1707" s="164"/>
      <c r="J1707" s="27"/>
      <c r="K1707" s="27"/>
      <c r="L1707" s="27"/>
      <c r="M1707" s="27"/>
      <c r="N1707" s="27"/>
      <c r="O1707" s="27"/>
      <c r="P1707" s="27"/>
    </row>
    <row r="1708" spans="1:16" s="28" customFormat="1" ht="34.5" hidden="1" customHeight="1" thickBot="1">
      <c r="A1708" s="142" t="s">
        <v>11</v>
      </c>
      <c r="B1708" s="143"/>
      <c r="C1708" s="165" t="s">
        <v>12</v>
      </c>
      <c r="D1708" s="143"/>
      <c r="J1708" s="27"/>
      <c r="K1708" s="27"/>
      <c r="L1708" s="27"/>
      <c r="M1708" s="27"/>
      <c r="N1708" s="27"/>
      <c r="O1708" s="27"/>
      <c r="P1708" s="27"/>
    </row>
    <row r="1709" spans="1:16" s="28" customFormat="1" ht="34.5" hidden="1" customHeight="1" thickBot="1">
      <c r="A1709" s="137" t="s">
        <v>126</v>
      </c>
      <c r="B1709" s="138"/>
      <c r="C1709" s="138"/>
      <c r="D1709" s="139"/>
      <c r="J1709" s="27"/>
      <c r="K1709" s="27"/>
      <c r="L1709" s="27"/>
      <c r="M1709" s="27"/>
      <c r="N1709" s="27"/>
      <c r="O1709" s="27"/>
      <c r="P1709" s="27"/>
    </row>
    <row r="1710" spans="1:16" s="28" customFormat="1" ht="34.5" hidden="1" customHeight="1" thickBot="1">
      <c r="A1710" s="34" t="s">
        <v>458</v>
      </c>
      <c r="B1710" s="32" t="s">
        <v>438</v>
      </c>
      <c r="C1710" s="34">
        <v>56</v>
      </c>
      <c r="D1710" s="32" t="s">
        <v>0</v>
      </c>
      <c r="J1710" s="27"/>
      <c r="K1710" s="27"/>
      <c r="L1710" s="27"/>
      <c r="M1710" s="27"/>
      <c r="N1710" s="27"/>
      <c r="O1710" s="27"/>
      <c r="P1710" s="27"/>
    </row>
    <row r="1711" spans="1:16" s="28" customFormat="1" ht="34.5" hidden="1" customHeight="1" thickBot="1">
      <c r="A1711" s="37" t="s">
        <v>13</v>
      </c>
      <c r="B1711" s="36" t="s">
        <v>1</v>
      </c>
      <c r="C1711" s="34" t="s">
        <v>14</v>
      </c>
      <c r="D1711" s="32" t="s">
        <v>2</v>
      </c>
      <c r="J1711" s="27"/>
      <c r="K1711" s="27"/>
      <c r="L1711" s="27"/>
      <c r="M1711" s="27"/>
      <c r="N1711" s="27"/>
      <c r="O1711" s="27"/>
      <c r="P1711" s="27"/>
    </row>
    <row r="1712" spans="1:16" s="28" customFormat="1" ht="34.5" hidden="1" customHeight="1" thickBot="1">
      <c r="A1712" s="140">
        <v>0</v>
      </c>
      <c r="B1712" s="141"/>
      <c r="C1712" s="142" t="s">
        <v>3</v>
      </c>
      <c r="D1712" s="143"/>
      <c r="J1712" s="27"/>
      <c r="K1712" s="27"/>
      <c r="L1712" s="27"/>
      <c r="M1712" s="27"/>
      <c r="N1712" s="27"/>
      <c r="O1712" s="27"/>
      <c r="P1712" s="27"/>
    </row>
    <row r="1713" spans="1:16" s="28" customFormat="1" ht="34.5" hidden="1" customHeight="1" thickBot="1">
      <c r="A1713" s="140">
        <v>0</v>
      </c>
      <c r="B1713" s="141"/>
      <c r="C1713" s="144" t="s">
        <v>4</v>
      </c>
      <c r="D1713" s="145"/>
      <c r="J1713" s="27"/>
      <c r="K1713" s="27"/>
      <c r="L1713" s="27"/>
      <c r="M1713" s="27"/>
      <c r="N1713" s="27"/>
      <c r="O1713" s="27"/>
      <c r="P1713" s="27"/>
    </row>
    <row r="1714" spans="1:16" s="28" customFormat="1" ht="34.5" hidden="1" customHeight="1" thickBot="1">
      <c r="A1714" s="146">
        <f>A1713-A1712</f>
        <v>0</v>
      </c>
      <c r="B1714" s="147"/>
      <c r="C1714" s="148"/>
      <c r="D1714" s="35" t="s">
        <v>5</v>
      </c>
      <c r="J1714" s="27"/>
      <c r="K1714" s="27"/>
      <c r="L1714" s="27"/>
      <c r="M1714" s="27"/>
      <c r="N1714" s="27"/>
      <c r="O1714" s="27"/>
      <c r="P1714" s="27"/>
    </row>
    <row r="1715" spans="1:16" s="28" customFormat="1" ht="34.5" hidden="1" customHeight="1" thickBot="1">
      <c r="A1715" s="149">
        <v>50</v>
      </c>
      <c r="B1715" s="150"/>
      <c r="C1715" s="151"/>
      <c r="D1715" s="35" t="s">
        <v>6</v>
      </c>
      <c r="J1715" s="27"/>
      <c r="K1715" s="27"/>
      <c r="L1715" s="27"/>
      <c r="M1715" s="27"/>
      <c r="N1715" s="27"/>
      <c r="O1715" s="27"/>
      <c r="P1715" s="27"/>
    </row>
    <row r="1716" spans="1:16" s="28" customFormat="1" ht="34.5" hidden="1" customHeight="1" thickBot="1">
      <c r="A1716" s="144">
        <f>A1715*A1714</f>
        <v>0</v>
      </c>
      <c r="B1716" s="152"/>
      <c r="C1716" s="145"/>
      <c r="D1716" s="35" t="s">
        <v>7</v>
      </c>
      <c r="J1716" s="27"/>
      <c r="K1716" s="27"/>
      <c r="L1716" s="27"/>
      <c r="M1716" s="27"/>
      <c r="N1716" s="27"/>
      <c r="O1716" s="27"/>
      <c r="P1716" s="27"/>
    </row>
    <row r="1717" spans="1:16" s="28" customFormat="1" ht="34.5" hidden="1" customHeight="1" thickBot="1">
      <c r="A1717" s="144">
        <v>0</v>
      </c>
      <c r="B1717" s="152"/>
      <c r="C1717" s="145"/>
      <c r="D1717" s="35" t="s">
        <v>437</v>
      </c>
      <c r="J1717" s="27"/>
      <c r="K1717" s="27"/>
      <c r="L1717" s="27"/>
      <c r="M1717" s="27"/>
      <c r="N1717" s="27"/>
      <c r="O1717" s="27"/>
      <c r="P1717" s="27"/>
    </row>
    <row r="1718" spans="1:16" s="28" customFormat="1" ht="34.5" hidden="1" customHeight="1" thickBot="1">
      <c r="A1718" s="34">
        <v>0</v>
      </c>
      <c r="B1718" s="32" t="s">
        <v>8</v>
      </c>
      <c r="C1718" s="33">
        <v>2450</v>
      </c>
      <c r="D1718" s="32" t="s">
        <v>9</v>
      </c>
      <c r="J1718" s="27"/>
      <c r="K1718" s="27"/>
      <c r="L1718" s="27"/>
      <c r="M1718" s="27"/>
      <c r="N1718" s="27"/>
      <c r="O1718" s="27"/>
      <c r="P1718" s="27"/>
    </row>
    <row r="1719" spans="1:16" s="28" customFormat="1" ht="34.5" hidden="1" customHeight="1" thickBot="1">
      <c r="A1719" s="153" t="s">
        <v>436</v>
      </c>
      <c r="B1719" s="154"/>
      <c r="C1719" s="154"/>
      <c r="D1719" s="155"/>
      <c r="J1719" s="27"/>
      <c r="K1719" s="27"/>
      <c r="L1719" s="27"/>
      <c r="M1719" s="27"/>
      <c r="N1719" s="27"/>
      <c r="O1719" s="27"/>
      <c r="P1719" s="27"/>
    </row>
    <row r="1720" spans="1:16" s="28" customFormat="1" ht="34.5" hidden="1" customHeight="1" thickBot="1">
      <c r="A1720" s="156" t="s">
        <v>435</v>
      </c>
      <c r="B1720" s="157"/>
      <c r="C1720" s="157"/>
      <c r="D1720" s="158"/>
      <c r="J1720" s="27"/>
      <c r="K1720" s="27"/>
      <c r="L1720" s="27"/>
      <c r="M1720" s="27"/>
      <c r="N1720" s="27"/>
      <c r="O1720" s="27"/>
      <c r="P1720" s="27"/>
    </row>
    <row r="1721" spans="1:16" s="28" customFormat="1" ht="34.5" hidden="1" customHeight="1" thickBot="1">
      <c r="A1721" s="40"/>
      <c r="B1721" s="39"/>
      <c r="C1721" s="39"/>
      <c r="D1721" s="38"/>
      <c r="J1721" s="27"/>
      <c r="K1721" s="27"/>
      <c r="L1721" s="27"/>
      <c r="M1721" s="27"/>
      <c r="N1721" s="27"/>
      <c r="O1721" s="27"/>
      <c r="P1721" s="27"/>
    </row>
    <row r="1722" spans="1:16" s="28" customFormat="1" ht="34.5" hidden="1" customHeight="1">
      <c r="A1722" s="159" t="s">
        <v>442</v>
      </c>
      <c r="B1722" s="160" t="s">
        <v>441</v>
      </c>
      <c r="C1722" s="160"/>
      <c r="D1722" s="161"/>
      <c r="J1722" s="27"/>
      <c r="K1722" s="27"/>
      <c r="L1722" s="27"/>
      <c r="M1722" s="27"/>
      <c r="N1722" s="27"/>
      <c r="O1722" s="27"/>
      <c r="P1722" s="27"/>
    </row>
    <row r="1723" spans="1:16" s="28" customFormat="1" ht="34.5" hidden="1" customHeight="1" thickBot="1">
      <c r="A1723" s="162"/>
      <c r="B1723" s="163"/>
      <c r="C1723" s="163"/>
      <c r="D1723" s="164"/>
      <c r="J1723" s="27"/>
      <c r="K1723" s="27"/>
      <c r="L1723" s="27"/>
      <c r="M1723" s="27"/>
      <c r="N1723" s="27"/>
      <c r="O1723" s="27"/>
      <c r="P1723" s="27"/>
    </row>
    <row r="1724" spans="1:16" s="28" customFormat="1" ht="34.5" hidden="1" customHeight="1" thickBot="1">
      <c r="A1724" s="142" t="s">
        <v>11</v>
      </c>
      <c r="B1724" s="143"/>
      <c r="C1724" s="165" t="s">
        <v>12</v>
      </c>
      <c r="D1724" s="143"/>
      <c r="J1724" s="27"/>
      <c r="K1724" s="27"/>
      <c r="L1724" s="27"/>
      <c r="M1724" s="27"/>
      <c r="N1724" s="27"/>
      <c r="O1724" s="27"/>
      <c r="P1724" s="27"/>
    </row>
    <row r="1725" spans="1:16" s="28" customFormat="1" ht="34.5" hidden="1" customHeight="1" thickBot="1">
      <c r="A1725" s="137" t="s">
        <v>126</v>
      </c>
      <c r="B1725" s="138"/>
      <c r="C1725" s="138"/>
      <c r="D1725" s="139"/>
      <c r="J1725" s="27"/>
      <c r="K1725" s="27"/>
      <c r="L1725" s="27"/>
      <c r="M1725" s="27"/>
      <c r="N1725" s="27"/>
      <c r="O1725" s="27"/>
      <c r="P1725" s="27"/>
    </row>
    <row r="1726" spans="1:16" s="28" customFormat="1" ht="34.5" hidden="1" customHeight="1" thickBot="1">
      <c r="A1726" s="34" t="s">
        <v>458</v>
      </c>
      <c r="B1726" s="32" t="s">
        <v>438</v>
      </c>
      <c r="C1726" s="34">
        <v>56</v>
      </c>
      <c r="D1726" s="32" t="s">
        <v>0</v>
      </c>
      <c r="J1726" s="27"/>
      <c r="K1726" s="27"/>
      <c r="L1726" s="27"/>
      <c r="M1726" s="27"/>
      <c r="N1726" s="27"/>
      <c r="O1726" s="27"/>
      <c r="P1726" s="27"/>
    </row>
    <row r="1727" spans="1:16" s="28" customFormat="1" ht="34.5" hidden="1" customHeight="1" thickBot="1">
      <c r="A1727" s="37" t="s">
        <v>13</v>
      </c>
      <c r="B1727" s="36" t="s">
        <v>1</v>
      </c>
      <c r="C1727" s="34" t="s">
        <v>14</v>
      </c>
      <c r="D1727" s="32" t="s">
        <v>2</v>
      </c>
      <c r="J1727" s="27"/>
      <c r="K1727" s="27"/>
      <c r="L1727" s="27"/>
      <c r="M1727" s="27"/>
      <c r="N1727" s="27"/>
      <c r="O1727" s="27"/>
      <c r="P1727" s="27"/>
    </row>
    <row r="1728" spans="1:16" s="28" customFormat="1" ht="34.5" hidden="1" customHeight="1" thickBot="1">
      <c r="A1728" s="140">
        <v>0</v>
      </c>
      <c r="B1728" s="141"/>
      <c r="C1728" s="142" t="s">
        <v>3</v>
      </c>
      <c r="D1728" s="143"/>
      <c r="J1728" s="27"/>
      <c r="K1728" s="27"/>
      <c r="L1728" s="27"/>
      <c r="M1728" s="27"/>
      <c r="N1728" s="27"/>
      <c r="O1728" s="27"/>
      <c r="P1728" s="27"/>
    </row>
    <row r="1729" spans="1:16" s="28" customFormat="1" ht="34.5" hidden="1" customHeight="1" thickBot="1">
      <c r="A1729" s="140">
        <v>0</v>
      </c>
      <c r="B1729" s="141"/>
      <c r="C1729" s="144" t="s">
        <v>4</v>
      </c>
      <c r="D1729" s="145"/>
      <c r="J1729" s="27"/>
      <c r="K1729" s="27"/>
      <c r="L1729" s="27"/>
      <c r="M1729" s="27"/>
      <c r="N1729" s="27"/>
      <c r="O1729" s="27"/>
      <c r="P1729" s="27"/>
    </row>
    <row r="1730" spans="1:16" s="28" customFormat="1" ht="34.5" hidden="1" customHeight="1" thickBot="1">
      <c r="A1730" s="146">
        <f>A1729-A1728</f>
        <v>0</v>
      </c>
      <c r="B1730" s="147"/>
      <c r="C1730" s="148"/>
      <c r="D1730" s="35" t="s">
        <v>5</v>
      </c>
      <c r="J1730" s="27"/>
      <c r="K1730" s="27"/>
      <c r="L1730" s="27"/>
      <c r="M1730" s="27"/>
      <c r="N1730" s="27"/>
      <c r="O1730" s="27"/>
      <c r="P1730" s="27"/>
    </row>
    <row r="1731" spans="1:16" s="28" customFormat="1" ht="34.5" hidden="1" customHeight="1" thickBot="1">
      <c r="A1731" s="149">
        <v>50</v>
      </c>
      <c r="B1731" s="150"/>
      <c r="C1731" s="151"/>
      <c r="D1731" s="35" t="s">
        <v>6</v>
      </c>
      <c r="J1731" s="27"/>
      <c r="K1731" s="27"/>
      <c r="L1731" s="27"/>
      <c r="M1731" s="27"/>
      <c r="N1731" s="27"/>
      <c r="O1731" s="27"/>
      <c r="P1731" s="27"/>
    </row>
    <row r="1732" spans="1:16" s="28" customFormat="1" ht="34.5" hidden="1" customHeight="1" thickBot="1">
      <c r="A1732" s="144">
        <f>A1731*A1730</f>
        <v>0</v>
      </c>
      <c r="B1732" s="152"/>
      <c r="C1732" s="145"/>
      <c r="D1732" s="35" t="s">
        <v>7</v>
      </c>
      <c r="J1732" s="27"/>
      <c r="K1732" s="27"/>
      <c r="L1732" s="27"/>
      <c r="M1732" s="27"/>
      <c r="N1732" s="27"/>
      <c r="O1732" s="27"/>
      <c r="P1732" s="27"/>
    </row>
    <row r="1733" spans="1:16" s="28" customFormat="1" ht="34.5" hidden="1" customHeight="1" thickBot="1">
      <c r="A1733" s="144">
        <v>0</v>
      </c>
      <c r="B1733" s="152"/>
      <c r="C1733" s="145"/>
      <c r="D1733" s="35" t="s">
        <v>437</v>
      </c>
      <c r="J1733" s="27"/>
      <c r="K1733" s="27"/>
      <c r="L1733" s="27"/>
      <c r="M1733" s="27"/>
      <c r="N1733" s="27"/>
      <c r="O1733" s="27"/>
      <c r="P1733" s="27"/>
    </row>
    <row r="1734" spans="1:16" s="28" customFormat="1" ht="34.5" hidden="1" customHeight="1" thickBot="1">
      <c r="A1734" s="34">
        <v>0</v>
      </c>
      <c r="B1734" s="32" t="s">
        <v>8</v>
      </c>
      <c r="C1734" s="33">
        <v>2450</v>
      </c>
      <c r="D1734" s="32" t="s">
        <v>9</v>
      </c>
      <c r="J1734" s="27"/>
      <c r="K1734" s="27"/>
      <c r="L1734" s="27"/>
      <c r="M1734" s="27"/>
      <c r="N1734" s="27"/>
      <c r="O1734" s="27"/>
      <c r="P1734" s="27"/>
    </row>
    <row r="1735" spans="1:16" s="28" customFormat="1" ht="34.5" hidden="1" customHeight="1" thickBot="1">
      <c r="A1735" s="153" t="s">
        <v>436</v>
      </c>
      <c r="B1735" s="154"/>
      <c r="C1735" s="154"/>
      <c r="D1735" s="155"/>
      <c r="J1735" s="27"/>
      <c r="K1735" s="27"/>
      <c r="L1735" s="27"/>
      <c r="M1735" s="27"/>
      <c r="N1735" s="27"/>
      <c r="O1735" s="27"/>
      <c r="P1735" s="27"/>
    </row>
    <row r="1736" spans="1:16" s="28" customFormat="1" ht="34.5" hidden="1" customHeight="1" thickBot="1">
      <c r="A1736" s="156" t="s">
        <v>435</v>
      </c>
      <c r="B1736" s="157"/>
      <c r="C1736" s="157"/>
      <c r="D1736" s="158"/>
      <c r="J1736" s="27"/>
      <c r="K1736" s="27"/>
      <c r="L1736" s="27"/>
      <c r="M1736" s="27"/>
      <c r="N1736" s="27"/>
      <c r="O1736" s="27"/>
      <c r="P1736" s="27"/>
    </row>
    <row r="1737" spans="1:16" s="28" customFormat="1" ht="34.5" hidden="1" customHeight="1">
      <c r="A1737" s="159" t="s">
        <v>442</v>
      </c>
      <c r="B1737" s="160" t="s">
        <v>441</v>
      </c>
      <c r="C1737" s="160"/>
      <c r="D1737" s="161"/>
      <c r="J1737" s="27"/>
      <c r="K1737" s="27"/>
      <c r="L1737" s="27"/>
      <c r="M1737" s="27"/>
      <c r="N1737" s="27"/>
      <c r="O1737" s="27"/>
      <c r="P1737" s="27"/>
    </row>
    <row r="1738" spans="1:16" s="28" customFormat="1" ht="34.5" hidden="1" customHeight="1" thickBot="1">
      <c r="A1738" s="162"/>
      <c r="B1738" s="163"/>
      <c r="C1738" s="163"/>
      <c r="D1738" s="164"/>
      <c r="J1738" s="27"/>
      <c r="K1738" s="27"/>
      <c r="L1738" s="27"/>
      <c r="M1738" s="27"/>
      <c r="N1738" s="27"/>
      <c r="O1738" s="27"/>
      <c r="P1738" s="27"/>
    </row>
    <row r="1739" spans="1:16" s="28" customFormat="1" ht="34.5" hidden="1" customHeight="1" thickBot="1">
      <c r="A1739" s="142" t="s">
        <v>11</v>
      </c>
      <c r="B1739" s="143"/>
      <c r="C1739" s="165" t="s">
        <v>12</v>
      </c>
      <c r="D1739" s="143"/>
      <c r="J1739" s="27"/>
      <c r="K1739" s="27"/>
      <c r="L1739" s="27"/>
      <c r="M1739" s="27"/>
      <c r="N1739" s="27"/>
      <c r="O1739" s="27"/>
      <c r="P1739" s="27"/>
    </row>
    <row r="1740" spans="1:16" s="28" customFormat="1" ht="34.5" hidden="1" customHeight="1" thickBot="1">
      <c r="A1740" s="137" t="s">
        <v>307</v>
      </c>
      <c r="B1740" s="138"/>
      <c r="C1740" s="138"/>
      <c r="D1740" s="139"/>
      <c r="J1740" s="27"/>
      <c r="K1740" s="27"/>
      <c r="L1740" s="27"/>
      <c r="M1740" s="27"/>
      <c r="N1740" s="27"/>
      <c r="O1740" s="27"/>
      <c r="P1740" s="27"/>
    </row>
    <row r="1741" spans="1:16" s="28" customFormat="1" ht="34.5" hidden="1" customHeight="1" thickBot="1">
      <c r="A1741" s="34" t="s">
        <v>458</v>
      </c>
      <c r="B1741" s="32" t="s">
        <v>438</v>
      </c>
      <c r="C1741" s="34">
        <v>57</v>
      </c>
      <c r="D1741" s="32" t="s">
        <v>0</v>
      </c>
      <c r="J1741" s="27"/>
      <c r="K1741" s="27"/>
      <c r="L1741" s="27"/>
      <c r="M1741" s="27"/>
      <c r="N1741" s="27"/>
      <c r="O1741" s="27"/>
      <c r="P1741" s="27"/>
    </row>
    <row r="1742" spans="1:16" s="28" customFormat="1" ht="34.5" hidden="1" customHeight="1" thickBot="1">
      <c r="A1742" s="37" t="s">
        <v>13</v>
      </c>
      <c r="B1742" s="36" t="s">
        <v>1</v>
      </c>
      <c r="C1742" s="34" t="s">
        <v>14</v>
      </c>
      <c r="D1742" s="32" t="s">
        <v>2</v>
      </c>
      <c r="J1742" s="27"/>
      <c r="K1742" s="27"/>
      <c r="L1742" s="27"/>
      <c r="M1742" s="27"/>
      <c r="N1742" s="27"/>
      <c r="O1742" s="27"/>
      <c r="P1742" s="27"/>
    </row>
    <row r="1743" spans="1:16" s="28" customFormat="1" ht="34.5" hidden="1" customHeight="1" thickBot="1">
      <c r="A1743" s="140">
        <v>0</v>
      </c>
      <c r="B1743" s="141"/>
      <c r="C1743" s="142" t="s">
        <v>3</v>
      </c>
      <c r="D1743" s="143"/>
      <c r="J1743" s="27"/>
      <c r="K1743" s="27"/>
      <c r="L1743" s="27"/>
      <c r="M1743" s="27"/>
      <c r="N1743" s="27"/>
      <c r="O1743" s="27"/>
      <c r="P1743" s="27"/>
    </row>
    <row r="1744" spans="1:16" s="28" customFormat="1" ht="34.5" hidden="1" customHeight="1" thickBot="1">
      <c r="A1744" s="140">
        <v>0</v>
      </c>
      <c r="B1744" s="141"/>
      <c r="C1744" s="144" t="s">
        <v>4</v>
      </c>
      <c r="D1744" s="145"/>
      <c r="J1744" s="27"/>
      <c r="K1744" s="27"/>
      <c r="L1744" s="27"/>
      <c r="M1744" s="27"/>
      <c r="N1744" s="27"/>
      <c r="O1744" s="27"/>
      <c r="P1744" s="27"/>
    </row>
    <row r="1745" spans="1:16" s="28" customFormat="1" ht="34.5" hidden="1" customHeight="1" thickBot="1">
      <c r="A1745" s="146">
        <f>A1744-A1743</f>
        <v>0</v>
      </c>
      <c r="B1745" s="147"/>
      <c r="C1745" s="148"/>
      <c r="D1745" s="35" t="s">
        <v>5</v>
      </c>
      <c r="J1745" s="27"/>
      <c r="K1745" s="27"/>
      <c r="L1745" s="27"/>
      <c r="M1745" s="27"/>
      <c r="N1745" s="27"/>
      <c r="O1745" s="27"/>
      <c r="P1745" s="27"/>
    </row>
    <row r="1746" spans="1:16" s="28" customFormat="1" ht="34.5" hidden="1" customHeight="1" thickBot="1">
      <c r="A1746" s="149">
        <v>50</v>
      </c>
      <c r="B1746" s="150"/>
      <c r="C1746" s="151"/>
      <c r="D1746" s="35" t="s">
        <v>6</v>
      </c>
      <c r="J1746" s="27"/>
      <c r="K1746" s="27"/>
      <c r="L1746" s="27"/>
      <c r="M1746" s="27"/>
      <c r="N1746" s="27"/>
      <c r="O1746" s="27"/>
      <c r="P1746" s="27"/>
    </row>
    <row r="1747" spans="1:16" s="28" customFormat="1" ht="34.5" hidden="1" customHeight="1" thickBot="1">
      <c r="A1747" s="144">
        <f>A1746*A1745</f>
        <v>0</v>
      </c>
      <c r="B1747" s="152"/>
      <c r="C1747" s="145"/>
      <c r="D1747" s="35" t="s">
        <v>7</v>
      </c>
      <c r="J1747" s="27"/>
      <c r="K1747" s="27"/>
      <c r="L1747" s="27"/>
      <c r="M1747" s="27"/>
      <c r="N1747" s="27"/>
      <c r="O1747" s="27"/>
      <c r="P1747" s="27"/>
    </row>
    <row r="1748" spans="1:16" s="28" customFormat="1" ht="34.5" hidden="1" customHeight="1" thickBot="1">
      <c r="A1748" s="144">
        <v>0</v>
      </c>
      <c r="B1748" s="152"/>
      <c r="C1748" s="145"/>
      <c r="D1748" s="35" t="s">
        <v>437</v>
      </c>
      <c r="J1748" s="27"/>
      <c r="K1748" s="27"/>
      <c r="L1748" s="27"/>
      <c r="M1748" s="27"/>
      <c r="N1748" s="27"/>
      <c r="O1748" s="27"/>
      <c r="P1748" s="27"/>
    </row>
    <row r="1749" spans="1:16" s="28" customFormat="1" ht="34.5" hidden="1" customHeight="1" thickBot="1">
      <c r="A1749" s="34">
        <v>0</v>
      </c>
      <c r="B1749" s="32" t="s">
        <v>8</v>
      </c>
      <c r="C1749" s="33">
        <v>700</v>
      </c>
      <c r="D1749" s="32" t="s">
        <v>9</v>
      </c>
      <c r="J1749" s="27"/>
      <c r="K1749" s="27"/>
      <c r="L1749" s="27"/>
      <c r="M1749" s="27"/>
      <c r="N1749" s="27"/>
      <c r="O1749" s="27"/>
      <c r="P1749" s="27"/>
    </row>
    <row r="1750" spans="1:16" s="28" customFormat="1" ht="34.5" hidden="1" customHeight="1" thickBot="1">
      <c r="A1750" s="153" t="s">
        <v>436</v>
      </c>
      <c r="B1750" s="154"/>
      <c r="C1750" s="154"/>
      <c r="D1750" s="155"/>
      <c r="J1750" s="27"/>
      <c r="K1750" s="27"/>
      <c r="L1750" s="27"/>
      <c r="M1750" s="27"/>
      <c r="N1750" s="27"/>
      <c r="O1750" s="27"/>
      <c r="P1750" s="27"/>
    </row>
    <row r="1751" spans="1:16" s="28" customFormat="1" ht="34.5" hidden="1" customHeight="1" thickBot="1">
      <c r="A1751" s="156" t="s">
        <v>435</v>
      </c>
      <c r="B1751" s="157"/>
      <c r="C1751" s="157"/>
      <c r="D1751" s="158"/>
      <c r="J1751" s="27"/>
      <c r="K1751" s="27"/>
      <c r="L1751" s="27"/>
      <c r="M1751" s="27"/>
      <c r="N1751" s="27"/>
      <c r="O1751" s="27"/>
      <c r="P1751" s="27"/>
    </row>
    <row r="1752" spans="1:16" s="28" customFormat="1" ht="34.5" hidden="1" customHeight="1" thickBot="1">
      <c r="A1752" s="40"/>
      <c r="B1752" s="39"/>
      <c r="C1752" s="39"/>
      <c r="D1752" s="38"/>
      <c r="J1752" s="27"/>
      <c r="K1752" s="27"/>
      <c r="L1752" s="27"/>
      <c r="M1752" s="27"/>
      <c r="N1752" s="27"/>
      <c r="O1752" s="27"/>
      <c r="P1752" s="27"/>
    </row>
    <row r="1753" spans="1:16" s="28" customFormat="1" ht="34.5" hidden="1" customHeight="1">
      <c r="A1753" s="159" t="s">
        <v>442</v>
      </c>
      <c r="B1753" s="160" t="s">
        <v>441</v>
      </c>
      <c r="C1753" s="160"/>
      <c r="D1753" s="161"/>
      <c r="J1753" s="27"/>
      <c r="K1753" s="27"/>
      <c r="L1753" s="27"/>
      <c r="M1753" s="27"/>
      <c r="N1753" s="27"/>
      <c r="O1753" s="27"/>
      <c r="P1753" s="27"/>
    </row>
    <row r="1754" spans="1:16" s="28" customFormat="1" ht="34.5" hidden="1" customHeight="1" thickBot="1">
      <c r="A1754" s="162"/>
      <c r="B1754" s="163"/>
      <c r="C1754" s="163"/>
      <c r="D1754" s="164"/>
      <c r="J1754" s="27"/>
      <c r="K1754" s="27"/>
      <c r="L1754" s="27"/>
      <c r="M1754" s="27"/>
      <c r="N1754" s="27"/>
      <c r="O1754" s="27"/>
      <c r="P1754" s="27"/>
    </row>
    <row r="1755" spans="1:16" s="28" customFormat="1" ht="34.5" hidden="1" customHeight="1" thickBot="1">
      <c r="A1755" s="142" t="s">
        <v>11</v>
      </c>
      <c r="B1755" s="143"/>
      <c r="C1755" s="165" t="s">
        <v>12</v>
      </c>
      <c r="D1755" s="143"/>
      <c r="J1755" s="27"/>
      <c r="K1755" s="27"/>
      <c r="L1755" s="27"/>
      <c r="M1755" s="27"/>
      <c r="N1755" s="27"/>
      <c r="O1755" s="27"/>
      <c r="P1755" s="27"/>
    </row>
    <row r="1756" spans="1:16" s="28" customFormat="1" ht="34.5" hidden="1" customHeight="1" thickBot="1">
      <c r="A1756" s="137" t="s">
        <v>307</v>
      </c>
      <c r="B1756" s="138"/>
      <c r="C1756" s="138"/>
      <c r="D1756" s="139"/>
      <c r="J1756" s="27"/>
      <c r="K1756" s="27"/>
      <c r="L1756" s="27"/>
      <c r="M1756" s="27"/>
      <c r="N1756" s="27"/>
      <c r="O1756" s="27"/>
      <c r="P1756" s="27"/>
    </row>
    <row r="1757" spans="1:16" s="28" customFormat="1" ht="34.5" hidden="1" customHeight="1" thickBot="1">
      <c r="A1757" s="34" t="s">
        <v>458</v>
      </c>
      <c r="B1757" s="32" t="s">
        <v>438</v>
      </c>
      <c r="C1757" s="34">
        <v>57</v>
      </c>
      <c r="D1757" s="32" t="s">
        <v>0</v>
      </c>
      <c r="J1757" s="27"/>
      <c r="K1757" s="27"/>
      <c r="L1757" s="27"/>
      <c r="M1757" s="27"/>
      <c r="N1757" s="27"/>
      <c r="O1757" s="27"/>
      <c r="P1757" s="27"/>
    </row>
    <row r="1758" spans="1:16" s="28" customFormat="1" ht="34.5" hidden="1" customHeight="1" thickBot="1">
      <c r="A1758" s="37" t="s">
        <v>13</v>
      </c>
      <c r="B1758" s="36" t="s">
        <v>1</v>
      </c>
      <c r="C1758" s="34" t="s">
        <v>14</v>
      </c>
      <c r="D1758" s="32" t="s">
        <v>2</v>
      </c>
      <c r="J1758" s="27"/>
      <c r="K1758" s="27"/>
      <c r="L1758" s="27"/>
      <c r="M1758" s="27"/>
      <c r="N1758" s="27"/>
      <c r="O1758" s="27"/>
      <c r="P1758" s="27"/>
    </row>
    <row r="1759" spans="1:16" s="28" customFormat="1" ht="34.5" hidden="1" customHeight="1" thickBot="1">
      <c r="A1759" s="140">
        <v>0</v>
      </c>
      <c r="B1759" s="141"/>
      <c r="C1759" s="142" t="s">
        <v>3</v>
      </c>
      <c r="D1759" s="143"/>
      <c r="J1759" s="27"/>
      <c r="K1759" s="27"/>
      <c r="L1759" s="27"/>
      <c r="M1759" s="27"/>
      <c r="N1759" s="27"/>
      <c r="O1759" s="27"/>
      <c r="P1759" s="27"/>
    </row>
    <row r="1760" spans="1:16" s="28" customFormat="1" ht="34.5" hidden="1" customHeight="1" thickBot="1">
      <c r="A1760" s="140">
        <v>0</v>
      </c>
      <c r="B1760" s="141"/>
      <c r="C1760" s="144" t="s">
        <v>4</v>
      </c>
      <c r="D1760" s="145"/>
      <c r="J1760" s="27"/>
      <c r="K1760" s="27"/>
      <c r="L1760" s="27"/>
      <c r="M1760" s="27"/>
      <c r="N1760" s="27"/>
      <c r="O1760" s="27"/>
      <c r="P1760" s="27"/>
    </row>
    <row r="1761" spans="1:16" s="28" customFormat="1" ht="34.5" hidden="1" customHeight="1" thickBot="1">
      <c r="A1761" s="146">
        <f>A1760-A1759</f>
        <v>0</v>
      </c>
      <c r="B1761" s="147"/>
      <c r="C1761" s="148"/>
      <c r="D1761" s="35" t="s">
        <v>5</v>
      </c>
      <c r="J1761" s="27"/>
      <c r="K1761" s="27"/>
      <c r="L1761" s="27"/>
      <c r="M1761" s="27"/>
      <c r="N1761" s="27"/>
      <c r="O1761" s="27"/>
      <c r="P1761" s="27"/>
    </row>
    <row r="1762" spans="1:16" s="28" customFormat="1" ht="34.5" hidden="1" customHeight="1" thickBot="1">
      <c r="A1762" s="149">
        <v>50</v>
      </c>
      <c r="B1762" s="150"/>
      <c r="C1762" s="151"/>
      <c r="D1762" s="35" t="s">
        <v>6</v>
      </c>
      <c r="J1762" s="27"/>
      <c r="K1762" s="27"/>
      <c r="L1762" s="27"/>
      <c r="M1762" s="27"/>
      <c r="N1762" s="27"/>
      <c r="O1762" s="27"/>
      <c r="P1762" s="27"/>
    </row>
    <row r="1763" spans="1:16" s="28" customFormat="1" ht="34.5" hidden="1" customHeight="1" thickBot="1">
      <c r="A1763" s="144">
        <f>A1762*A1761</f>
        <v>0</v>
      </c>
      <c r="B1763" s="152"/>
      <c r="C1763" s="145"/>
      <c r="D1763" s="35" t="s">
        <v>7</v>
      </c>
      <c r="J1763" s="27"/>
      <c r="K1763" s="27"/>
      <c r="L1763" s="27"/>
      <c r="M1763" s="27"/>
      <c r="N1763" s="27"/>
      <c r="O1763" s="27"/>
      <c r="P1763" s="27"/>
    </row>
    <row r="1764" spans="1:16" s="28" customFormat="1" ht="34.5" hidden="1" customHeight="1" thickBot="1">
      <c r="A1764" s="144">
        <v>0</v>
      </c>
      <c r="B1764" s="152"/>
      <c r="C1764" s="145"/>
      <c r="D1764" s="35" t="s">
        <v>437</v>
      </c>
      <c r="J1764" s="27"/>
      <c r="K1764" s="27"/>
      <c r="L1764" s="27"/>
      <c r="M1764" s="27"/>
      <c r="N1764" s="27"/>
      <c r="O1764" s="27"/>
      <c r="P1764" s="27"/>
    </row>
    <row r="1765" spans="1:16" s="28" customFormat="1" ht="34.5" hidden="1" customHeight="1" thickBot="1">
      <c r="A1765" s="34">
        <v>0</v>
      </c>
      <c r="B1765" s="32" t="s">
        <v>8</v>
      </c>
      <c r="C1765" s="33">
        <v>700</v>
      </c>
      <c r="D1765" s="32" t="s">
        <v>9</v>
      </c>
      <c r="J1765" s="27"/>
      <c r="K1765" s="27"/>
      <c r="L1765" s="27"/>
      <c r="M1765" s="27"/>
      <c r="N1765" s="27"/>
      <c r="O1765" s="27"/>
      <c r="P1765" s="27"/>
    </row>
    <row r="1766" spans="1:16" s="28" customFormat="1" ht="34.5" hidden="1" customHeight="1" thickBot="1">
      <c r="A1766" s="153" t="s">
        <v>436</v>
      </c>
      <c r="B1766" s="154"/>
      <c r="C1766" s="154"/>
      <c r="D1766" s="155"/>
      <c r="J1766" s="27"/>
      <c r="K1766" s="27"/>
      <c r="L1766" s="27"/>
      <c r="M1766" s="27"/>
      <c r="N1766" s="27"/>
      <c r="O1766" s="27"/>
      <c r="P1766" s="27"/>
    </row>
    <row r="1767" spans="1:16" s="28" customFormat="1" ht="34.5" hidden="1" customHeight="1" thickBot="1">
      <c r="A1767" s="156" t="s">
        <v>435</v>
      </c>
      <c r="B1767" s="157"/>
      <c r="C1767" s="157"/>
      <c r="D1767" s="158"/>
      <c r="J1767" s="27"/>
      <c r="K1767" s="27"/>
      <c r="L1767" s="27"/>
      <c r="M1767" s="27"/>
      <c r="N1767" s="27"/>
      <c r="O1767" s="27"/>
      <c r="P1767" s="27"/>
    </row>
    <row r="1768" spans="1:16" s="28" customFormat="1" ht="34.5" hidden="1" customHeight="1">
      <c r="A1768" s="159" t="s">
        <v>442</v>
      </c>
      <c r="B1768" s="160" t="s">
        <v>441</v>
      </c>
      <c r="C1768" s="160"/>
      <c r="D1768" s="161"/>
      <c r="J1768" s="27"/>
      <c r="K1768" s="27"/>
      <c r="L1768" s="27"/>
      <c r="M1768" s="27"/>
      <c r="N1768" s="27"/>
      <c r="O1768" s="27"/>
      <c r="P1768" s="27"/>
    </row>
    <row r="1769" spans="1:16" s="28" customFormat="1" ht="34.5" hidden="1" customHeight="1" thickBot="1">
      <c r="A1769" s="162"/>
      <c r="B1769" s="163"/>
      <c r="C1769" s="163"/>
      <c r="D1769" s="164"/>
      <c r="J1769" s="27"/>
      <c r="K1769" s="27"/>
      <c r="L1769" s="27"/>
      <c r="M1769" s="27"/>
      <c r="N1769" s="27"/>
      <c r="O1769" s="27"/>
      <c r="P1769" s="27"/>
    </row>
    <row r="1770" spans="1:16" s="28" customFormat="1" ht="34.5" hidden="1" customHeight="1" thickBot="1">
      <c r="A1770" s="142" t="s">
        <v>11</v>
      </c>
      <c r="B1770" s="143"/>
      <c r="C1770" s="165" t="s">
        <v>12</v>
      </c>
      <c r="D1770" s="143"/>
      <c r="J1770" s="27"/>
      <c r="K1770" s="27"/>
      <c r="L1770" s="27"/>
      <c r="M1770" s="27"/>
      <c r="N1770" s="27"/>
      <c r="O1770" s="27"/>
      <c r="P1770" s="27"/>
    </row>
    <row r="1771" spans="1:16" s="28" customFormat="1" ht="34.5" hidden="1" customHeight="1" thickBot="1">
      <c r="A1771" s="137" t="s">
        <v>459</v>
      </c>
      <c r="B1771" s="138"/>
      <c r="C1771" s="138"/>
      <c r="D1771" s="139"/>
      <c r="J1771" s="27"/>
      <c r="K1771" s="27"/>
      <c r="L1771" s="27"/>
      <c r="M1771" s="27"/>
      <c r="N1771" s="27"/>
      <c r="O1771" s="27"/>
      <c r="P1771" s="27"/>
    </row>
    <row r="1772" spans="1:16" s="28" customFormat="1" ht="34.5" hidden="1" customHeight="1" thickBot="1">
      <c r="A1772" s="34" t="s">
        <v>458</v>
      </c>
      <c r="B1772" s="32" t="s">
        <v>438</v>
      </c>
      <c r="C1772" s="34">
        <v>58</v>
      </c>
      <c r="D1772" s="32" t="s">
        <v>0</v>
      </c>
      <c r="J1772" s="27"/>
      <c r="K1772" s="27"/>
      <c r="L1772" s="27"/>
      <c r="M1772" s="27"/>
      <c r="N1772" s="27"/>
      <c r="O1772" s="27"/>
      <c r="P1772" s="27"/>
    </row>
    <row r="1773" spans="1:16" s="28" customFormat="1" ht="34.5" hidden="1" customHeight="1" thickBot="1">
      <c r="A1773" s="37" t="s">
        <v>13</v>
      </c>
      <c r="B1773" s="36" t="s">
        <v>1</v>
      </c>
      <c r="C1773" s="34" t="s">
        <v>14</v>
      </c>
      <c r="D1773" s="32" t="s">
        <v>2</v>
      </c>
      <c r="J1773" s="27"/>
      <c r="K1773" s="27"/>
      <c r="L1773" s="27"/>
      <c r="M1773" s="27"/>
      <c r="N1773" s="27"/>
      <c r="O1773" s="27"/>
      <c r="P1773" s="27"/>
    </row>
    <row r="1774" spans="1:16" s="28" customFormat="1" ht="34.5" hidden="1" customHeight="1" thickBot="1">
      <c r="A1774" s="140">
        <v>0</v>
      </c>
      <c r="B1774" s="141"/>
      <c r="C1774" s="142" t="s">
        <v>3</v>
      </c>
      <c r="D1774" s="143"/>
      <c r="J1774" s="27"/>
      <c r="K1774" s="27"/>
      <c r="L1774" s="27"/>
      <c r="M1774" s="27"/>
      <c r="N1774" s="27"/>
      <c r="O1774" s="27"/>
      <c r="P1774" s="27"/>
    </row>
    <row r="1775" spans="1:16" s="28" customFormat="1" ht="34.5" hidden="1" customHeight="1" thickBot="1">
      <c r="A1775" s="140">
        <v>0</v>
      </c>
      <c r="B1775" s="141"/>
      <c r="C1775" s="144" t="s">
        <v>4</v>
      </c>
      <c r="D1775" s="145"/>
      <c r="J1775" s="27"/>
      <c r="K1775" s="27"/>
      <c r="L1775" s="27"/>
      <c r="M1775" s="27"/>
      <c r="N1775" s="27"/>
      <c r="O1775" s="27"/>
      <c r="P1775" s="27"/>
    </row>
    <row r="1776" spans="1:16" s="28" customFormat="1" ht="34.5" hidden="1" customHeight="1" thickBot="1">
      <c r="A1776" s="146">
        <f>A1775-A1774</f>
        <v>0</v>
      </c>
      <c r="B1776" s="147"/>
      <c r="C1776" s="148"/>
      <c r="D1776" s="35" t="s">
        <v>5</v>
      </c>
      <c r="J1776" s="27"/>
      <c r="K1776" s="27"/>
      <c r="L1776" s="27"/>
      <c r="M1776" s="27"/>
      <c r="N1776" s="27"/>
      <c r="O1776" s="27"/>
      <c r="P1776" s="27"/>
    </row>
    <row r="1777" spans="1:16" s="28" customFormat="1" ht="34.5" hidden="1" customHeight="1" thickBot="1">
      <c r="A1777" s="149">
        <v>50</v>
      </c>
      <c r="B1777" s="150"/>
      <c r="C1777" s="151"/>
      <c r="D1777" s="35" t="s">
        <v>6</v>
      </c>
      <c r="J1777" s="27"/>
      <c r="K1777" s="27"/>
      <c r="L1777" s="27"/>
      <c r="M1777" s="27"/>
      <c r="N1777" s="27"/>
      <c r="O1777" s="27"/>
      <c r="P1777" s="27"/>
    </row>
    <row r="1778" spans="1:16" s="28" customFormat="1" ht="34.5" hidden="1" customHeight="1" thickBot="1">
      <c r="A1778" s="144">
        <f>A1777*A1776</f>
        <v>0</v>
      </c>
      <c r="B1778" s="152"/>
      <c r="C1778" s="145"/>
      <c r="D1778" s="35" t="s">
        <v>7</v>
      </c>
      <c r="J1778" s="27"/>
      <c r="K1778" s="27"/>
      <c r="L1778" s="27"/>
      <c r="M1778" s="27"/>
      <c r="N1778" s="27"/>
      <c r="O1778" s="27"/>
      <c r="P1778" s="27"/>
    </row>
    <row r="1779" spans="1:16" s="28" customFormat="1" ht="34.5" hidden="1" customHeight="1" thickBot="1">
      <c r="A1779" s="144">
        <v>0</v>
      </c>
      <c r="B1779" s="152"/>
      <c r="C1779" s="145"/>
      <c r="D1779" s="35" t="s">
        <v>437</v>
      </c>
      <c r="J1779" s="27"/>
      <c r="K1779" s="27"/>
      <c r="L1779" s="27"/>
      <c r="M1779" s="27"/>
      <c r="N1779" s="27"/>
      <c r="O1779" s="27"/>
      <c r="P1779" s="27"/>
    </row>
    <row r="1780" spans="1:16" s="28" customFormat="1" ht="34.5" hidden="1" customHeight="1" thickBot="1">
      <c r="A1780" s="34">
        <v>0</v>
      </c>
      <c r="B1780" s="32" t="s">
        <v>8</v>
      </c>
      <c r="C1780" s="33">
        <v>0</v>
      </c>
      <c r="D1780" s="32" t="s">
        <v>9</v>
      </c>
      <c r="J1780" s="27"/>
      <c r="K1780" s="27"/>
      <c r="L1780" s="27"/>
      <c r="M1780" s="27"/>
      <c r="N1780" s="27"/>
      <c r="O1780" s="27"/>
      <c r="P1780" s="27"/>
    </row>
    <row r="1781" spans="1:16" s="28" customFormat="1" ht="34.5" hidden="1" customHeight="1" thickBot="1">
      <c r="A1781" s="153" t="s">
        <v>436</v>
      </c>
      <c r="B1781" s="154"/>
      <c r="C1781" s="154"/>
      <c r="D1781" s="155"/>
      <c r="J1781" s="27"/>
      <c r="K1781" s="27"/>
      <c r="L1781" s="27"/>
      <c r="M1781" s="27"/>
      <c r="N1781" s="27"/>
      <c r="O1781" s="27"/>
      <c r="P1781" s="27"/>
    </row>
    <row r="1782" spans="1:16" s="28" customFormat="1" ht="34.5" hidden="1" customHeight="1" thickBot="1">
      <c r="A1782" s="156" t="s">
        <v>435</v>
      </c>
      <c r="B1782" s="157"/>
      <c r="C1782" s="157"/>
      <c r="D1782" s="158"/>
      <c r="J1782" s="27"/>
      <c r="K1782" s="27"/>
      <c r="L1782" s="27"/>
      <c r="M1782" s="27"/>
      <c r="N1782" s="27"/>
      <c r="O1782" s="27"/>
      <c r="P1782" s="27"/>
    </row>
    <row r="1783" spans="1:16" s="28" customFormat="1" ht="34.5" hidden="1" customHeight="1" thickBot="1">
      <c r="A1783" s="40"/>
      <c r="B1783" s="39"/>
      <c r="C1783" s="39"/>
      <c r="D1783" s="38"/>
      <c r="J1783" s="27"/>
      <c r="K1783" s="27"/>
      <c r="L1783" s="27"/>
      <c r="M1783" s="27"/>
      <c r="N1783" s="27"/>
      <c r="O1783" s="27"/>
      <c r="P1783" s="27"/>
    </row>
    <row r="1784" spans="1:16" s="28" customFormat="1" ht="34.5" hidden="1" customHeight="1">
      <c r="A1784" s="159" t="s">
        <v>442</v>
      </c>
      <c r="B1784" s="160" t="s">
        <v>441</v>
      </c>
      <c r="C1784" s="160"/>
      <c r="D1784" s="161"/>
      <c r="J1784" s="27"/>
      <c r="K1784" s="27"/>
      <c r="L1784" s="27"/>
      <c r="M1784" s="27"/>
      <c r="N1784" s="27"/>
      <c r="O1784" s="27"/>
      <c r="P1784" s="27"/>
    </row>
    <row r="1785" spans="1:16" s="28" customFormat="1" ht="34.5" hidden="1" customHeight="1" thickBot="1">
      <c r="A1785" s="162"/>
      <c r="B1785" s="163"/>
      <c r="C1785" s="163"/>
      <c r="D1785" s="164"/>
      <c r="J1785" s="27"/>
      <c r="K1785" s="27"/>
      <c r="L1785" s="27"/>
      <c r="M1785" s="27"/>
      <c r="N1785" s="27"/>
      <c r="O1785" s="27"/>
      <c r="P1785" s="27"/>
    </row>
    <row r="1786" spans="1:16" s="28" customFormat="1" ht="34.5" hidden="1" customHeight="1" thickBot="1">
      <c r="A1786" s="142" t="s">
        <v>11</v>
      </c>
      <c r="B1786" s="143"/>
      <c r="C1786" s="165" t="s">
        <v>12</v>
      </c>
      <c r="D1786" s="143"/>
      <c r="J1786" s="27"/>
      <c r="K1786" s="27"/>
      <c r="L1786" s="27"/>
      <c r="M1786" s="27"/>
      <c r="N1786" s="27"/>
      <c r="O1786" s="27"/>
      <c r="P1786" s="27"/>
    </row>
    <row r="1787" spans="1:16" s="28" customFormat="1" ht="34.5" hidden="1" customHeight="1" thickBot="1">
      <c r="A1787" s="137" t="s">
        <v>459</v>
      </c>
      <c r="B1787" s="138"/>
      <c r="C1787" s="138"/>
      <c r="D1787" s="139"/>
      <c r="J1787" s="27"/>
      <c r="K1787" s="27"/>
      <c r="L1787" s="27"/>
      <c r="M1787" s="27"/>
      <c r="N1787" s="27"/>
      <c r="O1787" s="27"/>
      <c r="P1787" s="27"/>
    </row>
    <row r="1788" spans="1:16" s="28" customFormat="1" ht="34.5" hidden="1" customHeight="1" thickBot="1">
      <c r="A1788" s="34" t="s">
        <v>458</v>
      </c>
      <c r="B1788" s="32" t="s">
        <v>438</v>
      </c>
      <c r="C1788" s="34">
        <v>58</v>
      </c>
      <c r="D1788" s="32" t="s">
        <v>0</v>
      </c>
      <c r="J1788" s="27"/>
      <c r="K1788" s="27"/>
      <c r="L1788" s="27"/>
      <c r="M1788" s="27"/>
      <c r="N1788" s="27"/>
      <c r="O1788" s="27"/>
      <c r="P1788" s="27"/>
    </row>
    <row r="1789" spans="1:16" s="28" customFormat="1" ht="34.5" hidden="1" customHeight="1" thickBot="1">
      <c r="A1789" s="37" t="s">
        <v>13</v>
      </c>
      <c r="B1789" s="36" t="s">
        <v>1</v>
      </c>
      <c r="C1789" s="34" t="s">
        <v>14</v>
      </c>
      <c r="D1789" s="32" t="s">
        <v>2</v>
      </c>
      <c r="J1789" s="27"/>
      <c r="K1789" s="27"/>
      <c r="L1789" s="27"/>
      <c r="M1789" s="27"/>
      <c r="N1789" s="27"/>
      <c r="O1789" s="27"/>
      <c r="P1789" s="27"/>
    </row>
    <row r="1790" spans="1:16" s="28" customFormat="1" ht="34.5" hidden="1" customHeight="1" thickBot="1">
      <c r="A1790" s="140">
        <v>0</v>
      </c>
      <c r="B1790" s="141"/>
      <c r="C1790" s="142" t="s">
        <v>3</v>
      </c>
      <c r="D1790" s="143"/>
      <c r="J1790" s="27"/>
      <c r="K1790" s="27"/>
      <c r="L1790" s="27"/>
      <c r="M1790" s="27"/>
      <c r="N1790" s="27"/>
      <c r="O1790" s="27"/>
      <c r="P1790" s="27"/>
    </row>
    <row r="1791" spans="1:16" s="28" customFormat="1" ht="34.5" hidden="1" customHeight="1" thickBot="1">
      <c r="A1791" s="140">
        <v>0</v>
      </c>
      <c r="B1791" s="141"/>
      <c r="C1791" s="144" t="s">
        <v>4</v>
      </c>
      <c r="D1791" s="145"/>
      <c r="J1791" s="27"/>
      <c r="K1791" s="27"/>
      <c r="L1791" s="27"/>
      <c r="M1791" s="27"/>
      <c r="N1791" s="27"/>
      <c r="O1791" s="27"/>
      <c r="P1791" s="27"/>
    </row>
    <row r="1792" spans="1:16" s="28" customFormat="1" ht="34.5" hidden="1" customHeight="1" thickBot="1">
      <c r="A1792" s="146">
        <f>A1791-A1790</f>
        <v>0</v>
      </c>
      <c r="B1792" s="147"/>
      <c r="C1792" s="148"/>
      <c r="D1792" s="35" t="s">
        <v>5</v>
      </c>
      <c r="J1792" s="27"/>
      <c r="K1792" s="27"/>
      <c r="L1792" s="27"/>
      <c r="M1792" s="27"/>
      <c r="N1792" s="27"/>
      <c r="O1792" s="27"/>
      <c r="P1792" s="27"/>
    </row>
    <row r="1793" spans="1:16" s="28" customFormat="1" ht="34.5" hidden="1" customHeight="1" thickBot="1">
      <c r="A1793" s="149">
        <v>50</v>
      </c>
      <c r="B1793" s="150"/>
      <c r="C1793" s="151"/>
      <c r="D1793" s="35" t="s">
        <v>6</v>
      </c>
      <c r="J1793" s="27"/>
      <c r="K1793" s="27"/>
      <c r="L1793" s="27"/>
      <c r="M1793" s="27"/>
      <c r="N1793" s="27"/>
      <c r="O1793" s="27"/>
      <c r="P1793" s="27"/>
    </row>
    <row r="1794" spans="1:16" s="28" customFormat="1" ht="34.5" hidden="1" customHeight="1" thickBot="1">
      <c r="A1794" s="144">
        <f>A1793*A1792</f>
        <v>0</v>
      </c>
      <c r="B1794" s="152"/>
      <c r="C1794" s="145"/>
      <c r="D1794" s="35" t="s">
        <v>7</v>
      </c>
      <c r="J1794" s="27"/>
      <c r="K1794" s="27"/>
      <c r="L1794" s="27"/>
      <c r="M1794" s="27"/>
      <c r="N1794" s="27"/>
      <c r="O1794" s="27"/>
      <c r="P1794" s="27"/>
    </row>
    <row r="1795" spans="1:16" s="28" customFormat="1" ht="34.5" hidden="1" customHeight="1" thickBot="1">
      <c r="A1795" s="144">
        <v>0</v>
      </c>
      <c r="B1795" s="152"/>
      <c r="C1795" s="145"/>
      <c r="D1795" s="35" t="s">
        <v>437</v>
      </c>
      <c r="J1795" s="27"/>
      <c r="K1795" s="27"/>
      <c r="L1795" s="27"/>
      <c r="M1795" s="27"/>
      <c r="N1795" s="27"/>
      <c r="O1795" s="27"/>
      <c r="P1795" s="27"/>
    </row>
    <row r="1796" spans="1:16" s="28" customFormat="1" ht="34.5" hidden="1" customHeight="1" thickBot="1">
      <c r="A1796" s="34">
        <v>0</v>
      </c>
      <c r="B1796" s="32" t="s">
        <v>8</v>
      </c>
      <c r="C1796" s="33">
        <v>0</v>
      </c>
      <c r="D1796" s="32" t="s">
        <v>9</v>
      </c>
      <c r="J1796" s="27"/>
      <c r="K1796" s="27"/>
      <c r="L1796" s="27"/>
      <c r="M1796" s="27"/>
      <c r="N1796" s="27"/>
      <c r="O1796" s="27"/>
      <c r="P1796" s="27"/>
    </row>
    <row r="1797" spans="1:16" s="28" customFormat="1" ht="34.5" hidden="1" customHeight="1" thickBot="1">
      <c r="A1797" s="153" t="s">
        <v>436</v>
      </c>
      <c r="B1797" s="154"/>
      <c r="C1797" s="154"/>
      <c r="D1797" s="155"/>
      <c r="J1797" s="27"/>
      <c r="K1797" s="27"/>
      <c r="L1797" s="27"/>
      <c r="M1797" s="27"/>
      <c r="N1797" s="27"/>
      <c r="O1797" s="27"/>
      <c r="P1797" s="27"/>
    </row>
    <row r="1798" spans="1:16" s="28" customFormat="1" ht="34.5" hidden="1" customHeight="1" thickBot="1">
      <c r="A1798" s="156" t="s">
        <v>435</v>
      </c>
      <c r="B1798" s="157"/>
      <c r="C1798" s="157"/>
      <c r="D1798" s="158"/>
      <c r="J1798" s="27"/>
      <c r="K1798" s="27"/>
      <c r="L1798" s="27"/>
      <c r="M1798" s="27"/>
      <c r="N1798" s="27"/>
      <c r="O1798" s="27"/>
      <c r="P1798" s="27"/>
    </row>
    <row r="1799" spans="1:16" s="28" customFormat="1" ht="34.5" hidden="1" customHeight="1">
      <c r="A1799" s="159" t="s">
        <v>442</v>
      </c>
      <c r="B1799" s="160" t="s">
        <v>441</v>
      </c>
      <c r="C1799" s="160"/>
      <c r="D1799" s="161"/>
      <c r="J1799" s="27"/>
      <c r="K1799" s="27"/>
      <c r="L1799" s="27"/>
      <c r="M1799" s="27"/>
      <c r="N1799" s="27"/>
      <c r="O1799" s="27"/>
      <c r="P1799" s="27"/>
    </row>
    <row r="1800" spans="1:16" s="28" customFormat="1" ht="34.5" hidden="1" customHeight="1" thickBot="1">
      <c r="A1800" s="162"/>
      <c r="B1800" s="163"/>
      <c r="C1800" s="163"/>
      <c r="D1800" s="164"/>
      <c r="J1800" s="27"/>
      <c r="K1800" s="27"/>
      <c r="L1800" s="27"/>
      <c r="M1800" s="27"/>
      <c r="N1800" s="27"/>
      <c r="O1800" s="27"/>
      <c r="P1800" s="27"/>
    </row>
    <row r="1801" spans="1:16" s="28" customFormat="1" ht="34.5" hidden="1" customHeight="1" thickBot="1">
      <c r="A1801" s="142" t="s">
        <v>11</v>
      </c>
      <c r="B1801" s="143"/>
      <c r="C1801" s="165" t="s">
        <v>12</v>
      </c>
      <c r="D1801" s="143"/>
      <c r="J1801" s="27"/>
      <c r="K1801" s="27"/>
      <c r="L1801" s="27"/>
      <c r="M1801" s="27"/>
      <c r="N1801" s="27"/>
      <c r="O1801" s="27"/>
      <c r="P1801" s="27"/>
    </row>
    <row r="1802" spans="1:16" s="28" customFormat="1" ht="34.5" hidden="1" customHeight="1" thickBot="1">
      <c r="A1802" s="137" t="s">
        <v>113</v>
      </c>
      <c r="B1802" s="138"/>
      <c r="C1802" s="138"/>
      <c r="D1802" s="139"/>
      <c r="J1802" s="27"/>
      <c r="K1802" s="27"/>
      <c r="L1802" s="27"/>
      <c r="M1802" s="27"/>
      <c r="N1802" s="27"/>
      <c r="O1802" s="27"/>
      <c r="P1802" s="27"/>
    </row>
    <row r="1803" spans="1:16" s="28" customFormat="1" ht="34.5" hidden="1" customHeight="1" thickBot="1">
      <c r="A1803" s="34" t="s">
        <v>458</v>
      </c>
      <c r="B1803" s="32" t="s">
        <v>438</v>
      </c>
      <c r="C1803" s="34">
        <v>59</v>
      </c>
      <c r="D1803" s="32" t="s">
        <v>0</v>
      </c>
      <c r="J1803" s="27"/>
      <c r="K1803" s="27"/>
      <c r="L1803" s="27"/>
      <c r="M1803" s="27"/>
      <c r="N1803" s="27"/>
      <c r="O1803" s="27"/>
      <c r="P1803" s="27"/>
    </row>
    <row r="1804" spans="1:16" s="28" customFormat="1" ht="34.5" hidden="1" customHeight="1" thickBot="1">
      <c r="A1804" s="37" t="s">
        <v>13</v>
      </c>
      <c r="B1804" s="36" t="s">
        <v>1</v>
      </c>
      <c r="C1804" s="34" t="s">
        <v>14</v>
      </c>
      <c r="D1804" s="32" t="s">
        <v>2</v>
      </c>
      <c r="J1804" s="27"/>
      <c r="K1804" s="27"/>
      <c r="L1804" s="27"/>
      <c r="M1804" s="27"/>
      <c r="N1804" s="27"/>
      <c r="O1804" s="27"/>
      <c r="P1804" s="27"/>
    </row>
    <row r="1805" spans="1:16" s="28" customFormat="1" ht="34.5" hidden="1" customHeight="1" thickBot="1">
      <c r="A1805" s="140">
        <v>0</v>
      </c>
      <c r="B1805" s="141"/>
      <c r="C1805" s="142" t="s">
        <v>3</v>
      </c>
      <c r="D1805" s="143"/>
      <c r="J1805" s="27"/>
      <c r="K1805" s="27"/>
      <c r="L1805" s="27"/>
      <c r="M1805" s="27"/>
      <c r="N1805" s="27"/>
      <c r="O1805" s="27"/>
      <c r="P1805" s="27"/>
    </row>
    <row r="1806" spans="1:16" s="28" customFormat="1" ht="34.5" hidden="1" customHeight="1" thickBot="1">
      <c r="A1806" s="140">
        <v>0</v>
      </c>
      <c r="B1806" s="141"/>
      <c r="C1806" s="144" t="s">
        <v>4</v>
      </c>
      <c r="D1806" s="145"/>
      <c r="J1806" s="27"/>
      <c r="K1806" s="27"/>
      <c r="L1806" s="27"/>
      <c r="M1806" s="27"/>
      <c r="N1806" s="27"/>
      <c r="O1806" s="27"/>
      <c r="P1806" s="27"/>
    </row>
    <row r="1807" spans="1:16" s="28" customFormat="1" ht="34.5" hidden="1" customHeight="1" thickBot="1">
      <c r="A1807" s="146">
        <f>A1806-A1805</f>
        <v>0</v>
      </c>
      <c r="B1807" s="147"/>
      <c r="C1807" s="148"/>
      <c r="D1807" s="35" t="s">
        <v>5</v>
      </c>
      <c r="J1807" s="27"/>
      <c r="K1807" s="27"/>
      <c r="L1807" s="27"/>
      <c r="M1807" s="27"/>
      <c r="N1807" s="27"/>
      <c r="O1807" s="27"/>
      <c r="P1807" s="27"/>
    </row>
    <row r="1808" spans="1:16" s="28" customFormat="1" ht="34.5" hidden="1" customHeight="1" thickBot="1">
      <c r="A1808" s="149">
        <v>50</v>
      </c>
      <c r="B1808" s="150"/>
      <c r="C1808" s="151"/>
      <c r="D1808" s="35" t="s">
        <v>6</v>
      </c>
      <c r="J1808" s="27"/>
      <c r="K1808" s="27"/>
      <c r="L1808" s="27"/>
      <c r="M1808" s="27"/>
      <c r="N1808" s="27"/>
      <c r="O1808" s="27"/>
      <c r="P1808" s="27"/>
    </row>
    <row r="1809" spans="1:16" s="28" customFormat="1" ht="34.5" hidden="1" customHeight="1" thickBot="1">
      <c r="A1809" s="144">
        <f>A1808*A1807</f>
        <v>0</v>
      </c>
      <c r="B1809" s="152"/>
      <c r="C1809" s="145"/>
      <c r="D1809" s="35" t="s">
        <v>7</v>
      </c>
      <c r="J1809" s="27"/>
      <c r="K1809" s="27"/>
      <c r="L1809" s="27"/>
      <c r="M1809" s="27"/>
      <c r="N1809" s="27"/>
      <c r="O1809" s="27"/>
      <c r="P1809" s="27"/>
    </row>
    <row r="1810" spans="1:16" s="28" customFormat="1" ht="34.5" hidden="1" customHeight="1" thickBot="1">
      <c r="A1810" s="144">
        <v>0</v>
      </c>
      <c r="B1810" s="152"/>
      <c r="C1810" s="145"/>
      <c r="D1810" s="35" t="s">
        <v>437</v>
      </c>
      <c r="J1810" s="27"/>
      <c r="K1810" s="27"/>
      <c r="L1810" s="27"/>
      <c r="M1810" s="27"/>
      <c r="N1810" s="27"/>
      <c r="O1810" s="27"/>
      <c r="P1810" s="27"/>
    </row>
    <row r="1811" spans="1:16" s="28" customFormat="1" ht="34.5" hidden="1" customHeight="1" thickBot="1">
      <c r="A1811" s="34">
        <v>0</v>
      </c>
      <c r="B1811" s="32" t="s">
        <v>8</v>
      </c>
      <c r="C1811" s="33">
        <v>1200</v>
      </c>
      <c r="D1811" s="32" t="s">
        <v>9</v>
      </c>
      <c r="J1811" s="27"/>
      <c r="K1811" s="27"/>
      <c r="L1811" s="27"/>
      <c r="M1811" s="27"/>
      <c r="N1811" s="27"/>
      <c r="O1811" s="27"/>
      <c r="P1811" s="27"/>
    </row>
    <row r="1812" spans="1:16" s="28" customFormat="1" ht="34.5" hidden="1" customHeight="1" thickBot="1">
      <c r="A1812" s="153" t="s">
        <v>436</v>
      </c>
      <c r="B1812" s="154"/>
      <c r="C1812" s="154"/>
      <c r="D1812" s="155"/>
      <c r="J1812" s="27"/>
      <c r="K1812" s="27"/>
      <c r="L1812" s="27"/>
      <c r="M1812" s="27"/>
      <c r="N1812" s="27"/>
      <c r="O1812" s="27"/>
      <c r="P1812" s="27"/>
    </row>
    <row r="1813" spans="1:16" s="28" customFormat="1" ht="34.5" hidden="1" customHeight="1" thickBot="1">
      <c r="A1813" s="156" t="s">
        <v>435</v>
      </c>
      <c r="B1813" s="157"/>
      <c r="C1813" s="157"/>
      <c r="D1813" s="158"/>
      <c r="J1813" s="27"/>
      <c r="K1813" s="27"/>
      <c r="L1813" s="27"/>
      <c r="M1813" s="27"/>
      <c r="N1813" s="27"/>
      <c r="O1813" s="27"/>
      <c r="P1813" s="27"/>
    </row>
    <row r="1814" spans="1:16" s="28" customFormat="1" ht="34.5" hidden="1" customHeight="1" thickBot="1">
      <c r="A1814" s="40"/>
      <c r="B1814" s="39"/>
      <c r="C1814" s="39"/>
      <c r="D1814" s="38"/>
      <c r="J1814" s="27"/>
      <c r="K1814" s="27"/>
      <c r="L1814" s="27"/>
      <c r="M1814" s="27"/>
      <c r="N1814" s="27"/>
      <c r="O1814" s="27"/>
      <c r="P1814" s="27"/>
    </row>
    <row r="1815" spans="1:16" s="28" customFormat="1" ht="34.5" hidden="1" customHeight="1">
      <c r="A1815" s="159" t="s">
        <v>442</v>
      </c>
      <c r="B1815" s="160" t="s">
        <v>441</v>
      </c>
      <c r="C1815" s="160"/>
      <c r="D1815" s="161"/>
      <c r="J1815" s="27"/>
      <c r="K1815" s="27"/>
      <c r="L1815" s="27"/>
      <c r="M1815" s="27"/>
      <c r="N1815" s="27"/>
      <c r="O1815" s="27"/>
      <c r="P1815" s="27"/>
    </row>
    <row r="1816" spans="1:16" s="28" customFormat="1" ht="34.5" hidden="1" customHeight="1" thickBot="1">
      <c r="A1816" s="162"/>
      <c r="B1816" s="163"/>
      <c r="C1816" s="163"/>
      <c r="D1816" s="164"/>
      <c r="J1816" s="27"/>
      <c r="K1816" s="27"/>
      <c r="L1816" s="27"/>
      <c r="M1816" s="27"/>
      <c r="N1816" s="27"/>
      <c r="O1816" s="27"/>
      <c r="P1816" s="27"/>
    </row>
    <row r="1817" spans="1:16" s="28" customFormat="1" ht="34.5" hidden="1" customHeight="1" thickBot="1">
      <c r="A1817" s="142" t="s">
        <v>11</v>
      </c>
      <c r="B1817" s="143"/>
      <c r="C1817" s="165" t="s">
        <v>12</v>
      </c>
      <c r="D1817" s="143"/>
      <c r="J1817" s="27"/>
      <c r="K1817" s="27"/>
      <c r="L1817" s="27"/>
      <c r="M1817" s="27"/>
      <c r="N1817" s="27"/>
      <c r="O1817" s="27"/>
      <c r="P1817" s="27"/>
    </row>
    <row r="1818" spans="1:16" s="28" customFormat="1" ht="34.5" hidden="1" customHeight="1" thickBot="1">
      <c r="A1818" s="137" t="s">
        <v>113</v>
      </c>
      <c r="B1818" s="138"/>
      <c r="C1818" s="138"/>
      <c r="D1818" s="139"/>
      <c r="J1818" s="27"/>
      <c r="K1818" s="27"/>
      <c r="L1818" s="27"/>
      <c r="M1818" s="27"/>
      <c r="N1818" s="27"/>
      <c r="O1818" s="27"/>
      <c r="P1818" s="27"/>
    </row>
    <row r="1819" spans="1:16" s="28" customFormat="1" ht="34.5" hidden="1" customHeight="1" thickBot="1">
      <c r="A1819" s="34" t="s">
        <v>458</v>
      </c>
      <c r="B1819" s="32" t="s">
        <v>438</v>
      </c>
      <c r="C1819" s="34">
        <v>59</v>
      </c>
      <c r="D1819" s="32" t="s">
        <v>0</v>
      </c>
      <c r="J1819" s="27"/>
      <c r="K1819" s="27"/>
      <c r="L1819" s="27"/>
      <c r="M1819" s="27"/>
      <c r="N1819" s="27"/>
      <c r="O1819" s="27"/>
      <c r="P1819" s="27"/>
    </row>
    <row r="1820" spans="1:16" s="28" customFormat="1" ht="34.5" hidden="1" customHeight="1" thickBot="1">
      <c r="A1820" s="37" t="s">
        <v>13</v>
      </c>
      <c r="B1820" s="36" t="s">
        <v>1</v>
      </c>
      <c r="C1820" s="34" t="s">
        <v>14</v>
      </c>
      <c r="D1820" s="32" t="s">
        <v>2</v>
      </c>
      <c r="J1820" s="27"/>
      <c r="K1820" s="27"/>
      <c r="L1820" s="27"/>
      <c r="M1820" s="27"/>
      <c r="N1820" s="27"/>
      <c r="O1820" s="27"/>
      <c r="P1820" s="27"/>
    </row>
    <row r="1821" spans="1:16" s="28" customFormat="1" ht="34.5" hidden="1" customHeight="1" thickBot="1">
      <c r="A1821" s="140">
        <v>0</v>
      </c>
      <c r="B1821" s="141"/>
      <c r="C1821" s="142" t="s">
        <v>3</v>
      </c>
      <c r="D1821" s="143"/>
      <c r="J1821" s="27"/>
      <c r="K1821" s="27"/>
      <c r="L1821" s="27"/>
      <c r="M1821" s="27"/>
      <c r="N1821" s="27"/>
      <c r="O1821" s="27"/>
      <c r="P1821" s="27"/>
    </row>
    <row r="1822" spans="1:16" s="28" customFormat="1" ht="34.5" hidden="1" customHeight="1" thickBot="1">
      <c r="A1822" s="140">
        <v>0</v>
      </c>
      <c r="B1822" s="141"/>
      <c r="C1822" s="144" t="s">
        <v>4</v>
      </c>
      <c r="D1822" s="145"/>
      <c r="J1822" s="27"/>
      <c r="K1822" s="27"/>
      <c r="L1822" s="27"/>
      <c r="M1822" s="27"/>
      <c r="N1822" s="27"/>
      <c r="O1822" s="27"/>
      <c r="P1822" s="27"/>
    </row>
    <row r="1823" spans="1:16" s="28" customFormat="1" ht="34.5" hidden="1" customHeight="1" thickBot="1">
      <c r="A1823" s="146">
        <f>A1822-A1821</f>
        <v>0</v>
      </c>
      <c r="B1823" s="147"/>
      <c r="C1823" s="148"/>
      <c r="D1823" s="35" t="s">
        <v>5</v>
      </c>
      <c r="J1823" s="27"/>
      <c r="K1823" s="27"/>
      <c r="L1823" s="27"/>
      <c r="M1823" s="27"/>
      <c r="N1823" s="27"/>
      <c r="O1823" s="27"/>
      <c r="P1823" s="27"/>
    </row>
    <row r="1824" spans="1:16" s="28" customFormat="1" ht="34.5" hidden="1" customHeight="1" thickBot="1">
      <c r="A1824" s="149">
        <v>50</v>
      </c>
      <c r="B1824" s="150"/>
      <c r="C1824" s="151"/>
      <c r="D1824" s="35" t="s">
        <v>6</v>
      </c>
      <c r="J1824" s="27"/>
      <c r="K1824" s="27"/>
      <c r="L1824" s="27"/>
      <c r="M1824" s="27"/>
      <c r="N1824" s="27"/>
      <c r="O1824" s="27"/>
      <c r="P1824" s="27"/>
    </row>
    <row r="1825" spans="1:16" s="28" customFormat="1" ht="34.5" hidden="1" customHeight="1" thickBot="1">
      <c r="A1825" s="144">
        <f>A1824*A1823</f>
        <v>0</v>
      </c>
      <c r="B1825" s="152"/>
      <c r="C1825" s="145"/>
      <c r="D1825" s="35" t="s">
        <v>7</v>
      </c>
      <c r="J1825" s="27"/>
      <c r="K1825" s="27"/>
      <c r="L1825" s="27"/>
      <c r="M1825" s="27"/>
      <c r="N1825" s="27"/>
      <c r="O1825" s="27"/>
      <c r="P1825" s="27"/>
    </row>
    <row r="1826" spans="1:16" s="28" customFormat="1" ht="34.5" hidden="1" customHeight="1" thickBot="1">
      <c r="A1826" s="144">
        <v>0</v>
      </c>
      <c r="B1826" s="152"/>
      <c r="C1826" s="145"/>
      <c r="D1826" s="35" t="s">
        <v>437</v>
      </c>
      <c r="J1826" s="27"/>
      <c r="K1826" s="27"/>
      <c r="L1826" s="27"/>
      <c r="M1826" s="27"/>
      <c r="N1826" s="27"/>
      <c r="O1826" s="27"/>
      <c r="P1826" s="27"/>
    </row>
    <row r="1827" spans="1:16" s="28" customFormat="1" ht="34.5" hidden="1" customHeight="1" thickBot="1">
      <c r="A1827" s="34">
        <v>0</v>
      </c>
      <c r="B1827" s="32" t="s">
        <v>8</v>
      </c>
      <c r="C1827" s="33">
        <v>1200</v>
      </c>
      <c r="D1827" s="32" t="s">
        <v>9</v>
      </c>
      <c r="J1827" s="27"/>
      <c r="K1827" s="27"/>
      <c r="L1827" s="27"/>
      <c r="M1827" s="27"/>
      <c r="N1827" s="27"/>
      <c r="O1827" s="27"/>
      <c r="P1827" s="27"/>
    </row>
    <row r="1828" spans="1:16" s="28" customFormat="1" ht="34.5" hidden="1" customHeight="1" thickBot="1">
      <c r="A1828" s="153" t="s">
        <v>436</v>
      </c>
      <c r="B1828" s="154"/>
      <c r="C1828" s="154"/>
      <c r="D1828" s="155"/>
      <c r="J1828" s="27"/>
      <c r="K1828" s="27"/>
      <c r="L1828" s="27"/>
      <c r="M1828" s="27"/>
      <c r="N1828" s="27"/>
      <c r="O1828" s="27"/>
      <c r="P1828" s="27"/>
    </row>
    <row r="1829" spans="1:16" s="28" customFormat="1" ht="34.5" hidden="1" customHeight="1" thickBot="1">
      <c r="A1829" s="156" t="s">
        <v>435</v>
      </c>
      <c r="B1829" s="157"/>
      <c r="C1829" s="157"/>
      <c r="D1829" s="158"/>
      <c r="J1829" s="27"/>
      <c r="K1829" s="27"/>
      <c r="L1829" s="27"/>
      <c r="M1829" s="27"/>
      <c r="N1829" s="27"/>
      <c r="O1829" s="27"/>
      <c r="P1829" s="27"/>
    </row>
    <row r="1830" spans="1:16" s="28" customFormat="1" ht="34.5" hidden="1" customHeight="1">
      <c r="A1830" s="159" t="s">
        <v>442</v>
      </c>
      <c r="B1830" s="160" t="s">
        <v>441</v>
      </c>
      <c r="C1830" s="160"/>
      <c r="D1830" s="161"/>
      <c r="J1830" s="27"/>
      <c r="K1830" s="27"/>
      <c r="L1830" s="27"/>
      <c r="M1830" s="27"/>
      <c r="N1830" s="27"/>
      <c r="O1830" s="27"/>
      <c r="P1830" s="27"/>
    </row>
    <row r="1831" spans="1:16" s="28" customFormat="1" ht="34.5" hidden="1" customHeight="1" thickBot="1">
      <c r="A1831" s="162"/>
      <c r="B1831" s="163"/>
      <c r="C1831" s="163"/>
      <c r="D1831" s="164"/>
      <c r="J1831" s="27"/>
      <c r="K1831" s="27"/>
      <c r="L1831" s="27"/>
      <c r="M1831" s="27"/>
      <c r="N1831" s="27"/>
      <c r="O1831" s="27"/>
      <c r="P1831" s="27"/>
    </row>
    <row r="1832" spans="1:16" s="28" customFormat="1" ht="34.5" hidden="1" customHeight="1" thickBot="1">
      <c r="A1832" s="142" t="s">
        <v>11</v>
      </c>
      <c r="B1832" s="143"/>
      <c r="C1832" s="165" t="s">
        <v>12</v>
      </c>
      <c r="D1832" s="143"/>
      <c r="J1832" s="27"/>
      <c r="K1832" s="27"/>
      <c r="L1832" s="27"/>
      <c r="M1832" s="27"/>
      <c r="N1832" s="27"/>
      <c r="O1832" s="27"/>
      <c r="P1832" s="27"/>
    </row>
    <row r="1833" spans="1:16" s="28" customFormat="1" ht="34.5" hidden="1" customHeight="1" thickBot="1">
      <c r="A1833" s="137" t="s">
        <v>59</v>
      </c>
      <c r="B1833" s="138"/>
      <c r="C1833" s="138"/>
      <c r="D1833" s="139"/>
      <c r="J1833" s="27"/>
      <c r="K1833" s="27"/>
      <c r="L1833" s="27"/>
      <c r="M1833" s="27"/>
      <c r="N1833" s="27"/>
      <c r="O1833" s="27"/>
      <c r="P1833" s="27"/>
    </row>
    <row r="1834" spans="1:16" s="28" customFormat="1" ht="34.5" hidden="1" customHeight="1" thickBot="1">
      <c r="A1834" s="34" t="s">
        <v>458</v>
      </c>
      <c r="B1834" s="32" t="s">
        <v>438</v>
      </c>
      <c r="C1834" s="34">
        <v>60</v>
      </c>
      <c r="D1834" s="32" t="s">
        <v>0</v>
      </c>
      <c r="J1834" s="27"/>
      <c r="K1834" s="27"/>
      <c r="L1834" s="27"/>
      <c r="M1834" s="27"/>
      <c r="N1834" s="27"/>
      <c r="O1834" s="27"/>
      <c r="P1834" s="27"/>
    </row>
    <row r="1835" spans="1:16" s="28" customFormat="1" ht="34.5" hidden="1" customHeight="1" thickBot="1">
      <c r="A1835" s="37" t="s">
        <v>13</v>
      </c>
      <c r="B1835" s="36" t="s">
        <v>1</v>
      </c>
      <c r="C1835" s="34" t="s">
        <v>14</v>
      </c>
      <c r="D1835" s="32" t="s">
        <v>2</v>
      </c>
      <c r="J1835" s="27"/>
      <c r="K1835" s="27"/>
      <c r="L1835" s="27"/>
      <c r="M1835" s="27"/>
      <c r="N1835" s="27"/>
      <c r="O1835" s="27"/>
      <c r="P1835" s="27"/>
    </row>
    <row r="1836" spans="1:16" s="28" customFormat="1" ht="34.5" hidden="1" customHeight="1" thickBot="1">
      <c r="A1836" s="140">
        <v>0</v>
      </c>
      <c r="B1836" s="141"/>
      <c r="C1836" s="142" t="s">
        <v>3</v>
      </c>
      <c r="D1836" s="143"/>
      <c r="J1836" s="27"/>
      <c r="K1836" s="27"/>
      <c r="L1836" s="27"/>
      <c r="M1836" s="27"/>
      <c r="N1836" s="27"/>
      <c r="O1836" s="27"/>
      <c r="P1836" s="27"/>
    </row>
    <row r="1837" spans="1:16" s="28" customFormat="1" ht="34.5" hidden="1" customHeight="1" thickBot="1">
      <c r="A1837" s="140">
        <v>0</v>
      </c>
      <c r="B1837" s="141"/>
      <c r="C1837" s="144" t="s">
        <v>4</v>
      </c>
      <c r="D1837" s="145"/>
      <c r="J1837" s="27"/>
      <c r="K1837" s="27"/>
      <c r="L1837" s="27"/>
      <c r="M1837" s="27"/>
      <c r="N1837" s="27"/>
      <c r="O1837" s="27"/>
      <c r="P1837" s="27"/>
    </row>
    <row r="1838" spans="1:16" s="28" customFormat="1" ht="34.5" hidden="1" customHeight="1" thickBot="1">
      <c r="A1838" s="146">
        <f>A1837-A1836</f>
        <v>0</v>
      </c>
      <c r="B1838" s="147"/>
      <c r="C1838" s="148"/>
      <c r="D1838" s="35" t="s">
        <v>5</v>
      </c>
      <c r="J1838" s="27"/>
      <c r="K1838" s="27"/>
      <c r="L1838" s="27"/>
      <c r="M1838" s="27"/>
      <c r="N1838" s="27"/>
      <c r="O1838" s="27"/>
      <c r="P1838" s="27"/>
    </row>
    <row r="1839" spans="1:16" s="28" customFormat="1" ht="34.5" hidden="1" customHeight="1" thickBot="1">
      <c r="A1839" s="149">
        <v>50</v>
      </c>
      <c r="B1839" s="150"/>
      <c r="C1839" s="151"/>
      <c r="D1839" s="35" t="s">
        <v>6</v>
      </c>
      <c r="J1839" s="27"/>
      <c r="K1839" s="27"/>
      <c r="L1839" s="27"/>
      <c r="M1839" s="27"/>
      <c r="N1839" s="27"/>
      <c r="O1839" s="27"/>
      <c r="P1839" s="27"/>
    </row>
    <row r="1840" spans="1:16" s="28" customFormat="1" ht="34.5" hidden="1" customHeight="1" thickBot="1">
      <c r="A1840" s="144">
        <f>A1839*A1838</f>
        <v>0</v>
      </c>
      <c r="B1840" s="152"/>
      <c r="C1840" s="145"/>
      <c r="D1840" s="35" t="s">
        <v>7</v>
      </c>
      <c r="J1840" s="27"/>
      <c r="K1840" s="27"/>
      <c r="L1840" s="27"/>
      <c r="M1840" s="27"/>
      <c r="N1840" s="27"/>
      <c r="O1840" s="27"/>
      <c r="P1840" s="27"/>
    </row>
    <row r="1841" spans="1:16" s="28" customFormat="1" ht="34.5" hidden="1" customHeight="1" thickBot="1">
      <c r="A1841" s="144">
        <v>0</v>
      </c>
      <c r="B1841" s="152"/>
      <c r="C1841" s="145"/>
      <c r="D1841" s="35" t="s">
        <v>437</v>
      </c>
      <c r="J1841" s="27"/>
      <c r="K1841" s="27"/>
      <c r="L1841" s="27"/>
      <c r="M1841" s="27"/>
      <c r="N1841" s="27"/>
      <c r="O1841" s="27"/>
      <c r="P1841" s="27"/>
    </row>
    <row r="1842" spans="1:16" s="28" customFormat="1" ht="34.5" hidden="1" customHeight="1" thickBot="1">
      <c r="A1842" s="34">
        <v>0</v>
      </c>
      <c r="B1842" s="32" t="s">
        <v>8</v>
      </c>
      <c r="C1842" s="33">
        <v>1050</v>
      </c>
      <c r="D1842" s="32" t="s">
        <v>9</v>
      </c>
      <c r="J1842" s="27"/>
      <c r="K1842" s="27"/>
      <c r="L1842" s="27"/>
      <c r="M1842" s="27"/>
      <c r="N1842" s="27"/>
      <c r="O1842" s="27"/>
      <c r="P1842" s="27"/>
    </row>
    <row r="1843" spans="1:16" s="28" customFormat="1" ht="34.5" hidden="1" customHeight="1" thickBot="1">
      <c r="A1843" s="153" t="s">
        <v>436</v>
      </c>
      <c r="B1843" s="154"/>
      <c r="C1843" s="154"/>
      <c r="D1843" s="155"/>
      <c r="J1843" s="27"/>
      <c r="K1843" s="27"/>
      <c r="L1843" s="27"/>
      <c r="M1843" s="27"/>
      <c r="N1843" s="27"/>
      <c r="O1843" s="27"/>
      <c r="P1843" s="27"/>
    </row>
    <row r="1844" spans="1:16" s="28" customFormat="1" ht="34.5" hidden="1" customHeight="1" thickBot="1">
      <c r="A1844" s="156" t="s">
        <v>435</v>
      </c>
      <c r="B1844" s="157"/>
      <c r="C1844" s="157"/>
      <c r="D1844" s="158"/>
      <c r="J1844" s="27"/>
      <c r="K1844" s="27"/>
      <c r="L1844" s="27"/>
      <c r="M1844" s="27"/>
      <c r="N1844" s="27"/>
      <c r="O1844" s="27"/>
      <c r="P1844" s="27"/>
    </row>
    <row r="1845" spans="1:16" s="28" customFormat="1" ht="34.5" hidden="1" customHeight="1" thickBot="1">
      <c r="A1845" s="40"/>
      <c r="B1845" s="39"/>
      <c r="C1845" s="39"/>
      <c r="D1845" s="38"/>
      <c r="J1845" s="27"/>
      <c r="K1845" s="27"/>
      <c r="L1845" s="27"/>
      <c r="M1845" s="27"/>
      <c r="N1845" s="27"/>
      <c r="O1845" s="27"/>
      <c r="P1845" s="27"/>
    </row>
    <row r="1846" spans="1:16" s="28" customFormat="1" ht="34.5" hidden="1" customHeight="1">
      <c r="A1846" s="159" t="s">
        <v>442</v>
      </c>
      <c r="B1846" s="160" t="s">
        <v>441</v>
      </c>
      <c r="C1846" s="160"/>
      <c r="D1846" s="161"/>
      <c r="J1846" s="27"/>
      <c r="K1846" s="27"/>
      <c r="L1846" s="27"/>
      <c r="M1846" s="27"/>
      <c r="N1846" s="27"/>
      <c r="O1846" s="27"/>
      <c r="P1846" s="27"/>
    </row>
    <row r="1847" spans="1:16" s="28" customFormat="1" ht="34.5" hidden="1" customHeight="1" thickBot="1">
      <c r="A1847" s="162"/>
      <c r="B1847" s="163"/>
      <c r="C1847" s="163"/>
      <c r="D1847" s="164"/>
      <c r="J1847" s="27"/>
      <c r="K1847" s="27"/>
      <c r="L1847" s="27"/>
      <c r="M1847" s="27"/>
      <c r="N1847" s="27"/>
      <c r="O1847" s="27"/>
      <c r="P1847" s="27"/>
    </row>
    <row r="1848" spans="1:16" s="28" customFormat="1" ht="34.5" hidden="1" customHeight="1" thickBot="1">
      <c r="A1848" s="142" t="s">
        <v>11</v>
      </c>
      <c r="B1848" s="143"/>
      <c r="C1848" s="165" t="s">
        <v>12</v>
      </c>
      <c r="D1848" s="143"/>
      <c r="J1848" s="27"/>
      <c r="K1848" s="27"/>
      <c r="L1848" s="27"/>
      <c r="M1848" s="27"/>
      <c r="N1848" s="27"/>
      <c r="O1848" s="27"/>
      <c r="P1848" s="27"/>
    </row>
    <row r="1849" spans="1:16" s="28" customFormat="1" ht="34.5" hidden="1" customHeight="1" thickBot="1">
      <c r="A1849" s="137" t="s">
        <v>59</v>
      </c>
      <c r="B1849" s="138"/>
      <c r="C1849" s="138"/>
      <c r="D1849" s="139"/>
      <c r="J1849" s="27"/>
      <c r="K1849" s="27"/>
      <c r="L1849" s="27"/>
      <c r="M1849" s="27"/>
      <c r="N1849" s="27"/>
      <c r="O1849" s="27"/>
      <c r="P1849" s="27"/>
    </row>
    <row r="1850" spans="1:16" s="28" customFormat="1" ht="34.5" hidden="1" customHeight="1" thickBot="1">
      <c r="A1850" s="34" t="s">
        <v>458</v>
      </c>
      <c r="B1850" s="32" t="s">
        <v>438</v>
      </c>
      <c r="C1850" s="34">
        <v>60</v>
      </c>
      <c r="D1850" s="32" t="s">
        <v>0</v>
      </c>
      <c r="J1850" s="27"/>
      <c r="K1850" s="27"/>
      <c r="L1850" s="27"/>
      <c r="M1850" s="27"/>
      <c r="N1850" s="27"/>
      <c r="O1850" s="27"/>
      <c r="P1850" s="27"/>
    </row>
    <row r="1851" spans="1:16" s="28" customFormat="1" ht="34.5" hidden="1" customHeight="1" thickBot="1">
      <c r="A1851" s="37" t="s">
        <v>13</v>
      </c>
      <c r="B1851" s="36" t="s">
        <v>1</v>
      </c>
      <c r="C1851" s="34" t="s">
        <v>14</v>
      </c>
      <c r="D1851" s="32" t="s">
        <v>2</v>
      </c>
      <c r="J1851" s="27"/>
      <c r="K1851" s="27"/>
      <c r="L1851" s="27"/>
      <c r="M1851" s="27"/>
      <c r="N1851" s="27"/>
      <c r="O1851" s="27"/>
      <c r="P1851" s="27"/>
    </row>
    <row r="1852" spans="1:16" s="28" customFormat="1" ht="34.5" hidden="1" customHeight="1" thickBot="1">
      <c r="A1852" s="140">
        <v>0</v>
      </c>
      <c r="B1852" s="141"/>
      <c r="C1852" s="142" t="s">
        <v>3</v>
      </c>
      <c r="D1852" s="143"/>
      <c r="J1852" s="27"/>
      <c r="K1852" s="27"/>
      <c r="L1852" s="27"/>
      <c r="M1852" s="27"/>
      <c r="N1852" s="27"/>
      <c r="O1852" s="27"/>
      <c r="P1852" s="27"/>
    </row>
    <row r="1853" spans="1:16" s="28" customFormat="1" ht="34.5" hidden="1" customHeight="1" thickBot="1">
      <c r="A1853" s="140">
        <v>0</v>
      </c>
      <c r="B1853" s="141"/>
      <c r="C1853" s="144" t="s">
        <v>4</v>
      </c>
      <c r="D1853" s="145"/>
      <c r="J1853" s="27"/>
      <c r="K1853" s="27"/>
      <c r="L1853" s="27"/>
      <c r="M1853" s="27"/>
      <c r="N1853" s="27"/>
      <c r="O1853" s="27"/>
      <c r="P1853" s="27"/>
    </row>
    <row r="1854" spans="1:16" s="28" customFormat="1" ht="34.5" hidden="1" customHeight="1" thickBot="1">
      <c r="A1854" s="146">
        <f>A1853-A1852</f>
        <v>0</v>
      </c>
      <c r="B1854" s="147"/>
      <c r="C1854" s="148"/>
      <c r="D1854" s="35" t="s">
        <v>5</v>
      </c>
      <c r="J1854" s="27"/>
      <c r="K1854" s="27"/>
      <c r="L1854" s="27"/>
      <c r="M1854" s="27"/>
      <c r="N1854" s="27"/>
      <c r="O1854" s="27"/>
      <c r="P1854" s="27"/>
    </row>
    <row r="1855" spans="1:16" s="28" customFormat="1" ht="34.5" hidden="1" customHeight="1" thickBot="1">
      <c r="A1855" s="149">
        <v>50</v>
      </c>
      <c r="B1855" s="150"/>
      <c r="C1855" s="151"/>
      <c r="D1855" s="35" t="s">
        <v>6</v>
      </c>
      <c r="J1855" s="27"/>
      <c r="K1855" s="27"/>
      <c r="L1855" s="27"/>
      <c r="M1855" s="27"/>
      <c r="N1855" s="27"/>
      <c r="O1855" s="27"/>
      <c r="P1855" s="27"/>
    </row>
    <row r="1856" spans="1:16" s="28" customFormat="1" ht="34.5" hidden="1" customHeight="1" thickBot="1">
      <c r="A1856" s="144">
        <f>A1855*A1854</f>
        <v>0</v>
      </c>
      <c r="B1856" s="152"/>
      <c r="C1856" s="145"/>
      <c r="D1856" s="35" t="s">
        <v>7</v>
      </c>
      <c r="J1856" s="27"/>
      <c r="K1856" s="27"/>
      <c r="L1856" s="27"/>
      <c r="M1856" s="27"/>
      <c r="N1856" s="27"/>
      <c r="O1856" s="27"/>
      <c r="P1856" s="27"/>
    </row>
    <row r="1857" spans="1:16" s="28" customFormat="1" ht="34.5" hidden="1" customHeight="1" thickBot="1">
      <c r="A1857" s="144">
        <v>0</v>
      </c>
      <c r="B1857" s="152"/>
      <c r="C1857" s="145"/>
      <c r="D1857" s="35" t="s">
        <v>437</v>
      </c>
      <c r="J1857" s="27"/>
      <c r="K1857" s="27"/>
      <c r="L1857" s="27"/>
      <c r="M1857" s="27"/>
      <c r="N1857" s="27"/>
      <c r="O1857" s="27"/>
      <c r="P1857" s="27"/>
    </row>
    <row r="1858" spans="1:16" s="28" customFormat="1" ht="34.5" hidden="1" customHeight="1" thickBot="1">
      <c r="A1858" s="34">
        <v>0</v>
      </c>
      <c r="B1858" s="32" t="s">
        <v>8</v>
      </c>
      <c r="C1858" s="33">
        <v>1050</v>
      </c>
      <c r="D1858" s="32" t="s">
        <v>9</v>
      </c>
      <c r="J1858" s="27"/>
      <c r="K1858" s="27"/>
      <c r="L1858" s="27"/>
      <c r="M1858" s="27"/>
      <c r="N1858" s="27"/>
      <c r="O1858" s="27"/>
      <c r="P1858" s="27"/>
    </row>
    <row r="1859" spans="1:16" s="28" customFormat="1" ht="34.5" hidden="1" customHeight="1" thickBot="1">
      <c r="A1859" s="153" t="s">
        <v>436</v>
      </c>
      <c r="B1859" s="154"/>
      <c r="C1859" s="154"/>
      <c r="D1859" s="155"/>
      <c r="J1859" s="27"/>
      <c r="K1859" s="27"/>
      <c r="L1859" s="27"/>
      <c r="M1859" s="27"/>
      <c r="N1859" s="27"/>
      <c r="O1859" s="27"/>
      <c r="P1859" s="27"/>
    </row>
    <row r="1860" spans="1:16" s="28" customFormat="1" ht="34.5" hidden="1" customHeight="1" thickBot="1">
      <c r="A1860" s="156" t="s">
        <v>435</v>
      </c>
      <c r="B1860" s="157"/>
      <c r="C1860" s="157"/>
      <c r="D1860" s="158"/>
      <c r="J1860" s="27"/>
      <c r="K1860" s="27"/>
      <c r="L1860" s="27"/>
      <c r="M1860" s="27"/>
      <c r="N1860" s="27"/>
      <c r="O1860" s="27"/>
      <c r="P1860" s="27"/>
    </row>
    <row r="1861" spans="1:16" s="28" customFormat="1" ht="34.5" hidden="1" customHeight="1">
      <c r="A1861" s="159" t="s">
        <v>441</v>
      </c>
      <c r="B1861" s="160"/>
      <c r="C1861" s="160"/>
      <c r="D1861" s="161"/>
      <c r="J1861" s="27"/>
      <c r="K1861" s="27"/>
      <c r="L1861" s="27"/>
      <c r="M1861" s="27"/>
      <c r="N1861" s="27"/>
      <c r="O1861" s="27"/>
      <c r="P1861" s="27"/>
    </row>
    <row r="1862" spans="1:16" s="28" customFormat="1" ht="34.5" hidden="1" customHeight="1" thickBot="1">
      <c r="A1862" s="162"/>
      <c r="B1862" s="163"/>
      <c r="C1862" s="163"/>
      <c r="D1862" s="164"/>
      <c r="J1862" s="27"/>
      <c r="K1862" s="27"/>
      <c r="L1862" s="27"/>
      <c r="M1862" s="27"/>
      <c r="N1862" s="27"/>
      <c r="O1862" s="27"/>
      <c r="P1862" s="27"/>
    </row>
    <row r="1863" spans="1:16" s="28" customFormat="1" ht="34.5" hidden="1" customHeight="1" thickBot="1">
      <c r="A1863" s="142" t="s">
        <v>11</v>
      </c>
      <c r="B1863" s="143"/>
      <c r="C1863" s="165" t="s">
        <v>12</v>
      </c>
      <c r="D1863" s="143"/>
      <c r="J1863" s="27"/>
      <c r="K1863" s="27"/>
      <c r="L1863" s="27"/>
      <c r="M1863" s="27"/>
      <c r="N1863" s="27"/>
      <c r="O1863" s="27"/>
      <c r="P1863" s="27"/>
    </row>
    <row r="1864" spans="1:16" s="28" customFormat="1" ht="34.5" hidden="1" customHeight="1" thickBot="1">
      <c r="A1864" s="137" t="s">
        <v>457</v>
      </c>
      <c r="B1864" s="138"/>
      <c r="C1864" s="138"/>
      <c r="D1864" s="139"/>
      <c r="J1864" s="27"/>
      <c r="K1864" s="27"/>
      <c r="L1864" s="27"/>
      <c r="M1864" s="27"/>
      <c r="N1864" s="27"/>
      <c r="O1864" s="27"/>
      <c r="P1864" s="27"/>
    </row>
    <row r="1865" spans="1:16" s="28" customFormat="1" ht="34.5" hidden="1" customHeight="1" thickBot="1">
      <c r="A1865" s="34" t="s">
        <v>447</v>
      </c>
      <c r="B1865" s="32" t="s">
        <v>438</v>
      </c>
      <c r="C1865" s="34"/>
      <c r="D1865" s="32" t="s">
        <v>0</v>
      </c>
      <c r="J1865" s="27"/>
      <c r="K1865" s="27"/>
      <c r="L1865" s="27"/>
      <c r="M1865" s="27"/>
      <c r="N1865" s="27"/>
      <c r="O1865" s="27"/>
      <c r="P1865" s="27"/>
    </row>
    <row r="1866" spans="1:16" s="28" customFormat="1" ht="34.5" hidden="1" customHeight="1" thickBot="1">
      <c r="A1866" s="37" t="s">
        <v>13</v>
      </c>
      <c r="B1866" s="36" t="s">
        <v>1</v>
      </c>
      <c r="C1866" s="34" t="s">
        <v>14</v>
      </c>
      <c r="D1866" s="32" t="s">
        <v>2</v>
      </c>
      <c r="J1866" s="27"/>
      <c r="K1866" s="27"/>
      <c r="L1866" s="27"/>
      <c r="M1866" s="27"/>
      <c r="N1866" s="27"/>
      <c r="O1866" s="27"/>
      <c r="P1866" s="27"/>
    </row>
    <row r="1867" spans="1:16" s="28" customFormat="1" ht="34.5" hidden="1" customHeight="1" thickBot="1">
      <c r="A1867" s="140">
        <v>105</v>
      </c>
      <c r="B1867" s="141"/>
      <c r="C1867" s="142" t="s">
        <v>3</v>
      </c>
      <c r="D1867" s="143"/>
      <c r="J1867" s="27"/>
      <c r="K1867" s="27"/>
      <c r="L1867" s="27"/>
      <c r="M1867" s="27"/>
      <c r="N1867" s="27"/>
      <c r="O1867" s="27"/>
      <c r="P1867" s="27"/>
    </row>
    <row r="1868" spans="1:16" s="28" customFormat="1" ht="34.5" hidden="1" customHeight="1" thickBot="1">
      <c r="A1868" s="140">
        <v>142</v>
      </c>
      <c r="B1868" s="141"/>
      <c r="C1868" s="144" t="s">
        <v>4</v>
      </c>
      <c r="D1868" s="145"/>
      <c r="J1868" s="27"/>
      <c r="K1868" s="27"/>
      <c r="L1868" s="27"/>
      <c r="M1868" s="27"/>
      <c r="N1868" s="27"/>
      <c r="O1868" s="27"/>
      <c r="P1868" s="27"/>
    </row>
    <row r="1869" spans="1:16" s="28" customFormat="1" ht="34.5" hidden="1" customHeight="1" thickBot="1">
      <c r="A1869" s="146">
        <f>A1868-A1867</f>
        <v>37</v>
      </c>
      <c r="B1869" s="147"/>
      <c r="C1869" s="148"/>
      <c r="D1869" s="35" t="s">
        <v>5</v>
      </c>
      <c r="J1869" s="27"/>
      <c r="K1869" s="27"/>
      <c r="L1869" s="27"/>
      <c r="M1869" s="27"/>
      <c r="N1869" s="27"/>
      <c r="O1869" s="27"/>
      <c r="P1869" s="27"/>
    </row>
    <row r="1870" spans="1:16" s="28" customFormat="1" ht="34.5" hidden="1" customHeight="1" thickBot="1">
      <c r="A1870" s="149">
        <v>50</v>
      </c>
      <c r="B1870" s="150"/>
      <c r="C1870" s="151"/>
      <c r="D1870" s="35" t="s">
        <v>6</v>
      </c>
      <c r="J1870" s="27"/>
      <c r="K1870" s="27"/>
      <c r="L1870" s="27"/>
      <c r="M1870" s="27"/>
      <c r="N1870" s="27"/>
      <c r="O1870" s="27"/>
      <c r="P1870" s="27"/>
    </row>
    <row r="1871" spans="1:16" s="28" customFormat="1" ht="34.5" hidden="1" customHeight="1" thickBot="1">
      <c r="A1871" s="144">
        <f>A1870*A1869</f>
        <v>1850</v>
      </c>
      <c r="B1871" s="152"/>
      <c r="C1871" s="145"/>
      <c r="D1871" s="35" t="s">
        <v>7</v>
      </c>
      <c r="J1871" s="27"/>
      <c r="K1871" s="27"/>
      <c r="L1871" s="27"/>
      <c r="M1871" s="27"/>
      <c r="N1871" s="27"/>
      <c r="O1871" s="27"/>
      <c r="P1871" s="27"/>
    </row>
    <row r="1872" spans="1:16" s="28" customFormat="1" ht="34.5" hidden="1" customHeight="1" thickBot="1">
      <c r="A1872" s="144">
        <v>0</v>
      </c>
      <c r="B1872" s="152"/>
      <c r="C1872" s="145"/>
      <c r="D1872" s="35" t="s">
        <v>437</v>
      </c>
      <c r="J1872" s="27"/>
      <c r="K1872" s="27"/>
      <c r="L1872" s="27"/>
      <c r="M1872" s="27"/>
      <c r="N1872" s="27"/>
      <c r="O1872" s="27"/>
      <c r="P1872" s="27"/>
    </row>
    <row r="1873" spans="1:16" s="28" customFormat="1" ht="34.5" hidden="1" customHeight="1" thickBot="1">
      <c r="A1873" s="34">
        <v>0</v>
      </c>
      <c r="B1873" s="32" t="s">
        <v>8</v>
      </c>
      <c r="C1873" s="33">
        <v>1850</v>
      </c>
      <c r="D1873" s="32" t="s">
        <v>9</v>
      </c>
      <c r="J1873" s="27"/>
      <c r="K1873" s="27"/>
      <c r="L1873" s="27"/>
      <c r="M1873" s="27"/>
      <c r="N1873" s="27"/>
      <c r="O1873" s="27"/>
      <c r="P1873" s="27"/>
    </row>
    <row r="1874" spans="1:16" s="28" customFormat="1" ht="34.5" hidden="1" customHeight="1" thickBot="1">
      <c r="A1874" s="153" t="s">
        <v>436</v>
      </c>
      <c r="B1874" s="154"/>
      <c r="C1874" s="154"/>
      <c r="D1874" s="155"/>
      <c r="J1874" s="27"/>
      <c r="K1874" s="27"/>
      <c r="L1874" s="27"/>
      <c r="M1874" s="27"/>
      <c r="N1874" s="27"/>
      <c r="O1874" s="27"/>
      <c r="P1874" s="27"/>
    </row>
    <row r="1875" spans="1:16" s="28" customFormat="1" ht="34.5" hidden="1" customHeight="1" thickBot="1">
      <c r="A1875" s="156" t="s">
        <v>435</v>
      </c>
      <c r="B1875" s="157"/>
      <c r="C1875" s="157"/>
      <c r="D1875" s="158"/>
      <c r="J1875" s="27"/>
      <c r="K1875" s="27"/>
      <c r="L1875" s="27"/>
      <c r="M1875" s="27"/>
      <c r="N1875" s="27"/>
      <c r="O1875" s="27"/>
      <c r="P1875" s="27"/>
    </row>
    <row r="1876" spans="1:16" s="28" customFormat="1" ht="34.5" hidden="1" customHeight="1" thickBot="1">
      <c r="A1876" s="40"/>
      <c r="B1876" s="39"/>
      <c r="C1876" s="39"/>
      <c r="D1876" s="38"/>
      <c r="J1876" s="27"/>
      <c r="K1876" s="27"/>
      <c r="L1876" s="27"/>
      <c r="M1876" s="27"/>
      <c r="N1876" s="27"/>
      <c r="O1876" s="27"/>
      <c r="P1876" s="27"/>
    </row>
    <row r="1877" spans="1:16" s="28" customFormat="1" ht="34.5" hidden="1" customHeight="1">
      <c r="A1877" s="159" t="s">
        <v>442</v>
      </c>
      <c r="B1877" s="160" t="s">
        <v>441</v>
      </c>
      <c r="C1877" s="160"/>
      <c r="D1877" s="161"/>
      <c r="J1877" s="27"/>
      <c r="K1877" s="27"/>
      <c r="L1877" s="27"/>
      <c r="M1877" s="27"/>
      <c r="N1877" s="27"/>
      <c r="O1877" s="27"/>
      <c r="P1877" s="27"/>
    </row>
    <row r="1878" spans="1:16" s="28" customFormat="1" ht="34.5" hidden="1" customHeight="1" thickBot="1">
      <c r="A1878" s="162"/>
      <c r="B1878" s="163"/>
      <c r="C1878" s="163"/>
      <c r="D1878" s="164"/>
      <c r="J1878" s="27"/>
      <c r="K1878" s="27"/>
      <c r="L1878" s="27"/>
      <c r="M1878" s="27"/>
      <c r="N1878" s="27"/>
      <c r="O1878" s="27"/>
      <c r="P1878" s="27"/>
    </row>
    <row r="1879" spans="1:16" s="28" customFormat="1" ht="34.5" hidden="1" customHeight="1" thickBot="1">
      <c r="A1879" s="142" t="s">
        <v>11</v>
      </c>
      <c r="B1879" s="143"/>
      <c r="C1879" s="165" t="s">
        <v>12</v>
      </c>
      <c r="D1879" s="143"/>
      <c r="J1879" s="27"/>
      <c r="K1879" s="27"/>
      <c r="L1879" s="27"/>
      <c r="M1879" s="27"/>
      <c r="N1879" s="27"/>
      <c r="O1879" s="27"/>
      <c r="P1879" s="27"/>
    </row>
    <row r="1880" spans="1:16" s="28" customFormat="1" ht="34.5" hidden="1" customHeight="1" thickBot="1">
      <c r="A1880" s="137" t="s">
        <v>457</v>
      </c>
      <c r="B1880" s="138"/>
      <c r="C1880" s="138"/>
      <c r="D1880" s="139"/>
      <c r="J1880" s="27"/>
      <c r="K1880" s="27"/>
      <c r="L1880" s="27"/>
      <c r="M1880" s="27"/>
      <c r="N1880" s="27"/>
      <c r="O1880" s="27"/>
      <c r="P1880" s="27"/>
    </row>
    <row r="1881" spans="1:16" s="28" customFormat="1" ht="34.5" hidden="1" customHeight="1" thickBot="1">
      <c r="A1881" s="34" t="s">
        <v>447</v>
      </c>
      <c r="B1881" s="32" t="s">
        <v>438</v>
      </c>
      <c r="C1881" s="34"/>
      <c r="D1881" s="32" t="s">
        <v>0</v>
      </c>
      <c r="J1881" s="27"/>
      <c r="K1881" s="27"/>
      <c r="L1881" s="27"/>
      <c r="M1881" s="27"/>
      <c r="N1881" s="27"/>
      <c r="O1881" s="27"/>
      <c r="P1881" s="27"/>
    </row>
    <row r="1882" spans="1:16" s="28" customFormat="1" ht="34.5" hidden="1" customHeight="1" thickBot="1">
      <c r="A1882" s="37" t="s">
        <v>13</v>
      </c>
      <c r="B1882" s="36" t="s">
        <v>1</v>
      </c>
      <c r="C1882" s="34" t="s">
        <v>14</v>
      </c>
      <c r="D1882" s="32" t="s">
        <v>2</v>
      </c>
      <c r="J1882" s="27"/>
      <c r="K1882" s="27"/>
      <c r="L1882" s="27"/>
      <c r="M1882" s="27"/>
      <c r="N1882" s="27"/>
      <c r="O1882" s="27"/>
      <c r="P1882" s="27"/>
    </row>
    <row r="1883" spans="1:16" s="28" customFormat="1" ht="34.5" hidden="1" customHeight="1" thickBot="1">
      <c r="A1883" s="140">
        <v>105</v>
      </c>
      <c r="B1883" s="141"/>
      <c r="C1883" s="142" t="s">
        <v>3</v>
      </c>
      <c r="D1883" s="143"/>
      <c r="J1883" s="27"/>
      <c r="K1883" s="27"/>
      <c r="L1883" s="27"/>
      <c r="M1883" s="27"/>
      <c r="N1883" s="27"/>
      <c r="O1883" s="27"/>
      <c r="P1883" s="27"/>
    </row>
    <row r="1884" spans="1:16" s="28" customFormat="1" ht="34.5" hidden="1" customHeight="1" thickBot="1">
      <c r="A1884" s="140">
        <v>142</v>
      </c>
      <c r="B1884" s="141"/>
      <c r="C1884" s="144" t="s">
        <v>4</v>
      </c>
      <c r="D1884" s="145"/>
      <c r="J1884" s="27"/>
      <c r="K1884" s="27"/>
      <c r="L1884" s="27"/>
      <c r="M1884" s="27"/>
      <c r="N1884" s="27"/>
      <c r="O1884" s="27"/>
      <c r="P1884" s="27"/>
    </row>
    <row r="1885" spans="1:16" s="28" customFormat="1" ht="34.5" hidden="1" customHeight="1" thickBot="1">
      <c r="A1885" s="146">
        <f>A1884-A1883</f>
        <v>37</v>
      </c>
      <c r="B1885" s="147"/>
      <c r="C1885" s="148"/>
      <c r="D1885" s="35" t="s">
        <v>5</v>
      </c>
      <c r="J1885" s="27"/>
      <c r="K1885" s="27"/>
      <c r="L1885" s="27"/>
      <c r="M1885" s="27"/>
      <c r="N1885" s="27"/>
      <c r="O1885" s="27"/>
      <c r="P1885" s="27"/>
    </row>
    <row r="1886" spans="1:16" s="28" customFormat="1" ht="34.5" hidden="1" customHeight="1" thickBot="1">
      <c r="A1886" s="149">
        <v>50</v>
      </c>
      <c r="B1886" s="150"/>
      <c r="C1886" s="151"/>
      <c r="D1886" s="35" t="s">
        <v>6</v>
      </c>
      <c r="J1886" s="27"/>
      <c r="K1886" s="27"/>
      <c r="L1886" s="27"/>
      <c r="M1886" s="27"/>
      <c r="N1886" s="27"/>
      <c r="O1886" s="27"/>
      <c r="P1886" s="27"/>
    </row>
    <row r="1887" spans="1:16" s="28" customFormat="1" ht="34.5" hidden="1" customHeight="1" thickBot="1">
      <c r="A1887" s="144">
        <f>A1886*A1885</f>
        <v>1850</v>
      </c>
      <c r="B1887" s="152"/>
      <c r="C1887" s="145"/>
      <c r="D1887" s="35" t="s">
        <v>7</v>
      </c>
      <c r="J1887" s="27"/>
      <c r="K1887" s="27"/>
      <c r="L1887" s="27"/>
      <c r="M1887" s="27"/>
      <c r="N1887" s="27"/>
      <c r="O1887" s="27"/>
      <c r="P1887" s="27"/>
    </row>
    <row r="1888" spans="1:16" s="28" customFormat="1" ht="34.5" hidden="1" customHeight="1" thickBot="1">
      <c r="A1888" s="144">
        <v>0</v>
      </c>
      <c r="B1888" s="152"/>
      <c r="C1888" s="145"/>
      <c r="D1888" s="35" t="s">
        <v>437</v>
      </c>
      <c r="J1888" s="27"/>
      <c r="K1888" s="27"/>
      <c r="L1888" s="27"/>
      <c r="M1888" s="27"/>
      <c r="N1888" s="27"/>
      <c r="O1888" s="27"/>
      <c r="P1888" s="27"/>
    </row>
    <row r="1889" spans="1:16" s="28" customFormat="1" ht="34.5" hidden="1" customHeight="1" thickBot="1">
      <c r="A1889" s="34">
        <v>0</v>
      </c>
      <c r="B1889" s="32" t="s">
        <v>8</v>
      </c>
      <c r="C1889" s="33">
        <v>1850</v>
      </c>
      <c r="D1889" s="32" t="s">
        <v>9</v>
      </c>
      <c r="J1889" s="27"/>
      <c r="K1889" s="27"/>
      <c r="L1889" s="27"/>
      <c r="M1889" s="27"/>
      <c r="N1889" s="27"/>
      <c r="O1889" s="27"/>
      <c r="P1889" s="27"/>
    </row>
    <row r="1890" spans="1:16" s="28" customFormat="1" ht="34.5" hidden="1" customHeight="1" thickBot="1">
      <c r="A1890" s="153" t="s">
        <v>436</v>
      </c>
      <c r="B1890" s="154"/>
      <c r="C1890" s="154"/>
      <c r="D1890" s="155"/>
      <c r="J1890" s="27"/>
      <c r="K1890" s="27"/>
      <c r="L1890" s="27"/>
      <c r="M1890" s="27"/>
      <c r="N1890" s="27"/>
      <c r="O1890" s="27"/>
      <c r="P1890" s="27"/>
    </row>
    <row r="1891" spans="1:16" s="28" customFormat="1" ht="34.5" hidden="1" customHeight="1" thickBot="1">
      <c r="A1891" s="156" t="s">
        <v>435</v>
      </c>
      <c r="B1891" s="157"/>
      <c r="C1891" s="157"/>
      <c r="D1891" s="158"/>
      <c r="J1891" s="27"/>
      <c r="K1891" s="27"/>
      <c r="L1891" s="27"/>
      <c r="M1891" s="27"/>
      <c r="N1891" s="27"/>
      <c r="O1891" s="27"/>
      <c r="P1891" s="27"/>
    </row>
    <row r="1892" spans="1:16" s="28" customFormat="1" ht="34.5" hidden="1" customHeight="1">
      <c r="A1892" s="159" t="s">
        <v>442</v>
      </c>
      <c r="B1892" s="160" t="s">
        <v>441</v>
      </c>
      <c r="C1892" s="160"/>
      <c r="D1892" s="161"/>
      <c r="J1892" s="27"/>
      <c r="K1892" s="27"/>
      <c r="L1892" s="27"/>
      <c r="M1892" s="27"/>
      <c r="N1892" s="27"/>
      <c r="O1892" s="27"/>
      <c r="P1892" s="27"/>
    </row>
    <row r="1893" spans="1:16" s="28" customFormat="1" ht="34.5" hidden="1" customHeight="1" thickBot="1">
      <c r="A1893" s="162"/>
      <c r="B1893" s="163"/>
      <c r="C1893" s="163"/>
      <c r="D1893" s="164"/>
      <c r="J1893" s="27"/>
      <c r="K1893" s="27"/>
      <c r="L1893" s="27"/>
      <c r="M1893" s="27"/>
      <c r="N1893" s="27"/>
      <c r="O1893" s="27"/>
      <c r="P1893" s="27"/>
    </row>
    <row r="1894" spans="1:16" s="28" customFormat="1" ht="34.5" hidden="1" customHeight="1" thickBot="1">
      <c r="A1894" s="142" t="s">
        <v>11</v>
      </c>
      <c r="B1894" s="143"/>
      <c r="C1894" s="165" t="s">
        <v>12</v>
      </c>
      <c r="D1894" s="143"/>
      <c r="J1894" s="27"/>
      <c r="K1894" s="27"/>
      <c r="L1894" s="27"/>
      <c r="M1894" s="27"/>
      <c r="N1894" s="27"/>
      <c r="O1894" s="27"/>
      <c r="P1894" s="27"/>
    </row>
    <row r="1895" spans="1:16" s="28" customFormat="1" ht="34.5" hidden="1" customHeight="1" thickBot="1">
      <c r="A1895" s="137" t="s">
        <v>456</v>
      </c>
      <c r="B1895" s="138"/>
      <c r="C1895" s="138"/>
      <c r="D1895" s="139"/>
      <c r="J1895" s="27"/>
      <c r="K1895" s="27"/>
      <c r="L1895" s="27"/>
      <c r="M1895" s="27"/>
      <c r="N1895" s="27"/>
      <c r="O1895" s="27"/>
      <c r="P1895" s="27"/>
    </row>
    <row r="1896" spans="1:16" s="28" customFormat="1" ht="34.5" hidden="1" customHeight="1" thickBot="1">
      <c r="A1896" s="34" t="s">
        <v>447</v>
      </c>
      <c r="B1896" s="32" t="s">
        <v>438</v>
      </c>
      <c r="C1896" s="34"/>
      <c r="D1896" s="32" t="s">
        <v>0</v>
      </c>
      <c r="J1896" s="27"/>
      <c r="K1896" s="27"/>
      <c r="L1896" s="27"/>
      <c r="M1896" s="27"/>
      <c r="N1896" s="27"/>
      <c r="O1896" s="27"/>
      <c r="P1896" s="27"/>
    </row>
    <row r="1897" spans="1:16" s="28" customFormat="1" ht="34.5" hidden="1" customHeight="1" thickBot="1">
      <c r="A1897" s="37" t="s">
        <v>13</v>
      </c>
      <c r="B1897" s="36" t="s">
        <v>1</v>
      </c>
      <c r="C1897" s="34" t="s">
        <v>14</v>
      </c>
      <c r="D1897" s="32" t="s">
        <v>2</v>
      </c>
      <c r="J1897" s="27"/>
      <c r="K1897" s="27"/>
      <c r="L1897" s="27"/>
      <c r="M1897" s="27"/>
      <c r="N1897" s="27"/>
      <c r="O1897" s="27"/>
      <c r="P1897" s="27"/>
    </row>
    <row r="1898" spans="1:16" s="28" customFormat="1" ht="34.5" hidden="1" customHeight="1" thickBot="1">
      <c r="A1898" s="140">
        <v>243</v>
      </c>
      <c r="B1898" s="141"/>
      <c r="C1898" s="142" t="s">
        <v>3</v>
      </c>
      <c r="D1898" s="143"/>
      <c r="J1898" s="27"/>
      <c r="K1898" s="27"/>
      <c r="L1898" s="27"/>
      <c r="M1898" s="27"/>
      <c r="N1898" s="27"/>
      <c r="O1898" s="27"/>
      <c r="P1898" s="27"/>
    </row>
    <row r="1899" spans="1:16" s="28" customFormat="1" ht="34.5" hidden="1" customHeight="1" thickBot="1">
      <c r="A1899" s="140">
        <v>325</v>
      </c>
      <c r="B1899" s="141"/>
      <c r="C1899" s="144" t="s">
        <v>4</v>
      </c>
      <c r="D1899" s="145"/>
      <c r="J1899" s="27"/>
      <c r="K1899" s="27"/>
      <c r="L1899" s="27"/>
      <c r="M1899" s="27"/>
      <c r="N1899" s="27"/>
      <c r="O1899" s="27"/>
      <c r="P1899" s="27"/>
    </row>
    <row r="1900" spans="1:16" s="28" customFormat="1" ht="34.5" hidden="1" customHeight="1" thickBot="1">
      <c r="A1900" s="146">
        <f>A1899-A1898</f>
        <v>82</v>
      </c>
      <c r="B1900" s="147"/>
      <c r="C1900" s="148"/>
      <c r="D1900" s="35" t="s">
        <v>5</v>
      </c>
      <c r="J1900" s="27"/>
      <c r="K1900" s="27"/>
      <c r="L1900" s="27"/>
      <c r="M1900" s="27"/>
      <c r="N1900" s="27"/>
      <c r="O1900" s="27"/>
      <c r="P1900" s="27"/>
    </row>
    <row r="1901" spans="1:16" s="28" customFormat="1" ht="34.5" hidden="1" customHeight="1" thickBot="1">
      <c r="A1901" s="149">
        <v>50</v>
      </c>
      <c r="B1901" s="150"/>
      <c r="C1901" s="151"/>
      <c r="D1901" s="35" t="s">
        <v>6</v>
      </c>
      <c r="J1901" s="27"/>
      <c r="K1901" s="27"/>
      <c r="L1901" s="27"/>
      <c r="M1901" s="27"/>
      <c r="N1901" s="27"/>
      <c r="O1901" s="27"/>
      <c r="P1901" s="27"/>
    </row>
    <row r="1902" spans="1:16" s="28" customFormat="1" ht="34.5" hidden="1" customHeight="1" thickBot="1">
      <c r="A1902" s="144">
        <f>A1901*A1900</f>
        <v>4100</v>
      </c>
      <c r="B1902" s="152"/>
      <c r="C1902" s="145"/>
      <c r="D1902" s="35" t="s">
        <v>7</v>
      </c>
      <c r="J1902" s="27"/>
      <c r="K1902" s="27"/>
      <c r="L1902" s="27"/>
      <c r="M1902" s="27"/>
      <c r="N1902" s="27"/>
      <c r="O1902" s="27"/>
      <c r="P1902" s="27"/>
    </row>
    <row r="1903" spans="1:16" s="28" customFormat="1" ht="34.5" hidden="1" customHeight="1" thickBot="1">
      <c r="A1903" s="144">
        <v>0</v>
      </c>
      <c r="B1903" s="152"/>
      <c r="C1903" s="145"/>
      <c r="D1903" s="35" t="s">
        <v>437</v>
      </c>
      <c r="J1903" s="27"/>
      <c r="K1903" s="27"/>
      <c r="L1903" s="27"/>
      <c r="M1903" s="27"/>
      <c r="N1903" s="27"/>
      <c r="O1903" s="27"/>
      <c r="P1903" s="27"/>
    </row>
    <row r="1904" spans="1:16" s="28" customFormat="1" ht="34.5" hidden="1" customHeight="1" thickBot="1">
      <c r="A1904" s="34">
        <v>0</v>
      </c>
      <c r="B1904" s="32" t="s">
        <v>8</v>
      </c>
      <c r="C1904" s="33">
        <v>4100</v>
      </c>
      <c r="D1904" s="32" t="s">
        <v>9</v>
      </c>
      <c r="J1904" s="27"/>
      <c r="K1904" s="27"/>
      <c r="L1904" s="27"/>
      <c r="M1904" s="27"/>
      <c r="N1904" s="27"/>
      <c r="O1904" s="27"/>
      <c r="P1904" s="27"/>
    </row>
    <row r="1905" spans="1:16" s="28" customFormat="1" ht="34.5" hidden="1" customHeight="1" thickBot="1">
      <c r="A1905" s="153" t="s">
        <v>436</v>
      </c>
      <c r="B1905" s="154"/>
      <c r="C1905" s="154"/>
      <c r="D1905" s="155"/>
      <c r="J1905" s="27"/>
      <c r="K1905" s="27"/>
      <c r="L1905" s="27"/>
      <c r="M1905" s="27"/>
      <c r="N1905" s="27"/>
      <c r="O1905" s="27"/>
      <c r="P1905" s="27"/>
    </row>
    <row r="1906" spans="1:16" s="28" customFormat="1" ht="34.5" hidden="1" customHeight="1" thickBot="1">
      <c r="A1906" s="156" t="s">
        <v>435</v>
      </c>
      <c r="B1906" s="157"/>
      <c r="C1906" s="157"/>
      <c r="D1906" s="158"/>
      <c r="J1906" s="27"/>
      <c r="K1906" s="27"/>
      <c r="L1906" s="27"/>
      <c r="M1906" s="27"/>
      <c r="N1906" s="27"/>
      <c r="O1906" s="27"/>
      <c r="P1906" s="27"/>
    </row>
    <row r="1907" spans="1:16" s="28" customFormat="1" ht="34.5" hidden="1" customHeight="1" thickBot="1">
      <c r="A1907" s="40"/>
      <c r="B1907" s="39"/>
      <c r="C1907" s="39"/>
      <c r="D1907" s="38"/>
      <c r="J1907" s="27"/>
      <c r="K1907" s="27"/>
      <c r="L1907" s="27"/>
      <c r="M1907" s="27"/>
      <c r="N1907" s="27"/>
      <c r="O1907" s="27"/>
      <c r="P1907" s="27"/>
    </row>
    <row r="1908" spans="1:16" s="28" customFormat="1" ht="34.5" hidden="1" customHeight="1">
      <c r="A1908" s="159" t="s">
        <v>441</v>
      </c>
      <c r="B1908" s="160"/>
      <c r="C1908" s="160"/>
      <c r="D1908" s="161"/>
      <c r="J1908" s="27"/>
      <c r="K1908" s="27"/>
      <c r="L1908" s="27"/>
      <c r="M1908" s="27"/>
      <c r="N1908" s="27"/>
      <c r="O1908" s="27"/>
      <c r="P1908" s="27"/>
    </row>
    <row r="1909" spans="1:16" s="28" customFormat="1" ht="34.5" hidden="1" customHeight="1" thickBot="1">
      <c r="A1909" s="162"/>
      <c r="B1909" s="163"/>
      <c r="C1909" s="163"/>
      <c r="D1909" s="164"/>
      <c r="J1909" s="27"/>
      <c r="K1909" s="27"/>
      <c r="L1909" s="27"/>
      <c r="M1909" s="27"/>
      <c r="N1909" s="27"/>
      <c r="O1909" s="27"/>
      <c r="P1909" s="27"/>
    </row>
    <row r="1910" spans="1:16" s="28" customFormat="1" ht="34.5" hidden="1" customHeight="1" thickBot="1">
      <c r="A1910" s="142" t="s">
        <v>11</v>
      </c>
      <c r="B1910" s="143"/>
      <c r="C1910" s="165" t="s">
        <v>12</v>
      </c>
      <c r="D1910" s="143"/>
      <c r="J1910" s="27"/>
      <c r="K1910" s="27"/>
      <c r="L1910" s="27"/>
      <c r="M1910" s="27"/>
      <c r="N1910" s="27"/>
      <c r="O1910" s="27"/>
      <c r="P1910" s="27"/>
    </row>
    <row r="1911" spans="1:16" s="28" customFormat="1" ht="34.5" hidden="1" customHeight="1" thickBot="1">
      <c r="A1911" s="137" t="s">
        <v>456</v>
      </c>
      <c r="B1911" s="138"/>
      <c r="C1911" s="138"/>
      <c r="D1911" s="139"/>
      <c r="J1911" s="27"/>
      <c r="K1911" s="27"/>
      <c r="L1911" s="27"/>
      <c r="M1911" s="27"/>
      <c r="N1911" s="27"/>
      <c r="O1911" s="27"/>
      <c r="P1911" s="27"/>
    </row>
    <row r="1912" spans="1:16" s="28" customFormat="1" ht="34.5" hidden="1" customHeight="1" thickBot="1">
      <c r="A1912" s="34" t="s">
        <v>447</v>
      </c>
      <c r="B1912" s="32" t="s">
        <v>438</v>
      </c>
      <c r="C1912" s="34"/>
      <c r="D1912" s="32" t="s">
        <v>0</v>
      </c>
      <c r="J1912" s="27"/>
      <c r="K1912" s="27"/>
      <c r="L1912" s="27"/>
      <c r="M1912" s="27"/>
      <c r="N1912" s="27"/>
      <c r="O1912" s="27"/>
      <c r="P1912" s="27"/>
    </row>
    <row r="1913" spans="1:16" s="28" customFormat="1" ht="34.5" hidden="1" customHeight="1" thickBot="1">
      <c r="A1913" s="37" t="s">
        <v>13</v>
      </c>
      <c r="B1913" s="36" t="s">
        <v>1</v>
      </c>
      <c r="C1913" s="34" t="s">
        <v>14</v>
      </c>
      <c r="D1913" s="32" t="s">
        <v>2</v>
      </c>
      <c r="J1913" s="27"/>
      <c r="K1913" s="27"/>
      <c r="L1913" s="27"/>
      <c r="M1913" s="27"/>
      <c r="N1913" s="27"/>
      <c r="O1913" s="27"/>
      <c r="P1913" s="27"/>
    </row>
    <row r="1914" spans="1:16" s="28" customFormat="1" ht="34.5" hidden="1" customHeight="1" thickBot="1">
      <c r="A1914" s="140">
        <v>243</v>
      </c>
      <c r="B1914" s="141"/>
      <c r="C1914" s="142" t="s">
        <v>3</v>
      </c>
      <c r="D1914" s="143"/>
      <c r="J1914" s="27"/>
      <c r="K1914" s="27"/>
      <c r="L1914" s="27"/>
      <c r="M1914" s="27"/>
      <c r="N1914" s="27"/>
      <c r="O1914" s="27"/>
      <c r="P1914" s="27"/>
    </row>
    <row r="1915" spans="1:16" s="28" customFormat="1" ht="34.5" hidden="1" customHeight="1" thickBot="1">
      <c r="A1915" s="140">
        <v>325</v>
      </c>
      <c r="B1915" s="141"/>
      <c r="C1915" s="144" t="s">
        <v>4</v>
      </c>
      <c r="D1915" s="145"/>
      <c r="J1915" s="27"/>
      <c r="K1915" s="27"/>
      <c r="L1915" s="27"/>
      <c r="M1915" s="27"/>
      <c r="N1915" s="27"/>
      <c r="O1915" s="27"/>
      <c r="P1915" s="27"/>
    </row>
    <row r="1916" spans="1:16" s="28" customFormat="1" ht="34.5" hidden="1" customHeight="1" thickBot="1">
      <c r="A1916" s="146">
        <f>A1915-A1914</f>
        <v>82</v>
      </c>
      <c r="B1916" s="147"/>
      <c r="C1916" s="148"/>
      <c r="D1916" s="35" t="s">
        <v>5</v>
      </c>
      <c r="J1916" s="27"/>
      <c r="K1916" s="27"/>
      <c r="L1916" s="27"/>
      <c r="M1916" s="27"/>
      <c r="N1916" s="27"/>
      <c r="O1916" s="27"/>
      <c r="P1916" s="27"/>
    </row>
    <row r="1917" spans="1:16" s="28" customFormat="1" ht="34.5" hidden="1" customHeight="1" thickBot="1">
      <c r="A1917" s="149">
        <v>50</v>
      </c>
      <c r="B1917" s="150"/>
      <c r="C1917" s="151"/>
      <c r="D1917" s="35" t="s">
        <v>6</v>
      </c>
      <c r="J1917" s="27"/>
      <c r="K1917" s="27"/>
      <c r="L1917" s="27"/>
      <c r="M1917" s="27"/>
      <c r="N1917" s="27"/>
      <c r="O1917" s="27"/>
      <c r="P1917" s="27"/>
    </row>
    <row r="1918" spans="1:16" s="28" customFormat="1" ht="34.5" hidden="1" customHeight="1" thickBot="1">
      <c r="A1918" s="144">
        <f>A1917*A1916</f>
        <v>4100</v>
      </c>
      <c r="B1918" s="152"/>
      <c r="C1918" s="145"/>
      <c r="D1918" s="35" t="s">
        <v>7</v>
      </c>
      <c r="J1918" s="27"/>
      <c r="K1918" s="27"/>
      <c r="L1918" s="27"/>
      <c r="M1918" s="27"/>
      <c r="N1918" s="27"/>
      <c r="O1918" s="27"/>
      <c r="P1918" s="27"/>
    </row>
    <row r="1919" spans="1:16" s="28" customFormat="1" ht="34.5" hidden="1" customHeight="1" thickBot="1">
      <c r="A1919" s="144">
        <v>0</v>
      </c>
      <c r="B1919" s="152"/>
      <c r="C1919" s="145"/>
      <c r="D1919" s="35" t="s">
        <v>437</v>
      </c>
      <c r="J1919" s="27"/>
      <c r="K1919" s="27"/>
      <c r="L1919" s="27"/>
      <c r="M1919" s="27"/>
      <c r="N1919" s="27"/>
      <c r="O1919" s="27"/>
      <c r="P1919" s="27"/>
    </row>
    <row r="1920" spans="1:16" s="28" customFormat="1" ht="34.5" hidden="1" customHeight="1" thickBot="1">
      <c r="A1920" s="34">
        <v>0</v>
      </c>
      <c r="B1920" s="32" t="s">
        <v>8</v>
      </c>
      <c r="C1920" s="33">
        <v>4100</v>
      </c>
      <c r="D1920" s="32" t="s">
        <v>9</v>
      </c>
      <c r="J1920" s="27"/>
      <c r="K1920" s="27"/>
      <c r="L1920" s="27"/>
      <c r="M1920" s="27"/>
      <c r="N1920" s="27"/>
      <c r="O1920" s="27"/>
      <c r="P1920" s="27"/>
    </row>
    <row r="1921" spans="1:16" s="28" customFormat="1" ht="34.5" hidden="1" customHeight="1" thickBot="1">
      <c r="A1921" s="153" t="s">
        <v>436</v>
      </c>
      <c r="B1921" s="154"/>
      <c r="C1921" s="154"/>
      <c r="D1921" s="155"/>
      <c r="J1921" s="27"/>
      <c r="K1921" s="27"/>
      <c r="L1921" s="27"/>
      <c r="M1921" s="27"/>
      <c r="N1921" s="27"/>
      <c r="O1921" s="27"/>
      <c r="P1921" s="27"/>
    </row>
    <row r="1922" spans="1:16" s="28" customFormat="1" ht="34.5" hidden="1" customHeight="1" thickBot="1">
      <c r="A1922" s="156" t="s">
        <v>435</v>
      </c>
      <c r="B1922" s="157"/>
      <c r="C1922" s="157"/>
      <c r="D1922" s="158"/>
      <c r="J1922" s="27"/>
      <c r="K1922" s="27"/>
      <c r="L1922" s="27"/>
      <c r="M1922" s="27"/>
      <c r="N1922" s="27"/>
      <c r="O1922" s="27"/>
      <c r="P1922" s="27"/>
    </row>
    <row r="1923" spans="1:16" s="28" customFormat="1" ht="34.5" hidden="1" customHeight="1">
      <c r="A1923" s="159" t="s">
        <v>442</v>
      </c>
      <c r="B1923" s="160" t="s">
        <v>441</v>
      </c>
      <c r="C1923" s="160"/>
      <c r="D1923" s="161"/>
      <c r="J1923" s="27"/>
      <c r="K1923" s="27"/>
      <c r="L1923" s="27"/>
      <c r="M1923" s="27"/>
      <c r="N1923" s="27"/>
      <c r="O1923" s="27"/>
      <c r="P1923" s="27"/>
    </row>
    <row r="1924" spans="1:16" s="28" customFormat="1" ht="34.5" hidden="1" customHeight="1" thickBot="1">
      <c r="A1924" s="162"/>
      <c r="B1924" s="163"/>
      <c r="C1924" s="163"/>
      <c r="D1924" s="164"/>
      <c r="J1924" s="27"/>
      <c r="K1924" s="27"/>
      <c r="L1924" s="27"/>
      <c r="M1924" s="27"/>
      <c r="N1924" s="27"/>
      <c r="O1924" s="27"/>
      <c r="P1924" s="27"/>
    </row>
    <row r="1925" spans="1:16" s="28" customFormat="1" ht="34.5" hidden="1" customHeight="1" thickBot="1">
      <c r="A1925" s="142" t="s">
        <v>11</v>
      </c>
      <c r="B1925" s="143"/>
      <c r="C1925" s="165" t="s">
        <v>12</v>
      </c>
      <c r="D1925" s="143"/>
      <c r="J1925" s="27"/>
      <c r="K1925" s="27"/>
      <c r="L1925" s="27"/>
      <c r="M1925" s="27"/>
      <c r="N1925" s="27"/>
      <c r="O1925" s="27"/>
      <c r="P1925" s="27"/>
    </row>
    <row r="1926" spans="1:16" s="28" customFormat="1" ht="34.5" hidden="1" customHeight="1" thickBot="1">
      <c r="A1926" s="137" t="s">
        <v>455</v>
      </c>
      <c r="B1926" s="138"/>
      <c r="C1926" s="138"/>
      <c r="D1926" s="139"/>
      <c r="J1926" s="27"/>
      <c r="K1926" s="27"/>
      <c r="L1926" s="27"/>
      <c r="M1926" s="27"/>
      <c r="N1926" s="27"/>
      <c r="O1926" s="27"/>
      <c r="P1926" s="27"/>
    </row>
    <row r="1927" spans="1:16" s="28" customFormat="1" ht="34.5" hidden="1" customHeight="1" thickBot="1">
      <c r="A1927" s="34" t="s">
        <v>447</v>
      </c>
      <c r="B1927" s="32" t="s">
        <v>438</v>
      </c>
      <c r="C1927" s="34"/>
      <c r="D1927" s="32" t="s">
        <v>0</v>
      </c>
      <c r="J1927" s="27"/>
      <c r="K1927" s="27"/>
      <c r="L1927" s="27"/>
      <c r="M1927" s="27"/>
      <c r="N1927" s="27"/>
      <c r="O1927" s="27"/>
      <c r="P1927" s="27"/>
    </row>
    <row r="1928" spans="1:16" s="28" customFormat="1" ht="34.5" hidden="1" customHeight="1" thickBot="1">
      <c r="A1928" s="37" t="s">
        <v>13</v>
      </c>
      <c r="B1928" s="36" t="s">
        <v>1</v>
      </c>
      <c r="C1928" s="34" t="s">
        <v>14</v>
      </c>
      <c r="D1928" s="32" t="s">
        <v>2</v>
      </c>
      <c r="J1928" s="27"/>
      <c r="K1928" s="27"/>
      <c r="L1928" s="27"/>
      <c r="M1928" s="27"/>
      <c r="N1928" s="27"/>
      <c r="O1928" s="27"/>
      <c r="P1928" s="27"/>
    </row>
    <row r="1929" spans="1:16" s="28" customFormat="1" ht="34.5" hidden="1" customHeight="1" thickBot="1">
      <c r="A1929" s="140">
        <v>98</v>
      </c>
      <c r="B1929" s="141"/>
      <c r="C1929" s="142" t="s">
        <v>3</v>
      </c>
      <c r="D1929" s="143"/>
      <c r="J1929" s="27"/>
      <c r="K1929" s="27"/>
      <c r="L1929" s="27"/>
      <c r="M1929" s="27"/>
      <c r="N1929" s="27"/>
      <c r="O1929" s="27"/>
      <c r="P1929" s="27"/>
    </row>
    <row r="1930" spans="1:16" s="28" customFormat="1" ht="34.5" hidden="1" customHeight="1" thickBot="1">
      <c r="A1930" s="140">
        <v>110</v>
      </c>
      <c r="B1930" s="141"/>
      <c r="C1930" s="144" t="s">
        <v>4</v>
      </c>
      <c r="D1930" s="145"/>
      <c r="J1930" s="27"/>
      <c r="K1930" s="27"/>
      <c r="L1930" s="27"/>
      <c r="M1930" s="27"/>
      <c r="N1930" s="27"/>
      <c r="O1930" s="27"/>
      <c r="P1930" s="27"/>
    </row>
    <row r="1931" spans="1:16" s="28" customFormat="1" ht="34.5" hidden="1" customHeight="1" thickBot="1">
      <c r="A1931" s="146">
        <f>A1930-A1929</f>
        <v>12</v>
      </c>
      <c r="B1931" s="147"/>
      <c r="C1931" s="148"/>
      <c r="D1931" s="35" t="s">
        <v>5</v>
      </c>
      <c r="J1931" s="27"/>
      <c r="K1931" s="27"/>
      <c r="L1931" s="27"/>
      <c r="M1931" s="27"/>
      <c r="N1931" s="27"/>
      <c r="O1931" s="27"/>
      <c r="P1931" s="27"/>
    </row>
    <row r="1932" spans="1:16" s="28" customFormat="1" ht="34.5" hidden="1" customHeight="1" thickBot="1">
      <c r="A1932" s="149">
        <v>50</v>
      </c>
      <c r="B1932" s="150"/>
      <c r="C1932" s="151"/>
      <c r="D1932" s="35" t="s">
        <v>6</v>
      </c>
      <c r="J1932" s="27"/>
      <c r="K1932" s="27"/>
      <c r="L1932" s="27"/>
      <c r="M1932" s="27"/>
      <c r="N1932" s="27"/>
      <c r="O1932" s="27"/>
      <c r="P1932" s="27"/>
    </row>
    <row r="1933" spans="1:16" s="28" customFormat="1" ht="34.5" hidden="1" customHeight="1" thickBot="1">
      <c r="A1933" s="144">
        <f>A1932*A1931</f>
        <v>600</v>
      </c>
      <c r="B1933" s="152"/>
      <c r="C1933" s="145"/>
      <c r="D1933" s="35" t="s">
        <v>7</v>
      </c>
      <c r="J1933" s="27"/>
      <c r="K1933" s="27"/>
      <c r="L1933" s="27"/>
      <c r="M1933" s="27"/>
      <c r="N1933" s="27"/>
      <c r="O1933" s="27"/>
      <c r="P1933" s="27"/>
    </row>
    <row r="1934" spans="1:16" s="28" customFormat="1" ht="34.5" hidden="1" customHeight="1" thickBot="1">
      <c r="A1934" s="144">
        <v>0</v>
      </c>
      <c r="B1934" s="152"/>
      <c r="C1934" s="145"/>
      <c r="D1934" s="35" t="s">
        <v>437</v>
      </c>
      <c r="J1934" s="27"/>
      <c r="K1934" s="27"/>
      <c r="L1934" s="27"/>
      <c r="M1934" s="27"/>
      <c r="N1934" s="27"/>
      <c r="O1934" s="27"/>
      <c r="P1934" s="27"/>
    </row>
    <row r="1935" spans="1:16" s="28" customFormat="1" ht="34.5" hidden="1" customHeight="1" thickBot="1">
      <c r="A1935" s="34">
        <v>0</v>
      </c>
      <c r="B1935" s="32" t="s">
        <v>8</v>
      </c>
      <c r="C1935" s="33">
        <v>600</v>
      </c>
      <c r="D1935" s="32" t="s">
        <v>9</v>
      </c>
      <c r="J1935" s="27"/>
      <c r="K1935" s="27"/>
      <c r="L1935" s="27"/>
      <c r="M1935" s="27"/>
      <c r="N1935" s="27"/>
      <c r="O1935" s="27"/>
      <c r="P1935" s="27"/>
    </row>
    <row r="1936" spans="1:16" s="28" customFormat="1" ht="34.5" hidden="1" customHeight="1" thickBot="1">
      <c r="A1936" s="153" t="s">
        <v>436</v>
      </c>
      <c r="B1936" s="154"/>
      <c r="C1936" s="154"/>
      <c r="D1936" s="155"/>
      <c r="J1936" s="27"/>
      <c r="K1936" s="27"/>
      <c r="L1936" s="27"/>
      <c r="M1936" s="27"/>
      <c r="N1936" s="27"/>
      <c r="O1936" s="27"/>
      <c r="P1936" s="27"/>
    </row>
    <row r="1937" spans="1:16" s="28" customFormat="1" ht="34.5" hidden="1" customHeight="1" thickBot="1">
      <c r="A1937" s="156" t="s">
        <v>435</v>
      </c>
      <c r="B1937" s="157"/>
      <c r="C1937" s="157"/>
      <c r="D1937" s="158"/>
      <c r="J1937" s="27"/>
      <c r="K1937" s="27"/>
      <c r="L1937" s="27"/>
      <c r="M1937" s="27"/>
      <c r="N1937" s="27"/>
      <c r="O1937" s="27"/>
      <c r="P1937" s="27"/>
    </row>
    <row r="1938" spans="1:16" s="28" customFormat="1" ht="34.5" hidden="1" customHeight="1" thickBot="1">
      <c r="A1938" s="40"/>
      <c r="B1938" s="39"/>
      <c r="C1938" s="39"/>
      <c r="D1938" s="38"/>
      <c r="J1938" s="27"/>
      <c r="K1938" s="27"/>
      <c r="L1938" s="27"/>
      <c r="M1938" s="27"/>
      <c r="N1938" s="27"/>
      <c r="O1938" s="27"/>
      <c r="P1938" s="27"/>
    </row>
    <row r="1939" spans="1:16" s="28" customFormat="1" ht="34.5" hidden="1" customHeight="1">
      <c r="A1939" s="159" t="s">
        <v>441</v>
      </c>
      <c r="B1939" s="160"/>
      <c r="C1939" s="160"/>
      <c r="D1939" s="161"/>
      <c r="J1939" s="27"/>
      <c r="K1939" s="27"/>
      <c r="L1939" s="27"/>
      <c r="M1939" s="27"/>
      <c r="N1939" s="27"/>
      <c r="O1939" s="27"/>
      <c r="P1939" s="27"/>
    </row>
    <row r="1940" spans="1:16" s="28" customFormat="1" ht="34.5" hidden="1" customHeight="1" thickBot="1">
      <c r="A1940" s="162"/>
      <c r="B1940" s="163"/>
      <c r="C1940" s="163"/>
      <c r="D1940" s="164"/>
      <c r="J1940" s="27"/>
      <c r="K1940" s="27"/>
      <c r="L1940" s="27"/>
      <c r="M1940" s="27"/>
      <c r="N1940" s="27"/>
      <c r="O1940" s="27"/>
      <c r="P1940" s="27"/>
    </row>
    <row r="1941" spans="1:16" s="28" customFormat="1" ht="34.5" hidden="1" customHeight="1" thickBot="1">
      <c r="A1941" s="142" t="s">
        <v>11</v>
      </c>
      <c r="B1941" s="143"/>
      <c r="C1941" s="165" t="s">
        <v>12</v>
      </c>
      <c r="D1941" s="143"/>
      <c r="J1941" s="27"/>
      <c r="K1941" s="27"/>
      <c r="L1941" s="27"/>
      <c r="M1941" s="27"/>
      <c r="N1941" s="27"/>
      <c r="O1941" s="27"/>
      <c r="P1941" s="27"/>
    </row>
    <row r="1942" spans="1:16" s="28" customFormat="1" ht="34.5" hidden="1" customHeight="1" thickBot="1">
      <c r="A1942" s="137" t="s">
        <v>455</v>
      </c>
      <c r="B1942" s="138"/>
      <c r="C1942" s="138"/>
      <c r="D1942" s="139"/>
      <c r="J1942" s="27"/>
      <c r="K1942" s="27"/>
      <c r="L1942" s="27"/>
      <c r="M1942" s="27"/>
      <c r="N1942" s="27"/>
      <c r="O1942" s="27"/>
      <c r="P1942" s="27"/>
    </row>
    <row r="1943" spans="1:16" s="28" customFormat="1" ht="34.5" hidden="1" customHeight="1" thickBot="1">
      <c r="A1943" s="34" t="s">
        <v>447</v>
      </c>
      <c r="B1943" s="32" t="s">
        <v>438</v>
      </c>
      <c r="C1943" s="34"/>
      <c r="D1943" s="32" t="s">
        <v>0</v>
      </c>
      <c r="J1943" s="27"/>
      <c r="K1943" s="27"/>
      <c r="L1943" s="27"/>
      <c r="M1943" s="27"/>
      <c r="N1943" s="27"/>
      <c r="O1943" s="27"/>
      <c r="P1943" s="27"/>
    </row>
    <row r="1944" spans="1:16" s="28" customFormat="1" ht="34.5" hidden="1" customHeight="1" thickBot="1">
      <c r="A1944" s="37" t="s">
        <v>13</v>
      </c>
      <c r="B1944" s="36" t="s">
        <v>1</v>
      </c>
      <c r="C1944" s="34" t="s">
        <v>14</v>
      </c>
      <c r="D1944" s="32" t="s">
        <v>2</v>
      </c>
      <c r="J1944" s="27"/>
      <c r="K1944" s="27"/>
      <c r="L1944" s="27"/>
      <c r="M1944" s="27"/>
      <c r="N1944" s="27"/>
      <c r="O1944" s="27"/>
      <c r="P1944" s="27"/>
    </row>
    <row r="1945" spans="1:16" s="28" customFormat="1" ht="34.5" hidden="1" customHeight="1" thickBot="1">
      <c r="A1945" s="140">
        <v>98</v>
      </c>
      <c r="B1945" s="141"/>
      <c r="C1945" s="142" t="s">
        <v>3</v>
      </c>
      <c r="D1945" s="143"/>
      <c r="J1945" s="27"/>
      <c r="K1945" s="27"/>
      <c r="L1945" s="27"/>
      <c r="M1945" s="27"/>
      <c r="N1945" s="27"/>
      <c r="O1945" s="27"/>
      <c r="P1945" s="27"/>
    </row>
    <row r="1946" spans="1:16" s="28" customFormat="1" ht="34.5" hidden="1" customHeight="1" thickBot="1">
      <c r="A1946" s="140">
        <v>110</v>
      </c>
      <c r="B1946" s="141"/>
      <c r="C1946" s="144" t="s">
        <v>4</v>
      </c>
      <c r="D1946" s="145"/>
      <c r="J1946" s="27"/>
      <c r="K1946" s="27"/>
      <c r="L1946" s="27"/>
      <c r="M1946" s="27"/>
      <c r="N1946" s="27"/>
      <c r="O1946" s="27"/>
      <c r="P1946" s="27"/>
    </row>
    <row r="1947" spans="1:16" s="28" customFormat="1" ht="34.5" hidden="1" customHeight="1" thickBot="1">
      <c r="A1947" s="146">
        <f>A1946-A1945</f>
        <v>12</v>
      </c>
      <c r="B1947" s="147"/>
      <c r="C1947" s="148"/>
      <c r="D1947" s="35" t="s">
        <v>5</v>
      </c>
      <c r="J1947" s="27"/>
      <c r="K1947" s="27"/>
      <c r="L1947" s="27"/>
      <c r="M1947" s="27"/>
      <c r="N1947" s="27"/>
      <c r="O1947" s="27"/>
      <c r="P1947" s="27"/>
    </row>
    <row r="1948" spans="1:16" s="28" customFormat="1" ht="34.5" hidden="1" customHeight="1" thickBot="1">
      <c r="A1948" s="149">
        <v>50</v>
      </c>
      <c r="B1948" s="150"/>
      <c r="C1948" s="151"/>
      <c r="D1948" s="35" t="s">
        <v>6</v>
      </c>
      <c r="J1948" s="27"/>
      <c r="K1948" s="27"/>
      <c r="L1948" s="27"/>
      <c r="M1948" s="27"/>
      <c r="N1948" s="27"/>
      <c r="O1948" s="27"/>
      <c r="P1948" s="27"/>
    </row>
    <row r="1949" spans="1:16" s="28" customFormat="1" ht="34.5" hidden="1" customHeight="1" thickBot="1">
      <c r="A1949" s="144">
        <f>A1948*A1947</f>
        <v>600</v>
      </c>
      <c r="B1949" s="152"/>
      <c r="C1949" s="145"/>
      <c r="D1949" s="35" t="s">
        <v>7</v>
      </c>
      <c r="J1949" s="27"/>
      <c r="K1949" s="27"/>
      <c r="L1949" s="27"/>
      <c r="M1949" s="27"/>
      <c r="N1949" s="27"/>
      <c r="O1949" s="27"/>
      <c r="P1949" s="27"/>
    </row>
    <row r="1950" spans="1:16" s="28" customFormat="1" ht="34.5" hidden="1" customHeight="1" thickBot="1">
      <c r="A1950" s="144">
        <v>0</v>
      </c>
      <c r="B1950" s="152"/>
      <c r="C1950" s="145"/>
      <c r="D1950" s="35" t="s">
        <v>437</v>
      </c>
      <c r="J1950" s="27"/>
      <c r="K1950" s="27"/>
      <c r="L1950" s="27"/>
      <c r="M1950" s="27"/>
      <c r="N1950" s="27"/>
      <c r="O1950" s="27"/>
      <c r="P1950" s="27"/>
    </row>
    <row r="1951" spans="1:16" s="28" customFormat="1" ht="34.5" hidden="1" customHeight="1" thickBot="1">
      <c r="A1951" s="34">
        <v>0</v>
      </c>
      <c r="B1951" s="32" t="s">
        <v>8</v>
      </c>
      <c r="C1951" s="33">
        <v>600</v>
      </c>
      <c r="D1951" s="32" t="s">
        <v>9</v>
      </c>
      <c r="J1951" s="27"/>
      <c r="K1951" s="27"/>
      <c r="L1951" s="27"/>
      <c r="M1951" s="27"/>
      <c r="N1951" s="27"/>
      <c r="O1951" s="27"/>
      <c r="P1951" s="27"/>
    </row>
    <row r="1952" spans="1:16" s="28" customFormat="1" ht="34.5" hidden="1" customHeight="1" thickBot="1">
      <c r="A1952" s="153" t="s">
        <v>436</v>
      </c>
      <c r="B1952" s="154"/>
      <c r="C1952" s="154"/>
      <c r="D1952" s="155"/>
      <c r="J1952" s="27"/>
      <c r="K1952" s="27"/>
      <c r="L1952" s="27"/>
      <c r="M1952" s="27"/>
      <c r="N1952" s="27"/>
      <c r="O1952" s="27"/>
      <c r="P1952" s="27"/>
    </row>
    <row r="1953" spans="1:16" s="28" customFormat="1" ht="34.5" hidden="1" customHeight="1" thickBot="1">
      <c r="A1953" s="156" t="s">
        <v>435</v>
      </c>
      <c r="B1953" s="157"/>
      <c r="C1953" s="157"/>
      <c r="D1953" s="158"/>
      <c r="J1953" s="27"/>
      <c r="K1953" s="27"/>
      <c r="L1953" s="27"/>
      <c r="M1953" s="27"/>
      <c r="N1953" s="27"/>
      <c r="O1953" s="27"/>
      <c r="P1953" s="27"/>
    </row>
    <row r="1954" spans="1:16" s="28" customFormat="1" ht="34.5" hidden="1" customHeight="1">
      <c r="A1954" s="159" t="s">
        <v>442</v>
      </c>
      <c r="B1954" s="160" t="s">
        <v>441</v>
      </c>
      <c r="C1954" s="160"/>
      <c r="D1954" s="161"/>
      <c r="J1954" s="27"/>
      <c r="K1954" s="27"/>
      <c r="L1954" s="27"/>
      <c r="M1954" s="27"/>
      <c r="N1954" s="27"/>
      <c r="O1954" s="27"/>
      <c r="P1954" s="27"/>
    </row>
    <row r="1955" spans="1:16" s="28" customFormat="1" ht="34.5" hidden="1" customHeight="1" thickBot="1">
      <c r="A1955" s="162"/>
      <c r="B1955" s="163"/>
      <c r="C1955" s="163"/>
      <c r="D1955" s="164"/>
      <c r="J1955" s="27"/>
      <c r="K1955" s="27"/>
      <c r="L1955" s="27"/>
      <c r="M1955" s="27"/>
      <c r="N1955" s="27"/>
      <c r="O1955" s="27"/>
      <c r="P1955" s="27"/>
    </row>
    <row r="1956" spans="1:16" s="28" customFormat="1" ht="34.5" hidden="1" customHeight="1" thickBot="1">
      <c r="A1956" s="142" t="s">
        <v>11</v>
      </c>
      <c r="B1956" s="143"/>
      <c r="C1956" s="165" t="s">
        <v>12</v>
      </c>
      <c r="D1956" s="143"/>
      <c r="J1956" s="27"/>
      <c r="K1956" s="27"/>
      <c r="L1956" s="27"/>
      <c r="M1956" s="27"/>
      <c r="N1956" s="27"/>
      <c r="O1956" s="27"/>
      <c r="P1956" s="27"/>
    </row>
    <row r="1957" spans="1:16" s="28" customFormat="1" ht="34.5" hidden="1" customHeight="1" thickBot="1">
      <c r="A1957" s="137" t="s">
        <v>454</v>
      </c>
      <c r="B1957" s="138"/>
      <c r="C1957" s="138"/>
      <c r="D1957" s="139"/>
      <c r="J1957" s="27"/>
      <c r="K1957" s="27"/>
      <c r="L1957" s="27"/>
      <c r="M1957" s="27"/>
      <c r="N1957" s="27"/>
      <c r="O1957" s="27"/>
      <c r="P1957" s="27"/>
    </row>
    <row r="1958" spans="1:16" s="28" customFormat="1" ht="34.5" hidden="1" customHeight="1" thickBot="1">
      <c r="A1958" s="34" t="s">
        <v>447</v>
      </c>
      <c r="B1958" s="32" t="s">
        <v>438</v>
      </c>
      <c r="C1958" s="34"/>
      <c r="D1958" s="32" t="s">
        <v>0</v>
      </c>
      <c r="J1958" s="27"/>
      <c r="K1958" s="27"/>
      <c r="L1958" s="27"/>
      <c r="M1958" s="27"/>
      <c r="N1958" s="27"/>
      <c r="O1958" s="27"/>
      <c r="P1958" s="27"/>
    </row>
    <row r="1959" spans="1:16" s="28" customFormat="1" ht="34.5" hidden="1" customHeight="1" thickBot="1">
      <c r="A1959" s="37" t="s">
        <v>13</v>
      </c>
      <c r="B1959" s="36" t="s">
        <v>1</v>
      </c>
      <c r="C1959" s="34" t="s">
        <v>14</v>
      </c>
      <c r="D1959" s="32" t="s">
        <v>2</v>
      </c>
      <c r="J1959" s="27"/>
      <c r="K1959" s="27"/>
      <c r="L1959" s="27"/>
      <c r="M1959" s="27"/>
      <c r="N1959" s="27"/>
      <c r="O1959" s="27"/>
      <c r="P1959" s="27"/>
    </row>
    <row r="1960" spans="1:16" s="28" customFormat="1" ht="34.5" hidden="1" customHeight="1" thickBot="1">
      <c r="A1960" s="140">
        <v>123</v>
      </c>
      <c r="B1960" s="141"/>
      <c r="C1960" s="142" t="s">
        <v>3</v>
      </c>
      <c r="D1960" s="143"/>
      <c r="J1960" s="27"/>
      <c r="K1960" s="27"/>
      <c r="L1960" s="27"/>
      <c r="M1960" s="27"/>
      <c r="N1960" s="27"/>
      <c r="O1960" s="27"/>
      <c r="P1960" s="27"/>
    </row>
    <row r="1961" spans="1:16" s="28" customFormat="1" ht="34.5" hidden="1" customHeight="1" thickBot="1">
      <c r="A1961" s="140">
        <v>132</v>
      </c>
      <c r="B1961" s="141"/>
      <c r="C1961" s="144" t="s">
        <v>4</v>
      </c>
      <c r="D1961" s="145"/>
      <c r="J1961" s="27"/>
      <c r="K1961" s="27"/>
      <c r="L1961" s="27"/>
      <c r="M1961" s="27"/>
      <c r="N1961" s="27"/>
      <c r="O1961" s="27"/>
      <c r="P1961" s="27"/>
    </row>
    <row r="1962" spans="1:16" s="28" customFormat="1" ht="34.5" hidden="1" customHeight="1" thickBot="1">
      <c r="A1962" s="146">
        <v>10</v>
      </c>
      <c r="B1962" s="147"/>
      <c r="C1962" s="148"/>
      <c r="D1962" s="35" t="s">
        <v>5</v>
      </c>
      <c r="J1962" s="27"/>
      <c r="K1962" s="27"/>
      <c r="L1962" s="27"/>
      <c r="M1962" s="27"/>
      <c r="N1962" s="27"/>
      <c r="O1962" s="27"/>
      <c r="P1962" s="27"/>
    </row>
    <row r="1963" spans="1:16" s="28" customFormat="1" ht="34.5" hidden="1" customHeight="1" thickBot="1">
      <c r="A1963" s="149">
        <v>50</v>
      </c>
      <c r="B1963" s="150"/>
      <c r="C1963" s="151"/>
      <c r="D1963" s="35" t="s">
        <v>6</v>
      </c>
      <c r="J1963" s="27"/>
      <c r="K1963" s="27"/>
      <c r="L1963" s="27"/>
      <c r="M1963" s="27"/>
      <c r="N1963" s="27"/>
      <c r="O1963" s="27"/>
      <c r="P1963" s="27"/>
    </row>
    <row r="1964" spans="1:16" s="28" customFormat="1" ht="34.5" hidden="1" customHeight="1" thickBot="1">
      <c r="A1964" s="144">
        <f>A1963*A1962</f>
        <v>500</v>
      </c>
      <c r="B1964" s="152"/>
      <c r="C1964" s="145"/>
      <c r="D1964" s="35" t="s">
        <v>7</v>
      </c>
      <c r="J1964" s="27"/>
      <c r="K1964" s="27"/>
      <c r="L1964" s="27"/>
      <c r="M1964" s="27"/>
      <c r="N1964" s="27"/>
      <c r="O1964" s="27"/>
      <c r="P1964" s="27"/>
    </row>
    <row r="1965" spans="1:16" s="28" customFormat="1" ht="34.5" hidden="1" customHeight="1" thickBot="1">
      <c r="A1965" s="144">
        <v>0</v>
      </c>
      <c r="B1965" s="152"/>
      <c r="C1965" s="145"/>
      <c r="D1965" s="35" t="s">
        <v>437</v>
      </c>
      <c r="J1965" s="27"/>
      <c r="K1965" s="27"/>
      <c r="L1965" s="27"/>
      <c r="M1965" s="27"/>
      <c r="N1965" s="27"/>
      <c r="O1965" s="27"/>
      <c r="P1965" s="27"/>
    </row>
    <row r="1966" spans="1:16" s="28" customFormat="1" ht="34.5" hidden="1" customHeight="1" thickBot="1">
      <c r="A1966" s="34">
        <v>0</v>
      </c>
      <c r="B1966" s="32" t="s">
        <v>8</v>
      </c>
      <c r="C1966" s="33">
        <v>500</v>
      </c>
      <c r="D1966" s="32" t="s">
        <v>9</v>
      </c>
      <c r="J1966" s="27"/>
      <c r="K1966" s="27"/>
      <c r="L1966" s="27"/>
      <c r="M1966" s="27"/>
      <c r="N1966" s="27"/>
      <c r="O1966" s="27"/>
      <c r="P1966" s="27"/>
    </row>
    <row r="1967" spans="1:16" s="28" customFormat="1" ht="34.5" hidden="1" customHeight="1" thickBot="1">
      <c r="A1967" s="153" t="s">
        <v>436</v>
      </c>
      <c r="B1967" s="154"/>
      <c r="C1967" s="154"/>
      <c r="D1967" s="155"/>
      <c r="J1967" s="27"/>
      <c r="K1967" s="27"/>
      <c r="L1967" s="27"/>
      <c r="M1967" s="27"/>
      <c r="N1967" s="27"/>
      <c r="O1967" s="27"/>
      <c r="P1967" s="27"/>
    </row>
    <row r="1968" spans="1:16" s="28" customFormat="1" ht="34.5" hidden="1" customHeight="1" thickBot="1">
      <c r="A1968" s="156" t="s">
        <v>435</v>
      </c>
      <c r="B1968" s="157"/>
      <c r="C1968" s="157"/>
      <c r="D1968" s="158"/>
      <c r="J1968" s="27"/>
      <c r="K1968" s="27"/>
      <c r="L1968" s="27"/>
      <c r="M1968" s="27"/>
      <c r="N1968" s="27"/>
      <c r="O1968" s="27"/>
      <c r="P1968" s="27"/>
    </row>
    <row r="1969" spans="1:16" s="28" customFormat="1" ht="34.5" hidden="1" customHeight="1" thickBot="1">
      <c r="A1969" s="40"/>
      <c r="B1969" s="39"/>
      <c r="C1969" s="39"/>
      <c r="D1969" s="38"/>
      <c r="J1969" s="27"/>
      <c r="K1969" s="27"/>
      <c r="L1969" s="27"/>
      <c r="M1969" s="27"/>
      <c r="N1969" s="27"/>
      <c r="O1969" s="27"/>
      <c r="P1969" s="27"/>
    </row>
    <row r="1970" spans="1:16" s="28" customFormat="1" ht="34.5" hidden="1" customHeight="1">
      <c r="A1970" s="159" t="s">
        <v>441</v>
      </c>
      <c r="B1970" s="160"/>
      <c r="C1970" s="160"/>
      <c r="D1970" s="161"/>
      <c r="J1970" s="27"/>
      <c r="K1970" s="27"/>
      <c r="L1970" s="27"/>
      <c r="M1970" s="27"/>
      <c r="N1970" s="27"/>
      <c r="O1970" s="27"/>
      <c r="P1970" s="27"/>
    </row>
    <row r="1971" spans="1:16" s="28" customFormat="1" ht="34.5" hidden="1" customHeight="1" thickBot="1">
      <c r="A1971" s="162"/>
      <c r="B1971" s="163"/>
      <c r="C1971" s="163"/>
      <c r="D1971" s="164"/>
      <c r="J1971" s="27"/>
      <c r="K1971" s="27"/>
      <c r="L1971" s="27"/>
      <c r="M1971" s="27"/>
      <c r="N1971" s="27"/>
      <c r="O1971" s="27"/>
      <c r="P1971" s="27"/>
    </row>
    <row r="1972" spans="1:16" s="28" customFormat="1" ht="34.5" hidden="1" customHeight="1" thickBot="1">
      <c r="A1972" s="142" t="s">
        <v>11</v>
      </c>
      <c r="B1972" s="143"/>
      <c r="C1972" s="165" t="s">
        <v>12</v>
      </c>
      <c r="D1972" s="143"/>
      <c r="J1972" s="27"/>
      <c r="K1972" s="27"/>
      <c r="L1972" s="27"/>
      <c r="M1972" s="27"/>
      <c r="N1972" s="27"/>
      <c r="O1972" s="27"/>
      <c r="P1972" s="27"/>
    </row>
    <row r="1973" spans="1:16" s="28" customFormat="1" ht="34.5" hidden="1" customHeight="1" thickBot="1">
      <c r="A1973" s="137" t="s">
        <v>454</v>
      </c>
      <c r="B1973" s="138"/>
      <c r="C1973" s="138"/>
      <c r="D1973" s="139"/>
      <c r="J1973" s="27"/>
      <c r="K1973" s="27"/>
      <c r="L1973" s="27"/>
      <c r="M1973" s="27"/>
      <c r="N1973" s="27"/>
      <c r="O1973" s="27"/>
      <c r="P1973" s="27"/>
    </row>
    <row r="1974" spans="1:16" s="28" customFormat="1" ht="34.5" hidden="1" customHeight="1" thickBot="1">
      <c r="A1974" s="34" t="s">
        <v>447</v>
      </c>
      <c r="B1974" s="32" t="s">
        <v>438</v>
      </c>
      <c r="C1974" s="34"/>
      <c r="D1974" s="32" t="s">
        <v>0</v>
      </c>
      <c r="J1974" s="27"/>
      <c r="K1974" s="27"/>
      <c r="L1974" s="27"/>
      <c r="M1974" s="27"/>
      <c r="N1974" s="27"/>
      <c r="O1974" s="27"/>
      <c r="P1974" s="27"/>
    </row>
    <row r="1975" spans="1:16" s="28" customFormat="1" ht="34.5" hidden="1" customHeight="1" thickBot="1">
      <c r="A1975" s="37" t="s">
        <v>13</v>
      </c>
      <c r="B1975" s="36" t="s">
        <v>1</v>
      </c>
      <c r="C1975" s="34" t="s">
        <v>14</v>
      </c>
      <c r="D1975" s="32" t="s">
        <v>2</v>
      </c>
      <c r="J1975" s="27"/>
      <c r="K1975" s="27"/>
      <c r="L1975" s="27"/>
      <c r="M1975" s="27"/>
      <c r="N1975" s="27"/>
      <c r="O1975" s="27"/>
      <c r="P1975" s="27"/>
    </row>
    <row r="1976" spans="1:16" s="28" customFormat="1" ht="34.5" hidden="1" customHeight="1" thickBot="1">
      <c r="A1976" s="140">
        <v>123</v>
      </c>
      <c r="B1976" s="141"/>
      <c r="C1976" s="142" t="s">
        <v>3</v>
      </c>
      <c r="D1976" s="143"/>
      <c r="J1976" s="27"/>
      <c r="K1976" s="27"/>
      <c r="L1976" s="27"/>
      <c r="M1976" s="27"/>
      <c r="N1976" s="27"/>
      <c r="O1976" s="27"/>
      <c r="P1976" s="27"/>
    </row>
    <row r="1977" spans="1:16" s="28" customFormat="1" ht="34.5" hidden="1" customHeight="1" thickBot="1">
      <c r="A1977" s="140">
        <v>132</v>
      </c>
      <c r="B1977" s="141"/>
      <c r="C1977" s="144" t="s">
        <v>4</v>
      </c>
      <c r="D1977" s="145"/>
      <c r="J1977" s="27"/>
      <c r="K1977" s="27"/>
      <c r="L1977" s="27"/>
      <c r="M1977" s="27"/>
      <c r="N1977" s="27"/>
      <c r="O1977" s="27"/>
      <c r="P1977" s="27"/>
    </row>
    <row r="1978" spans="1:16" s="28" customFormat="1" ht="34.5" hidden="1" customHeight="1" thickBot="1">
      <c r="A1978" s="146">
        <v>10</v>
      </c>
      <c r="B1978" s="147"/>
      <c r="C1978" s="148"/>
      <c r="D1978" s="35" t="s">
        <v>5</v>
      </c>
      <c r="J1978" s="27"/>
      <c r="K1978" s="27"/>
      <c r="L1978" s="27"/>
      <c r="M1978" s="27"/>
      <c r="N1978" s="27"/>
      <c r="O1978" s="27"/>
      <c r="P1978" s="27"/>
    </row>
    <row r="1979" spans="1:16" s="28" customFormat="1" ht="34.5" hidden="1" customHeight="1" thickBot="1">
      <c r="A1979" s="149">
        <v>50</v>
      </c>
      <c r="B1979" s="150"/>
      <c r="C1979" s="151"/>
      <c r="D1979" s="35" t="s">
        <v>6</v>
      </c>
      <c r="J1979" s="27"/>
      <c r="K1979" s="27"/>
      <c r="L1979" s="27"/>
      <c r="M1979" s="27"/>
      <c r="N1979" s="27"/>
      <c r="O1979" s="27"/>
      <c r="P1979" s="27"/>
    </row>
    <row r="1980" spans="1:16" s="28" customFormat="1" ht="34.5" hidden="1" customHeight="1" thickBot="1">
      <c r="A1980" s="144">
        <f>A1979*A1978</f>
        <v>500</v>
      </c>
      <c r="B1980" s="152"/>
      <c r="C1980" s="145"/>
      <c r="D1980" s="35" t="s">
        <v>7</v>
      </c>
      <c r="J1980" s="27"/>
      <c r="K1980" s="27"/>
      <c r="L1980" s="27"/>
      <c r="M1980" s="27"/>
      <c r="N1980" s="27"/>
      <c r="O1980" s="27"/>
      <c r="P1980" s="27"/>
    </row>
    <row r="1981" spans="1:16" s="28" customFormat="1" ht="34.5" hidden="1" customHeight="1" thickBot="1">
      <c r="A1981" s="144">
        <v>0</v>
      </c>
      <c r="B1981" s="152"/>
      <c r="C1981" s="145"/>
      <c r="D1981" s="35" t="s">
        <v>437</v>
      </c>
      <c r="J1981" s="27"/>
      <c r="K1981" s="27"/>
      <c r="L1981" s="27"/>
      <c r="M1981" s="27"/>
      <c r="N1981" s="27"/>
      <c r="O1981" s="27"/>
      <c r="P1981" s="27"/>
    </row>
    <row r="1982" spans="1:16" s="28" customFormat="1" ht="34.5" hidden="1" customHeight="1" thickBot="1">
      <c r="A1982" s="34">
        <v>0</v>
      </c>
      <c r="B1982" s="32" t="s">
        <v>8</v>
      </c>
      <c r="C1982" s="33">
        <v>500</v>
      </c>
      <c r="D1982" s="32" t="s">
        <v>9</v>
      </c>
      <c r="J1982" s="27"/>
      <c r="K1982" s="27"/>
      <c r="L1982" s="27"/>
      <c r="M1982" s="27"/>
      <c r="N1982" s="27"/>
      <c r="O1982" s="27"/>
      <c r="P1982" s="27"/>
    </row>
    <row r="1983" spans="1:16" s="28" customFormat="1" ht="34.5" hidden="1" customHeight="1" thickBot="1">
      <c r="A1983" s="153" t="s">
        <v>436</v>
      </c>
      <c r="B1983" s="154"/>
      <c r="C1983" s="154"/>
      <c r="D1983" s="155"/>
      <c r="J1983" s="27"/>
      <c r="K1983" s="27"/>
      <c r="L1983" s="27"/>
      <c r="M1983" s="27"/>
      <c r="N1983" s="27"/>
      <c r="O1983" s="27"/>
      <c r="P1983" s="27"/>
    </row>
    <row r="1984" spans="1:16" s="28" customFormat="1" ht="34.5" hidden="1" customHeight="1" thickBot="1">
      <c r="A1984" s="156" t="s">
        <v>435</v>
      </c>
      <c r="B1984" s="157"/>
      <c r="C1984" s="157"/>
      <c r="D1984" s="158"/>
      <c r="J1984" s="27"/>
      <c r="K1984" s="27"/>
      <c r="L1984" s="27"/>
      <c r="M1984" s="27"/>
      <c r="N1984" s="27"/>
      <c r="O1984" s="27"/>
      <c r="P1984" s="27"/>
    </row>
    <row r="1985" spans="1:16" s="28" customFormat="1" ht="34.5" hidden="1" customHeight="1">
      <c r="A1985" s="159" t="s">
        <v>442</v>
      </c>
      <c r="B1985" s="160" t="s">
        <v>441</v>
      </c>
      <c r="C1985" s="160"/>
      <c r="D1985" s="161"/>
      <c r="J1985" s="27"/>
      <c r="K1985" s="27"/>
      <c r="L1985" s="27"/>
      <c r="M1985" s="27"/>
      <c r="N1985" s="27"/>
      <c r="O1985" s="27"/>
      <c r="P1985" s="27"/>
    </row>
    <row r="1986" spans="1:16" s="28" customFormat="1" ht="34.5" hidden="1" customHeight="1" thickBot="1">
      <c r="A1986" s="162"/>
      <c r="B1986" s="163"/>
      <c r="C1986" s="163"/>
      <c r="D1986" s="164"/>
      <c r="J1986" s="27"/>
      <c r="K1986" s="27"/>
      <c r="L1986" s="27"/>
      <c r="M1986" s="27"/>
      <c r="N1986" s="27"/>
      <c r="O1986" s="27"/>
      <c r="P1986" s="27"/>
    </row>
    <row r="1987" spans="1:16" s="28" customFormat="1" ht="34.5" hidden="1" customHeight="1" thickBot="1">
      <c r="A1987" s="142" t="s">
        <v>11</v>
      </c>
      <c r="B1987" s="143"/>
      <c r="C1987" s="165" t="s">
        <v>12</v>
      </c>
      <c r="D1987" s="143"/>
      <c r="J1987" s="27"/>
      <c r="K1987" s="27"/>
      <c r="L1987" s="27"/>
      <c r="M1987" s="27"/>
      <c r="N1987" s="27"/>
      <c r="O1987" s="27"/>
      <c r="P1987" s="27"/>
    </row>
    <row r="1988" spans="1:16" s="28" customFormat="1" ht="34.5" hidden="1" customHeight="1" thickBot="1">
      <c r="A1988" s="137" t="s">
        <v>453</v>
      </c>
      <c r="B1988" s="138"/>
      <c r="C1988" s="138"/>
      <c r="D1988" s="139"/>
      <c r="J1988" s="27"/>
      <c r="K1988" s="27"/>
      <c r="L1988" s="27"/>
      <c r="M1988" s="27"/>
      <c r="N1988" s="27"/>
      <c r="O1988" s="27"/>
      <c r="P1988" s="27"/>
    </row>
    <row r="1989" spans="1:16" s="28" customFormat="1" ht="34.5" hidden="1" customHeight="1" thickBot="1">
      <c r="A1989" s="34" t="s">
        <v>447</v>
      </c>
      <c r="B1989" s="32" t="s">
        <v>438</v>
      </c>
      <c r="C1989" s="34"/>
      <c r="D1989" s="32" t="s">
        <v>0</v>
      </c>
      <c r="J1989" s="27"/>
      <c r="K1989" s="27"/>
      <c r="L1989" s="27"/>
      <c r="M1989" s="27"/>
      <c r="N1989" s="27"/>
      <c r="O1989" s="27"/>
      <c r="P1989" s="27"/>
    </row>
    <row r="1990" spans="1:16" s="28" customFormat="1" ht="34.5" hidden="1" customHeight="1" thickBot="1">
      <c r="A1990" s="37" t="s">
        <v>13</v>
      </c>
      <c r="B1990" s="36" t="s">
        <v>1</v>
      </c>
      <c r="C1990" s="34" t="s">
        <v>14</v>
      </c>
      <c r="D1990" s="32" t="s">
        <v>2</v>
      </c>
      <c r="J1990" s="27"/>
      <c r="K1990" s="27"/>
      <c r="L1990" s="27"/>
      <c r="M1990" s="27"/>
      <c r="N1990" s="27"/>
      <c r="O1990" s="27"/>
      <c r="P1990" s="27"/>
    </row>
    <row r="1991" spans="1:16" s="28" customFormat="1" ht="34.5" hidden="1" customHeight="1" thickBot="1">
      <c r="A1991" s="140">
        <v>113</v>
      </c>
      <c r="B1991" s="141"/>
      <c r="C1991" s="142" t="s">
        <v>3</v>
      </c>
      <c r="D1991" s="143"/>
      <c r="J1991" s="27"/>
      <c r="K1991" s="27"/>
      <c r="L1991" s="27"/>
      <c r="M1991" s="27"/>
      <c r="N1991" s="27"/>
      <c r="O1991" s="27"/>
      <c r="P1991" s="27"/>
    </row>
    <row r="1992" spans="1:16" s="28" customFormat="1" ht="34.5" hidden="1" customHeight="1" thickBot="1">
      <c r="A1992" s="140">
        <v>123</v>
      </c>
      <c r="B1992" s="141"/>
      <c r="C1992" s="144" t="s">
        <v>4</v>
      </c>
      <c r="D1992" s="145"/>
      <c r="J1992" s="27"/>
      <c r="K1992" s="27"/>
      <c r="L1992" s="27"/>
      <c r="M1992" s="27"/>
      <c r="N1992" s="27"/>
      <c r="O1992" s="27"/>
      <c r="P1992" s="27"/>
    </row>
    <row r="1993" spans="1:16" s="28" customFormat="1" ht="34.5" hidden="1" customHeight="1" thickBot="1">
      <c r="A1993" s="146">
        <v>12</v>
      </c>
      <c r="B1993" s="147"/>
      <c r="C1993" s="148"/>
      <c r="D1993" s="35" t="s">
        <v>5</v>
      </c>
      <c r="J1993" s="27"/>
      <c r="K1993" s="27"/>
      <c r="L1993" s="27"/>
      <c r="M1993" s="27"/>
      <c r="N1993" s="27"/>
      <c r="O1993" s="27"/>
      <c r="P1993" s="27"/>
    </row>
    <row r="1994" spans="1:16" s="28" customFormat="1" ht="34.5" hidden="1" customHeight="1" thickBot="1">
      <c r="A1994" s="149">
        <v>50</v>
      </c>
      <c r="B1994" s="150"/>
      <c r="C1994" s="151"/>
      <c r="D1994" s="35" t="s">
        <v>6</v>
      </c>
      <c r="J1994" s="27"/>
      <c r="K1994" s="27"/>
      <c r="L1994" s="27"/>
      <c r="M1994" s="27"/>
      <c r="N1994" s="27"/>
      <c r="O1994" s="27"/>
      <c r="P1994" s="27"/>
    </row>
    <row r="1995" spans="1:16" s="28" customFormat="1" ht="34.5" hidden="1" customHeight="1" thickBot="1">
      <c r="A1995" s="144">
        <f>A1994*A1993</f>
        <v>600</v>
      </c>
      <c r="B1995" s="152"/>
      <c r="C1995" s="145"/>
      <c r="D1995" s="35" t="s">
        <v>7</v>
      </c>
      <c r="J1995" s="27"/>
      <c r="K1995" s="27"/>
      <c r="L1995" s="27"/>
      <c r="M1995" s="27"/>
      <c r="N1995" s="27"/>
      <c r="O1995" s="27"/>
      <c r="P1995" s="27"/>
    </row>
    <row r="1996" spans="1:16" s="28" customFormat="1" ht="34.5" hidden="1" customHeight="1" thickBot="1">
      <c r="A1996" s="144">
        <v>0</v>
      </c>
      <c r="B1996" s="152"/>
      <c r="C1996" s="145"/>
      <c r="D1996" s="35" t="s">
        <v>437</v>
      </c>
      <c r="J1996" s="27"/>
      <c r="K1996" s="27"/>
      <c r="L1996" s="27"/>
      <c r="M1996" s="27"/>
      <c r="N1996" s="27"/>
      <c r="O1996" s="27"/>
      <c r="P1996" s="27"/>
    </row>
    <row r="1997" spans="1:16" s="28" customFormat="1" ht="34.5" hidden="1" customHeight="1" thickBot="1">
      <c r="A1997" s="34">
        <v>0</v>
      </c>
      <c r="B1997" s="32" t="s">
        <v>8</v>
      </c>
      <c r="C1997" s="33">
        <v>600</v>
      </c>
      <c r="D1997" s="32" t="s">
        <v>9</v>
      </c>
      <c r="J1997" s="27"/>
      <c r="K1997" s="27"/>
      <c r="L1997" s="27"/>
      <c r="M1997" s="27"/>
      <c r="N1997" s="27"/>
      <c r="O1997" s="27"/>
      <c r="P1997" s="27"/>
    </row>
    <row r="1998" spans="1:16" s="28" customFormat="1" ht="34.5" hidden="1" customHeight="1" thickBot="1">
      <c r="A1998" s="153" t="s">
        <v>436</v>
      </c>
      <c r="B1998" s="154"/>
      <c r="C1998" s="154"/>
      <c r="D1998" s="155"/>
      <c r="J1998" s="27"/>
      <c r="K1998" s="27"/>
      <c r="L1998" s="27"/>
      <c r="M1998" s="27"/>
      <c r="N1998" s="27"/>
      <c r="O1998" s="27"/>
      <c r="P1998" s="27"/>
    </row>
    <row r="1999" spans="1:16" s="28" customFormat="1" ht="34.5" hidden="1" customHeight="1" thickBot="1">
      <c r="A1999" s="156" t="s">
        <v>435</v>
      </c>
      <c r="B1999" s="157"/>
      <c r="C1999" s="157"/>
      <c r="D1999" s="158"/>
      <c r="J1999" s="27"/>
      <c r="K1999" s="27"/>
      <c r="L1999" s="27"/>
      <c r="M1999" s="27"/>
      <c r="N1999" s="27"/>
      <c r="O1999" s="27"/>
      <c r="P1999" s="27"/>
    </row>
    <row r="2000" spans="1:16" s="28" customFormat="1" ht="34.5" hidden="1" customHeight="1" thickBot="1">
      <c r="A2000" s="40"/>
      <c r="B2000" s="39"/>
      <c r="C2000" s="39"/>
      <c r="D2000" s="38"/>
      <c r="J2000" s="27"/>
      <c r="K2000" s="27"/>
      <c r="L2000" s="27"/>
      <c r="M2000" s="27"/>
      <c r="N2000" s="27"/>
      <c r="O2000" s="27"/>
      <c r="P2000" s="27"/>
    </row>
    <row r="2001" spans="1:16" s="28" customFormat="1" ht="34.5" hidden="1" customHeight="1">
      <c r="A2001" s="159" t="s">
        <v>441</v>
      </c>
      <c r="B2001" s="160"/>
      <c r="C2001" s="160"/>
      <c r="D2001" s="161"/>
      <c r="J2001" s="27"/>
      <c r="K2001" s="27"/>
      <c r="L2001" s="27"/>
      <c r="M2001" s="27"/>
      <c r="N2001" s="27"/>
      <c r="O2001" s="27"/>
      <c r="P2001" s="27"/>
    </row>
    <row r="2002" spans="1:16" s="28" customFormat="1" ht="34.5" hidden="1" customHeight="1" thickBot="1">
      <c r="A2002" s="162"/>
      <c r="B2002" s="163"/>
      <c r="C2002" s="163"/>
      <c r="D2002" s="164"/>
      <c r="J2002" s="27"/>
      <c r="K2002" s="27"/>
      <c r="L2002" s="27"/>
      <c r="M2002" s="27"/>
      <c r="N2002" s="27"/>
      <c r="O2002" s="27"/>
      <c r="P2002" s="27"/>
    </row>
    <row r="2003" spans="1:16" s="28" customFormat="1" ht="34.5" hidden="1" customHeight="1" thickBot="1">
      <c r="A2003" s="142" t="s">
        <v>11</v>
      </c>
      <c r="B2003" s="143"/>
      <c r="C2003" s="165" t="s">
        <v>12</v>
      </c>
      <c r="D2003" s="143"/>
      <c r="J2003" s="27"/>
      <c r="K2003" s="27"/>
      <c r="L2003" s="27"/>
      <c r="M2003" s="27"/>
      <c r="N2003" s="27"/>
      <c r="O2003" s="27"/>
      <c r="P2003" s="27"/>
    </row>
    <row r="2004" spans="1:16" s="28" customFormat="1" ht="34.5" hidden="1" customHeight="1" thickBot="1">
      <c r="A2004" s="137" t="s">
        <v>453</v>
      </c>
      <c r="B2004" s="138"/>
      <c r="C2004" s="138"/>
      <c r="D2004" s="139"/>
      <c r="J2004" s="27"/>
      <c r="K2004" s="27"/>
      <c r="L2004" s="27"/>
      <c r="M2004" s="27"/>
      <c r="N2004" s="27"/>
      <c r="O2004" s="27"/>
      <c r="P2004" s="27"/>
    </row>
    <row r="2005" spans="1:16" s="28" customFormat="1" ht="34.5" hidden="1" customHeight="1" thickBot="1">
      <c r="A2005" s="34" t="s">
        <v>447</v>
      </c>
      <c r="B2005" s="32" t="s">
        <v>438</v>
      </c>
      <c r="C2005" s="34"/>
      <c r="D2005" s="32" t="s">
        <v>0</v>
      </c>
      <c r="J2005" s="27"/>
      <c r="K2005" s="27"/>
      <c r="L2005" s="27"/>
      <c r="M2005" s="27"/>
      <c r="N2005" s="27"/>
      <c r="O2005" s="27"/>
      <c r="P2005" s="27"/>
    </row>
    <row r="2006" spans="1:16" s="28" customFormat="1" ht="34.5" hidden="1" customHeight="1" thickBot="1">
      <c r="A2006" s="37" t="s">
        <v>13</v>
      </c>
      <c r="B2006" s="36" t="s">
        <v>1</v>
      </c>
      <c r="C2006" s="34" t="s">
        <v>14</v>
      </c>
      <c r="D2006" s="32" t="s">
        <v>2</v>
      </c>
      <c r="J2006" s="27"/>
      <c r="K2006" s="27"/>
      <c r="L2006" s="27"/>
      <c r="M2006" s="27"/>
      <c r="N2006" s="27"/>
      <c r="O2006" s="27"/>
      <c r="P2006" s="27"/>
    </row>
    <row r="2007" spans="1:16" s="28" customFormat="1" ht="34.5" hidden="1" customHeight="1" thickBot="1">
      <c r="A2007" s="140">
        <v>113</v>
      </c>
      <c r="B2007" s="141"/>
      <c r="C2007" s="142" t="s">
        <v>3</v>
      </c>
      <c r="D2007" s="143"/>
      <c r="J2007" s="27"/>
      <c r="K2007" s="27"/>
      <c r="L2007" s="27"/>
      <c r="M2007" s="27"/>
      <c r="N2007" s="27"/>
      <c r="O2007" s="27"/>
      <c r="P2007" s="27"/>
    </row>
    <row r="2008" spans="1:16" s="28" customFormat="1" ht="34.5" hidden="1" customHeight="1" thickBot="1">
      <c r="A2008" s="140">
        <v>123</v>
      </c>
      <c r="B2008" s="141"/>
      <c r="C2008" s="144" t="s">
        <v>4</v>
      </c>
      <c r="D2008" s="145"/>
      <c r="J2008" s="27"/>
      <c r="K2008" s="27"/>
      <c r="L2008" s="27"/>
      <c r="M2008" s="27"/>
      <c r="N2008" s="27"/>
      <c r="O2008" s="27"/>
      <c r="P2008" s="27"/>
    </row>
    <row r="2009" spans="1:16" s="28" customFormat="1" ht="34.5" hidden="1" customHeight="1" thickBot="1">
      <c r="A2009" s="146">
        <v>12</v>
      </c>
      <c r="B2009" s="147"/>
      <c r="C2009" s="148"/>
      <c r="D2009" s="35" t="s">
        <v>5</v>
      </c>
      <c r="J2009" s="27"/>
      <c r="K2009" s="27"/>
      <c r="L2009" s="27"/>
      <c r="M2009" s="27"/>
      <c r="N2009" s="27"/>
      <c r="O2009" s="27"/>
      <c r="P2009" s="27"/>
    </row>
    <row r="2010" spans="1:16" s="28" customFormat="1" ht="34.5" hidden="1" customHeight="1" thickBot="1">
      <c r="A2010" s="149">
        <v>50</v>
      </c>
      <c r="B2010" s="150"/>
      <c r="C2010" s="151"/>
      <c r="D2010" s="35" t="s">
        <v>6</v>
      </c>
      <c r="J2010" s="27"/>
      <c r="K2010" s="27"/>
      <c r="L2010" s="27"/>
      <c r="M2010" s="27"/>
      <c r="N2010" s="27"/>
      <c r="O2010" s="27"/>
      <c r="P2010" s="27"/>
    </row>
    <row r="2011" spans="1:16" s="28" customFormat="1" ht="34.5" hidden="1" customHeight="1" thickBot="1">
      <c r="A2011" s="144">
        <f>A2010*A2009</f>
        <v>600</v>
      </c>
      <c r="B2011" s="152"/>
      <c r="C2011" s="145"/>
      <c r="D2011" s="35" t="s">
        <v>7</v>
      </c>
      <c r="J2011" s="27"/>
      <c r="K2011" s="27"/>
      <c r="L2011" s="27"/>
      <c r="M2011" s="27"/>
      <c r="N2011" s="27"/>
      <c r="O2011" s="27"/>
      <c r="P2011" s="27"/>
    </row>
    <row r="2012" spans="1:16" s="28" customFormat="1" ht="34.5" hidden="1" customHeight="1" thickBot="1">
      <c r="A2012" s="144">
        <v>0</v>
      </c>
      <c r="B2012" s="152"/>
      <c r="C2012" s="145"/>
      <c r="D2012" s="35" t="s">
        <v>437</v>
      </c>
      <c r="J2012" s="27"/>
      <c r="K2012" s="27"/>
      <c r="L2012" s="27"/>
      <c r="M2012" s="27"/>
      <c r="N2012" s="27"/>
      <c r="O2012" s="27"/>
      <c r="P2012" s="27"/>
    </row>
    <row r="2013" spans="1:16" s="28" customFormat="1" ht="34.5" hidden="1" customHeight="1" thickBot="1">
      <c r="A2013" s="34">
        <v>0</v>
      </c>
      <c r="B2013" s="32" t="s">
        <v>8</v>
      </c>
      <c r="C2013" s="33">
        <v>600</v>
      </c>
      <c r="D2013" s="32" t="s">
        <v>9</v>
      </c>
      <c r="J2013" s="27"/>
      <c r="K2013" s="27"/>
      <c r="L2013" s="27"/>
      <c r="M2013" s="27"/>
      <c r="N2013" s="27"/>
      <c r="O2013" s="27"/>
      <c r="P2013" s="27"/>
    </row>
    <row r="2014" spans="1:16" s="28" customFormat="1" ht="34.5" hidden="1" customHeight="1" thickBot="1">
      <c r="A2014" s="153" t="s">
        <v>436</v>
      </c>
      <c r="B2014" s="154"/>
      <c r="C2014" s="154"/>
      <c r="D2014" s="155"/>
      <c r="J2014" s="27"/>
      <c r="K2014" s="27"/>
      <c r="L2014" s="27"/>
      <c r="M2014" s="27"/>
      <c r="N2014" s="27"/>
      <c r="O2014" s="27"/>
      <c r="P2014" s="27"/>
    </row>
    <row r="2015" spans="1:16" s="28" customFormat="1" ht="34.5" hidden="1" customHeight="1" thickBot="1">
      <c r="A2015" s="156" t="s">
        <v>435</v>
      </c>
      <c r="B2015" s="157"/>
      <c r="C2015" s="157"/>
      <c r="D2015" s="158"/>
      <c r="J2015" s="27"/>
      <c r="K2015" s="27"/>
      <c r="L2015" s="27"/>
      <c r="M2015" s="27"/>
      <c r="N2015" s="27"/>
      <c r="O2015" s="27"/>
      <c r="P2015" s="27"/>
    </row>
    <row r="2016" spans="1:16" s="28" customFormat="1" ht="34.5" hidden="1" customHeight="1">
      <c r="A2016" s="159" t="s">
        <v>442</v>
      </c>
      <c r="B2016" s="160" t="s">
        <v>441</v>
      </c>
      <c r="C2016" s="160"/>
      <c r="D2016" s="161"/>
      <c r="J2016" s="27"/>
      <c r="K2016" s="27"/>
      <c r="L2016" s="27"/>
      <c r="M2016" s="27"/>
      <c r="N2016" s="27"/>
      <c r="O2016" s="27"/>
      <c r="P2016" s="27"/>
    </row>
    <row r="2017" spans="1:16" s="28" customFormat="1" ht="34.5" hidden="1" customHeight="1" thickBot="1">
      <c r="A2017" s="162"/>
      <c r="B2017" s="163"/>
      <c r="C2017" s="163"/>
      <c r="D2017" s="164"/>
      <c r="J2017" s="27"/>
      <c r="K2017" s="27"/>
      <c r="L2017" s="27"/>
      <c r="M2017" s="27"/>
      <c r="N2017" s="27"/>
      <c r="O2017" s="27"/>
      <c r="P2017" s="27"/>
    </row>
    <row r="2018" spans="1:16" s="28" customFormat="1" ht="34.5" hidden="1" customHeight="1" thickBot="1">
      <c r="A2018" s="142" t="s">
        <v>11</v>
      </c>
      <c r="B2018" s="143"/>
      <c r="C2018" s="165" t="s">
        <v>12</v>
      </c>
      <c r="D2018" s="143"/>
      <c r="J2018" s="27"/>
      <c r="K2018" s="27"/>
      <c r="L2018" s="27"/>
      <c r="M2018" s="27"/>
      <c r="N2018" s="27"/>
      <c r="O2018" s="27"/>
      <c r="P2018" s="27"/>
    </row>
    <row r="2019" spans="1:16" s="28" customFormat="1" ht="34.5" hidden="1" customHeight="1" thickBot="1">
      <c r="A2019" s="137" t="s">
        <v>452</v>
      </c>
      <c r="B2019" s="138"/>
      <c r="C2019" s="138"/>
      <c r="D2019" s="139"/>
      <c r="J2019" s="27"/>
      <c r="K2019" s="27"/>
      <c r="L2019" s="27"/>
      <c r="M2019" s="27"/>
      <c r="N2019" s="27"/>
      <c r="O2019" s="27"/>
      <c r="P2019" s="27"/>
    </row>
    <row r="2020" spans="1:16" s="28" customFormat="1" ht="34.5" hidden="1" customHeight="1" thickBot="1">
      <c r="A2020" s="34" t="s">
        <v>447</v>
      </c>
      <c r="B2020" s="32" t="s">
        <v>438</v>
      </c>
      <c r="C2020" s="34"/>
      <c r="D2020" s="32" t="s">
        <v>0</v>
      </c>
      <c r="J2020" s="27"/>
      <c r="K2020" s="27"/>
      <c r="L2020" s="27"/>
      <c r="M2020" s="27"/>
      <c r="N2020" s="27"/>
      <c r="O2020" s="27"/>
      <c r="P2020" s="27"/>
    </row>
    <row r="2021" spans="1:16" s="28" customFormat="1" ht="34.5" hidden="1" customHeight="1" thickBot="1">
      <c r="A2021" s="37" t="s">
        <v>13</v>
      </c>
      <c r="B2021" s="36" t="s">
        <v>1</v>
      </c>
      <c r="C2021" s="34" t="s">
        <v>14</v>
      </c>
      <c r="D2021" s="32" t="s">
        <v>2</v>
      </c>
      <c r="J2021" s="27"/>
      <c r="K2021" s="27"/>
      <c r="L2021" s="27"/>
      <c r="M2021" s="27"/>
      <c r="N2021" s="27"/>
      <c r="O2021" s="27"/>
      <c r="P2021" s="27"/>
    </row>
    <row r="2022" spans="1:16" s="28" customFormat="1" ht="34.5" hidden="1" customHeight="1" thickBot="1">
      <c r="A2022" s="140">
        <v>259</v>
      </c>
      <c r="B2022" s="141"/>
      <c r="C2022" s="142" t="s">
        <v>3</v>
      </c>
      <c r="D2022" s="143"/>
      <c r="J2022" s="27"/>
      <c r="K2022" s="27"/>
      <c r="L2022" s="27"/>
      <c r="M2022" s="27"/>
      <c r="N2022" s="27"/>
      <c r="O2022" s="27"/>
      <c r="P2022" s="27"/>
    </row>
    <row r="2023" spans="1:16" s="28" customFormat="1" ht="34.5" hidden="1" customHeight="1" thickBot="1">
      <c r="A2023" s="140">
        <v>302</v>
      </c>
      <c r="B2023" s="141"/>
      <c r="C2023" s="144" t="s">
        <v>4</v>
      </c>
      <c r="D2023" s="145"/>
      <c r="J2023" s="27"/>
      <c r="K2023" s="27"/>
      <c r="L2023" s="27"/>
      <c r="M2023" s="27"/>
      <c r="N2023" s="27"/>
      <c r="O2023" s="27"/>
      <c r="P2023" s="27"/>
    </row>
    <row r="2024" spans="1:16" s="28" customFormat="1" ht="34.5" hidden="1" customHeight="1" thickBot="1">
      <c r="A2024" s="146">
        <f>A2023-A2022</f>
        <v>43</v>
      </c>
      <c r="B2024" s="147"/>
      <c r="C2024" s="148"/>
      <c r="D2024" s="35" t="s">
        <v>5</v>
      </c>
      <c r="J2024" s="27"/>
      <c r="K2024" s="27"/>
      <c r="L2024" s="27"/>
      <c r="M2024" s="27"/>
      <c r="N2024" s="27"/>
      <c r="O2024" s="27"/>
      <c r="P2024" s="27"/>
    </row>
    <row r="2025" spans="1:16" s="28" customFormat="1" ht="34.5" hidden="1" customHeight="1" thickBot="1">
      <c r="A2025" s="149">
        <v>50</v>
      </c>
      <c r="B2025" s="150"/>
      <c r="C2025" s="151"/>
      <c r="D2025" s="35" t="s">
        <v>6</v>
      </c>
      <c r="J2025" s="27"/>
      <c r="K2025" s="27"/>
      <c r="L2025" s="27"/>
      <c r="M2025" s="27"/>
      <c r="N2025" s="27"/>
      <c r="O2025" s="27"/>
      <c r="P2025" s="27"/>
    </row>
    <row r="2026" spans="1:16" s="28" customFormat="1" ht="34.5" hidden="1" customHeight="1" thickBot="1">
      <c r="A2026" s="144">
        <f>A2025*A2024</f>
        <v>2150</v>
      </c>
      <c r="B2026" s="152"/>
      <c r="C2026" s="145"/>
      <c r="D2026" s="35" t="s">
        <v>7</v>
      </c>
      <c r="J2026" s="27"/>
      <c r="K2026" s="27"/>
      <c r="L2026" s="27"/>
      <c r="M2026" s="27"/>
      <c r="N2026" s="27"/>
      <c r="O2026" s="27"/>
      <c r="P2026" s="27"/>
    </row>
    <row r="2027" spans="1:16" s="28" customFormat="1" ht="34.5" hidden="1" customHeight="1" thickBot="1">
      <c r="A2027" s="144">
        <v>0</v>
      </c>
      <c r="B2027" s="152"/>
      <c r="C2027" s="145"/>
      <c r="D2027" s="35" t="s">
        <v>437</v>
      </c>
      <c r="J2027" s="27"/>
      <c r="K2027" s="27"/>
      <c r="L2027" s="27"/>
      <c r="M2027" s="27"/>
      <c r="N2027" s="27"/>
      <c r="O2027" s="27"/>
      <c r="P2027" s="27"/>
    </row>
    <row r="2028" spans="1:16" s="28" customFormat="1" ht="34.5" hidden="1" customHeight="1" thickBot="1">
      <c r="A2028" s="34">
        <v>0</v>
      </c>
      <c r="B2028" s="32" t="s">
        <v>8</v>
      </c>
      <c r="C2028" s="33">
        <v>2150</v>
      </c>
      <c r="D2028" s="32" t="s">
        <v>9</v>
      </c>
      <c r="J2028" s="27"/>
      <c r="K2028" s="27"/>
      <c r="L2028" s="27"/>
      <c r="M2028" s="27"/>
      <c r="N2028" s="27"/>
      <c r="O2028" s="27"/>
      <c r="P2028" s="27"/>
    </row>
    <row r="2029" spans="1:16" s="28" customFormat="1" ht="34.5" hidden="1" customHeight="1" thickBot="1">
      <c r="A2029" s="153" t="s">
        <v>436</v>
      </c>
      <c r="B2029" s="154"/>
      <c r="C2029" s="154"/>
      <c r="D2029" s="155"/>
      <c r="J2029" s="27"/>
      <c r="K2029" s="27"/>
      <c r="L2029" s="27"/>
      <c r="M2029" s="27"/>
      <c r="N2029" s="27"/>
      <c r="O2029" s="27"/>
      <c r="P2029" s="27"/>
    </row>
    <row r="2030" spans="1:16" s="28" customFormat="1" ht="34.5" hidden="1" customHeight="1" thickBot="1">
      <c r="A2030" s="156" t="s">
        <v>435</v>
      </c>
      <c r="B2030" s="157"/>
      <c r="C2030" s="157"/>
      <c r="D2030" s="158"/>
      <c r="J2030" s="27"/>
      <c r="K2030" s="27"/>
      <c r="L2030" s="27"/>
      <c r="M2030" s="27"/>
      <c r="N2030" s="27"/>
      <c r="O2030" s="27"/>
      <c r="P2030" s="27"/>
    </row>
    <row r="2031" spans="1:16" s="28" customFormat="1" ht="34.5" hidden="1" customHeight="1" thickBot="1">
      <c r="A2031" s="40"/>
      <c r="B2031" s="39"/>
      <c r="C2031" s="39"/>
      <c r="D2031" s="38"/>
      <c r="J2031" s="27"/>
      <c r="K2031" s="27"/>
      <c r="L2031" s="27"/>
      <c r="M2031" s="27"/>
      <c r="N2031" s="27"/>
      <c r="O2031" s="27"/>
      <c r="P2031" s="27"/>
    </row>
    <row r="2032" spans="1:16" s="28" customFormat="1" ht="34.5" hidden="1" customHeight="1">
      <c r="A2032" s="159" t="s">
        <v>441</v>
      </c>
      <c r="B2032" s="160"/>
      <c r="C2032" s="160"/>
      <c r="D2032" s="161"/>
      <c r="J2032" s="27"/>
      <c r="K2032" s="27"/>
      <c r="L2032" s="27"/>
      <c r="M2032" s="27"/>
      <c r="N2032" s="27"/>
      <c r="O2032" s="27"/>
      <c r="P2032" s="27"/>
    </row>
    <row r="2033" spans="1:16" s="28" customFormat="1" ht="34.5" hidden="1" customHeight="1" thickBot="1">
      <c r="A2033" s="162"/>
      <c r="B2033" s="163"/>
      <c r="C2033" s="163"/>
      <c r="D2033" s="164"/>
      <c r="J2033" s="27"/>
      <c r="K2033" s="27"/>
      <c r="L2033" s="27"/>
      <c r="M2033" s="27"/>
      <c r="N2033" s="27"/>
      <c r="O2033" s="27"/>
      <c r="P2033" s="27"/>
    </row>
    <row r="2034" spans="1:16" s="28" customFormat="1" ht="34.5" hidden="1" customHeight="1" thickBot="1">
      <c r="A2034" s="142" t="s">
        <v>11</v>
      </c>
      <c r="B2034" s="143"/>
      <c r="C2034" s="165" t="s">
        <v>12</v>
      </c>
      <c r="D2034" s="143"/>
      <c r="J2034" s="27"/>
      <c r="K2034" s="27"/>
      <c r="L2034" s="27"/>
      <c r="M2034" s="27"/>
      <c r="N2034" s="27"/>
      <c r="O2034" s="27"/>
      <c r="P2034" s="27"/>
    </row>
    <row r="2035" spans="1:16" s="28" customFormat="1" ht="34.5" hidden="1" customHeight="1" thickBot="1">
      <c r="A2035" s="137" t="s">
        <v>452</v>
      </c>
      <c r="B2035" s="138"/>
      <c r="C2035" s="138"/>
      <c r="D2035" s="139"/>
      <c r="J2035" s="27"/>
      <c r="K2035" s="27"/>
      <c r="L2035" s="27"/>
      <c r="M2035" s="27"/>
      <c r="N2035" s="27"/>
      <c r="O2035" s="27"/>
      <c r="P2035" s="27"/>
    </row>
    <row r="2036" spans="1:16" s="28" customFormat="1" ht="34.5" hidden="1" customHeight="1" thickBot="1">
      <c r="A2036" s="34" t="s">
        <v>447</v>
      </c>
      <c r="B2036" s="32" t="s">
        <v>438</v>
      </c>
      <c r="C2036" s="34"/>
      <c r="D2036" s="32" t="s">
        <v>0</v>
      </c>
      <c r="J2036" s="27"/>
      <c r="K2036" s="27"/>
      <c r="L2036" s="27"/>
      <c r="M2036" s="27"/>
      <c r="N2036" s="27"/>
      <c r="O2036" s="27"/>
      <c r="P2036" s="27"/>
    </row>
    <row r="2037" spans="1:16" s="28" customFormat="1" ht="34.5" hidden="1" customHeight="1" thickBot="1">
      <c r="A2037" s="37" t="s">
        <v>13</v>
      </c>
      <c r="B2037" s="36" t="s">
        <v>1</v>
      </c>
      <c r="C2037" s="34" t="s">
        <v>14</v>
      </c>
      <c r="D2037" s="32" t="s">
        <v>2</v>
      </c>
      <c r="J2037" s="27"/>
      <c r="K2037" s="27"/>
      <c r="L2037" s="27"/>
      <c r="M2037" s="27"/>
      <c r="N2037" s="27"/>
      <c r="O2037" s="27"/>
      <c r="P2037" s="27"/>
    </row>
    <row r="2038" spans="1:16" s="28" customFormat="1" ht="34.5" hidden="1" customHeight="1" thickBot="1">
      <c r="A2038" s="140">
        <v>259</v>
      </c>
      <c r="B2038" s="141"/>
      <c r="C2038" s="142" t="s">
        <v>3</v>
      </c>
      <c r="D2038" s="143"/>
      <c r="J2038" s="27"/>
      <c r="K2038" s="27"/>
      <c r="L2038" s="27"/>
      <c r="M2038" s="27"/>
      <c r="N2038" s="27"/>
      <c r="O2038" s="27"/>
      <c r="P2038" s="27"/>
    </row>
    <row r="2039" spans="1:16" s="28" customFormat="1" ht="34.5" hidden="1" customHeight="1" thickBot="1">
      <c r="A2039" s="140">
        <v>302</v>
      </c>
      <c r="B2039" s="141"/>
      <c r="C2039" s="144" t="s">
        <v>4</v>
      </c>
      <c r="D2039" s="145"/>
      <c r="J2039" s="27"/>
      <c r="K2039" s="27"/>
      <c r="L2039" s="27"/>
      <c r="M2039" s="27"/>
      <c r="N2039" s="27"/>
      <c r="O2039" s="27"/>
      <c r="P2039" s="27"/>
    </row>
    <row r="2040" spans="1:16" s="28" customFormat="1" ht="34.5" hidden="1" customHeight="1" thickBot="1">
      <c r="A2040" s="146">
        <f>A2039-A2038</f>
        <v>43</v>
      </c>
      <c r="B2040" s="147"/>
      <c r="C2040" s="148"/>
      <c r="D2040" s="35" t="s">
        <v>5</v>
      </c>
      <c r="J2040" s="27"/>
      <c r="K2040" s="27"/>
      <c r="L2040" s="27"/>
      <c r="M2040" s="27"/>
      <c r="N2040" s="27"/>
      <c r="O2040" s="27"/>
      <c r="P2040" s="27"/>
    </row>
    <row r="2041" spans="1:16" s="28" customFormat="1" ht="34.5" hidden="1" customHeight="1" thickBot="1">
      <c r="A2041" s="149">
        <v>50</v>
      </c>
      <c r="B2041" s="150"/>
      <c r="C2041" s="151"/>
      <c r="D2041" s="35" t="s">
        <v>6</v>
      </c>
      <c r="J2041" s="27"/>
      <c r="K2041" s="27"/>
      <c r="L2041" s="27"/>
      <c r="M2041" s="27"/>
      <c r="N2041" s="27"/>
      <c r="O2041" s="27"/>
      <c r="P2041" s="27"/>
    </row>
    <row r="2042" spans="1:16" s="28" customFormat="1" ht="34.5" hidden="1" customHeight="1" thickBot="1">
      <c r="A2042" s="144">
        <f>A2041*A2040</f>
        <v>2150</v>
      </c>
      <c r="B2042" s="152"/>
      <c r="C2042" s="145"/>
      <c r="D2042" s="35" t="s">
        <v>7</v>
      </c>
      <c r="J2042" s="27"/>
      <c r="K2042" s="27"/>
      <c r="L2042" s="27"/>
      <c r="M2042" s="27"/>
      <c r="N2042" s="27"/>
      <c r="O2042" s="27"/>
      <c r="P2042" s="27"/>
    </row>
    <row r="2043" spans="1:16" s="28" customFormat="1" ht="34.5" hidden="1" customHeight="1" thickBot="1">
      <c r="A2043" s="144">
        <v>0</v>
      </c>
      <c r="B2043" s="152"/>
      <c r="C2043" s="145"/>
      <c r="D2043" s="35" t="s">
        <v>437</v>
      </c>
      <c r="J2043" s="27"/>
      <c r="K2043" s="27"/>
      <c r="L2043" s="27"/>
      <c r="M2043" s="27"/>
      <c r="N2043" s="27"/>
      <c r="O2043" s="27"/>
      <c r="P2043" s="27"/>
    </row>
    <row r="2044" spans="1:16" s="28" customFormat="1" ht="34.5" hidden="1" customHeight="1" thickBot="1">
      <c r="A2044" s="34">
        <v>0</v>
      </c>
      <c r="B2044" s="32" t="s">
        <v>8</v>
      </c>
      <c r="C2044" s="33">
        <v>2150</v>
      </c>
      <c r="D2044" s="32" t="s">
        <v>9</v>
      </c>
      <c r="J2044" s="27"/>
      <c r="K2044" s="27"/>
      <c r="L2044" s="27"/>
      <c r="M2044" s="27"/>
      <c r="N2044" s="27"/>
      <c r="O2044" s="27"/>
      <c r="P2044" s="27"/>
    </row>
    <row r="2045" spans="1:16" s="28" customFormat="1" ht="34.5" hidden="1" customHeight="1" thickBot="1">
      <c r="A2045" s="153" t="s">
        <v>436</v>
      </c>
      <c r="B2045" s="154"/>
      <c r="C2045" s="154"/>
      <c r="D2045" s="155"/>
      <c r="J2045" s="27"/>
      <c r="K2045" s="27"/>
      <c r="L2045" s="27"/>
      <c r="M2045" s="27"/>
      <c r="N2045" s="27"/>
      <c r="O2045" s="27"/>
      <c r="P2045" s="27"/>
    </row>
    <row r="2046" spans="1:16" s="28" customFormat="1" ht="34.5" hidden="1" customHeight="1" thickBot="1">
      <c r="A2046" s="156" t="s">
        <v>435</v>
      </c>
      <c r="B2046" s="157"/>
      <c r="C2046" s="157"/>
      <c r="D2046" s="158"/>
      <c r="J2046" s="27"/>
      <c r="K2046" s="27"/>
      <c r="L2046" s="27"/>
      <c r="M2046" s="27"/>
      <c r="N2046" s="27"/>
      <c r="O2046" s="27"/>
      <c r="P2046" s="27"/>
    </row>
    <row r="2047" spans="1:16" s="28" customFormat="1" ht="34.5" hidden="1" customHeight="1">
      <c r="A2047" s="159" t="s">
        <v>442</v>
      </c>
      <c r="B2047" s="160" t="s">
        <v>441</v>
      </c>
      <c r="C2047" s="160"/>
      <c r="D2047" s="161"/>
      <c r="J2047" s="27"/>
      <c r="K2047" s="27"/>
      <c r="L2047" s="27"/>
      <c r="M2047" s="27"/>
      <c r="N2047" s="27"/>
      <c r="O2047" s="27"/>
      <c r="P2047" s="27"/>
    </row>
    <row r="2048" spans="1:16" s="28" customFormat="1" ht="34.5" hidden="1" customHeight="1" thickBot="1">
      <c r="A2048" s="162"/>
      <c r="B2048" s="163"/>
      <c r="C2048" s="163"/>
      <c r="D2048" s="164"/>
      <c r="J2048" s="27"/>
      <c r="K2048" s="27"/>
      <c r="L2048" s="27"/>
      <c r="M2048" s="27"/>
      <c r="N2048" s="27"/>
      <c r="O2048" s="27"/>
      <c r="P2048" s="27"/>
    </row>
    <row r="2049" spans="1:16" s="28" customFormat="1" ht="34.5" hidden="1" customHeight="1" thickBot="1">
      <c r="A2049" s="142" t="s">
        <v>11</v>
      </c>
      <c r="B2049" s="143"/>
      <c r="C2049" s="165" t="s">
        <v>12</v>
      </c>
      <c r="D2049" s="143"/>
      <c r="J2049" s="27"/>
      <c r="K2049" s="27"/>
      <c r="L2049" s="27"/>
      <c r="M2049" s="27"/>
      <c r="N2049" s="27"/>
      <c r="O2049" s="27"/>
      <c r="P2049" s="27"/>
    </row>
    <row r="2050" spans="1:16" s="28" customFormat="1" ht="34.5" hidden="1" customHeight="1" thickBot="1">
      <c r="A2050" s="137" t="s">
        <v>451</v>
      </c>
      <c r="B2050" s="138"/>
      <c r="C2050" s="138"/>
      <c r="D2050" s="139"/>
      <c r="J2050" s="27"/>
      <c r="K2050" s="27"/>
      <c r="L2050" s="27"/>
      <c r="M2050" s="27"/>
      <c r="N2050" s="27"/>
      <c r="O2050" s="27"/>
      <c r="P2050" s="27"/>
    </row>
    <row r="2051" spans="1:16" s="28" customFormat="1" ht="34.5" hidden="1" customHeight="1" thickBot="1">
      <c r="A2051" s="34" t="s">
        <v>447</v>
      </c>
      <c r="B2051" s="32" t="s">
        <v>438</v>
      </c>
      <c r="C2051" s="34"/>
      <c r="D2051" s="32" t="s">
        <v>0</v>
      </c>
      <c r="J2051" s="27"/>
      <c r="K2051" s="27"/>
      <c r="L2051" s="27"/>
      <c r="M2051" s="27"/>
      <c r="N2051" s="27"/>
      <c r="O2051" s="27"/>
      <c r="P2051" s="27"/>
    </row>
    <row r="2052" spans="1:16" s="28" customFormat="1" ht="34.5" hidden="1" customHeight="1" thickBot="1">
      <c r="A2052" s="37" t="s">
        <v>13</v>
      </c>
      <c r="B2052" s="36" t="s">
        <v>1</v>
      </c>
      <c r="C2052" s="34" t="s">
        <v>14</v>
      </c>
      <c r="D2052" s="32" t="s">
        <v>2</v>
      </c>
      <c r="J2052" s="27"/>
      <c r="K2052" s="27"/>
      <c r="L2052" s="27"/>
      <c r="M2052" s="27"/>
      <c r="N2052" s="27"/>
      <c r="O2052" s="27"/>
      <c r="P2052" s="27"/>
    </row>
    <row r="2053" spans="1:16" s="28" customFormat="1" ht="34.5" hidden="1" customHeight="1" thickBot="1">
      <c r="A2053" s="140">
        <v>100</v>
      </c>
      <c r="B2053" s="141"/>
      <c r="C2053" s="142" t="s">
        <v>3</v>
      </c>
      <c r="D2053" s="143"/>
      <c r="J2053" s="27"/>
      <c r="K2053" s="27"/>
      <c r="L2053" s="27"/>
      <c r="M2053" s="27"/>
      <c r="N2053" s="27"/>
      <c r="O2053" s="27"/>
      <c r="P2053" s="27"/>
    </row>
    <row r="2054" spans="1:16" s="28" customFormat="1" ht="34.5" hidden="1" customHeight="1" thickBot="1">
      <c r="A2054" s="140">
        <v>113</v>
      </c>
      <c r="B2054" s="141"/>
      <c r="C2054" s="144" t="s">
        <v>4</v>
      </c>
      <c r="D2054" s="145"/>
      <c r="J2054" s="27"/>
      <c r="K2054" s="27"/>
      <c r="L2054" s="27"/>
      <c r="M2054" s="27"/>
      <c r="N2054" s="27"/>
      <c r="O2054" s="27"/>
      <c r="P2054" s="27"/>
    </row>
    <row r="2055" spans="1:16" s="28" customFormat="1" ht="34.5" hidden="1" customHeight="1" thickBot="1">
      <c r="A2055" s="146">
        <f>A2054-A2053</f>
        <v>13</v>
      </c>
      <c r="B2055" s="147"/>
      <c r="C2055" s="148"/>
      <c r="D2055" s="35" t="s">
        <v>5</v>
      </c>
      <c r="J2055" s="27"/>
      <c r="K2055" s="27"/>
      <c r="L2055" s="27"/>
      <c r="M2055" s="27"/>
      <c r="N2055" s="27"/>
      <c r="O2055" s="27"/>
      <c r="P2055" s="27"/>
    </row>
    <row r="2056" spans="1:16" s="28" customFormat="1" ht="34.5" hidden="1" customHeight="1" thickBot="1">
      <c r="A2056" s="149">
        <v>50</v>
      </c>
      <c r="B2056" s="150"/>
      <c r="C2056" s="151"/>
      <c r="D2056" s="35" t="s">
        <v>6</v>
      </c>
      <c r="J2056" s="27"/>
      <c r="K2056" s="27"/>
      <c r="L2056" s="27"/>
      <c r="M2056" s="27"/>
      <c r="N2056" s="27"/>
      <c r="O2056" s="27"/>
      <c r="P2056" s="27"/>
    </row>
    <row r="2057" spans="1:16" s="28" customFormat="1" ht="34.5" hidden="1" customHeight="1" thickBot="1">
      <c r="A2057" s="144">
        <f>A2056*A2055</f>
        <v>650</v>
      </c>
      <c r="B2057" s="152"/>
      <c r="C2057" s="145"/>
      <c r="D2057" s="35" t="s">
        <v>7</v>
      </c>
      <c r="J2057" s="27"/>
      <c r="K2057" s="27"/>
      <c r="L2057" s="27"/>
      <c r="M2057" s="27"/>
      <c r="N2057" s="27"/>
      <c r="O2057" s="27"/>
      <c r="P2057" s="27"/>
    </row>
    <row r="2058" spans="1:16" s="28" customFormat="1" ht="34.5" hidden="1" customHeight="1" thickBot="1">
      <c r="A2058" s="144">
        <v>0</v>
      </c>
      <c r="B2058" s="152"/>
      <c r="C2058" s="145"/>
      <c r="D2058" s="35" t="s">
        <v>437</v>
      </c>
      <c r="J2058" s="27"/>
      <c r="K2058" s="27"/>
      <c r="L2058" s="27"/>
      <c r="M2058" s="27"/>
      <c r="N2058" s="27"/>
      <c r="O2058" s="27"/>
      <c r="P2058" s="27"/>
    </row>
    <row r="2059" spans="1:16" s="28" customFormat="1" ht="34.5" hidden="1" customHeight="1" thickBot="1">
      <c r="A2059" s="34">
        <v>0</v>
      </c>
      <c r="B2059" s="32" t="s">
        <v>8</v>
      </c>
      <c r="C2059" s="33">
        <v>650</v>
      </c>
      <c r="D2059" s="32" t="s">
        <v>9</v>
      </c>
      <c r="J2059" s="27"/>
      <c r="K2059" s="27"/>
      <c r="L2059" s="27"/>
      <c r="M2059" s="27"/>
      <c r="N2059" s="27"/>
      <c r="O2059" s="27"/>
      <c r="P2059" s="27"/>
    </row>
    <row r="2060" spans="1:16" s="28" customFormat="1" ht="34.5" hidden="1" customHeight="1" thickBot="1">
      <c r="A2060" s="153" t="s">
        <v>436</v>
      </c>
      <c r="B2060" s="154"/>
      <c r="C2060" s="154"/>
      <c r="D2060" s="155"/>
      <c r="J2060" s="27"/>
      <c r="K2060" s="27"/>
      <c r="L2060" s="27"/>
      <c r="M2060" s="27"/>
      <c r="N2060" s="27"/>
      <c r="O2060" s="27"/>
      <c r="P2060" s="27"/>
    </row>
    <row r="2061" spans="1:16" s="28" customFormat="1" ht="34.5" hidden="1" customHeight="1" thickBot="1">
      <c r="A2061" s="156" t="s">
        <v>435</v>
      </c>
      <c r="B2061" s="157"/>
      <c r="C2061" s="157"/>
      <c r="D2061" s="158"/>
      <c r="J2061" s="27"/>
      <c r="K2061" s="27"/>
      <c r="L2061" s="27"/>
      <c r="M2061" s="27"/>
      <c r="N2061" s="27"/>
      <c r="O2061" s="27"/>
      <c r="P2061" s="27"/>
    </row>
    <row r="2062" spans="1:16" s="28" customFormat="1" ht="34.5" hidden="1" customHeight="1" thickBot="1">
      <c r="A2062" s="40"/>
      <c r="B2062" s="39"/>
      <c r="C2062" s="39"/>
      <c r="D2062" s="38"/>
      <c r="J2062" s="27"/>
      <c r="K2062" s="27"/>
      <c r="L2062" s="27"/>
      <c r="M2062" s="27"/>
      <c r="N2062" s="27"/>
      <c r="O2062" s="27"/>
      <c r="P2062" s="27"/>
    </row>
    <row r="2063" spans="1:16" s="28" customFormat="1" ht="34.5" hidden="1" customHeight="1">
      <c r="A2063" s="159" t="s">
        <v>441</v>
      </c>
      <c r="B2063" s="160"/>
      <c r="C2063" s="160"/>
      <c r="D2063" s="161"/>
      <c r="J2063" s="27"/>
      <c r="K2063" s="27"/>
      <c r="L2063" s="27"/>
      <c r="M2063" s="27"/>
      <c r="N2063" s="27"/>
      <c r="O2063" s="27"/>
      <c r="P2063" s="27"/>
    </row>
    <row r="2064" spans="1:16" s="28" customFormat="1" ht="34.5" hidden="1" customHeight="1" thickBot="1">
      <c r="A2064" s="162"/>
      <c r="B2064" s="163"/>
      <c r="C2064" s="163"/>
      <c r="D2064" s="164"/>
      <c r="J2064" s="27"/>
      <c r="K2064" s="27"/>
      <c r="L2064" s="27"/>
      <c r="M2064" s="27"/>
      <c r="N2064" s="27"/>
      <c r="O2064" s="27"/>
      <c r="P2064" s="27"/>
    </row>
    <row r="2065" spans="1:16" s="28" customFormat="1" ht="34.5" hidden="1" customHeight="1" thickBot="1">
      <c r="A2065" s="142" t="s">
        <v>11</v>
      </c>
      <c r="B2065" s="143"/>
      <c r="C2065" s="165" t="s">
        <v>12</v>
      </c>
      <c r="D2065" s="143"/>
      <c r="J2065" s="27"/>
      <c r="K2065" s="27"/>
      <c r="L2065" s="27"/>
      <c r="M2065" s="27"/>
      <c r="N2065" s="27"/>
      <c r="O2065" s="27"/>
      <c r="P2065" s="27"/>
    </row>
    <row r="2066" spans="1:16" s="28" customFormat="1" ht="34.5" hidden="1" customHeight="1" thickBot="1">
      <c r="A2066" s="137" t="s">
        <v>451</v>
      </c>
      <c r="B2066" s="138"/>
      <c r="C2066" s="138"/>
      <c r="D2066" s="139"/>
      <c r="J2066" s="27"/>
      <c r="K2066" s="27"/>
      <c r="L2066" s="27"/>
      <c r="M2066" s="27"/>
      <c r="N2066" s="27"/>
      <c r="O2066" s="27"/>
      <c r="P2066" s="27"/>
    </row>
    <row r="2067" spans="1:16" s="28" customFormat="1" ht="34.5" hidden="1" customHeight="1" thickBot="1">
      <c r="A2067" s="34" t="s">
        <v>447</v>
      </c>
      <c r="B2067" s="32" t="s">
        <v>438</v>
      </c>
      <c r="C2067" s="34"/>
      <c r="D2067" s="32" t="s">
        <v>0</v>
      </c>
      <c r="J2067" s="27"/>
      <c r="K2067" s="27"/>
      <c r="L2067" s="27"/>
      <c r="M2067" s="27"/>
      <c r="N2067" s="27"/>
      <c r="O2067" s="27"/>
      <c r="P2067" s="27"/>
    </row>
    <row r="2068" spans="1:16" s="28" customFormat="1" ht="34.5" hidden="1" customHeight="1" thickBot="1">
      <c r="A2068" s="37" t="s">
        <v>13</v>
      </c>
      <c r="B2068" s="36" t="s">
        <v>1</v>
      </c>
      <c r="C2068" s="34" t="s">
        <v>14</v>
      </c>
      <c r="D2068" s="32" t="s">
        <v>2</v>
      </c>
      <c r="J2068" s="27"/>
      <c r="K2068" s="27"/>
      <c r="L2068" s="27"/>
      <c r="M2068" s="27"/>
      <c r="N2068" s="27"/>
      <c r="O2068" s="27"/>
      <c r="P2068" s="27"/>
    </row>
    <row r="2069" spans="1:16" s="28" customFormat="1" ht="34.5" hidden="1" customHeight="1" thickBot="1">
      <c r="A2069" s="140">
        <v>100</v>
      </c>
      <c r="B2069" s="141"/>
      <c r="C2069" s="142" t="s">
        <v>3</v>
      </c>
      <c r="D2069" s="143"/>
      <c r="J2069" s="27"/>
      <c r="K2069" s="27"/>
      <c r="L2069" s="27"/>
      <c r="M2069" s="27"/>
      <c r="N2069" s="27"/>
      <c r="O2069" s="27"/>
      <c r="P2069" s="27"/>
    </row>
    <row r="2070" spans="1:16" s="28" customFormat="1" ht="34.5" hidden="1" customHeight="1" thickBot="1">
      <c r="A2070" s="140">
        <v>113</v>
      </c>
      <c r="B2070" s="141"/>
      <c r="C2070" s="144" t="s">
        <v>4</v>
      </c>
      <c r="D2070" s="145"/>
      <c r="J2070" s="27"/>
      <c r="K2070" s="27"/>
      <c r="L2070" s="27"/>
      <c r="M2070" s="27"/>
      <c r="N2070" s="27"/>
      <c r="O2070" s="27"/>
      <c r="P2070" s="27"/>
    </row>
    <row r="2071" spans="1:16" s="28" customFormat="1" ht="34.5" hidden="1" customHeight="1" thickBot="1">
      <c r="A2071" s="146">
        <f>A2070-A2069</f>
        <v>13</v>
      </c>
      <c r="B2071" s="147"/>
      <c r="C2071" s="148"/>
      <c r="D2071" s="35" t="s">
        <v>5</v>
      </c>
      <c r="J2071" s="27"/>
      <c r="K2071" s="27"/>
      <c r="L2071" s="27"/>
      <c r="M2071" s="27"/>
      <c r="N2071" s="27"/>
      <c r="O2071" s="27"/>
      <c r="P2071" s="27"/>
    </row>
    <row r="2072" spans="1:16" s="28" customFormat="1" ht="34.5" hidden="1" customHeight="1" thickBot="1">
      <c r="A2072" s="149">
        <v>50</v>
      </c>
      <c r="B2072" s="150"/>
      <c r="C2072" s="151"/>
      <c r="D2072" s="35" t="s">
        <v>6</v>
      </c>
      <c r="J2072" s="27"/>
      <c r="K2072" s="27"/>
      <c r="L2072" s="27"/>
      <c r="M2072" s="27"/>
      <c r="N2072" s="27"/>
      <c r="O2072" s="27"/>
      <c r="P2072" s="27"/>
    </row>
    <row r="2073" spans="1:16" s="28" customFormat="1" ht="34.5" hidden="1" customHeight="1" thickBot="1">
      <c r="A2073" s="144">
        <f>A2072*A2071</f>
        <v>650</v>
      </c>
      <c r="B2073" s="152"/>
      <c r="C2073" s="145"/>
      <c r="D2073" s="35" t="s">
        <v>7</v>
      </c>
      <c r="J2073" s="27"/>
      <c r="K2073" s="27"/>
      <c r="L2073" s="27"/>
      <c r="M2073" s="27"/>
      <c r="N2073" s="27"/>
      <c r="O2073" s="27"/>
      <c r="P2073" s="27"/>
    </row>
    <row r="2074" spans="1:16" s="28" customFormat="1" ht="34.5" hidden="1" customHeight="1" thickBot="1">
      <c r="A2074" s="144">
        <v>0</v>
      </c>
      <c r="B2074" s="152"/>
      <c r="C2074" s="145"/>
      <c r="D2074" s="35" t="s">
        <v>437</v>
      </c>
      <c r="J2074" s="27"/>
      <c r="K2074" s="27"/>
      <c r="L2074" s="27"/>
      <c r="M2074" s="27"/>
      <c r="N2074" s="27"/>
      <c r="O2074" s="27"/>
      <c r="P2074" s="27"/>
    </row>
    <row r="2075" spans="1:16" s="28" customFormat="1" ht="34.5" hidden="1" customHeight="1" thickBot="1">
      <c r="A2075" s="34">
        <v>0</v>
      </c>
      <c r="B2075" s="32" t="s">
        <v>8</v>
      </c>
      <c r="C2075" s="33">
        <v>650</v>
      </c>
      <c r="D2075" s="32" t="s">
        <v>9</v>
      </c>
      <c r="J2075" s="27"/>
      <c r="K2075" s="27"/>
      <c r="L2075" s="27"/>
      <c r="M2075" s="27"/>
      <c r="N2075" s="27"/>
      <c r="O2075" s="27"/>
      <c r="P2075" s="27"/>
    </row>
    <row r="2076" spans="1:16" s="28" customFormat="1" ht="34.5" hidden="1" customHeight="1" thickBot="1">
      <c r="A2076" s="153" t="s">
        <v>436</v>
      </c>
      <c r="B2076" s="154"/>
      <c r="C2076" s="154"/>
      <c r="D2076" s="155"/>
      <c r="J2076" s="27"/>
      <c r="K2076" s="27"/>
      <c r="L2076" s="27"/>
      <c r="M2076" s="27"/>
      <c r="N2076" s="27"/>
      <c r="O2076" s="27"/>
      <c r="P2076" s="27"/>
    </row>
    <row r="2077" spans="1:16" s="28" customFormat="1" ht="34.5" hidden="1" customHeight="1" thickBot="1">
      <c r="A2077" s="156" t="s">
        <v>435</v>
      </c>
      <c r="B2077" s="157"/>
      <c r="C2077" s="157"/>
      <c r="D2077" s="158"/>
      <c r="J2077" s="27"/>
      <c r="K2077" s="27"/>
      <c r="L2077" s="27"/>
      <c r="M2077" s="27"/>
      <c r="N2077" s="27"/>
      <c r="O2077" s="27"/>
      <c r="P2077" s="27"/>
    </row>
    <row r="2078" spans="1:16" s="28" customFormat="1" ht="34.5" hidden="1" customHeight="1">
      <c r="A2078" s="159" t="s">
        <v>442</v>
      </c>
      <c r="B2078" s="160" t="s">
        <v>441</v>
      </c>
      <c r="C2078" s="160"/>
      <c r="D2078" s="161"/>
      <c r="J2078" s="27"/>
      <c r="K2078" s="27"/>
      <c r="L2078" s="27"/>
      <c r="M2078" s="27"/>
      <c r="N2078" s="27"/>
      <c r="O2078" s="27"/>
      <c r="P2078" s="27"/>
    </row>
    <row r="2079" spans="1:16" s="28" customFormat="1" ht="34.5" hidden="1" customHeight="1" thickBot="1">
      <c r="A2079" s="162"/>
      <c r="B2079" s="163"/>
      <c r="C2079" s="163"/>
      <c r="D2079" s="164"/>
      <c r="J2079" s="27"/>
      <c r="K2079" s="27"/>
      <c r="L2079" s="27"/>
      <c r="M2079" s="27"/>
      <c r="N2079" s="27"/>
      <c r="O2079" s="27"/>
      <c r="P2079" s="27"/>
    </row>
    <row r="2080" spans="1:16" s="28" customFormat="1" ht="34.5" hidden="1" customHeight="1" thickBot="1">
      <c r="A2080" s="142" t="s">
        <v>11</v>
      </c>
      <c r="B2080" s="143"/>
      <c r="C2080" s="165" t="s">
        <v>12</v>
      </c>
      <c r="D2080" s="143"/>
      <c r="J2080" s="27"/>
      <c r="K2080" s="27"/>
      <c r="L2080" s="27"/>
      <c r="M2080" s="27"/>
      <c r="N2080" s="27"/>
      <c r="O2080" s="27"/>
      <c r="P2080" s="27"/>
    </row>
    <row r="2081" spans="1:16" s="28" customFormat="1" ht="34.5" hidden="1" customHeight="1" thickBot="1">
      <c r="A2081" s="137" t="s">
        <v>450</v>
      </c>
      <c r="B2081" s="138"/>
      <c r="C2081" s="138"/>
      <c r="D2081" s="139"/>
      <c r="J2081" s="27"/>
      <c r="K2081" s="27"/>
      <c r="L2081" s="27"/>
      <c r="M2081" s="27"/>
      <c r="N2081" s="27"/>
      <c r="O2081" s="27"/>
      <c r="P2081" s="27"/>
    </row>
    <row r="2082" spans="1:16" s="28" customFormat="1" ht="34.5" hidden="1" customHeight="1" thickBot="1">
      <c r="A2082" s="34" t="s">
        <v>447</v>
      </c>
      <c r="B2082" s="32" t="s">
        <v>438</v>
      </c>
      <c r="C2082" s="34"/>
      <c r="D2082" s="32" t="s">
        <v>0</v>
      </c>
      <c r="J2082" s="27"/>
      <c r="K2082" s="27"/>
      <c r="L2082" s="27"/>
      <c r="M2082" s="27"/>
      <c r="N2082" s="27"/>
      <c r="O2082" s="27"/>
      <c r="P2082" s="27"/>
    </row>
    <row r="2083" spans="1:16" s="28" customFormat="1" ht="34.5" hidden="1" customHeight="1" thickBot="1">
      <c r="A2083" s="37" t="s">
        <v>13</v>
      </c>
      <c r="B2083" s="36" t="s">
        <v>1</v>
      </c>
      <c r="C2083" s="34" t="s">
        <v>14</v>
      </c>
      <c r="D2083" s="32" t="s">
        <v>2</v>
      </c>
      <c r="J2083" s="27"/>
      <c r="K2083" s="27"/>
      <c r="L2083" s="27"/>
      <c r="M2083" s="27"/>
      <c r="N2083" s="27"/>
      <c r="O2083" s="27"/>
      <c r="P2083" s="27"/>
    </row>
    <row r="2084" spans="1:16" s="28" customFormat="1" ht="34.5" hidden="1" customHeight="1" thickBot="1">
      <c r="A2084" s="140">
        <v>131</v>
      </c>
      <c r="B2084" s="141"/>
      <c r="C2084" s="142" t="s">
        <v>3</v>
      </c>
      <c r="D2084" s="143"/>
      <c r="J2084" s="27"/>
      <c r="K2084" s="27"/>
      <c r="L2084" s="27"/>
      <c r="M2084" s="27"/>
      <c r="N2084" s="27"/>
      <c r="O2084" s="27"/>
      <c r="P2084" s="27"/>
    </row>
    <row r="2085" spans="1:16" s="28" customFormat="1" ht="34.5" hidden="1" customHeight="1" thickBot="1">
      <c r="A2085" s="140">
        <v>185</v>
      </c>
      <c r="B2085" s="141"/>
      <c r="C2085" s="144" t="s">
        <v>4</v>
      </c>
      <c r="D2085" s="145"/>
      <c r="J2085" s="27"/>
      <c r="K2085" s="27"/>
      <c r="L2085" s="27"/>
      <c r="M2085" s="27"/>
      <c r="N2085" s="27"/>
      <c r="O2085" s="27"/>
      <c r="P2085" s="27"/>
    </row>
    <row r="2086" spans="1:16" s="28" customFormat="1" ht="34.5" hidden="1" customHeight="1" thickBot="1">
      <c r="A2086" s="146">
        <f>A2085-A2084</f>
        <v>54</v>
      </c>
      <c r="B2086" s="147"/>
      <c r="C2086" s="148"/>
      <c r="D2086" s="35" t="s">
        <v>5</v>
      </c>
      <c r="J2086" s="27"/>
      <c r="K2086" s="27"/>
      <c r="L2086" s="27"/>
      <c r="M2086" s="27"/>
      <c r="N2086" s="27"/>
      <c r="O2086" s="27"/>
      <c r="P2086" s="27"/>
    </row>
    <row r="2087" spans="1:16" s="28" customFormat="1" ht="34.5" hidden="1" customHeight="1" thickBot="1">
      <c r="A2087" s="149">
        <v>50</v>
      </c>
      <c r="B2087" s="150"/>
      <c r="C2087" s="151"/>
      <c r="D2087" s="35" t="s">
        <v>6</v>
      </c>
      <c r="J2087" s="27"/>
      <c r="K2087" s="27"/>
      <c r="L2087" s="27"/>
      <c r="M2087" s="27"/>
      <c r="N2087" s="27"/>
      <c r="O2087" s="27"/>
      <c r="P2087" s="27"/>
    </row>
    <row r="2088" spans="1:16" s="28" customFormat="1" ht="34.5" hidden="1" customHeight="1" thickBot="1">
      <c r="A2088" s="144">
        <f>A2087*A2086</f>
        <v>2700</v>
      </c>
      <c r="B2088" s="152"/>
      <c r="C2088" s="145"/>
      <c r="D2088" s="35" t="s">
        <v>7</v>
      </c>
      <c r="J2088" s="27"/>
      <c r="K2088" s="27"/>
      <c r="L2088" s="27"/>
      <c r="M2088" s="27"/>
      <c r="N2088" s="27"/>
      <c r="O2088" s="27"/>
      <c r="P2088" s="27"/>
    </row>
    <row r="2089" spans="1:16" s="28" customFormat="1" ht="34.5" hidden="1" customHeight="1" thickBot="1">
      <c r="A2089" s="144">
        <v>0</v>
      </c>
      <c r="B2089" s="152"/>
      <c r="C2089" s="145"/>
      <c r="D2089" s="35" t="s">
        <v>437</v>
      </c>
      <c r="J2089" s="27"/>
      <c r="K2089" s="27"/>
      <c r="L2089" s="27"/>
      <c r="M2089" s="27"/>
      <c r="N2089" s="27"/>
      <c r="O2089" s="27"/>
      <c r="P2089" s="27"/>
    </row>
    <row r="2090" spans="1:16" s="28" customFormat="1" ht="34.5" hidden="1" customHeight="1" thickBot="1">
      <c r="A2090" s="34">
        <v>0</v>
      </c>
      <c r="B2090" s="32" t="s">
        <v>8</v>
      </c>
      <c r="C2090" s="33">
        <v>2700</v>
      </c>
      <c r="D2090" s="32" t="s">
        <v>9</v>
      </c>
      <c r="J2090" s="27"/>
      <c r="K2090" s="27"/>
      <c r="L2090" s="27"/>
      <c r="M2090" s="27"/>
      <c r="N2090" s="27"/>
      <c r="O2090" s="27"/>
      <c r="P2090" s="27"/>
    </row>
    <row r="2091" spans="1:16" s="28" customFormat="1" ht="34.5" hidden="1" customHeight="1" thickBot="1">
      <c r="A2091" s="153" t="s">
        <v>436</v>
      </c>
      <c r="B2091" s="154"/>
      <c r="C2091" s="154"/>
      <c r="D2091" s="155"/>
      <c r="J2091" s="27"/>
      <c r="K2091" s="27"/>
      <c r="L2091" s="27"/>
      <c r="M2091" s="27"/>
      <c r="N2091" s="27"/>
      <c r="O2091" s="27"/>
      <c r="P2091" s="27"/>
    </row>
    <row r="2092" spans="1:16" s="28" customFormat="1" ht="34.5" hidden="1" customHeight="1" thickBot="1">
      <c r="A2092" s="156" t="s">
        <v>435</v>
      </c>
      <c r="B2092" s="157"/>
      <c r="C2092" s="157"/>
      <c r="D2092" s="158"/>
      <c r="J2092" s="27"/>
      <c r="K2092" s="27"/>
      <c r="L2092" s="27"/>
      <c r="M2092" s="27"/>
      <c r="N2092" s="27"/>
      <c r="O2092" s="27"/>
      <c r="P2092" s="27"/>
    </row>
    <row r="2093" spans="1:16" s="28" customFormat="1" ht="34.5" hidden="1" customHeight="1" thickBot="1">
      <c r="A2093" s="40"/>
      <c r="B2093" s="39"/>
      <c r="C2093" s="39"/>
      <c r="D2093" s="38"/>
      <c r="J2093" s="27"/>
      <c r="K2093" s="27"/>
      <c r="L2093" s="27"/>
      <c r="M2093" s="27"/>
      <c r="N2093" s="27"/>
      <c r="O2093" s="27"/>
      <c r="P2093" s="27"/>
    </row>
    <row r="2094" spans="1:16" s="28" customFormat="1" ht="34.5" hidden="1" customHeight="1">
      <c r="A2094" s="159" t="s">
        <v>441</v>
      </c>
      <c r="B2094" s="160"/>
      <c r="C2094" s="160"/>
      <c r="D2094" s="161"/>
      <c r="J2094" s="27"/>
      <c r="K2094" s="27"/>
      <c r="L2094" s="27"/>
      <c r="M2094" s="27"/>
      <c r="N2094" s="27"/>
      <c r="O2094" s="27"/>
      <c r="P2094" s="27"/>
    </row>
    <row r="2095" spans="1:16" s="28" customFormat="1" ht="34.5" hidden="1" customHeight="1" thickBot="1">
      <c r="A2095" s="162"/>
      <c r="B2095" s="163"/>
      <c r="C2095" s="163"/>
      <c r="D2095" s="164"/>
      <c r="J2095" s="27"/>
      <c r="K2095" s="27"/>
      <c r="L2095" s="27"/>
      <c r="M2095" s="27"/>
      <c r="N2095" s="27"/>
      <c r="O2095" s="27"/>
      <c r="P2095" s="27"/>
    </row>
    <row r="2096" spans="1:16" s="28" customFormat="1" ht="34.5" hidden="1" customHeight="1" thickBot="1">
      <c r="A2096" s="142" t="s">
        <v>11</v>
      </c>
      <c r="B2096" s="143"/>
      <c r="C2096" s="165" t="s">
        <v>12</v>
      </c>
      <c r="D2096" s="143"/>
      <c r="J2096" s="27"/>
      <c r="K2096" s="27"/>
      <c r="L2096" s="27"/>
      <c r="M2096" s="27"/>
      <c r="N2096" s="27"/>
      <c r="O2096" s="27"/>
      <c r="P2096" s="27"/>
    </row>
    <row r="2097" spans="1:16" s="28" customFormat="1" ht="34.5" hidden="1" customHeight="1" thickBot="1">
      <c r="A2097" s="137" t="s">
        <v>450</v>
      </c>
      <c r="B2097" s="138"/>
      <c r="C2097" s="138"/>
      <c r="D2097" s="139"/>
      <c r="J2097" s="27"/>
      <c r="K2097" s="27"/>
      <c r="L2097" s="27"/>
      <c r="M2097" s="27"/>
      <c r="N2097" s="27"/>
      <c r="O2097" s="27"/>
      <c r="P2097" s="27"/>
    </row>
    <row r="2098" spans="1:16" s="28" customFormat="1" ht="34.5" hidden="1" customHeight="1" thickBot="1">
      <c r="A2098" s="34" t="s">
        <v>447</v>
      </c>
      <c r="B2098" s="32" t="s">
        <v>438</v>
      </c>
      <c r="C2098" s="34"/>
      <c r="D2098" s="32" t="s">
        <v>0</v>
      </c>
      <c r="J2098" s="27"/>
      <c r="K2098" s="27"/>
      <c r="L2098" s="27"/>
      <c r="M2098" s="27"/>
      <c r="N2098" s="27"/>
      <c r="O2098" s="27"/>
      <c r="P2098" s="27"/>
    </row>
    <row r="2099" spans="1:16" s="28" customFormat="1" ht="34.5" hidden="1" customHeight="1" thickBot="1">
      <c r="A2099" s="37" t="s">
        <v>13</v>
      </c>
      <c r="B2099" s="36" t="s">
        <v>1</v>
      </c>
      <c r="C2099" s="34" t="s">
        <v>14</v>
      </c>
      <c r="D2099" s="32" t="s">
        <v>2</v>
      </c>
      <c r="J2099" s="27"/>
      <c r="K2099" s="27"/>
      <c r="L2099" s="27"/>
      <c r="M2099" s="27"/>
      <c r="N2099" s="27"/>
      <c r="O2099" s="27"/>
      <c r="P2099" s="27"/>
    </row>
    <row r="2100" spans="1:16" s="28" customFormat="1" ht="34.5" hidden="1" customHeight="1" thickBot="1">
      <c r="A2100" s="140">
        <v>131</v>
      </c>
      <c r="B2100" s="141"/>
      <c r="C2100" s="142" t="s">
        <v>3</v>
      </c>
      <c r="D2100" s="143"/>
      <c r="J2100" s="27"/>
      <c r="K2100" s="27"/>
      <c r="L2100" s="27"/>
      <c r="M2100" s="27"/>
      <c r="N2100" s="27"/>
      <c r="O2100" s="27"/>
      <c r="P2100" s="27"/>
    </row>
    <row r="2101" spans="1:16" s="28" customFormat="1" ht="34.5" hidden="1" customHeight="1" thickBot="1">
      <c r="A2101" s="140">
        <v>185</v>
      </c>
      <c r="B2101" s="141"/>
      <c r="C2101" s="144" t="s">
        <v>4</v>
      </c>
      <c r="D2101" s="145"/>
      <c r="J2101" s="27"/>
      <c r="K2101" s="27"/>
      <c r="L2101" s="27"/>
      <c r="M2101" s="27"/>
      <c r="N2101" s="27"/>
      <c r="O2101" s="27"/>
      <c r="P2101" s="27"/>
    </row>
    <row r="2102" spans="1:16" s="28" customFormat="1" ht="34.5" hidden="1" customHeight="1" thickBot="1">
      <c r="A2102" s="146">
        <f>A2101-A2100</f>
        <v>54</v>
      </c>
      <c r="B2102" s="147"/>
      <c r="C2102" s="148"/>
      <c r="D2102" s="35" t="s">
        <v>5</v>
      </c>
      <c r="J2102" s="27"/>
      <c r="K2102" s="27"/>
      <c r="L2102" s="27"/>
      <c r="M2102" s="27"/>
      <c r="N2102" s="27"/>
      <c r="O2102" s="27"/>
      <c r="P2102" s="27"/>
    </row>
    <row r="2103" spans="1:16" s="28" customFormat="1" ht="34.5" hidden="1" customHeight="1" thickBot="1">
      <c r="A2103" s="149">
        <v>50</v>
      </c>
      <c r="B2103" s="150"/>
      <c r="C2103" s="151"/>
      <c r="D2103" s="35" t="s">
        <v>6</v>
      </c>
      <c r="J2103" s="27"/>
      <c r="K2103" s="27"/>
      <c r="L2103" s="27"/>
      <c r="M2103" s="27"/>
      <c r="N2103" s="27"/>
      <c r="O2103" s="27"/>
      <c r="P2103" s="27"/>
    </row>
    <row r="2104" spans="1:16" s="28" customFormat="1" ht="34.5" hidden="1" customHeight="1" thickBot="1">
      <c r="A2104" s="144">
        <f>A2103*A2102</f>
        <v>2700</v>
      </c>
      <c r="B2104" s="152"/>
      <c r="C2104" s="145"/>
      <c r="D2104" s="35" t="s">
        <v>7</v>
      </c>
      <c r="J2104" s="27"/>
      <c r="K2104" s="27"/>
      <c r="L2104" s="27"/>
      <c r="M2104" s="27"/>
      <c r="N2104" s="27"/>
      <c r="O2104" s="27"/>
      <c r="P2104" s="27"/>
    </row>
    <row r="2105" spans="1:16" s="28" customFormat="1" ht="34.5" hidden="1" customHeight="1" thickBot="1">
      <c r="A2105" s="144">
        <v>0</v>
      </c>
      <c r="B2105" s="152"/>
      <c r="C2105" s="145"/>
      <c r="D2105" s="35" t="s">
        <v>437</v>
      </c>
      <c r="J2105" s="27"/>
      <c r="K2105" s="27"/>
      <c r="L2105" s="27"/>
      <c r="M2105" s="27"/>
      <c r="N2105" s="27"/>
      <c r="O2105" s="27"/>
      <c r="P2105" s="27"/>
    </row>
    <row r="2106" spans="1:16" s="28" customFormat="1" ht="34.5" hidden="1" customHeight="1" thickBot="1">
      <c r="A2106" s="34">
        <v>0</v>
      </c>
      <c r="B2106" s="32" t="s">
        <v>8</v>
      </c>
      <c r="C2106" s="33">
        <v>2700</v>
      </c>
      <c r="D2106" s="32" t="s">
        <v>9</v>
      </c>
      <c r="J2106" s="27"/>
      <c r="K2106" s="27"/>
      <c r="L2106" s="27"/>
      <c r="M2106" s="27"/>
      <c r="N2106" s="27"/>
      <c r="O2106" s="27"/>
      <c r="P2106" s="27"/>
    </row>
    <row r="2107" spans="1:16" s="28" customFormat="1" ht="34.5" hidden="1" customHeight="1" thickBot="1">
      <c r="A2107" s="153" t="s">
        <v>436</v>
      </c>
      <c r="B2107" s="154"/>
      <c r="C2107" s="154"/>
      <c r="D2107" s="155"/>
      <c r="J2107" s="27"/>
      <c r="K2107" s="27"/>
      <c r="L2107" s="27"/>
      <c r="M2107" s="27"/>
      <c r="N2107" s="27"/>
      <c r="O2107" s="27"/>
      <c r="P2107" s="27"/>
    </row>
    <row r="2108" spans="1:16" s="28" customFormat="1" ht="34.5" hidden="1" customHeight="1" thickBot="1">
      <c r="A2108" s="156" t="s">
        <v>435</v>
      </c>
      <c r="B2108" s="157"/>
      <c r="C2108" s="157"/>
      <c r="D2108" s="158"/>
      <c r="J2108" s="27"/>
      <c r="K2108" s="27"/>
      <c r="L2108" s="27"/>
      <c r="M2108" s="27"/>
      <c r="N2108" s="27"/>
      <c r="O2108" s="27"/>
      <c r="P2108" s="27"/>
    </row>
    <row r="2109" spans="1:16" s="28" customFormat="1" ht="34.5" hidden="1" customHeight="1">
      <c r="A2109" s="159" t="s">
        <v>442</v>
      </c>
      <c r="B2109" s="160" t="s">
        <v>441</v>
      </c>
      <c r="C2109" s="160"/>
      <c r="D2109" s="161"/>
      <c r="J2109" s="27"/>
      <c r="K2109" s="27"/>
      <c r="L2109" s="27"/>
      <c r="M2109" s="27"/>
      <c r="N2109" s="27"/>
      <c r="O2109" s="27"/>
      <c r="P2109" s="27"/>
    </row>
    <row r="2110" spans="1:16" s="28" customFormat="1" ht="34.5" hidden="1" customHeight="1" thickBot="1">
      <c r="A2110" s="162"/>
      <c r="B2110" s="163"/>
      <c r="C2110" s="163"/>
      <c r="D2110" s="164"/>
      <c r="J2110" s="27"/>
      <c r="K2110" s="27"/>
      <c r="L2110" s="27"/>
      <c r="M2110" s="27"/>
      <c r="N2110" s="27"/>
      <c r="O2110" s="27"/>
      <c r="P2110" s="27"/>
    </row>
    <row r="2111" spans="1:16" s="28" customFormat="1" ht="34.5" hidden="1" customHeight="1" thickBot="1">
      <c r="A2111" s="142" t="s">
        <v>11</v>
      </c>
      <c r="B2111" s="143"/>
      <c r="C2111" s="165" t="s">
        <v>12</v>
      </c>
      <c r="D2111" s="143"/>
      <c r="J2111" s="27"/>
      <c r="K2111" s="27"/>
      <c r="L2111" s="27"/>
      <c r="M2111" s="27"/>
      <c r="N2111" s="27"/>
      <c r="O2111" s="27"/>
      <c r="P2111" s="27"/>
    </row>
    <row r="2112" spans="1:16" s="28" customFormat="1" ht="34.5" hidden="1" customHeight="1" thickBot="1">
      <c r="A2112" s="137" t="s">
        <v>449</v>
      </c>
      <c r="B2112" s="138"/>
      <c r="C2112" s="138"/>
      <c r="D2112" s="139"/>
      <c r="J2112" s="27"/>
      <c r="K2112" s="27"/>
      <c r="L2112" s="27"/>
      <c r="M2112" s="27"/>
      <c r="N2112" s="27"/>
      <c r="O2112" s="27"/>
      <c r="P2112" s="27"/>
    </row>
    <row r="2113" spans="1:16" s="28" customFormat="1" ht="34.5" hidden="1" customHeight="1" thickBot="1">
      <c r="A2113" s="34" t="s">
        <v>447</v>
      </c>
      <c r="B2113" s="32" t="s">
        <v>438</v>
      </c>
      <c r="C2113" s="34"/>
      <c r="D2113" s="32" t="s">
        <v>0</v>
      </c>
      <c r="J2113" s="27"/>
      <c r="K2113" s="27"/>
      <c r="L2113" s="27"/>
      <c r="M2113" s="27"/>
      <c r="N2113" s="27"/>
      <c r="O2113" s="27"/>
      <c r="P2113" s="27"/>
    </row>
    <row r="2114" spans="1:16" s="28" customFormat="1" ht="34.5" hidden="1" customHeight="1" thickBot="1">
      <c r="A2114" s="37" t="s">
        <v>13</v>
      </c>
      <c r="B2114" s="36" t="s">
        <v>1</v>
      </c>
      <c r="C2114" s="34" t="s">
        <v>14</v>
      </c>
      <c r="D2114" s="32" t="s">
        <v>2</v>
      </c>
      <c r="J2114" s="27"/>
      <c r="K2114" s="27"/>
      <c r="L2114" s="27"/>
      <c r="M2114" s="27"/>
      <c r="N2114" s="27"/>
      <c r="O2114" s="27"/>
      <c r="P2114" s="27"/>
    </row>
    <row r="2115" spans="1:16" s="28" customFormat="1" ht="34.5" hidden="1" customHeight="1" thickBot="1">
      <c r="A2115" s="140">
        <v>543</v>
      </c>
      <c r="B2115" s="141"/>
      <c r="C2115" s="142" t="s">
        <v>3</v>
      </c>
      <c r="D2115" s="143"/>
      <c r="J2115" s="27"/>
      <c r="K2115" s="27"/>
      <c r="L2115" s="27"/>
      <c r="M2115" s="27"/>
      <c r="N2115" s="27"/>
      <c r="O2115" s="27"/>
      <c r="P2115" s="27"/>
    </row>
    <row r="2116" spans="1:16" s="28" customFormat="1" ht="34.5" hidden="1" customHeight="1" thickBot="1">
      <c r="A2116" s="140">
        <v>605</v>
      </c>
      <c r="B2116" s="141"/>
      <c r="C2116" s="144" t="s">
        <v>4</v>
      </c>
      <c r="D2116" s="145"/>
      <c r="J2116" s="27"/>
      <c r="K2116" s="27"/>
      <c r="L2116" s="27"/>
      <c r="M2116" s="27"/>
      <c r="N2116" s="27"/>
      <c r="O2116" s="27"/>
      <c r="P2116" s="27"/>
    </row>
    <row r="2117" spans="1:16" s="28" customFormat="1" ht="34.5" hidden="1" customHeight="1" thickBot="1">
      <c r="A2117" s="146">
        <f>A2116-A2115</f>
        <v>62</v>
      </c>
      <c r="B2117" s="147"/>
      <c r="C2117" s="148"/>
      <c r="D2117" s="35" t="s">
        <v>5</v>
      </c>
      <c r="J2117" s="27"/>
      <c r="K2117" s="27"/>
      <c r="L2117" s="27"/>
      <c r="M2117" s="27"/>
      <c r="N2117" s="27"/>
      <c r="O2117" s="27"/>
      <c r="P2117" s="27"/>
    </row>
    <row r="2118" spans="1:16" s="28" customFormat="1" ht="34.5" hidden="1" customHeight="1" thickBot="1">
      <c r="A2118" s="149">
        <v>50</v>
      </c>
      <c r="B2118" s="150"/>
      <c r="C2118" s="151"/>
      <c r="D2118" s="35" t="s">
        <v>6</v>
      </c>
      <c r="J2118" s="27"/>
      <c r="K2118" s="27"/>
      <c r="L2118" s="27"/>
      <c r="M2118" s="27"/>
      <c r="N2118" s="27"/>
      <c r="O2118" s="27"/>
      <c r="P2118" s="27"/>
    </row>
    <row r="2119" spans="1:16" s="28" customFormat="1" ht="34.5" hidden="1" customHeight="1" thickBot="1">
      <c r="A2119" s="144">
        <f>A2118*A2117</f>
        <v>3100</v>
      </c>
      <c r="B2119" s="152"/>
      <c r="C2119" s="145"/>
      <c r="D2119" s="35" t="s">
        <v>7</v>
      </c>
      <c r="J2119" s="27"/>
      <c r="K2119" s="27"/>
      <c r="L2119" s="27"/>
      <c r="M2119" s="27"/>
      <c r="N2119" s="27"/>
      <c r="O2119" s="27"/>
      <c r="P2119" s="27"/>
    </row>
    <row r="2120" spans="1:16" s="28" customFormat="1" ht="34.5" hidden="1" customHeight="1" thickBot="1">
      <c r="A2120" s="144">
        <v>0</v>
      </c>
      <c r="B2120" s="152"/>
      <c r="C2120" s="145"/>
      <c r="D2120" s="35" t="s">
        <v>437</v>
      </c>
      <c r="J2120" s="27"/>
      <c r="K2120" s="27"/>
      <c r="L2120" s="27"/>
      <c r="M2120" s="27"/>
      <c r="N2120" s="27"/>
      <c r="O2120" s="27"/>
      <c r="P2120" s="27"/>
    </row>
    <row r="2121" spans="1:16" s="28" customFormat="1" ht="34.5" hidden="1" customHeight="1" thickBot="1">
      <c r="A2121" s="34">
        <v>0</v>
      </c>
      <c r="B2121" s="32" t="s">
        <v>8</v>
      </c>
      <c r="C2121" s="33">
        <v>3100</v>
      </c>
      <c r="D2121" s="32" t="s">
        <v>9</v>
      </c>
      <c r="J2121" s="27"/>
      <c r="K2121" s="27"/>
      <c r="L2121" s="27"/>
      <c r="M2121" s="27"/>
      <c r="N2121" s="27"/>
      <c r="O2121" s="27"/>
      <c r="P2121" s="27"/>
    </row>
    <row r="2122" spans="1:16" s="28" customFormat="1" ht="34.5" hidden="1" customHeight="1" thickBot="1">
      <c r="A2122" s="153" t="s">
        <v>436</v>
      </c>
      <c r="B2122" s="154"/>
      <c r="C2122" s="154"/>
      <c r="D2122" s="155"/>
      <c r="J2122" s="27"/>
      <c r="K2122" s="27"/>
      <c r="L2122" s="27"/>
      <c r="M2122" s="27"/>
      <c r="N2122" s="27"/>
      <c r="O2122" s="27"/>
      <c r="P2122" s="27"/>
    </row>
    <row r="2123" spans="1:16" s="28" customFormat="1" ht="34.5" hidden="1" customHeight="1" thickBot="1">
      <c r="A2123" s="156" t="s">
        <v>435</v>
      </c>
      <c r="B2123" s="157"/>
      <c r="C2123" s="157"/>
      <c r="D2123" s="158"/>
      <c r="J2123" s="27"/>
      <c r="K2123" s="27"/>
      <c r="L2123" s="27"/>
      <c r="M2123" s="27"/>
      <c r="N2123" s="27"/>
      <c r="O2123" s="27"/>
      <c r="P2123" s="27"/>
    </row>
    <row r="2124" spans="1:16" s="28" customFormat="1" ht="34.5" hidden="1" customHeight="1" thickBot="1">
      <c r="A2124" s="40"/>
      <c r="B2124" s="39"/>
      <c r="C2124" s="39"/>
      <c r="D2124" s="38"/>
      <c r="J2124" s="27"/>
      <c r="K2124" s="27"/>
      <c r="L2124" s="27"/>
      <c r="M2124" s="27"/>
      <c r="N2124" s="27"/>
      <c r="O2124" s="27"/>
      <c r="P2124" s="27"/>
    </row>
    <row r="2125" spans="1:16" s="28" customFormat="1" ht="34.5" hidden="1" customHeight="1">
      <c r="A2125" s="159" t="s">
        <v>441</v>
      </c>
      <c r="B2125" s="160"/>
      <c r="C2125" s="160"/>
      <c r="D2125" s="161"/>
      <c r="J2125" s="27"/>
      <c r="K2125" s="27"/>
      <c r="L2125" s="27"/>
      <c r="M2125" s="27"/>
      <c r="N2125" s="27"/>
      <c r="O2125" s="27"/>
      <c r="P2125" s="27"/>
    </row>
    <row r="2126" spans="1:16" s="28" customFormat="1" ht="34.5" hidden="1" customHeight="1" thickBot="1">
      <c r="A2126" s="162"/>
      <c r="B2126" s="163"/>
      <c r="C2126" s="163"/>
      <c r="D2126" s="164"/>
      <c r="J2126" s="27"/>
      <c r="K2126" s="27"/>
      <c r="L2126" s="27"/>
      <c r="M2126" s="27"/>
      <c r="N2126" s="27"/>
      <c r="O2126" s="27"/>
      <c r="P2126" s="27"/>
    </row>
    <row r="2127" spans="1:16" s="28" customFormat="1" ht="34.5" hidden="1" customHeight="1" thickBot="1">
      <c r="A2127" s="142" t="s">
        <v>11</v>
      </c>
      <c r="B2127" s="143"/>
      <c r="C2127" s="165" t="s">
        <v>12</v>
      </c>
      <c r="D2127" s="143"/>
      <c r="J2127" s="27"/>
      <c r="K2127" s="27"/>
      <c r="L2127" s="27"/>
      <c r="M2127" s="27"/>
      <c r="N2127" s="27"/>
      <c r="O2127" s="27"/>
      <c r="P2127" s="27"/>
    </row>
    <row r="2128" spans="1:16" s="28" customFormat="1" ht="34.5" hidden="1" customHeight="1" thickBot="1">
      <c r="A2128" s="137" t="s">
        <v>449</v>
      </c>
      <c r="B2128" s="138"/>
      <c r="C2128" s="138"/>
      <c r="D2128" s="139"/>
      <c r="J2128" s="27"/>
      <c r="K2128" s="27"/>
      <c r="L2128" s="27"/>
      <c r="M2128" s="27"/>
      <c r="N2128" s="27"/>
      <c r="O2128" s="27"/>
      <c r="P2128" s="27"/>
    </row>
    <row r="2129" spans="1:16" s="28" customFormat="1" ht="34.5" hidden="1" customHeight="1" thickBot="1">
      <c r="A2129" s="34" t="s">
        <v>447</v>
      </c>
      <c r="B2129" s="32" t="s">
        <v>438</v>
      </c>
      <c r="C2129" s="34"/>
      <c r="D2129" s="32" t="s">
        <v>0</v>
      </c>
      <c r="J2129" s="27"/>
      <c r="K2129" s="27"/>
      <c r="L2129" s="27"/>
      <c r="M2129" s="27"/>
      <c r="N2129" s="27"/>
      <c r="O2129" s="27"/>
      <c r="P2129" s="27"/>
    </row>
    <row r="2130" spans="1:16" s="28" customFormat="1" ht="34.5" hidden="1" customHeight="1" thickBot="1">
      <c r="A2130" s="37" t="s">
        <v>13</v>
      </c>
      <c r="B2130" s="36" t="s">
        <v>1</v>
      </c>
      <c r="C2130" s="34" t="s">
        <v>14</v>
      </c>
      <c r="D2130" s="32" t="s">
        <v>2</v>
      </c>
      <c r="J2130" s="27"/>
      <c r="K2130" s="27"/>
      <c r="L2130" s="27"/>
      <c r="M2130" s="27"/>
      <c r="N2130" s="27"/>
      <c r="O2130" s="27"/>
      <c r="P2130" s="27"/>
    </row>
    <row r="2131" spans="1:16" s="28" customFormat="1" ht="34.5" hidden="1" customHeight="1" thickBot="1">
      <c r="A2131" s="140">
        <v>543</v>
      </c>
      <c r="B2131" s="141"/>
      <c r="C2131" s="142" t="s">
        <v>3</v>
      </c>
      <c r="D2131" s="143"/>
      <c r="J2131" s="27"/>
      <c r="K2131" s="27"/>
      <c r="L2131" s="27"/>
      <c r="M2131" s="27"/>
      <c r="N2131" s="27"/>
      <c r="O2131" s="27"/>
      <c r="P2131" s="27"/>
    </row>
    <row r="2132" spans="1:16" s="28" customFormat="1" ht="34.5" hidden="1" customHeight="1" thickBot="1">
      <c r="A2132" s="140">
        <v>605</v>
      </c>
      <c r="B2132" s="141"/>
      <c r="C2132" s="144" t="s">
        <v>4</v>
      </c>
      <c r="D2132" s="145"/>
      <c r="J2132" s="27"/>
      <c r="K2132" s="27"/>
      <c r="L2132" s="27"/>
      <c r="M2132" s="27"/>
      <c r="N2132" s="27"/>
      <c r="O2132" s="27"/>
      <c r="P2132" s="27"/>
    </row>
    <row r="2133" spans="1:16" s="28" customFormat="1" ht="34.5" hidden="1" customHeight="1" thickBot="1">
      <c r="A2133" s="146">
        <f>A2132-A2131</f>
        <v>62</v>
      </c>
      <c r="B2133" s="147"/>
      <c r="C2133" s="148"/>
      <c r="D2133" s="35" t="s">
        <v>5</v>
      </c>
      <c r="J2133" s="27"/>
      <c r="K2133" s="27"/>
      <c r="L2133" s="27"/>
      <c r="M2133" s="27"/>
      <c r="N2133" s="27"/>
      <c r="O2133" s="27"/>
      <c r="P2133" s="27"/>
    </row>
    <row r="2134" spans="1:16" s="28" customFormat="1" ht="34.5" hidden="1" customHeight="1" thickBot="1">
      <c r="A2134" s="149">
        <v>50</v>
      </c>
      <c r="B2134" s="150"/>
      <c r="C2134" s="151"/>
      <c r="D2134" s="35" t="s">
        <v>6</v>
      </c>
      <c r="J2134" s="27"/>
      <c r="K2134" s="27"/>
      <c r="L2134" s="27"/>
      <c r="M2134" s="27"/>
      <c r="N2134" s="27"/>
      <c r="O2134" s="27"/>
      <c r="P2134" s="27"/>
    </row>
    <row r="2135" spans="1:16" s="28" customFormat="1" ht="34.5" hidden="1" customHeight="1" thickBot="1">
      <c r="A2135" s="144">
        <f>A2134*A2133</f>
        <v>3100</v>
      </c>
      <c r="B2135" s="152"/>
      <c r="C2135" s="145"/>
      <c r="D2135" s="35" t="s">
        <v>7</v>
      </c>
      <c r="J2135" s="27"/>
      <c r="K2135" s="27"/>
      <c r="L2135" s="27"/>
      <c r="M2135" s="27"/>
      <c r="N2135" s="27"/>
      <c r="O2135" s="27"/>
      <c r="P2135" s="27"/>
    </row>
    <row r="2136" spans="1:16" s="28" customFormat="1" ht="34.5" hidden="1" customHeight="1" thickBot="1">
      <c r="A2136" s="144">
        <v>0</v>
      </c>
      <c r="B2136" s="152"/>
      <c r="C2136" s="145"/>
      <c r="D2136" s="35" t="s">
        <v>437</v>
      </c>
      <c r="J2136" s="27"/>
      <c r="K2136" s="27"/>
      <c r="L2136" s="27"/>
      <c r="M2136" s="27"/>
      <c r="N2136" s="27"/>
      <c r="O2136" s="27"/>
      <c r="P2136" s="27"/>
    </row>
    <row r="2137" spans="1:16" s="28" customFormat="1" ht="34.5" hidden="1" customHeight="1" thickBot="1">
      <c r="A2137" s="34">
        <v>0</v>
      </c>
      <c r="B2137" s="32" t="s">
        <v>8</v>
      </c>
      <c r="C2137" s="33">
        <v>3100</v>
      </c>
      <c r="D2137" s="32" t="s">
        <v>9</v>
      </c>
      <c r="J2137" s="27"/>
      <c r="K2137" s="27"/>
      <c r="L2137" s="27"/>
      <c r="M2137" s="27"/>
      <c r="N2137" s="27"/>
      <c r="O2137" s="27"/>
      <c r="P2137" s="27"/>
    </row>
    <row r="2138" spans="1:16" s="28" customFormat="1" ht="34.5" hidden="1" customHeight="1" thickBot="1">
      <c r="A2138" s="153" t="s">
        <v>436</v>
      </c>
      <c r="B2138" s="154"/>
      <c r="C2138" s="154"/>
      <c r="D2138" s="155"/>
      <c r="J2138" s="27"/>
      <c r="K2138" s="27"/>
      <c r="L2138" s="27"/>
      <c r="M2138" s="27"/>
      <c r="N2138" s="27"/>
      <c r="O2138" s="27"/>
      <c r="P2138" s="27"/>
    </row>
    <row r="2139" spans="1:16" s="28" customFormat="1" ht="34.5" hidden="1" customHeight="1" thickBot="1">
      <c r="A2139" s="156" t="s">
        <v>435</v>
      </c>
      <c r="B2139" s="157"/>
      <c r="C2139" s="157"/>
      <c r="D2139" s="158"/>
      <c r="J2139" s="27"/>
      <c r="K2139" s="27"/>
      <c r="L2139" s="27"/>
      <c r="M2139" s="27"/>
      <c r="N2139" s="27"/>
      <c r="O2139" s="27"/>
      <c r="P2139" s="27"/>
    </row>
    <row r="2140" spans="1:16" s="28" customFormat="1" ht="34.5" hidden="1" customHeight="1">
      <c r="A2140" s="159" t="s">
        <v>442</v>
      </c>
      <c r="B2140" s="160" t="s">
        <v>441</v>
      </c>
      <c r="C2140" s="160"/>
      <c r="D2140" s="161"/>
      <c r="J2140" s="27"/>
      <c r="K2140" s="27"/>
      <c r="L2140" s="27"/>
      <c r="M2140" s="27"/>
      <c r="N2140" s="27"/>
      <c r="O2140" s="27"/>
      <c r="P2140" s="27"/>
    </row>
    <row r="2141" spans="1:16" s="28" customFormat="1" ht="34.5" hidden="1" customHeight="1" thickBot="1">
      <c r="A2141" s="162"/>
      <c r="B2141" s="163"/>
      <c r="C2141" s="163"/>
      <c r="D2141" s="164"/>
      <c r="J2141" s="27"/>
      <c r="K2141" s="27"/>
      <c r="L2141" s="27"/>
      <c r="M2141" s="27"/>
      <c r="N2141" s="27"/>
      <c r="O2141" s="27"/>
      <c r="P2141" s="27"/>
    </row>
    <row r="2142" spans="1:16" s="28" customFormat="1" ht="34.5" hidden="1" customHeight="1" thickBot="1">
      <c r="A2142" s="142" t="s">
        <v>11</v>
      </c>
      <c r="B2142" s="143"/>
      <c r="C2142" s="165" t="s">
        <v>12</v>
      </c>
      <c r="D2142" s="143"/>
      <c r="J2142" s="27"/>
      <c r="K2142" s="27"/>
      <c r="L2142" s="27"/>
      <c r="M2142" s="27"/>
      <c r="N2142" s="27"/>
      <c r="O2142" s="27"/>
      <c r="P2142" s="27"/>
    </row>
    <row r="2143" spans="1:16" s="28" customFormat="1" ht="34.5" hidden="1" customHeight="1" thickBot="1">
      <c r="A2143" s="137" t="s">
        <v>448</v>
      </c>
      <c r="B2143" s="138"/>
      <c r="C2143" s="138"/>
      <c r="D2143" s="139"/>
      <c r="J2143" s="27"/>
      <c r="K2143" s="27"/>
      <c r="L2143" s="27"/>
      <c r="M2143" s="27"/>
      <c r="N2143" s="27"/>
      <c r="O2143" s="27"/>
      <c r="P2143" s="27"/>
    </row>
    <row r="2144" spans="1:16" s="28" customFormat="1" ht="34.5" hidden="1" customHeight="1" thickBot="1">
      <c r="A2144" s="34" t="s">
        <v>447</v>
      </c>
      <c r="B2144" s="32" t="s">
        <v>438</v>
      </c>
      <c r="C2144" s="34"/>
      <c r="D2144" s="32" t="s">
        <v>0</v>
      </c>
      <c r="J2144" s="27"/>
      <c r="K2144" s="27"/>
      <c r="L2144" s="27"/>
      <c r="M2144" s="27"/>
      <c r="N2144" s="27"/>
      <c r="O2144" s="27"/>
      <c r="P2144" s="27"/>
    </row>
    <row r="2145" spans="1:16" s="28" customFormat="1" ht="34.5" hidden="1" customHeight="1" thickBot="1">
      <c r="A2145" s="37" t="s">
        <v>13</v>
      </c>
      <c r="B2145" s="36" t="s">
        <v>1</v>
      </c>
      <c r="C2145" s="34" t="s">
        <v>14</v>
      </c>
      <c r="D2145" s="32" t="s">
        <v>2</v>
      </c>
      <c r="J2145" s="27"/>
      <c r="K2145" s="27"/>
      <c r="L2145" s="27"/>
      <c r="M2145" s="27"/>
      <c r="N2145" s="27"/>
      <c r="O2145" s="27"/>
      <c r="P2145" s="27"/>
    </row>
    <row r="2146" spans="1:16" s="28" customFormat="1" ht="34.5" hidden="1" customHeight="1" thickBot="1">
      <c r="A2146" s="140">
        <v>2435</v>
      </c>
      <c r="B2146" s="141"/>
      <c r="C2146" s="142" t="s">
        <v>3</v>
      </c>
      <c r="D2146" s="143"/>
      <c r="J2146" s="27"/>
      <c r="K2146" s="27"/>
      <c r="L2146" s="27"/>
      <c r="M2146" s="27"/>
      <c r="N2146" s="27"/>
      <c r="O2146" s="27"/>
      <c r="P2146" s="27"/>
    </row>
    <row r="2147" spans="1:16" s="28" customFormat="1" ht="34.5" hidden="1" customHeight="1" thickBot="1">
      <c r="A2147" s="140">
        <v>2480</v>
      </c>
      <c r="B2147" s="141"/>
      <c r="C2147" s="144" t="s">
        <v>4</v>
      </c>
      <c r="D2147" s="145"/>
      <c r="J2147" s="27"/>
      <c r="K2147" s="27"/>
      <c r="L2147" s="27"/>
      <c r="M2147" s="27"/>
      <c r="N2147" s="27"/>
      <c r="O2147" s="27"/>
      <c r="P2147" s="27"/>
    </row>
    <row r="2148" spans="1:16" s="28" customFormat="1" ht="34.5" hidden="1" customHeight="1" thickBot="1">
      <c r="A2148" s="146">
        <f>A2147-A2146</f>
        <v>45</v>
      </c>
      <c r="B2148" s="147"/>
      <c r="C2148" s="148"/>
      <c r="D2148" s="35" t="s">
        <v>5</v>
      </c>
      <c r="J2148" s="27"/>
      <c r="K2148" s="27"/>
      <c r="L2148" s="27"/>
      <c r="M2148" s="27"/>
      <c r="N2148" s="27"/>
      <c r="O2148" s="27"/>
      <c r="P2148" s="27"/>
    </row>
    <row r="2149" spans="1:16" s="28" customFormat="1" ht="34.5" hidden="1" customHeight="1" thickBot="1">
      <c r="A2149" s="149">
        <v>50</v>
      </c>
      <c r="B2149" s="150"/>
      <c r="C2149" s="151"/>
      <c r="D2149" s="35" t="s">
        <v>6</v>
      </c>
      <c r="J2149" s="27"/>
      <c r="K2149" s="27"/>
      <c r="L2149" s="27"/>
      <c r="M2149" s="27"/>
      <c r="N2149" s="27"/>
      <c r="O2149" s="27"/>
      <c r="P2149" s="27"/>
    </row>
    <row r="2150" spans="1:16" s="28" customFormat="1" ht="34.5" hidden="1" customHeight="1" thickBot="1">
      <c r="A2150" s="144">
        <f>A2149*A2148</f>
        <v>2250</v>
      </c>
      <c r="B2150" s="152"/>
      <c r="C2150" s="145"/>
      <c r="D2150" s="35" t="s">
        <v>7</v>
      </c>
      <c r="J2150" s="27"/>
      <c r="K2150" s="27"/>
      <c r="L2150" s="27"/>
      <c r="M2150" s="27"/>
      <c r="N2150" s="27"/>
      <c r="O2150" s="27"/>
      <c r="P2150" s="27"/>
    </row>
    <row r="2151" spans="1:16" s="28" customFormat="1" ht="34.5" hidden="1" customHeight="1" thickBot="1">
      <c r="A2151" s="144">
        <v>0</v>
      </c>
      <c r="B2151" s="152"/>
      <c r="C2151" s="145"/>
      <c r="D2151" s="35" t="s">
        <v>437</v>
      </c>
      <c r="J2151" s="27"/>
      <c r="K2151" s="27"/>
      <c r="L2151" s="27"/>
      <c r="M2151" s="27"/>
      <c r="N2151" s="27"/>
      <c r="O2151" s="27"/>
      <c r="P2151" s="27"/>
    </row>
    <row r="2152" spans="1:16" s="28" customFormat="1" ht="34.5" hidden="1" customHeight="1" thickBot="1">
      <c r="A2152" s="34">
        <v>0</v>
      </c>
      <c r="B2152" s="32" t="s">
        <v>8</v>
      </c>
      <c r="C2152" s="33">
        <v>2250</v>
      </c>
      <c r="D2152" s="32" t="s">
        <v>9</v>
      </c>
      <c r="J2152" s="27"/>
      <c r="K2152" s="27"/>
      <c r="L2152" s="27"/>
      <c r="M2152" s="27"/>
      <c r="N2152" s="27"/>
      <c r="O2152" s="27"/>
      <c r="P2152" s="27"/>
    </row>
    <row r="2153" spans="1:16" s="28" customFormat="1" ht="34.5" hidden="1" customHeight="1" thickBot="1">
      <c r="A2153" s="153" t="s">
        <v>436</v>
      </c>
      <c r="B2153" s="154"/>
      <c r="C2153" s="154"/>
      <c r="D2153" s="155"/>
      <c r="J2153" s="27"/>
      <c r="K2153" s="27"/>
      <c r="L2153" s="27"/>
      <c r="M2153" s="27"/>
      <c r="N2153" s="27"/>
      <c r="O2153" s="27"/>
      <c r="P2153" s="27"/>
    </row>
    <row r="2154" spans="1:16" s="28" customFormat="1" ht="34.5" hidden="1" customHeight="1" thickBot="1">
      <c r="A2154" s="156" t="s">
        <v>435</v>
      </c>
      <c r="B2154" s="157"/>
      <c r="C2154" s="157"/>
      <c r="D2154" s="158"/>
      <c r="J2154" s="27"/>
      <c r="K2154" s="27"/>
      <c r="L2154" s="27"/>
      <c r="M2154" s="27"/>
      <c r="N2154" s="27"/>
      <c r="O2154" s="27"/>
      <c r="P2154" s="27"/>
    </row>
    <row r="2155" spans="1:16" s="28" customFormat="1" ht="34.5" hidden="1" customHeight="1" thickBot="1">
      <c r="A2155" s="40"/>
      <c r="B2155" s="39"/>
      <c r="C2155" s="39"/>
      <c r="D2155" s="38"/>
      <c r="J2155" s="27"/>
      <c r="K2155" s="27"/>
      <c r="L2155" s="27"/>
      <c r="M2155" s="27"/>
      <c r="N2155" s="27"/>
      <c r="O2155" s="27"/>
      <c r="P2155" s="27"/>
    </row>
    <row r="2156" spans="1:16" s="28" customFormat="1" ht="34.5" hidden="1" customHeight="1">
      <c r="A2156" s="159" t="s">
        <v>441</v>
      </c>
      <c r="B2156" s="160"/>
      <c r="C2156" s="160"/>
      <c r="D2156" s="161"/>
      <c r="J2156" s="27"/>
      <c r="K2156" s="27"/>
      <c r="L2156" s="27"/>
      <c r="M2156" s="27"/>
      <c r="N2156" s="27"/>
      <c r="O2156" s="27"/>
      <c r="P2156" s="27"/>
    </row>
    <row r="2157" spans="1:16" s="28" customFormat="1" ht="34.5" hidden="1" customHeight="1" thickBot="1">
      <c r="A2157" s="162"/>
      <c r="B2157" s="163"/>
      <c r="C2157" s="163"/>
      <c r="D2157" s="164"/>
      <c r="J2157" s="27"/>
      <c r="K2157" s="27"/>
      <c r="L2157" s="27"/>
      <c r="M2157" s="27"/>
      <c r="N2157" s="27"/>
      <c r="O2157" s="27"/>
      <c r="P2157" s="27"/>
    </row>
    <row r="2158" spans="1:16" s="28" customFormat="1" ht="34.5" hidden="1" customHeight="1" thickBot="1">
      <c r="A2158" s="142" t="s">
        <v>11</v>
      </c>
      <c r="B2158" s="143"/>
      <c r="C2158" s="165" t="s">
        <v>12</v>
      </c>
      <c r="D2158" s="143"/>
      <c r="J2158" s="27"/>
      <c r="K2158" s="27"/>
      <c r="L2158" s="27"/>
      <c r="M2158" s="27"/>
      <c r="N2158" s="27"/>
      <c r="O2158" s="27"/>
      <c r="P2158" s="27"/>
    </row>
    <row r="2159" spans="1:16" s="28" customFormat="1" ht="34.5" hidden="1" customHeight="1" thickBot="1">
      <c r="A2159" s="137" t="s">
        <v>448</v>
      </c>
      <c r="B2159" s="138"/>
      <c r="C2159" s="138"/>
      <c r="D2159" s="139"/>
      <c r="J2159" s="27"/>
      <c r="K2159" s="27"/>
      <c r="L2159" s="27"/>
      <c r="M2159" s="27"/>
      <c r="N2159" s="27"/>
      <c r="O2159" s="27"/>
      <c r="P2159" s="27"/>
    </row>
    <row r="2160" spans="1:16" s="28" customFormat="1" ht="34.5" hidden="1" customHeight="1" thickBot="1">
      <c r="A2160" s="34" t="s">
        <v>447</v>
      </c>
      <c r="B2160" s="32" t="s">
        <v>438</v>
      </c>
      <c r="C2160" s="34"/>
      <c r="D2160" s="32" t="s">
        <v>0</v>
      </c>
      <c r="J2160" s="27"/>
      <c r="K2160" s="27"/>
      <c r="L2160" s="27"/>
      <c r="M2160" s="27"/>
      <c r="N2160" s="27"/>
      <c r="O2160" s="27"/>
      <c r="P2160" s="27"/>
    </row>
    <row r="2161" spans="1:16" s="28" customFormat="1" ht="34.5" hidden="1" customHeight="1" thickBot="1">
      <c r="A2161" s="37" t="s">
        <v>13</v>
      </c>
      <c r="B2161" s="36" t="s">
        <v>1</v>
      </c>
      <c r="C2161" s="34" t="s">
        <v>14</v>
      </c>
      <c r="D2161" s="32" t="s">
        <v>2</v>
      </c>
      <c r="J2161" s="27"/>
      <c r="K2161" s="27"/>
      <c r="L2161" s="27"/>
      <c r="M2161" s="27"/>
      <c r="N2161" s="27"/>
      <c r="O2161" s="27"/>
      <c r="P2161" s="27"/>
    </row>
    <row r="2162" spans="1:16" s="28" customFormat="1" ht="34.5" hidden="1" customHeight="1" thickBot="1">
      <c r="A2162" s="140">
        <v>2435</v>
      </c>
      <c r="B2162" s="141"/>
      <c r="C2162" s="142" t="s">
        <v>3</v>
      </c>
      <c r="D2162" s="143"/>
      <c r="J2162" s="27"/>
      <c r="K2162" s="27"/>
      <c r="L2162" s="27"/>
      <c r="M2162" s="27"/>
      <c r="N2162" s="27"/>
      <c r="O2162" s="27"/>
      <c r="P2162" s="27"/>
    </row>
    <row r="2163" spans="1:16" s="28" customFormat="1" ht="34.5" hidden="1" customHeight="1" thickBot="1">
      <c r="A2163" s="140">
        <v>2480</v>
      </c>
      <c r="B2163" s="141"/>
      <c r="C2163" s="144" t="s">
        <v>4</v>
      </c>
      <c r="D2163" s="145"/>
      <c r="J2163" s="27"/>
      <c r="K2163" s="27"/>
      <c r="L2163" s="27"/>
      <c r="M2163" s="27"/>
      <c r="N2163" s="27"/>
      <c r="O2163" s="27"/>
      <c r="P2163" s="27"/>
    </row>
    <row r="2164" spans="1:16" s="28" customFormat="1" ht="34.5" hidden="1" customHeight="1" thickBot="1">
      <c r="A2164" s="146">
        <f>A2163-A2162</f>
        <v>45</v>
      </c>
      <c r="B2164" s="147"/>
      <c r="C2164" s="148"/>
      <c r="D2164" s="35" t="s">
        <v>5</v>
      </c>
      <c r="J2164" s="27"/>
      <c r="K2164" s="27"/>
      <c r="L2164" s="27"/>
      <c r="M2164" s="27"/>
      <c r="N2164" s="27"/>
      <c r="O2164" s="27"/>
      <c r="P2164" s="27"/>
    </row>
    <row r="2165" spans="1:16" s="28" customFormat="1" ht="34.5" hidden="1" customHeight="1" thickBot="1">
      <c r="A2165" s="149">
        <v>50</v>
      </c>
      <c r="B2165" s="150"/>
      <c r="C2165" s="151"/>
      <c r="D2165" s="35" t="s">
        <v>6</v>
      </c>
      <c r="J2165" s="27"/>
      <c r="K2165" s="27"/>
      <c r="L2165" s="27"/>
      <c r="M2165" s="27"/>
      <c r="N2165" s="27"/>
      <c r="O2165" s="27"/>
      <c r="P2165" s="27"/>
    </row>
    <row r="2166" spans="1:16" s="28" customFormat="1" ht="34.5" hidden="1" customHeight="1" thickBot="1">
      <c r="A2166" s="144">
        <f>A2165*A2164</f>
        <v>2250</v>
      </c>
      <c r="B2166" s="152"/>
      <c r="C2166" s="145"/>
      <c r="D2166" s="35" t="s">
        <v>7</v>
      </c>
      <c r="J2166" s="27"/>
      <c r="K2166" s="27"/>
      <c r="L2166" s="27"/>
      <c r="M2166" s="27"/>
      <c r="N2166" s="27"/>
      <c r="O2166" s="27"/>
      <c r="P2166" s="27"/>
    </row>
    <row r="2167" spans="1:16" s="28" customFormat="1" ht="34.5" hidden="1" customHeight="1" thickBot="1">
      <c r="A2167" s="144">
        <v>0</v>
      </c>
      <c r="B2167" s="152"/>
      <c r="C2167" s="145"/>
      <c r="D2167" s="35" t="s">
        <v>437</v>
      </c>
      <c r="J2167" s="27"/>
      <c r="K2167" s="27"/>
      <c r="L2167" s="27"/>
      <c r="M2167" s="27"/>
      <c r="N2167" s="27"/>
      <c r="O2167" s="27"/>
      <c r="P2167" s="27"/>
    </row>
    <row r="2168" spans="1:16" s="28" customFormat="1" ht="34.5" hidden="1" customHeight="1" thickBot="1">
      <c r="A2168" s="34">
        <v>0</v>
      </c>
      <c r="B2168" s="32" t="s">
        <v>8</v>
      </c>
      <c r="C2168" s="33">
        <v>2250</v>
      </c>
      <c r="D2168" s="32" t="s">
        <v>9</v>
      </c>
      <c r="J2168" s="27"/>
      <c r="K2168" s="27"/>
      <c r="L2168" s="27"/>
      <c r="M2168" s="27"/>
      <c r="N2168" s="27"/>
      <c r="O2168" s="27"/>
      <c r="P2168" s="27"/>
    </row>
    <row r="2169" spans="1:16" s="28" customFormat="1" ht="34.5" hidden="1" customHeight="1" thickBot="1">
      <c r="A2169" s="153" t="s">
        <v>436</v>
      </c>
      <c r="B2169" s="154"/>
      <c r="C2169" s="154"/>
      <c r="D2169" s="155"/>
      <c r="J2169" s="27"/>
      <c r="K2169" s="27"/>
      <c r="L2169" s="27"/>
      <c r="M2169" s="27"/>
      <c r="N2169" s="27"/>
      <c r="O2169" s="27"/>
      <c r="P2169" s="27"/>
    </row>
    <row r="2170" spans="1:16" s="28" customFormat="1" ht="34.5" hidden="1" customHeight="1" thickBot="1">
      <c r="A2170" s="156" t="s">
        <v>435</v>
      </c>
      <c r="B2170" s="157"/>
      <c r="C2170" s="157"/>
      <c r="D2170" s="158"/>
      <c r="J2170" s="27"/>
      <c r="K2170" s="27"/>
      <c r="L2170" s="27"/>
      <c r="M2170" s="27"/>
      <c r="N2170" s="27"/>
      <c r="O2170" s="27"/>
      <c r="P2170" s="27"/>
    </row>
    <row r="2171" spans="1:16" s="28" customFormat="1" ht="34.5" hidden="1" customHeight="1">
      <c r="A2171" s="159" t="s">
        <v>442</v>
      </c>
      <c r="B2171" s="160" t="s">
        <v>441</v>
      </c>
      <c r="C2171" s="160"/>
      <c r="D2171" s="161"/>
      <c r="J2171" s="27"/>
      <c r="K2171" s="27"/>
      <c r="L2171" s="27"/>
      <c r="M2171" s="27"/>
      <c r="N2171" s="27"/>
      <c r="O2171" s="27"/>
      <c r="P2171" s="27"/>
    </row>
    <row r="2172" spans="1:16" s="28" customFormat="1" ht="34.5" hidden="1" customHeight="1" thickBot="1">
      <c r="A2172" s="162"/>
      <c r="B2172" s="163"/>
      <c r="C2172" s="163"/>
      <c r="D2172" s="164"/>
      <c r="J2172" s="27"/>
      <c r="K2172" s="27"/>
      <c r="L2172" s="27"/>
      <c r="M2172" s="27"/>
      <c r="N2172" s="27"/>
      <c r="O2172" s="27"/>
      <c r="P2172" s="27"/>
    </row>
    <row r="2173" spans="1:16" s="28" customFormat="1" ht="34.5" hidden="1" customHeight="1" thickBot="1">
      <c r="A2173" s="142" t="s">
        <v>11</v>
      </c>
      <c r="B2173" s="143"/>
      <c r="C2173" s="165" t="s">
        <v>12</v>
      </c>
      <c r="D2173" s="143"/>
      <c r="J2173" s="27"/>
      <c r="K2173" s="27"/>
      <c r="L2173" s="27"/>
      <c r="M2173" s="27"/>
      <c r="N2173" s="27"/>
      <c r="O2173" s="27"/>
      <c r="P2173" s="27"/>
    </row>
    <row r="2174" spans="1:16" s="28" customFormat="1" ht="34.5" hidden="1" customHeight="1" thickBot="1">
      <c r="A2174" s="137" t="s">
        <v>446</v>
      </c>
      <c r="B2174" s="138"/>
      <c r="C2174" s="138"/>
      <c r="D2174" s="139"/>
      <c r="J2174" s="27"/>
      <c r="K2174" s="27"/>
      <c r="L2174" s="27"/>
      <c r="M2174" s="27"/>
      <c r="N2174" s="27"/>
      <c r="O2174" s="27"/>
      <c r="P2174" s="27"/>
    </row>
    <row r="2175" spans="1:16" s="28" customFormat="1" ht="34.5" hidden="1" customHeight="1" thickBot="1">
      <c r="A2175" s="34" t="s">
        <v>439</v>
      </c>
      <c r="B2175" s="32" t="s">
        <v>438</v>
      </c>
      <c r="C2175" s="34"/>
      <c r="D2175" s="32" t="s">
        <v>0</v>
      </c>
      <c r="J2175" s="27"/>
      <c r="K2175" s="27"/>
      <c r="L2175" s="27"/>
      <c r="M2175" s="27"/>
      <c r="N2175" s="27"/>
      <c r="O2175" s="27"/>
      <c r="P2175" s="27"/>
    </row>
    <row r="2176" spans="1:16" s="28" customFormat="1" ht="34.5" hidden="1" customHeight="1" thickBot="1">
      <c r="A2176" s="37" t="s">
        <v>13</v>
      </c>
      <c r="B2176" s="36" t="s">
        <v>1</v>
      </c>
      <c r="C2176" s="34" t="s">
        <v>14</v>
      </c>
      <c r="D2176" s="32" t="s">
        <v>2</v>
      </c>
      <c r="J2176" s="27"/>
      <c r="K2176" s="27"/>
      <c r="L2176" s="27"/>
      <c r="M2176" s="27"/>
      <c r="N2176" s="27"/>
      <c r="O2176" s="27"/>
      <c r="P2176" s="27"/>
    </row>
    <row r="2177" spans="1:16" s="28" customFormat="1" ht="34.5" hidden="1" customHeight="1" thickBot="1">
      <c r="A2177" s="140">
        <v>2252</v>
      </c>
      <c r="B2177" s="141"/>
      <c r="C2177" s="142" t="s">
        <v>3</v>
      </c>
      <c r="D2177" s="143"/>
      <c r="J2177" s="27"/>
      <c r="K2177" s="27"/>
      <c r="L2177" s="27"/>
      <c r="M2177" s="27"/>
      <c r="N2177" s="27"/>
      <c r="O2177" s="27"/>
      <c r="P2177" s="27"/>
    </row>
    <row r="2178" spans="1:16" s="28" customFormat="1" ht="34.5" hidden="1" customHeight="1" thickBot="1">
      <c r="A2178" s="140">
        <v>2295</v>
      </c>
      <c r="B2178" s="141"/>
      <c r="C2178" s="144" t="s">
        <v>4</v>
      </c>
      <c r="D2178" s="145"/>
      <c r="J2178" s="27"/>
      <c r="K2178" s="27"/>
      <c r="L2178" s="27"/>
      <c r="M2178" s="27"/>
      <c r="N2178" s="27"/>
      <c r="O2178" s="27"/>
      <c r="P2178" s="27"/>
    </row>
    <row r="2179" spans="1:16" s="28" customFormat="1" ht="34.5" hidden="1" customHeight="1" thickBot="1">
      <c r="A2179" s="146">
        <f>A2178-A2177</f>
        <v>43</v>
      </c>
      <c r="B2179" s="147"/>
      <c r="C2179" s="148"/>
      <c r="D2179" s="35" t="s">
        <v>5</v>
      </c>
      <c r="J2179" s="27"/>
      <c r="K2179" s="27"/>
      <c r="L2179" s="27"/>
      <c r="M2179" s="27"/>
      <c r="N2179" s="27"/>
      <c r="O2179" s="27"/>
      <c r="P2179" s="27"/>
    </row>
    <row r="2180" spans="1:16" s="28" customFormat="1" ht="34.5" hidden="1" customHeight="1" thickBot="1">
      <c r="A2180" s="149">
        <v>50</v>
      </c>
      <c r="B2180" s="150"/>
      <c r="C2180" s="151"/>
      <c r="D2180" s="35" t="s">
        <v>6</v>
      </c>
      <c r="J2180" s="27"/>
      <c r="K2180" s="27"/>
      <c r="L2180" s="27"/>
      <c r="M2180" s="27"/>
      <c r="N2180" s="27"/>
      <c r="O2180" s="27"/>
      <c r="P2180" s="27"/>
    </row>
    <row r="2181" spans="1:16" s="28" customFormat="1" ht="34.5" hidden="1" customHeight="1" thickBot="1">
      <c r="A2181" s="144">
        <f>A2180*A2179</f>
        <v>2150</v>
      </c>
      <c r="B2181" s="152"/>
      <c r="C2181" s="145"/>
      <c r="D2181" s="35" t="s">
        <v>7</v>
      </c>
      <c r="J2181" s="27"/>
      <c r="K2181" s="27"/>
      <c r="L2181" s="27"/>
      <c r="M2181" s="27"/>
      <c r="N2181" s="27"/>
      <c r="O2181" s="27"/>
      <c r="P2181" s="27"/>
    </row>
    <row r="2182" spans="1:16" s="28" customFormat="1" ht="34.5" hidden="1" customHeight="1" thickBot="1">
      <c r="A2182" s="144">
        <v>0</v>
      </c>
      <c r="B2182" s="152"/>
      <c r="C2182" s="145"/>
      <c r="D2182" s="35" t="s">
        <v>437</v>
      </c>
      <c r="J2182" s="27"/>
      <c r="K2182" s="27"/>
      <c r="L2182" s="27"/>
      <c r="M2182" s="27"/>
      <c r="N2182" s="27"/>
      <c r="O2182" s="27"/>
      <c r="P2182" s="27"/>
    </row>
    <row r="2183" spans="1:16" s="28" customFormat="1" ht="34.5" hidden="1" customHeight="1" thickBot="1">
      <c r="A2183" s="34">
        <v>0</v>
      </c>
      <c r="B2183" s="32" t="s">
        <v>8</v>
      </c>
      <c r="C2183" s="33">
        <v>2150</v>
      </c>
      <c r="D2183" s="32" t="s">
        <v>9</v>
      </c>
      <c r="J2183" s="27"/>
      <c r="K2183" s="27"/>
      <c r="L2183" s="27"/>
      <c r="M2183" s="27"/>
      <c r="N2183" s="27"/>
      <c r="O2183" s="27"/>
      <c r="P2183" s="27"/>
    </row>
    <row r="2184" spans="1:16" s="28" customFormat="1" ht="34.5" hidden="1" customHeight="1" thickBot="1">
      <c r="A2184" s="153" t="s">
        <v>436</v>
      </c>
      <c r="B2184" s="154"/>
      <c r="C2184" s="154"/>
      <c r="D2184" s="155"/>
      <c r="J2184" s="27"/>
      <c r="K2184" s="27"/>
      <c r="L2184" s="27"/>
      <c r="M2184" s="27"/>
      <c r="N2184" s="27"/>
      <c r="O2184" s="27"/>
      <c r="P2184" s="27"/>
    </row>
    <row r="2185" spans="1:16" s="28" customFormat="1" ht="34.5" hidden="1" customHeight="1" thickBot="1">
      <c r="A2185" s="156" t="s">
        <v>435</v>
      </c>
      <c r="B2185" s="157"/>
      <c r="C2185" s="157"/>
      <c r="D2185" s="158"/>
      <c r="J2185" s="27"/>
      <c r="K2185" s="27"/>
      <c r="L2185" s="27"/>
      <c r="M2185" s="27"/>
      <c r="N2185" s="27"/>
      <c r="O2185" s="27"/>
      <c r="P2185" s="27"/>
    </row>
    <row r="2186" spans="1:16" s="28" customFormat="1" ht="34.5" hidden="1" customHeight="1" thickBot="1">
      <c r="A2186" s="40"/>
      <c r="B2186" s="39"/>
      <c r="C2186" s="39"/>
      <c r="D2186" s="38"/>
      <c r="J2186" s="27"/>
      <c r="K2186" s="27"/>
      <c r="L2186" s="27"/>
      <c r="M2186" s="27"/>
      <c r="N2186" s="27"/>
      <c r="O2186" s="27"/>
      <c r="P2186" s="27"/>
    </row>
    <row r="2187" spans="1:16" s="28" customFormat="1" ht="34.5" hidden="1" customHeight="1">
      <c r="A2187" s="159" t="s">
        <v>441</v>
      </c>
      <c r="B2187" s="160"/>
      <c r="C2187" s="160"/>
      <c r="D2187" s="161"/>
      <c r="J2187" s="27"/>
      <c r="K2187" s="27"/>
      <c r="L2187" s="27"/>
      <c r="M2187" s="27"/>
      <c r="N2187" s="27"/>
      <c r="O2187" s="27"/>
      <c r="P2187" s="27"/>
    </row>
    <row r="2188" spans="1:16" s="28" customFormat="1" ht="34.5" hidden="1" customHeight="1" thickBot="1">
      <c r="A2188" s="162"/>
      <c r="B2188" s="163"/>
      <c r="C2188" s="163"/>
      <c r="D2188" s="164"/>
      <c r="J2188" s="27"/>
      <c r="K2188" s="27"/>
      <c r="L2188" s="27"/>
      <c r="M2188" s="27"/>
      <c r="N2188" s="27"/>
      <c r="O2188" s="27"/>
      <c r="P2188" s="27"/>
    </row>
    <row r="2189" spans="1:16" s="28" customFormat="1" ht="34.5" hidden="1" customHeight="1" thickBot="1">
      <c r="A2189" s="142" t="s">
        <v>11</v>
      </c>
      <c r="B2189" s="143"/>
      <c r="C2189" s="165" t="s">
        <v>12</v>
      </c>
      <c r="D2189" s="143"/>
      <c r="J2189" s="27"/>
      <c r="K2189" s="27"/>
      <c r="L2189" s="27"/>
      <c r="M2189" s="27"/>
      <c r="N2189" s="27"/>
      <c r="O2189" s="27"/>
      <c r="P2189" s="27"/>
    </row>
    <row r="2190" spans="1:16" s="28" customFormat="1" ht="34.5" hidden="1" customHeight="1" thickBot="1">
      <c r="A2190" s="137" t="s">
        <v>446</v>
      </c>
      <c r="B2190" s="138"/>
      <c r="C2190" s="138"/>
      <c r="D2190" s="139"/>
      <c r="J2190" s="27"/>
      <c r="K2190" s="27"/>
      <c r="L2190" s="27"/>
      <c r="M2190" s="27"/>
      <c r="N2190" s="27"/>
      <c r="O2190" s="27"/>
      <c r="P2190" s="27"/>
    </row>
    <row r="2191" spans="1:16" s="28" customFormat="1" ht="34.5" hidden="1" customHeight="1" thickBot="1">
      <c r="A2191" s="34" t="s">
        <v>439</v>
      </c>
      <c r="B2191" s="32" t="s">
        <v>438</v>
      </c>
      <c r="C2191" s="34"/>
      <c r="D2191" s="32" t="s">
        <v>0</v>
      </c>
      <c r="J2191" s="27"/>
      <c r="K2191" s="27"/>
      <c r="L2191" s="27"/>
      <c r="M2191" s="27"/>
      <c r="N2191" s="27"/>
      <c r="O2191" s="27"/>
      <c r="P2191" s="27"/>
    </row>
    <row r="2192" spans="1:16" s="28" customFormat="1" ht="34.5" hidden="1" customHeight="1" thickBot="1">
      <c r="A2192" s="37" t="s">
        <v>13</v>
      </c>
      <c r="B2192" s="36" t="s">
        <v>1</v>
      </c>
      <c r="C2192" s="34" t="s">
        <v>14</v>
      </c>
      <c r="D2192" s="32" t="s">
        <v>2</v>
      </c>
      <c r="J2192" s="27"/>
      <c r="K2192" s="27"/>
      <c r="L2192" s="27"/>
      <c r="M2192" s="27"/>
      <c r="N2192" s="27"/>
      <c r="O2192" s="27"/>
      <c r="P2192" s="27"/>
    </row>
    <row r="2193" spans="1:16" s="28" customFormat="1" ht="34.5" hidden="1" customHeight="1" thickBot="1">
      <c r="A2193" s="140">
        <v>2252</v>
      </c>
      <c r="B2193" s="141"/>
      <c r="C2193" s="142" t="s">
        <v>3</v>
      </c>
      <c r="D2193" s="143"/>
      <c r="J2193" s="27"/>
      <c r="K2193" s="27"/>
      <c r="L2193" s="27"/>
      <c r="M2193" s="27"/>
      <c r="N2193" s="27"/>
      <c r="O2193" s="27"/>
      <c r="P2193" s="27"/>
    </row>
    <row r="2194" spans="1:16" s="28" customFormat="1" ht="34.5" hidden="1" customHeight="1" thickBot="1">
      <c r="A2194" s="140">
        <v>2295</v>
      </c>
      <c r="B2194" s="141"/>
      <c r="C2194" s="144" t="s">
        <v>4</v>
      </c>
      <c r="D2194" s="145"/>
      <c r="J2194" s="27"/>
      <c r="K2194" s="27"/>
      <c r="L2194" s="27"/>
      <c r="M2194" s="27"/>
      <c r="N2194" s="27"/>
      <c r="O2194" s="27"/>
      <c r="P2194" s="27"/>
    </row>
    <row r="2195" spans="1:16" s="28" customFormat="1" ht="34.5" hidden="1" customHeight="1" thickBot="1">
      <c r="A2195" s="146">
        <f>A2194-A2193</f>
        <v>43</v>
      </c>
      <c r="B2195" s="147"/>
      <c r="C2195" s="148"/>
      <c r="D2195" s="35" t="s">
        <v>5</v>
      </c>
      <c r="J2195" s="27"/>
      <c r="K2195" s="27"/>
      <c r="L2195" s="27"/>
      <c r="M2195" s="27"/>
      <c r="N2195" s="27"/>
      <c r="O2195" s="27"/>
      <c r="P2195" s="27"/>
    </row>
    <row r="2196" spans="1:16" s="28" customFormat="1" ht="34.5" hidden="1" customHeight="1" thickBot="1">
      <c r="A2196" s="149">
        <v>50</v>
      </c>
      <c r="B2196" s="150"/>
      <c r="C2196" s="151"/>
      <c r="D2196" s="35" t="s">
        <v>6</v>
      </c>
      <c r="J2196" s="27"/>
      <c r="K2196" s="27"/>
      <c r="L2196" s="27"/>
      <c r="M2196" s="27"/>
      <c r="N2196" s="27"/>
      <c r="O2196" s="27"/>
      <c r="P2196" s="27"/>
    </row>
    <row r="2197" spans="1:16" s="28" customFormat="1" ht="34.5" hidden="1" customHeight="1" thickBot="1">
      <c r="A2197" s="144">
        <f>A2196*A2195</f>
        <v>2150</v>
      </c>
      <c r="B2197" s="152"/>
      <c r="C2197" s="145"/>
      <c r="D2197" s="35" t="s">
        <v>7</v>
      </c>
      <c r="J2197" s="27"/>
      <c r="K2197" s="27"/>
      <c r="L2197" s="27"/>
      <c r="M2197" s="27"/>
      <c r="N2197" s="27"/>
      <c r="O2197" s="27"/>
      <c r="P2197" s="27"/>
    </row>
    <row r="2198" spans="1:16" s="28" customFormat="1" ht="34.5" hidden="1" customHeight="1" thickBot="1">
      <c r="A2198" s="144">
        <v>0</v>
      </c>
      <c r="B2198" s="152"/>
      <c r="C2198" s="145"/>
      <c r="D2198" s="35" t="s">
        <v>437</v>
      </c>
      <c r="J2198" s="27"/>
      <c r="K2198" s="27"/>
      <c r="L2198" s="27"/>
      <c r="M2198" s="27"/>
      <c r="N2198" s="27"/>
      <c r="O2198" s="27"/>
      <c r="P2198" s="27"/>
    </row>
    <row r="2199" spans="1:16" s="28" customFormat="1" ht="34.5" hidden="1" customHeight="1" thickBot="1">
      <c r="A2199" s="34">
        <v>0</v>
      </c>
      <c r="B2199" s="32" t="s">
        <v>8</v>
      </c>
      <c r="C2199" s="33">
        <v>2150</v>
      </c>
      <c r="D2199" s="32" t="s">
        <v>9</v>
      </c>
      <c r="J2199" s="27"/>
      <c r="K2199" s="27"/>
      <c r="L2199" s="27"/>
      <c r="M2199" s="27"/>
      <c r="N2199" s="27"/>
      <c r="O2199" s="27"/>
      <c r="P2199" s="27"/>
    </row>
    <row r="2200" spans="1:16" s="28" customFormat="1" ht="34.5" hidden="1" customHeight="1" thickBot="1">
      <c r="A2200" s="153" t="s">
        <v>436</v>
      </c>
      <c r="B2200" s="154"/>
      <c r="C2200" s="154"/>
      <c r="D2200" s="155"/>
      <c r="J2200" s="27"/>
      <c r="K2200" s="27"/>
      <c r="L2200" s="27"/>
      <c r="M2200" s="27"/>
      <c r="N2200" s="27"/>
      <c r="O2200" s="27"/>
      <c r="P2200" s="27"/>
    </row>
    <row r="2201" spans="1:16" s="28" customFormat="1" ht="34.5" hidden="1" customHeight="1" thickBot="1">
      <c r="A2201" s="156" t="s">
        <v>435</v>
      </c>
      <c r="B2201" s="157"/>
      <c r="C2201" s="157"/>
      <c r="D2201" s="158"/>
      <c r="J2201" s="27"/>
      <c r="K2201" s="27"/>
      <c r="L2201" s="27"/>
      <c r="M2201" s="27"/>
      <c r="N2201" s="27"/>
      <c r="O2201" s="27"/>
      <c r="P2201" s="27"/>
    </row>
    <row r="2202" spans="1:16" s="28" customFormat="1" ht="34.5" hidden="1" customHeight="1">
      <c r="A2202" s="159" t="s">
        <v>442</v>
      </c>
      <c r="B2202" s="160" t="s">
        <v>441</v>
      </c>
      <c r="C2202" s="160"/>
      <c r="D2202" s="161"/>
      <c r="J2202" s="27"/>
      <c r="K2202" s="27"/>
      <c r="L2202" s="27"/>
      <c r="M2202" s="27"/>
      <c r="N2202" s="27"/>
      <c r="O2202" s="27"/>
      <c r="P2202" s="27"/>
    </row>
    <row r="2203" spans="1:16" s="28" customFormat="1" ht="34.5" hidden="1" customHeight="1" thickBot="1">
      <c r="A2203" s="162"/>
      <c r="B2203" s="163"/>
      <c r="C2203" s="163"/>
      <c r="D2203" s="164"/>
      <c r="J2203" s="27"/>
      <c r="K2203" s="27"/>
      <c r="L2203" s="27"/>
      <c r="M2203" s="27"/>
      <c r="N2203" s="27"/>
      <c r="O2203" s="27"/>
      <c r="P2203" s="27"/>
    </row>
    <row r="2204" spans="1:16" s="28" customFormat="1" ht="34.5" hidden="1" customHeight="1" thickBot="1">
      <c r="A2204" s="142" t="s">
        <v>11</v>
      </c>
      <c r="B2204" s="143"/>
      <c r="C2204" s="165" t="s">
        <v>12</v>
      </c>
      <c r="D2204" s="143"/>
      <c r="J2204" s="27"/>
      <c r="K2204" s="27"/>
      <c r="L2204" s="27"/>
      <c r="M2204" s="27"/>
      <c r="N2204" s="27"/>
      <c r="O2204" s="27"/>
      <c r="P2204" s="27"/>
    </row>
    <row r="2205" spans="1:16" s="28" customFormat="1" ht="34.5" hidden="1" customHeight="1" thickBot="1">
      <c r="A2205" s="137" t="s">
        <v>445</v>
      </c>
      <c r="B2205" s="138"/>
      <c r="C2205" s="138"/>
      <c r="D2205" s="139"/>
      <c r="J2205" s="27"/>
      <c r="K2205" s="27"/>
      <c r="L2205" s="27"/>
      <c r="M2205" s="27"/>
      <c r="N2205" s="27"/>
      <c r="O2205" s="27"/>
      <c r="P2205" s="27"/>
    </row>
    <row r="2206" spans="1:16" s="28" customFormat="1" ht="34.5" hidden="1" customHeight="1" thickBot="1">
      <c r="A2206" s="34" t="s">
        <v>439</v>
      </c>
      <c r="B2206" s="32" t="s">
        <v>438</v>
      </c>
      <c r="C2206" s="34"/>
      <c r="D2206" s="32" t="s">
        <v>0</v>
      </c>
      <c r="J2206" s="27"/>
      <c r="K2206" s="27"/>
      <c r="L2206" s="27"/>
      <c r="M2206" s="27"/>
      <c r="N2206" s="27"/>
      <c r="O2206" s="27"/>
      <c r="P2206" s="27"/>
    </row>
    <row r="2207" spans="1:16" s="28" customFormat="1" ht="34.5" hidden="1" customHeight="1" thickBot="1">
      <c r="A2207" s="37" t="s">
        <v>13</v>
      </c>
      <c r="B2207" s="36" t="s">
        <v>1</v>
      </c>
      <c r="C2207" s="34" t="s">
        <v>14</v>
      </c>
      <c r="D2207" s="32" t="s">
        <v>2</v>
      </c>
      <c r="J2207" s="27"/>
      <c r="K2207" s="27"/>
      <c r="L2207" s="27"/>
      <c r="M2207" s="27"/>
      <c r="N2207" s="27"/>
      <c r="O2207" s="27"/>
      <c r="P2207" s="27"/>
    </row>
    <row r="2208" spans="1:16" s="28" customFormat="1" ht="34.5" hidden="1" customHeight="1" thickBot="1">
      <c r="A2208" s="140">
        <v>1405</v>
      </c>
      <c r="B2208" s="141"/>
      <c r="C2208" s="142" t="s">
        <v>3</v>
      </c>
      <c r="D2208" s="143"/>
      <c r="J2208" s="27"/>
      <c r="K2208" s="27"/>
      <c r="L2208" s="27"/>
      <c r="M2208" s="27"/>
      <c r="N2208" s="27"/>
      <c r="O2208" s="27"/>
      <c r="P2208" s="27"/>
    </row>
    <row r="2209" spans="1:16" s="28" customFormat="1" ht="34.5" hidden="1" customHeight="1" thickBot="1">
      <c r="A2209" s="140">
        <v>1453</v>
      </c>
      <c r="B2209" s="141"/>
      <c r="C2209" s="144" t="s">
        <v>4</v>
      </c>
      <c r="D2209" s="145"/>
      <c r="J2209" s="27"/>
      <c r="K2209" s="27"/>
      <c r="L2209" s="27"/>
      <c r="M2209" s="27"/>
      <c r="N2209" s="27"/>
      <c r="O2209" s="27"/>
      <c r="P2209" s="27"/>
    </row>
    <row r="2210" spans="1:16" s="28" customFormat="1" ht="34.5" hidden="1" customHeight="1" thickBot="1">
      <c r="A2210" s="146">
        <f>A2209-A2208</f>
        <v>48</v>
      </c>
      <c r="B2210" s="147"/>
      <c r="C2210" s="148"/>
      <c r="D2210" s="35" t="s">
        <v>5</v>
      </c>
      <c r="J2210" s="27"/>
      <c r="K2210" s="27"/>
      <c r="L2210" s="27"/>
      <c r="M2210" s="27"/>
      <c r="N2210" s="27"/>
      <c r="O2210" s="27"/>
      <c r="P2210" s="27"/>
    </row>
    <row r="2211" spans="1:16" s="28" customFormat="1" ht="34.5" hidden="1" customHeight="1" thickBot="1">
      <c r="A2211" s="149">
        <v>45</v>
      </c>
      <c r="B2211" s="150"/>
      <c r="C2211" s="151"/>
      <c r="D2211" s="35" t="s">
        <v>6</v>
      </c>
      <c r="J2211" s="27"/>
      <c r="K2211" s="27"/>
      <c r="L2211" s="27"/>
      <c r="M2211" s="27"/>
      <c r="N2211" s="27"/>
      <c r="O2211" s="27"/>
      <c r="P2211" s="27"/>
    </row>
    <row r="2212" spans="1:16" s="28" customFormat="1" ht="34.5" hidden="1" customHeight="1" thickBot="1">
      <c r="A2212" s="144">
        <f>A2211*A2210</f>
        <v>2160</v>
      </c>
      <c r="B2212" s="152"/>
      <c r="C2212" s="145"/>
      <c r="D2212" s="35" t="s">
        <v>7</v>
      </c>
      <c r="J2212" s="27"/>
      <c r="K2212" s="27"/>
      <c r="L2212" s="27"/>
      <c r="M2212" s="27"/>
      <c r="N2212" s="27"/>
      <c r="O2212" s="27"/>
      <c r="P2212" s="27"/>
    </row>
    <row r="2213" spans="1:16" s="28" customFormat="1" ht="34.5" hidden="1" customHeight="1" thickBot="1">
      <c r="A2213" s="144">
        <v>0</v>
      </c>
      <c r="B2213" s="152"/>
      <c r="C2213" s="145"/>
      <c r="D2213" s="35" t="s">
        <v>437</v>
      </c>
      <c r="J2213" s="27"/>
      <c r="K2213" s="27"/>
      <c r="L2213" s="27"/>
      <c r="M2213" s="27"/>
      <c r="N2213" s="27"/>
      <c r="O2213" s="27"/>
      <c r="P2213" s="27"/>
    </row>
    <row r="2214" spans="1:16" s="28" customFormat="1" ht="34.5" hidden="1" customHeight="1" thickBot="1">
      <c r="A2214" s="34">
        <v>0</v>
      </c>
      <c r="B2214" s="32" t="s">
        <v>8</v>
      </c>
      <c r="C2214" s="33">
        <v>2150</v>
      </c>
      <c r="D2214" s="32" t="s">
        <v>9</v>
      </c>
      <c r="J2214" s="27"/>
      <c r="K2214" s="27"/>
      <c r="L2214" s="27"/>
      <c r="M2214" s="27"/>
      <c r="N2214" s="27"/>
      <c r="O2214" s="27"/>
      <c r="P2214" s="27"/>
    </row>
    <row r="2215" spans="1:16" s="28" customFormat="1" ht="34.5" hidden="1" customHeight="1" thickBot="1">
      <c r="A2215" s="153" t="s">
        <v>436</v>
      </c>
      <c r="B2215" s="154"/>
      <c r="C2215" s="154"/>
      <c r="D2215" s="155"/>
      <c r="J2215" s="27"/>
      <c r="K2215" s="27"/>
      <c r="L2215" s="27"/>
      <c r="M2215" s="27"/>
      <c r="N2215" s="27"/>
      <c r="O2215" s="27"/>
      <c r="P2215" s="27"/>
    </row>
    <row r="2216" spans="1:16" s="28" customFormat="1" ht="34.5" hidden="1" customHeight="1" thickBot="1">
      <c r="A2216" s="156" t="s">
        <v>435</v>
      </c>
      <c r="B2216" s="157"/>
      <c r="C2216" s="157"/>
      <c r="D2216" s="158"/>
      <c r="J2216" s="27"/>
      <c r="K2216" s="27"/>
      <c r="L2216" s="27"/>
      <c r="M2216" s="27"/>
      <c r="N2216" s="27"/>
      <c r="O2216" s="27"/>
      <c r="P2216" s="27"/>
    </row>
    <row r="2217" spans="1:16" s="28" customFormat="1" ht="34.5" hidden="1" customHeight="1" thickBot="1">
      <c r="A2217" s="40"/>
      <c r="B2217" s="39"/>
      <c r="C2217" s="39"/>
      <c r="D2217" s="38"/>
      <c r="J2217" s="27"/>
      <c r="K2217" s="27"/>
      <c r="L2217" s="27"/>
      <c r="M2217" s="27"/>
      <c r="N2217" s="27"/>
      <c r="O2217" s="27"/>
      <c r="P2217" s="27"/>
    </row>
    <row r="2218" spans="1:16" s="28" customFormat="1" ht="34.5" hidden="1" customHeight="1">
      <c r="A2218" s="159" t="s">
        <v>441</v>
      </c>
      <c r="B2218" s="160"/>
      <c r="C2218" s="160"/>
      <c r="D2218" s="161"/>
      <c r="J2218" s="27"/>
      <c r="K2218" s="27"/>
      <c r="L2218" s="27"/>
      <c r="M2218" s="27"/>
      <c r="N2218" s="27"/>
      <c r="O2218" s="27"/>
      <c r="P2218" s="27"/>
    </row>
    <row r="2219" spans="1:16" s="28" customFormat="1" ht="34.5" hidden="1" customHeight="1" thickBot="1">
      <c r="A2219" s="162"/>
      <c r="B2219" s="163"/>
      <c r="C2219" s="163"/>
      <c r="D2219" s="164"/>
      <c r="J2219" s="27"/>
      <c r="K2219" s="27"/>
      <c r="L2219" s="27"/>
      <c r="M2219" s="27"/>
      <c r="N2219" s="27"/>
      <c r="O2219" s="27"/>
      <c r="P2219" s="27"/>
    </row>
    <row r="2220" spans="1:16" s="28" customFormat="1" ht="34.5" hidden="1" customHeight="1" thickBot="1">
      <c r="A2220" s="142" t="s">
        <v>11</v>
      </c>
      <c r="B2220" s="143"/>
      <c r="C2220" s="165" t="s">
        <v>12</v>
      </c>
      <c r="D2220" s="143"/>
      <c r="J2220" s="27"/>
      <c r="K2220" s="27"/>
      <c r="L2220" s="27"/>
      <c r="M2220" s="27"/>
      <c r="N2220" s="27"/>
      <c r="O2220" s="27"/>
      <c r="P2220" s="27"/>
    </row>
    <row r="2221" spans="1:16" s="28" customFormat="1" ht="34.5" hidden="1" customHeight="1" thickBot="1">
      <c r="A2221" s="137" t="s">
        <v>445</v>
      </c>
      <c r="B2221" s="138"/>
      <c r="C2221" s="138"/>
      <c r="D2221" s="139"/>
      <c r="J2221" s="27"/>
      <c r="K2221" s="27"/>
      <c r="L2221" s="27"/>
      <c r="M2221" s="27"/>
      <c r="N2221" s="27"/>
      <c r="O2221" s="27"/>
      <c r="P2221" s="27"/>
    </row>
    <row r="2222" spans="1:16" s="28" customFormat="1" ht="34.5" hidden="1" customHeight="1" thickBot="1">
      <c r="A2222" s="34" t="s">
        <v>439</v>
      </c>
      <c r="B2222" s="32" t="s">
        <v>438</v>
      </c>
      <c r="C2222" s="34"/>
      <c r="D2222" s="32" t="s">
        <v>0</v>
      </c>
      <c r="J2222" s="27"/>
      <c r="K2222" s="27"/>
      <c r="L2222" s="27"/>
      <c r="M2222" s="27"/>
      <c r="N2222" s="27"/>
      <c r="O2222" s="27"/>
      <c r="P2222" s="27"/>
    </row>
    <row r="2223" spans="1:16" s="28" customFormat="1" ht="34.5" hidden="1" customHeight="1" thickBot="1">
      <c r="A2223" s="37" t="s">
        <v>13</v>
      </c>
      <c r="B2223" s="36" t="s">
        <v>1</v>
      </c>
      <c r="C2223" s="34" t="s">
        <v>14</v>
      </c>
      <c r="D2223" s="32" t="s">
        <v>2</v>
      </c>
      <c r="J2223" s="27"/>
      <c r="K2223" s="27"/>
      <c r="L2223" s="27"/>
      <c r="M2223" s="27"/>
      <c r="N2223" s="27"/>
      <c r="O2223" s="27"/>
      <c r="P2223" s="27"/>
    </row>
    <row r="2224" spans="1:16" s="28" customFormat="1" ht="34.5" hidden="1" customHeight="1" thickBot="1">
      <c r="A2224" s="140">
        <v>1405</v>
      </c>
      <c r="B2224" s="141"/>
      <c r="C2224" s="142" t="s">
        <v>3</v>
      </c>
      <c r="D2224" s="143"/>
      <c r="J2224" s="27"/>
      <c r="K2224" s="27"/>
      <c r="L2224" s="27"/>
      <c r="M2224" s="27"/>
      <c r="N2224" s="27"/>
      <c r="O2224" s="27"/>
      <c r="P2224" s="27"/>
    </row>
    <row r="2225" spans="1:16" s="28" customFormat="1" ht="34.5" hidden="1" customHeight="1" thickBot="1">
      <c r="A2225" s="140">
        <v>1453</v>
      </c>
      <c r="B2225" s="141"/>
      <c r="C2225" s="144" t="s">
        <v>4</v>
      </c>
      <c r="D2225" s="145"/>
      <c r="J2225" s="27"/>
      <c r="K2225" s="27"/>
      <c r="L2225" s="27"/>
      <c r="M2225" s="27"/>
      <c r="N2225" s="27"/>
      <c r="O2225" s="27"/>
      <c r="P2225" s="27"/>
    </row>
    <row r="2226" spans="1:16" s="28" customFormat="1" ht="34.5" hidden="1" customHeight="1" thickBot="1">
      <c r="A2226" s="146">
        <f>A2225-A2224</f>
        <v>48</v>
      </c>
      <c r="B2226" s="147"/>
      <c r="C2226" s="148"/>
      <c r="D2226" s="35" t="s">
        <v>5</v>
      </c>
      <c r="J2226" s="27"/>
      <c r="K2226" s="27"/>
      <c r="L2226" s="27"/>
      <c r="M2226" s="27"/>
      <c r="N2226" s="27"/>
      <c r="O2226" s="27"/>
      <c r="P2226" s="27"/>
    </row>
    <row r="2227" spans="1:16" s="28" customFormat="1" ht="34.5" hidden="1" customHeight="1" thickBot="1">
      <c r="A2227" s="149">
        <v>50</v>
      </c>
      <c r="B2227" s="150"/>
      <c r="C2227" s="151"/>
      <c r="D2227" s="35" t="s">
        <v>6</v>
      </c>
      <c r="J2227" s="27"/>
      <c r="K2227" s="27"/>
      <c r="L2227" s="27"/>
      <c r="M2227" s="27"/>
      <c r="N2227" s="27"/>
      <c r="O2227" s="27"/>
      <c r="P2227" s="27"/>
    </row>
    <row r="2228" spans="1:16" s="28" customFormat="1" ht="34.5" hidden="1" customHeight="1" thickBot="1">
      <c r="A2228" s="144">
        <f>A2227*A2226</f>
        <v>2400</v>
      </c>
      <c r="B2228" s="152"/>
      <c r="C2228" s="145"/>
      <c r="D2228" s="35" t="s">
        <v>7</v>
      </c>
      <c r="J2228" s="27"/>
      <c r="K2228" s="27"/>
      <c r="L2228" s="27"/>
      <c r="M2228" s="27"/>
      <c r="N2228" s="27"/>
      <c r="O2228" s="27"/>
      <c r="P2228" s="27"/>
    </row>
    <row r="2229" spans="1:16" s="28" customFormat="1" ht="34.5" hidden="1" customHeight="1" thickBot="1">
      <c r="A2229" s="144">
        <v>0</v>
      </c>
      <c r="B2229" s="152"/>
      <c r="C2229" s="145"/>
      <c r="D2229" s="35" t="s">
        <v>437</v>
      </c>
      <c r="J2229" s="27"/>
      <c r="K2229" s="27"/>
      <c r="L2229" s="27"/>
      <c r="M2229" s="27"/>
      <c r="N2229" s="27"/>
      <c r="O2229" s="27"/>
      <c r="P2229" s="27"/>
    </row>
    <row r="2230" spans="1:16" s="28" customFormat="1" ht="34.5" hidden="1" customHeight="1" thickBot="1">
      <c r="A2230" s="34">
        <v>0</v>
      </c>
      <c r="B2230" s="32" t="s">
        <v>8</v>
      </c>
      <c r="C2230" s="33">
        <v>2400</v>
      </c>
      <c r="D2230" s="32" t="s">
        <v>9</v>
      </c>
      <c r="J2230" s="27"/>
      <c r="K2230" s="27"/>
      <c r="L2230" s="27"/>
      <c r="M2230" s="27"/>
      <c r="N2230" s="27"/>
      <c r="O2230" s="27"/>
      <c r="P2230" s="27"/>
    </row>
    <row r="2231" spans="1:16" s="28" customFormat="1" ht="34.5" hidden="1" customHeight="1" thickBot="1">
      <c r="A2231" s="153" t="s">
        <v>436</v>
      </c>
      <c r="B2231" s="154"/>
      <c r="C2231" s="154"/>
      <c r="D2231" s="155"/>
      <c r="J2231" s="27"/>
      <c r="K2231" s="27"/>
      <c r="L2231" s="27"/>
      <c r="M2231" s="27"/>
      <c r="N2231" s="27"/>
      <c r="O2231" s="27"/>
      <c r="P2231" s="27"/>
    </row>
    <row r="2232" spans="1:16" s="28" customFormat="1" ht="34.5" hidden="1" customHeight="1" thickBot="1">
      <c r="A2232" s="156" t="s">
        <v>435</v>
      </c>
      <c r="B2232" s="157"/>
      <c r="C2232" s="157"/>
      <c r="D2232" s="158"/>
      <c r="J2232" s="27"/>
      <c r="K2232" s="27"/>
      <c r="L2232" s="27"/>
      <c r="M2232" s="27"/>
      <c r="N2232" s="27"/>
      <c r="O2232" s="27"/>
      <c r="P2232" s="27"/>
    </row>
    <row r="2233" spans="1:16" s="28" customFormat="1" ht="34.5" hidden="1" customHeight="1">
      <c r="A2233" s="159" t="s">
        <v>442</v>
      </c>
      <c r="B2233" s="160" t="s">
        <v>441</v>
      </c>
      <c r="C2233" s="160"/>
      <c r="D2233" s="161"/>
      <c r="J2233" s="27"/>
      <c r="K2233" s="27"/>
      <c r="L2233" s="27"/>
      <c r="M2233" s="27"/>
      <c r="N2233" s="27"/>
      <c r="O2233" s="27"/>
      <c r="P2233" s="27"/>
    </row>
    <row r="2234" spans="1:16" s="28" customFormat="1" ht="34.5" hidden="1" customHeight="1" thickBot="1">
      <c r="A2234" s="162"/>
      <c r="B2234" s="163"/>
      <c r="C2234" s="163"/>
      <c r="D2234" s="164"/>
      <c r="J2234" s="27"/>
      <c r="K2234" s="27"/>
      <c r="L2234" s="27"/>
      <c r="M2234" s="27"/>
      <c r="N2234" s="27"/>
      <c r="O2234" s="27"/>
      <c r="P2234" s="27"/>
    </row>
    <row r="2235" spans="1:16" s="28" customFormat="1" ht="34.5" hidden="1" customHeight="1" thickBot="1">
      <c r="A2235" s="142" t="s">
        <v>11</v>
      </c>
      <c r="B2235" s="143"/>
      <c r="C2235" s="165" t="s">
        <v>12</v>
      </c>
      <c r="D2235" s="143"/>
      <c r="J2235" s="27"/>
      <c r="K2235" s="27"/>
      <c r="L2235" s="27"/>
      <c r="M2235" s="27"/>
      <c r="N2235" s="27"/>
      <c r="O2235" s="27"/>
      <c r="P2235" s="27"/>
    </row>
    <row r="2236" spans="1:16" s="28" customFormat="1" ht="34.5" hidden="1" customHeight="1" thickBot="1">
      <c r="A2236" s="137" t="s">
        <v>444</v>
      </c>
      <c r="B2236" s="138"/>
      <c r="C2236" s="138"/>
      <c r="D2236" s="139"/>
      <c r="J2236" s="27"/>
      <c r="K2236" s="27"/>
      <c r="L2236" s="27"/>
      <c r="M2236" s="27"/>
      <c r="N2236" s="27"/>
      <c r="O2236" s="27"/>
      <c r="P2236" s="27"/>
    </row>
    <row r="2237" spans="1:16" s="28" customFormat="1" ht="34.5" hidden="1" customHeight="1" thickBot="1">
      <c r="A2237" s="34" t="s">
        <v>439</v>
      </c>
      <c r="B2237" s="32" t="s">
        <v>438</v>
      </c>
      <c r="C2237" s="34"/>
      <c r="D2237" s="32" t="s">
        <v>0</v>
      </c>
      <c r="J2237" s="27"/>
      <c r="K2237" s="27"/>
      <c r="L2237" s="27"/>
      <c r="M2237" s="27"/>
      <c r="N2237" s="27"/>
      <c r="O2237" s="27"/>
      <c r="P2237" s="27"/>
    </row>
    <row r="2238" spans="1:16" s="28" customFormat="1" ht="34.5" hidden="1" customHeight="1" thickBot="1">
      <c r="A2238" s="37" t="s">
        <v>13</v>
      </c>
      <c r="B2238" s="36" t="s">
        <v>1</v>
      </c>
      <c r="C2238" s="34" t="s">
        <v>14</v>
      </c>
      <c r="D2238" s="32" t="s">
        <v>2</v>
      </c>
      <c r="J2238" s="27"/>
      <c r="K2238" s="27"/>
      <c r="L2238" s="27"/>
      <c r="M2238" s="27"/>
      <c r="N2238" s="27"/>
      <c r="O2238" s="27"/>
      <c r="P2238" s="27"/>
    </row>
    <row r="2239" spans="1:16" s="28" customFormat="1" ht="34.5" hidden="1" customHeight="1" thickBot="1">
      <c r="A2239" s="140">
        <v>1084</v>
      </c>
      <c r="B2239" s="141"/>
      <c r="C2239" s="142" t="s">
        <v>3</v>
      </c>
      <c r="D2239" s="143"/>
      <c r="J2239" s="27"/>
      <c r="K2239" s="27"/>
      <c r="L2239" s="27"/>
      <c r="M2239" s="27"/>
      <c r="N2239" s="27"/>
      <c r="O2239" s="27"/>
      <c r="P2239" s="27"/>
    </row>
    <row r="2240" spans="1:16" s="28" customFormat="1" ht="34.5" hidden="1" customHeight="1" thickBot="1">
      <c r="A2240" s="140">
        <v>1133</v>
      </c>
      <c r="B2240" s="141"/>
      <c r="C2240" s="144" t="s">
        <v>4</v>
      </c>
      <c r="D2240" s="145"/>
      <c r="J2240" s="27"/>
      <c r="K2240" s="27"/>
      <c r="L2240" s="27"/>
      <c r="M2240" s="27"/>
      <c r="N2240" s="27"/>
      <c r="O2240" s="27"/>
      <c r="P2240" s="27"/>
    </row>
    <row r="2241" spans="1:16" s="28" customFormat="1" ht="34.5" hidden="1" customHeight="1" thickBot="1">
      <c r="A2241" s="146">
        <f>A2240-A2239</f>
        <v>49</v>
      </c>
      <c r="B2241" s="147"/>
      <c r="C2241" s="148"/>
      <c r="D2241" s="35" t="s">
        <v>5</v>
      </c>
      <c r="J2241" s="27"/>
      <c r="K2241" s="27"/>
      <c r="L2241" s="27"/>
      <c r="M2241" s="27"/>
      <c r="N2241" s="27"/>
      <c r="O2241" s="27"/>
      <c r="P2241" s="27"/>
    </row>
    <row r="2242" spans="1:16" s="28" customFormat="1" ht="34.5" hidden="1" customHeight="1" thickBot="1">
      <c r="A2242" s="149">
        <v>50</v>
      </c>
      <c r="B2242" s="150"/>
      <c r="C2242" s="151"/>
      <c r="D2242" s="35" t="s">
        <v>6</v>
      </c>
      <c r="J2242" s="27"/>
      <c r="K2242" s="27"/>
      <c r="L2242" s="27"/>
      <c r="M2242" s="27"/>
      <c r="N2242" s="27"/>
      <c r="O2242" s="27"/>
      <c r="P2242" s="27"/>
    </row>
    <row r="2243" spans="1:16" s="28" customFormat="1" ht="34.5" hidden="1" customHeight="1" thickBot="1">
      <c r="A2243" s="144">
        <f>A2242*A2241</f>
        <v>2450</v>
      </c>
      <c r="B2243" s="152"/>
      <c r="C2243" s="145"/>
      <c r="D2243" s="35" t="s">
        <v>7</v>
      </c>
      <c r="J2243" s="27"/>
      <c r="K2243" s="27"/>
      <c r="L2243" s="27"/>
      <c r="M2243" s="27"/>
      <c r="N2243" s="27"/>
      <c r="O2243" s="27"/>
      <c r="P2243" s="27"/>
    </row>
    <row r="2244" spans="1:16" s="28" customFormat="1" ht="34.5" hidden="1" customHeight="1" thickBot="1">
      <c r="A2244" s="144">
        <v>0</v>
      </c>
      <c r="B2244" s="152"/>
      <c r="C2244" s="145"/>
      <c r="D2244" s="35" t="s">
        <v>437</v>
      </c>
      <c r="J2244" s="27"/>
      <c r="K2244" s="27"/>
      <c r="L2244" s="27"/>
      <c r="M2244" s="27"/>
      <c r="N2244" s="27"/>
      <c r="O2244" s="27"/>
      <c r="P2244" s="27"/>
    </row>
    <row r="2245" spans="1:16" s="28" customFormat="1" ht="34.5" hidden="1" customHeight="1" thickBot="1">
      <c r="A2245" s="34">
        <v>0</v>
      </c>
      <c r="B2245" s="32" t="s">
        <v>8</v>
      </c>
      <c r="C2245" s="33">
        <v>2450</v>
      </c>
      <c r="D2245" s="32" t="s">
        <v>9</v>
      </c>
      <c r="J2245" s="27"/>
      <c r="K2245" s="27"/>
      <c r="L2245" s="27"/>
      <c r="M2245" s="27"/>
      <c r="N2245" s="27"/>
      <c r="O2245" s="27"/>
      <c r="P2245" s="27"/>
    </row>
    <row r="2246" spans="1:16" s="28" customFormat="1" ht="34.5" hidden="1" customHeight="1" thickBot="1">
      <c r="A2246" s="153" t="s">
        <v>436</v>
      </c>
      <c r="B2246" s="154"/>
      <c r="C2246" s="154"/>
      <c r="D2246" s="155"/>
      <c r="J2246" s="27"/>
      <c r="K2246" s="27"/>
      <c r="L2246" s="27"/>
      <c r="M2246" s="27"/>
      <c r="N2246" s="27"/>
      <c r="O2246" s="27"/>
      <c r="P2246" s="27"/>
    </row>
    <row r="2247" spans="1:16" s="28" customFormat="1" ht="34.5" hidden="1" customHeight="1" thickBot="1">
      <c r="A2247" s="156" t="s">
        <v>435</v>
      </c>
      <c r="B2247" s="157"/>
      <c r="C2247" s="157"/>
      <c r="D2247" s="158"/>
      <c r="J2247" s="27"/>
      <c r="K2247" s="27"/>
      <c r="L2247" s="27"/>
      <c r="M2247" s="27"/>
      <c r="N2247" s="27"/>
      <c r="O2247" s="27"/>
      <c r="P2247" s="27"/>
    </row>
    <row r="2248" spans="1:16" s="28" customFormat="1" ht="34.5" hidden="1" customHeight="1" thickBot="1">
      <c r="A2248" s="40"/>
      <c r="B2248" s="39"/>
      <c r="C2248" s="39"/>
      <c r="D2248" s="38"/>
      <c r="J2248" s="27"/>
      <c r="K2248" s="27"/>
      <c r="L2248" s="27"/>
      <c r="M2248" s="27"/>
      <c r="N2248" s="27"/>
      <c r="O2248" s="27"/>
      <c r="P2248" s="27"/>
    </row>
    <row r="2249" spans="1:16" s="28" customFormat="1" ht="34.5" hidden="1" customHeight="1">
      <c r="A2249" s="159" t="s">
        <v>441</v>
      </c>
      <c r="B2249" s="160"/>
      <c r="C2249" s="160"/>
      <c r="D2249" s="161"/>
      <c r="J2249" s="27"/>
      <c r="K2249" s="27"/>
      <c r="L2249" s="27"/>
      <c r="M2249" s="27"/>
      <c r="N2249" s="27"/>
      <c r="O2249" s="27"/>
      <c r="P2249" s="27"/>
    </row>
    <row r="2250" spans="1:16" s="28" customFormat="1" ht="34.5" hidden="1" customHeight="1" thickBot="1">
      <c r="A2250" s="162"/>
      <c r="B2250" s="163"/>
      <c r="C2250" s="163"/>
      <c r="D2250" s="164"/>
      <c r="J2250" s="27"/>
      <c r="K2250" s="27"/>
      <c r="L2250" s="27"/>
      <c r="M2250" s="27"/>
      <c r="N2250" s="27"/>
      <c r="O2250" s="27"/>
      <c r="P2250" s="27"/>
    </row>
    <row r="2251" spans="1:16" s="28" customFormat="1" ht="34.5" hidden="1" customHeight="1" thickBot="1">
      <c r="A2251" s="142" t="s">
        <v>11</v>
      </c>
      <c r="B2251" s="143"/>
      <c r="C2251" s="165" t="s">
        <v>12</v>
      </c>
      <c r="D2251" s="143"/>
      <c r="J2251" s="27"/>
      <c r="K2251" s="27"/>
      <c r="L2251" s="27"/>
      <c r="M2251" s="27"/>
      <c r="N2251" s="27"/>
      <c r="O2251" s="27"/>
      <c r="P2251" s="27"/>
    </row>
    <row r="2252" spans="1:16" s="28" customFormat="1" ht="34.5" hidden="1" customHeight="1" thickBot="1">
      <c r="A2252" s="137" t="s">
        <v>444</v>
      </c>
      <c r="B2252" s="138"/>
      <c r="C2252" s="138"/>
      <c r="D2252" s="139"/>
      <c r="J2252" s="27"/>
      <c r="K2252" s="27"/>
      <c r="L2252" s="27"/>
      <c r="M2252" s="27"/>
      <c r="N2252" s="27"/>
      <c r="O2252" s="27"/>
      <c r="P2252" s="27"/>
    </row>
    <row r="2253" spans="1:16" s="28" customFormat="1" ht="34.5" hidden="1" customHeight="1" thickBot="1">
      <c r="A2253" s="34" t="s">
        <v>439</v>
      </c>
      <c r="B2253" s="32" t="s">
        <v>438</v>
      </c>
      <c r="C2253" s="34"/>
      <c r="D2253" s="32" t="s">
        <v>0</v>
      </c>
      <c r="J2253" s="27"/>
      <c r="K2253" s="27"/>
      <c r="L2253" s="27"/>
      <c r="M2253" s="27"/>
      <c r="N2253" s="27"/>
      <c r="O2253" s="27"/>
      <c r="P2253" s="27"/>
    </row>
    <row r="2254" spans="1:16" s="28" customFormat="1" ht="34.5" hidden="1" customHeight="1" thickBot="1">
      <c r="A2254" s="37" t="s">
        <v>13</v>
      </c>
      <c r="B2254" s="36" t="s">
        <v>1</v>
      </c>
      <c r="C2254" s="34" t="s">
        <v>14</v>
      </c>
      <c r="D2254" s="32" t="s">
        <v>2</v>
      </c>
      <c r="J2254" s="27"/>
      <c r="K2254" s="27"/>
      <c r="L2254" s="27"/>
      <c r="M2254" s="27"/>
      <c r="N2254" s="27"/>
      <c r="O2254" s="27"/>
      <c r="P2254" s="27"/>
    </row>
    <row r="2255" spans="1:16" s="28" customFormat="1" ht="34.5" hidden="1" customHeight="1" thickBot="1">
      <c r="A2255" s="140">
        <v>1084</v>
      </c>
      <c r="B2255" s="141"/>
      <c r="C2255" s="142" t="s">
        <v>3</v>
      </c>
      <c r="D2255" s="143"/>
      <c r="J2255" s="27"/>
      <c r="K2255" s="27"/>
      <c r="L2255" s="27"/>
      <c r="M2255" s="27"/>
      <c r="N2255" s="27"/>
      <c r="O2255" s="27"/>
      <c r="P2255" s="27"/>
    </row>
    <row r="2256" spans="1:16" s="28" customFormat="1" ht="34.5" hidden="1" customHeight="1" thickBot="1">
      <c r="A2256" s="140">
        <v>1133</v>
      </c>
      <c r="B2256" s="141"/>
      <c r="C2256" s="144" t="s">
        <v>4</v>
      </c>
      <c r="D2256" s="145"/>
      <c r="J2256" s="27"/>
      <c r="K2256" s="27"/>
      <c r="L2256" s="27"/>
      <c r="M2256" s="27"/>
      <c r="N2256" s="27"/>
      <c r="O2256" s="27"/>
      <c r="P2256" s="27"/>
    </row>
    <row r="2257" spans="1:16" s="28" customFormat="1" ht="34.5" hidden="1" customHeight="1" thickBot="1">
      <c r="A2257" s="146">
        <f>A2256-A2255</f>
        <v>49</v>
      </c>
      <c r="B2257" s="147"/>
      <c r="C2257" s="148"/>
      <c r="D2257" s="35" t="s">
        <v>5</v>
      </c>
      <c r="J2257" s="27"/>
      <c r="K2257" s="27"/>
      <c r="L2257" s="27"/>
      <c r="M2257" s="27"/>
      <c r="N2257" s="27"/>
      <c r="O2257" s="27"/>
      <c r="P2257" s="27"/>
    </row>
    <row r="2258" spans="1:16" s="28" customFormat="1" ht="34.5" hidden="1" customHeight="1" thickBot="1">
      <c r="A2258" s="149">
        <v>50</v>
      </c>
      <c r="B2258" s="150"/>
      <c r="C2258" s="151"/>
      <c r="D2258" s="35" t="s">
        <v>6</v>
      </c>
      <c r="J2258" s="27"/>
      <c r="K2258" s="27"/>
      <c r="L2258" s="27"/>
      <c r="M2258" s="27"/>
      <c r="N2258" s="27"/>
      <c r="O2258" s="27"/>
      <c r="P2258" s="27"/>
    </row>
    <row r="2259" spans="1:16" s="28" customFormat="1" ht="34.5" hidden="1" customHeight="1" thickBot="1">
      <c r="A2259" s="144">
        <f>A2258*A2257</f>
        <v>2450</v>
      </c>
      <c r="B2259" s="152"/>
      <c r="C2259" s="145"/>
      <c r="D2259" s="35" t="s">
        <v>7</v>
      </c>
      <c r="J2259" s="27"/>
      <c r="K2259" s="27"/>
      <c r="L2259" s="27"/>
      <c r="M2259" s="27"/>
      <c r="N2259" s="27"/>
      <c r="O2259" s="27"/>
      <c r="P2259" s="27"/>
    </row>
    <row r="2260" spans="1:16" s="28" customFormat="1" ht="34.5" hidden="1" customHeight="1" thickBot="1">
      <c r="A2260" s="144">
        <v>0</v>
      </c>
      <c r="B2260" s="152"/>
      <c r="C2260" s="145"/>
      <c r="D2260" s="35" t="s">
        <v>437</v>
      </c>
      <c r="J2260" s="27"/>
      <c r="K2260" s="27"/>
      <c r="L2260" s="27"/>
      <c r="M2260" s="27"/>
      <c r="N2260" s="27"/>
      <c r="O2260" s="27"/>
      <c r="P2260" s="27"/>
    </row>
    <row r="2261" spans="1:16" s="28" customFormat="1" ht="34.5" hidden="1" customHeight="1" thickBot="1">
      <c r="A2261" s="34">
        <v>0</v>
      </c>
      <c r="B2261" s="32" t="s">
        <v>8</v>
      </c>
      <c r="C2261" s="33">
        <v>2450</v>
      </c>
      <c r="D2261" s="32" t="s">
        <v>9</v>
      </c>
      <c r="J2261" s="27"/>
      <c r="K2261" s="27"/>
      <c r="L2261" s="27"/>
      <c r="M2261" s="27"/>
      <c r="N2261" s="27"/>
      <c r="O2261" s="27"/>
      <c r="P2261" s="27"/>
    </row>
    <row r="2262" spans="1:16" s="28" customFormat="1" ht="34.5" hidden="1" customHeight="1" thickBot="1">
      <c r="A2262" s="153" t="s">
        <v>436</v>
      </c>
      <c r="B2262" s="154"/>
      <c r="C2262" s="154"/>
      <c r="D2262" s="155"/>
      <c r="J2262" s="27"/>
      <c r="K2262" s="27"/>
      <c r="L2262" s="27"/>
      <c r="M2262" s="27"/>
      <c r="N2262" s="27"/>
      <c r="O2262" s="27"/>
      <c r="P2262" s="27"/>
    </row>
    <row r="2263" spans="1:16" s="28" customFormat="1" ht="34.5" hidden="1" customHeight="1" thickBot="1">
      <c r="A2263" s="156" t="s">
        <v>435</v>
      </c>
      <c r="B2263" s="157"/>
      <c r="C2263" s="157"/>
      <c r="D2263" s="158"/>
      <c r="J2263" s="27"/>
      <c r="K2263" s="27"/>
      <c r="L2263" s="27"/>
      <c r="M2263" s="27"/>
      <c r="N2263" s="27"/>
      <c r="O2263" s="27"/>
      <c r="P2263" s="27"/>
    </row>
    <row r="2264" spans="1:16" s="28" customFormat="1" ht="34.5" hidden="1" customHeight="1">
      <c r="A2264" s="159" t="s">
        <v>442</v>
      </c>
      <c r="B2264" s="160" t="s">
        <v>441</v>
      </c>
      <c r="C2264" s="160"/>
      <c r="D2264" s="161"/>
      <c r="J2264" s="27"/>
      <c r="K2264" s="27"/>
      <c r="L2264" s="27"/>
      <c r="M2264" s="27"/>
      <c r="N2264" s="27"/>
      <c r="O2264" s="27"/>
      <c r="P2264" s="27"/>
    </row>
    <row r="2265" spans="1:16" s="28" customFormat="1" ht="34.5" hidden="1" customHeight="1" thickBot="1">
      <c r="A2265" s="162"/>
      <c r="B2265" s="163"/>
      <c r="C2265" s="163"/>
      <c r="D2265" s="164"/>
      <c r="J2265" s="27"/>
      <c r="K2265" s="27"/>
      <c r="L2265" s="27"/>
      <c r="M2265" s="27"/>
      <c r="N2265" s="27"/>
      <c r="O2265" s="27"/>
      <c r="P2265" s="27"/>
    </row>
    <row r="2266" spans="1:16" s="28" customFormat="1" ht="34.5" hidden="1" customHeight="1" thickBot="1">
      <c r="A2266" s="142" t="s">
        <v>11</v>
      </c>
      <c r="B2266" s="143"/>
      <c r="C2266" s="165" t="s">
        <v>12</v>
      </c>
      <c r="D2266" s="143"/>
      <c r="J2266" s="27"/>
      <c r="K2266" s="27"/>
      <c r="L2266" s="27"/>
      <c r="M2266" s="27"/>
      <c r="N2266" s="27"/>
      <c r="O2266" s="27"/>
      <c r="P2266" s="27"/>
    </row>
    <row r="2267" spans="1:16" s="28" customFormat="1" ht="34.5" hidden="1" customHeight="1" thickBot="1">
      <c r="A2267" s="137" t="s">
        <v>443</v>
      </c>
      <c r="B2267" s="138"/>
      <c r="C2267" s="138"/>
      <c r="D2267" s="139"/>
      <c r="J2267" s="27"/>
      <c r="K2267" s="27"/>
      <c r="L2267" s="27"/>
      <c r="M2267" s="27"/>
      <c r="N2267" s="27"/>
      <c r="O2267" s="27"/>
      <c r="P2267" s="27"/>
    </row>
    <row r="2268" spans="1:16" s="28" customFormat="1" ht="34.5" hidden="1" customHeight="1" thickBot="1">
      <c r="A2268" s="34" t="s">
        <v>439</v>
      </c>
      <c r="B2268" s="32" t="s">
        <v>438</v>
      </c>
      <c r="C2268" s="34"/>
      <c r="D2268" s="32" t="s">
        <v>0</v>
      </c>
      <c r="J2268" s="27"/>
      <c r="K2268" s="27"/>
      <c r="L2268" s="27"/>
      <c r="M2268" s="27"/>
      <c r="N2268" s="27"/>
      <c r="O2268" s="27"/>
      <c r="P2268" s="27"/>
    </row>
    <row r="2269" spans="1:16" s="28" customFormat="1" ht="34.5" hidden="1" customHeight="1" thickBot="1">
      <c r="A2269" s="37" t="s">
        <v>13</v>
      </c>
      <c r="B2269" s="36" t="s">
        <v>1</v>
      </c>
      <c r="C2269" s="34" t="s">
        <v>14</v>
      </c>
      <c r="D2269" s="32" t="s">
        <v>2</v>
      </c>
      <c r="J2269" s="27"/>
      <c r="K2269" s="27"/>
      <c r="L2269" s="27"/>
      <c r="M2269" s="27"/>
      <c r="N2269" s="27"/>
      <c r="O2269" s="27"/>
      <c r="P2269" s="27"/>
    </row>
    <row r="2270" spans="1:16" s="28" customFormat="1" ht="34.5" hidden="1" customHeight="1" thickBot="1">
      <c r="A2270" s="140">
        <v>38</v>
      </c>
      <c r="B2270" s="141"/>
      <c r="C2270" s="142" t="s">
        <v>3</v>
      </c>
      <c r="D2270" s="143"/>
      <c r="J2270" s="27"/>
      <c r="K2270" s="27"/>
      <c r="L2270" s="27"/>
      <c r="M2270" s="27"/>
      <c r="N2270" s="27"/>
      <c r="O2270" s="27"/>
      <c r="P2270" s="27"/>
    </row>
    <row r="2271" spans="1:16" s="28" customFormat="1" ht="34.5" hidden="1" customHeight="1" thickBot="1">
      <c r="A2271" s="140">
        <v>71</v>
      </c>
      <c r="B2271" s="141"/>
      <c r="C2271" s="144" t="s">
        <v>4</v>
      </c>
      <c r="D2271" s="145"/>
      <c r="J2271" s="27"/>
      <c r="K2271" s="27"/>
      <c r="L2271" s="27"/>
      <c r="M2271" s="27"/>
      <c r="N2271" s="27"/>
      <c r="O2271" s="27"/>
      <c r="P2271" s="27"/>
    </row>
    <row r="2272" spans="1:16" s="28" customFormat="1" ht="34.5" hidden="1" customHeight="1" thickBot="1">
      <c r="A2272" s="146">
        <f>A2271-A2270</f>
        <v>33</v>
      </c>
      <c r="B2272" s="147"/>
      <c r="C2272" s="148"/>
      <c r="D2272" s="35" t="s">
        <v>5</v>
      </c>
      <c r="J2272" s="27"/>
      <c r="K2272" s="27"/>
      <c r="L2272" s="27"/>
      <c r="M2272" s="27"/>
      <c r="N2272" s="27"/>
      <c r="O2272" s="27"/>
      <c r="P2272" s="27"/>
    </row>
    <row r="2273" spans="1:16" s="28" customFormat="1" ht="34.5" hidden="1" customHeight="1" thickBot="1">
      <c r="A2273" s="149">
        <v>50</v>
      </c>
      <c r="B2273" s="150"/>
      <c r="C2273" s="151"/>
      <c r="D2273" s="35" t="s">
        <v>6</v>
      </c>
      <c r="J2273" s="27"/>
      <c r="K2273" s="27"/>
      <c r="L2273" s="27"/>
      <c r="M2273" s="27"/>
      <c r="N2273" s="27"/>
      <c r="O2273" s="27"/>
      <c r="P2273" s="27"/>
    </row>
    <row r="2274" spans="1:16" s="28" customFormat="1" ht="34.5" hidden="1" customHeight="1" thickBot="1">
      <c r="A2274" s="144">
        <f>A2273*A2272</f>
        <v>1650</v>
      </c>
      <c r="B2274" s="152"/>
      <c r="C2274" s="145"/>
      <c r="D2274" s="35" t="s">
        <v>7</v>
      </c>
      <c r="J2274" s="27"/>
      <c r="K2274" s="27"/>
      <c r="L2274" s="27"/>
      <c r="M2274" s="27"/>
      <c r="N2274" s="27"/>
      <c r="O2274" s="27"/>
      <c r="P2274" s="27"/>
    </row>
    <row r="2275" spans="1:16" s="28" customFormat="1" ht="34.5" hidden="1" customHeight="1" thickBot="1">
      <c r="A2275" s="144">
        <v>0</v>
      </c>
      <c r="B2275" s="152"/>
      <c r="C2275" s="145"/>
      <c r="D2275" s="35" t="s">
        <v>437</v>
      </c>
      <c r="J2275" s="27"/>
      <c r="K2275" s="27"/>
      <c r="L2275" s="27"/>
      <c r="M2275" s="27"/>
      <c r="N2275" s="27"/>
      <c r="O2275" s="27"/>
      <c r="P2275" s="27"/>
    </row>
    <row r="2276" spans="1:16" s="28" customFormat="1" ht="34.5" hidden="1" customHeight="1" thickBot="1">
      <c r="A2276" s="34">
        <v>0</v>
      </c>
      <c r="B2276" s="32" t="s">
        <v>8</v>
      </c>
      <c r="C2276" s="33">
        <v>1650</v>
      </c>
      <c r="D2276" s="32" t="s">
        <v>9</v>
      </c>
      <c r="J2276" s="27"/>
      <c r="K2276" s="27"/>
      <c r="L2276" s="27"/>
      <c r="M2276" s="27"/>
      <c r="N2276" s="27"/>
      <c r="O2276" s="27"/>
      <c r="P2276" s="27"/>
    </row>
    <row r="2277" spans="1:16" s="28" customFormat="1" ht="34.5" hidden="1" customHeight="1" thickBot="1">
      <c r="A2277" s="153" t="s">
        <v>436</v>
      </c>
      <c r="B2277" s="154"/>
      <c r="C2277" s="154"/>
      <c r="D2277" s="155"/>
      <c r="J2277" s="27"/>
      <c r="K2277" s="27"/>
      <c r="L2277" s="27"/>
      <c r="M2277" s="27"/>
      <c r="N2277" s="27"/>
      <c r="O2277" s="27"/>
      <c r="P2277" s="27"/>
    </row>
    <row r="2278" spans="1:16" s="28" customFormat="1" ht="34.5" hidden="1" customHeight="1" thickBot="1">
      <c r="A2278" s="156" t="s">
        <v>435</v>
      </c>
      <c r="B2278" s="157"/>
      <c r="C2278" s="157"/>
      <c r="D2278" s="158"/>
      <c r="J2278" s="27"/>
      <c r="K2278" s="27"/>
      <c r="L2278" s="27"/>
      <c r="M2278" s="27"/>
      <c r="N2278" s="27"/>
      <c r="O2278" s="27"/>
      <c r="P2278" s="27"/>
    </row>
    <row r="2279" spans="1:16" s="28" customFormat="1" ht="34.5" hidden="1" customHeight="1" thickBot="1">
      <c r="A2279" s="40"/>
      <c r="B2279" s="39"/>
      <c r="C2279" s="39"/>
      <c r="D2279" s="38"/>
      <c r="J2279" s="27"/>
      <c r="K2279" s="27"/>
      <c r="L2279" s="27"/>
      <c r="M2279" s="27"/>
      <c r="N2279" s="27"/>
      <c r="O2279" s="27"/>
      <c r="P2279" s="27"/>
    </row>
    <row r="2280" spans="1:16" s="28" customFormat="1" ht="34.5" hidden="1" customHeight="1">
      <c r="A2280" s="159" t="s">
        <v>441</v>
      </c>
      <c r="B2280" s="160"/>
      <c r="C2280" s="160"/>
      <c r="D2280" s="161"/>
      <c r="J2280" s="27"/>
      <c r="K2280" s="27"/>
      <c r="L2280" s="27"/>
      <c r="M2280" s="27"/>
      <c r="N2280" s="27"/>
      <c r="O2280" s="27"/>
      <c r="P2280" s="27"/>
    </row>
    <row r="2281" spans="1:16" s="28" customFormat="1" ht="34.5" hidden="1" customHeight="1" thickBot="1">
      <c r="A2281" s="162"/>
      <c r="B2281" s="163"/>
      <c r="C2281" s="163"/>
      <c r="D2281" s="164"/>
      <c r="J2281" s="27"/>
      <c r="K2281" s="27"/>
      <c r="L2281" s="27"/>
      <c r="M2281" s="27"/>
      <c r="N2281" s="27"/>
      <c r="O2281" s="27"/>
      <c r="P2281" s="27"/>
    </row>
    <row r="2282" spans="1:16" s="28" customFormat="1" ht="34.5" hidden="1" customHeight="1" thickBot="1">
      <c r="A2282" s="142" t="s">
        <v>11</v>
      </c>
      <c r="B2282" s="143"/>
      <c r="C2282" s="165" t="s">
        <v>12</v>
      </c>
      <c r="D2282" s="143"/>
      <c r="J2282" s="27"/>
      <c r="K2282" s="27"/>
      <c r="L2282" s="27"/>
      <c r="M2282" s="27"/>
      <c r="N2282" s="27"/>
      <c r="O2282" s="27"/>
      <c r="P2282" s="27"/>
    </row>
    <row r="2283" spans="1:16" s="28" customFormat="1" ht="34.5" hidden="1" customHeight="1" thickBot="1">
      <c r="A2283" s="137" t="s">
        <v>443</v>
      </c>
      <c r="B2283" s="138"/>
      <c r="C2283" s="138"/>
      <c r="D2283" s="139"/>
      <c r="J2283" s="27"/>
      <c r="K2283" s="27"/>
      <c r="L2283" s="27"/>
      <c r="M2283" s="27"/>
      <c r="N2283" s="27"/>
      <c r="O2283" s="27"/>
      <c r="P2283" s="27"/>
    </row>
    <row r="2284" spans="1:16" s="28" customFormat="1" ht="34.5" hidden="1" customHeight="1" thickBot="1">
      <c r="A2284" s="34" t="s">
        <v>439</v>
      </c>
      <c r="B2284" s="32" t="s">
        <v>438</v>
      </c>
      <c r="C2284" s="34"/>
      <c r="D2284" s="32" t="s">
        <v>0</v>
      </c>
      <c r="J2284" s="27"/>
      <c r="K2284" s="27"/>
      <c r="L2284" s="27"/>
      <c r="M2284" s="27"/>
      <c r="N2284" s="27"/>
      <c r="O2284" s="27"/>
      <c r="P2284" s="27"/>
    </row>
    <row r="2285" spans="1:16" s="28" customFormat="1" ht="34.5" hidden="1" customHeight="1" thickBot="1">
      <c r="A2285" s="37" t="s">
        <v>13</v>
      </c>
      <c r="B2285" s="36" t="s">
        <v>1</v>
      </c>
      <c r="C2285" s="34" t="s">
        <v>14</v>
      </c>
      <c r="D2285" s="32" t="s">
        <v>2</v>
      </c>
      <c r="J2285" s="27"/>
      <c r="K2285" s="27"/>
      <c r="L2285" s="27"/>
      <c r="M2285" s="27"/>
      <c r="N2285" s="27"/>
      <c r="O2285" s="27"/>
      <c r="P2285" s="27"/>
    </row>
    <row r="2286" spans="1:16" s="28" customFormat="1" ht="34.5" hidden="1" customHeight="1" thickBot="1">
      <c r="A2286" s="140">
        <v>38</v>
      </c>
      <c r="B2286" s="141"/>
      <c r="C2286" s="142" t="s">
        <v>3</v>
      </c>
      <c r="D2286" s="143"/>
      <c r="J2286" s="27"/>
      <c r="K2286" s="27"/>
      <c r="L2286" s="27"/>
      <c r="M2286" s="27"/>
      <c r="N2286" s="27"/>
      <c r="O2286" s="27"/>
      <c r="P2286" s="27"/>
    </row>
    <row r="2287" spans="1:16" s="28" customFormat="1" ht="34.5" hidden="1" customHeight="1" thickBot="1">
      <c r="A2287" s="140">
        <v>71</v>
      </c>
      <c r="B2287" s="141"/>
      <c r="C2287" s="144" t="s">
        <v>4</v>
      </c>
      <c r="D2287" s="145"/>
      <c r="J2287" s="27"/>
      <c r="K2287" s="27"/>
      <c r="L2287" s="27"/>
      <c r="M2287" s="27"/>
      <c r="N2287" s="27"/>
      <c r="O2287" s="27"/>
      <c r="P2287" s="27"/>
    </row>
    <row r="2288" spans="1:16" s="28" customFormat="1" ht="34.5" hidden="1" customHeight="1" thickBot="1">
      <c r="A2288" s="146">
        <f>A2287-A2286</f>
        <v>33</v>
      </c>
      <c r="B2288" s="147"/>
      <c r="C2288" s="148"/>
      <c r="D2288" s="35" t="s">
        <v>5</v>
      </c>
      <c r="J2288" s="27"/>
      <c r="K2288" s="27"/>
      <c r="L2288" s="27"/>
      <c r="M2288" s="27"/>
      <c r="N2288" s="27"/>
      <c r="O2288" s="27"/>
      <c r="P2288" s="27"/>
    </row>
    <row r="2289" spans="1:16" s="28" customFormat="1" ht="34.5" hidden="1" customHeight="1" thickBot="1">
      <c r="A2289" s="149">
        <v>50</v>
      </c>
      <c r="B2289" s="150"/>
      <c r="C2289" s="151"/>
      <c r="D2289" s="35" t="s">
        <v>6</v>
      </c>
      <c r="J2289" s="27"/>
      <c r="K2289" s="27"/>
      <c r="L2289" s="27"/>
      <c r="M2289" s="27"/>
      <c r="N2289" s="27"/>
      <c r="O2289" s="27"/>
      <c r="P2289" s="27"/>
    </row>
    <row r="2290" spans="1:16" s="28" customFormat="1" ht="34.5" hidden="1" customHeight="1" thickBot="1">
      <c r="A2290" s="144">
        <f>A2289*A2288</f>
        <v>1650</v>
      </c>
      <c r="B2290" s="152"/>
      <c r="C2290" s="145"/>
      <c r="D2290" s="35" t="s">
        <v>7</v>
      </c>
      <c r="J2290" s="27"/>
      <c r="K2290" s="27"/>
      <c r="L2290" s="27"/>
      <c r="M2290" s="27"/>
      <c r="N2290" s="27"/>
      <c r="O2290" s="27"/>
      <c r="P2290" s="27"/>
    </row>
    <row r="2291" spans="1:16" s="28" customFormat="1" ht="34.5" hidden="1" customHeight="1" thickBot="1">
      <c r="A2291" s="144">
        <v>0</v>
      </c>
      <c r="B2291" s="152"/>
      <c r="C2291" s="145"/>
      <c r="D2291" s="35" t="s">
        <v>437</v>
      </c>
      <c r="J2291" s="27"/>
      <c r="K2291" s="27"/>
      <c r="L2291" s="27"/>
      <c r="M2291" s="27"/>
      <c r="N2291" s="27"/>
      <c r="O2291" s="27"/>
      <c r="P2291" s="27"/>
    </row>
    <row r="2292" spans="1:16" s="28" customFormat="1" ht="34.5" hidden="1" customHeight="1" thickBot="1">
      <c r="A2292" s="34">
        <v>0</v>
      </c>
      <c r="B2292" s="32" t="s">
        <v>8</v>
      </c>
      <c r="C2292" s="33">
        <v>1650</v>
      </c>
      <c r="D2292" s="32" t="s">
        <v>9</v>
      </c>
      <c r="J2292" s="27"/>
      <c r="K2292" s="27"/>
      <c r="L2292" s="27"/>
      <c r="M2292" s="27"/>
      <c r="N2292" s="27"/>
      <c r="O2292" s="27"/>
      <c r="P2292" s="27"/>
    </row>
    <row r="2293" spans="1:16" s="28" customFormat="1" ht="34.5" hidden="1" customHeight="1" thickBot="1">
      <c r="A2293" s="153" t="s">
        <v>436</v>
      </c>
      <c r="B2293" s="154"/>
      <c r="C2293" s="154"/>
      <c r="D2293" s="155"/>
      <c r="J2293" s="27"/>
      <c r="K2293" s="27"/>
      <c r="L2293" s="27"/>
      <c r="M2293" s="27"/>
      <c r="N2293" s="27"/>
      <c r="O2293" s="27"/>
      <c r="P2293" s="27"/>
    </row>
    <row r="2294" spans="1:16" s="28" customFormat="1" ht="34.5" hidden="1" customHeight="1" thickBot="1">
      <c r="A2294" s="156" t="s">
        <v>435</v>
      </c>
      <c r="B2294" s="157"/>
      <c r="C2294" s="157"/>
      <c r="D2294" s="158"/>
      <c r="J2294" s="27"/>
      <c r="K2294" s="27"/>
      <c r="L2294" s="27"/>
      <c r="M2294" s="27"/>
      <c r="N2294" s="27"/>
      <c r="O2294" s="27"/>
      <c r="P2294" s="27"/>
    </row>
    <row r="2295" spans="1:16" s="28" customFormat="1" ht="34.5" hidden="1" customHeight="1">
      <c r="A2295" s="159" t="s">
        <v>442</v>
      </c>
      <c r="B2295" s="160" t="s">
        <v>441</v>
      </c>
      <c r="C2295" s="160"/>
      <c r="D2295" s="161"/>
      <c r="J2295" s="27"/>
      <c r="K2295" s="27"/>
      <c r="L2295" s="27"/>
      <c r="M2295" s="27"/>
      <c r="N2295" s="27"/>
      <c r="O2295" s="27"/>
      <c r="P2295" s="27"/>
    </row>
    <row r="2296" spans="1:16" s="28" customFormat="1" ht="34.5" hidden="1" customHeight="1" thickBot="1">
      <c r="A2296" s="162"/>
      <c r="B2296" s="163"/>
      <c r="C2296" s="163"/>
      <c r="D2296" s="164"/>
      <c r="J2296" s="27"/>
      <c r="K2296" s="27"/>
      <c r="L2296" s="27"/>
      <c r="M2296" s="27"/>
      <c r="N2296" s="27"/>
      <c r="O2296" s="27"/>
      <c r="P2296" s="27"/>
    </row>
    <row r="2297" spans="1:16" s="28" customFormat="1" ht="34.5" hidden="1" customHeight="1" thickBot="1">
      <c r="A2297" s="142" t="s">
        <v>11</v>
      </c>
      <c r="B2297" s="143"/>
      <c r="C2297" s="165" t="s">
        <v>12</v>
      </c>
      <c r="D2297" s="143"/>
      <c r="J2297" s="27"/>
      <c r="K2297" s="27"/>
      <c r="L2297" s="27"/>
      <c r="M2297" s="27"/>
      <c r="N2297" s="27"/>
      <c r="O2297" s="27"/>
      <c r="P2297" s="27"/>
    </row>
    <row r="2298" spans="1:16" s="28" customFormat="1" ht="34.5" hidden="1" customHeight="1" thickBot="1">
      <c r="A2298" s="137" t="s">
        <v>440</v>
      </c>
      <c r="B2298" s="138"/>
      <c r="C2298" s="138"/>
      <c r="D2298" s="139"/>
      <c r="J2298" s="27"/>
      <c r="K2298" s="27"/>
      <c r="L2298" s="27"/>
      <c r="M2298" s="27"/>
      <c r="N2298" s="27"/>
      <c r="O2298" s="27"/>
      <c r="P2298" s="27"/>
    </row>
    <row r="2299" spans="1:16" s="28" customFormat="1" ht="34.5" hidden="1" customHeight="1" thickBot="1">
      <c r="A2299" s="34" t="s">
        <v>439</v>
      </c>
      <c r="B2299" s="32" t="s">
        <v>438</v>
      </c>
      <c r="C2299" s="34"/>
      <c r="D2299" s="32" t="s">
        <v>0</v>
      </c>
      <c r="J2299" s="27"/>
      <c r="K2299" s="27"/>
      <c r="L2299" s="27"/>
      <c r="M2299" s="27"/>
      <c r="N2299" s="27"/>
      <c r="O2299" s="27"/>
      <c r="P2299" s="27"/>
    </row>
    <row r="2300" spans="1:16" s="28" customFormat="1" ht="34.5" hidden="1" customHeight="1" thickBot="1">
      <c r="A2300" s="37" t="s">
        <v>13</v>
      </c>
      <c r="B2300" s="36" t="s">
        <v>1</v>
      </c>
      <c r="C2300" s="34" t="s">
        <v>14</v>
      </c>
      <c r="D2300" s="32" t="s">
        <v>2</v>
      </c>
      <c r="J2300" s="27"/>
      <c r="K2300" s="27"/>
      <c r="L2300" s="27"/>
      <c r="M2300" s="27"/>
      <c r="N2300" s="27"/>
      <c r="O2300" s="27"/>
      <c r="P2300" s="27"/>
    </row>
    <row r="2301" spans="1:16" s="28" customFormat="1" ht="34.5" hidden="1" customHeight="1" thickBot="1">
      <c r="A2301" s="140">
        <v>12</v>
      </c>
      <c r="B2301" s="141"/>
      <c r="C2301" s="142" t="s">
        <v>3</v>
      </c>
      <c r="D2301" s="143"/>
      <c r="J2301" s="27"/>
      <c r="K2301" s="27"/>
      <c r="L2301" s="27"/>
      <c r="M2301" s="27"/>
      <c r="N2301" s="27"/>
      <c r="O2301" s="27"/>
      <c r="P2301" s="27"/>
    </row>
    <row r="2302" spans="1:16" s="28" customFormat="1" ht="34.5" hidden="1" customHeight="1" thickBot="1">
      <c r="A2302" s="140">
        <v>29</v>
      </c>
      <c r="B2302" s="141"/>
      <c r="C2302" s="144" t="s">
        <v>4</v>
      </c>
      <c r="D2302" s="145"/>
      <c r="J2302" s="27"/>
      <c r="K2302" s="27"/>
      <c r="L2302" s="27"/>
      <c r="M2302" s="27"/>
      <c r="N2302" s="27"/>
      <c r="O2302" s="27"/>
      <c r="P2302" s="27"/>
    </row>
    <row r="2303" spans="1:16" s="28" customFormat="1" ht="34.5" hidden="1" customHeight="1" thickBot="1">
      <c r="A2303" s="146">
        <f>A2302-A2301</f>
        <v>17</v>
      </c>
      <c r="B2303" s="147"/>
      <c r="C2303" s="148"/>
      <c r="D2303" s="35" t="s">
        <v>5</v>
      </c>
      <c r="J2303" s="27"/>
      <c r="K2303" s="27"/>
      <c r="L2303" s="27"/>
      <c r="M2303" s="27"/>
      <c r="N2303" s="27"/>
      <c r="O2303" s="27"/>
      <c r="P2303" s="27"/>
    </row>
    <row r="2304" spans="1:16" s="28" customFormat="1" ht="34.5" hidden="1" customHeight="1" thickBot="1">
      <c r="A2304" s="149">
        <v>50</v>
      </c>
      <c r="B2304" s="150"/>
      <c r="C2304" s="151"/>
      <c r="D2304" s="35" t="s">
        <v>6</v>
      </c>
      <c r="J2304" s="27"/>
      <c r="K2304" s="27"/>
      <c r="L2304" s="27"/>
      <c r="M2304" s="27"/>
      <c r="N2304" s="27"/>
      <c r="O2304" s="27"/>
      <c r="P2304" s="27"/>
    </row>
    <row r="2305" spans="1:16" s="28" customFormat="1" ht="34.5" hidden="1" customHeight="1" thickBot="1">
      <c r="A2305" s="144">
        <f>A2304*A2303</f>
        <v>850</v>
      </c>
      <c r="B2305" s="152"/>
      <c r="C2305" s="145"/>
      <c r="D2305" s="35" t="s">
        <v>7</v>
      </c>
      <c r="J2305" s="27"/>
      <c r="K2305" s="27"/>
      <c r="L2305" s="27"/>
      <c r="M2305" s="27"/>
      <c r="N2305" s="27"/>
      <c r="O2305" s="27"/>
      <c r="P2305" s="27"/>
    </row>
    <row r="2306" spans="1:16" s="28" customFormat="1" ht="34.5" hidden="1" customHeight="1" thickBot="1">
      <c r="A2306" s="144">
        <v>0</v>
      </c>
      <c r="B2306" s="152"/>
      <c r="C2306" s="145"/>
      <c r="D2306" s="35" t="s">
        <v>437</v>
      </c>
      <c r="J2306" s="27"/>
      <c r="K2306" s="27"/>
      <c r="L2306" s="27"/>
      <c r="M2306" s="27"/>
      <c r="N2306" s="27"/>
      <c r="O2306" s="27"/>
      <c r="P2306" s="27"/>
    </row>
    <row r="2307" spans="1:16" s="28" customFormat="1" ht="34.5" hidden="1" customHeight="1" thickBot="1">
      <c r="A2307" s="34">
        <v>0</v>
      </c>
      <c r="B2307" s="32" t="s">
        <v>8</v>
      </c>
      <c r="C2307" s="33">
        <v>850</v>
      </c>
      <c r="D2307" s="32" t="s">
        <v>9</v>
      </c>
      <c r="J2307" s="27"/>
      <c r="K2307" s="27"/>
      <c r="L2307" s="27"/>
      <c r="M2307" s="27"/>
      <c r="N2307" s="27"/>
      <c r="O2307" s="27"/>
      <c r="P2307" s="27"/>
    </row>
    <row r="2308" spans="1:16" s="28" customFormat="1" ht="34.5" hidden="1" customHeight="1" thickBot="1">
      <c r="A2308" s="153" t="s">
        <v>436</v>
      </c>
      <c r="B2308" s="154"/>
      <c r="C2308" s="154"/>
      <c r="D2308" s="155"/>
      <c r="J2308" s="27"/>
      <c r="K2308" s="27"/>
      <c r="L2308" s="27"/>
      <c r="M2308" s="27"/>
      <c r="N2308" s="27"/>
      <c r="O2308" s="27"/>
      <c r="P2308" s="27"/>
    </row>
    <row r="2309" spans="1:16" s="28" customFormat="1" ht="34.5" hidden="1" customHeight="1" thickBot="1">
      <c r="A2309" s="156" t="s">
        <v>435</v>
      </c>
      <c r="B2309" s="157"/>
      <c r="C2309" s="157"/>
      <c r="D2309" s="158"/>
      <c r="J2309" s="27"/>
      <c r="K2309" s="27"/>
      <c r="L2309" s="27"/>
      <c r="M2309" s="27"/>
      <c r="N2309" s="27"/>
      <c r="O2309" s="27"/>
      <c r="P2309" s="27"/>
    </row>
    <row r="2310" spans="1:16" s="28" customFormat="1" ht="34.5" hidden="1" customHeight="1" thickBot="1">
      <c r="A2310" s="40"/>
      <c r="B2310" s="39"/>
      <c r="C2310" s="39"/>
      <c r="D2310" s="38"/>
      <c r="J2310" s="27"/>
      <c r="K2310" s="27"/>
      <c r="L2310" s="27"/>
      <c r="M2310" s="27"/>
      <c r="N2310" s="27"/>
      <c r="O2310" s="27"/>
      <c r="P2310" s="27"/>
    </row>
    <row r="2311" spans="1:16" s="28" customFormat="1" ht="34.5" hidden="1" customHeight="1">
      <c r="A2311" s="159" t="s">
        <v>441</v>
      </c>
      <c r="B2311" s="160"/>
      <c r="C2311" s="160"/>
      <c r="D2311" s="161"/>
      <c r="J2311" s="27"/>
      <c r="K2311" s="27"/>
      <c r="L2311" s="27"/>
      <c r="M2311" s="27"/>
      <c r="N2311" s="27"/>
      <c r="O2311" s="27"/>
      <c r="P2311" s="27"/>
    </row>
    <row r="2312" spans="1:16" s="28" customFormat="1" ht="34.5" hidden="1" customHeight="1" thickBot="1">
      <c r="A2312" s="162"/>
      <c r="B2312" s="163"/>
      <c r="C2312" s="163"/>
      <c r="D2312" s="164"/>
      <c r="J2312" s="27"/>
      <c r="K2312" s="27"/>
      <c r="L2312" s="27"/>
      <c r="M2312" s="27"/>
      <c r="N2312" s="27"/>
      <c r="O2312" s="27"/>
      <c r="P2312" s="27"/>
    </row>
    <row r="2313" spans="1:16" s="28" customFormat="1" ht="34.5" hidden="1" customHeight="1" thickBot="1">
      <c r="A2313" s="142" t="s">
        <v>11</v>
      </c>
      <c r="B2313" s="143"/>
      <c r="C2313" s="165" t="s">
        <v>12</v>
      </c>
      <c r="D2313" s="143"/>
      <c r="J2313" s="27"/>
      <c r="K2313" s="27"/>
      <c r="L2313" s="27"/>
      <c r="M2313" s="27"/>
      <c r="N2313" s="27"/>
      <c r="O2313" s="27"/>
      <c r="P2313" s="27"/>
    </row>
    <row r="2314" spans="1:16" s="28" customFormat="1" ht="34.5" hidden="1" customHeight="1" thickBot="1">
      <c r="A2314" s="137" t="s">
        <v>440</v>
      </c>
      <c r="B2314" s="138"/>
      <c r="C2314" s="138"/>
      <c r="D2314" s="139"/>
      <c r="J2314" s="27"/>
      <c r="K2314" s="27"/>
      <c r="L2314" s="27"/>
      <c r="M2314" s="27"/>
      <c r="N2314" s="27"/>
      <c r="O2314" s="27"/>
      <c r="P2314" s="27"/>
    </row>
    <row r="2315" spans="1:16" s="28" customFormat="1" ht="34.5" hidden="1" customHeight="1" thickBot="1">
      <c r="A2315" s="34" t="s">
        <v>439</v>
      </c>
      <c r="B2315" s="32" t="s">
        <v>438</v>
      </c>
      <c r="C2315" s="34"/>
      <c r="D2315" s="32" t="s">
        <v>0</v>
      </c>
      <c r="J2315" s="27"/>
      <c r="K2315" s="27"/>
      <c r="L2315" s="27"/>
      <c r="M2315" s="27"/>
      <c r="N2315" s="27"/>
      <c r="O2315" s="27"/>
      <c r="P2315" s="27"/>
    </row>
    <row r="2316" spans="1:16" s="28" customFormat="1" ht="34.5" hidden="1" customHeight="1" thickBot="1">
      <c r="A2316" s="37" t="s">
        <v>13</v>
      </c>
      <c r="B2316" s="36" t="s">
        <v>1</v>
      </c>
      <c r="C2316" s="34" t="s">
        <v>14</v>
      </c>
      <c r="D2316" s="32" t="s">
        <v>2</v>
      </c>
      <c r="J2316" s="27"/>
      <c r="K2316" s="27"/>
      <c r="L2316" s="27"/>
      <c r="M2316" s="27"/>
      <c r="N2316" s="27"/>
      <c r="O2316" s="27"/>
      <c r="P2316" s="27"/>
    </row>
    <row r="2317" spans="1:16" s="28" customFormat="1" ht="34.5" hidden="1" customHeight="1" thickBot="1">
      <c r="A2317" s="140">
        <v>12</v>
      </c>
      <c r="B2317" s="141"/>
      <c r="C2317" s="142" t="s">
        <v>3</v>
      </c>
      <c r="D2317" s="143"/>
      <c r="J2317" s="27"/>
      <c r="K2317" s="27"/>
      <c r="L2317" s="27"/>
      <c r="M2317" s="27"/>
      <c r="N2317" s="27"/>
      <c r="O2317" s="27"/>
      <c r="P2317" s="27"/>
    </row>
    <row r="2318" spans="1:16" s="28" customFormat="1" ht="34.5" hidden="1" customHeight="1" thickBot="1">
      <c r="A2318" s="140">
        <v>29</v>
      </c>
      <c r="B2318" s="141"/>
      <c r="C2318" s="144" t="s">
        <v>4</v>
      </c>
      <c r="D2318" s="145"/>
      <c r="J2318" s="27"/>
      <c r="K2318" s="27"/>
      <c r="L2318" s="27"/>
      <c r="M2318" s="27"/>
      <c r="N2318" s="27"/>
      <c r="O2318" s="27"/>
      <c r="P2318" s="27"/>
    </row>
    <row r="2319" spans="1:16" s="28" customFormat="1" ht="34.5" hidden="1" customHeight="1" thickBot="1">
      <c r="A2319" s="146">
        <f>A2318-A2317</f>
        <v>17</v>
      </c>
      <c r="B2319" s="147"/>
      <c r="C2319" s="148"/>
      <c r="D2319" s="35" t="s">
        <v>5</v>
      </c>
      <c r="J2319" s="27"/>
      <c r="K2319" s="27"/>
      <c r="L2319" s="27"/>
      <c r="M2319" s="27"/>
      <c r="N2319" s="27"/>
      <c r="O2319" s="27"/>
      <c r="P2319" s="27"/>
    </row>
    <row r="2320" spans="1:16" s="28" customFormat="1" ht="34.5" hidden="1" customHeight="1" thickBot="1">
      <c r="A2320" s="149">
        <v>50</v>
      </c>
      <c r="B2320" s="150"/>
      <c r="C2320" s="151"/>
      <c r="D2320" s="35" t="s">
        <v>6</v>
      </c>
      <c r="J2320" s="27"/>
      <c r="K2320" s="27"/>
      <c r="L2320" s="27"/>
      <c r="M2320" s="27"/>
      <c r="N2320" s="27"/>
      <c r="O2320" s="27"/>
      <c r="P2320" s="27"/>
    </row>
    <row r="2321" spans="1:16" s="28" customFormat="1" ht="34.5" hidden="1" customHeight="1" thickBot="1">
      <c r="A2321" s="144">
        <f>A2320*A2319</f>
        <v>850</v>
      </c>
      <c r="B2321" s="152"/>
      <c r="C2321" s="145"/>
      <c r="D2321" s="35" t="s">
        <v>7</v>
      </c>
      <c r="J2321" s="27"/>
      <c r="K2321" s="27"/>
      <c r="L2321" s="27"/>
      <c r="M2321" s="27"/>
      <c r="N2321" s="27"/>
      <c r="O2321" s="27"/>
      <c r="P2321" s="27"/>
    </row>
    <row r="2322" spans="1:16" s="28" customFormat="1" ht="34.5" hidden="1" customHeight="1" thickBot="1">
      <c r="A2322" s="144">
        <v>0</v>
      </c>
      <c r="B2322" s="152"/>
      <c r="C2322" s="145"/>
      <c r="D2322" s="35" t="s">
        <v>437</v>
      </c>
      <c r="J2322" s="27"/>
      <c r="K2322" s="27"/>
      <c r="L2322" s="27"/>
      <c r="M2322" s="27"/>
      <c r="N2322" s="27"/>
      <c r="O2322" s="27"/>
      <c r="P2322" s="27"/>
    </row>
    <row r="2323" spans="1:16" s="28" customFormat="1" ht="34.5" hidden="1" customHeight="1" thickBot="1">
      <c r="A2323" s="34">
        <v>0</v>
      </c>
      <c r="B2323" s="32" t="s">
        <v>8</v>
      </c>
      <c r="C2323" s="33">
        <v>850</v>
      </c>
      <c r="D2323" s="32" t="s">
        <v>9</v>
      </c>
      <c r="J2323" s="27"/>
      <c r="K2323" s="27"/>
      <c r="L2323" s="27"/>
      <c r="M2323" s="27"/>
      <c r="N2323" s="27"/>
      <c r="O2323" s="27"/>
      <c r="P2323" s="27"/>
    </row>
    <row r="2324" spans="1:16" s="28" customFormat="1" ht="34.5" hidden="1" customHeight="1" thickBot="1">
      <c r="A2324" s="153" t="s">
        <v>436</v>
      </c>
      <c r="B2324" s="154"/>
      <c r="C2324" s="154"/>
      <c r="D2324" s="155"/>
      <c r="J2324" s="27"/>
      <c r="K2324" s="27"/>
      <c r="L2324" s="27"/>
      <c r="M2324" s="27"/>
      <c r="N2324" s="27"/>
      <c r="O2324" s="27"/>
      <c r="P2324" s="27"/>
    </row>
    <row r="2325" spans="1:16" s="28" customFormat="1" ht="34.5" hidden="1" customHeight="1" thickBot="1">
      <c r="A2325" s="156" t="s">
        <v>435</v>
      </c>
      <c r="B2325" s="157"/>
      <c r="C2325" s="157"/>
      <c r="D2325" s="158"/>
      <c r="J2325" s="27"/>
      <c r="K2325" s="27"/>
      <c r="L2325" s="27"/>
      <c r="M2325" s="27"/>
      <c r="N2325" s="27"/>
      <c r="O2325" s="27"/>
      <c r="P2325" s="27"/>
    </row>
    <row r="2326" spans="1:16" ht="34.5" customHeight="1">
      <c r="A2326" s="159" t="s">
        <v>441</v>
      </c>
      <c r="B2326" s="160"/>
      <c r="C2326" s="160"/>
      <c r="D2326" s="161"/>
      <c r="E2326" s="28"/>
      <c r="F2326" s="28"/>
      <c r="G2326" s="28"/>
      <c r="H2326" s="28"/>
      <c r="I2326" s="28"/>
      <c r="J2326" s="27"/>
      <c r="K2326" s="27"/>
      <c r="L2326" s="27"/>
      <c r="M2326" s="27"/>
      <c r="N2326" s="27"/>
      <c r="O2326" s="27"/>
      <c r="P2326" s="27"/>
    </row>
    <row r="2327" spans="1:16" ht="34.5" customHeight="1" thickBot="1">
      <c r="A2327" s="162"/>
      <c r="B2327" s="163"/>
      <c r="C2327" s="163"/>
      <c r="D2327" s="164"/>
    </row>
    <row r="2328" spans="1:16" s="81" customFormat="1" ht="34.5" customHeight="1" thickBot="1">
      <c r="A2328" s="172" t="s">
        <v>533</v>
      </c>
      <c r="B2328" s="173"/>
      <c r="C2328" s="174" t="s">
        <v>534</v>
      </c>
      <c r="D2328" s="173"/>
    </row>
    <row r="2329" spans="1:16" ht="34.5" customHeight="1" thickBot="1">
      <c r="A2329" s="137" t="s">
        <v>535</v>
      </c>
      <c r="B2329" s="138"/>
      <c r="C2329" s="138"/>
      <c r="D2329" s="139"/>
    </row>
    <row r="2330" spans="1:16" ht="34.5" customHeight="1" thickBot="1">
      <c r="A2330" s="34" t="s">
        <v>487</v>
      </c>
      <c r="B2330" s="32" t="s">
        <v>438</v>
      </c>
      <c r="C2330" s="34"/>
      <c r="D2330" s="32" t="s">
        <v>0</v>
      </c>
    </row>
    <row r="2331" spans="1:16" ht="34.5" customHeight="1" thickBot="1">
      <c r="A2331" s="37" t="s">
        <v>602</v>
      </c>
      <c r="B2331" s="36" t="s">
        <v>1</v>
      </c>
      <c r="C2331" s="34" t="s">
        <v>601</v>
      </c>
      <c r="D2331" s="32" t="s">
        <v>2</v>
      </c>
    </row>
    <row r="2332" spans="1:16" ht="34.5" customHeight="1" thickBot="1">
      <c r="A2332" s="140">
        <v>125304</v>
      </c>
      <c r="B2332" s="141"/>
      <c r="C2332" s="142" t="s">
        <v>3</v>
      </c>
      <c r="D2332" s="143"/>
    </row>
    <row r="2333" spans="1:16" ht="34.5" customHeight="1" thickBot="1">
      <c r="A2333" s="140">
        <v>127282</v>
      </c>
      <c r="B2333" s="141"/>
      <c r="C2333" s="144" t="s">
        <v>4</v>
      </c>
      <c r="D2333" s="145"/>
    </row>
    <row r="2334" spans="1:16" ht="34.5" customHeight="1" thickBot="1">
      <c r="A2334" s="146">
        <f>A2333-A2332</f>
        <v>1978</v>
      </c>
      <c r="B2334" s="147"/>
      <c r="C2334" s="148"/>
      <c r="D2334" s="35" t="s">
        <v>5</v>
      </c>
    </row>
    <row r="2335" spans="1:16" ht="34.5" customHeight="1" thickBot="1">
      <c r="A2335" s="149">
        <v>35</v>
      </c>
      <c r="B2335" s="150"/>
      <c r="C2335" s="151"/>
      <c r="D2335" s="35" t="s">
        <v>6</v>
      </c>
    </row>
    <row r="2336" spans="1:16" ht="34.5" customHeight="1" thickBot="1">
      <c r="A2336" s="144">
        <f>A2335*A2334</f>
        <v>69230</v>
      </c>
      <c r="B2336" s="152"/>
      <c r="C2336" s="145"/>
      <c r="D2336" s="35" t="s">
        <v>7</v>
      </c>
    </row>
    <row r="2337" spans="1:4" ht="34.5" customHeight="1" thickBot="1">
      <c r="A2337" s="144">
        <v>0</v>
      </c>
      <c r="B2337" s="152"/>
      <c r="C2337" s="145"/>
      <c r="D2337" s="35" t="s">
        <v>437</v>
      </c>
    </row>
    <row r="2338" spans="1:4" ht="34.5" customHeight="1" thickBot="1">
      <c r="A2338" s="34">
        <v>0</v>
      </c>
      <c r="B2338" s="32" t="s">
        <v>8</v>
      </c>
      <c r="C2338" s="33">
        <v>69200</v>
      </c>
      <c r="D2338" s="32" t="s">
        <v>9</v>
      </c>
    </row>
    <row r="2339" spans="1:4" ht="34.5" customHeight="1" thickBot="1">
      <c r="A2339" s="153" t="s">
        <v>436</v>
      </c>
      <c r="B2339" s="154"/>
      <c r="C2339" s="154"/>
      <c r="D2339" s="155"/>
    </row>
    <row r="2340" spans="1:4" ht="34.5" customHeight="1" thickBot="1">
      <c r="A2340" s="156" t="s">
        <v>435</v>
      </c>
      <c r="B2340" s="157"/>
      <c r="C2340" s="157"/>
      <c r="D2340" s="158"/>
    </row>
    <row r="2341" spans="1:4" ht="34.5" customHeight="1" thickBot="1">
      <c r="A2341" s="40"/>
      <c r="B2341" s="39"/>
      <c r="C2341" s="39"/>
      <c r="D2341" s="38"/>
    </row>
    <row r="2342" spans="1:4" ht="34.5" customHeight="1">
      <c r="A2342" s="159" t="s">
        <v>441</v>
      </c>
      <c r="B2342" s="160"/>
      <c r="C2342" s="160"/>
      <c r="D2342" s="161"/>
    </row>
    <row r="2343" spans="1:4" ht="34.5" customHeight="1" thickBot="1">
      <c r="A2343" s="162"/>
      <c r="B2343" s="163"/>
      <c r="C2343" s="163"/>
      <c r="D2343" s="164"/>
    </row>
    <row r="2344" spans="1:4" ht="34.5" customHeight="1" thickBot="1">
      <c r="A2344" s="142" t="s">
        <v>533</v>
      </c>
      <c r="B2344" s="143"/>
      <c r="C2344" s="165" t="s">
        <v>534</v>
      </c>
      <c r="D2344" s="143"/>
    </row>
    <row r="2345" spans="1:4" ht="34.5" customHeight="1" thickBot="1">
      <c r="A2345" s="137" t="s">
        <v>535</v>
      </c>
      <c r="B2345" s="138"/>
      <c r="C2345" s="138"/>
      <c r="D2345" s="139"/>
    </row>
    <row r="2346" spans="1:4" ht="34.5" customHeight="1" thickBot="1">
      <c r="A2346" s="34" t="s">
        <v>487</v>
      </c>
      <c r="B2346" s="32" t="s">
        <v>438</v>
      </c>
      <c r="C2346" s="34"/>
      <c r="D2346" s="32" t="s">
        <v>0</v>
      </c>
    </row>
    <row r="2347" spans="1:4" ht="34.5" customHeight="1" thickBot="1">
      <c r="A2347" s="37" t="s">
        <v>602</v>
      </c>
      <c r="B2347" s="36" t="s">
        <v>1</v>
      </c>
      <c r="C2347" s="34" t="s">
        <v>601</v>
      </c>
      <c r="D2347" s="32" t="s">
        <v>2</v>
      </c>
    </row>
    <row r="2348" spans="1:4" ht="34.5" customHeight="1" thickBot="1">
      <c r="A2348" s="140">
        <v>125304</v>
      </c>
      <c r="B2348" s="141"/>
      <c r="C2348" s="142" t="s">
        <v>3</v>
      </c>
      <c r="D2348" s="143"/>
    </row>
    <row r="2349" spans="1:4" ht="34.5" customHeight="1" thickBot="1">
      <c r="A2349" s="140">
        <v>127282</v>
      </c>
      <c r="B2349" s="141"/>
      <c r="C2349" s="144" t="s">
        <v>4</v>
      </c>
      <c r="D2349" s="145"/>
    </row>
    <row r="2350" spans="1:4" ht="34.5" customHeight="1" thickBot="1">
      <c r="A2350" s="146">
        <f>A2349-A2348</f>
        <v>1978</v>
      </c>
      <c r="B2350" s="147"/>
      <c r="C2350" s="148"/>
      <c r="D2350" s="35" t="s">
        <v>5</v>
      </c>
    </row>
    <row r="2351" spans="1:4" ht="34.5" customHeight="1" thickBot="1">
      <c r="A2351" s="149">
        <v>35</v>
      </c>
      <c r="B2351" s="150"/>
      <c r="C2351" s="151"/>
      <c r="D2351" s="35" t="s">
        <v>6</v>
      </c>
    </row>
    <row r="2352" spans="1:4" ht="34.5" customHeight="1" thickBot="1">
      <c r="A2352" s="144">
        <f>A2351*A2350</f>
        <v>69230</v>
      </c>
      <c r="B2352" s="152"/>
      <c r="C2352" s="145"/>
      <c r="D2352" s="35" t="s">
        <v>7</v>
      </c>
    </row>
    <row r="2353" spans="1:4" ht="34.5" customHeight="1" thickBot="1">
      <c r="A2353" s="144">
        <v>0</v>
      </c>
      <c r="B2353" s="152"/>
      <c r="C2353" s="145"/>
      <c r="D2353" s="35" t="s">
        <v>437</v>
      </c>
    </row>
    <row r="2354" spans="1:4" ht="34.5" customHeight="1" thickBot="1">
      <c r="A2354" s="34">
        <v>0</v>
      </c>
      <c r="B2354" s="32" t="s">
        <v>8</v>
      </c>
      <c r="C2354" s="33">
        <v>69200</v>
      </c>
      <c r="D2354" s="32" t="s">
        <v>9</v>
      </c>
    </row>
    <row r="2355" spans="1:4" ht="34.5" customHeight="1" thickBot="1">
      <c r="A2355" s="153" t="s">
        <v>436</v>
      </c>
      <c r="B2355" s="154"/>
      <c r="C2355" s="154"/>
      <c r="D2355" s="155"/>
    </row>
    <row r="2356" spans="1:4" ht="34.5" customHeight="1" thickBot="1">
      <c r="A2356" s="156" t="s">
        <v>435</v>
      </c>
      <c r="B2356" s="157"/>
      <c r="C2356" s="157"/>
      <c r="D2356" s="158"/>
    </row>
    <row r="2357" spans="1:4" ht="34.5" customHeight="1">
      <c r="A2357" s="159" t="s">
        <v>441</v>
      </c>
      <c r="B2357" s="160"/>
      <c r="C2357" s="160"/>
      <c r="D2357" s="161"/>
    </row>
    <row r="2358" spans="1:4" ht="34.5" customHeight="1" thickBot="1">
      <c r="A2358" s="162"/>
      <c r="B2358" s="163"/>
      <c r="C2358" s="163"/>
      <c r="D2358" s="164"/>
    </row>
    <row r="2359" spans="1:4" ht="34.5" customHeight="1" thickBot="1">
      <c r="A2359" s="142" t="s">
        <v>533</v>
      </c>
      <c r="B2359" s="143"/>
      <c r="C2359" s="165" t="s">
        <v>534</v>
      </c>
      <c r="D2359" s="143"/>
    </row>
    <row r="2360" spans="1:4" ht="34.5" customHeight="1" thickBot="1">
      <c r="A2360" s="137" t="s">
        <v>538</v>
      </c>
      <c r="B2360" s="138"/>
      <c r="C2360" s="138"/>
      <c r="D2360" s="139"/>
    </row>
    <row r="2361" spans="1:4" ht="34.5" customHeight="1" thickBot="1">
      <c r="A2361" s="34" t="s">
        <v>487</v>
      </c>
      <c r="B2361" s="32" t="s">
        <v>438</v>
      </c>
      <c r="C2361" s="34"/>
      <c r="D2361" s="32" t="s">
        <v>0</v>
      </c>
    </row>
    <row r="2362" spans="1:4" ht="34.5" customHeight="1" thickBot="1">
      <c r="A2362" s="37" t="s">
        <v>602</v>
      </c>
      <c r="B2362" s="36" t="s">
        <v>1</v>
      </c>
      <c r="C2362" s="34" t="s">
        <v>601</v>
      </c>
      <c r="D2362" s="32" t="s">
        <v>2</v>
      </c>
    </row>
    <row r="2363" spans="1:4" ht="34.5" customHeight="1" thickBot="1">
      <c r="A2363" s="140">
        <v>1191</v>
      </c>
      <c r="B2363" s="141"/>
      <c r="C2363" s="142" t="s">
        <v>3</v>
      </c>
      <c r="D2363" s="143"/>
    </row>
    <row r="2364" spans="1:4" ht="34.5" customHeight="1" thickBot="1">
      <c r="A2364" s="140">
        <v>2995</v>
      </c>
      <c r="B2364" s="141"/>
      <c r="C2364" s="144" t="s">
        <v>4</v>
      </c>
      <c r="D2364" s="145"/>
    </row>
    <row r="2365" spans="1:4" ht="34.5" customHeight="1" thickBot="1">
      <c r="A2365" s="146">
        <f>A2364-A2363</f>
        <v>1804</v>
      </c>
      <c r="B2365" s="147"/>
      <c r="C2365" s="148"/>
      <c r="D2365" s="35" t="s">
        <v>5</v>
      </c>
    </row>
    <row r="2366" spans="1:4" ht="34.5" customHeight="1" thickBot="1">
      <c r="A2366" s="149">
        <v>50</v>
      </c>
      <c r="B2366" s="150"/>
      <c r="C2366" s="151"/>
      <c r="D2366" s="35" t="s">
        <v>6</v>
      </c>
    </row>
    <row r="2367" spans="1:4" ht="34.5" customHeight="1" thickBot="1">
      <c r="A2367" s="144">
        <f>A2366*A2365</f>
        <v>90200</v>
      </c>
      <c r="B2367" s="152"/>
      <c r="C2367" s="145"/>
      <c r="D2367" s="35" t="s">
        <v>7</v>
      </c>
    </row>
    <row r="2368" spans="1:4" ht="34.5" customHeight="1" thickBot="1">
      <c r="A2368" s="144">
        <v>0</v>
      </c>
      <c r="B2368" s="152"/>
      <c r="C2368" s="145"/>
      <c r="D2368" s="35" t="s">
        <v>437</v>
      </c>
    </row>
    <row r="2369" spans="1:4" ht="34.5" customHeight="1" thickBot="1">
      <c r="A2369" s="34">
        <v>0</v>
      </c>
      <c r="B2369" s="32" t="s">
        <v>8</v>
      </c>
      <c r="C2369" s="33">
        <v>90200</v>
      </c>
      <c r="D2369" s="32" t="s">
        <v>9</v>
      </c>
    </row>
    <row r="2370" spans="1:4" ht="34.5" customHeight="1" thickBot="1">
      <c r="A2370" s="153" t="s">
        <v>436</v>
      </c>
      <c r="B2370" s="154"/>
      <c r="C2370" s="154"/>
      <c r="D2370" s="155"/>
    </row>
    <row r="2371" spans="1:4" ht="34.5" customHeight="1" thickBot="1">
      <c r="A2371" s="156" t="s">
        <v>435</v>
      </c>
      <c r="B2371" s="157"/>
      <c r="C2371" s="157"/>
      <c r="D2371" s="158"/>
    </row>
    <row r="2372" spans="1:4" ht="34.5" customHeight="1" thickBot="1">
      <c r="A2372" s="40"/>
      <c r="B2372" s="39"/>
      <c r="C2372" s="39"/>
      <c r="D2372" s="38"/>
    </row>
    <row r="2373" spans="1:4" ht="34.5" customHeight="1">
      <c r="A2373" s="159" t="s">
        <v>441</v>
      </c>
      <c r="B2373" s="160"/>
      <c r="C2373" s="160"/>
      <c r="D2373" s="161"/>
    </row>
    <row r="2374" spans="1:4" ht="34.5" customHeight="1" thickBot="1">
      <c r="A2374" s="162"/>
      <c r="B2374" s="163"/>
      <c r="C2374" s="163"/>
      <c r="D2374" s="164"/>
    </row>
    <row r="2375" spans="1:4" ht="34.5" customHeight="1" thickBot="1">
      <c r="A2375" s="142" t="s">
        <v>533</v>
      </c>
      <c r="B2375" s="143"/>
      <c r="C2375" s="165" t="s">
        <v>534</v>
      </c>
      <c r="D2375" s="143"/>
    </row>
    <row r="2376" spans="1:4" ht="34.5" customHeight="1" thickBot="1">
      <c r="A2376" s="137" t="s">
        <v>538</v>
      </c>
      <c r="B2376" s="138"/>
      <c r="C2376" s="138"/>
      <c r="D2376" s="139"/>
    </row>
    <row r="2377" spans="1:4" ht="34.5" customHeight="1" thickBot="1">
      <c r="A2377" s="34" t="s">
        <v>487</v>
      </c>
      <c r="B2377" s="32" t="s">
        <v>438</v>
      </c>
      <c r="C2377" s="34"/>
      <c r="D2377" s="32" t="s">
        <v>0</v>
      </c>
    </row>
    <row r="2378" spans="1:4" ht="34.5" customHeight="1" thickBot="1">
      <c r="A2378" s="37" t="s">
        <v>602</v>
      </c>
      <c r="B2378" s="36" t="s">
        <v>1</v>
      </c>
      <c r="C2378" s="34" t="s">
        <v>601</v>
      </c>
      <c r="D2378" s="32" t="s">
        <v>2</v>
      </c>
    </row>
    <row r="2379" spans="1:4" ht="34.5" customHeight="1" thickBot="1">
      <c r="A2379" s="140">
        <v>1191</v>
      </c>
      <c r="B2379" s="141"/>
      <c r="C2379" s="142" t="s">
        <v>3</v>
      </c>
      <c r="D2379" s="143"/>
    </row>
    <row r="2380" spans="1:4" ht="34.5" customHeight="1" thickBot="1">
      <c r="A2380" s="140">
        <v>2995</v>
      </c>
      <c r="B2380" s="141"/>
      <c r="C2380" s="144" t="s">
        <v>4</v>
      </c>
      <c r="D2380" s="145"/>
    </row>
    <row r="2381" spans="1:4" ht="34.5" customHeight="1" thickBot="1">
      <c r="A2381" s="146">
        <f>A2380-A2379</f>
        <v>1804</v>
      </c>
      <c r="B2381" s="147"/>
      <c r="C2381" s="148"/>
      <c r="D2381" s="35" t="s">
        <v>5</v>
      </c>
    </row>
    <row r="2382" spans="1:4" ht="34.5" customHeight="1" thickBot="1">
      <c r="A2382" s="149">
        <v>50</v>
      </c>
      <c r="B2382" s="150"/>
      <c r="C2382" s="151"/>
      <c r="D2382" s="35" t="s">
        <v>6</v>
      </c>
    </row>
    <row r="2383" spans="1:4" ht="34.5" customHeight="1" thickBot="1">
      <c r="A2383" s="144">
        <f>A2382*A2381</f>
        <v>90200</v>
      </c>
      <c r="B2383" s="152"/>
      <c r="C2383" s="145"/>
      <c r="D2383" s="35" t="s">
        <v>7</v>
      </c>
    </row>
    <row r="2384" spans="1:4" ht="34.5" customHeight="1" thickBot="1">
      <c r="A2384" s="144">
        <v>0</v>
      </c>
      <c r="B2384" s="152"/>
      <c r="C2384" s="145"/>
      <c r="D2384" s="35" t="s">
        <v>437</v>
      </c>
    </row>
    <row r="2385" spans="1:4" ht="34.5" customHeight="1" thickBot="1">
      <c r="A2385" s="34">
        <v>0</v>
      </c>
      <c r="B2385" s="32" t="s">
        <v>8</v>
      </c>
      <c r="C2385" s="33">
        <v>90200</v>
      </c>
      <c r="D2385" s="32" t="s">
        <v>9</v>
      </c>
    </row>
    <row r="2386" spans="1:4" ht="34.5" customHeight="1" thickBot="1">
      <c r="A2386" s="153" t="s">
        <v>436</v>
      </c>
      <c r="B2386" s="154"/>
      <c r="C2386" s="154"/>
      <c r="D2386" s="155"/>
    </row>
    <row r="2387" spans="1:4" ht="34.5" customHeight="1" thickBot="1">
      <c r="A2387" s="156" t="s">
        <v>435</v>
      </c>
      <c r="B2387" s="157"/>
      <c r="C2387" s="157"/>
      <c r="D2387" s="158"/>
    </row>
    <row r="2388" spans="1:4" s="81" customFormat="1" ht="34.5" customHeight="1">
      <c r="A2388" s="159" t="s">
        <v>441</v>
      </c>
      <c r="B2388" s="160"/>
      <c r="C2388" s="160"/>
      <c r="D2388" s="161"/>
    </row>
    <row r="2389" spans="1:4" ht="34.5" customHeight="1" thickBot="1">
      <c r="A2389" s="162"/>
      <c r="B2389" s="163"/>
      <c r="C2389" s="163"/>
      <c r="D2389" s="164"/>
    </row>
    <row r="2390" spans="1:4" s="81" customFormat="1" ht="34.5" customHeight="1" thickBot="1">
      <c r="A2390" s="172" t="s">
        <v>533</v>
      </c>
      <c r="B2390" s="173"/>
      <c r="C2390" s="174" t="s">
        <v>534</v>
      </c>
      <c r="D2390" s="173"/>
    </row>
    <row r="2391" spans="1:4" ht="34.5" customHeight="1" thickBot="1">
      <c r="A2391" s="137" t="s">
        <v>535</v>
      </c>
      <c r="B2391" s="138"/>
      <c r="C2391" s="138"/>
      <c r="D2391" s="139"/>
    </row>
    <row r="2392" spans="1:4" ht="34.5" customHeight="1" thickBot="1">
      <c r="A2392" s="34" t="s">
        <v>487</v>
      </c>
      <c r="B2392" s="32" t="s">
        <v>438</v>
      </c>
      <c r="C2392" s="34"/>
      <c r="D2392" s="32" t="s">
        <v>0</v>
      </c>
    </row>
    <row r="2393" spans="1:4" ht="34.5" customHeight="1" thickBot="1">
      <c r="A2393" s="37" t="s">
        <v>622</v>
      </c>
      <c r="B2393" s="36" t="s">
        <v>1</v>
      </c>
      <c r="C2393" s="34" t="s">
        <v>621</v>
      </c>
      <c r="D2393" s="32" t="s">
        <v>2</v>
      </c>
    </row>
    <row r="2394" spans="1:4" ht="34.5" customHeight="1" thickBot="1">
      <c r="A2394" s="140">
        <v>127282</v>
      </c>
      <c r="B2394" s="141"/>
      <c r="C2394" s="142" t="s">
        <v>3</v>
      </c>
      <c r="D2394" s="143"/>
    </row>
    <row r="2395" spans="1:4" ht="34.5" customHeight="1" thickBot="1">
      <c r="A2395" s="140">
        <v>130454</v>
      </c>
      <c r="B2395" s="141"/>
      <c r="C2395" s="144" t="s">
        <v>4</v>
      </c>
      <c r="D2395" s="145"/>
    </row>
    <row r="2396" spans="1:4" ht="34.5" customHeight="1" thickBot="1">
      <c r="A2396" s="146">
        <f>A2395-A2394</f>
        <v>3172</v>
      </c>
      <c r="B2396" s="147"/>
      <c r="C2396" s="148"/>
      <c r="D2396" s="35" t="s">
        <v>5</v>
      </c>
    </row>
    <row r="2397" spans="1:4" ht="34.5" customHeight="1" thickBot="1">
      <c r="A2397" s="149">
        <v>35</v>
      </c>
      <c r="B2397" s="150"/>
      <c r="C2397" s="151"/>
      <c r="D2397" s="35" t="s">
        <v>6</v>
      </c>
    </row>
    <row r="2398" spans="1:4" ht="34.5" customHeight="1" thickBot="1">
      <c r="A2398" s="144">
        <f>A2397*A2396</f>
        <v>111020</v>
      </c>
      <c r="B2398" s="152"/>
      <c r="C2398" s="145"/>
      <c r="D2398" s="35" t="s">
        <v>7</v>
      </c>
    </row>
    <row r="2399" spans="1:4" ht="34.5" customHeight="1" thickBot="1">
      <c r="A2399" s="144">
        <v>0</v>
      </c>
      <c r="B2399" s="152"/>
      <c r="C2399" s="145"/>
      <c r="D2399" s="35" t="s">
        <v>437</v>
      </c>
    </row>
    <row r="2400" spans="1:4" ht="34.5" customHeight="1" thickBot="1">
      <c r="A2400" s="34">
        <v>0</v>
      </c>
      <c r="B2400" s="32" t="s">
        <v>8</v>
      </c>
      <c r="C2400" s="33">
        <v>111000</v>
      </c>
      <c r="D2400" s="32" t="s">
        <v>9</v>
      </c>
    </row>
    <row r="2401" spans="1:4" ht="34.5" customHeight="1" thickBot="1">
      <c r="A2401" s="153" t="s">
        <v>436</v>
      </c>
      <c r="B2401" s="154"/>
      <c r="C2401" s="154"/>
      <c r="D2401" s="155"/>
    </row>
    <row r="2402" spans="1:4" ht="34.5" customHeight="1" thickBot="1">
      <c r="A2402" s="156" t="s">
        <v>435</v>
      </c>
      <c r="B2402" s="157"/>
      <c r="C2402" s="157"/>
      <c r="D2402" s="158"/>
    </row>
    <row r="2403" spans="1:4" ht="34.5" customHeight="1" thickBot="1">
      <c r="A2403" s="40"/>
      <c r="B2403" s="39"/>
      <c r="C2403" s="39"/>
      <c r="D2403" s="38"/>
    </row>
    <row r="2404" spans="1:4" ht="34.5" customHeight="1">
      <c r="A2404" s="159" t="s">
        <v>441</v>
      </c>
      <c r="B2404" s="160"/>
      <c r="C2404" s="160"/>
      <c r="D2404" s="161"/>
    </row>
    <row r="2405" spans="1:4" ht="34.5" customHeight="1" thickBot="1">
      <c r="A2405" s="162"/>
      <c r="B2405" s="163"/>
      <c r="C2405" s="163"/>
      <c r="D2405" s="164"/>
    </row>
    <row r="2406" spans="1:4" ht="34.5" customHeight="1" thickBot="1">
      <c r="A2406" s="142" t="s">
        <v>533</v>
      </c>
      <c r="B2406" s="143"/>
      <c r="C2406" s="165" t="s">
        <v>534</v>
      </c>
      <c r="D2406" s="143"/>
    </row>
    <row r="2407" spans="1:4" ht="34.5" customHeight="1" thickBot="1">
      <c r="A2407" s="137" t="s">
        <v>535</v>
      </c>
      <c r="B2407" s="138"/>
      <c r="C2407" s="138"/>
      <c r="D2407" s="139"/>
    </row>
    <row r="2408" spans="1:4" ht="34.5" customHeight="1" thickBot="1">
      <c r="A2408" s="34" t="s">
        <v>487</v>
      </c>
      <c r="B2408" s="32" t="s">
        <v>438</v>
      </c>
      <c r="C2408" s="34"/>
      <c r="D2408" s="32" t="s">
        <v>0</v>
      </c>
    </row>
    <row r="2409" spans="1:4" ht="34.5" customHeight="1" thickBot="1">
      <c r="A2409" s="37" t="s">
        <v>622</v>
      </c>
      <c r="B2409" s="36" t="s">
        <v>1</v>
      </c>
      <c r="C2409" s="34" t="s">
        <v>621</v>
      </c>
      <c r="D2409" s="32" t="s">
        <v>2</v>
      </c>
    </row>
    <row r="2410" spans="1:4" ht="34.5" customHeight="1" thickBot="1">
      <c r="A2410" s="140">
        <v>127282</v>
      </c>
      <c r="B2410" s="141"/>
      <c r="C2410" s="142" t="s">
        <v>3</v>
      </c>
      <c r="D2410" s="143"/>
    </row>
    <row r="2411" spans="1:4" ht="34.5" customHeight="1" thickBot="1">
      <c r="A2411" s="140">
        <v>130454</v>
      </c>
      <c r="B2411" s="141"/>
      <c r="C2411" s="144" t="s">
        <v>4</v>
      </c>
      <c r="D2411" s="145"/>
    </row>
    <row r="2412" spans="1:4" ht="34.5" customHeight="1" thickBot="1">
      <c r="A2412" s="146">
        <f>A2411-A2410</f>
        <v>3172</v>
      </c>
      <c r="B2412" s="147"/>
      <c r="C2412" s="148"/>
      <c r="D2412" s="35" t="s">
        <v>5</v>
      </c>
    </row>
    <row r="2413" spans="1:4" ht="34.5" customHeight="1" thickBot="1">
      <c r="A2413" s="149">
        <v>35</v>
      </c>
      <c r="B2413" s="150"/>
      <c r="C2413" s="151"/>
      <c r="D2413" s="35" t="s">
        <v>6</v>
      </c>
    </row>
    <row r="2414" spans="1:4" ht="34.5" customHeight="1" thickBot="1">
      <c r="A2414" s="144">
        <f>A2413*A2412</f>
        <v>111020</v>
      </c>
      <c r="B2414" s="152"/>
      <c r="C2414" s="145"/>
      <c r="D2414" s="35" t="s">
        <v>7</v>
      </c>
    </row>
    <row r="2415" spans="1:4" ht="34.5" customHeight="1" thickBot="1">
      <c r="A2415" s="144">
        <v>0</v>
      </c>
      <c r="B2415" s="152"/>
      <c r="C2415" s="145"/>
      <c r="D2415" s="35" t="s">
        <v>437</v>
      </c>
    </row>
    <row r="2416" spans="1:4" ht="34.5" customHeight="1" thickBot="1">
      <c r="A2416" s="34">
        <v>0</v>
      </c>
      <c r="B2416" s="32" t="s">
        <v>8</v>
      </c>
      <c r="C2416" s="33">
        <v>111000</v>
      </c>
      <c r="D2416" s="32" t="s">
        <v>9</v>
      </c>
    </row>
    <row r="2417" spans="1:4" ht="34.5" customHeight="1" thickBot="1">
      <c r="A2417" s="153" t="s">
        <v>436</v>
      </c>
      <c r="B2417" s="154"/>
      <c r="C2417" s="154"/>
      <c r="D2417" s="155"/>
    </row>
    <row r="2418" spans="1:4" ht="34.5" customHeight="1" thickBot="1">
      <c r="A2418" s="156" t="s">
        <v>435</v>
      </c>
      <c r="B2418" s="157"/>
      <c r="C2418" s="157"/>
      <c r="D2418" s="158"/>
    </row>
    <row r="2419" spans="1:4" ht="34.5" customHeight="1">
      <c r="A2419" s="159" t="s">
        <v>441</v>
      </c>
      <c r="B2419" s="160"/>
      <c r="C2419" s="160"/>
      <c r="D2419" s="161"/>
    </row>
    <row r="2420" spans="1:4" ht="34.5" customHeight="1" thickBot="1">
      <c r="A2420" s="162"/>
      <c r="B2420" s="163"/>
      <c r="C2420" s="163"/>
      <c r="D2420" s="164"/>
    </row>
    <row r="2421" spans="1:4" ht="34.5" customHeight="1" thickBot="1">
      <c r="A2421" s="142" t="s">
        <v>533</v>
      </c>
      <c r="B2421" s="143"/>
      <c r="C2421" s="165" t="s">
        <v>534</v>
      </c>
      <c r="D2421" s="143"/>
    </row>
    <row r="2422" spans="1:4" ht="34.5" customHeight="1" thickBot="1">
      <c r="A2422" s="137" t="s">
        <v>538</v>
      </c>
      <c r="B2422" s="138"/>
      <c r="C2422" s="138"/>
      <c r="D2422" s="139"/>
    </row>
    <row r="2423" spans="1:4" ht="34.5" customHeight="1" thickBot="1">
      <c r="A2423" s="34" t="s">
        <v>487</v>
      </c>
      <c r="B2423" s="32" t="s">
        <v>438</v>
      </c>
      <c r="C2423" s="34"/>
      <c r="D2423" s="32" t="s">
        <v>0</v>
      </c>
    </row>
    <row r="2424" spans="1:4" ht="34.5" customHeight="1" thickBot="1">
      <c r="A2424" s="37" t="s">
        <v>622</v>
      </c>
      <c r="B2424" s="36" t="s">
        <v>1</v>
      </c>
      <c r="C2424" s="34" t="s">
        <v>621</v>
      </c>
      <c r="D2424" s="32" t="s">
        <v>2</v>
      </c>
    </row>
    <row r="2425" spans="1:4" ht="34.5" customHeight="1" thickBot="1">
      <c r="A2425" s="140">
        <v>2995</v>
      </c>
      <c r="B2425" s="141"/>
      <c r="C2425" s="142" t="s">
        <v>3</v>
      </c>
      <c r="D2425" s="143"/>
    </row>
    <row r="2426" spans="1:4" ht="34.5" customHeight="1" thickBot="1">
      <c r="A2426" s="140">
        <v>5159</v>
      </c>
      <c r="B2426" s="141"/>
      <c r="C2426" s="144" t="s">
        <v>4</v>
      </c>
      <c r="D2426" s="145"/>
    </row>
    <row r="2427" spans="1:4" ht="34.5" customHeight="1" thickBot="1">
      <c r="A2427" s="146">
        <f>A2426-A2425</f>
        <v>2164</v>
      </c>
      <c r="B2427" s="147"/>
      <c r="C2427" s="148"/>
      <c r="D2427" s="35" t="s">
        <v>5</v>
      </c>
    </row>
    <row r="2428" spans="1:4" ht="34.5" customHeight="1" thickBot="1">
      <c r="A2428" s="149">
        <v>50</v>
      </c>
      <c r="B2428" s="150"/>
      <c r="C2428" s="151"/>
      <c r="D2428" s="35" t="s">
        <v>6</v>
      </c>
    </row>
    <row r="2429" spans="1:4" ht="34.5" customHeight="1" thickBot="1">
      <c r="A2429" s="144">
        <f>A2428*A2427</f>
        <v>108200</v>
      </c>
      <c r="B2429" s="152"/>
      <c r="C2429" s="145"/>
      <c r="D2429" s="35" t="s">
        <v>7</v>
      </c>
    </row>
    <row r="2430" spans="1:4" ht="34.5" customHeight="1" thickBot="1">
      <c r="A2430" s="144">
        <v>0</v>
      </c>
      <c r="B2430" s="152"/>
      <c r="C2430" s="145"/>
      <c r="D2430" s="35" t="s">
        <v>437</v>
      </c>
    </row>
    <row r="2431" spans="1:4" ht="34.5" customHeight="1" thickBot="1">
      <c r="A2431" s="34">
        <v>0</v>
      </c>
      <c r="B2431" s="32" t="s">
        <v>8</v>
      </c>
      <c r="C2431" s="33">
        <v>108000</v>
      </c>
      <c r="D2431" s="32" t="s">
        <v>9</v>
      </c>
    </row>
    <row r="2432" spans="1:4" ht="34.5" customHeight="1" thickBot="1">
      <c r="A2432" s="153" t="s">
        <v>436</v>
      </c>
      <c r="B2432" s="154"/>
      <c r="C2432" s="154"/>
      <c r="D2432" s="155"/>
    </row>
    <row r="2433" spans="1:4" ht="34.5" customHeight="1" thickBot="1">
      <c r="A2433" s="156" t="s">
        <v>435</v>
      </c>
      <c r="B2433" s="157"/>
      <c r="C2433" s="157"/>
      <c r="D2433" s="158"/>
    </row>
    <row r="2434" spans="1:4" ht="34.5" customHeight="1" thickBot="1">
      <c r="A2434" s="40"/>
      <c r="B2434" s="39"/>
      <c r="C2434" s="39"/>
      <c r="D2434" s="38"/>
    </row>
    <row r="2435" spans="1:4" ht="34.5" customHeight="1">
      <c r="A2435" s="159" t="s">
        <v>441</v>
      </c>
      <c r="B2435" s="160"/>
      <c r="C2435" s="160"/>
      <c r="D2435" s="161"/>
    </row>
    <row r="2436" spans="1:4" ht="34.5" customHeight="1" thickBot="1">
      <c r="A2436" s="162"/>
      <c r="B2436" s="163"/>
      <c r="C2436" s="163"/>
      <c r="D2436" s="164"/>
    </row>
    <row r="2437" spans="1:4" ht="34.5" customHeight="1" thickBot="1">
      <c r="A2437" s="142" t="s">
        <v>533</v>
      </c>
      <c r="B2437" s="143"/>
      <c r="C2437" s="165" t="s">
        <v>534</v>
      </c>
      <c r="D2437" s="143"/>
    </row>
    <row r="2438" spans="1:4" ht="34.5" customHeight="1" thickBot="1">
      <c r="A2438" s="137" t="s">
        <v>538</v>
      </c>
      <c r="B2438" s="138"/>
      <c r="C2438" s="138"/>
      <c r="D2438" s="139"/>
    </row>
    <row r="2439" spans="1:4" ht="34.5" customHeight="1" thickBot="1">
      <c r="A2439" s="34" t="s">
        <v>487</v>
      </c>
      <c r="B2439" s="32" t="s">
        <v>438</v>
      </c>
      <c r="C2439" s="34"/>
      <c r="D2439" s="32" t="s">
        <v>0</v>
      </c>
    </row>
    <row r="2440" spans="1:4" ht="34.5" customHeight="1" thickBot="1">
      <c r="A2440" s="37" t="s">
        <v>622</v>
      </c>
      <c r="B2440" s="36" t="s">
        <v>1</v>
      </c>
      <c r="C2440" s="34" t="s">
        <v>621</v>
      </c>
      <c r="D2440" s="32" t="s">
        <v>2</v>
      </c>
    </row>
    <row r="2441" spans="1:4" ht="34.5" customHeight="1" thickBot="1">
      <c r="A2441" s="140">
        <v>2995</v>
      </c>
      <c r="B2441" s="141"/>
      <c r="C2441" s="142" t="s">
        <v>3</v>
      </c>
      <c r="D2441" s="143"/>
    </row>
    <row r="2442" spans="1:4" ht="34.5" customHeight="1" thickBot="1">
      <c r="A2442" s="140">
        <v>5159</v>
      </c>
      <c r="B2442" s="141"/>
      <c r="C2442" s="144" t="s">
        <v>4</v>
      </c>
      <c r="D2442" s="145"/>
    </row>
    <row r="2443" spans="1:4" ht="34.5" customHeight="1" thickBot="1">
      <c r="A2443" s="146">
        <f>A2442-A2441</f>
        <v>2164</v>
      </c>
      <c r="B2443" s="147"/>
      <c r="C2443" s="148"/>
      <c r="D2443" s="35" t="s">
        <v>5</v>
      </c>
    </row>
    <row r="2444" spans="1:4" ht="34.5" customHeight="1" thickBot="1">
      <c r="A2444" s="149">
        <v>50</v>
      </c>
      <c r="B2444" s="150"/>
      <c r="C2444" s="151"/>
      <c r="D2444" s="35" t="s">
        <v>6</v>
      </c>
    </row>
    <row r="2445" spans="1:4" ht="34.5" customHeight="1" thickBot="1">
      <c r="A2445" s="144">
        <f>A2444*A2443</f>
        <v>108200</v>
      </c>
      <c r="B2445" s="152"/>
      <c r="C2445" s="145"/>
      <c r="D2445" s="35" t="s">
        <v>7</v>
      </c>
    </row>
    <row r="2446" spans="1:4" ht="34.5" customHeight="1" thickBot="1">
      <c r="A2446" s="144">
        <v>0</v>
      </c>
      <c r="B2446" s="152"/>
      <c r="C2446" s="145"/>
      <c r="D2446" s="35" t="s">
        <v>437</v>
      </c>
    </row>
    <row r="2447" spans="1:4" ht="34.5" customHeight="1" thickBot="1">
      <c r="A2447" s="34">
        <v>0</v>
      </c>
      <c r="B2447" s="32" t="s">
        <v>8</v>
      </c>
      <c r="C2447" s="33">
        <v>108000</v>
      </c>
      <c r="D2447" s="32" t="s">
        <v>9</v>
      </c>
    </row>
    <row r="2448" spans="1:4" ht="34.5" customHeight="1" thickBot="1">
      <c r="A2448" s="153" t="s">
        <v>436</v>
      </c>
      <c r="B2448" s="154"/>
      <c r="C2448" s="154"/>
      <c r="D2448" s="155"/>
    </row>
    <row r="2449" spans="1:4" ht="34.5" customHeight="1" thickBot="1">
      <c r="A2449" s="156" t="s">
        <v>435</v>
      </c>
      <c r="B2449" s="157"/>
      <c r="C2449" s="157"/>
      <c r="D2449" s="158"/>
    </row>
    <row r="2450" spans="1:4" ht="34.5" customHeight="1">
      <c r="A2450" s="159" t="s">
        <v>441</v>
      </c>
      <c r="B2450" s="160"/>
      <c r="C2450" s="160"/>
      <c r="D2450" s="161"/>
    </row>
    <row r="2451" spans="1:4" ht="34.5" customHeight="1" thickBot="1">
      <c r="A2451" s="162"/>
      <c r="B2451" s="163"/>
      <c r="C2451" s="163"/>
      <c r="D2451" s="164"/>
    </row>
    <row r="2452" spans="1:4" ht="34.5" customHeight="1" thickBot="1">
      <c r="A2452" s="142" t="s">
        <v>533</v>
      </c>
      <c r="B2452" s="143"/>
      <c r="C2452" s="165" t="s">
        <v>534</v>
      </c>
      <c r="D2452" s="143"/>
    </row>
    <row r="2453" spans="1:4" ht="34.5" customHeight="1" thickBot="1">
      <c r="A2453" s="137" t="s">
        <v>538</v>
      </c>
      <c r="B2453" s="138"/>
      <c r="C2453" s="138"/>
      <c r="D2453" s="139"/>
    </row>
    <row r="2454" spans="1:4" ht="34.5" customHeight="1" thickBot="1">
      <c r="A2454" s="34" t="s">
        <v>487</v>
      </c>
      <c r="B2454" s="32" t="s">
        <v>438</v>
      </c>
      <c r="C2454" s="34"/>
      <c r="D2454" s="32" t="s">
        <v>0</v>
      </c>
    </row>
    <row r="2455" spans="1:4" ht="34.5" customHeight="1" thickBot="1">
      <c r="A2455" s="37" t="s">
        <v>641</v>
      </c>
      <c r="B2455" s="36" t="s">
        <v>1</v>
      </c>
      <c r="C2455" s="34" t="s">
        <v>637</v>
      </c>
      <c r="D2455" s="32" t="s">
        <v>2</v>
      </c>
    </row>
    <row r="2456" spans="1:4" ht="34.5" customHeight="1" thickBot="1">
      <c r="A2456" s="140">
        <v>5159</v>
      </c>
      <c r="B2456" s="141"/>
      <c r="C2456" s="142" t="s">
        <v>3</v>
      </c>
      <c r="D2456" s="143"/>
    </row>
    <row r="2457" spans="1:4" ht="34.5" customHeight="1" thickBot="1">
      <c r="A2457" s="140">
        <v>7015</v>
      </c>
      <c r="B2457" s="141"/>
      <c r="C2457" s="144" t="s">
        <v>4</v>
      </c>
      <c r="D2457" s="145"/>
    </row>
    <row r="2458" spans="1:4" ht="34.5" customHeight="1" thickBot="1">
      <c r="A2458" s="146">
        <f>A2457-A2456</f>
        <v>1856</v>
      </c>
      <c r="B2458" s="147"/>
      <c r="C2458" s="148"/>
      <c r="D2458" s="35" t="s">
        <v>5</v>
      </c>
    </row>
    <row r="2459" spans="1:4" ht="34.5" customHeight="1" thickBot="1">
      <c r="A2459" s="149">
        <v>50</v>
      </c>
      <c r="B2459" s="150"/>
      <c r="C2459" s="151"/>
      <c r="D2459" s="35" t="s">
        <v>6</v>
      </c>
    </row>
    <row r="2460" spans="1:4" ht="34.5" customHeight="1" thickBot="1">
      <c r="A2460" s="144">
        <f>A2459*A2458</f>
        <v>92800</v>
      </c>
      <c r="B2460" s="152"/>
      <c r="C2460" s="145"/>
      <c r="D2460" s="35" t="s">
        <v>7</v>
      </c>
    </row>
    <row r="2461" spans="1:4" ht="34.5" customHeight="1" thickBot="1">
      <c r="A2461" s="144">
        <v>0</v>
      </c>
      <c r="B2461" s="152"/>
      <c r="C2461" s="145"/>
      <c r="D2461" s="35" t="s">
        <v>437</v>
      </c>
    </row>
    <row r="2462" spans="1:4" ht="34.5" customHeight="1" thickBot="1">
      <c r="A2462" s="34">
        <v>0</v>
      </c>
      <c r="B2462" s="32" t="s">
        <v>8</v>
      </c>
      <c r="C2462" s="33">
        <v>92800</v>
      </c>
      <c r="D2462" s="32" t="s">
        <v>9</v>
      </c>
    </row>
    <row r="2463" spans="1:4" ht="34.5" customHeight="1" thickBot="1">
      <c r="A2463" s="153" t="s">
        <v>436</v>
      </c>
      <c r="B2463" s="154"/>
      <c r="C2463" s="154"/>
      <c r="D2463" s="155"/>
    </row>
    <row r="2464" spans="1:4" ht="34.5" customHeight="1" thickBot="1">
      <c r="A2464" s="156" t="s">
        <v>435</v>
      </c>
      <c r="B2464" s="157"/>
      <c r="C2464" s="157"/>
      <c r="D2464" s="158"/>
    </row>
    <row r="2465" spans="1:4" ht="34.5" customHeight="1" thickBot="1">
      <c r="A2465" s="40"/>
      <c r="B2465" s="39"/>
      <c r="C2465" s="39"/>
      <c r="D2465" s="38"/>
    </row>
    <row r="2466" spans="1:4" ht="34.5" customHeight="1">
      <c r="A2466" s="159" t="s">
        <v>441</v>
      </c>
      <c r="B2466" s="160"/>
      <c r="C2466" s="160"/>
      <c r="D2466" s="161"/>
    </row>
    <row r="2467" spans="1:4" ht="34.5" customHeight="1" thickBot="1">
      <c r="A2467" s="162"/>
      <c r="B2467" s="163"/>
      <c r="C2467" s="163"/>
      <c r="D2467" s="164"/>
    </row>
    <row r="2468" spans="1:4" ht="34.5" customHeight="1" thickBot="1">
      <c r="A2468" s="142" t="s">
        <v>533</v>
      </c>
      <c r="B2468" s="143"/>
      <c r="C2468" s="165" t="s">
        <v>534</v>
      </c>
      <c r="D2468" s="143"/>
    </row>
    <row r="2469" spans="1:4" ht="34.5" customHeight="1" thickBot="1">
      <c r="A2469" s="137" t="s">
        <v>538</v>
      </c>
      <c r="B2469" s="138"/>
      <c r="C2469" s="138"/>
      <c r="D2469" s="139"/>
    </row>
    <row r="2470" spans="1:4" ht="34.5" customHeight="1" thickBot="1">
      <c r="A2470" s="34" t="s">
        <v>487</v>
      </c>
      <c r="B2470" s="32" t="s">
        <v>438</v>
      </c>
      <c r="C2470" s="34"/>
      <c r="D2470" s="32" t="s">
        <v>0</v>
      </c>
    </row>
    <row r="2471" spans="1:4" ht="34.5" customHeight="1" thickBot="1">
      <c r="A2471" s="37" t="s">
        <v>641</v>
      </c>
      <c r="B2471" s="36" t="s">
        <v>1</v>
      </c>
      <c r="C2471" s="34" t="s">
        <v>637</v>
      </c>
      <c r="D2471" s="32" t="s">
        <v>2</v>
      </c>
    </row>
    <row r="2472" spans="1:4" ht="34.5" customHeight="1" thickBot="1">
      <c r="A2472" s="140">
        <v>5159</v>
      </c>
      <c r="B2472" s="141"/>
      <c r="C2472" s="142" t="s">
        <v>3</v>
      </c>
      <c r="D2472" s="143"/>
    </row>
    <row r="2473" spans="1:4" ht="34.5" customHeight="1" thickBot="1">
      <c r="A2473" s="140">
        <v>7015</v>
      </c>
      <c r="B2473" s="141"/>
      <c r="C2473" s="144" t="s">
        <v>4</v>
      </c>
      <c r="D2473" s="145"/>
    </row>
    <row r="2474" spans="1:4" ht="34.5" customHeight="1" thickBot="1">
      <c r="A2474" s="146">
        <f>A2473-A2472</f>
        <v>1856</v>
      </c>
      <c r="B2474" s="147"/>
      <c r="C2474" s="148"/>
      <c r="D2474" s="35" t="s">
        <v>5</v>
      </c>
    </row>
    <row r="2475" spans="1:4" ht="34.5" customHeight="1" thickBot="1">
      <c r="A2475" s="149">
        <v>50</v>
      </c>
      <c r="B2475" s="150"/>
      <c r="C2475" s="151"/>
      <c r="D2475" s="35" t="s">
        <v>6</v>
      </c>
    </row>
    <row r="2476" spans="1:4" ht="34.5" customHeight="1" thickBot="1">
      <c r="A2476" s="144">
        <f>A2475*A2474</f>
        <v>92800</v>
      </c>
      <c r="B2476" s="152"/>
      <c r="C2476" s="145"/>
      <c r="D2476" s="35" t="s">
        <v>7</v>
      </c>
    </row>
    <row r="2477" spans="1:4" ht="34.5" customHeight="1" thickBot="1">
      <c r="A2477" s="144">
        <v>0</v>
      </c>
      <c r="B2477" s="152"/>
      <c r="C2477" s="145"/>
      <c r="D2477" s="35" t="s">
        <v>437</v>
      </c>
    </row>
    <row r="2478" spans="1:4" ht="34.5" customHeight="1" thickBot="1">
      <c r="A2478" s="34">
        <v>0</v>
      </c>
      <c r="B2478" s="32" t="s">
        <v>8</v>
      </c>
      <c r="C2478" s="33">
        <v>92800</v>
      </c>
      <c r="D2478" s="32" t="s">
        <v>9</v>
      </c>
    </row>
    <row r="2479" spans="1:4" ht="34.5" customHeight="1" thickBot="1">
      <c r="A2479" s="153" t="s">
        <v>436</v>
      </c>
      <c r="B2479" s="154"/>
      <c r="C2479" s="154"/>
      <c r="D2479" s="155"/>
    </row>
    <row r="2480" spans="1:4" ht="34.5" customHeight="1" thickBot="1">
      <c r="A2480" s="156" t="s">
        <v>435</v>
      </c>
      <c r="B2480" s="157"/>
      <c r="C2480" s="157"/>
      <c r="D2480" s="158"/>
    </row>
    <row r="2481" spans="1:4" ht="34.5" customHeight="1">
      <c r="A2481" s="159" t="s">
        <v>441</v>
      </c>
      <c r="B2481" s="160"/>
      <c r="C2481" s="160"/>
      <c r="D2481" s="161"/>
    </row>
    <row r="2482" spans="1:4" ht="34.5" customHeight="1" thickBot="1">
      <c r="A2482" s="162"/>
      <c r="B2482" s="163"/>
      <c r="C2482" s="163"/>
      <c r="D2482" s="164"/>
    </row>
    <row r="2483" spans="1:4" ht="34.5" customHeight="1" thickBot="1">
      <c r="A2483" s="172" t="s">
        <v>533</v>
      </c>
      <c r="B2483" s="173"/>
      <c r="C2483" s="174" t="s">
        <v>534</v>
      </c>
      <c r="D2483" s="173"/>
    </row>
    <row r="2484" spans="1:4" ht="34.5" customHeight="1" thickBot="1">
      <c r="A2484" s="137" t="s">
        <v>535</v>
      </c>
      <c r="B2484" s="138"/>
      <c r="C2484" s="138"/>
      <c r="D2484" s="139"/>
    </row>
    <row r="2485" spans="1:4" ht="34.5" customHeight="1" thickBot="1">
      <c r="A2485" s="34" t="s">
        <v>487</v>
      </c>
      <c r="B2485" s="32" t="s">
        <v>438</v>
      </c>
      <c r="C2485" s="34"/>
      <c r="D2485" s="32" t="s">
        <v>0</v>
      </c>
    </row>
    <row r="2486" spans="1:4" ht="34.5" customHeight="1" thickBot="1">
      <c r="A2486" s="37" t="s">
        <v>641</v>
      </c>
      <c r="B2486" s="36" t="s">
        <v>1</v>
      </c>
      <c r="C2486" s="34" t="s">
        <v>637</v>
      </c>
      <c r="D2486" s="32" t="s">
        <v>2</v>
      </c>
    </row>
    <row r="2487" spans="1:4" ht="34.5" customHeight="1" thickBot="1">
      <c r="A2487" s="140">
        <v>130454</v>
      </c>
      <c r="B2487" s="141"/>
      <c r="C2487" s="142" t="s">
        <v>3</v>
      </c>
      <c r="D2487" s="143"/>
    </row>
    <row r="2488" spans="1:4" ht="34.5" customHeight="1" thickBot="1">
      <c r="A2488" s="140">
        <v>132809</v>
      </c>
      <c r="B2488" s="141"/>
      <c r="C2488" s="144" t="s">
        <v>4</v>
      </c>
      <c r="D2488" s="145"/>
    </row>
    <row r="2489" spans="1:4" ht="34.5" customHeight="1" thickBot="1">
      <c r="A2489" s="146">
        <f>A2488-A2487</f>
        <v>2355</v>
      </c>
      <c r="B2489" s="147"/>
      <c r="C2489" s="148"/>
      <c r="D2489" s="35" t="s">
        <v>5</v>
      </c>
    </row>
    <row r="2490" spans="1:4" ht="34.5" customHeight="1" thickBot="1">
      <c r="A2490" s="149">
        <v>35</v>
      </c>
      <c r="B2490" s="150"/>
      <c r="C2490" s="151"/>
      <c r="D2490" s="35" t="s">
        <v>6</v>
      </c>
    </row>
    <row r="2491" spans="1:4" ht="34.5" customHeight="1" thickBot="1">
      <c r="A2491" s="144">
        <f>A2490*A2489</f>
        <v>82425</v>
      </c>
      <c r="B2491" s="152"/>
      <c r="C2491" s="145"/>
      <c r="D2491" s="35" t="s">
        <v>7</v>
      </c>
    </row>
    <row r="2492" spans="1:4" ht="34.5" customHeight="1" thickBot="1">
      <c r="A2492" s="144">
        <v>0</v>
      </c>
      <c r="B2492" s="152"/>
      <c r="C2492" s="145"/>
      <c r="D2492" s="35" t="s">
        <v>437</v>
      </c>
    </row>
    <row r="2493" spans="1:4" ht="34.5" customHeight="1" thickBot="1">
      <c r="A2493" s="34">
        <v>0</v>
      </c>
      <c r="B2493" s="32" t="s">
        <v>8</v>
      </c>
      <c r="C2493" s="33">
        <v>82400</v>
      </c>
      <c r="D2493" s="32" t="s">
        <v>9</v>
      </c>
    </row>
    <row r="2494" spans="1:4" ht="34.5" customHeight="1" thickBot="1">
      <c r="A2494" s="153" t="s">
        <v>436</v>
      </c>
      <c r="B2494" s="154"/>
      <c r="C2494" s="154"/>
      <c r="D2494" s="155"/>
    </row>
    <row r="2495" spans="1:4" ht="34.5" customHeight="1" thickBot="1">
      <c r="A2495" s="156" t="s">
        <v>435</v>
      </c>
      <c r="B2495" s="157"/>
      <c r="C2495" s="157"/>
      <c r="D2495" s="158"/>
    </row>
    <row r="2496" spans="1:4" ht="34.5" customHeight="1" thickBot="1">
      <c r="A2496" s="40"/>
      <c r="B2496" s="39"/>
      <c r="C2496" s="39"/>
      <c r="D2496" s="38"/>
    </row>
    <row r="2497" spans="1:4" ht="34.5" customHeight="1">
      <c r="A2497" s="159" t="s">
        <v>441</v>
      </c>
      <c r="B2497" s="160"/>
      <c r="C2497" s="160"/>
      <c r="D2497" s="161"/>
    </row>
    <row r="2498" spans="1:4" ht="34.5" customHeight="1" thickBot="1">
      <c r="A2498" s="162"/>
      <c r="B2498" s="163"/>
      <c r="C2498" s="163"/>
      <c r="D2498" s="164"/>
    </row>
    <row r="2499" spans="1:4" ht="34.5" customHeight="1" thickBot="1">
      <c r="A2499" s="142" t="s">
        <v>533</v>
      </c>
      <c r="B2499" s="143"/>
      <c r="C2499" s="165" t="s">
        <v>534</v>
      </c>
      <c r="D2499" s="143"/>
    </row>
    <row r="2500" spans="1:4" ht="34.5" customHeight="1" thickBot="1">
      <c r="A2500" s="137" t="s">
        <v>535</v>
      </c>
      <c r="B2500" s="138"/>
      <c r="C2500" s="138"/>
      <c r="D2500" s="139"/>
    </row>
    <row r="2501" spans="1:4" ht="34.5" customHeight="1" thickBot="1">
      <c r="A2501" s="34" t="s">
        <v>487</v>
      </c>
      <c r="B2501" s="32" t="s">
        <v>438</v>
      </c>
      <c r="C2501" s="34"/>
      <c r="D2501" s="32" t="s">
        <v>0</v>
      </c>
    </row>
    <row r="2502" spans="1:4" ht="34.5" customHeight="1" thickBot="1">
      <c r="A2502" s="37" t="s">
        <v>641</v>
      </c>
      <c r="B2502" s="36" t="s">
        <v>1</v>
      </c>
      <c r="C2502" s="34" t="s">
        <v>637</v>
      </c>
      <c r="D2502" s="32" t="s">
        <v>2</v>
      </c>
    </row>
    <row r="2503" spans="1:4" ht="34.5" customHeight="1" thickBot="1">
      <c r="A2503" s="140">
        <v>130454</v>
      </c>
      <c r="B2503" s="141"/>
      <c r="C2503" s="142" t="s">
        <v>3</v>
      </c>
      <c r="D2503" s="143"/>
    </row>
    <row r="2504" spans="1:4" ht="34.5" customHeight="1" thickBot="1">
      <c r="A2504" s="140">
        <v>132809</v>
      </c>
      <c r="B2504" s="141"/>
      <c r="C2504" s="144" t="s">
        <v>4</v>
      </c>
      <c r="D2504" s="145"/>
    </row>
    <row r="2505" spans="1:4" ht="34.5" customHeight="1" thickBot="1">
      <c r="A2505" s="146">
        <f>A2504-A2503</f>
        <v>2355</v>
      </c>
      <c r="B2505" s="147"/>
      <c r="C2505" s="148"/>
      <c r="D2505" s="35" t="s">
        <v>5</v>
      </c>
    </row>
    <row r="2506" spans="1:4" ht="34.5" customHeight="1" thickBot="1">
      <c r="A2506" s="149">
        <v>35</v>
      </c>
      <c r="B2506" s="150"/>
      <c r="C2506" s="151"/>
      <c r="D2506" s="35" t="s">
        <v>6</v>
      </c>
    </row>
    <row r="2507" spans="1:4" ht="34.5" customHeight="1" thickBot="1">
      <c r="A2507" s="144">
        <f>A2506*A2505</f>
        <v>82425</v>
      </c>
      <c r="B2507" s="152"/>
      <c r="C2507" s="145"/>
      <c r="D2507" s="35" t="s">
        <v>7</v>
      </c>
    </row>
    <row r="2508" spans="1:4" ht="34.5" customHeight="1" thickBot="1">
      <c r="A2508" s="144">
        <v>0</v>
      </c>
      <c r="B2508" s="152"/>
      <c r="C2508" s="145"/>
      <c r="D2508" s="35" t="s">
        <v>437</v>
      </c>
    </row>
    <row r="2509" spans="1:4" ht="34.5" customHeight="1" thickBot="1">
      <c r="A2509" s="34">
        <v>0</v>
      </c>
      <c r="B2509" s="32" t="s">
        <v>8</v>
      </c>
      <c r="C2509" s="33">
        <v>82400</v>
      </c>
      <c r="D2509" s="32" t="s">
        <v>9</v>
      </c>
    </row>
    <row r="2510" spans="1:4" ht="34.5" customHeight="1" thickBot="1">
      <c r="A2510" s="153" t="s">
        <v>436</v>
      </c>
      <c r="B2510" s="154"/>
      <c r="C2510" s="154"/>
      <c r="D2510" s="155"/>
    </row>
    <row r="2511" spans="1:4" ht="34.5" customHeight="1" thickBot="1">
      <c r="A2511" s="156" t="s">
        <v>435</v>
      </c>
      <c r="B2511" s="157"/>
      <c r="C2511" s="157"/>
      <c r="D2511" s="158"/>
    </row>
    <row r="2512" spans="1:4" ht="34.5" customHeight="1">
      <c r="A2512" s="159" t="s">
        <v>441</v>
      </c>
      <c r="B2512" s="160"/>
      <c r="C2512" s="160"/>
      <c r="D2512" s="161"/>
    </row>
    <row r="2513" spans="1:4" ht="34.5" customHeight="1" thickBot="1">
      <c r="A2513" s="162"/>
      <c r="B2513" s="163"/>
      <c r="C2513" s="163"/>
      <c r="D2513" s="164"/>
    </row>
    <row r="2514" spans="1:4" ht="34.5" customHeight="1" thickBot="1">
      <c r="A2514" s="142" t="s">
        <v>533</v>
      </c>
      <c r="B2514" s="143"/>
      <c r="C2514" s="165" t="s">
        <v>534</v>
      </c>
      <c r="D2514" s="143"/>
    </row>
    <row r="2515" spans="1:4" ht="34.5" customHeight="1" thickBot="1">
      <c r="A2515" s="137" t="s">
        <v>538</v>
      </c>
      <c r="B2515" s="138"/>
      <c r="C2515" s="138"/>
      <c r="D2515" s="139"/>
    </row>
    <row r="2516" spans="1:4" ht="34.5" customHeight="1" thickBot="1">
      <c r="A2516" s="34" t="s">
        <v>487</v>
      </c>
      <c r="B2516" s="32" t="s">
        <v>438</v>
      </c>
      <c r="C2516" s="34"/>
      <c r="D2516" s="32" t="s">
        <v>0</v>
      </c>
    </row>
    <row r="2517" spans="1:4" ht="34.5" customHeight="1" thickBot="1">
      <c r="A2517" s="37" t="s">
        <v>664</v>
      </c>
      <c r="B2517" s="36" t="s">
        <v>1</v>
      </c>
      <c r="C2517" s="34" t="s">
        <v>657</v>
      </c>
      <c r="D2517" s="32" t="s">
        <v>2</v>
      </c>
    </row>
    <row r="2518" spans="1:4" ht="34.5" customHeight="1" thickBot="1">
      <c r="A2518" s="140">
        <v>7015</v>
      </c>
      <c r="B2518" s="141"/>
      <c r="C2518" s="142" t="s">
        <v>3</v>
      </c>
      <c r="D2518" s="143"/>
    </row>
    <row r="2519" spans="1:4" ht="34.5" customHeight="1" thickBot="1">
      <c r="A2519" s="140">
        <v>8723</v>
      </c>
      <c r="B2519" s="141"/>
      <c r="C2519" s="144" t="s">
        <v>4</v>
      </c>
      <c r="D2519" s="145"/>
    </row>
    <row r="2520" spans="1:4" ht="34.5" customHeight="1" thickBot="1">
      <c r="A2520" s="146">
        <f>A2519-A2518</f>
        <v>1708</v>
      </c>
      <c r="B2520" s="147"/>
      <c r="C2520" s="148"/>
      <c r="D2520" s="35" t="s">
        <v>5</v>
      </c>
    </row>
    <row r="2521" spans="1:4" ht="34.5" customHeight="1" thickBot="1">
      <c r="A2521" s="149">
        <v>50</v>
      </c>
      <c r="B2521" s="150"/>
      <c r="C2521" s="151"/>
      <c r="D2521" s="35" t="s">
        <v>6</v>
      </c>
    </row>
    <row r="2522" spans="1:4" ht="34.5" customHeight="1" thickBot="1">
      <c r="A2522" s="144">
        <f>A2521*A2520</f>
        <v>85400</v>
      </c>
      <c r="B2522" s="152"/>
      <c r="C2522" s="145"/>
      <c r="D2522" s="35" t="s">
        <v>7</v>
      </c>
    </row>
    <row r="2523" spans="1:4" ht="34.5" customHeight="1" thickBot="1">
      <c r="A2523" s="144">
        <v>0</v>
      </c>
      <c r="B2523" s="152"/>
      <c r="C2523" s="145"/>
      <c r="D2523" s="35" t="s">
        <v>437</v>
      </c>
    </row>
    <row r="2524" spans="1:4" ht="34.5" customHeight="1" thickBot="1">
      <c r="A2524" s="34">
        <v>0</v>
      </c>
      <c r="B2524" s="32" t="s">
        <v>8</v>
      </c>
      <c r="C2524" s="33">
        <v>85400</v>
      </c>
      <c r="D2524" s="32" t="s">
        <v>9</v>
      </c>
    </row>
    <row r="2525" spans="1:4" ht="34.5" customHeight="1" thickBot="1">
      <c r="A2525" s="153" t="s">
        <v>436</v>
      </c>
      <c r="B2525" s="154"/>
      <c r="C2525" s="154"/>
      <c r="D2525" s="155"/>
    </row>
    <row r="2526" spans="1:4" ht="34.5" customHeight="1" thickBot="1">
      <c r="A2526" s="156" t="s">
        <v>435</v>
      </c>
      <c r="B2526" s="157"/>
      <c r="C2526" s="157"/>
      <c r="D2526" s="158"/>
    </row>
    <row r="2527" spans="1:4" ht="34.5" customHeight="1" thickBot="1">
      <c r="A2527" s="40"/>
      <c r="B2527" s="39"/>
      <c r="C2527" s="39"/>
      <c r="D2527" s="38"/>
    </row>
    <row r="2528" spans="1:4" ht="34.5" customHeight="1">
      <c r="A2528" s="159" t="s">
        <v>441</v>
      </c>
      <c r="B2528" s="160"/>
      <c r="C2528" s="160"/>
      <c r="D2528" s="161"/>
    </row>
    <row r="2529" spans="1:4" ht="34.5" customHeight="1" thickBot="1">
      <c r="A2529" s="162"/>
      <c r="B2529" s="163"/>
      <c r="C2529" s="163"/>
      <c r="D2529" s="164"/>
    </row>
    <row r="2530" spans="1:4" ht="34.5" customHeight="1" thickBot="1">
      <c r="A2530" s="142" t="s">
        <v>533</v>
      </c>
      <c r="B2530" s="143"/>
      <c r="C2530" s="165" t="s">
        <v>534</v>
      </c>
      <c r="D2530" s="143"/>
    </row>
    <row r="2531" spans="1:4" ht="34.5" customHeight="1" thickBot="1">
      <c r="A2531" s="137" t="s">
        <v>538</v>
      </c>
      <c r="B2531" s="138"/>
      <c r="C2531" s="138"/>
      <c r="D2531" s="139"/>
    </row>
    <row r="2532" spans="1:4" ht="34.5" customHeight="1" thickBot="1">
      <c r="A2532" s="34" t="s">
        <v>487</v>
      </c>
      <c r="B2532" s="32" t="s">
        <v>438</v>
      </c>
      <c r="C2532" s="34"/>
      <c r="D2532" s="32" t="s">
        <v>0</v>
      </c>
    </row>
    <row r="2533" spans="1:4" ht="34.5" customHeight="1" thickBot="1">
      <c r="A2533" s="37" t="s">
        <v>664</v>
      </c>
      <c r="B2533" s="36" t="s">
        <v>1</v>
      </c>
      <c r="C2533" s="34" t="s">
        <v>657</v>
      </c>
      <c r="D2533" s="32" t="s">
        <v>2</v>
      </c>
    </row>
    <row r="2534" spans="1:4" ht="34.5" customHeight="1" thickBot="1">
      <c r="A2534" s="140">
        <v>7015</v>
      </c>
      <c r="B2534" s="141"/>
      <c r="C2534" s="142" t="s">
        <v>3</v>
      </c>
      <c r="D2534" s="143"/>
    </row>
    <row r="2535" spans="1:4" ht="34.5" customHeight="1" thickBot="1">
      <c r="A2535" s="140">
        <v>8723</v>
      </c>
      <c r="B2535" s="141"/>
      <c r="C2535" s="144" t="s">
        <v>4</v>
      </c>
      <c r="D2535" s="145"/>
    </row>
    <row r="2536" spans="1:4" ht="34.5" customHeight="1" thickBot="1">
      <c r="A2536" s="146">
        <f>A2535-A2534</f>
        <v>1708</v>
      </c>
      <c r="B2536" s="147"/>
      <c r="C2536" s="148"/>
      <c r="D2536" s="35" t="s">
        <v>5</v>
      </c>
    </row>
    <row r="2537" spans="1:4" ht="34.5" customHeight="1" thickBot="1">
      <c r="A2537" s="149">
        <v>50</v>
      </c>
      <c r="B2537" s="150"/>
      <c r="C2537" s="151"/>
      <c r="D2537" s="35" t="s">
        <v>6</v>
      </c>
    </row>
    <row r="2538" spans="1:4" ht="34.5" customHeight="1" thickBot="1">
      <c r="A2538" s="144">
        <f>A2537*A2536</f>
        <v>85400</v>
      </c>
      <c r="B2538" s="152"/>
      <c r="C2538" s="145"/>
      <c r="D2538" s="35" t="s">
        <v>7</v>
      </c>
    </row>
    <row r="2539" spans="1:4" ht="34.5" customHeight="1" thickBot="1">
      <c r="A2539" s="144">
        <v>0</v>
      </c>
      <c r="B2539" s="152"/>
      <c r="C2539" s="145"/>
      <c r="D2539" s="35" t="s">
        <v>437</v>
      </c>
    </row>
    <row r="2540" spans="1:4" ht="34.5" customHeight="1" thickBot="1">
      <c r="A2540" s="34">
        <v>0</v>
      </c>
      <c r="B2540" s="32" t="s">
        <v>8</v>
      </c>
      <c r="C2540" s="33">
        <v>85400</v>
      </c>
      <c r="D2540" s="32" t="s">
        <v>9</v>
      </c>
    </row>
    <row r="2541" spans="1:4" ht="34.5" customHeight="1" thickBot="1">
      <c r="A2541" s="153" t="s">
        <v>436</v>
      </c>
      <c r="B2541" s="154"/>
      <c r="C2541" s="154"/>
      <c r="D2541" s="155"/>
    </row>
    <row r="2542" spans="1:4" ht="34.5" customHeight="1" thickBot="1">
      <c r="A2542" s="156" t="s">
        <v>435</v>
      </c>
      <c r="B2542" s="157"/>
      <c r="C2542" s="157"/>
      <c r="D2542" s="158"/>
    </row>
    <row r="2543" spans="1:4" ht="34.5" customHeight="1">
      <c r="A2543" s="159" t="s">
        <v>441</v>
      </c>
      <c r="B2543" s="160"/>
      <c r="C2543" s="160"/>
      <c r="D2543" s="161"/>
    </row>
    <row r="2544" spans="1:4" ht="34.5" customHeight="1" thickBot="1">
      <c r="A2544" s="162"/>
      <c r="B2544" s="163"/>
      <c r="C2544" s="163"/>
      <c r="D2544" s="164"/>
    </row>
    <row r="2545" spans="1:4" ht="34.5" customHeight="1" thickBot="1">
      <c r="A2545" s="172" t="s">
        <v>533</v>
      </c>
      <c r="B2545" s="173"/>
      <c r="C2545" s="174" t="s">
        <v>534</v>
      </c>
      <c r="D2545" s="173"/>
    </row>
    <row r="2546" spans="1:4" ht="34.5" customHeight="1" thickBot="1">
      <c r="A2546" s="137" t="s">
        <v>535</v>
      </c>
      <c r="B2546" s="138"/>
      <c r="C2546" s="138"/>
      <c r="D2546" s="139"/>
    </row>
    <row r="2547" spans="1:4" ht="34.5" customHeight="1" thickBot="1">
      <c r="A2547" s="34" t="s">
        <v>487</v>
      </c>
      <c r="B2547" s="32" t="s">
        <v>438</v>
      </c>
      <c r="C2547" s="34"/>
      <c r="D2547" s="32" t="s">
        <v>0</v>
      </c>
    </row>
    <row r="2548" spans="1:4" ht="34.5" customHeight="1" thickBot="1">
      <c r="A2548" s="37" t="s">
        <v>664</v>
      </c>
      <c r="B2548" s="36" t="s">
        <v>1</v>
      </c>
      <c r="C2548" s="34" t="s">
        <v>657</v>
      </c>
      <c r="D2548" s="32" t="s">
        <v>2</v>
      </c>
    </row>
    <row r="2549" spans="1:4" ht="34.5" customHeight="1" thickBot="1">
      <c r="A2549" s="140">
        <v>132809</v>
      </c>
      <c r="B2549" s="141"/>
      <c r="C2549" s="142" t="s">
        <v>3</v>
      </c>
      <c r="D2549" s="143"/>
    </row>
    <row r="2550" spans="1:4" ht="34.5" customHeight="1" thickBot="1">
      <c r="A2550" s="140">
        <v>135127</v>
      </c>
      <c r="B2550" s="141"/>
      <c r="C2550" s="144" t="s">
        <v>4</v>
      </c>
      <c r="D2550" s="145"/>
    </row>
    <row r="2551" spans="1:4" ht="34.5" customHeight="1" thickBot="1">
      <c r="A2551" s="146">
        <f>A2550-A2549</f>
        <v>2318</v>
      </c>
      <c r="B2551" s="147"/>
      <c r="C2551" s="148"/>
      <c r="D2551" s="35" t="s">
        <v>5</v>
      </c>
    </row>
    <row r="2552" spans="1:4" ht="34.5" customHeight="1" thickBot="1">
      <c r="A2552" s="149">
        <v>35</v>
      </c>
      <c r="B2552" s="150"/>
      <c r="C2552" s="151"/>
      <c r="D2552" s="35" t="s">
        <v>6</v>
      </c>
    </row>
    <row r="2553" spans="1:4" ht="34.5" customHeight="1" thickBot="1">
      <c r="A2553" s="144">
        <f>A2552*A2551</f>
        <v>81130</v>
      </c>
      <c r="B2553" s="152"/>
      <c r="C2553" s="145"/>
      <c r="D2553" s="35" t="s">
        <v>7</v>
      </c>
    </row>
    <row r="2554" spans="1:4" ht="34.5" customHeight="1" thickBot="1">
      <c r="A2554" s="144">
        <v>0</v>
      </c>
      <c r="B2554" s="152"/>
      <c r="C2554" s="145"/>
      <c r="D2554" s="35" t="s">
        <v>437</v>
      </c>
    </row>
    <row r="2555" spans="1:4" ht="34.5" customHeight="1" thickBot="1">
      <c r="A2555" s="34">
        <v>0</v>
      </c>
      <c r="B2555" s="32" t="s">
        <v>8</v>
      </c>
      <c r="C2555" s="33">
        <v>81130</v>
      </c>
      <c r="D2555" s="32" t="s">
        <v>9</v>
      </c>
    </row>
    <row r="2556" spans="1:4" ht="34.5" customHeight="1" thickBot="1">
      <c r="A2556" s="153" t="s">
        <v>436</v>
      </c>
      <c r="B2556" s="154"/>
      <c r="C2556" s="154"/>
      <c r="D2556" s="155"/>
    </row>
    <row r="2557" spans="1:4" ht="34.5" customHeight="1" thickBot="1">
      <c r="A2557" s="156" t="s">
        <v>435</v>
      </c>
      <c r="B2557" s="157"/>
      <c r="C2557" s="157"/>
      <c r="D2557" s="158"/>
    </row>
    <row r="2558" spans="1:4" ht="34.5" customHeight="1" thickBot="1">
      <c r="A2558" s="40"/>
      <c r="B2558" s="39"/>
      <c r="C2558" s="39"/>
      <c r="D2558" s="38"/>
    </row>
    <row r="2559" spans="1:4" ht="34.5" customHeight="1">
      <c r="A2559" s="159" t="s">
        <v>441</v>
      </c>
      <c r="B2559" s="160"/>
      <c r="C2559" s="160"/>
      <c r="D2559" s="161"/>
    </row>
    <row r="2560" spans="1:4" ht="34.5" customHeight="1" thickBot="1">
      <c r="A2560" s="162"/>
      <c r="B2560" s="163"/>
      <c r="C2560" s="163"/>
      <c r="D2560" s="164"/>
    </row>
    <row r="2561" spans="1:4" ht="34.5" customHeight="1" thickBot="1">
      <c r="A2561" s="142" t="s">
        <v>533</v>
      </c>
      <c r="B2561" s="143"/>
      <c r="C2561" s="165" t="s">
        <v>534</v>
      </c>
      <c r="D2561" s="143"/>
    </row>
    <row r="2562" spans="1:4" ht="34.5" customHeight="1" thickBot="1">
      <c r="A2562" s="137" t="s">
        <v>535</v>
      </c>
      <c r="B2562" s="138"/>
      <c r="C2562" s="138"/>
      <c r="D2562" s="139"/>
    </row>
    <row r="2563" spans="1:4" ht="34.5" customHeight="1" thickBot="1">
      <c r="A2563" s="34" t="s">
        <v>487</v>
      </c>
      <c r="B2563" s="32" t="s">
        <v>438</v>
      </c>
      <c r="C2563" s="34"/>
      <c r="D2563" s="32" t="s">
        <v>0</v>
      </c>
    </row>
    <row r="2564" spans="1:4" ht="34.5" customHeight="1" thickBot="1">
      <c r="A2564" s="37" t="s">
        <v>664</v>
      </c>
      <c r="B2564" s="36" t="s">
        <v>1</v>
      </c>
      <c r="C2564" s="34" t="s">
        <v>657</v>
      </c>
      <c r="D2564" s="32" t="s">
        <v>2</v>
      </c>
    </row>
    <row r="2565" spans="1:4" ht="34.5" customHeight="1" thickBot="1">
      <c r="A2565" s="140">
        <v>132809</v>
      </c>
      <c r="B2565" s="141"/>
      <c r="C2565" s="142" t="s">
        <v>3</v>
      </c>
      <c r="D2565" s="143"/>
    </row>
    <row r="2566" spans="1:4" ht="34.5" customHeight="1" thickBot="1">
      <c r="A2566" s="140">
        <v>135127</v>
      </c>
      <c r="B2566" s="141"/>
      <c r="C2566" s="144" t="s">
        <v>4</v>
      </c>
      <c r="D2566" s="145"/>
    </row>
    <row r="2567" spans="1:4" ht="34.5" customHeight="1" thickBot="1">
      <c r="A2567" s="146">
        <f>A2566-A2565</f>
        <v>2318</v>
      </c>
      <c r="B2567" s="147"/>
      <c r="C2567" s="148"/>
      <c r="D2567" s="35" t="s">
        <v>5</v>
      </c>
    </row>
    <row r="2568" spans="1:4" ht="34.5" customHeight="1" thickBot="1">
      <c r="A2568" s="149">
        <v>35</v>
      </c>
      <c r="B2568" s="150"/>
      <c r="C2568" s="151"/>
      <c r="D2568" s="35" t="s">
        <v>6</v>
      </c>
    </row>
    <row r="2569" spans="1:4" ht="34.5" customHeight="1" thickBot="1">
      <c r="A2569" s="144">
        <f>A2568*A2567</f>
        <v>81130</v>
      </c>
      <c r="B2569" s="152"/>
      <c r="C2569" s="145"/>
      <c r="D2569" s="35" t="s">
        <v>7</v>
      </c>
    </row>
    <row r="2570" spans="1:4" ht="34.5" customHeight="1" thickBot="1">
      <c r="A2570" s="144">
        <v>0</v>
      </c>
      <c r="B2570" s="152"/>
      <c r="C2570" s="145"/>
      <c r="D2570" s="35" t="s">
        <v>437</v>
      </c>
    </row>
    <row r="2571" spans="1:4" ht="34.5" customHeight="1" thickBot="1">
      <c r="A2571" s="34">
        <v>0</v>
      </c>
      <c r="B2571" s="32" t="s">
        <v>8</v>
      </c>
      <c r="C2571" s="33">
        <v>81130</v>
      </c>
      <c r="D2571" s="32" t="s">
        <v>9</v>
      </c>
    </row>
    <row r="2572" spans="1:4" ht="34.5" customHeight="1" thickBot="1">
      <c r="A2572" s="153" t="s">
        <v>436</v>
      </c>
      <c r="B2572" s="154"/>
      <c r="C2572" s="154"/>
      <c r="D2572" s="155"/>
    </row>
    <row r="2573" spans="1:4" ht="34.5" customHeight="1" thickBot="1">
      <c r="A2573" s="156" t="s">
        <v>435</v>
      </c>
      <c r="B2573" s="157"/>
      <c r="C2573" s="157"/>
      <c r="D2573" s="158"/>
    </row>
    <row r="2574" spans="1:4" ht="34.5" customHeight="1">
      <c r="A2574" s="159" t="s">
        <v>441</v>
      </c>
      <c r="B2574" s="160"/>
      <c r="C2574" s="160"/>
      <c r="D2574" s="161"/>
    </row>
    <row r="2575" spans="1:4" ht="34.5" customHeight="1" thickBot="1">
      <c r="A2575" s="162"/>
      <c r="B2575" s="163"/>
      <c r="C2575" s="163"/>
      <c r="D2575" s="164"/>
    </row>
    <row r="2576" spans="1:4" ht="34.5" customHeight="1" thickBot="1">
      <c r="A2576" s="172" t="s">
        <v>533</v>
      </c>
      <c r="B2576" s="173"/>
      <c r="C2576" s="174" t="s">
        <v>534</v>
      </c>
      <c r="D2576" s="173"/>
    </row>
    <row r="2577" spans="1:4" ht="34.5" customHeight="1" thickBot="1">
      <c r="A2577" s="137" t="s">
        <v>535</v>
      </c>
      <c r="B2577" s="138"/>
      <c r="C2577" s="138"/>
      <c r="D2577" s="139"/>
    </row>
    <row r="2578" spans="1:4" ht="34.5" customHeight="1" thickBot="1">
      <c r="A2578" s="34" t="s">
        <v>487</v>
      </c>
      <c r="B2578" s="32" t="s">
        <v>438</v>
      </c>
      <c r="C2578" s="34"/>
      <c r="D2578" s="32" t="s">
        <v>0</v>
      </c>
    </row>
    <row r="2579" spans="1:4" ht="34.5" customHeight="1" thickBot="1">
      <c r="A2579" s="37" t="s">
        <v>675</v>
      </c>
      <c r="B2579" s="36" t="s">
        <v>1</v>
      </c>
      <c r="C2579" s="34" t="s">
        <v>674</v>
      </c>
      <c r="D2579" s="32" t="s">
        <v>2</v>
      </c>
    </row>
    <row r="2580" spans="1:4" ht="34.5" customHeight="1" thickBot="1">
      <c r="A2580" s="140">
        <v>135127</v>
      </c>
      <c r="B2580" s="141"/>
      <c r="C2580" s="142" t="s">
        <v>3</v>
      </c>
      <c r="D2580" s="143"/>
    </row>
    <row r="2581" spans="1:4" ht="34.5" customHeight="1" thickBot="1">
      <c r="A2581" s="140">
        <v>136437</v>
      </c>
      <c r="B2581" s="141"/>
      <c r="C2581" s="144" t="s">
        <v>4</v>
      </c>
      <c r="D2581" s="145"/>
    </row>
    <row r="2582" spans="1:4" ht="34.5" customHeight="1" thickBot="1">
      <c r="A2582" s="146">
        <f>A2581-A2580</f>
        <v>1310</v>
      </c>
      <c r="B2582" s="147"/>
      <c r="C2582" s="148"/>
      <c r="D2582" s="35" t="s">
        <v>5</v>
      </c>
    </row>
    <row r="2583" spans="1:4" ht="34.5" customHeight="1" thickBot="1">
      <c r="A2583" s="149">
        <v>35</v>
      </c>
      <c r="B2583" s="150"/>
      <c r="C2583" s="151"/>
      <c r="D2583" s="35" t="s">
        <v>6</v>
      </c>
    </row>
    <row r="2584" spans="1:4" ht="34.5" customHeight="1" thickBot="1">
      <c r="A2584" s="144">
        <f>A2583*A2582</f>
        <v>45850</v>
      </c>
      <c r="B2584" s="152"/>
      <c r="C2584" s="145"/>
      <c r="D2584" s="35" t="s">
        <v>7</v>
      </c>
    </row>
    <row r="2585" spans="1:4" ht="34.5" customHeight="1" thickBot="1">
      <c r="A2585" s="144">
        <v>0</v>
      </c>
      <c r="B2585" s="152"/>
      <c r="C2585" s="145"/>
      <c r="D2585" s="35" t="s">
        <v>437</v>
      </c>
    </row>
    <row r="2586" spans="1:4" ht="34.5" customHeight="1" thickBot="1">
      <c r="A2586" s="34">
        <v>0</v>
      </c>
      <c r="B2586" s="32" t="s">
        <v>8</v>
      </c>
      <c r="C2586" s="33">
        <v>45850</v>
      </c>
      <c r="D2586" s="32" t="s">
        <v>9</v>
      </c>
    </row>
    <row r="2587" spans="1:4" ht="34.5" customHeight="1" thickBot="1">
      <c r="A2587" s="153" t="s">
        <v>436</v>
      </c>
      <c r="B2587" s="154"/>
      <c r="C2587" s="154"/>
      <c r="D2587" s="155"/>
    </row>
    <row r="2588" spans="1:4" ht="34.5" customHeight="1" thickBot="1">
      <c r="A2588" s="156" t="s">
        <v>435</v>
      </c>
      <c r="B2588" s="157"/>
      <c r="C2588" s="157"/>
      <c r="D2588" s="158"/>
    </row>
    <row r="2589" spans="1:4" ht="34.5" customHeight="1" thickBot="1">
      <c r="A2589" s="40"/>
      <c r="B2589" s="39"/>
      <c r="C2589" s="39"/>
      <c r="D2589" s="38"/>
    </row>
    <row r="2590" spans="1:4" ht="34.5" customHeight="1">
      <c r="A2590" s="159" t="s">
        <v>441</v>
      </c>
      <c r="B2590" s="160"/>
      <c r="C2590" s="160"/>
      <c r="D2590" s="161"/>
    </row>
    <row r="2591" spans="1:4" ht="34.5" customHeight="1" thickBot="1">
      <c r="A2591" s="162"/>
      <c r="B2591" s="163"/>
      <c r="C2591" s="163"/>
      <c r="D2591" s="164"/>
    </row>
    <row r="2592" spans="1:4" ht="34.5" customHeight="1" thickBot="1">
      <c r="A2592" s="142" t="s">
        <v>533</v>
      </c>
      <c r="B2592" s="143"/>
      <c r="C2592" s="165" t="s">
        <v>534</v>
      </c>
      <c r="D2592" s="143"/>
    </row>
    <row r="2593" spans="1:4" ht="34.5" customHeight="1" thickBot="1">
      <c r="A2593" s="137" t="s">
        <v>535</v>
      </c>
      <c r="B2593" s="138"/>
      <c r="C2593" s="138"/>
      <c r="D2593" s="139"/>
    </row>
    <row r="2594" spans="1:4" ht="34.5" customHeight="1" thickBot="1">
      <c r="A2594" s="34" t="s">
        <v>487</v>
      </c>
      <c r="B2594" s="32" t="s">
        <v>438</v>
      </c>
      <c r="C2594" s="34"/>
      <c r="D2594" s="32" t="s">
        <v>0</v>
      </c>
    </row>
    <row r="2595" spans="1:4" ht="34.5" customHeight="1" thickBot="1">
      <c r="A2595" s="37" t="s">
        <v>675</v>
      </c>
      <c r="B2595" s="36" t="s">
        <v>1</v>
      </c>
      <c r="C2595" s="34" t="s">
        <v>674</v>
      </c>
      <c r="D2595" s="32" t="s">
        <v>2</v>
      </c>
    </row>
    <row r="2596" spans="1:4" ht="34.5" customHeight="1" thickBot="1">
      <c r="A2596" s="140">
        <v>135127</v>
      </c>
      <c r="B2596" s="141"/>
      <c r="C2596" s="142" t="s">
        <v>3</v>
      </c>
      <c r="D2596" s="143"/>
    </row>
    <row r="2597" spans="1:4" ht="34.5" customHeight="1" thickBot="1">
      <c r="A2597" s="140">
        <v>136437</v>
      </c>
      <c r="B2597" s="141"/>
      <c r="C2597" s="144" t="s">
        <v>4</v>
      </c>
      <c r="D2597" s="145"/>
    </row>
    <row r="2598" spans="1:4" ht="34.5" customHeight="1" thickBot="1">
      <c r="A2598" s="146">
        <f>A2597-A2596</f>
        <v>1310</v>
      </c>
      <c r="B2598" s="147"/>
      <c r="C2598" s="148"/>
      <c r="D2598" s="35" t="s">
        <v>5</v>
      </c>
    </row>
    <row r="2599" spans="1:4" ht="34.5" customHeight="1" thickBot="1">
      <c r="A2599" s="149">
        <v>35</v>
      </c>
      <c r="B2599" s="150"/>
      <c r="C2599" s="151"/>
      <c r="D2599" s="35" t="s">
        <v>6</v>
      </c>
    </row>
    <row r="2600" spans="1:4" ht="34.5" customHeight="1" thickBot="1">
      <c r="A2600" s="144">
        <f>A2599*A2598</f>
        <v>45850</v>
      </c>
      <c r="B2600" s="152"/>
      <c r="C2600" s="145"/>
      <c r="D2600" s="35" t="s">
        <v>7</v>
      </c>
    </row>
    <row r="2601" spans="1:4" ht="34.5" customHeight="1" thickBot="1">
      <c r="A2601" s="144">
        <v>0</v>
      </c>
      <c r="B2601" s="152"/>
      <c r="C2601" s="145"/>
      <c r="D2601" s="35" t="s">
        <v>437</v>
      </c>
    </row>
    <row r="2602" spans="1:4" ht="34.5" customHeight="1" thickBot="1">
      <c r="A2602" s="34">
        <v>0</v>
      </c>
      <c r="B2602" s="32" t="s">
        <v>8</v>
      </c>
      <c r="C2602" s="33">
        <v>45850</v>
      </c>
      <c r="D2602" s="32" t="s">
        <v>9</v>
      </c>
    </row>
    <row r="2603" spans="1:4" ht="34.5" customHeight="1" thickBot="1">
      <c r="A2603" s="153" t="s">
        <v>436</v>
      </c>
      <c r="B2603" s="154"/>
      <c r="C2603" s="154"/>
      <c r="D2603" s="155"/>
    </row>
    <row r="2604" spans="1:4" ht="34.5" customHeight="1" thickBot="1">
      <c r="A2604" s="156" t="s">
        <v>435</v>
      </c>
      <c r="B2604" s="157"/>
      <c r="C2604" s="157"/>
      <c r="D2604" s="158"/>
    </row>
  </sheetData>
  <dataConsolidate/>
  <mergeCells count="2352">
    <mergeCell ref="A2593:D2593"/>
    <mergeCell ref="A2596:B2596"/>
    <mergeCell ref="C2596:D2596"/>
    <mergeCell ref="A2597:B2597"/>
    <mergeCell ref="C2597:D2597"/>
    <mergeCell ref="A2598:C2598"/>
    <mergeCell ref="A2599:C2599"/>
    <mergeCell ref="A2600:C2600"/>
    <mergeCell ref="A2601:C2601"/>
    <mergeCell ref="A2603:D2603"/>
    <mergeCell ref="A2604:D2604"/>
    <mergeCell ref="A2574:D2575"/>
    <mergeCell ref="A2576:B2576"/>
    <mergeCell ref="C2576:D2576"/>
    <mergeCell ref="A2577:D2577"/>
    <mergeCell ref="A2580:B2580"/>
    <mergeCell ref="C2580:D2580"/>
    <mergeCell ref="A2581:B2581"/>
    <mergeCell ref="C2581:D2581"/>
    <mergeCell ref="A2582:C2582"/>
    <mergeCell ref="A2583:C2583"/>
    <mergeCell ref="A2584:C2584"/>
    <mergeCell ref="A2585:C2585"/>
    <mergeCell ref="A2587:D2587"/>
    <mergeCell ref="A2588:D2588"/>
    <mergeCell ref="A2590:D2591"/>
    <mergeCell ref="A2592:B2592"/>
    <mergeCell ref="C2592:D2592"/>
    <mergeCell ref="A2506:C2506"/>
    <mergeCell ref="A2507:C2507"/>
    <mergeCell ref="A2508:C2508"/>
    <mergeCell ref="A2510:D2510"/>
    <mergeCell ref="A2511:D2511"/>
    <mergeCell ref="A2488:B2488"/>
    <mergeCell ref="C2488:D2488"/>
    <mergeCell ref="A2489:C2489"/>
    <mergeCell ref="A2490:C2490"/>
    <mergeCell ref="A2491:C2491"/>
    <mergeCell ref="A2492:C2492"/>
    <mergeCell ref="A2494:D2494"/>
    <mergeCell ref="A2495:D2495"/>
    <mergeCell ref="A2497:D2498"/>
    <mergeCell ref="A2499:B2499"/>
    <mergeCell ref="C2499:D2499"/>
    <mergeCell ref="A2500:D2500"/>
    <mergeCell ref="A2503:B2503"/>
    <mergeCell ref="C2503:D2503"/>
    <mergeCell ref="A2504:B2504"/>
    <mergeCell ref="C2504:D2504"/>
    <mergeCell ref="A2505:C2505"/>
    <mergeCell ref="A2469:D2469"/>
    <mergeCell ref="A2472:B2472"/>
    <mergeCell ref="C2472:D2472"/>
    <mergeCell ref="A2473:B2473"/>
    <mergeCell ref="C2473:D2473"/>
    <mergeCell ref="A2474:C2474"/>
    <mergeCell ref="A2475:C2475"/>
    <mergeCell ref="A2476:C2476"/>
    <mergeCell ref="A2477:C2477"/>
    <mergeCell ref="A2479:D2479"/>
    <mergeCell ref="A2480:D2480"/>
    <mergeCell ref="A2481:D2482"/>
    <mergeCell ref="A2483:B2483"/>
    <mergeCell ref="C2483:D2483"/>
    <mergeCell ref="A2484:D2484"/>
    <mergeCell ref="A2487:B2487"/>
    <mergeCell ref="C2487:D2487"/>
    <mergeCell ref="A2450:D2451"/>
    <mergeCell ref="A2452:B2452"/>
    <mergeCell ref="C2452:D2452"/>
    <mergeCell ref="A2453:D2453"/>
    <mergeCell ref="A2456:B2456"/>
    <mergeCell ref="C2456:D2456"/>
    <mergeCell ref="A2457:B2457"/>
    <mergeCell ref="C2457:D2457"/>
    <mergeCell ref="A2458:C2458"/>
    <mergeCell ref="A2459:C2459"/>
    <mergeCell ref="A2460:C2460"/>
    <mergeCell ref="A2461:C2461"/>
    <mergeCell ref="A2463:D2463"/>
    <mergeCell ref="A2464:D2464"/>
    <mergeCell ref="A2466:D2467"/>
    <mergeCell ref="A2468:B2468"/>
    <mergeCell ref="C2468:D2468"/>
    <mergeCell ref="A2444:C2444"/>
    <mergeCell ref="A2445:C2445"/>
    <mergeCell ref="A2446:C2446"/>
    <mergeCell ref="A2448:D2448"/>
    <mergeCell ref="A2449:D2449"/>
    <mergeCell ref="A2426:B2426"/>
    <mergeCell ref="C2426:D2426"/>
    <mergeCell ref="A2427:C2427"/>
    <mergeCell ref="A2428:C2428"/>
    <mergeCell ref="A2429:C2429"/>
    <mergeCell ref="A2430:C2430"/>
    <mergeCell ref="A2432:D2432"/>
    <mergeCell ref="A2433:D2433"/>
    <mergeCell ref="A2435:D2436"/>
    <mergeCell ref="A2437:B2437"/>
    <mergeCell ref="C2437:D2437"/>
    <mergeCell ref="A2438:D2438"/>
    <mergeCell ref="A2441:B2441"/>
    <mergeCell ref="C2441:D2441"/>
    <mergeCell ref="A2442:B2442"/>
    <mergeCell ref="C2442:D2442"/>
    <mergeCell ref="A2443:C2443"/>
    <mergeCell ref="A2407:D2407"/>
    <mergeCell ref="A2410:B2410"/>
    <mergeCell ref="C2410:D2410"/>
    <mergeCell ref="A2411:B2411"/>
    <mergeCell ref="C2411:D2411"/>
    <mergeCell ref="A2412:C2412"/>
    <mergeCell ref="A2413:C2413"/>
    <mergeCell ref="A2414:C2414"/>
    <mergeCell ref="A2415:C2415"/>
    <mergeCell ref="A2417:D2417"/>
    <mergeCell ref="A2418:D2418"/>
    <mergeCell ref="A2419:D2420"/>
    <mergeCell ref="A2421:B2421"/>
    <mergeCell ref="C2421:D2421"/>
    <mergeCell ref="A2422:D2422"/>
    <mergeCell ref="A2425:B2425"/>
    <mergeCell ref="C2425:D2425"/>
    <mergeCell ref="A2388:D2389"/>
    <mergeCell ref="A2390:B2390"/>
    <mergeCell ref="C2390:D2390"/>
    <mergeCell ref="A2391:D2391"/>
    <mergeCell ref="A2394:B2394"/>
    <mergeCell ref="C2394:D2394"/>
    <mergeCell ref="A2395:B2395"/>
    <mergeCell ref="C2395:D2395"/>
    <mergeCell ref="A2396:C2396"/>
    <mergeCell ref="A2397:C2397"/>
    <mergeCell ref="A2398:C2398"/>
    <mergeCell ref="A2399:C2399"/>
    <mergeCell ref="A2401:D2401"/>
    <mergeCell ref="A2402:D2402"/>
    <mergeCell ref="A2404:D2405"/>
    <mergeCell ref="A2406:B2406"/>
    <mergeCell ref="C2406:D2406"/>
    <mergeCell ref="A1:D2"/>
    <mergeCell ref="A3:B3"/>
    <mergeCell ref="C3:D3"/>
    <mergeCell ref="A4:D4"/>
    <mergeCell ref="A7:B7"/>
    <mergeCell ref="C7:D7"/>
    <mergeCell ref="A23:B23"/>
    <mergeCell ref="C23:D23"/>
    <mergeCell ref="A24:B24"/>
    <mergeCell ref="C24:D24"/>
    <mergeCell ref="A25:C25"/>
    <mergeCell ref="A26:C26"/>
    <mergeCell ref="A14:D14"/>
    <mergeCell ref="A15:D15"/>
    <mergeCell ref="A17:D18"/>
    <mergeCell ref="A19:B19"/>
    <mergeCell ref="C19:D19"/>
    <mergeCell ref="A20:D20"/>
    <mergeCell ref="A8:B8"/>
    <mergeCell ref="C8:D8"/>
    <mergeCell ref="A9:C9"/>
    <mergeCell ref="A10:C10"/>
    <mergeCell ref="A11:C11"/>
    <mergeCell ref="A12:C12"/>
    <mergeCell ref="A41:C41"/>
    <mergeCell ref="A42:C42"/>
    <mergeCell ref="A43:C43"/>
    <mergeCell ref="A45:D45"/>
    <mergeCell ref="A46:D46"/>
    <mergeCell ref="A48:D49"/>
    <mergeCell ref="A35:D35"/>
    <mergeCell ref="A38:B38"/>
    <mergeCell ref="C38:D38"/>
    <mergeCell ref="A39:B39"/>
    <mergeCell ref="C39:D39"/>
    <mergeCell ref="A40:C40"/>
    <mergeCell ref="A27:C27"/>
    <mergeCell ref="A28:C28"/>
    <mergeCell ref="A30:D30"/>
    <mergeCell ref="A31:D31"/>
    <mergeCell ref="A32:D33"/>
    <mergeCell ref="A34:B34"/>
    <mergeCell ref="C34:D34"/>
    <mergeCell ref="A63:D64"/>
    <mergeCell ref="A65:B65"/>
    <mergeCell ref="C65:D65"/>
    <mergeCell ref="A66:D66"/>
    <mergeCell ref="A69:B69"/>
    <mergeCell ref="C69:D69"/>
    <mergeCell ref="A56:C56"/>
    <mergeCell ref="A57:C57"/>
    <mergeCell ref="A58:C58"/>
    <mergeCell ref="A59:C59"/>
    <mergeCell ref="A61:D61"/>
    <mergeCell ref="A62:D62"/>
    <mergeCell ref="A50:B50"/>
    <mergeCell ref="C50:D50"/>
    <mergeCell ref="A51:D51"/>
    <mergeCell ref="A54:B54"/>
    <mergeCell ref="C54:D54"/>
    <mergeCell ref="A55:B55"/>
    <mergeCell ref="C55:D55"/>
    <mergeCell ref="A85:B85"/>
    <mergeCell ref="C85:D85"/>
    <mergeCell ref="A86:B86"/>
    <mergeCell ref="C86:D86"/>
    <mergeCell ref="A87:C87"/>
    <mergeCell ref="A88:C88"/>
    <mergeCell ref="A76:D76"/>
    <mergeCell ref="A77:D77"/>
    <mergeCell ref="A79:D80"/>
    <mergeCell ref="A81:B81"/>
    <mergeCell ref="C81:D81"/>
    <mergeCell ref="A82:D82"/>
    <mergeCell ref="A70:B70"/>
    <mergeCell ref="C70:D70"/>
    <mergeCell ref="A71:C71"/>
    <mergeCell ref="A72:C72"/>
    <mergeCell ref="A73:C73"/>
    <mergeCell ref="A74:C74"/>
    <mergeCell ref="A103:C103"/>
    <mergeCell ref="A104:C104"/>
    <mergeCell ref="A105:C105"/>
    <mergeCell ref="A107:D107"/>
    <mergeCell ref="A108:D108"/>
    <mergeCell ref="A110:D111"/>
    <mergeCell ref="A97:D97"/>
    <mergeCell ref="A100:B100"/>
    <mergeCell ref="C100:D100"/>
    <mergeCell ref="A101:B101"/>
    <mergeCell ref="C101:D101"/>
    <mergeCell ref="A102:C102"/>
    <mergeCell ref="A89:C89"/>
    <mergeCell ref="A90:C90"/>
    <mergeCell ref="A92:D92"/>
    <mergeCell ref="A93:D93"/>
    <mergeCell ref="A94:D95"/>
    <mergeCell ref="A96:B96"/>
    <mergeCell ref="C96:D96"/>
    <mergeCell ref="A125:D126"/>
    <mergeCell ref="A127:B127"/>
    <mergeCell ref="C127:D127"/>
    <mergeCell ref="A128:D128"/>
    <mergeCell ref="A131:B131"/>
    <mergeCell ref="C131:D131"/>
    <mergeCell ref="A118:C118"/>
    <mergeCell ref="A119:C119"/>
    <mergeCell ref="A120:C120"/>
    <mergeCell ref="A121:C121"/>
    <mergeCell ref="A123:D123"/>
    <mergeCell ref="A124:D124"/>
    <mergeCell ref="A112:B112"/>
    <mergeCell ref="C112:D112"/>
    <mergeCell ref="A113:D113"/>
    <mergeCell ref="A116:B116"/>
    <mergeCell ref="C116:D116"/>
    <mergeCell ref="A117:B117"/>
    <mergeCell ref="C117:D117"/>
    <mergeCell ref="A147:B147"/>
    <mergeCell ref="C147:D147"/>
    <mergeCell ref="A148:B148"/>
    <mergeCell ref="C148:D148"/>
    <mergeCell ref="A149:C149"/>
    <mergeCell ref="A150:C150"/>
    <mergeCell ref="A138:D138"/>
    <mergeCell ref="A139:D139"/>
    <mergeCell ref="A141:D142"/>
    <mergeCell ref="A143:B143"/>
    <mergeCell ref="C143:D143"/>
    <mergeCell ref="A144:D144"/>
    <mergeCell ref="A132:B132"/>
    <mergeCell ref="C132:D132"/>
    <mergeCell ref="A133:C133"/>
    <mergeCell ref="A134:C134"/>
    <mergeCell ref="A135:C135"/>
    <mergeCell ref="A136:C136"/>
    <mergeCell ref="A165:C165"/>
    <mergeCell ref="A166:C166"/>
    <mergeCell ref="A167:C167"/>
    <mergeCell ref="A169:D169"/>
    <mergeCell ref="A170:D170"/>
    <mergeCell ref="A172:D173"/>
    <mergeCell ref="A159:D159"/>
    <mergeCell ref="A162:B162"/>
    <mergeCell ref="C162:D162"/>
    <mergeCell ref="A163:B163"/>
    <mergeCell ref="C163:D163"/>
    <mergeCell ref="A164:C164"/>
    <mergeCell ref="A151:C151"/>
    <mergeCell ref="A152:C152"/>
    <mergeCell ref="A154:D154"/>
    <mergeCell ref="A155:D155"/>
    <mergeCell ref="A156:D157"/>
    <mergeCell ref="A158:B158"/>
    <mergeCell ref="C158:D158"/>
    <mergeCell ref="A187:D188"/>
    <mergeCell ref="A189:B189"/>
    <mergeCell ref="C189:D189"/>
    <mergeCell ref="A190:D190"/>
    <mergeCell ref="A193:B193"/>
    <mergeCell ref="C193:D193"/>
    <mergeCell ref="A180:C180"/>
    <mergeCell ref="A181:C181"/>
    <mergeCell ref="A182:C182"/>
    <mergeCell ref="A183:C183"/>
    <mergeCell ref="A185:D185"/>
    <mergeCell ref="A186:D186"/>
    <mergeCell ref="A174:B174"/>
    <mergeCell ref="C174:D174"/>
    <mergeCell ref="A175:D175"/>
    <mergeCell ref="A178:B178"/>
    <mergeCell ref="C178:D178"/>
    <mergeCell ref="A179:B179"/>
    <mergeCell ref="C179:D179"/>
    <mergeCell ref="A209:B209"/>
    <mergeCell ref="C209:D209"/>
    <mergeCell ref="A210:B210"/>
    <mergeCell ref="C210:D210"/>
    <mergeCell ref="A211:C211"/>
    <mergeCell ref="A212:C212"/>
    <mergeCell ref="A200:D200"/>
    <mergeCell ref="A201:D201"/>
    <mergeCell ref="A203:D204"/>
    <mergeCell ref="A205:B205"/>
    <mergeCell ref="C205:D205"/>
    <mergeCell ref="A206:D206"/>
    <mergeCell ref="A194:B194"/>
    <mergeCell ref="C194:D194"/>
    <mergeCell ref="A195:C195"/>
    <mergeCell ref="A196:C196"/>
    <mergeCell ref="A197:C197"/>
    <mergeCell ref="A198:C198"/>
    <mergeCell ref="A227:C227"/>
    <mergeCell ref="A228:C228"/>
    <mergeCell ref="A229:C229"/>
    <mergeCell ref="A231:D231"/>
    <mergeCell ref="A232:D232"/>
    <mergeCell ref="A234:D235"/>
    <mergeCell ref="A221:D221"/>
    <mergeCell ref="A224:B224"/>
    <mergeCell ref="C224:D224"/>
    <mergeCell ref="A225:B225"/>
    <mergeCell ref="C225:D225"/>
    <mergeCell ref="A226:C226"/>
    <mergeCell ref="A213:C213"/>
    <mergeCell ref="A214:C214"/>
    <mergeCell ref="A216:D216"/>
    <mergeCell ref="A217:D217"/>
    <mergeCell ref="A218:D219"/>
    <mergeCell ref="A220:B220"/>
    <mergeCell ref="C220:D220"/>
    <mergeCell ref="A249:D250"/>
    <mergeCell ref="A251:B251"/>
    <mergeCell ref="C251:D251"/>
    <mergeCell ref="A252:D252"/>
    <mergeCell ref="A255:B255"/>
    <mergeCell ref="C255:D255"/>
    <mergeCell ref="A242:C242"/>
    <mergeCell ref="A243:C243"/>
    <mergeCell ref="A244:C244"/>
    <mergeCell ref="A245:C245"/>
    <mergeCell ref="A247:D247"/>
    <mergeCell ref="A248:D248"/>
    <mergeCell ref="A236:B236"/>
    <mergeCell ref="C236:D236"/>
    <mergeCell ref="A237:D237"/>
    <mergeCell ref="A240:B240"/>
    <mergeCell ref="C240:D240"/>
    <mergeCell ref="A241:B241"/>
    <mergeCell ref="C241:D241"/>
    <mergeCell ref="A271:B271"/>
    <mergeCell ref="C271:D271"/>
    <mergeCell ref="A272:B272"/>
    <mergeCell ref="C272:D272"/>
    <mergeCell ref="A273:C273"/>
    <mergeCell ref="A274:C274"/>
    <mergeCell ref="A262:D262"/>
    <mergeCell ref="A263:D263"/>
    <mergeCell ref="A265:D266"/>
    <mergeCell ref="A267:B267"/>
    <mergeCell ref="C267:D267"/>
    <mergeCell ref="A268:D268"/>
    <mergeCell ref="A256:B256"/>
    <mergeCell ref="C256:D256"/>
    <mergeCell ref="A257:C257"/>
    <mergeCell ref="A258:C258"/>
    <mergeCell ref="A259:C259"/>
    <mergeCell ref="A260:C260"/>
    <mergeCell ref="A289:C289"/>
    <mergeCell ref="A290:C290"/>
    <mergeCell ref="A291:C291"/>
    <mergeCell ref="A293:D293"/>
    <mergeCell ref="A294:D294"/>
    <mergeCell ref="A296:D297"/>
    <mergeCell ref="A283:D283"/>
    <mergeCell ref="A286:B286"/>
    <mergeCell ref="C286:D286"/>
    <mergeCell ref="A287:B287"/>
    <mergeCell ref="C287:D287"/>
    <mergeCell ref="A288:C288"/>
    <mergeCell ref="A275:C275"/>
    <mergeCell ref="A276:C276"/>
    <mergeCell ref="A278:D278"/>
    <mergeCell ref="A279:D279"/>
    <mergeCell ref="A280:D281"/>
    <mergeCell ref="A282:B282"/>
    <mergeCell ref="C282:D282"/>
    <mergeCell ref="A311:D312"/>
    <mergeCell ref="A313:B313"/>
    <mergeCell ref="C313:D313"/>
    <mergeCell ref="A314:D314"/>
    <mergeCell ref="A317:B317"/>
    <mergeCell ref="C317:D317"/>
    <mergeCell ref="A304:C304"/>
    <mergeCell ref="A305:C305"/>
    <mergeCell ref="A306:C306"/>
    <mergeCell ref="A307:C307"/>
    <mergeCell ref="A309:D309"/>
    <mergeCell ref="A310:D310"/>
    <mergeCell ref="A298:B298"/>
    <mergeCell ref="C298:D298"/>
    <mergeCell ref="A299:D299"/>
    <mergeCell ref="A302:B302"/>
    <mergeCell ref="C302:D302"/>
    <mergeCell ref="A303:B303"/>
    <mergeCell ref="C303:D303"/>
    <mergeCell ref="A333:B333"/>
    <mergeCell ref="C333:D333"/>
    <mergeCell ref="A334:B334"/>
    <mergeCell ref="C334:D334"/>
    <mergeCell ref="A335:C335"/>
    <mergeCell ref="A336:C336"/>
    <mergeCell ref="A324:D324"/>
    <mergeCell ref="A325:D325"/>
    <mergeCell ref="A327:D328"/>
    <mergeCell ref="A329:B329"/>
    <mergeCell ref="C329:D329"/>
    <mergeCell ref="A330:D330"/>
    <mergeCell ref="A318:B318"/>
    <mergeCell ref="C318:D318"/>
    <mergeCell ref="A319:C319"/>
    <mergeCell ref="A320:C320"/>
    <mergeCell ref="A321:C321"/>
    <mergeCell ref="A322:C322"/>
    <mergeCell ref="A351:C351"/>
    <mergeCell ref="A352:C352"/>
    <mergeCell ref="A353:C353"/>
    <mergeCell ref="A355:D355"/>
    <mergeCell ref="A356:D356"/>
    <mergeCell ref="A358:D359"/>
    <mergeCell ref="A345:D345"/>
    <mergeCell ref="A348:B348"/>
    <mergeCell ref="C348:D348"/>
    <mergeCell ref="A349:B349"/>
    <mergeCell ref="C349:D349"/>
    <mergeCell ref="A350:C350"/>
    <mergeCell ref="A337:C337"/>
    <mergeCell ref="A338:C338"/>
    <mergeCell ref="A340:D340"/>
    <mergeCell ref="A341:D341"/>
    <mergeCell ref="A342:D343"/>
    <mergeCell ref="A344:B344"/>
    <mergeCell ref="C344:D344"/>
    <mergeCell ref="A373:D374"/>
    <mergeCell ref="A375:B375"/>
    <mergeCell ref="C375:D375"/>
    <mergeCell ref="A376:D376"/>
    <mergeCell ref="A379:B379"/>
    <mergeCell ref="C379:D379"/>
    <mergeCell ref="A366:C366"/>
    <mergeCell ref="A367:C367"/>
    <mergeCell ref="A368:C368"/>
    <mergeCell ref="A369:C369"/>
    <mergeCell ref="A371:D371"/>
    <mergeCell ref="A372:D372"/>
    <mergeCell ref="A360:B360"/>
    <mergeCell ref="C360:D360"/>
    <mergeCell ref="A361:D361"/>
    <mergeCell ref="A364:B364"/>
    <mergeCell ref="C364:D364"/>
    <mergeCell ref="A365:B365"/>
    <mergeCell ref="C365:D365"/>
    <mergeCell ref="A395:B395"/>
    <mergeCell ref="C395:D395"/>
    <mergeCell ref="A396:B396"/>
    <mergeCell ref="C396:D396"/>
    <mergeCell ref="A397:C397"/>
    <mergeCell ref="A398:C398"/>
    <mergeCell ref="A386:D386"/>
    <mergeCell ref="A387:D387"/>
    <mergeCell ref="A389:D390"/>
    <mergeCell ref="A391:B391"/>
    <mergeCell ref="C391:D391"/>
    <mergeCell ref="A392:D392"/>
    <mergeCell ref="A380:B380"/>
    <mergeCell ref="C380:D380"/>
    <mergeCell ref="A381:C381"/>
    <mergeCell ref="A382:C382"/>
    <mergeCell ref="A383:C383"/>
    <mergeCell ref="A384:C384"/>
    <mergeCell ref="A413:C413"/>
    <mergeCell ref="A414:C414"/>
    <mergeCell ref="A415:C415"/>
    <mergeCell ref="A417:D417"/>
    <mergeCell ref="A418:D418"/>
    <mergeCell ref="A420:D421"/>
    <mergeCell ref="A407:D407"/>
    <mergeCell ref="A410:B410"/>
    <mergeCell ref="C410:D410"/>
    <mergeCell ref="A411:B411"/>
    <mergeCell ref="C411:D411"/>
    <mergeCell ref="A412:C412"/>
    <mergeCell ref="A399:C399"/>
    <mergeCell ref="A400:C400"/>
    <mergeCell ref="A402:D402"/>
    <mergeCell ref="A403:D403"/>
    <mergeCell ref="A404:D405"/>
    <mergeCell ref="A406:B406"/>
    <mergeCell ref="C406:D406"/>
    <mergeCell ref="A435:D436"/>
    <mergeCell ref="A437:B437"/>
    <mergeCell ref="C437:D437"/>
    <mergeCell ref="A438:D438"/>
    <mergeCell ref="A441:B441"/>
    <mergeCell ref="C441:D441"/>
    <mergeCell ref="A428:C428"/>
    <mergeCell ref="A429:C429"/>
    <mergeCell ref="A430:C430"/>
    <mergeCell ref="A431:C431"/>
    <mergeCell ref="A433:D433"/>
    <mergeCell ref="A434:D434"/>
    <mergeCell ref="A422:B422"/>
    <mergeCell ref="C422:D422"/>
    <mergeCell ref="A423:D423"/>
    <mergeCell ref="A426:B426"/>
    <mergeCell ref="C426:D426"/>
    <mergeCell ref="A427:B427"/>
    <mergeCell ref="C427:D427"/>
    <mergeCell ref="A457:B457"/>
    <mergeCell ref="C457:D457"/>
    <mergeCell ref="A458:B458"/>
    <mergeCell ref="C458:D458"/>
    <mergeCell ref="A459:C459"/>
    <mergeCell ref="A460:C460"/>
    <mergeCell ref="A448:D448"/>
    <mergeCell ref="A449:D449"/>
    <mergeCell ref="A451:D452"/>
    <mergeCell ref="A453:B453"/>
    <mergeCell ref="C453:D453"/>
    <mergeCell ref="A454:D454"/>
    <mergeCell ref="A442:B442"/>
    <mergeCell ref="C442:D442"/>
    <mergeCell ref="A443:C443"/>
    <mergeCell ref="A444:C444"/>
    <mergeCell ref="A445:C445"/>
    <mergeCell ref="A446:C446"/>
    <mergeCell ref="A475:C475"/>
    <mergeCell ref="A476:C476"/>
    <mergeCell ref="A477:C477"/>
    <mergeCell ref="A479:D479"/>
    <mergeCell ref="A480:D480"/>
    <mergeCell ref="A482:D483"/>
    <mergeCell ref="A469:D469"/>
    <mergeCell ref="A472:B472"/>
    <mergeCell ref="C472:D472"/>
    <mergeCell ref="A473:B473"/>
    <mergeCell ref="C473:D473"/>
    <mergeCell ref="A474:C474"/>
    <mergeCell ref="A461:C461"/>
    <mergeCell ref="A462:C462"/>
    <mergeCell ref="A464:D464"/>
    <mergeCell ref="A465:D465"/>
    <mergeCell ref="A466:D467"/>
    <mergeCell ref="A468:B468"/>
    <mergeCell ref="C468:D468"/>
    <mergeCell ref="A497:D498"/>
    <mergeCell ref="A499:B499"/>
    <mergeCell ref="C499:D499"/>
    <mergeCell ref="A500:D500"/>
    <mergeCell ref="A503:B503"/>
    <mergeCell ref="C503:D503"/>
    <mergeCell ref="A490:C490"/>
    <mergeCell ref="A491:C491"/>
    <mergeCell ref="A492:C492"/>
    <mergeCell ref="A493:C493"/>
    <mergeCell ref="A495:D495"/>
    <mergeCell ref="A496:D496"/>
    <mergeCell ref="A484:B484"/>
    <mergeCell ref="C484:D484"/>
    <mergeCell ref="A485:D485"/>
    <mergeCell ref="A488:B488"/>
    <mergeCell ref="C488:D488"/>
    <mergeCell ref="A489:B489"/>
    <mergeCell ref="C489:D489"/>
    <mergeCell ref="A519:B519"/>
    <mergeCell ref="C519:D519"/>
    <mergeCell ref="A520:B520"/>
    <mergeCell ref="C520:D520"/>
    <mergeCell ref="A521:C521"/>
    <mergeCell ref="A522:C522"/>
    <mergeCell ref="A510:D510"/>
    <mergeCell ref="A511:D511"/>
    <mergeCell ref="A513:D514"/>
    <mergeCell ref="A515:B515"/>
    <mergeCell ref="C515:D515"/>
    <mergeCell ref="A516:D516"/>
    <mergeCell ref="A504:B504"/>
    <mergeCell ref="C504:D504"/>
    <mergeCell ref="A505:C505"/>
    <mergeCell ref="A506:C506"/>
    <mergeCell ref="A507:C507"/>
    <mergeCell ref="A508:C508"/>
    <mergeCell ref="A537:C537"/>
    <mergeCell ref="A538:C538"/>
    <mergeCell ref="A539:C539"/>
    <mergeCell ref="A541:D541"/>
    <mergeCell ref="A542:D542"/>
    <mergeCell ref="A544:D545"/>
    <mergeCell ref="A531:D531"/>
    <mergeCell ref="A534:B534"/>
    <mergeCell ref="C534:D534"/>
    <mergeCell ref="A535:B535"/>
    <mergeCell ref="C535:D535"/>
    <mergeCell ref="A536:C536"/>
    <mergeCell ref="A523:C523"/>
    <mergeCell ref="A524:C524"/>
    <mergeCell ref="A526:D526"/>
    <mergeCell ref="A527:D527"/>
    <mergeCell ref="A528:D529"/>
    <mergeCell ref="A530:B530"/>
    <mergeCell ref="C530:D530"/>
    <mergeCell ref="A559:D560"/>
    <mergeCell ref="A561:B561"/>
    <mergeCell ref="C561:D561"/>
    <mergeCell ref="A562:D562"/>
    <mergeCell ref="A565:B565"/>
    <mergeCell ref="C565:D565"/>
    <mergeCell ref="A552:C552"/>
    <mergeCell ref="A553:C553"/>
    <mergeCell ref="A554:C554"/>
    <mergeCell ref="A555:C555"/>
    <mergeCell ref="A557:D557"/>
    <mergeCell ref="A558:D558"/>
    <mergeCell ref="A546:B546"/>
    <mergeCell ref="C546:D546"/>
    <mergeCell ref="A547:D547"/>
    <mergeCell ref="A550:B550"/>
    <mergeCell ref="C550:D550"/>
    <mergeCell ref="A551:B551"/>
    <mergeCell ref="C551:D551"/>
    <mergeCell ref="A581:B581"/>
    <mergeCell ref="C581:D581"/>
    <mergeCell ref="A582:B582"/>
    <mergeCell ref="C582:D582"/>
    <mergeCell ref="A583:C583"/>
    <mergeCell ref="A584:C584"/>
    <mergeCell ref="A572:D572"/>
    <mergeCell ref="A573:D573"/>
    <mergeCell ref="A575:D576"/>
    <mergeCell ref="A577:B577"/>
    <mergeCell ref="C577:D577"/>
    <mergeCell ref="A578:D578"/>
    <mergeCell ref="A566:B566"/>
    <mergeCell ref="C566:D566"/>
    <mergeCell ref="A567:C567"/>
    <mergeCell ref="A568:C568"/>
    <mergeCell ref="A569:C569"/>
    <mergeCell ref="A570:C570"/>
    <mergeCell ref="A599:C599"/>
    <mergeCell ref="A600:C600"/>
    <mergeCell ref="A601:C601"/>
    <mergeCell ref="A603:D603"/>
    <mergeCell ref="A604:D604"/>
    <mergeCell ref="A606:D607"/>
    <mergeCell ref="A593:D593"/>
    <mergeCell ref="A596:B596"/>
    <mergeCell ref="C596:D596"/>
    <mergeCell ref="A597:B597"/>
    <mergeCell ref="C597:D597"/>
    <mergeCell ref="A598:C598"/>
    <mergeCell ref="A585:C585"/>
    <mergeCell ref="A586:C586"/>
    <mergeCell ref="A588:D588"/>
    <mergeCell ref="A589:D589"/>
    <mergeCell ref="A590:D591"/>
    <mergeCell ref="A592:B592"/>
    <mergeCell ref="C592:D592"/>
    <mergeCell ref="A621:D622"/>
    <mergeCell ref="A623:B623"/>
    <mergeCell ref="C623:D623"/>
    <mergeCell ref="A624:D624"/>
    <mergeCell ref="A627:B627"/>
    <mergeCell ref="C627:D627"/>
    <mergeCell ref="A614:C614"/>
    <mergeCell ref="A615:C615"/>
    <mergeCell ref="A616:C616"/>
    <mergeCell ref="A617:C617"/>
    <mergeCell ref="A619:D619"/>
    <mergeCell ref="A620:D620"/>
    <mergeCell ref="A608:B608"/>
    <mergeCell ref="C608:D608"/>
    <mergeCell ref="A609:D609"/>
    <mergeCell ref="A612:B612"/>
    <mergeCell ref="C612:D612"/>
    <mergeCell ref="A613:B613"/>
    <mergeCell ref="C613:D613"/>
    <mergeCell ref="A643:B643"/>
    <mergeCell ref="C643:D643"/>
    <mergeCell ref="A644:B644"/>
    <mergeCell ref="C644:D644"/>
    <mergeCell ref="A645:C645"/>
    <mergeCell ref="A646:C646"/>
    <mergeCell ref="A634:D634"/>
    <mergeCell ref="A635:D635"/>
    <mergeCell ref="A637:D638"/>
    <mergeCell ref="A639:B639"/>
    <mergeCell ref="C639:D639"/>
    <mergeCell ref="A640:D640"/>
    <mergeCell ref="A628:B628"/>
    <mergeCell ref="C628:D628"/>
    <mergeCell ref="A629:C629"/>
    <mergeCell ref="A630:C630"/>
    <mergeCell ref="A631:C631"/>
    <mergeCell ref="A632:C632"/>
    <mergeCell ref="A661:C661"/>
    <mergeCell ref="A662:C662"/>
    <mergeCell ref="A663:C663"/>
    <mergeCell ref="A665:D665"/>
    <mergeCell ref="A666:D666"/>
    <mergeCell ref="A668:D669"/>
    <mergeCell ref="A655:D655"/>
    <mergeCell ref="A658:B658"/>
    <mergeCell ref="C658:D658"/>
    <mergeCell ref="A659:B659"/>
    <mergeCell ref="C659:D659"/>
    <mergeCell ref="A660:C660"/>
    <mergeCell ref="A647:C647"/>
    <mergeCell ref="A648:C648"/>
    <mergeCell ref="A650:D650"/>
    <mergeCell ref="A651:D651"/>
    <mergeCell ref="A652:D653"/>
    <mergeCell ref="A654:B654"/>
    <mergeCell ref="C654:D654"/>
    <mergeCell ref="A683:D684"/>
    <mergeCell ref="A685:B685"/>
    <mergeCell ref="C685:D685"/>
    <mergeCell ref="A686:D686"/>
    <mergeCell ref="A689:B689"/>
    <mergeCell ref="C689:D689"/>
    <mergeCell ref="A676:C676"/>
    <mergeCell ref="A677:C677"/>
    <mergeCell ref="A678:C678"/>
    <mergeCell ref="A679:C679"/>
    <mergeCell ref="A681:D681"/>
    <mergeCell ref="A682:D682"/>
    <mergeCell ref="A670:B670"/>
    <mergeCell ref="C670:D670"/>
    <mergeCell ref="A671:D671"/>
    <mergeCell ref="A674:B674"/>
    <mergeCell ref="C674:D674"/>
    <mergeCell ref="A675:B675"/>
    <mergeCell ref="C675:D675"/>
    <mergeCell ref="A705:B705"/>
    <mergeCell ref="C705:D705"/>
    <mergeCell ref="A706:B706"/>
    <mergeCell ref="C706:D706"/>
    <mergeCell ref="A707:C707"/>
    <mergeCell ref="A708:C708"/>
    <mergeCell ref="A696:D696"/>
    <mergeCell ref="A697:D697"/>
    <mergeCell ref="A699:D700"/>
    <mergeCell ref="A701:B701"/>
    <mergeCell ref="C701:D701"/>
    <mergeCell ref="A702:D702"/>
    <mergeCell ref="A690:B690"/>
    <mergeCell ref="C690:D690"/>
    <mergeCell ref="A691:C691"/>
    <mergeCell ref="A692:C692"/>
    <mergeCell ref="A693:C693"/>
    <mergeCell ref="A694:C694"/>
    <mergeCell ref="A723:C723"/>
    <mergeCell ref="A724:C724"/>
    <mergeCell ref="A725:C725"/>
    <mergeCell ref="A727:D727"/>
    <mergeCell ref="A728:D728"/>
    <mergeCell ref="A730:D730"/>
    <mergeCell ref="A717:D717"/>
    <mergeCell ref="A720:B720"/>
    <mergeCell ref="C720:D720"/>
    <mergeCell ref="A721:B721"/>
    <mergeCell ref="C721:D721"/>
    <mergeCell ref="A722:C722"/>
    <mergeCell ref="A709:C709"/>
    <mergeCell ref="A710:C710"/>
    <mergeCell ref="A712:D712"/>
    <mergeCell ref="A713:D713"/>
    <mergeCell ref="A714:D715"/>
    <mergeCell ref="A716:B716"/>
    <mergeCell ref="C716:D716"/>
    <mergeCell ref="A745:D746"/>
    <mergeCell ref="A747:B747"/>
    <mergeCell ref="C747:D747"/>
    <mergeCell ref="A748:D748"/>
    <mergeCell ref="A751:B751"/>
    <mergeCell ref="C751:D751"/>
    <mergeCell ref="A737:C737"/>
    <mergeCell ref="A738:C738"/>
    <mergeCell ref="A740:D740"/>
    <mergeCell ref="A741:C741"/>
    <mergeCell ref="A743:D743"/>
    <mergeCell ref="A744:D744"/>
    <mergeCell ref="A733:B733"/>
    <mergeCell ref="C733:D733"/>
    <mergeCell ref="A734:B734"/>
    <mergeCell ref="C734:D734"/>
    <mergeCell ref="A735:C735"/>
    <mergeCell ref="A736:C736"/>
    <mergeCell ref="A767:B767"/>
    <mergeCell ref="C767:D767"/>
    <mergeCell ref="A768:B768"/>
    <mergeCell ref="C768:D768"/>
    <mergeCell ref="A769:C769"/>
    <mergeCell ref="A770:C770"/>
    <mergeCell ref="A758:D758"/>
    <mergeCell ref="A759:D759"/>
    <mergeCell ref="A761:D762"/>
    <mergeCell ref="A763:B763"/>
    <mergeCell ref="C763:D763"/>
    <mergeCell ref="A764:D764"/>
    <mergeCell ref="A752:B752"/>
    <mergeCell ref="C752:D752"/>
    <mergeCell ref="A753:C753"/>
    <mergeCell ref="A754:C754"/>
    <mergeCell ref="A755:C755"/>
    <mergeCell ref="A756:C756"/>
    <mergeCell ref="A785:C785"/>
    <mergeCell ref="A786:C786"/>
    <mergeCell ref="A787:C787"/>
    <mergeCell ref="A789:D789"/>
    <mergeCell ref="A790:D790"/>
    <mergeCell ref="A792:D793"/>
    <mergeCell ref="A779:D779"/>
    <mergeCell ref="A782:B782"/>
    <mergeCell ref="C782:D782"/>
    <mergeCell ref="A783:B783"/>
    <mergeCell ref="C783:D783"/>
    <mergeCell ref="A784:C784"/>
    <mergeCell ref="A771:C771"/>
    <mergeCell ref="A772:C772"/>
    <mergeCell ref="A774:D774"/>
    <mergeCell ref="A775:D775"/>
    <mergeCell ref="A776:D777"/>
    <mergeCell ref="A778:B778"/>
    <mergeCell ref="C778:D778"/>
    <mergeCell ref="A807:D808"/>
    <mergeCell ref="A809:B809"/>
    <mergeCell ref="C809:D809"/>
    <mergeCell ref="A810:D810"/>
    <mergeCell ref="A813:B813"/>
    <mergeCell ref="C813:D813"/>
    <mergeCell ref="A800:C800"/>
    <mergeCell ref="A801:C801"/>
    <mergeCell ref="A802:C802"/>
    <mergeCell ref="A803:C803"/>
    <mergeCell ref="A805:D805"/>
    <mergeCell ref="A806:D806"/>
    <mergeCell ref="A794:B794"/>
    <mergeCell ref="C794:D794"/>
    <mergeCell ref="A795:D795"/>
    <mergeCell ref="A798:B798"/>
    <mergeCell ref="C798:D798"/>
    <mergeCell ref="A799:B799"/>
    <mergeCell ref="C799:D799"/>
    <mergeCell ref="A829:B829"/>
    <mergeCell ref="C829:D829"/>
    <mergeCell ref="A830:B830"/>
    <mergeCell ref="C830:D830"/>
    <mergeCell ref="A831:C831"/>
    <mergeCell ref="A832:C832"/>
    <mergeCell ref="A820:D820"/>
    <mergeCell ref="A821:D821"/>
    <mergeCell ref="A823:D824"/>
    <mergeCell ref="A825:B825"/>
    <mergeCell ref="C825:D825"/>
    <mergeCell ref="A826:D826"/>
    <mergeCell ref="A814:B814"/>
    <mergeCell ref="C814:D814"/>
    <mergeCell ref="A815:C815"/>
    <mergeCell ref="A816:C816"/>
    <mergeCell ref="A817:C817"/>
    <mergeCell ref="A818:C818"/>
    <mergeCell ref="A847:C847"/>
    <mergeCell ref="A848:C848"/>
    <mergeCell ref="A849:C849"/>
    <mergeCell ref="A851:D851"/>
    <mergeCell ref="A852:D852"/>
    <mergeCell ref="A854:D855"/>
    <mergeCell ref="A841:D841"/>
    <mergeCell ref="A844:B844"/>
    <mergeCell ref="C844:D844"/>
    <mergeCell ref="A845:B845"/>
    <mergeCell ref="C845:D845"/>
    <mergeCell ref="A846:C846"/>
    <mergeCell ref="A833:C833"/>
    <mergeCell ref="A834:C834"/>
    <mergeCell ref="A836:D836"/>
    <mergeCell ref="A837:D837"/>
    <mergeCell ref="A838:D839"/>
    <mergeCell ref="A840:B840"/>
    <mergeCell ref="C840:D840"/>
    <mergeCell ref="E868:F868"/>
    <mergeCell ref="A869:D870"/>
    <mergeCell ref="A871:B871"/>
    <mergeCell ref="C871:D871"/>
    <mergeCell ref="A872:D872"/>
    <mergeCell ref="A875:B875"/>
    <mergeCell ref="C875:D875"/>
    <mergeCell ref="A862:C862"/>
    <mergeCell ref="A863:C863"/>
    <mergeCell ref="A864:C864"/>
    <mergeCell ref="A865:C865"/>
    <mergeCell ref="A867:D867"/>
    <mergeCell ref="A868:D868"/>
    <mergeCell ref="A856:B856"/>
    <mergeCell ref="C856:D856"/>
    <mergeCell ref="A857:D857"/>
    <mergeCell ref="A860:B860"/>
    <mergeCell ref="C860:D860"/>
    <mergeCell ref="A861:B861"/>
    <mergeCell ref="C861:D861"/>
    <mergeCell ref="A891:B891"/>
    <mergeCell ref="C891:D891"/>
    <mergeCell ref="A892:B892"/>
    <mergeCell ref="C892:D892"/>
    <mergeCell ref="A893:C893"/>
    <mergeCell ref="A894:C894"/>
    <mergeCell ref="A882:D882"/>
    <mergeCell ref="A883:D883"/>
    <mergeCell ref="A885:D886"/>
    <mergeCell ref="A887:B887"/>
    <mergeCell ref="C887:D887"/>
    <mergeCell ref="A888:D888"/>
    <mergeCell ref="A876:B876"/>
    <mergeCell ref="C876:D876"/>
    <mergeCell ref="A877:C877"/>
    <mergeCell ref="A878:C878"/>
    <mergeCell ref="A879:C879"/>
    <mergeCell ref="A880:C880"/>
    <mergeCell ref="A909:C909"/>
    <mergeCell ref="A910:C910"/>
    <mergeCell ref="A911:C911"/>
    <mergeCell ref="A913:D913"/>
    <mergeCell ref="A914:D914"/>
    <mergeCell ref="A916:D917"/>
    <mergeCell ref="A903:D903"/>
    <mergeCell ref="A906:B906"/>
    <mergeCell ref="C906:D906"/>
    <mergeCell ref="A907:B907"/>
    <mergeCell ref="C907:D907"/>
    <mergeCell ref="A908:C908"/>
    <mergeCell ref="A895:C895"/>
    <mergeCell ref="A896:C896"/>
    <mergeCell ref="A898:D898"/>
    <mergeCell ref="A899:D899"/>
    <mergeCell ref="A900:D901"/>
    <mergeCell ref="A902:B902"/>
    <mergeCell ref="C902:D902"/>
    <mergeCell ref="A931:D932"/>
    <mergeCell ref="A933:B933"/>
    <mergeCell ref="C933:D933"/>
    <mergeCell ref="A934:D934"/>
    <mergeCell ref="A937:B937"/>
    <mergeCell ref="C937:D937"/>
    <mergeCell ref="A924:C924"/>
    <mergeCell ref="A925:C925"/>
    <mergeCell ref="A926:C926"/>
    <mergeCell ref="A927:C927"/>
    <mergeCell ref="A929:D929"/>
    <mergeCell ref="A930:D930"/>
    <mergeCell ref="A918:B918"/>
    <mergeCell ref="C918:D918"/>
    <mergeCell ref="A919:D919"/>
    <mergeCell ref="A922:B922"/>
    <mergeCell ref="C922:D922"/>
    <mergeCell ref="A923:B923"/>
    <mergeCell ref="C923:D923"/>
    <mergeCell ref="A953:B953"/>
    <mergeCell ref="C953:D953"/>
    <mergeCell ref="A954:B954"/>
    <mergeCell ref="C954:D954"/>
    <mergeCell ref="A955:C955"/>
    <mergeCell ref="A956:C956"/>
    <mergeCell ref="A944:D944"/>
    <mergeCell ref="A945:D945"/>
    <mergeCell ref="A947:D948"/>
    <mergeCell ref="A949:B949"/>
    <mergeCell ref="C949:D949"/>
    <mergeCell ref="A950:D950"/>
    <mergeCell ref="A938:B938"/>
    <mergeCell ref="C938:D938"/>
    <mergeCell ref="A939:C939"/>
    <mergeCell ref="A940:C940"/>
    <mergeCell ref="A941:C941"/>
    <mergeCell ref="A942:C942"/>
    <mergeCell ref="A971:C971"/>
    <mergeCell ref="A972:C972"/>
    <mergeCell ref="A973:C973"/>
    <mergeCell ref="A975:D975"/>
    <mergeCell ref="A976:D976"/>
    <mergeCell ref="A978:D979"/>
    <mergeCell ref="A965:D965"/>
    <mergeCell ref="A968:B968"/>
    <mergeCell ref="C968:D968"/>
    <mergeCell ref="A969:B969"/>
    <mergeCell ref="C969:D969"/>
    <mergeCell ref="A970:C970"/>
    <mergeCell ref="A957:C957"/>
    <mergeCell ref="A958:C958"/>
    <mergeCell ref="A960:D960"/>
    <mergeCell ref="A961:D961"/>
    <mergeCell ref="A962:D963"/>
    <mergeCell ref="A964:B964"/>
    <mergeCell ref="C964:D964"/>
    <mergeCell ref="A993:D994"/>
    <mergeCell ref="A995:B995"/>
    <mergeCell ref="C995:D995"/>
    <mergeCell ref="A996:D996"/>
    <mergeCell ref="A999:B999"/>
    <mergeCell ref="C999:D999"/>
    <mergeCell ref="A986:C986"/>
    <mergeCell ref="A987:C987"/>
    <mergeCell ref="A988:C988"/>
    <mergeCell ref="A989:C989"/>
    <mergeCell ref="A991:D991"/>
    <mergeCell ref="A992:D992"/>
    <mergeCell ref="A980:B980"/>
    <mergeCell ref="C980:D980"/>
    <mergeCell ref="A981:D981"/>
    <mergeCell ref="A984:B984"/>
    <mergeCell ref="C984:D984"/>
    <mergeCell ref="A985:B985"/>
    <mergeCell ref="C985:D985"/>
    <mergeCell ref="A1015:B1015"/>
    <mergeCell ref="C1015:D1015"/>
    <mergeCell ref="A1016:B1016"/>
    <mergeCell ref="C1016:D1016"/>
    <mergeCell ref="A1017:C1017"/>
    <mergeCell ref="A1018:C1018"/>
    <mergeCell ref="A1006:D1006"/>
    <mergeCell ref="A1007:D1007"/>
    <mergeCell ref="A1009:D1010"/>
    <mergeCell ref="A1011:B1011"/>
    <mergeCell ref="C1011:D1011"/>
    <mergeCell ref="A1012:D1012"/>
    <mergeCell ref="A1000:B1000"/>
    <mergeCell ref="C1000:D1000"/>
    <mergeCell ref="A1001:C1001"/>
    <mergeCell ref="A1002:C1002"/>
    <mergeCell ref="A1003:C1003"/>
    <mergeCell ref="A1004:C1004"/>
    <mergeCell ref="A1033:C1033"/>
    <mergeCell ref="A1034:C1034"/>
    <mergeCell ref="A1035:C1035"/>
    <mergeCell ref="A1037:D1037"/>
    <mergeCell ref="A1038:D1038"/>
    <mergeCell ref="A1040:D1041"/>
    <mergeCell ref="A1027:D1027"/>
    <mergeCell ref="A1030:B1030"/>
    <mergeCell ref="C1030:D1030"/>
    <mergeCell ref="A1031:B1031"/>
    <mergeCell ref="C1031:D1031"/>
    <mergeCell ref="A1032:C1032"/>
    <mergeCell ref="A1019:C1019"/>
    <mergeCell ref="A1020:C1020"/>
    <mergeCell ref="A1022:D1022"/>
    <mergeCell ref="A1023:D1023"/>
    <mergeCell ref="A1024:D1025"/>
    <mergeCell ref="A1026:B1026"/>
    <mergeCell ref="C1026:D1026"/>
    <mergeCell ref="A1055:D1056"/>
    <mergeCell ref="A1057:B1057"/>
    <mergeCell ref="C1057:D1057"/>
    <mergeCell ref="A1058:D1058"/>
    <mergeCell ref="A1061:B1061"/>
    <mergeCell ref="C1061:D1061"/>
    <mergeCell ref="A1048:C1048"/>
    <mergeCell ref="A1049:C1049"/>
    <mergeCell ref="A1050:C1050"/>
    <mergeCell ref="A1051:C1051"/>
    <mergeCell ref="A1053:D1053"/>
    <mergeCell ref="A1054:D1054"/>
    <mergeCell ref="A1042:B1042"/>
    <mergeCell ref="C1042:D1042"/>
    <mergeCell ref="A1043:D1043"/>
    <mergeCell ref="A1046:B1046"/>
    <mergeCell ref="C1046:D1046"/>
    <mergeCell ref="A1047:B1047"/>
    <mergeCell ref="C1047:D1047"/>
    <mergeCell ref="A1077:B1077"/>
    <mergeCell ref="C1077:D1077"/>
    <mergeCell ref="A1078:B1078"/>
    <mergeCell ref="C1078:D1078"/>
    <mergeCell ref="A1079:C1079"/>
    <mergeCell ref="A1080:C1080"/>
    <mergeCell ref="A1068:D1068"/>
    <mergeCell ref="A1069:D1069"/>
    <mergeCell ref="A1071:D1072"/>
    <mergeCell ref="A1073:B1073"/>
    <mergeCell ref="C1073:D1073"/>
    <mergeCell ref="A1074:D1074"/>
    <mergeCell ref="A1062:B1062"/>
    <mergeCell ref="C1062:D1062"/>
    <mergeCell ref="A1063:C1063"/>
    <mergeCell ref="A1064:C1064"/>
    <mergeCell ref="A1065:C1065"/>
    <mergeCell ref="A1066:C1066"/>
    <mergeCell ref="A1095:C1095"/>
    <mergeCell ref="A1096:C1096"/>
    <mergeCell ref="A1097:C1097"/>
    <mergeCell ref="A1099:D1099"/>
    <mergeCell ref="A1100:D1100"/>
    <mergeCell ref="A1102:D1103"/>
    <mergeCell ref="A1089:D1089"/>
    <mergeCell ref="A1092:B1092"/>
    <mergeCell ref="C1092:D1092"/>
    <mergeCell ref="A1093:B1093"/>
    <mergeCell ref="C1093:D1093"/>
    <mergeCell ref="A1094:C1094"/>
    <mergeCell ref="A1081:C1081"/>
    <mergeCell ref="A1082:C1082"/>
    <mergeCell ref="A1084:D1084"/>
    <mergeCell ref="A1085:D1085"/>
    <mergeCell ref="A1086:D1087"/>
    <mergeCell ref="A1088:B1088"/>
    <mergeCell ref="C1088:D1088"/>
    <mergeCell ref="A1117:D1118"/>
    <mergeCell ref="A1119:B1119"/>
    <mergeCell ref="C1119:D1119"/>
    <mergeCell ref="A1120:D1120"/>
    <mergeCell ref="A1123:B1123"/>
    <mergeCell ref="C1123:D1123"/>
    <mergeCell ref="A1110:C1110"/>
    <mergeCell ref="A1111:C1111"/>
    <mergeCell ref="A1112:C1112"/>
    <mergeCell ref="A1113:C1113"/>
    <mergeCell ref="A1115:D1115"/>
    <mergeCell ref="A1116:D1116"/>
    <mergeCell ref="A1104:B1104"/>
    <mergeCell ref="C1104:D1104"/>
    <mergeCell ref="A1105:D1105"/>
    <mergeCell ref="A1108:B1108"/>
    <mergeCell ref="C1108:D1108"/>
    <mergeCell ref="A1109:B1109"/>
    <mergeCell ref="C1109:D1109"/>
    <mergeCell ref="A1139:B1139"/>
    <mergeCell ref="C1139:D1139"/>
    <mergeCell ref="A1140:B1140"/>
    <mergeCell ref="C1140:D1140"/>
    <mergeCell ref="A1141:C1141"/>
    <mergeCell ref="A1142:C1142"/>
    <mergeCell ref="A1130:D1130"/>
    <mergeCell ref="A1131:D1131"/>
    <mergeCell ref="A1133:D1134"/>
    <mergeCell ref="A1135:B1135"/>
    <mergeCell ref="C1135:D1135"/>
    <mergeCell ref="A1136:D1136"/>
    <mergeCell ref="A1124:B1124"/>
    <mergeCell ref="C1124:D1124"/>
    <mergeCell ref="A1125:C1125"/>
    <mergeCell ref="A1126:C1126"/>
    <mergeCell ref="A1127:C1127"/>
    <mergeCell ref="A1128:C1128"/>
    <mergeCell ref="A1157:C1157"/>
    <mergeCell ref="A1158:C1158"/>
    <mergeCell ref="A1159:C1159"/>
    <mergeCell ref="A1161:D1161"/>
    <mergeCell ref="A1162:D1162"/>
    <mergeCell ref="A1164:D1165"/>
    <mergeCell ref="A1151:D1151"/>
    <mergeCell ref="A1154:B1154"/>
    <mergeCell ref="C1154:D1154"/>
    <mergeCell ref="A1155:B1155"/>
    <mergeCell ref="C1155:D1155"/>
    <mergeCell ref="A1156:C1156"/>
    <mergeCell ref="A1143:C1143"/>
    <mergeCell ref="A1144:C1144"/>
    <mergeCell ref="A1146:D1146"/>
    <mergeCell ref="A1147:D1147"/>
    <mergeCell ref="A1148:D1149"/>
    <mergeCell ref="A1150:B1150"/>
    <mergeCell ref="C1150:D1150"/>
    <mergeCell ref="A1179:D1180"/>
    <mergeCell ref="A1181:B1181"/>
    <mergeCell ref="C1181:D1181"/>
    <mergeCell ref="A1182:D1182"/>
    <mergeCell ref="A1185:B1185"/>
    <mergeCell ref="C1185:D1185"/>
    <mergeCell ref="A1172:C1172"/>
    <mergeCell ref="A1173:C1173"/>
    <mergeCell ref="A1174:C1174"/>
    <mergeCell ref="A1175:C1175"/>
    <mergeCell ref="A1177:D1177"/>
    <mergeCell ref="A1178:D1178"/>
    <mergeCell ref="A1166:B1166"/>
    <mergeCell ref="C1166:D1166"/>
    <mergeCell ref="A1167:D1167"/>
    <mergeCell ref="A1170:B1170"/>
    <mergeCell ref="C1170:D1170"/>
    <mergeCell ref="A1171:B1171"/>
    <mergeCell ref="C1171:D1171"/>
    <mergeCell ref="A1201:B1201"/>
    <mergeCell ref="C1201:D1201"/>
    <mergeCell ref="A1202:B1202"/>
    <mergeCell ref="C1202:D1202"/>
    <mergeCell ref="A1203:C1203"/>
    <mergeCell ref="A1204:C1204"/>
    <mergeCell ref="A1192:D1192"/>
    <mergeCell ref="A1193:D1193"/>
    <mergeCell ref="A1195:D1196"/>
    <mergeCell ref="A1197:B1197"/>
    <mergeCell ref="C1197:D1197"/>
    <mergeCell ref="A1198:D1198"/>
    <mergeCell ref="A1186:B1186"/>
    <mergeCell ref="C1186:D1186"/>
    <mergeCell ref="A1187:C1187"/>
    <mergeCell ref="A1188:C1188"/>
    <mergeCell ref="A1189:C1189"/>
    <mergeCell ref="A1190:C1190"/>
    <mergeCell ref="A1219:C1219"/>
    <mergeCell ref="A1220:C1220"/>
    <mergeCell ref="A1221:C1221"/>
    <mergeCell ref="A1223:D1223"/>
    <mergeCell ref="A1224:D1224"/>
    <mergeCell ref="A1226:D1227"/>
    <mergeCell ref="A1213:D1213"/>
    <mergeCell ref="A1216:B1216"/>
    <mergeCell ref="C1216:D1216"/>
    <mergeCell ref="A1217:B1217"/>
    <mergeCell ref="C1217:D1217"/>
    <mergeCell ref="A1218:C1218"/>
    <mergeCell ref="A1205:C1205"/>
    <mergeCell ref="A1206:C1206"/>
    <mergeCell ref="A1208:D1208"/>
    <mergeCell ref="A1209:D1209"/>
    <mergeCell ref="A1210:D1211"/>
    <mergeCell ref="A1212:B1212"/>
    <mergeCell ref="C1212:D1212"/>
    <mergeCell ref="A1241:D1242"/>
    <mergeCell ref="A1243:B1243"/>
    <mergeCell ref="C1243:D1243"/>
    <mergeCell ref="A1244:D1244"/>
    <mergeCell ref="A1247:B1247"/>
    <mergeCell ref="C1247:D1247"/>
    <mergeCell ref="A1234:C1234"/>
    <mergeCell ref="A1235:C1235"/>
    <mergeCell ref="A1236:C1236"/>
    <mergeCell ref="A1237:C1237"/>
    <mergeCell ref="A1239:D1239"/>
    <mergeCell ref="A1240:D1240"/>
    <mergeCell ref="A1228:B1228"/>
    <mergeCell ref="C1228:D1228"/>
    <mergeCell ref="A1229:D1229"/>
    <mergeCell ref="A1232:B1232"/>
    <mergeCell ref="C1232:D1232"/>
    <mergeCell ref="A1233:B1233"/>
    <mergeCell ref="C1233:D1233"/>
    <mergeCell ref="A1263:B1263"/>
    <mergeCell ref="C1263:D1263"/>
    <mergeCell ref="A1264:B1264"/>
    <mergeCell ref="C1264:D1264"/>
    <mergeCell ref="A1265:C1265"/>
    <mergeCell ref="A1266:C1266"/>
    <mergeCell ref="A1254:D1254"/>
    <mergeCell ref="A1255:D1255"/>
    <mergeCell ref="A1257:D1258"/>
    <mergeCell ref="A1259:B1259"/>
    <mergeCell ref="C1259:D1259"/>
    <mergeCell ref="A1260:D1260"/>
    <mergeCell ref="A1248:B1248"/>
    <mergeCell ref="C1248:D1248"/>
    <mergeCell ref="A1249:C1249"/>
    <mergeCell ref="A1250:C1250"/>
    <mergeCell ref="A1251:C1251"/>
    <mergeCell ref="A1252:C1252"/>
    <mergeCell ref="A1281:C1281"/>
    <mergeCell ref="A1282:C1282"/>
    <mergeCell ref="A1283:C1283"/>
    <mergeCell ref="A1285:D1285"/>
    <mergeCell ref="A1286:D1286"/>
    <mergeCell ref="A1288:D1289"/>
    <mergeCell ref="A1275:D1275"/>
    <mergeCell ref="A1278:B1278"/>
    <mergeCell ref="C1278:D1278"/>
    <mergeCell ref="A1279:B1279"/>
    <mergeCell ref="C1279:D1279"/>
    <mergeCell ref="A1280:C1280"/>
    <mergeCell ref="A1267:C1267"/>
    <mergeCell ref="A1268:C1268"/>
    <mergeCell ref="A1270:D1270"/>
    <mergeCell ref="A1271:D1271"/>
    <mergeCell ref="A1272:D1273"/>
    <mergeCell ref="A1274:B1274"/>
    <mergeCell ref="C1274:D1274"/>
    <mergeCell ref="A1303:D1304"/>
    <mergeCell ref="A1305:B1305"/>
    <mergeCell ref="C1305:D1305"/>
    <mergeCell ref="A1306:D1306"/>
    <mergeCell ref="A1309:B1309"/>
    <mergeCell ref="C1309:D1309"/>
    <mergeCell ref="A1296:C1296"/>
    <mergeCell ref="A1297:C1297"/>
    <mergeCell ref="A1298:C1298"/>
    <mergeCell ref="A1299:C1299"/>
    <mergeCell ref="A1301:D1301"/>
    <mergeCell ref="A1302:D1302"/>
    <mergeCell ref="A1290:B1290"/>
    <mergeCell ref="C1290:D1290"/>
    <mergeCell ref="A1291:D1291"/>
    <mergeCell ref="A1294:B1294"/>
    <mergeCell ref="C1294:D1294"/>
    <mergeCell ref="A1295:B1295"/>
    <mergeCell ref="C1295:D1295"/>
    <mergeCell ref="A1325:B1325"/>
    <mergeCell ref="C1325:D1325"/>
    <mergeCell ref="A1326:B1326"/>
    <mergeCell ref="C1326:D1326"/>
    <mergeCell ref="A1327:C1327"/>
    <mergeCell ref="A1328:C1328"/>
    <mergeCell ref="A1316:D1316"/>
    <mergeCell ref="A1317:D1317"/>
    <mergeCell ref="A1319:D1320"/>
    <mergeCell ref="A1321:B1321"/>
    <mergeCell ref="C1321:D1321"/>
    <mergeCell ref="A1322:D1322"/>
    <mergeCell ref="A1310:B1310"/>
    <mergeCell ref="C1310:D1310"/>
    <mergeCell ref="A1311:C1311"/>
    <mergeCell ref="A1312:C1312"/>
    <mergeCell ref="A1313:C1313"/>
    <mergeCell ref="A1314:C1314"/>
    <mergeCell ref="A1343:C1343"/>
    <mergeCell ref="A1344:C1344"/>
    <mergeCell ref="A1345:C1345"/>
    <mergeCell ref="A1347:D1347"/>
    <mergeCell ref="A1348:D1348"/>
    <mergeCell ref="A1350:D1351"/>
    <mergeCell ref="A1337:D1337"/>
    <mergeCell ref="A1340:B1340"/>
    <mergeCell ref="C1340:D1340"/>
    <mergeCell ref="A1341:B1341"/>
    <mergeCell ref="C1341:D1341"/>
    <mergeCell ref="A1342:C1342"/>
    <mergeCell ref="A1329:C1329"/>
    <mergeCell ref="A1330:C1330"/>
    <mergeCell ref="A1332:D1332"/>
    <mergeCell ref="A1333:D1333"/>
    <mergeCell ref="A1334:D1335"/>
    <mergeCell ref="A1336:B1336"/>
    <mergeCell ref="C1336:D1336"/>
    <mergeCell ref="A1365:D1366"/>
    <mergeCell ref="A1367:B1367"/>
    <mergeCell ref="C1367:D1367"/>
    <mergeCell ref="A1368:D1368"/>
    <mergeCell ref="A1371:B1371"/>
    <mergeCell ref="C1371:D1371"/>
    <mergeCell ref="A1358:C1358"/>
    <mergeCell ref="A1359:C1359"/>
    <mergeCell ref="A1360:C1360"/>
    <mergeCell ref="A1361:C1361"/>
    <mergeCell ref="A1363:D1363"/>
    <mergeCell ref="A1364:D1364"/>
    <mergeCell ref="A1352:B1352"/>
    <mergeCell ref="C1352:D1352"/>
    <mergeCell ref="A1353:D1353"/>
    <mergeCell ref="A1356:B1356"/>
    <mergeCell ref="C1356:D1356"/>
    <mergeCell ref="A1357:B1357"/>
    <mergeCell ref="C1357:D1357"/>
    <mergeCell ref="A1387:B1387"/>
    <mergeCell ref="C1387:D1387"/>
    <mergeCell ref="A1388:B1388"/>
    <mergeCell ref="C1388:D1388"/>
    <mergeCell ref="A1389:C1389"/>
    <mergeCell ref="A1390:C1390"/>
    <mergeCell ref="A1378:D1378"/>
    <mergeCell ref="A1379:D1379"/>
    <mergeCell ref="A1381:D1382"/>
    <mergeCell ref="A1383:B1383"/>
    <mergeCell ref="C1383:D1383"/>
    <mergeCell ref="A1384:D1384"/>
    <mergeCell ref="A1372:B1372"/>
    <mergeCell ref="C1372:D1372"/>
    <mergeCell ref="A1373:C1373"/>
    <mergeCell ref="A1374:C1374"/>
    <mergeCell ref="A1375:C1375"/>
    <mergeCell ref="A1376:C1376"/>
    <mergeCell ref="A1405:C1405"/>
    <mergeCell ref="A1406:C1406"/>
    <mergeCell ref="A1407:C1407"/>
    <mergeCell ref="A1409:D1409"/>
    <mergeCell ref="A1410:D1410"/>
    <mergeCell ref="A1412:D1413"/>
    <mergeCell ref="A1399:D1399"/>
    <mergeCell ref="A1402:B1402"/>
    <mergeCell ref="C1402:D1402"/>
    <mergeCell ref="A1403:B1403"/>
    <mergeCell ref="C1403:D1403"/>
    <mergeCell ref="A1404:C1404"/>
    <mergeCell ref="A1391:C1391"/>
    <mergeCell ref="A1392:C1392"/>
    <mergeCell ref="A1394:D1394"/>
    <mergeCell ref="A1395:D1395"/>
    <mergeCell ref="A1396:D1397"/>
    <mergeCell ref="A1398:B1398"/>
    <mergeCell ref="C1398:D1398"/>
    <mergeCell ref="A1427:D1428"/>
    <mergeCell ref="A1429:B1429"/>
    <mergeCell ref="C1429:D1429"/>
    <mergeCell ref="A1430:D1430"/>
    <mergeCell ref="A1433:B1433"/>
    <mergeCell ref="C1433:D1433"/>
    <mergeCell ref="A1420:C1420"/>
    <mergeCell ref="A1421:C1421"/>
    <mergeCell ref="A1422:C1422"/>
    <mergeCell ref="A1423:C1423"/>
    <mergeCell ref="A1425:D1425"/>
    <mergeCell ref="A1426:D1426"/>
    <mergeCell ref="A1414:B1414"/>
    <mergeCell ref="C1414:D1414"/>
    <mergeCell ref="A1415:D1415"/>
    <mergeCell ref="A1418:B1418"/>
    <mergeCell ref="C1418:D1418"/>
    <mergeCell ref="A1419:B1419"/>
    <mergeCell ref="C1419:D1419"/>
    <mergeCell ref="A1449:B1449"/>
    <mergeCell ref="C1449:D1449"/>
    <mergeCell ref="A1450:B1450"/>
    <mergeCell ref="C1450:D1450"/>
    <mergeCell ref="A1451:C1451"/>
    <mergeCell ref="A1452:C1452"/>
    <mergeCell ref="A1440:D1440"/>
    <mergeCell ref="A1441:D1441"/>
    <mergeCell ref="A1443:D1444"/>
    <mergeCell ref="A1445:B1445"/>
    <mergeCell ref="C1445:D1445"/>
    <mergeCell ref="A1446:D1446"/>
    <mergeCell ref="A1434:B1434"/>
    <mergeCell ref="C1434:D1434"/>
    <mergeCell ref="A1435:C1435"/>
    <mergeCell ref="A1436:C1436"/>
    <mergeCell ref="A1437:C1437"/>
    <mergeCell ref="A1438:C1438"/>
    <mergeCell ref="A1467:C1467"/>
    <mergeCell ref="A1468:C1468"/>
    <mergeCell ref="A1469:C1469"/>
    <mergeCell ref="A1471:D1471"/>
    <mergeCell ref="A1472:D1472"/>
    <mergeCell ref="A1474:D1475"/>
    <mergeCell ref="A1461:D1461"/>
    <mergeCell ref="A1464:B1464"/>
    <mergeCell ref="C1464:D1464"/>
    <mergeCell ref="A1465:B1465"/>
    <mergeCell ref="C1465:D1465"/>
    <mergeCell ref="A1466:C1466"/>
    <mergeCell ref="A1453:C1453"/>
    <mergeCell ref="A1454:C1454"/>
    <mergeCell ref="A1456:D1456"/>
    <mergeCell ref="A1457:D1457"/>
    <mergeCell ref="A1458:D1459"/>
    <mergeCell ref="A1460:B1460"/>
    <mergeCell ref="C1460:D1460"/>
    <mergeCell ref="A1489:D1490"/>
    <mergeCell ref="A1491:B1491"/>
    <mergeCell ref="C1491:D1491"/>
    <mergeCell ref="A1492:D1492"/>
    <mergeCell ref="A1495:B1495"/>
    <mergeCell ref="C1495:D1495"/>
    <mergeCell ref="A1482:C1482"/>
    <mergeCell ref="A1483:C1483"/>
    <mergeCell ref="A1484:C1484"/>
    <mergeCell ref="A1485:C1485"/>
    <mergeCell ref="A1487:D1487"/>
    <mergeCell ref="A1488:D1488"/>
    <mergeCell ref="A1476:B1476"/>
    <mergeCell ref="C1476:D1476"/>
    <mergeCell ref="A1477:D1477"/>
    <mergeCell ref="A1480:B1480"/>
    <mergeCell ref="C1480:D1480"/>
    <mergeCell ref="A1481:B1481"/>
    <mergeCell ref="C1481:D1481"/>
    <mergeCell ref="A1511:B1511"/>
    <mergeCell ref="C1511:D1511"/>
    <mergeCell ref="A1512:B1512"/>
    <mergeCell ref="C1512:D1512"/>
    <mergeCell ref="A1513:C1513"/>
    <mergeCell ref="A1514:C1514"/>
    <mergeCell ref="A1502:D1502"/>
    <mergeCell ref="A1503:D1503"/>
    <mergeCell ref="A1505:D1506"/>
    <mergeCell ref="A1507:B1507"/>
    <mergeCell ref="C1507:D1507"/>
    <mergeCell ref="A1508:D1508"/>
    <mergeCell ref="A1496:B1496"/>
    <mergeCell ref="C1496:D1496"/>
    <mergeCell ref="A1497:C1497"/>
    <mergeCell ref="A1498:C1498"/>
    <mergeCell ref="A1499:C1499"/>
    <mergeCell ref="A1500:C1500"/>
    <mergeCell ref="A1529:C1529"/>
    <mergeCell ref="A1530:C1530"/>
    <mergeCell ref="A1531:C1531"/>
    <mergeCell ref="A1533:D1533"/>
    <mergeCell ref="A1534:D1534"/>
    <mergeCell ref="A1536:D1537"/>
    <mergeCell ref="A1523:D1523"/>
    <mergeCell ref="A1526:B1526"/>
    <mergeCell ref="C1526:D1526"/>
    <mergeCell ref="A1527:B1527"/>
    <mergeCell ref="C1527:D1527"/>
    <mergeCell ref="A1528:C1528"/>
    <mergeCell ref="A1515:C1515"/>
    <mergeCell ref="A1516:C1516"/>
    <mergeCell ref="A1518:D1518"/>
    <mergeCell ref="A1519:D1519"/>
    <mergeCell ref="A1520:D1521"/>
    <mergeCell ref="A1522:B1522"/>
    <mergeCell ref="C1522:D1522"/>
    <mergeCell ref="A1551:D1552"/>
    <mergeCell ref="A1553:B1553"/>
    <mergeCell ref="C1553:D1553"/>
    <mergeCell ref="A1554:D1554"/>
    <mergeCell ref="A1557:B1557"/>
    <mergeCell ref="C1557:D1557"/>
    <mergeCell ref="A1544:C1544"/>
    <mergeCell ref="A1545:C1545"/>
    <mergeCell ref="A1546:C1546"/>
    <mergeCell ref="A1547:C1547"/>
    <mergeCell ref="A1549:D1549"/>
    <mergeCell ref="A1550:D1550"/>
    <mergeCell ref="A1538:B1538"/>
    <mergeCell ref="C1538:D1538"/>
    <mergeCell ref="A1539:D1539"/>
    <mergeCell ref="A1542:B1542"/>
    <mergeCell ref="C1542:D1542"/>
    <mergeCell ref="A1543:B1543"/>
    <mergeCell ref="C1543:D1543"/>
    <mergeCell ref="A1573:B1573"/>
    <mergeCell ref="C1573:D1573"/>
    <mergeCell ref="A1574:B1574"/>
    <mergeCell ref="C1574:D1574"/>
    <mergeCell ref="A1575:C1575"/>
    <mergeCell ref="A1576:C1576"/>
    <mergeCell ref="A1564:D1564"/>
    <mergeCell ref="A1565:D1565"/>
    <mergeCell ref="A1567:D1568"/>
    <mergeCell ref="A1569:B1569"/>
    <mergeCell ref="C1569:D1569"/>
    <mergeCell ref="A1570:D1570"/>
    <mergeCell ref="A1558:B1558"/>
    <mergeCell ref="C1558:D1558"/>
    <mergeCell ref="A1559:C1559"/>
    <mergeCell ref="A1560:C1560"/>
    <mergeCell ref="A1561:C1561"/>
    <mergeCell ref="A1562:C1562"/>
    <mergeCell ref="A1591:C1591"/>
    <mergeCell ref="A1592:C1592"/>
    <mergeCell ref="A1593:C1593"/>
    <mergeCell ref="A1595:D1595"/>
    <mergeCell ref="A1596:D1596"/>
    <mergeCell ref="A1598:D1599"/>
    <mergeCell ref="A1585:D1585"/>
    <mergeCell ref="A1588:B1588"/>
    <mergeCell ref="C1588:D1588"/>
    <mergeCell ref="A1589:B1589"/>
    <mergeCell ref="C1589:D1589"/>
    <mergeCell ref="A1590:C1590"/>
    <mergeCell ref="A1577:C1577"/>
    <mergeCell ref="A1578:C1578"/>
    <mergeCell ref="A1580:D1580"/>
    <mergeCell ref="A1581:D1581"/>
    <mergeCell ref="A1582:D1583"/>
    <mergeCell ref="A1584:B1584"/>
    <mergeCell ref="C1584:D1584"/>
    <mergeCell ref="A1613:D1614"/>
    <mergeCell ref="A1615:B1615"/>
    <mergeCell ref="C1615:D1615"/>
    <mergeCell ref="A1616:D1616"/>
    <mergeCell ref="A1619:B1619"/>
    <mergeCell ref="C1619:D1619"/>
    <mergeCell ref="A1606:C1606"/>
    <mergeCell ref="A1607:C1607"/>
    <mergeCell ref="A1608:C1608"/>
    <mergeCell ref="A1609:C1609"/>
    <mergeCell ref="A1611:D1611"/>
    <mergeCell ref="A1612:D1612"/>
    <mergeCell ref="A1600:B1600"/>
    <mergeCell ref="C1600:D1600"/>
    <mergeCell ref="A1601:D1601"/>
    <mergeCell ref="A1604:B1604"/>
    <mergeCell ref="C1604:D1604"/>
    <mergeCell ref="A1605:B1605"/>
    <mergeCell ref="C1605:D1605"/>
    <mergeCell ref="A1635:B1635"/>
    <mergeCell ref="C1635:D1635"/>
    <mergeCell ref="A1636:B1636"/>
    <mergeCell ref="C1636:D1636"/>
    <mergeCell ref="A1637:C1637"/>
    <mergeCell ref="A1638:C1638"/>
    <mergeCell ref="A1626:D1626"/>
    <mergeCell ref="A1627:D1627"/>
    <mergeCell ref="A1629:D1630"/>
    <mergeCell ref="A1631:B1631"/>
    <mergeCell ref="C1631:D1631"/>
    <mergeCell ref="A1632:D1632"/>
    <mergeCell ref="A1620:B1620"/>
    <mergeCell ref="C1620:D1620"/>
    <mergeCell ref="A1621:C1621"/>
    <mergeCell ref="A1622:C1622"/>
    <mergeCell ref="A1623:C1623"/>
    <mergeCell ref="A1624:C1624"/>
    <mergeCell ref="A1653:C1653"/>
    <mergeCell ref="A1654:C1654"/>
    <mergeCell ref="A1655:C1655"/>
    <mergeCell ref="A1657:D1657"/>
    <mergeCell ref="A1658:D1658"/>
    <mergeCell ref="A1660:D1661"/>
    <mergeCell ref="A1647:D1647"/>
    <mergeCell ref="A1650:B1650"/>
    <mergeCell ref="C1650:D1650"/>
    <mergeCell ref="A1651:B1651"/>
    <mergeCell ref="C1651:D1651"/>
    <mergeCell ref="A1652:C1652"/>
    <mergeCell ref="A1639:C1639"/>
    <mergeCell ref="A1640:C1640"/>
    <mergeCell ref="A1642:D1642"/>
    <mergeCell ref="A1643:D1643"/>
    <mergeCell ref="A1644:D1645"/>
    <mergeCell ref="A1646:B1646"/>
    <mergeCell ref="C1646:D1646"/>
    <mergeCell ref="A1675:D1676"/>
    <mergeCell ref="A1677:B1677"/>
    <mergeCell ref="C1677:D1677"/>
    <mergeCell ref="A1678:D1678"/>
    <mergeCell ref="A1681:B1681"/>
    <mergeCell ref="C1681:D1681"/>
    <mergeCell ref="A1668:C1668"/>
    <mergeCell ref="A1669:C1669"/>
    <mergeCell ref="A1670:C1670"/>
    <mergeCell ref="A1671:C1671"/>
    <mergeCell ref="A1673:D1673"/>
    <mergeCell ref="A1674:D1674"/>
    <mergeCell ref="A1662:B1662"/>
    <mergeCell ref="C1662:D1662"/>
    <mergeCell ref="A1663:D1663"/>
    <mergeCell ref="A1666:B1666"/>
    <mergeCell ref="C1666:D1666"/>
    <mergeCell ref="A1667:B1667"/>
    <mergeCell ref="C1667:D1667"/>
    <mergeCell ref="A1697:B1697"/>
    <mergeCell ref="C1697:D1697"/>
    <mergeCell ref="A1698:B1698"/>
    <mergeCell ref="C1698:D1698"/>
    <mergeCell ref="A1699:C1699"/>
    <mergeCell ref="A1700:C1700"/>
    <mergeCell ref="A1688:D1688"/>
    <mergeCell ref="A1689:D1689"/>
    <mergeCell ref="A1691:D1692"/>
    <mergeCell ref="A1693:B1693"/>
    <mergeCell ref="C1693:D1693"/>
    <mergeCell ref="A1694:D1694"/>
    <mergeCell ref="A1682:B1682"/>
    <mergeCell ref="C1682:D1682"/>
    <mergeCell ref="A1683:C1683"/>
    <mergeCell ref="A1684:C1684"/>
    <mergeCell ref="A1685:C1685"/>
    <mergeCell ref="A1686:C1686"/>
    <mergeCell ref="A1715:C1715"/>
    <mergeCell ref="A1716:C1716"/>
    <mergeCell ref="A1717:C1717"/>
    <mergeCell ref="A1719:D1719"/>
    <mergeCell ref="A1720:D1720"/>
    <mergeCell ref="A1722:D1723"/>
    <mergeCell ref="A1709:D1709"/>
    <mergeCell ref="A1712:B1712"/>
    <mergeCell ref="C1712:D1712"/>
    <mergeCell ref="A1713:B1713"/>
    <mergeCell ref="C1713:D1713"/>
    <mergeCell ref="A1714:C1714"/>
    <mergeCell ref="A1701:C1701"/>
    <mergeCell ref="A1702:C1702"/>
    <mergeCell ref="A1704:D1704"/>
    <mergeCell ref="A1705:D1705"/>
    <mergeCell ref="A1706:D1707"/>
    <mergeCell ref="A1708:B1708"/>
    <mergeCell ref="C1708:D1708"/>
    <mergeCell ref="A1737:D1738"/>
    <mergeCell ref="A1739:B1739"/>
    <mergeCell ref="C1739:D1739"/>
    <mergeCell ref="A1740:D1740"/>
    <mergeCell ref="A1743:B1743"/>
    <mergeCell ref="C1743:D1743"/>
    <mergeCell ref="A1730:C1730"/>
    <mergeCell ref="A1731:C1731"/>
    <mergeCell ref="A1732:C1732"/>
    <mergeCell ref="A1733:C1733"/>
    <mergeCell ref="A1735:D1735"/>
    <mergeCell ref="A1736:D1736"/>
    <mergeCell ref="A1724:B1724"/>
    <mergeCell ref="C1724:D1724"/>
    <mergeCell ref="A1725:D1725"/>
    <mergeCell ref="A1728:B1728"/>
    <mergeCell ref="C1728:D1728"/>
    <mergeCell ref="A1729:B1729"/>
    <mergeCell ref="C1729:D1729"/>
    <mergeCell ref="A1759:B1759"/>
    <mergeCell ref="C1759:D1759"/>
    <mergeCell ref="A1760:B1760"/>
    <mergeCell ref="C1760:D1760"/>
    <mergeCell ref="A1761:C1761"/>
    <mergeCell ref="A1762:C1762"/>
    <mergeCell ref="A1750:D1750"/>
    <mergeCell ref="A1751:D1751"/>
    <mergeCell ref="A1753:D1754"/>
    <mergeCell ref="A1755:B1755"/>
    <mergeCell ref="C1755:D1755"/>
    <mergeCell ref="A1756:D1756"/>
    <mergeCell ref="A1744:B1744"/>
    <mergeCell ref="C1744:D1744"/>
    <mergeCell ref="A1745:C1745"/>
    <mergeCell ref="A1746:C1746"/>
    <mergeCell ref="A1747:C1747"/>
    <mergeCell ref="A1748:C1748"/>
    <mergeCell ref="A1777:C1777"/>
    <mergeCell ref="A1778:C1778"/>
    <mergeCell ref="A1779:C1779"/>
    <mergeCell ref="A1781:D1781"/>
    <mergeCell ref="A1782:D1782"/>
    <mergeCell ref="A1784:D1785"/>
    <mergeCell ref="A1771:D1771"/>
    <mergeCell ref="A1774:B1774"/>
    <mergeCell ref="C1774:D1774"/>
    <mergeCell ref="A1775:B1775"/>
    <mergeCell ref="C1775:D1775"/>
    <mergeCell ref="A1776:C1776"/>
    <mergeCell ref="A1763:C1763"/>
    <mergeCell ref="A1764:C1764"/>
    <mergeCell ref="A1766:D1766"/>
    <mergeCell ref="A1767:D1767"/>
    <mergeCell ref="A1768:D1769"/>
    <mergeCell ref="A1770:B1770"/>
    <mergeCell ref="C1770:D1770"/>
    <mergeCell ref="A1799:D1800"/>
    <mergeCell ref="A1801:B1801"/>
    <mergeCell ref="C1801:D1801"/>
    <mergeCell ref="A1802:D1802"/>
    <mergeCell ref="A1805:B1805"/>
    <mergeCell ref="C1805:D1805"/>
    <mergeCell ref="A1792:C1792"/>
    <mergeCell ref="A1793:C1793"/>
    <mergeCell ref="A1794:C1794"/>
    <mergeCell ref="A1795:C1795"/>
    <mergeCell ref="A1797:D1797"/>
    <mergeCell ref="A1798:D1798"/>
    <mergeCell ref="A1786:B1786"/>
    <mergeCell ref="C1786:D1786"/>
    <mergeCell ref="A1787:D1787"/>
    <mergeCell ref="A1790:B1790"/>
    <mergeCell ref="C1790:D1790"/>
    <mergeCell ref="A1791:B1791"/>
    <mergeCell ref="C1791:D1791"/>
    <mergeCell ref="A1821:B1821"/>
    <mergeCell ref="C1821:D1821"/>
    <mergeCell ref="A1822:B1822"/>
    <mergeCell ref="C1822:D1822"/>
    <mergeCell ref="A1823:C1823"/>
    <mergeCell ref="A1824:C1824"/>
    <mergeCell ref="A1812:D1812"/>
    <mergeCell ref="A1813:D1813"/>
    <mergeCell ref="A1815:D1816"/>
    <mergeCell ref="A1817:B1817"/>
    <mergeCell ref="C1817:D1817"/>
    <mergeCell ref="A1818:D1818"/>
    <mergeCell ref="A1806:B1806"/>
    <mergeCell ref="C1806:D1806"/>
    <mergeCell ref="A1807:C1807"/>
    <mergeCell ref="A1808:C1808"/>
    <mergeCell ref="A1809:C1809"/>
    <mergeCell ref="A1810:C1810"/>
    <mergeCell ref="A1839:C1839"/>
    <mergeCell ref="A1840:C1840"/>
    <mergeCell ref="A1841:C1841"/>
    <mergeCell ref="A1843:D1843"/>
    <mergeCell ref="A1844:D1844"/>
    <mergeCell ref="A1846:D1847"/>
    <mergeCell ref="A1833:D1833"/>
    <mergeCell ref="A1836:B1836"/>
    <mergeCell ref="C1836:D1836"/>
    <mergeCell ref="A1837:B1837"/>
    <mergeCell ref="C1837:D1837"/>
    <mergeCell ref="A1838:C1838"/>
    <mergeCell ref="A1825:C1825"/>
    <mergeCell ref="A1826:C1826"/>
    <mergeCell ref="A1828:D1828"/>
    <mergeCell ref="A1829:D1829"/>
    <mergeCell ref="A1830:D1831"/>
    <mergeCell ref="A1832:B1832"/>
    <mergeCell ref="C1832:D1832"/>
    <mergeCell ref="A1861:D1862"/>
    <mergeCell ref="A1863:B1863"/>
    <mergeCell ref="C1863:D1863"/>
    <mergeCell ref="A1864:D1864"/>
    <mergeCell ref="A1867:B1867"/>
    <mergeCell ref="C1867:D1867"/>
    <mergeCell ref="A1854:C1854"/>
    <mergeCell ref="A1855:C1855"/>
    <mergeCell ref="A1856:C1856"/>
    <mergeCell ref="A1857:C1857"/>
    <mergeCell ref="A1859:D1859"/>
    <mergeCell ref="A1860:D1860"/>
    <mergeCell ref="A1848:B1848"/>
    <mergeCell ref="C1848:D1848"/>
    <mergeCell ref="A1849:D1849"/>
    <mergeCell ref="A1852:B1852"/>
    <mergeCell ref="C1852:D1852"/>
    <mergeCell ref="A1853:B1853"/>
    <mergeCell ref="C1853:D1853"/>
    <mergeCell ref="A1883:B1883"/>
    <mergeCell ref="C1883:D1883"/>
    <mergeCell ref="A1884:B1884"/>
    <mergeCell ref="C1884:D1884"/>
    <mergeCell ref="A1885:C1885"/>
    <mergeCell ref="A1886:C1886"/>
    <mergeCell ref="A1874:D1874"/>
    <mergeCell ref="A1875:D1875"/>
    <mergeCell ref="A1877:D1878"/>
    <mergeCell ref="A1879:B1879"/>
    <mergeCell ref="C1879:D1879"/>
    <mergeCell ref="A1880:D1880"/>
    <mergeCell ref="A1868:B1868"/>
    <mergeCell ref="C1868:D1868"/>
    <mergeCell ref="A1869:C1869"/>
    <mergeCell ref="A1870:C1870"/>
    <mergeCell ref="A1871:C1871"/>
    <mergeCell ref="A1872:C1872"/>
    <mergeCell ref="A1901:C1901"/>
    <mergeCell ref="A1902:C1902"/>
    <mergeCell ref="A1903:C1903"/>
    <mergeCell ref="A1905:D1905"/>
    <mergeCell ref="A1906:D1906"/>
    <mergeCell ref="A1908:D1909"/>
    <mergeCell ref="A1895:D1895"/>
    <mergeCell ref="A1898:B1898"/>
    <mergeCell ref="C1898:D1898"/>
    <mergeCell ref="A1899:B1899"/>
    <mergeCell ref="C1899:D1899"/>
    <mergeCell ref="A1900:C1900"/>
    <mergeCell ref="A1887:C1887"/>
    <mergeCell ref="A1888:C1888"/>
    <mergeCell ref="A1890:D1890"/>
    <mergeCell ref="A1891:D1891"/>
    <mergeCell ref="A1892:D1893"/>
    <mergeCell ref="A1894:B1894"/>
    <mergeCell ref="C1894:D1894"/>
    <mergeCell ref="A1923:D1924"/>
    <mergeCell ref="A1925:B1925"/>
    <mergeCell ref="C1925:D1925"/>
    <mergeCell ref="A1926:D1926"/>
    <mergeCell ref="A1929:B1929"/>
    <mergeCell ref="C1929:D1929"/>
    <mergeCell ref="A1916:C1916"/>
    <mergeCell ref="A1917:C1917"/>
    <mergeCell ref="A1918:C1918"/>
    <mergeCell ref="A1919:C1919"/>
    <mergeCell ref="A1921:D1921"/>
    <mergeCell ref="A1922:D1922"/>
    <mergeCell ref="A1910:B1910"/>
    <mergeCell ref="C1910:D1910"/>
    <mergeCell ref="A1911:D1911"/>
    <mergeCell ref="A1914:B1914"/>
    <mergeCell ref="C1914:D1914"/>
    <mergeCell ref="A1915:B1915"/>
    <mergeCell ref="C1915:D1915"/>
    <mergeCell ref="A1945:B1945"/>
    <mergeCell ref="C1945:D1945"/>
    <mergeCell ref="A1946:B1946"/>
    <mergeCell ref="C1946:D1946"/>
    <mergeCell ref="A1947:C1947"/>
    <mergeCell ref="A1948:C1948"/>
    <mergeCell ref="A1936:D1936"/>
    <mergeCell ref="A1937:D1937"/>
    <mergeCell ref="A1939:D1940"/>
    <mergeCell ref="A1941:B1941"/>
    <mergeCell ref="C1941:D1941"/>
    <mergeCell ref="A1942:D1942"/>
    <mergeCell ref="A1930:B1930"/>
    <mergeCell ref="C1930:D1930"/>
    <mergeCell ref="A1931:C1931"/>
    <mergeCell ref="A1932:C1932"/>
    <mergeCell ref="A1933:C1933"/>
    <mergeCell ref="A1934:C1934"/>
    <mergeCell ref="A1963:C1963"/>
    <mergeCell ref="A1964:C1964"/>
    <mergeCell ref="A1965:C1965"/>
    <mergeCell ref="A1967:D1967"/>
    <mergeCell ref="A1968:D1968"/>
    <mergeCell ref="A1970:D1971"/>
    <mergeCell ref="A1957:D1957"/>
    <mergeCell ref="A1960:B1960"/>
    <mergeCell ref="C1960:D1960"/>
    <mergeCell ref="A1961:B1961"/>
    <mergeCell ref="C1961:D1961"/>
    <mergeCell ref="A1962:C1962"/>
    <mergeCell ref="A1949:C1949"/>
    <mergeCell ref="A1950:C1950"/>
    <mergeCell ref="A1952:D1952"/>
    <mergeCell ref="A1953:D1953"/>
    <mergeCell ref="A1954:D1955"/>
    <mergeCell ref="A1956:B1956"/>
    <mergeCell ref="C1956:D1956"/>
    <mergeCell ref="A1985:D1986"/>
    <mergeCell ref="A1987:B1987"/>
    <mergeCell ref="C1987:D1987"/>
    <mergeCell ref="A1988:D1988"/>
    <mergeCell ref="A1991:B1991"/>
    <mergeCell ref="C1991:D1991"/>
    <mergeCell ref="A1978:C1978"/>
    <mergeCell ref="A1979:C1979"/>
    <mergeCell ref="A1980:C1980"/>
    <mergeCell ref="A1981:C1981"/>
    <mergeCell ref="A1983:D1983"/>
    <mergeCell ref="A1984:D1984"/>
    <mergeCell ref="A1972:B1972"/>
    <mergeCell ref="C1972:D1972"/>
    <mergeCell ref="A1973:D1973"/>
    <mergeCell ref="A1976:B1976"/>
    <mergeCell ref="C1976:D1976"/>
    <mergeCell ref="A1977:B1977"/>
    <mergeCell ref="C1977:D1977"/>
    <mergeCell ref="A2007:B2007"/>
    <mergeCell ref="C2007:D2007"/>
    <mergeCell ref="A2008:B2008"/>
    <mergeCell ref="C2008:D2008"/>
    <mergeCell ref="A2009:C2009"/>
    <mergeCell ref="A2010:C2010"/>
    <mergeCell ref="A1998:D1998"/>
    <mergeCell ref="A1999:D1999"/>
    <mergeCell ref="A2001:D2002"/>
    <mergeCell ref="A2003:B2003"/>
    <mergeCell ref="C2003:D2003"/>
    <mergeCell ref="A2004:D2004"/>
    <mergeCell ref="A1992:B1992"/>
    <mergeCell ref="C1992:D1992"/>
    <mergeCell ref="A1993:C1993"/>
    <mergeCell ref="A1994:C1994"/>
    <mergeCell ref="A1995:C1995"/>
    <mergeCell ref="A1996:C1996"/>
    <mergeCell ref="A2025:C2025"/>
    <mergeCell ref="A2026:C2026"/>
    <mergeCell ref="A2027:C2027"/>
    <mergeCell ref="A2029:D2029"/>
    <mergeCell ref="A2030:D2030"/>
    <mergeCell ref="A2032:D2033"/>
    <mergeCell ref="A2019:D2019"/>
    <mergeCell ref="A2022:B2022"/>
    <mergeCell ref="C2022:D2022"/>
    <mergeCell ref="A2023:B2023"/>
    <mergeCell ref="C2023:D2023"/>
    <mergeCell ref="A2024:C2024"/>
    <mergeCell ref="A2011:C2011"/>
    <mergeCell ref="A2012:C2012"/>
    <mergeCell ref="A2014:D2014"/>
    <mergeCell ref="A2015:D2015"/>
    <mergeCell ref="A2016:D2017"/>
    <mergeCell ref="A2018:B2018"/>
    <mergeCell ref="C2018:D2018"/>
    <mergeCell ref="A2047:D2048"/>
    <mergeCell ref="A2049:B2049"/>
    <mergeCell ref="C2049:D2049"/>
    <mergeCell ref="A2050:D2050"/>
    <mergeCell ref="A2053:B2053"/>
    <mergeCell ref="C2053:D2053"/>
    <mergeCell ref="A2040:C2040"/>
    <mergeCell ref="A2041:C2041"/>
    <mergeCell ref="A2042:C2042"/>
    <mergeCell ref="A2043:C2043"/>
    <mergeCell ref="A2045:D2045"/>
    <mergeCell ref="A2046:D2046"/>
    <mergeCell ref="A2034:B2034"/>
    <mergeCell ref="C2034:D2034"/>
    <mergeCell ref="A2035:D2035"/>
    <mergeCell ref="A2038:B2038"/>
    <mergeCell ref="C2038:D2038"/>
    <mergeCell ref="A2039:B2039"/>
    <mergeCell ref="C2039:D2039"/>
    <mergeCell ref="A2069:B2069"/>
    <mergeCell ref="C2069:D2069"/>
    <mergeCell ref="A2070:B2070"/>
    <mergeCell ref="C2070:D2070"/>
    <mergeCell ref="A2071:C2071"/>
    <mergeCell ref="A2072:C2072"/>
    <mergeCell ref="A2060:D2060"/>
    <mergeCell ref="A2061:D2061"/>
    <mergeCell ref="A2063:D2064"/>
    <mergeCell ref="A2065:B2065"/>
    <mergeCell ref="C2065:D2065"/>
    <mergeCell ref="A2066:D2066"/>
    <mergeCell ref="A2054:B2054"/>
    <mergeCell ref="C2054:D2054"/>
    <mergeCell ref="A2055:C2055"/>
    <mergeCell ref="A2056:C2056"/>
    <mergeCell ref="A2057:C2057"/>
    <mergeCell ref="A2058:C2058"/>
    <mergeCell ref="A2087:C2087"/>
    <mergeCell ref="A2088:C2088"/>
    <mergeCell ref="A2089:C2089"/>
    <mergeCell ref="A2091:D2091"/>
    <mergeCell ref="A2092:D2092"/>
    <mergeCell ref="A2094:D2095"/>
    <mergeCell ref="A2081:D2081"/>
    <mergeCell ref="A2084:B2084"/>
    <mergeCell ref="C2084:D2084"/>
    <mergeCell ref="A2085:B2085"/>
    <mergeCell ref="C2085:D2085"/>
    <mergeCell ref="A2086:C2086"/>
    <mergeCell ref="A2073:C2073"/>
    <mergeCell ref="A2074:C2074"/>
    <mergeCell ref="A2076:D2076"/>
    <mergeCell ref="A2077:D2077"/>
    <mergeCell ref="A2078:D2079"/>
    <mergeCell ref="A2080:B2080"/>
    <mergeCell ref="C2080:D2080"/>
    <mergeCell ref="A2109:D2110"/>
    <mergeCell ref="A2111:B2111"/>
    <mergeCell ref="C2111:D2111"/>
    <mergeCell ref="A2112:D2112"/>
    <mergeCell ref="A2115:B2115"/>
    <mergeCell ref="C2115:D2115"/>
    <mergeCell ref="A2102:C2102"/>
    <mergeCell ref="A2103:C2103"/>
    <mergeCell ref="A2104:C2104"/>
    <mergeCell ref="A2105:C2105"/>
    <mergeCell ref="A2107:D2107"/>
    <mergeCell ref="A2108:D2108"/>
    <mergeCell ref="A2096:B2096"/>
    <mergeCell ref="C2096:D2096"/>
    <mergeCell ref="A2097:D2097"/>
    <mergeCell ref="A2100:B2100"/>
    <mergeCell ref="C2100:D2100"/>
    <mergeCell ref="A2101:B2101"/>
    <mergeCell ref="C2101:D2101"/>
    <mergeCell ref="A2131:B2131"/>
    <mergeCell ref="C2131:D2131"/>
    <mergeCell ref="A2132:B2132"/>
    <mergeCell ref="C2132:D2132"/>
    <mergeCell ref="A2133:C2133"/>
    <mergeCell ref="A2134:C2134"/>
    <mergeCell ref="A2122:D2122"/>
    <mergeCell ref="A2123:D2123"/>
    <mergeCell ref="A2125:D2126"/>
    <mergeCell ref="A2127:B2127"/>
    <mergeCell ref="C2127:D2127"/>
    <mergeCell ref="A2128:D2128"/>
    <mergeCell ref="A2116:B2116"/>
    <mergeCell ref="C2116:D2116"/>
    <mergeCell ref="A2117:C2117"/>
    <mergeCell ref="A2118:C2118"/>
    <mergeCell ref="A2119:C2119"/>
    <mergeCell ref="A2120:C2120"/>
    <mergeCell ref="A2149:C2149"/>
    <mergeCell ref="A2150:C2150"/>
    <mergeCell ref="A2151:C2151"/>
    <mergeCell ref="A2153:D2153"/>
    <mergeCell ref="A2154:D2154"/>
    <mergeCell ref="A2156:D2157"/>
    <mergeCell ref="A2143:D2143"/>
    <mergeCell ref="A2146:B2146"/>
    <mergeCell ref="C2146:D2146"/>
    <mergeCell ref="A2147:B2147"/>
    <mergeCell ref="C2147:D2147"/>
    <mergeCell ref="A2148:C2148"/>
    <mergeCell ref="A2135:C2135"/>
    <mergeCell ref="A2136:C2136"/>
    <mergeCell ref="A2138:D2138"/>
    <mergeCell ref="A2139:D2139"/>
    <mergeCell ref="A2140:D2141"/>
    <mergeCell ref="A2142:B2142"/>
    <mergeCell ref="C2142:D2142"/>
    <mergeCell ref="A2171:D2172"/>
    <mergeCell ref="A2173:B2173"/>
    <mergeCell ref="C2173:D2173"/>
    <mergeCell ref="A2174:D2174"/>
    <mergeCell ref="A2177:B2177"/>
    <mergeCell ref="C2177:D2177"/>
    <mergeCell ref="A2164:C2164"/>
    <mergeCell ref="A2165:C2165"/>
    <mergeCell ref="A2166:C2166"/>
    <mergeCell ref="A2167:C2167"/>
    <mergeCell ref="A2169:D2169"/>
    <mergeCell ref="A2170:D2170"/>
    <mergeCell ref="A2158:B2158"/>
    <mergeCell ref="C2158:D2158"/>
    <mergeCell ref="A2159:D2159"/>
    <mergeCell ref="A2162:B2162"/>
    <mergeCell ref="C2162:D2162"/>
    <mergeCell ref="A2163:B2163"/>
    <mergeCell ref="C2163:D2163"/>
    <mergeCell ref="A2193:B2193"/>
    <mergeCell ref="C2193:D2193"/>
    <mergeCell ref="A2194:B2194"/>
    <mergeCell ref="C2194:D2194"/>
    <mergeCell ref="A2195:C2195"/>
    <mergeCell ref="A2196:C2196"/>
    <mergeCell ref="A2184:D2184"/>
    <mergeCell ref="A2185:D2185"/>
    <mergeCell ref="A2187:D2188"/>
    <mergeCell ref="A2189:B2189"/>
    <mergeCell ref="C2189:D2189"/>
    <mergeCell ref="A2190:D2190"/>
    <mergeCell ref="A2178:B2178"/>
    <mergeCell ref="C2178:D2178"/>
    <mergeCell ref="A2179:C2179"/>
    <mergeCell ref="A2180:C2180"/>
    <mergeCell ref="A2181:C2181"/>
    <mergeCell ref="A2182:C2182"/>
    <mergeCell ref="A2211:C2211"/>
    <mergeCell ref="A2212:C2212"/>
    <mergeCell ref="A2213:C2213"/>
    <mergeCell ref="A2215:D2215"/>
    <mergeCell ref="A2216:D2216"/>
    <mergeCell ref="A2218:D2219"/>
    <mergeCell ref="A2205:D2205"/>
    <mergeCell ref="A2208:B2208"/>
    <mergeCell ref="C2208:D2208"/>
    <mergeCell ref="A2209:B2209"/>
    <mergeCell ref="C2209:D2209"/>
    <mergeCell ref="A2210:C2210"/>
    <mergeCell ref="A2197:C2197"/>
    <mergeCell ref="A2198:C2198"/>
    <mergeCell ref="A2200:D2200"/>
    <mergeCell ref="A2201:D2201"/>
    <mergeCell ref="A2202:D2203"/>
    <mergeCell ref="A2204:B2204"/>
    <mergeCell ref="C2204:D2204"/>
    <mergeCell ref="A2233:D2234"/>
    <mergeCell ref="A2235:B2235"/>
    <mergeCell ref="C2235:D2235"/>
    <mergeCell ref="A2236:D2236"/>
    <mergeCell ref="A2239:B2239"/>
    <mergeCell ref="C2239:D2239"/>
    <mergeCell ref="A2226:C2226"/>
    <mergeCell ref="A2227:C2227"/>
    <mergeCell ref="A2228:C2228"/>
    <mergeCell ref="A2229:C2229"/>
    <mergeCell ref="A2231:D2231"/>
    <mergeCell ref="A2232:D2232"/>
    <mergeCell ref="A2220:B2220"/>
    <mergeCell ref="C2220:D2220"/>
    <mergeCell ref="A2221:D2221"/>
    <mergeCell ref="A2224:B2224"/>
    <mergeCell ref="C2224:D2224"/>
    <mergeCell ref="A2225:B2225"/>
    <mergeCell ref="C2225:D2225"/>
    <mergeCell ref="A2255:B2255"/>
    <mergeCell ref="C2255:D2255"/>
    <mergeCell ref="A2256:B2256"/>
    <mergeCell ref="C2256:D2256"/>
    <mergeCell ref="A2257:C2257"/>
    <mergeCell ref="A2258:C2258"/>
    <mergeCell ref="A2246:D2246"/>
    <mergeCell ref="A2247:D2247"/>
    <mergeCell ref="A2249:D2250"/>
    <mergeCell ref="A2251:B2251"/>
    <mergeCell ref="C2251:D2251"/>
    <mergeCell ref="A2252:D2252"/>
    <mergeCell ref="A2240:B2240"/>
    <mergeCell ref="C2240:D2240"/>
    <mergeCell ref="A2241:C2241"/>
    <mergeCell ref="A2242:C2242"/>
    <mergeCell ref="A2243:C2243"/>
    <mergeCell ref="A2244:C2244"/>
    <mergeCell ref="A2273:C2273"/>
    <mergeCell ref="A2274:C2274"/>
    <mergeCell ref="A2275:C2275"/>
    <mergeCell ref="A2277:D2277"/>
    <mergeCell ref="A2278:D2278"/>
    <mergeCell ref="A2280:D2281"/>
    <mergeCell ref="A2267:D2267"/>
    <mergeCell ref="A2270:B2270"/>
    <mergeCell ref="C2270:D2270"/>
    <mergeCell ref="A2271:B2271"/>
    <mergeCell ref="C2271:D2271"/>
    <mergeCell ref="A2272:C2272"/>
    <mergeCell ref="A2259:C2259"/>
    <mergeCell ref="A2260:C2260"/>
    <mergeCell ref="A2262:D2262"/>
    <mergeCell ref="A2263:D2263"/>
    <mergeCell ref="A2264:D2265"/>
    <mergeCell ref="A2266:B2266"/>
    <mergeCell ref="C2266:D2266"/>
    <mergeCell ref="A2295:D2296"/>
    <mergeCell ref="A2297:B2297"/>
    <mergeCell ref="C2297:D2297"/>
    <mergeCell ref="A2298:D2298"/>
    <mergeCell ref="A2301:B2301"/>
    <mergeCell ref="C2301:D2301"/>
    <mergeCell ref="A2288:C2288"/>
    <mergeCell ref="A2289:C2289"/>
    <mergeCell ref="A2290:C2290"/>
    <mergeCell ref="A2291:C2291"/>
    <mergeCell ref="A2293:D2293"/>
    <mergeCell ref="A2294:D2294"/>
    <mergeCell ref="A2282:B2282"/>
    <mergeCell ref="C2282:D2282"/>
    <mergeCell ref="A2283:D2283"/>
    <mergeCell ref="A2286:B2286"/>
    <mergeCell ref="C2286:D2286"/>
    <mergeCell ref="A2287:B2287"/>
    <mergeCell ref="C2287:D2287"/>
    <mergeCell ref="A2321:C2321"/>
    <mergeCell ref="A2322:C2322"/>
    <mergeCell ref="A2324:D2324"/>
    <mergeCell ref="A2325:D2325"/>
    <mergeCell ref="A2317:B2317"/>
    <mergeCell ref="C2317:D2317"/>
    <mergeCell ref="A2318:B2318"/>
    <mergeCell ref="C2318:D2318"/>
    <mergeCell ref="A2319:C2319"/>
    <mergeCell ref="A2320:C2320"/>
    <mergeCell ref="A2308:D2308"/>
    <mergeCell ref="A2309:D2309"/>
    <mergeCell ref="A2311:D2312"/>
    <mergeCell ref="A2313:B2313"/>
    <mergeCell ref="C2313:D2313"/>
    <mergeCell ref="A2314:D2314"/>
    <mergeCell ref="A2302:B2302"/>
    <mergeCell ref="C2302:D2302"/>
    <mergeCell ref="A2303:C2303"/>
    <mergeCell ref="A2304:C2304"/>
    <mergeCell ref="A2305:C2305"/>
    <mergeCell ref="A2306:C2306"/>
    <mergeCell ref="A2326:D2327"/>
    <mergeCell ref="A2328:B2328"/>
    <mergeCell ref="C2328:D2328"/>
    <mergeCell ref="A2329:D2329"/>
    <mergeCell ref="A2332:B2332"/>
    <mergeCell ref="C2332:D2332"/>
    <mergeCell ref="A2333:B2333"/>
    <mergeCell ref="C2333:D2333"/>
    <mergeCell ref="A2334:C2334"/>
    <mergeCell ref="A2335:C2335"/>
    <mergeCell ref="A2336:C2336"/>
    <mergeCell ref="A2337:C2337"/>
    <mergeCell ref="A2339:D2339"/>
    <mergeCell ref="A2340:D2340"/>
    <mergeCell ref="A2342:D2343"/>
    <mergeCell ref="A2344:B2344"/>
    <mergeCell ref="C2344:D2344"/>
    <mergeCell ref="A2345:D2345"/>
    <mergeCell ref="A2348:B2348"/>
    <mergeCell ref="C2348:D2348"/>
    <mergeCell ref="A2349:B2349"/>
    <mergeCell ref="C2349:D2349"/>
    <mergeCell ref="A2350:C2350"/>
    <mergeCell ref="A2351:C2351"/>
    <mergeCell ref="A2352:C2352"/>
    <mergeCell ref="A2353:C2353"/>
    <mergeCell ref="A2355:D2355"/>
    <mergeCell ref="A2356:D2356"/>
    <mergeCell ref="A2357:D2358"/>
    <mergeCell ref="A2359:B2359"/>
    <mergeCell ref="C2359:D2359"/>
    <mergeCell ref="A2360:D2360"/>
    <mergeCell ref="A2363:B2363"/>
    <mergeCell ref="C2363:D2363"/>
    <mergeCell ref="A2382:C2382"/>
    <mergeCell ref="A2383:C2383"/>
    <mergeCell ref="A2384:C2384"/>
    <mergeCell ref="A2386:D2386"/>
    <mergeCell ref="A2387:D2387"/>
    <mergeCell ref="A2364:B2364"/>
    <mergeCell ref="C2364:D2364"/>
    <mergeCell ref="A2365:C2365"/>
    <mergeCell ref="A2366:C2366"/>
    <mergeCell ref="A2367:C2367"/>
    <mergeCell ref="A2368:C2368"/>
    <mergeCell ref="A2370:D2370"/>
    <mergeCell ref="A2371:D2371"/>
    <mergeCell ref="A2373:D2374"/>
    <mergeCell ref="A2375:B2375"/>
    <mergeCell ref="C2375:D2375"/>
    <mergeCell ref="A2376:D2376"/>
    <mergeCell ref="A2379:B2379"/>
    <mergeCell ref="C2379:D2379"/>
    <mergeCell ref="A2380:B2380"/>
    <mergeCell ref="C2380:D2380"/>
    <mergeCell ref="A2381:C2381"/>
    <mergeCell ref="A2512:D2513"/>
    <mergeCell ref="A2514:B2514"/>
    <mergeCell ref="C2514:D2514"/>
    <mergeCell ref="A2515:D2515"/>
    <mergeCell ref="A2518:B2518"/>
    <mergeCell ref="C2518:D2518"/>
    <mergeCell ref="A2519:B2519"/>
    <mergeCell ref="C2519:D2519"/>
    <mergeCell ref="A2520:C2520"/>
    <mergeCell ref="A2521:C2521"/>
    <mergeCell ref="A2522:C2522"/>
    <mergeCell ref="A2523:C2523"/>
    <mergeCell ref="A2525:D2525"/>
    <mergeCell ref="A2526:D2526"/>
    <mergeCell ref="A2528:D2529"/>
    <mergeCell ref="A2530:B2530"/>
    <mergeCell ref="C2530:D2530"/>
    <mergeCell ref="A2531:D2531"/>
    <mergeCell ref="A2534:B2534"/>
    <mergeCell ref="C2534:D2534"/>
    <mergeCell ref="A2535:B2535"/>
    <mergeCell ref="C2535:D2535"/>
    <mergeCell ref="A2536:C2536"/>
    <mergeCell ref="A2537:C2537"/>
    <mergeCell ref="A2538:C2538"/>
    <mergeCell ref="A2539:C2539"/>
    <mergeCell ref="A2541:D2541"/>
    <mergeCell ref="A2542:D2542"/>
    <mergeCell ref="A2543:D2544"/>
    <mergeCell ref="A2545:B2545"/>
    <mergeCell ref="C2545:D2545"/>
    <mergeCell ref="A2546:D2546"/>
    <mergeCell ref="A2549:B2549"/>
    <mergeCell ref="C2549:D2549"/>
    <mergeCell ref="A2568:C2568"/>
    <mergeCell ref="A2569:C2569"/>
    <mergeCell ref="A2570:C2570"/>
    <mergeCell ref="A2572:D2572"/>
    <mergeCell ref="A2573:D2573"/>
    <mergeCell ref="A2550:B2550"/>
    <mergeCell ref="C2550:D2550"/>
    <mergeCell ref="A2551:C2551"/>
    <mergeCell ref="A2552:C2552"/>
    <mergeCell ref="A2553:C2553"/>
    <mergeCell ref="A2554:C2554"/>
    <mergeCell ref="A2556:D2556"/>
    <mergeCell ref="A2557:D2557"/>
    <mergeCell ref="A2559:D2560"/>
    <mergeCell ref="A2561:B2561"/>
    <mergeCell ref="C2561:D2561"/>
    <mergeCell ref="A2562:D2562"/>
    <mergeCell ref="A2565:B2565"/>
    <mergeCell ref="C2565:D2565"/>
    <mergeCell ref="A2566:B2566"/>
    <mergeCell ref="C2566:D2566"/>
    <mergeCell ref="A2567:C2567"/>
  </mergeCells>
  <printOptions horizontalCentered="1" verticalCentered="1"/>
  <pageMargins left="0.23622047244094491" right="0.23622047244094491" top="0.19685039370078741" bottom="0.19685039370078741" header="0" footer="0"/>
  <pageSetup scale="70" orientation="portrait" r:id="rId1"/>
  <headerFooter>
    <oddHeader>&amp;C&amp;P</oddHeader>
  </headerFooter>
  <rowBreaks count="11" manualBreakCount="11">
    <brk id="31" max="3" man="1"/>
    <brk id="2047" max="3" man="1"/>
    <brk id="2356" max="3" man="1"/>
    <brk id="2387" max="3" man="1"/>
    <brk id="2418" max="3" man="1"/>
    <brk id="2449" max="3" man="1"/>
    <brk id="2480" max="3" man="1"/>
    <brk id="2511" max="3" man="1"/>
    <brk id="2542" max="3" man="1"/>
    <brk id="2573" max="3" man="1"/>
    <brk id="2604" max="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H9:Q169"/>
  <sheetViews>
    <sheetView topLeftCell="A176" workbookViewId="0">
      <selection activeCell="J169" sqref="J169"/>
    </sheetView>
  </sheetViews>
  <sheetFormatPr defaultRowHeight="15"/>
  <sheetData>
    <row r="9" spans="8:10">
      <c r="H9">
        <v>14</v>
      </c>
      <c r="I9">
        <v>17</v>
      </c>
      <c r="J9">
        <f>I9-H9</f>
        <v>3</v>
      </c>
    </row>
    <row r="10" spans="8:10">
      <c r="H10">
        <v>58</v>
      </c>
      <c r="I10">
        <v>100</v>
      </c>
      <c r="J10">
        <f t="shared" ref="J10:J73" si="0">I10-H10</f>
        <v>42</v>
      </c>
    </row>
    <row r="11" spans="8:10">
      <c r="H11">
        <v>20</v>
      </c>
      <c r="I11">
        <v>45</v>
      </c>
      <c r="J11">
        <f t="shared" si="0"/>
        <v>25</v>
      </c>
    </row>
    <row r="12" spans="8:10">
      <c r="H12">
        <v>18</v>
      </c>
      <c r="I12">
        <v>27</v>
      </c>
      <c r="J12">
        <f t="shared" si="0"/>
        <v>9</v>
      </c>
    </row>
    <row r="13" spans="8:10">
      <c r="H13">
        <v>13</v>
      </c>
      <c r="I13">
        <v>44</v>
      </c>
      <c r="J13">
        <f t="shared" si="0"/>
        <v>31</v>
      </c>
    </row>
    <row r="14" spans="8:10">
      <c r="H14">
        <v>170</v>
      </c>
      <c r="I14">
        <v>216</v>
      </c>
      <c r="J14">
        <f t="shared" si="0"/>
        <v>46</v>
      </c>
    </row>
    <row r="15" spans="8:10">
      <c r="H15">
        <v>25</v>
      </c>
      <c r="I15">
        <v>45</v>
      </c>
      <c r="J15">
        <f t="shared" si="0"/>
        <v>20</v>
      </c>
    </row>
    <row r="16" spans="8:10">
      <c r="H16">
        <v>52</v>
      </c>
      <c r="I16">
        <v>88</v>
      </c>
      <c r="J16">
        <f t="shared" si="0"/>
        <v>36</v>
      </c>
    </row>
    <row r="17" spans="8:10">
      <c r="H17">
        <v>56</v>
      </c>
      <c r="I17">
        <v>98</v>
      </c>
      <c r="J17">
        <f t="shared" si="0"/>
        <v>42</v>
      </c>
    </row>
    <row r="18" spans="8:10">
      <c r="H18">
        <v>52</v>
      </c>
      <c r="I18">
        <v>96</v>
      </c>
      <c r="J18">
        <f t="shared" si="0"/>
        <v>44</v>
      </c>
    </row>
    <row r="19" spans="8:10">
      <c r="H19">
        <v>46</v>
      </c>
      <c r="I19">
        <v>78</v>
      </c>
      <c r="J19">
        <f t="shared" si="0"/>
        <v>32</v>
      </c>
    </row>
    <row r="20" spans="8:10">
      <c r="H20">
        <v>22</v>
      </c>
      <c r="I20">
        <v>48</v>
      </c>
      <c r="J20">
        <f t="shared" si="0"/>
        <v>26</v>
      </c>
    </row>
    <row r="21" spans="8:10">
      <c r="H21">
        <v>45</v>
      </c>
      <c r="I21">
        <v>91</v>
      </c>
      <c r="J21">
        <f t="shared" si="0"/>
        <v>46</v>
      </c>
    </row>
    <row r="22" spans="8:10">
      <c r="H22">
        <v>49</v>
      </c>
      <c r="I22">
        <v>85</v>
      </c>
      <c r="J22">
        <f t="shared" si="0"/>
        <v>36</v>
      </c>
    </row>
    <row r="23" spans="8:10">
      <c r="H23">
        <v>26</v>
      </c>
      <c r="I23">
        <v>62</v>
      </c>
      <c r="J23">
        <f t="shared" si="0"/>
        <v>36</v>
      </c>
    </row>
    <row r="24" spans="8:10">
      <c r="H24">
        <v>50</v>
      </c>
      <c r="I24">
        <v>85</v>
      </c>
      <c r="J24">
        <f t="shared" si="0"/>
        <v>35</v>
      </c>
    </row>
    <row r="25" spans="8:10">
      <c r="H25">
        <v>32</v>
      </c>
      <c r="I25">
        <v>60</v>
      </c>
      <c r="J25">
        <f t="shared" si="0"/>
        <v>28</v>
      </c>
    </row>
    <row r="26" spans="8:10">
      <c r="H26">
        <v>35</v>
      </c>
      <c r="I26">
        <v>60</v>
      </c>
      <c r="J26">
        <f t="shared" si="0"/>
        <v>25</v>
      </c>
    </row>
    <row r="27" spans="8:10">
      <c r="H27">
        <v>76</v>
      </c>
      <c r="I27">
        <v>128</v>
      </c>
      <c r="J27">
        <f t="shared" si="0"/>
        <v>52</v>
      </c>
    </row>
    <row r="28" spans="8:10">
      <c r="H28">
        <v>58</v>
      </c>
      <c r="I28">
        <v>100</v>
      </c>
      <c r="J28">
        <f t="shared" si="0"/>
        <v>42</v>
      </c>
    </row>
    <row r="29" spans="8:10">
      <c r="H29">
        <v>35</v>
      </c>
      <c r="I29">
        <v>55</v>
      </c>
      <c r="J29">
        <f t="shared" si="0"/>
        <v>20</v>
      </c>
    </row>
    <row r="30" spans="8:10">
      <c r="H30">
        <v>34</v>
      </c>
      <c r="I30">
        <v>68</v>
      </c>
      <c r="J30">
        <f t="shared" si="0"/>
        <v>34</v>
      </c>
    </row>
    <row r="31" spans="8:10">
      <c r="H31">
        <v>30</v>
      </c>
      <c r="I31">
        <v>52</v>
      </c>
      <c r="J31">
        <f t="shared" si="0"/>
        <v>22</v>
      </c>
    </row>
    <row r="32" spans="8:10">
      <c r="H32">
        <v>38</v>
      </c>
      <c r="I32">
        <v>62</v>
      </c>
      <c r="J32">
        <f t="shared" si="0"/>
        <v>24</v>
      </c>
    </row>
    <row r="33" spans="8:10">
      <c r="H33">
        <v>31</v>
      </c>
      <c r="I33">
        <v>52</v>
      </c>
      <c r="J33">
        <f t="shared" si="0"/>
        <v>21</v>
      </c>
    </row>
    <row r="34" spans="8:10">
      <c r="H34">
        <v>54</v>
      </c>
      <c r="I34">
        <v>89</v>
      </c>
      <c r="J34">
        <f t="shared" si="0"/>
        <v>35</v>
      </c>
    </row>
    <row r="35" spans="8:10">
      <c r="H35">
        <v>64</v>
      </c>
      <c r="I35">
        <v>114</v>
      </c>
      <c r="J35">
        <f t="shared" si="0"/>
        <v>50</v>
      </c>
    </row>
    <row r="36" spans="8:10">
      <c r="H36">
        <v>19</v>
      </c>
      <c r="I36">
        <v>31</v>
      </c>
      <c r="J36">
        <f t="shared" si="0"/>
        <v>12</v>
      </c>
    </row>
    <row r="37" spans="8:10">
      <c r="H37">
        <v>33</v>
      </c>
      <c r="I37">
        <v>41</v>
      </c>
      <c r="J37">
        <f t="shared" si="0"/>
        <v>8</v>
      </c>
    </row>
    <row r="38" spans="8:10">
      <c r="H38">
        <v>46</v>
      </c>
      <c r="I38">
        <v>81</v>
      </c>
      <c r="J38">
        <f t="shared" si="0"/>
        <v>35</v>
      </c>
    </row>
    <row r="39" spans="8:10">
      <c r="H39">
        <v>26</v>
      </c>
      <c r="I39">
        <v>46</v>
      </c>
      <c r="J39">
        <f t="shared" si="0"/>
        <v>20</v>
      </c>
    </row>
    <row r="40" spans="8:10">
      <c r="H40">
        <v>13</v>
      </c>
      <c r="I40">
        <v>27</v>
      </c>
      <c r="J40">
        <f t="shared" si="0"/>
        <v>14</v>
      </c>
    </row>
    <row r="41" spans="8:10">
      <c r="H41">
        <v>58</v>
      </c>
      <c r="I41">
        <v>98</v>
      </c>
      <c r="J41">
        <f t="shared" si="0"/>
        <v>40</v>
      </c>
    </row>
    <row r="42" spans="8:10">
      <c r="H42">
        <v>45</v>
      </c>
      <c r="I42">
        <v>78</v>
      </c>
      <c r="J42">
        <f t="shared" si="0"/>
        <v>33</v>
      </c>
    </row>
    <row r="43" spans="8:10">
      <c r="H43">
        <v>32</v>
      </c>
      <c r="I43">
        <v>58</v>
      </c>
      <c r="J43">
        <f t="shared" si="0"/>
        <v>26</v>
      </c>
    </row>
    <row r="44" spans="8:10">
      <c r="H44">
        <v>74</v>
      </c>
      <c r="I44">
        <v>120</v>
      </c>
      <c r="J44">
        <f t="shared" si="0"/>
        <v>46</v>
      </c>
    </row>
    <row r="45" spans="8:10">
      <c r="H45">
        <v>64</v>
      </c>
      <c r="I45">
        <v>106</v>
      </c>
      <c r="J45">
        <f t="shared" si="0"/>
        <v>42</v>
      </c>
    </row>
    <row r="46" spans="8:10">
      <c r="H46">
        <v>31</v>
      </c>
      <c r="I46">
        <v>54</v>
      </c>
      <c r="J46">
        <f t="shared" si="0"/>
        <v>23</v>
      </c>
    </row>
    <row r="47" spans="8:10">
      <c r="H47">
        <v>55</v>
      </c>
      <c r="I47">
        <v>93</v>
      </c>
      <c r="J47">
        <f t="shared" si="0"/>
        <v>38</v>
      </c>
    </row>
    <row r="48" spans="8:10">
      <c r="H48">
        <v>57</v>
      </c>
      <c r="I48">
        <v>97</v>
      </c>
      <c r="J48">
        <f t="shared" si="0"/>
        <v>40</v>
      </c>
    </row>
    <row r="49" spans="8:10">
      <c r="H49">
        <v>32</v>
      </c>
      <c r="I49">
        <v>62</v>
      </c>
      <c r="J49">
        <f t="shared" si="0"/>
        <v>30</v>
      </c>
    </row>
    <row r="50" spans="8:10">
      <c r="H50">
        <v>42</v>
      </c>
      <c r="I50">
        <v>70</v>
      </c>
      <c r="J50">
        <f t="shared" si="0"/>
        <v>28</v>
      </c>
    </row>
    <row r="51" spans="8:10">
      <c r="H51">
        <v>54</v>
      </c>
      <c r="I51">
        <v>92</v>
      </c>
      <c r="J51">
        <f t="shared" si="0"/>
        <v>38</v>
      </c>
    </row>
    <row r="52" spans="8:10">
      <c r="H52">
        <v>6</v>
      </c>
      <c r="I52">
        <v>17</v>
      </c>
      <c r="J52">
        <f t="shared" si="0"/>
        <v>11</v>
      </c>
    </row>
    <row r="53" spans="8:10">
      <c r="H53">
        <v>19</v>
      </c>
      <c r="I53">
        <v>36</v>
      </c>
      <c r="J53">
        <f t="shared" si="0"/>
        <v>17</v>
      </c>
    </row>
    <row r="54" spans="8:10">
      <c r="H54">
        <v>37</v>
      </c>
      <c r="I54">
        <v>63</v>
      </c>
      <c r="J54">
        <f t="shared" si="0"/>
        <v>26</v>
      </c>
    </row>
    <row r="55" spans="8:10">
      <c r="H55">
        <v>49</v>
      </c>
      <c r="I55">
        <v>72</v>
      </c>
      <c r="J55">
        <f t="shared" si="0"/>
        <v>23</v>
      </c>
    </row>
    <row r="56" spans="8:10">
      <c r="H56">
        <v>74</v>
      </c>
      <c r="I56">
        <v>133</v>
      </c>
      <c r="J56">
        <f t="shared" si="0"/>
        <v>59</v>
      </c>
    </row>
    <row r="57" spans="8:10">
      <c r="H57">
        <v>74</v>
      </c>
      <c r="I57">
        <v>119</v>
      </c>
      <c r="J57">
        <f t="shared" si="0"/>
        <v>45</v>
      </c>
    </row>
    <row r="58" spans="8:10">
      <c r="H58">
        <v>20</v>
      </c>
      <c r="I58">
        <v>38</v>
      </c>
      <c r="J58">
        <f t="shared" si="0"/>
        <v>18</v>
      </c>
    </row>
    <row r="59" spans="8:10">
      <c r="H59">
        <v>38</v>
      </c>
      <c r="I59">
        <v>70</v>
      </c>
      <c r="J59">
        <f t="shared" si="0"/>
        <v>32</v>
      </c>
    </row>
    <row r="60" spans="8:10">
      <c r="H60">
        <v>50</v>
      </c>
      <c r="I60">
        <v>80</v>
      </c>
      <c r="J60">
        <f t="shared" si="0"/>
        <v>30</v>
      </c>
    </row>
    <row r="61" spans="8:10">
      <c r="H61">
        <v>61</v>
      </c>
      <c r="I61">
        <v>107</v>
      </c>
      <c r="J61">
        <f t="shared" si="0"/>
        <v>46</v>
      </c>
    </row>
    <row r="62" spans="8:10">
      <c r="H62">
        <v>60</v>
      </c>
      <c r="I62">
        <v>96</v>
      </c>
      <c r="J62">
        <f t="shared" si="0"/>
        <v>36</v>
      </c>
    </row>
    <row r="63" spans="8:10">
      <c r="H63">
        <v>72</v>
      </c>
      <c r="I63">
        <v>126</v>
      </c>
      <c r="J63">
        <f t="shared" si="0"/>
        <v>54</v>
      </c>
    </row>
    <row r="64" spans="8:10">
      <c r="H64">
        <v>34</v>
      </c>
      <c r="I64">
        <v>60</v>
      </c>
      <c r="J64">
        <f t="shared" si="0"/>
        <v>26</v>
      </c>
    </row>
    <row r="65" spans="8:10">
      <c r="H65">
        <v>55</v>
      </c>
      <c r="I65">
        <v>102</v>
      </c>
      <c r="J65">
        <f t="shared" si="0"/>
        <v>47</v>
      </c>
    </row>
    <row r="66" spans="8:10">
      <c r="H66">
        <v>40</v>
      </c>
      <c r="I66">
        <v>70</v>
      </c>
      <c r="J66">
        <f t="shared" si="0"/>
        <v>30</v>
      </c>
    </row>
    <row r="67" spans="8:10">
      <c r="H67">
        <v>71</v>
      </c>
      <c r="I67">
        <v>118</v>
      </c>
      <c r="J67">
        <f t="shared" si="0"/>
        <v>47</v>
      </c>
    </row>
    <row r="68" spans="8:10">
      <c r="H68">
        <v>50</v>
      </c>
      <c r="I68">
        <v>85</v>
      </c>
      <c r="J68">
        <f t="shared" si="0"/>
        <v>35</v>
      </c>
    </row>
    <row r="69" spans="8:10">
      <c r="H69">
        <v>33</v>
      </c>
      <c r="I69">
        <v>61</v>
      </c>
      <c r="J69">
        <f t="shared" si="0"/>
        <v>28</v>
      </c>
    </row>
    <row r="70" spans="8:10">
      <c r="H70">
        <v>12</v>
      </c>
      <c r="I70">
        <v>50</v>
      </c>
      <c r="J70">
        <f t="shared" si="0"/>
        <v>38</v>
      </c>
    </row>
    <row r="71" spans="8:10">
      <c r="I71">
        <v>30</v>
      </c>
      <c r="J71">
        <f t="shared" si="0"/>
        <v>30</v>
      </c>
    </row>
    <row r="72" spans="8:10">
      <c r="H72">
        <v>0</v>
      </c>
      <c r="I72">
        <v>12</v>
      </c>
      <c r="J72">
        <f t="shared" si="0"/>
        <v>12</v>
      </c>
    </row>
    <row r="73" spans="8:10">
      <c r="I73">
        <v>12</v>
      </c>
      <c r="J73">
        <f t="shared" si="0"/>
        <v>12</v>
      </c>
    </row>
    <row r="74" spans="8:10">
      <c r="H74">
        <v>1027</v>
      </c>
      <c r="I74">
        <v>1059</v>
      </c>
      <c r="J74">
        <f t="shared" ref="J74:J165" si="1">I74-H74</f>
        <v>32</v>
      </c>
    </row>
    <row r="75" spans="8:10">
      <c r="I75">
        <v>15</v>
      </c>
      <c r="J75">
        <f t="shared" si="1"/>
        <v>15</v>
      </c>
    </row>
    <row r="76" spans="8:10">
      <c r="I76">
        <v>27</v>
      </c>
      <c r="J76">
        <f t="shared" si="1"/>
        <v>27</v>
      </c>
    </row>
    <row r="77" spans="8:10">
      <c r="H77">
        <v>76</v>
      </c>
      <c r="I77">
        <v>160</v>
      </c>
      <c r="J77">
        <f t="shared" si="1"/>
        <v>84</v>
      </c>
    </row>
    <row r="78" spans="8:10">
      <c r="H78">
        <v>5</v>
      </c>
      <c r="I78">
        <v>40</v>
      </c>
      <c r="J78">
        <f t="shared" si="1"/>
        <v>35</v>
      </c>
    </row>
    <row r="79" spans="8:10">
      <c r="H79">
        <v>65</v>
      </c>
      <c r="I79">
        <v>113</v>
      </c>
      <c r="J79">
        <f t="shared" si="1"/>
        <v>48</v>
      </c>
    </row>
    <row r="80" spans="8:10">
      <c r="H80">
        <v>54</v>
      </c>
      <c r="I80">
        <v>81</v>
      </c>
      <c r="J80">
        <f t="shared" si="1"/>
        <v>27</v>
      </c>
    </row>
    <row r="81" spans="8:10">
      <c r="H81">
        <v>128</v>
      </c>
      <c r="I81">
        <v>222</v>
      </c>
      <c r="J81">
        <f t="shared" si="1"/>
        <v>94</v>
      </c>
    </row>
    <row r="82" spans="8:10">
      <c r="H82">
        <v>114</v>
      </c>
      <c r="I82">
        <v>197</v>
      </c>
      <c r="J82">
        <f t="shared" si="1"/>
        <v>83</v>
      </c>
    </row>
    <row r="83" spans="8:10">
      <c r="H83">
        <v>104</v>
      </c>
      <c r="I83">
        <v>173</v>
      </c>
      <c r="J83">
        <f t="shared" si="1"/>
        <v>69</v>
      </c>
    </row>
    <row r="84" spans="8:10">
      <c r="H84">
        <v>110</v>
      </c>
      <c r="I84">
        <v>184</v>
      </c>
      <c r="J84">
        <f t="shared" si="1"/>
        <v>74</v>
      </c>
    </row>
    <row r="85" spans="8:10">
      <c r="H85">
        <v>81</v>
      </c>
      <c r="I85">
        <v>135</v>
      </c>
      <c r="J85">
        <f t="shared" si="1"/>
        <v>54</v>
      </c>
    </row>
    <row r="86" spans="8:10">
      <c r="H86">
        <v>82</v>
      </c>
      <c r="I86">
        <v>135</v>
      </c>
      <c r="J86">
        <f t="shared" si="1"/>
        <v>53</v>
      </c>
    </row>
    <row r="87" spans="8:10">
      <c r="H87">
        <v>97</v>
      </c>
      <c r="I87">
        <v>168</v>
      </c>
      <c r="J87">
        <f t="shared" si="1"/>
        <v>71</v>
      </c>
    </row>
    <row r="88" spans="8:10">
      <c r="H88">
        <v>41</v>
      </c>
      <c r="I88">
        <v>66</v>
      </c>
      <c r="J88">
        <f t="shared" si="1"/>
        <v>25</v>
      </c>
    </row>
    <row r="89" spans="8:10">
      <c r="H89">
        <v>30</v>
      </c>
      <c r="I89">
        <v>43</v>
      </c>
      <c r="J89">
        <f t="shared" si="1"/>
        <v>13</v>
      </c>
    </row>
    <row r="90" spans="8:10">
      <c r="H90">
        <v>53</v>
      </c>
      <c r="I90">
        <v>96</v>
      </c>
      <c r="J90">
        <f t="shared" si="1"/>
        <v>43</v>
      </c>
    </row>
    <row r="91" spans="8:10">
      <c r="H91">
        <v>59</v>
      </c>
      <c r="I91">
        <v>98</v>
      </c>
      <c r="J91">
        <f t="shared" si="1"/>
        <v>39</v>
      </c>
    </row>
    <row r="92" spans="8:10">
      <c r="H92">
        <v>35</v>
      </c>
      <c r="I92">
        <v>47</v>
      </c>
      <c r="J92">
        <f t="shared" si="1"/>
        <v>12</v>
      </c>
    </row>
    <row r="93" spans="8:10">
      <c r="H93">
        <v>111</v>
      </c>
      <c r="I93">
        <v>190</v>
      </c>
      <c r="J93">
        <f t="shared" si="1"/>
        <v>79</v>
      </c>
    </row>
    <row r="94" spans="8:10">
      <c r="H94">
        <v>66</v>
      </c>
      <c r="I94">
        <v>105</v>
      </c>
      <c r="J94">
        <f t="shared" si="1"/>
        <v>39</v>
      </c>
    </row>
    <row r="95" spans="8:10">
      <c r="H95">
        <v>60</v>
      </c>
      <c r="I95">
        <v>106</v>
      </c>
      <c r="J95">
        <f t="shared" si="1"/>
        <v>46</v>
      </c>
    </row>
    <row r="96" spans="8:10">
      <c r="H96">
        <v>267</v>
      </c>
      <c r="I96">
        <v>366</v>
      </c>
      <c r="J96">
        <f t="shared" si="1"/>
        <v>99</v>
      </c>
    </row>
    <row r="97" spans="8:10">
      <c r="H97">
        <v>43</v>
      </c>
      <c r="I97">
        <v>80</v>
      </c>
      <c r="J97">
        <f t="shared" si="1"/>
        <v>37</v>
      </c>
    </row>
    <row r="98" spans="8:10">
      <c r="H98">
        <v>174</v>
      </c>
      <c r="I98">
        <v>280</v>
      </c>
      <c r="J98">
        <f t="shared" si="1"/>
        <v>106</v>
      </c>
    </row>
    <row r="99" spans="8:10">
      <c r="H99">
        <v>160</v>
      </c>
      <c r="I99">
        <v>308</v>
      </c>
      <c r="J99">
        <f t="shared" si="1"/>
        <v>148</v>
      </c>
    </row>
    <row r="100" spans="8:10">
      <c r="H100">
        <v>53</v>
      </c>
      <c r="I100">
        <v>90</v>
      </c>
      <c r="J100">
        <f t="shared" si="1"/>
        <v>37</v>
      </c>
    </row>
    <row r="101" spans="8:10">
      <c r="H101">
        <v>225</v>
      </c>
      <c r="I101">
        <v>400</v>
      </c>
      <c r="J101">
        <f t="shared" si="1"/>
        <v>175</v>
      </c>
    </row>
    <row r="102" spans="8:10">
      <c r="H102">
        <v>235</v>
      </c>
      <c r="I102">
        <v>380</v>
      </c>
      <c r="J102">
        <f t="shared" si="1"/>
        <v>145</v>
      </c>
    </row>
    <row r="103" spans="8:10">
      <c r="H103">
        <v>102</v>
      </c>
      <c r="I103">
        <v>216</v>
      </c>
      <c r="J103">
        <f t="shared" si="1"/>
        <v>114</v>
      </c>
    </row>
    <row r="104" spans="8:10">
      <c r="H104">
        <v>263</v>
      </c>
      <c r="I104">
        <v>435</v>
      </c>
      <c r="J104">
        <f t="shared" si="1"/>
        <v>172</v>
      </c>
    </row>
    <row r="105" spans="8:10">
      <c r="H105">
        <v>33</v>
      </c>
      <c r="I105">
        <v>61</v>
      </c>
      <c r="J105">
        <f t="shared" si="1"/>
        <v>28</v>
      </c>
    </row>
    <row r="106" spans="8:10">
      <c r="H106">
        <v>157</v>
      </c>
      <c r="I106">
        <v>267</v>
      </c>
      <c r="J106">
        <f t="shared" si="1"/>
        <v>110</v>
      </c>
    </row>
    <row r="107" spans="8:10">
      <c r="H107">
        <v>41</v>
      </c>
      <c r="I107">
        <v>100</v>
      </c>
      <c r="J107">
        <f t="shared" si="1"/>
        <v>59</v>
      </c>
    </row>
    <row r="108" spans="8:10">
      <c r="H108">
        <v>99</v>
      </c>
      <c r="I108">
        <v>160</v>
      </c>
      <c r="J108">
        <f t="shared" si="1"/>
        <v>61</v>
      </c>
    </row>
    <row r="109" spans="8:10">
      <c r="H109">
        <v>75</v>
      </c>
      <c r="I109">
        <v>122</v>
      </c>
      <c r="J109">
        <f t="shared" si="1"/>
        <v>47</v>
      </c>
    </row>
    <row r="110" spans="8:10">
      <c r="H110">
        <v>70</v>
      </c>
      <c r="I110">
        <v>120</v>
      </c>
      <c r="J110">
        <f t="shared" si="1"/>
        <v>50</v>
      </c>
    </row>
    <row r="111" spans="8:10">
      <c r="H111">
        <v>47</v>
      </c>
      <c r="I111">
        <v>78</v>
      </c>
      <c r="J111">
        <f t="shared" si="1"/>
        <v>31</v>
      </c>
    </row>
    <row r="112" spans="8:10">
      <c r="H112">
        <v>106</v>
      </c>
      <c r="I112">
        <v>170</v>
      </c>
      <c r="J112">
        <f t="shared" si="1"/>
        <v>64</v>
      </c>
    </row>
    <row r="113" spans="8:10">
      <c r="H113">
        <v>71</v>
      </c>
      <c r="I113">
        <v>123</v>
      </c>
      <c r="J113">
        <f t="shared" si="1"/>
        <v>52</v>
      </c>
    </row>
    <row r="114" spans="8:10">
      <c r="H114">
        <v>34</v>
      </c>
      <c r="I114">
        <v>55</v>
      </c>
      <c r="J114">
        <f t="shared" si="1"/>
        <v>21</v>
      </c>
    </row>
    <row r="115" spans="8:10">
      <c r="H115">
        <v>129</v>
      </c>
      <c r="I115">
        <v>225</v>
      </c>
      <c r="J115">
        <f t="shared" si="1"/>
        <v>96</v>
      </c>
    </row>
    <row r="116" spans="8:10">
      <c r="H116">
        <v>177</v>
      </c>
      <c r="I116">
        <v>300</v>
      </c>
      <c r="J116">
        <f t="shared" si="1"/>
        <v>123</v>
      </c>
    </row>
    <row r="117" spans="8:10">
      <c r="H117">
        <v>84</v>
      </c>
      <c r="I117">
        <v>158</v>
      </c>
      <c r="J117">
        <f t="shared" si="1"/>
        <v>74</v>
      </c>
    </row>
    <row r="118" spans="8:10">
      <c r="H118">
        <v>98</v>
      </c>
      <c r="I118">
        <v>155</v>
      </c>
      <c r="J118">
        <f t="shared" si="1"/>
        <v>57</v>
      </c>
    </row>
    <row r="119" spans="8:10">
      <c r="H119">
        <v>159</v>
      </c>
      <c r="I119">
        <v>290</v>
      </c>
      <c r="J119">
        <f t="shared" si="1"/>
        <v>131</v>
      </c>
    </row>
    <row r="120" spans="8:10">
      <c r="H120">
        <v>35</v>
      </c>
      <c r="I120">
        <v>58</v>
      </c>
      <c r="J120">
        <f t="shared" si="1"/>
        <v>23</v>
      </c>
    </row>
    <row r="121" spans="8:10">
      <c r="H121">
        <v>99</v>
      </c>
      <c r="I121">
        <v>155</v>
      </c>
      <c r="J121">
        <f t="shared" si="1"/>
        <v>56</v>
      </c>
    </row>
    <row r="122" spans="8:10">
      <c r="H122">
        <v>65</v>
      </c>
      <c r="I122">
        <v>105</v>
      </c>
      <c r="J122">
        <f t="shared" si="1"/>
        <v>40</v>
      </c>
    </row>
    <row r="123" spans="8:10">
      <c r="H123">
        <v>101</v>
      </c>
      <c r="I123">
        <v>165</v>
      </c>
      <c r="J123">
        <f t="shared" si="1"/>
        <v>64</v>
      </c>
    </row>
    <row r="124" spans="8:10">
      <c r="H124">
        <v>136</v>
      </c>
      <c r="I124">
        <v>235</v>
      </c>
      <c r="J124">
        <f t="shared" si="1"/>
        <v>99</v>
      </c>
    </row>
    <row r="125" spans="8:10">
      <c r="H125">
        <v>129</v>
      </c>
      <c r="I125">
        <v>220</v>
      </c>
      <c r="J125">
        <f t="shared" si="1"/>
        <v>91</v>
      </c>
    </row>
    <row r="126" spans="8:10">
      <c r="H126">
        <v>93</v>
      </c>
      <c r="I126">
        <v>162</v>
      </c>
      <c r="J126">
        <f t="shared" si="1"/>
        <v>69</v>
      </c>
    </row>
    <row r="127" spans="8:10">
      <c r="H127">
        <v>152</v>
      </c>
      <c r="I127">
        <v>275</v>
      </c>
      <c r="J127">
        <f t="shared" si="1"/>
        <v>123</v>
      </c>
    </row>
    <row r="128" spans="8:10">
      <c r="H128">
        <v>54</v>
      </c>
      <c r="I128">
        <v>87</v>
      </c>
      <c r="J128">
        <f t="shared" si="1"/>
        <v>33</v>
      </c>
    </row>
    <row r="129" spans="8:10">
      <c r="H129">
        <v>50</v>
      </c>
      <c r="I129">
        <v>116</v>
      </c>
      <c r="J129">
        <f t="shared" si="1"/>
        <v>66</v>
      </c>
    </row>
    <row r="130" spans="8:10">
      <c r="H130">
        <v>63</v>
      </c>
      <c r="I130">
        <v>108</v>
      </c>
      <c r="J130">
        <f t="shared" si="1"/>
        <v>45</v>
      </c>
    </row>
    <row r="131" spans="8:10">
      <c r="H131">
        <v>104</v>
      </c>
      <c r="I131">
        <v>178</v>
      </c>
      <c r="J131">
        <f t="shared" si="1"/>
        <v>74</v>
      </c>
    </row>
    <row r="132" spans="8:10">
      <c r="H132">
        <v>102</v>
      </c>
      <c r="I132">
        <v>185</v>
      </c>
      <c r="J132">
        <f t="shared" si="1"/>
        <v>83</v>
      </c>
    </row>
    <row r="133" spans="8:10">
      <c r="H133">
        <v>60</v>
      </c>
      <c r="I133">
        <v>107</v>
      </c>
      <c r="J133">
        <f t="shared" si="1"/>
        <v>47</v>
      </c>
    </row>
    <row r="134" spans="8:10">
      <c r="H134">
        <v>52</v>
      </c>
      <c r="I134">
        <v>77</v>
      </c>
      <c r="J134">
        <f t="shared" si="1"/>
        <v>25</v>
      </c>
    </row>
    <row r="135" spans="8:10">
      <c r="H135">
        <v>49</v>
      </c>
      <c r="I135">
        <v>91</v>
      </c>
      <c r="J135">
        <f t="shared" si="1"/>
        <v>42</v>
      </c>
    </row>
    <row r="136" spans="8:10">
      <c r="H136">
        <v>35</v>
      </c>
      <c r="I136">
        <v>59</v>
      </c>
      <c r="J136">
        <f t="shared" si="1"/>
        <v>24</v>
      </c>
    </row>
    <row r="137" spans="8:10">
      <c r="H137">
        <v>48</v>
      </c>
      <c r="I137">
        <v>89</v>
      </c>
      <c r="J137">
        <f t="shared" si="1"/>
        <v>41</v>
      </c>
    </row>
    <row r="138" spans="8:10">
      <c r="H138">
        <v>64</v>
      </c>
      <c r="I138">
        <v>101</v>
      </c>
      <c r="J138">
        <f t="shared" si="1"/>
        <v>37</v>
      </c>
    </row>
    <row r="139" spans="8:10">
      <c r="H139">
        <v>51</v>
      </c>
      <c r="I139">
        <v>81</v>
      </c>
      <c r="J139">
        <f t="shared" si="1"/>
        <v>30</v>
      </c>
    </row>
    <row r="140" spans="8:10">
      <c r="H140">
        <v>29</v>
      </c>
      <c r="I140">
        <v>50</v>
      </c>
      <c r="J140">
        <f t="shared" si="1"/>
        <v>21</v>
      </c>
    </row>
    <row r="141" spans="8:10">
      <c r="H141">
        <v>53</v>
      </c>
      <c r="I141">
        <v>91</v>
      </c>
      <c r="J141">
        <f t="shared" si="1"/>
        <v>38</v>
      </c>
    </row>
    <row r="142" spans="8:10">
      <c r="H142">
        <v>82</v>
      </c>
      <c r="I142">
        <v>112</v>
      </c>
      <c r="J142">
        <f t="shared" si="1"/>
        <v>30</v>
      </c>
    </row>
    <row r="143" spans="8:10">
      <c r="H143">
        <v>41</v>
      </c>
      <c r="I143">
        <v>75</v>
      </c>
      <c r="J143">
        <f t="shared" si="1"/>
        <v>34</v>
      </c>
    </row>
    <row r="144" spans="8:10">
      <c r="H144">
        <v>86</v>
      </c>
      <c r="I144">
        <v>200</v>
      </c>
      <c r="J144">
        <f t="shared" si="1"/>
        <v>114</v>
      </c>
    </row>
    <row r="145" spans="8:17">
      <c r="H145">
        <v>53</v>
      </c>
      <c r="I145">
        <v>86</v>
      </c>
      <c r="J145">
        <f t="shared" si="1"/>
        <v>33</v>
      </c>
    </row>
    <row r="146" spans="8:17">
      <c r="H146">
        <v>111</v>
      </c>
      <c r="I146">
        <v>185</v>
      </c>
      <c r="J146">
        <f t="shared" si="1"/>
        <v>74</v>
      </c>
    </row>
    <row r="147" spans="8:17">
      <c r="H147">
        <v>117</v>
      </c>
      <c r="I147">
        <v>119</v>
      </c>
      <c r="J147">
        <f t="shared" si="1"/>
        <v>2</v>
      </c>
      <c r="N147" t="s">
        <v>620</v>
      </c>
      <c r="O147">
        <v>23</v>
      </c>
    </row>
    <row r="148" spans="8:17">
      <c r="H148">
        <v>116</v>
      </c>
      <c r="I148">
        <v>195</v>
      </c>
      <c r="J148">
        <f t="shared" si="1"/>
        <v>79</v>
      </c>
    </row>
    <row r="149" spans="8:17">
      <c r="H149">
        <v>81</v>
      </c>
      <c r="I149">
        <v>142</v>
      </c>
      <c r="J149">
        <f t="shared" si="1"/>
        <v>61</v>
      </c>
    </row>
    <row r="150" spans="8:17">
      <c r="H150">
        <v>73</v>
      </c>
      <c r="I150">
        <v>126</v>
      </c>
      <c r="J150">
        <f t="shared" si="1"/>
        <v>53</v>
      </c>
      <c r="O150">
        <f>30*23</f>
        <v>690</v>
      </c>
    </row>
    <row r="151" spans="8:17">
      <c r="H151">
        <v>39</v>
      </c>
      <c r="I151">
        <v>62</v>
      </c>
      <c r="J151">
        <f t="shared" si="1"/>
        <v>23</v>
      </c>
    </row>
    <row r="152" spans="8:17">
      <c r="H152">
        <v>21</v>
      </c>
      <c r="I152">
        <v>55</v>
      </c>
      <c r="J152">
        <f t="shared" si="1"/>
        <v>34</v>
      </c>
      <c r="O152">
        <v>7648</v>
      </c>
      <c r="P152">
        <v>23</v>
      </c>
      <c r="Q152">
        <f>P152*O152</f>
        <v>175904</v>
      </c>
    </row>
    <row r="153" spans="8:17">
      <c r="H153">
        <v>91</v>
      </c>
      <c r="I153">
        <v>167</v>
      </c>
      <c r="J153">
        <f t="shared" si="1"/>
        <v>76</v>
      </c>
    </row>
    <row r="154" spans="8:17">
      <c r="H154">
        <v>109</v>
      </c>
      <c r="I154">
        <v>207</v>
      </c>
      <c r="J154">
        <f t="shared" si="1"/>
        <v>98</v>
      </c>
    </row>
    <row r="155" spans="8:17">
      <c r="H155">
        <v>62</v>
      </c>
      <c r="I155">
        <v>105</v>
      </c>
      <c r="J155">
        <f t="shared" si="1"/>
        <v>43</v>
      </c>
    </row>
    <row r="156" spans="8:17">
      <c r="H156">
        <v>158</v>
      </c>
      <c r="I156">
        <v>308</v>
      </c>
      <c r="J156">
        <f t="shared" si="1"/>
        <v>150</v>
      </c>
    </row>
    <row r="157" spans="8:17">
      <c r="H157">
        <v>133</v>
      </c>
      <c r="I157">
        <v>222</v>
      </c>
      <c r="J157">
        <f t="shared" si="1"/>
        <v>89</v>
      </c>
    </row>
    <row r="158" spans="8:17">
      <c r="H158">
        <v>47</v>
      </c>
      <c r="I158">
        <v>75</v>
      </c>
      <c r="J158">
        <f t="shared" si="1"/>
        <v>28</v>
      </c>
    </row>
    <row r="159" spans="8:17">
      <c r="H159">
        <v>25</v>
      </c>
      <c r="I159">
        <v>53</v>
      </c>
      <c r="J159">
        <f t="shared" si="1"/>
        <v>28</v>
      </c>
    </row>
    <row r="160" spans="8:17">
      <c r="H160">
        <v>120</v>
      </c>
      <c r="I160">
        <v>200</v>
      </c>
      <c r="J160">
        <f t="shared" si="1"/>
        <v>80</v>
      </c>
    </row>
    <row r="161" spans="8:12">
      <c r="H161">
        <v>53</v>
      </c>
      <c r="I161">
        <v>103</v>
      </c>
      <c r="J161">
        <f t="shared" si="1"/>
        <v>50</v>
      </c>
    </row>
    <row r="162" spans="8:12">
      <c r="H162">
        <v>86</v>
      </c>
      <c r="I162">
        <v>151</v>
      </c>
      <c r="J162">
        <f t="shared" si="1"/>
        <v>65</v>
      </c>
    </row>
    <row r="163" spans="8:12">
      <c r="H163">
        <v>41</v>
      </c>
      <c r="I163">
        <v>86</v>
      </c>
      <c r="J163">
        <f t="shared" si="1"/>
        <v>45</v>
      </c>
    </row>
    <row r="164" spans="8:12">
      <c r="H164">
        <v>38</v>
      </c>
      <c r="I164">
        <v>69</v>
      </c>
      <c r="J164">
        <f t="shared" si="1"/>
        <v>31</v>
      </c>
    </row>
    <row r="165" spans="8:12">
      <c r="I165">
        <v>40</v>
      </c>
      <c r="J165">
        <f t="shared" si="1"/>
        <v>40</v>
      </c>
    </row>
    <row r="166" spans="8:12">
      <c r="I166">
        <v>11</v>
      </c>
      <c r="J166">
        <f t="shared" ref="J166" si="2">I166-H166</f>
        <v>11</v>
      </c>
    </row>
    <row r="167" spans="8:12">
      <c r="J167">
        <f>SUM(J9:J166)</f>
        <v>7678</v>
      </c>
      <c r="K167">
        <v>6786</v>
      </c>
      <c r="L167">
        <f>J167-K167</f>
        <v>892</v>
      </c>
    </row>
    <row r="168" spans="8:12">
      <c r="J168">
        <v>7648</v>
      </c>
    </row>
    <row r="169" spans="8:12">
      <c r="J169">
        <f>J167-J168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چمې مارکیټ</vt:lpstr>
      <vt:lpstr>چمي صرافان مارکیت</vt:lpstr>
      <vt:lpstr>حمام مارکیت</vt:lpstr>
      <vt:lpstr>قدوس مارکیت</vt:lpstr>
      <vt:lpstr>پلازې</vt:lpstr>
      <vt:lpstr>Total </vt:lpstr>
      <vt:lpstr>حمام مرکیت دولتی دوهم منزل</vt:lpstr>
      <vt:lpstr>حمام مرکیت دولتی زرزمینی</vt:lpstr>
      <vt:lpstr>حمام مرکیت دولتی اول منزل</vt:lpstr>
      <vt:lpstr>نجیب میتر</vt:lpstr>
      <vt:lpstr>Sheet1</vt:lpstr>
      <vt:lpstr>پلازې!Print_Area</vt:lpstr>
      <vt:lpstr>'چمې مارکیټ'!Print_Area</vt:lpstr>
      <vt:lpstr>'چمي صرافان مارکیت'!Print_Area</vt:lpstr>
      <vt:lpstr>'حمام مارکیت'!Print_Area</vt:lpstr>
      <vt:lpstr>'حمام مرکیت دولتی اول منزل'!Print_Area</vt:lpstr>
      <vt:lpstr>'حمام مرکیت دولتی دوهم منزل'!Print_Area</vt:lpstr>
      <vt:lpstr>'حمام مرکیت دولتی زرزمینی'!Print_Area</vt:lpstr>
      <vt:lpstr>'قدوس مارکیت'!Print_Area</vt:lpstr>
      <vt:lpstr>'نجیب میتر'!Print_Area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MRT www.Win2Farsi.com</cp:lastModifiedBy>
  <cp:lastPrinted>2022-12-01T03:54:59Z</cp:lastPrinted>
  <dcterms:created xsi:type="dcterms:W3CDTF">2022-06-25T03:37:58Z</dcterms:created>
  <dcterms:modified xsi:type="dcterms:W3CDTF">2022-12-28T10:24:43Z</dcterms:modified>
</cp:coreProperties>
</file>