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phah University\Fall 2025\Software Re Engineering_7-1\"/>
    </mc:Choice>
  </mc:AlternateContent>
  <xr:revisionPtr revIDLastSave="0" documentId="13_ncr:1_{98428088-8EEF-4151-91DB-7AB124F5AA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SCS4-1_SAD" sheetId="1" r:id="rId1"/>
  </sheets>
  <externalReferences>
    <externalReference r:id="rId2"/>
  </externalReferences>
  <definedNames>
    <definedName name="_xlnm.Print_Area" localSheetId="0">'BSCS4-1_SAD'!$A$1:$V$45</definedName>
    <definedName name="_xlnm.Print_Titles" localSheetId="0">'BSCS4-1_SAD'!$2:$8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N21" i="1"/>
  <c r="N22" i="1"/>
  <c r="N23" i="1"/>
  <c r="R23" i="1" s="1"/>
  <c r="T23" i="1" s="1"/>
  <c r="U23" i="1" s="1"/>
  <c r="N24" i="1"/>
  <c r="N25" i="1"/>
  <c r="N26" i="1"/>
  <c r="N27" i="1"/>
  <c r="N28" i="1"/>
  <c r="N29" i="1"/>
  <c r="R29" i="1" s="1"/>
  <c r="T29" i="1" s="1"/>
  <c r="U29" i="1" s="1"/>
  <c r="N30" i="1"/>
  <c r="R30" i="1" s="1"/>
  <c r="T30" i="1" s="1"/>
  <c r="U30" i="1" s="1"/>
  <c r="N31" i="1"/>
  <c r="N32" i="1"/>
  <c r="N33" i="1"/>
  <c r="N34" i="1"/>
  <c r="R34" i="1" s="1"/>
  <c r="T34" i="1" s="1"/>
  <c r="U34" i="1" s="1"/>
  <c r="N35" i="1"/>
  <c r="N36" i="1"/>
  <c r="N37" i="1"/>
  <c r="R37" i="1" s="1"/>
  <c r="T37" i="1" s="1"/>
  <c r="U37" i="1" s="1"/>
  <c r="N38" i="1"/>
  <c r="N39" i="1"/>
  <c r="N40" i="1"/>
  <c r="N41" i="1"/>
  <c r="N42" i="1"/>
  <c r="N43" i="1"/>
  <c r="N44" i="1"/>
  <c r="R8" i="1"/>
  <c r="N11" i="1"/>
  <c r="N12" i="1"/>
  <c r="N13" i="1"/>
  <c r="N14" i="1"/>
  <c r="N15" i="1"/>
  <c r="N16" i="1"/>
  <c r="N17" i="1"/>
  <c r="N18" i="1"/>
  <c r="N19" i="1"/>
  <c r="N20" i="1"/>
  <c r="N10" i="1"/>
  <c r="R10" i="1" s="1"/>
  <c r="I11" i="1"/>
  <c r="I12" i="1"/>
  <c r="I13" i="1"/>
  <c r="I14" i="1"/>
  <c r="I15" i="1"/>
  <c r="I16" i="1"/>
  <c r="I17" i="1"/>
  <c r="I18" i="1"/>
  <c r="I19" i="1"/>
  <c r="I20" i="1"/>
  <c r="I10" i="1"/>
  <c r="R43" i="1" l="1"/>
  <c r="T43" i="1" s="1"/>
  <c r="U43" i="1" s="1"/>
  <c r="R36" i="1"/>
  <c r="T36" i="1" s="1"/>
  <c r="U36" i="1" s="1"/>
  <c r="R28" i="1"/>
  <c r="T28" i="1" s="1"/>
  <c r="U28" i="1" s="1"/>
  <c r="R35" i="1"/>
  <c r="T35" i="1" s="1"/>
  <c r="U35" i="1" s="1"/>
  <c r="R42" i="1"/>
  <c r="T42" i="1" s="1"/>
  <c r="U42" i="1" s="1"/>
  <c r="R26" i="1"/>
  <c r="T26" i="1" s="1"/>
  <c r="U26" i="1" s="1"/>
  <c r="R41" i="1"/>
  <c r="T41" i="1" s="1"/>
  <c r="U41" i="1" s="1"/>
  <c r="R33" i="1"/>
  <c r="T33" i="1" s="1"/>
  <c r="U33" i="1" s="1"/>
  <c r="R25" i="1"/>
  <c r="T25" i="1" s="1"/>
  <c r="U25" i="1" s="1"/>
  <c r="R27" i="1"/>
  <c r="T27" i="1" s="1"/>
  <c r="U27" i="1" s="1"/>
  <c r="R40" i="1"/>
  <c r="T40" i="1" s="1"/>
  <c r="U40" i="1" s="1"/>
  <c r="R32" i="1"/>
  <c r="T32" i="1" s="1"/>
  <c r="U32" i="1" s="1"/>
  <c r="R24" i="1"/>
  <c r="T24" i="1" s="1"/>
  <c r="U24" i="1" s="1"/>
  <c r="R39" i="1"/>
  <c r="T39" i="1" s="1"/>
  <c r="U39" i="1" s="1"/>
  <c r="R31" i="1"/>
  <c r="T31" i="1" s="1"/>
  <c r="U31" i="1" s="1"/>
  <c r="R44" i="1"/>
  <c r="T44" i="1" s="1"/>
  <c r="U44" i="1" s="1"/>
  <c r="R38" i="1"/>
  <c r="T38" i="1" s="1"/>
  <c r="U38" i="1" s="1"/>
  <c r="R22" i="1"/>
  <c r="T22" i="1" s="1"/>
  <c r="U22" i="1" s="1"/>
  <c r="R21" i="1"/>
  <c r="T21" i="1" s="1"/>
  <c r="U21" i="1" s="1"/>
  <c r="R16" i="1"/>
  <c r="T16" i="1" s="1"/>
  <c r="U16" i="1" s="1"/>
  <c r="T10" i="1"/>
  <c r="U10" i="1" s="1"/>
  <c r="R15" i="1"/>
  <c r="T15" i="1" s="1"/>
  <c r="U15" i="1" s="1"/>
  <c r="R14" i="1"/>
  <c r="T14" i="1" s="1"/>
  <c r="U14" i="1" s="1"/>
  <c r="R13" i="1"/>
  <c r="T13" i="1" s="1"/>
  <c r="U13" i="1" s="1"/>
  <c r="R20" i="1"/>
  <c r="T20" i="1" s="1"/>
  <c r="U20" i="1" s="1"/>
  <c r="R12" i="1"/>
  <c r="T12" i="1" s="1"/>
  <c r="U12" i="1" s="1"/>
  <c r="R19" i="1"/>
  <c r="T19" i="1" s="1"/>
  <c r="U19" i="1" s="1"/>
  <c r="R11" i="1"/>
  <c r="T11" i="1" s="1"/>
  <c r="U11" i="1" s="1"/>
  <c r="R18" i="1"/>
  <c r="T18" i="1" s="1"/>
  <c r="U18" i="1" s="1"/>
  <c r="R17" i="1"/>
  <c r="T17" i="1" s="1"/>
  <c r="U17" i="1" s="1"/>
  <c r="T8" i="1"/>
</calcChain>
</file>

<file path=xl/sharedStrings.xml><?xml version="1.0" encoding="utf-8"?>
<sst xmlns="http://schemas.openxmlformats.org/spreadsheetml/2006/main" count="115" uniqueCount="113">
  <si>
    <t>Riphah International University</t>
  </si>
  <si>
    <t>Faculty of Computing</t>
  </si>
  <si>
    <t>Sr.No</t>
  </si>
  <si>
    <t>Final Term</t>
  </si>
  <si>
    <t xml:space="preserve">Weightage </t>
  </si>
  <si>
    <t>Total Marks</t>
  </si>
  <si>
    <t>Grades</t>
  </si>
  <si>
    <t>SAP ID</t>
  </si>
  <si>
    <t>Student Name</t>
  </si>
  <si>
    <t>Number of Activities</t>
  </si>
  <si>
    <t>Assignment 3</t>
  </si>
  <si>
    <t>MID TERM</t>
  </si>
  <si>
    <t>Assignment 4</t>
  </si>
  <si>
    <t>A1</t>
  </si>
  <si>
    <t>A2</t>
  </si>
  <si>
    <t>A3</t>
  </si>
  <si>
    <t>A4</t>
  </si>
  <si>
    <t>Assignment 2</t>
  </si>
  <si>
    <t xml:space="preserve">Assignment 1 </t>
  </si>
  <si>
    <t>Total</t>
  </si>
  <si>
    <t>Assignment</t>
  </si>
  <si>
    <t>Q1</t>
  </si>
  <si>
    <t>Q2</t>
  </si>
  <si>
    <t>Quiz 1</t>
  </si>
  <si>
    <t>Quiz 2</t>
  </si>
  <si>
    <t>Quiz 3</t>
  </si>
  <si>
    <t>Quiz 4</t>
  </si>
  <si>
    <t>Q3</t>
  </si>
  <si>
    <t>Q4</t>
  </si>
  <si>
    <t>MID</t>
  </si>
  <si>
    <t>Quiz Total</t>
  </si>
  <si>
    <t>Presentation</t>
  </si>
  <si>
    <t>Project</t>
  </si>
  <si>
    <t xml:space="preserve"> Project</t>
  </si>
  <si>
    <t>Teacher: Raja Jalees ul Hussen Khan</t>
  </si>
  <si>
    <t>Total-60%</t>
  </si>
  <si>
    <t>Program:  BS (Software Engineering)</t>
  </si>
  <si>
    <t>Course: Software Re-Engineering</t>
  </si>
  <si>
    <t>Final</t>
  </si>
  <si>
    <t>Total 
Sessional</t>
  </si>
  <si>
    <t>Grand
Total</t>
  </si>
  <si>
    <t>BSSE_7-1</t>
  </si>
  <si>
    <t>000032493</t>
  </si>
  <si>
    <t>Farzan, Haider</t>
  </si>
  <si>
    <t>000036565</t>
  </si>
  <si>
    <t>Anjum, Gohar</t>
  </si>
  <si>
    <t>000037640</t>
  </si>
  <si>
    <t>Banday, Muhammad Ali Raza</t>
  </si>
  <si>
    <t>000043944</t>
  </si>
  <si>
    <t>Nabeel Awais, Muhammad</t>
  </si>
  <si>
    <t>000044201</t>
  </si>
  <si>
    <t>. Sajid, Ehtisham</t>
  </si>
  <si>
    <t>000044220</t>
  </si>
  <si>
    <t>. Talha Aslam, Muhammad</t>
  </si>
  <si>
    <t>000044483</t>
  </si>
  <si>
    <t>shah hassan, syed agha</t>
  </si>
  <si>
    <t>000044712</t>
  </si>
  <si>
    <t>. Butt, Muhammad Bilal</t>
  </si>
  <si>
    <t>000045309</t>
  </si>
  <si>
    <t>. shah, javed</t>
  </si>
  <si>
    <t>000045358</t>
  </si>
  <si>
    <t>Jameel, Muhammad Talha</t>
  </si>
  <si>
    <t>000045499</t>
  </si>
  <si>
    <t>Ahmad Abbasi, Moiz</t>
  </si>
  <si>
    <t>000045679</t>
  </si>
  <si>
    <t>. ahtsham, abdullah</t>
  </si>
  <si>
    <t>000045814</t>
  </si>
  <si>
    <t>. Jan, Muhammad Dawood</t>
  </si>
  <si>
    <t>000045923</t>
  </si>
  <si>
    <t>. Ali, Haider</t>
  </si>
  <si>
    <t>000046119</t>
  </si>
  <si>
    <t>Shah Khan, Sher</t>
  </si>
  <si>
    <t>000046202</t>
  </si>
  <si>
    <t>. Waleed, Muhammad</t>
  </si>
  <si>
    <t>000046292</t>
  </si>
  <si>
    <t>Ahmed, Rehan</t>
  </si>
  <si>
    <t>000046334</t>
  </si>
  <si>
    <t>. Azad, sauod azad</t>
  </si>
  <si>
    <t>000046387</t>
  </si>
  <si>
    <t>ALI HASSAN, SARDAR</t>
  </si>
  <si>
    <t>000046411</t>
  </si>
  <si>
    <t>Hammad Afzal, Ali</t>
  </si>
  <si>
    <t>000046442</t>
  </si>
  <si>
    <t>Ejaz Ahmed, Tayyab</t>
  </si>
  <si>
    <t>000046451</t>
  </si>
  <si>
    <t>MUHAMMAD HASHIR, MIAN</t>
  </si>
  <si>
    <t>000046488</t>
  </si>
  <si>
    <t>. Ashfaq, Nouman</t>
  </si>
  <si>
    <t>000046901</t>
  </si>
  <si>
    <t>. Umar, Muhammad</t>
  </si>
  <si>
    <t>000046951</t>
  </si>
  <si>
    <t>. Hannan, Abdul</t>
  </si>
  <si>
    <t>000047371</t>
  </si>
  <si>
    <t>. Laraib, Sulat</t>
  </si>
  <si>
    <t>000047460</t>
  </si>
  <si>
    <t>. Talha, Muhammad</t>
  </si>
  <si>
    <t>000047527</t>
  </si>
  <si>
    <t>Bin Aziz, Mussab</t>
  </si>
  <si>
    <t>000047729</t>
  </si>
  <si>
    <t>. AJMAL, ABDULLAH</t>
  </si>
  <si>
    <t>000047749</t>
  </si>
  <si>
    <t>. Wajahat, Muhammad</t>
  </si>
  <si>
    <t>000048397</t>
  </si>
  <si>
    <t>. Bilal, Muhammad</t>
  </si>
  <si>
    <t>000048521</t>
  </si>
  <si>
    <t>Shafi, Malik Muhammad Adnan</t>
  </si>
  <si>
    <t>000048746</t>
  </si>
  <si>
    <t>. Shahzaib, Muhammad</t>
  </si>
  <si>
    <t>000048787</t>
  </si>
  <si>
    <t>Hayat Khan, Muhammad Muddasir</t>
  </si>
  <si>
    <t>000048952</t>
  </si>
  <si>
    <t>Ahsan  Farooq, Muhammad</t>
  </si>
  <si>
    <t>Semester: FALL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</si>
</sst>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Rubik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4" fillId="2" borderId="3" xfId="0" applyFont="1" applyFill="1" applyBorder="1" applyAlignment="1">
      <alignment horizontal="center" vertical="center" textRotation="90"/>
    </xf>
    <xf numFmtId="0" fontId="4" fillId="2" borderId="4" xfId="0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textRotation="90"/>
    </xf>
    <xf numFmtId="0" fontId="4" fillId="2" borderId="7" xfId="0" applyFont="1" applyFill="1" applyBorder="1" applyAlignment="1">
      <alignment horizontal="center" vertical="center" textRotation="90" wrapText="1"/>
    </xf>
    <xf numFmtId="0" fontId="4" fillId="2" borderId="5" xfId="0" applyFont="1" applyFill="1" applyBorder="1" applyAlignment="1">
      <alignment vertical="center" textRotation="90" wrapText="1"/>
    </xf>
    <xf numFmtId="0" fontId="5" fillId="0" borderId="0" xfId="0" applyFont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 textRotation="90"/>
    </xf>
    <xf numFmtId="0" fontId="4" fillId="2" borderId="1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13" xfId="0" applyFont="1" applyFill="1" applyBorder="1" applyAlignment="1">
      <alignment horizontal="center" vertical="center" textRotation="90"/>
    </xf>
    <xf numFmtId="0" fontId="6" fillId="2" borderId="6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/>
    </xf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7" xfId="0" applyBorder="1"/>
    <xf numFmtId="0" fontId="3" fillId="0" borderId="0" xfId="0" applyFont="1" applyAlignment="1">
      <alignment horizontal="left"/>
    </xf>
    <xf numFmtId="0" fontId="0" fillId="0" borderId="21" xfId="0" applyBorder="1"/>
    <xf numFmtId="0" fontId="0" fillId="0" borderId="13" xfId="0" applyBorder="1"/>
    <xf numFmtId="0" fontId="2" fillId="0" borderId="13" xfId="0" applyFont="1" applyBorder="1" applyAlignment="1">
      <alignment horizontal="left"/>
    </xf>
    <xf numFmtId="0" fontId="0" fillId="0" borderId="22" xfId="0" applyBorder="1"/>
    <xf numFmtId="1" fontId="0" fillId="0" borderId="19" xfId="0" applyNumberFormat="1" applyBorder="1"/>
    <xf numFmtId="1" fontId="0" fillId="0" borderId="0" xfId="0" applyNumberFormat="1"/>
    <xf numFmtId="1" fontId="0" fillId="0" borderId="13" xfId="0" applyNumberFormat="1" applyBorder="1"/>
    <xf numFmtId="1" fontId="0" fillId="4" borderId="9" xfId="0" applyNumberForma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 vertical="center" textRotation="90" wrapText="1"/>
    </xf>
    <xf numFmtId="164" fontId="0" fillId="6" borderId="1" xfId="0" applyNumberFormat="1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vertical="top"/>
    </xf>
    <xf numFmtId="164" fontId="0" fillId="0" borderId="19" xfId="0" applyNumberFormat="1" applyBorder="1"/>
    <xf numFmtId="164" fontId="0" fillId="0" borderId="0" xfId="0" applyNumberFormat="1"/>
    <xf numFmtId="164" fontId="0" fillId="0" borderId="13" xfId="0" applyNumberFormat="1" applyBorder="1"/>
    <xf numFmtId="164" fontId="0" fillId="4" borderId="8" xfId="0" applyNumberForma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 vertical="center" textRotation="90"/>
    </xf>
    <xf numFmtId="164" fontId="0" fillId="5" borderId="1" xfId="0" applyNumberForma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textRotation="90" wrapText="1"/>
    </xf>
    <xf numFmtId="0" fontId="8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164" fontId="8" fillId="0" borderId="0" xfId="0" applyNumberFormat="1" applyFont="1" applyAlignment="1">
      <alignment horizontal="left"/>
    </xf>
    <xf numFmtId="0" fontId="8" fillId="0" borderId="0" xfId="0" applyFont="1"/>
    <xf numFmtId="164" fontId="0" fillId="4" borderId="9" xfId="0" applyNumberFormat="1" applyFill="1" applyBorder="1" applyAlignment="1">
      <alignment horizontal="center"/>
    </xf>
    <xf numFmtId="164" fontId="6" fillId="2" borderId="6" xfId="0" applyNumberFormat="1" applyFont="1" applyFill="1" applyBorder="1" applyAlignment="1">
      <alignment horizontal="center" vertical="center" textRotation="90" wrapText="1"/>
    </xf>
    <xf numFmtId="1" fontId="0" fillId="0" borderId="1" xfId="0" applyNumberFormat="1" applyBorder="1" applyAlignment="1">
      <alignment horizontal="center"/>
    </xf>
    <xf numFmtId="1" fontId="4" fillId="2" borderId="11" xfId="0" applyNumberFormat="1" applyFont="1" applyFill="1" applyBorder="1" applyAlignment="1">
      <alignment horizontal="center" vertical="center" textRotation="90" wrapText="1"/>
    </xf>
    <xf numFmtId="2" fontId="0" fillId="0" borderId="19" xfId="0" applyNumberFormat="1" applyBorder="1"/>
    <xf numFmtId="2" fontId="0" fillId="0" borderId="0" xfId="0" applyNumberFormat="1"/>
    <xf numFmtId="2" fontId="0" fillId="0" borderId="13" xfId="0" applyNumberFormat="1" applyBorder="1"/>
    <xf numFmtId="2" fontId="1" fillId="4" borderId="8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 textRotation="90" wrapText="1"/>
    </xf>
    <xf numFmtId="2" fontId="0" fillId="0" borderId="1" xfId="0" applyNumberForma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0" fillId="3" borderId="17" xfId="0" applyNumberFormat="1" applyFill="1" applyBorder="1" applyAlignment="1">
      <alignment horizontal="center" vertical="center"/>
    </xf>
    <xf numFmtId="1" fontId="0" fillId="3" borderId="17" xfId="0" applyNumberFormat="1" applyFill="1" applyBorder="1" applyAlignment="1">
      <alignment horizontal="center" vertical="center"/>
    </xf>
    <xf numFmtId="1" fontId="0" fillId="3" borderId="17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3" borderId="16" xfId="0" applyNumberForma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64" fontId="9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0" fillId="5" borderId="9" xfId="0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6" borderId="9" xfId="0" applyNumberForma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1" xfId="0" applyBorder="1" applyAlignment="1">
      <alignment vertical="top"/>
    </xf>
    <xf numFmtId="2" fontId="10" fillId="0" borderId="1" xfId="0" applyNumberFormat="1" applyFont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9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836825</xdr:colOff>
      <xdr:row>1</xdr:row>
      <xdr:rowOff>70036</xdr:rowOff>
    </xdr:from>
    <xdr:to>
      <xdr:col>3</xdr:col>
      <xdr:colOff>1476524</xdr:colOff>
      <xdr:row>4</xdr:row>
      <xdr:rowOff>176493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39E48F-6087-0BB0-4463-625248A76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700" y="252599"/>
          <a:ext cx="639699" cy="8367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iphah%20University\Spring%202025\System%20Analysis%20&amp;%20Design%20CS%204-1\Assessment%20Sheet\SAD%20(%20CS4-1%20Manual%20Assessment%20Record%20)_Presentation.xlsx" TargetMode="External"/><Relationship Id="rId1" Type="http://schemas.openxmlformats.org/officeDocument/2006/relationships/externalLinkPath" Target="/Riphah%20University/Spring%202025/System%20Analysis%20&amp;%20Design%20CS%204-1/Assessment%20Sheet/SAD%20(%20CS4-1%20Manual%20Assessment%20Record%20)_Presen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SCS4-1_SAD"/>
      <sheetName val="SAD ( CS4-1 Manual Assessment R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9:U44" totalsRowShown="0" headerRowDxfId="40" tableBorderDxfId="39">
  <autoFilter ref="B9:U44" xr:uid="{00000000-0009-0000-0100-000001000000}"/>
  <sortState xmlns:xlrd2="http://schemas.microsoft.com/office/spreadsheetml/2017/richdata2" ref="B10:U20">
    <sortCondition ref="C9:C20"/>
  </sortState>
  <tableColumns count="20">
    <tableColumn id="1" xr3:uid="{00000000-0010-0000-0000-000001000000}" name="Sr.No" dataDxfId="38" totalsRowDxfId="37"/>
    <tableColumn id="2" xr3:uid="{00000000-0010-0000-0000-000002000000}" name="SAP ID" dataDxfId="36" totalsRowDxfId="35"/>
    <tableColumn id="3" xr3:uid="{00000000-0010-0000-0000-000003000000}" name="Student Name" dataDxfId="34"/>
    <tableColumn id="13" xr3:uid="{00000000-0010-0000-0000-00000D000000}" name="Assignment 1 " dataDxfId="33" totalsRowDxfId="32"/>
    <tableColumn id="12" xr3:uid="{00000000-0010-0000-0000-00000C000000}" name="Assignment 2" dataDxfId="31" totalsRowDxfId="30"/>
    <tableColumn id="11" xr3:uid="{00000000-0010-0000-0000-00000B000000}" name="Assignment 3" dataDxfId="29" totalsRowDxfId="28"/>
    <tableColumn id="10" xr3:uid="{00000000-0010-0000-0000-00000A000000}" name="Assignment 4" dataDxfId="27" totalsRowDxfId="26"/>
    <tableColumn id="9" xr3:uid="{00000000-0010-0000-0000-000009000000}" name="Assignment" dataDxfId="25">
      <calculatedColumnFormula>AVERAGE(E10:H10)</calculatedColumnFormula>
    </tableColumn>
    <tableColumn id="8" xr3:uid="{00000000-0010-0000-0000-000008000000}" name="Quiz 1" dataDxfId="24" totalsRowDxfId="23"/>
    <tableColumn id="15" xr3:uid="{00000000-0010-0000-0000-00000F000000}" name="Quiz 2" dataDxfId="22" totalsRowDxfId="21"/>
    <tableColumn id="14" xr3:uid="{00000000-0010-0000-0000-00000E000000}" name="Quiz 3" dataDxfId="20" totalsRowDxfId="19"/>
    <tableColumn id="7" xr3:uid="{00000000-0010-0000-0000-000007000000}" name="Quiz 4" dataDxfId="18" totalsRowDxfId="17"/>
    <tableColumn id="4" xr3:uid="{00000000-0010-0000-0000-000004000000}" name="Quiz Total" dataDxfId="16">
      <calculatedColumnFormula>AVERAGE(J10:M10)</calculatedColumnFormula>
    </tableColumn>
    <tableColumn id="16" xr3:uid="{00000000-0010-0000-0000-000010000000}" name="MID TERM" dataDxfId="15" totalsRowDxfId="14"/>
    <tableColumn id="17" xr3:uid="{00000000-0010-0000-0000-000011000000}" name="Presentation" dataDxfId="13" totalsRowDxfId="12">
      <calculatedColumnFormula>[1]!Table1[[#This Row],[Presentation Slides (5)]]+[1]!Table1[[#This Row],[Presentation (5)]]</calculatedColumnFormula>
    </tableColumn>
    <tableColumn id="5" xr3:uid="{00000000-0010-0000-0000-000005000000}" name=" Project" dataDxfId="11"/>
    <tableColumn id="6" xr3:uid="{00000000-0010-0000-0000-000006000000}" name="Total-60%" dataDxfId="10">
      <calculatedColumnFormula>SUM(I10+N10+O10+P10+Q10)</calculatedColumnFormula>
    </tableColumn>
    <tableColumn id="20" xr3:uid="{00000000-0010-0000-0000-000014000000}" name="Final Term" dataDxfId="9" totalsRowDxfId="8"/>
    <tableColumn id="21" xr3:uid="{00000000-0010-0000-0000-000015000000}" name="Total Marks" dataDxfId="7" totalsRowDxfId="6">
      <calculatedColumnFormula>SUM(R10,S10)</calculatedColumnFormula>
    </tableColumn>
    <tableColumn id="22" xr3:uid="{00000000-0010-0000-0000-000016000000}" name="Grades" dataDxfId="5" totalsRowDxfId="4">
      <calculatedColumnFormula>IF(T10&gt;79,"A",IF(T10&gt;69,"B",IF(T10&gt;59,"C",IF(T10&gt;49,"D",IF(T10&gt;=0,"F")))))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44"/>
  <sheetViews>
    <sheetView tabSelected="1" view="pageBreakPreview" topLeftCell="A10" zoomScale="90" zoomScaleNormal="60" zoomScaleSheetLayoutView="90" workbookViewId="0">
      <pane xSplit="3" topLeftCell="D1" activePane="topRight" state="frozen"/>
      <selection pane="topRight" activeCell="K17" sqref="K17"/>
    </sheetView>
  </sheetViews>
  <sheetFormatPr defaultRowHeight="14.5"/>
  <cols>
    <col min="1" max="1" width="4.1796875" customWidth="1"/>
    <col min="2" max="2" width="7.453125" customWidth="1"/>
    <col min="3" max="3" width="10.54296875" style="72" bestFit="1" customWidth="1"/>
    <col min="4" max="4" width="30.36328125" bestFit="1" customWidth="1"/>
    <col min="5" max="5" width="7.54296875" customWidth="1"/>
    <col min="6" max="6" width="6.1796875" customWidth="1"/>
    <col min="7" max="7" width="6.6328125" customWidth="1"/>
    <col min="8" max="8" width="8.08984375" customWidth="1"/>
    <col min="9" max="9" width="8.453125" style="40" customWidth="1"/>
    <col min="10" max="13" width="5.81640625" customWidth="1"/>
    <col min="14" max="14" width="8.7265625" style="40"/>
    <col min="15" max="15" width="7.90625" customWidth="1"/>
    <col min="16" max="16" width="11.54296875" style="40" bestFit="1" customWidth="1"/>
    <col min="17" max="17" width="9.453125" style="32" customWidth="1"/>
    <col min="18" max="18" width="8.7265625" style="32"/>
    <col min="20" max="20" width="8.7265625" style="56"/>
    <col min="22" max="22" width="2.81640625" customWidth="1"/>
  </cols>
  <sheetData>
    <row r="1" spans="2:21">
      <c r="B1" s="22"/>
      <c r="C1" s="71"/>
      <c r="D1" s="23"/>
      <c r="E1" s="23"/>
      <c r="F1" s="23"/>
      <c r="G1" s="23"/>
      <c r="H1" s="23"/>
      <c r="I1" s="39"/>
      <c r="J1" s="23"/>
      <c r="K1" s="23"/>
      <c r="L1" s="23"/>
      <c r="M1" s="23"/>
      <c r="N1" s="39"/>
      <c r="O1" s="23"/>
      <c r="P1" s="39"/>
      <c r="Q1" s="31"/>
      <c r="R1" s="31"/>
      <c r="S1" s="23"/>
      <c r="T1" s="55"/>
      <c r="U1" s="24"/>
    </row>
    <row r="2" spans="2:21" ht="18.5">
      <c r="B2" s="25"/>
      <c r="E2" s="46" t="s">
        <v>0</v>
      </c>
      <c r="F2" s="46"/>
      <c r="G2" s="46"/>
      <c r="H2" s="47"/>
      <c r="I2" s="47"/>
      <c r="J2" s="48"/>
      <c r="K2" s="47"/>
      <c r="L2" s="47"/>
      <c r="M2" s="46" t="s">
        <v>34</v>
      </c>
      <c r="N2" s="46"/>
      <c r="O2" s="49"/>
      <c r="P2" s="49"/>
      <c r="Q2" s="47"/>
      <c r="U2" s="21"/>
    </row>
    <row r="3" spans="2:21" ht="18.5">
      <c r="B3" s="25"/>
      <c r="E3" s="26" t="s">
        <v>1</v>
      </c>
      <c r="F3" s="26"/>
      <c r="G3" s="26"/>
      <c r="H3" s="47"/>
      <c r="I3" s="47"/>
      <c r="J3" s="48"/>
      <c r="K3" s="47"/>
      <c r="L3" s="47"/>
      <c r="M3" s="46" t="s">
        <v>37</v>
      </c>
      <c r="N3" s="46"/>
      <c r="O3" s="49"/>
      <c r="P3" s="49"/>
      <c r="Q3" s="47"/>
      <c r="U3" s="21"/>
    </row>
    <row r="4" spans="2:21" ht="20.25" customHeight="1">
      <c r="B4" s="25"/>
      <c r="E4" s="26" t="s">
        <v>36</v>
      </c>
      <c r="F4" s="26"/>
      <c r="G4" s="26"/>
      <c r="H4" s="47"/>
      <c r="I4" s="47"/>
      <c r="J4" s="48"/>
      <c r="K4" s="47"/>
      <c r="L4" s="47"/>
      <c r="M4" s="26" t="s">
        <v>112</v>
      </c>
      <c r="N4" s="47"/>
      <c r="O4" s="48"/>
      <c r="P4" s="48"/>
      <c r="Q4" s="47"/>
      <c r="U4" s="21"/>
    </row>
    <row r="5" spans="2:21" ht="18.5">
      <c r="B5" s="25"/>
      <c r="E5" s="47"/>
      <c r="F5" s="26"/>
      <c r="G5" s="26"/>
      <c r="I5" s="47"/>
      <c r="J5" s="48"/>
      <c r="K5" s="50" t="s">
        <v>41</v>
      </c>
      <c r="L5" s="47"/>
      <c r="M5" s="47"/>
      <c r="N5" s="47"/>
      <c r="O5" s="48"/>
      <c r="P5" s="48"/>
      <c r="Q5" s="47"/>
      <c r="U5" s="21"/>
    </row>
    <row r="6" spans="2:21" ht="15.5">
      <c r="B6" s="27"/>
      <c r="C6" s="73"/>
      <c r="D6" s="29"/>
      <c r="E6" s="29"/>
      <c r="F6" s="29"/>
      <c r="G6" s="28"/>
      <c r="H6" s="28"/>
      <c r="I6" s="41"/>
      <c r="J6" s="28"/>
      <c r="K6" s="28"/>
      <c r="L6" s="28"/>
      <c r="M6" s="28"/>
      <c r="N6" s="41"/>
      <c r="O6" s="28"/>
      <c r="P6" s="41"/>
      <c r="Q6" s="33"/>
      <c r="R6" s="33"/>
      <c r="S6" s="28"/>
      <c r="T6" s="57"/>
      <c r="U6" s="30"/>
    </row>
    <row r="7" spans="2:21" s="69" customFormat="1" ht="29">
      <c r="B7" s="86" t="s">
        <v>9</v>
      </c>
      <c r="C7" s="87"/>
      <c r="D7" s="88"/>
      <c r="E7" s="62" t="s">
        <v>13</v>
      </c>
      <c r="F7" s="62" t="s">
        <v>14</v>
      </c>
      <c r="G7" s="62" t="s">
        <v>15</v>
      </c>
      <c r="H7" s="62" t="s">
        <v>16</v>
      </c>
      <c r="I7" s="65" t="s">
        <v>19</v>
      </c>
      <c r="J7" s="62" t="s">
        <v>21</v>
      </c>
      <c r="K7" s="62" t="s">
        <v>22</v>
      </c>
      <c r="L7" s="62" t="s">
        <v>27</v>
      </c>
      <c r="M7" s="62" t="s">
        <v>28</v>
      </c>
      <c r="N7" s="65" t="s">
        <v>19</v>
      </c>
      <c r="O7" s="63" t="s">
        <v>29</v>
      </c>
      <c r="P7" s="66" t="s">
        <v>31</v>
      </c>
      <c r="Q7" s="67" t="s">
        <v>32</v>
      </c>
      <c r="R7" s="68" t="s">
        <v>39</v>
      </c>
      <c r="S7" s="64" t="s">
        <v>38</v>
      </c>
      <c r="T7" s="70" t="s">
        <v>40</v>
      </c>
      <c r="U7" s="5"/>
    </row>
    <row r="8" spans="2:21" ht="15" thickBot="1">
      <c r="B8" s="89" t="s">
        <v>4</v>
      </c>
      <c r="C8" s="90"/>
      <c r="D8" s="91"/>
      <c r="E8" s="11">
        <v>10</v>
      </c>
      <c r="F8" s="11">
        <v>10</v>
      </c>
      <c r="G8" s="11">
        <v>10</v>
      </c>
      <c r="H8" s="11">
        <v>10</v>
      </c>
      <c r="I8" s="42">
        <v>10</v>
      </c>
      <c r="J8" s="11">
        <v>10</v>
      </c>
      <c r="K8" s="11">
        <v>10</v>
      </c>
      <c r="L8" s="11">
        <v>10</v>
      </c>
      <c r="M8" s="11">
        <v>10</v>
      </c>
      <c r="N8" s="42">
        <v>10</v>
      </c>
      <c r="O8" s="12">
        <v>25</v>
      </c>
      <c r="P8" s="51">
        <v>10</v>
      </c>
      <c r="Q8" s="34">
        <v>10</v>
      </c>
      <c r="R8" s="34">
        <f>I8+N8+O8+P8+Q8</f>
        <v>65</v>
      </c>
      <c r="S8" s="13">
        <v>35</v>
      </c>
      <c r="T8" s="58">
        <f>SUM(R8+S8)</f>
        <v>100</v>
      </c>
      <c r="U8" s="5"/>
    </row>
    <row r="9" spans="2:21" ht="95.5" customHeight="1">
      <c r="B9" s="3" t="s">
        <v>2</v>
      </c>
      <c r="C9" s="1" t="s">
        <v>7</v>
      </c>
      <c r="D9" s="15" t="s">
        <v>8</v>
      </c>
      <c r="E9" s="16" t="s">
        <v>18</v>
      </c>
      <c r="F9" s="16" t="s">
        <v>17</v>
      </c>
      <c r="G9" s="14" t="s">
        <v>10</v>
      </c>
      <c r="H9" s="17" t="s">
        <v>12</v>
      </c>
      <c r="I9" s="43" t="s">
        <v>20</v>
      </c>
      <c r="J9" s="17" t="s">
        <v>23</v>
      </c>
      <c r="K9" s="18" t="s">
        <v>24</v>
      </c>
      <c r="L9" s="18" t="s">
        <v>25</v>
      </c>
      <c r="M9" s="14" t="s">
        <v>26</v>
      </c>
      <c r="N9" s="45" t="s">
        <v>30</v>
      </c>
      <c r="O9" s="19" t="s">
        <v>11</v>
      </c>
      <c r="P9" s="52" t="s">
        <v>31</v>
      </c>
      <c r="Q9" s="35" t="s">
        <v>33</v>
      </c>
      <c r="R9" s="54" t="s">
        <v>35</v>
      </c>
      <c r="S9" s="2" t="s">
        <v>3</v>
      </c>
      <c r="T9" s="59" t="s">
        <v>5</v>
      </c>
      <c r="U9" s="4" t="s">
        <v>6</v>
      </c>
    </row>
    <row r="10" spans="2:21">
      <c r="B10" s="8">
        <v>1</v>
      </c>
      <c r="C10" s="38" t="s">
        <v>42</v>
      </c>
      <c r="D10" s="38" t="s">
        <v>43</v>
      </c>
      <c r="E10" s="8">
        <v>0</v>
      </c>
      <c r="F10" s="8">
        <v>0</v>
      </c>
      <c r="G10" s="8">
        <v>0</v>
      </c>
      <c r="H10" s="8">
        <v>0</v>
      </c>
      <c r="I10" s="44">
        <f>AVERAGE(E10:H10)</f>
        <v>0</v>
      </c>
      <c r="J10" s="8">
        <v>4</v>
      </c>
      <c r="K10" s="8">
        <v>8</v>
      </c>
      <c r="L10" s="8">
        <v>0</v>
      </c>
      <c r="M10" s="8">
        <v>0</v>
      </c>
      <c r="N10" s="9">
        <f>AVERAGE(J10:M10)</f>
        <v>3</v>
      </c>
      <c r="O10" s="7">
        <v>0</v>
      </c>
      <c r="P10" s="36">
        <v>0</v>
      </c>
      <c r="Q10" s="9">
        <v>0</v>
      </c>
      <c r="R10" s="53">
        <f>SUM(I10+N10+O10+P10+Q10)</f>
        <v>3</v>
      </c>
      <c r="S10" s="7">
        <v>0</v>
      </c>
      <c r="T10" s="60">
        <f>SUM(R10,S10)</f>
        <v>3</v>
      </c>
      <c r="U10" s="20" t="str">
        <f>IF(T10&gt;79,"A",IF(T10&gt;69,"B",IF(T10&gt;59,"C",IF(T10&gt;49,"D",IF(T10&gt;=0,"F")))))</f>
        <v>F</v>
      </c>
    </row>
    <row r="11" spans="2:21">
      <c r="B11" s="8">
        <v>2</v>
      </c>
      <c r="C11" s="38" t="s">
        <v>44</v>
      </c>
      <c r="D11" s="38" t="s">
        <v>45</v>
      </c>
      <c r="E11" s="8">
        <v>0</v>
      </c>
      <c r="F11" s="8">
        <v>0</v>
      </c>
      <c r="G11" s="8">
        <v>0</v>
      </c>
      <c r="H11" s="8">
        <v>0</v>
      </c>
      <c r="I11" s="44">
        <f t="shared" ref="I11:I20" si="0">AVERAGE(E11:H11)</f>
        <v>0</v>
      </c>
      <c r="J11" s="8">
        <v>7</v>
      </c>
      <c r="K11" s="8">
        <v>10</v>
      </c>
      <c r="L11" s="8">
        <v>0</v>
      </c>
      <c r="M11" s="8">
        <v>0</v>
      </c>
      <c r="N11" s="9">
        <f t="shared" ref="N11:N20" si="1">AVERAGE(J11:M11)</f>
        <v>4.25</v>
      </c>
      <c r="O11" s="7">
        <v>0</v>
      </c>
      <c r="P11" s="36">
        <v>0</v>
      </c>
      <c r="Q11" s="9">
        <v>0</v>
      </c>
      <c r="R11" s="53">
        <f t="shared" ref="R11:R20" si="2">SUM(I11+N11+O11+P11+Q11)</f>
        <v>4.25</v>
      </c>
      <c r="S11" s="7">
        <v>0</v>
      </c>
      <c r="T11" s="60">
        <f t="shared" ref="T11:T20" si="3">SUM(R11,S11)</f>
        <v>4.25</v>
      </c>
      <c r="U11" s="20" t="str">
        <f t="shared" ref="U11:U20" si="4">IF(T11&gt;79,"A",IF(T11&gt;69,"B",IF(T11&gt;59,"C",IF(T11&gt;49,"D",IF(T11&gt;=0,"F")))))</f>
        <v>F</v>
      </c>
    </row>
    <row r="12" spans="2:21">
      <c r="B12" s="76">
        <v>3</v>
      </c>
      <c r="C12" s="38" t="s">
        <v>46</v>
      </c>
      <c r="D12" s="38" t="s">
        <v>47</v>
      </c>
      <c r="E12" s="8">
        <v>0</v>
      </c>
      <c r="F12" s="8">
        <v>0</v>
      </c>
      <c r="G12" s="8">
        <v>0</v>
      </c>
      <c r="H12" s="76">
        <v>0</v>
      </c>
      <c r="I12" s="77">
        <f t="shared" si="0"/>
        <v>0</v>
      </c>
      <c r="J12" s="76">
        <v>5.5</v>
      </c>
      <c r="K12" s="76">
        <v>7</v>
      </c>
      <c r="L12" s="76">
        <v>0</v>
      </c>
      <c r="M12" s="76">
        <v>0</v>
      </c>
      <c r="N12" s="78">
        <f t="shared" si="1"/>
        <v>3.125</v>
      </c>
      <c r="O12" s="79">
        <v>0</v>
      </c>
      <c r="P12" s="80">
        <v>0</v>
      </c>
      <c r="Q12" s="78">
        <v>0</v>
      </c>
      <c r="R12" s="81">
        <f t="shared" si="2"/>
        <v>3.125</v>
      </c>
      <c r="S12" s="79">
        <v>0</v>
      </c>
      <c r="T12" s="82">
        <f t="shared" si="3"/>
        <v>3.125</v>
      </c>
      <c r="U12" s="83" t="str">
        <f t="shared" si="4"/>
        <v>F</v>
      </c>
    </row>
    <row r="13" spans="2:21">
      <c r="B13" s="8">
        <v>4</v>
      </c>
      <c r="C13" s="84" t="s">
        <v>48</v>
      </c>
      <c r="D13" s="84" t="s">
        <v>49</v>
      </c>
      <c r="E13" s="8">
        <v>0</v>
      </c>
      <c r="F13" s="8">
        <v>0</v>
      </c>
      <c r="G13" s="8">
        <v>0</v>
      </c>
      <c r="H13" s="8">
        <v>0</v>
      </c>
      <c r="I13" s="44">
        <f t="shared" si="0"/>
        <v>0</v>
      </c>
      <c r="J13" s="8">
        <v>8</v>
      </c>
      <c r="K13" s="8">
        <v>10</v>
      </c>
      <c r="L13" s="8">
        <v>0</v>
      </c>
      <c r="M13" s="8">
        <v>0</v>
      </c>
      <c r="N13" s="9">
        <f t="shared" si="1"/>
        <v>4.5</v>
      </c>
      <c r="O13" s="7">
        <v>0</v>
      </c>
      <c r="P13" s="36">
        <v>0</v>
      </c>
      <c r="Q13" s="9">
        <v>0</v>
      </c>
      <c r="R13" s="53">
        <f t="shared" si="2"/>
        <v>4.5</v>
      </c>
      <c r="S13" s="7">
        <v>0</v>
      </c>
      <c r="T13" s="60">
        <f t="shared" si="3"/>
        <v>4.5</v>
      </c>
      <c r="U13" s="20" t="str">
        <f t="shared" si="4"/>
        <v>F</v>
      </c>
    </row>
    <row r="14" spans="2:21" s="6" customFormat="1">
      <c r="B14" s="8">
        <v>5</v>
      </c>
      <c r="C14" s="84" t="s">
        <v>50</v>
      </c>
      <c r="D14" s="84" t="s">
        <v>51</v>
      </c>
      <c r="E14" s="8">
        <v>0</v>
      </c>
      <c r="F14" s="8">
        <v>0</v>
      </c>
      <c r="G14" s="8">
        <v>0</v>
      </c>
      <c r="H14" s="8">
        <v>0</v>
      </c>
      <c r="I14" s="44">
        <f t="shared" si="0"/>
        <v>0</v>
      </c>
      <c r="J14" s="8">
        <v>8</v>
      </c>
      <c r="K14" s="8">
        <v>9</v>
      </c>
      <c r="L14" s="8">
        <v>0</v>
      </c>
      <c r="M14" s="8">
        <v>0</v>
      </c>
      <c r="N14" s="9">
        <f t="shared" si="1"/>
        <v>4.25</v>
      </c>
      <c r="O14" s="7">
        <v>0</v>
      </c>
      <c r="P14" s="36">
        <v>0</v>
      </c>
      <c r="Q14" s="9">
        <v>0</v>
      </c>
      <c r="R14" s="53">
        <f t="shared" si="2"/>
        <v>4.25</v>
      </c>
      <c r="S14" s="7">
        <v>0</v>
      </c>
      <c r="T14" s="60">
        <f t="shared" si="3"/>
        <v>4.25</v>
      </c>
      <c r="U14" s="20" t="str">
        <f t="shared" si="4"/>
        <v>F</v>
      </c>
    </row>
    <row r="15" spans="2:21" s="37" customFormat="1">
      <c r="B15" s="8">
        <v>6</v>
      </c>
      <c r="C15" s="84" t="s">
        <v>52</v>
      </c>
      <c r="D15" s="84" t="s">
        <v>53</v>
      </c>
      <c r="E15" s="8">
        <v>0</v>
      </c>
      <c r="F15" s="8">
        <v>0</v>
      </c>
      <c r="G15" s="8">
        <v>0</v>
      </c>
      <c r="H15" s="8">
        <v>0</v>
      </c>
      <c r="I15" s="44">
        <f t="shared" si="0"/>
        <v>0</v>
      </c>
      <c r="J15" s="8">
        <v>5.5</v>
      </c>
      <c r="K15" s="8">
        <v>7</v>
      </c>
      <c r="L15" s="8">
        <v>0</v>
      </c>
      <c r="M15" s="8">
        <v>0</v>
      </c>
      <c r="N15" s="9">
        <f t="shared" si="1"/>
        <v>3.125</v>
      </c>
      <c r="O15" s="7">
        <v>0</v>
      </c>
      <c r="P15" s="36">
        <v>0</v>
      </c>
      <c r="Q15" s="9">
        <v>0</v>
      </c>
      <c r="R15" s="53">
        <f t="shared" si="2"/>
        <v>3.125</v>
      </c>
      <c r="S15" s="7">
        <v>0</v>
      </c>
      <c r="T15" s="60">
        <f t="shared" si="3"/>
        <v>3.125</v>
      </c>
      <c r="U15" s="20" t="str">
        <f t="shared" si="4"/>
        <v>F</v>
      </c>
    </row>
    <row r="16" spans="2:21">
      <c r="B16" s="8">
        <v>7</v>
      </c>
      <c r="C16" s="84" t="s">
        <v>54</v>
      </c>
      <c r="D16" s="84" t="s">
        <v>55</v>
      </c>
      <c r="E16" s="8">
        <v>0</v>
      </c>
      <c r="F16" s="8">
        <v>0</v>
      </c>
      <c r="G16" s="8">
        <v>0</v>
      </c>
      <c r="H16" s="8">
        <v>0</v>
      </c>
      <c r="I16" s="44">
        <f t="shared" si="0"/>
        <v>0</v>
      </c>
      <c r="J16" s="8">
        <v>5.5</v>
      </c>
      <c r="K16" s="8">
        <v>8</v>
      </c>
      <c r="L16" s="8">
        <v>0</v>
      </c>
      <c r="M16" s="8">
        <v>0</v>
      </c>
      <c r="N16" s="9">
        <f t="shared" si="1"/>
        <v>3.375</v>
      </c>
      <c r="O16" s="7">
        <v>0</v>
      </c>
      <c r="P16" s="36">
        <v>0</v>
      </c>
      <c r="Q16" s="9">
        <v>0</v>
      </c>
      <c r="R16" s="53">
        <f t="shared" si="2"/>
        <v>3.375</v>
      </c>
      <c r="S16" s="7">
        <v>0</v>
      </c>
      <c r="T16" s="60">
        <f t="shared" si="3"/>
        <v>3.375</v>
      </c>
      <c r="U16" s="20" t="str">
        <f t="shared" si="4"/>
        <v>F</v>
      </c>
    </row>
    <row r="17" spans="2:23" s="6" customFormat="1">
      <c r="B17" s="8">
        <v>8</v>
      </c>
      <c r="C17" s="84" t="s">
        <v>56</v>
      </c>
      <c r="D17" s="84" t="s">
        <v>57</v>
      </c>
      <c r="E17" s="8">
        <v>0</v>
      </c>
      <c r="F17" s="8">
        <v>0</v>
      </c>
      <c r="G17" s="8">
        <v>0</v>
      </c>
      <c r="H17" s="8">
        <v>0</v>
      </c>
      <c r="I17" s="44">
        <f t="shared" si="0"/>
        <v>0</v>
      </c>
      <c r="J17" s="8">
        <v>7</v>
      </c>
      <c r="K17" s="8">
        <v>8</v>
      </c>
      <c r="L17" s="8">
        <v>0</v>
      </c>
      <c r="M17" s="8">
        <v>0</v>
      </c>
      <c r="N17" s="9">
        <f t="shared" si="1"/>
        <v>3.75</v>
      </c>
      <c r="O17" s="7">
        <v>0</v>
      </c>
      <c r="P17" s="36">
        <v>0</v>
      </c>
      <c r="Q17" s="9">
        <v>0</v>
      </c>
      <c r="R17" s="53">
        <f t="shared" si="2"/>
        <v>3.75</v>
      </c>
      <c r="S17" s="7">
        <v>0</v>
      </c>
      <c r="T17" s="60">
        <f t="shared" si="3"/>
        <v>3.75</v>
      </c>
      <c r="U17" s="20" t="str">
        <f t="shared" si="4"/>
        <v>F</v>
      </c>
      <c r="V17" s="10"/>
      <c r="W17" s="10"/>
    </row>
    <row r="18" spans="2:23">
      <c r="B18" s="8">
        <v>9</v>
      </c>
      <c r="C18" s="84" t="s">
        <v>58</v>
      </c>
      <c r="D18" s="84" t="s">
        <v>59</v>
      </c>
      <c r="E18" s="8">
        <v>0</v>
      </c>
      <c r="F18" s="8">
        <v>0</v>
      </c>
      <c r="G18" s="8">
        <v>0</v>
      </c>
      <c r="H18" s="8">
        <v>0</v>
      </c>
      <c r="I18" s="44">
        <f t="shared" si="0"/>
        <v>0</v>
      </c>
      <c r="J18" s="8">
        <v>3</v>
      </c>
      <c r="K18" s="8">
        <v>9</v>
      </c>
      <c r="L18" s="8">
        <v>0</v>
      </c>
      <c r="M18" s="8">
        <v>0</v>
      </c>
      <c r="N18" s="9">
        <f t="shared" si="1"/>
        <v>3</v>
      </c>
      <c r="O18" s="7">
        <v>0</v>
      </c>
      <c r="P18" s="36">
        <v>0</v>
      </c>
      <c r="Q18" s="9">
        <v>0</v>
      </c>
      <c r="R18" s="53">
        <f t="shared" si="2"/>
        <v>3</v>
      </c>
      <c r="S18" s="7">
        <v>0</v>
      </c>
      <c r="T18" s="61">
        <f t="shared" si="3"/>
        <v>3</v>
      </c>
      <c r="U18" s="20" t="str">
        <f t="shared" si="4"/>
        <v>F</v>
      </c>
    </row>
    <row r="19" spans="2:23">
      <c r="B19" s="8">
        <v>10</v>
      </c>
      <c r="C19" s="84" t="s">
        <v>60</v>
      </c>
      <c r="D19" s="84" t="s">
        <v>61</v>
      </c>
      <c r="E19" s="8">
        <v>0</v>
      </c>
      <c r="F19" s="8">
        <v>0</v>
      </c>
      <c r="G19" s="8">
        <v>0</v>
      </c>
      <c r="H19" s="8">
        <v>0</v>
      </c>
      <c r="I19" s="44">
        <f t="shared" si="0"/>
        <v>0</v>
      </c>
      <c r="J19" s="8">
        <v>8.5</v>
      </c>
      <c r="K19" s="8">
        <v>10</v>
      </c>
      <c r="L19" s="8">
        <v>0</v>
      </c>
      <c r="M19" s="8">
        <v>0</v>
      </c>
      <c r="N19" s="9">
        <f t="shared" si="1"/>
        <v>4.625</v>
      </c>
      <c r="O19" s="7">
        <v>0</v>
      </c>
      <c r="P19" s="36">
        <v>0</v>
      </c>
      <c r="Q19" s="9">
        <v>0</v>
      </c>
      <c r="R19" s="53">
        <f t="shared" si="2"/>
        <v>4.625</v>
      </c>
      <c r="S19" s="7">
        <v>0</v>
      </c>
      <c r="T19" s="60">
        <f t="shared" si="3"/>
        <v>4.625</v>
      </c>
      <c r="U19" s="20" t="str">
        <f t="shared" si="4"/>
        <v>F</v>
      </c>
    </row>
    <row r="20" spans="2:23" s="6" customFormat="1">
      <c r="B20" s="8">
        <v>11</v>
      </c>
      <c r="C20" s="84" t="s">
        <v>62</v>
      </c>
      <c r="D20" s="84" t="s">
        <v>63</v>
      </c>
      <c r="E20" s="8">
        <v>0</v>
      </c>
      <c r="F20" s="8">
        <v>0</v>
      </c>
      <c r="G20" s="8">
        <v>0</v>
      </c>
      <c r="H20" s="8">
        <v>0</v>
      </c>
      <c r="I20" s="44">
        <f t="shared" si="0"/>
        <v>0</v>
      </c>
      <c r="J20" s="8">
        <v>7</v>
      </c>
      <c r="K20" s="8">
        <v>8</v>
      </c>
      <c r="L20" s="8">
        <v>0</v>
      </c>
      <c r="M20" s="8">
        <v>0</v>
      </c>
      <c r="N20" s="9">
        <f t="shared" si="1"/>
        <v>3.75</v>
      </c>
      <c r="O20" s="7">
        <v>0</v>
      </c>
      <c r="P20" s="36">
        <v>0</v>
      </c>
      <c r="Q20" s="9">
        <v>0</v>
      </c>
      <c r="R20" s="53">
        <f t="shared" si="2"/>
        <v>3.75</v>
      </c>
      <c r="S20" s="7">
        <v>0</v>
      </c>
      <c r="T20" s="60">
        <f t="shared" si="3"/>
        <v>3.75</v>
      </c>
      <c r="U20" s="20" t="str">
        <f t="shared" si="4"/>
        <v>F</v>
      </c>
    </row>
    <row r="21" spans="2:23">
      <c r="B21" s="8">
        <v>12</v>
      </c>
      <c r="C21" s="84" t="s">
        <v>64</v>
      </c>
      <c r="D21" s="84" t="s">
        <v>65</v>
      </c>
      <c r="E21" s="8">
        <v>0</v>
      </c>
      <c r="F21" s="8">
        <v>0</v>
      </c>
      <c r="G21" s="8">
        <v>0</v>
      </c>
      <c r="H21" s="8">
        <v>0</v>
      </c>
      <c r="I21" s="74">
        <f t="shared" ref="I21:I44" si="5">AVERAGE(E21:H21)</f>
        <v>0</v>
      </c>
      <c r="J21" s="8">
        <v>7</v>
      </c>
      <c r="K21" s="8">
        <v>8</v>
      </c>
      <c r="L21" s="8">
        <v>0</v>
      </c>
      <c r="M21" s="8">
        <v>0</v>
      </c>
      <c r="N21" s="9">
        <f t="shared" ref="N21:N44" si="6">AVERAGE(J21:M21)</f>
        <v>3.75</v>
      </c>
      <c r="O21" s="7">
        <v>0</v>
      </c>
      <c r="P21" s="36">
        <v>0</v>
      </c>
      <c r="Q21" s="9">
        <v>0</v>
      </c>
      <c r="R21" s="53">
        <f t="shared" ref="R21:R44" si="7">SUM(I21+N21+O21+P21+Q21)</f>
        <v>3.75</v>
      </c>
      <c r="S21" s="7">
        <v>0</v>
      </c>
      <c r="T21" s="85">
        <f t="shared" ref="T21:T44" si="8">SUM(R21,S21)</f>
        <v>3.75</v>
      </c>
      <c r="U21" s="75" t="str">
        <f t="shared" ref="U21:U44" si="9">IF(T21&gt;79,"A",IF(T21&gt;69,"B",IF(T21&gt;59,"C",IF(T21&gt;49,"D",IF(T21&gt;=0,"F")))))</f>
        <v>F</v>
      </c>
    </row>
    <row r="22" spans="2:23">
      <c r="B22" s="8">
        <v>13</v>
      </c>
      <c r="C22" s="84" t="s">
        <v>66</v>
      </c>
      <c r="D22" s="84" t="s">
        <v>67</v>
      </c>
      <c r="E22" s="8">
        <v>0</v>
      </c>
      <c r="F22" s="8">
        <v>0</v>
      </c>
      <c r="G22" s="8">
        <v>0</v>
      </c>
      <c r="H22" s="8">
        <v>0</v>
      </c>
      <c r="I22" s="74">
        <f t="shared" si="5"/>
        <v>0</v>
      </c>
      <c r="J22" s="8">
        <v>8</v>
      </c>
      <c r="K22" s="8">
        <v>9</v>
      </c>
      <c r="L22" s="8">
        <v>0</v>
      </c>
      <c r="M22" s="8">
        <v>0</v>
      </c>
      <c r="N22" s="9">
        <f t="shared" si="6"/>
        <v>4.25</v>
      </c>
      <c r="O22" s="7">
        <v>0</v>
      </c>
      <c r="P22" s="36">
        <v>0</v>
      </c>
      <c r="Q22" s="9">
        <v>0</v>
      </c>
      <c r="R22" s="53">
        <f t="shared" si="7"/>
        <v>4.25</v>
      </c>
      <c r="S22" s="7">
        <v>0</v>
      </c>
      <c r="T22" s="85">
        <f t="shared" si="8"/>
        <v>4.25</v>
      </c>
      <c r="U22" s="75" t="str">
        <f t="shared" si="9"/>
        <v>F</v>
      </c>
    </row>
    <row r="23" spans="2:23">
      <c r="B23" s="8">
        <v>14</v>
      </c>
      <c r="C23" s="84" t="s">
        <v>68</v>
      </c>
      <c r="D23" s="84" t="s">
        <v>69</v>
      </c>
      <c r="E23" s="8">
        <v>0</v>
      </c>
      <c r="F23" s="8">
        <v>0</v>
      </c>
      <c r="G23" s="8">
        <v>0</v>
      </c>
      <c r="H23" s="8">
        <v>0</v>
      </c>
      <c r="I23" s="74">
        <f t="shared" si="5"/>
        <v>0</v>
      </c>
      <c r="J23" s="8">
        <v>2.5</v>
      </c>
      <c r="K23" s="8">
        <v>8</v>
      </c>
      <c r="L23" s="8">
        <v>0</v>
      </c>
      <c r="M23" s="8">
        <v>0</v>
      </c>
      <c r="N23" s="9">
        <f t="shared" si="6"/>
        <v>2.625</v>
      </c>
      <c r="O23" s="7">
        <v>0</v>
      </c>
      <c r="P23" s="36">
        <v>0</v>
      </c>
      <c r="Q23" s="9">
        <v>0</v>
      </c>
      <c r="R23" s="53">
        <f t="shared" si="7"/>
        <v>2.625</v>
      </c>
      <c r="S23" s="7">
        <v>0</v>
      </c>
      <c r="T23" s="85">
        <f t="shared" si="8"/>
        <v>2.625</v>
      </c>
      <c r="U23" s="75" t="str">
        <f t="shared" si="9"/>
        <v>F</v>
      </c>
    </row>
    <row r="24" spans="2:23">
      <c r="B24" s="8">
        <v>15</v>
      </c>
      <c r="C24" s="84" t="s">
        <v>70</v>
      </c>
      <c r="D24" s="84" t="s">
        <v>71</v>
      </c>
      <c r="E24" s="8">
        <v>0</v>
      </c>
      <c r="F24" s="8">
        <v>0</v>
      </c>
      <c r="G24" s="8">
        <v>0</v>
      </c>
      <c r="H24" s="8">
        <v>0</v>
      </c>
      <c r="I24" s="74">
        <f t="shared" si="5"/>
        <v>0</v>
      </c>
      <c r="J24" s="8">
        <v>5</v>
      </c>
      <c r="K24" s="8">
        <v>0</v>
      </c>
      <c r="L24" s="8">
        <v>0</v>
      </c>
      <c r="M24" s="8">
        <v>0</v>
      </c>
      <c r="N24" s="9">
        <f t="shared" si="6"/>
        <v>1.25</v>
      </c>
      <c r="O24" s="7">
        <v>0</v>
      </c>
      <c r="P24" s="36">
        <v>0</v>
      </c>
      <c r="Q24" s="9">
        <v>0</v>
      </c>
      <c r="R24" s="53">
        <f t="shared" si="7"/>
        <v>1.25</v>
      </c>
      <c r="S24" s="7">
        <v>0</v>
      </c>
      <c r="T24" s="85">
        <f t="shared" si="8"/>
        <v>1.25</v>
      </c>
      <c r="U24" s="75" t="str">
        <f t="shared" si="9"/>
        <v>F</v>
      </c>
    </row>
    <row r="25" spans="2:23">
      <c r="B25" s="8">
        <v>16</v>
      </c>
      <c r="C25" s="84" t="s">
        <v>72</v>
      </c>
      <c r="D25" s="84" t="s">
        <v>73</v>
      </c>
      <c r="E25" s="8">
        <v>0</v>
      </c>
      <c r="F25" s="8">
        <v>0</v>
      </c>
      <c r="G25" s="8">
        <v>0</v>
      </c>
      <c r="H25" s="8">
        <v>0</v>
      </c>
      <c r="I25" s="74">
        <f t="shared" si="5"/>
        <v>0</v>
      </c>
      <c r="J25" s="8">
        <v>5</v>
      </c>
      <c r="K25" s="8">
        <v>6</v>
      </c>
      <c r="L25" s="8">
        <v>0</v>
      </c>
      <c r="M25" s="8">
        <v>0</v>
      </c>
      <c r="N25" s="9">
        <f t="shared" si="6"/>
        <v>2.75</v>
      </c>
      <c r="O25" s="7">
        <v>0</v>
      </c>
      <c r="P25" s="36">
        <v>0</v>
      </c>
      <c r="Q25" s="9">
        <v>0</v>
      </c>
      <c r="R25" s="53">
        <f t="shared" si="7"/>
        <v>2.75</v>
      </c>
      <c r="S25" s="7">
        <v>0</v>
      </c>
      <c r="T25" s="85">
        <f t="shared" si="8"/>
        <v>2.75</v>
      </c>
      <c r="U25" s="75" t="str">
        <f t="shared" si="9"/>
        <v>F</v>
      </c>
    </row>
    <row r="26" spans="2:23">
      <c r="B26" s="8">
        <v>17</v>
      </c>
      <c r="C26" s="84" t="s">
        <v>74</v>
      </c>
      <c r="D26" s="84" t="s">
        <v>75</v>
      </c>
      <c r="E26" s="8">
        <v>0</v>
      </c>
      <c r="F26" s="8">
        <v>0</v>
      </c>
      <c r="G26" s="8">
        <v>0</v>
      </c>
      <c r="H26" s="8">
        <v>0</v>
      </c>
      <c r="I26" s="74">
        <f t="shared" si="5"/>
        <v>0</v>
      </c>
      <c r="J26" s="8">
        <v>10</v>
      </c>
      <c r="K26" s="8">
        <v>8</v>
      </c>
      <c r="L26" s="8">
        <v>0</v>
      </c>
      <c r="M26" s="8">
        <v>0</v>
      </c>
      <c r="N26" s="9">
        <f t="shared" si="6"/>
        <v>4.5</v>
      </c>
      <c r="O26" s="7">
        <v>0</v>
      </c>
      <c r="P26" s="36">
        <v>0</v>
      </c>
      <c r="Q26" s="9">
        <v>0</v>
      </c>
      <c r="R26" s="53">
        <f t="shared" si="7"/>
        <v>4.5</v>
      </c>
      <c r="S26" s="7">
        <v>0</v>
      </c>
      <c r="T26" s="85">
        <f t="shared" si="8"/>
        <v>4.5</v>
      </c>
      <c r="U26" s="75" t="str">
        <f t="shared" si="9"/>
        <v>F</v>
      </c>
    </row>
    <row r="27" spans="2:23">
      <c r="B27" s="8">
        <v>18</v>
      </c>
      <c r="C27" s="84" t="s">
        <v>76</v>
      </c>
      <c r="D27" s="84" t="s">
        <v>77</v>
      </c>
      <c r="E27" s="8">
        <v>0</v>
      </c>
      <c r="F27" s="8">
        <v>0</v>
      </c>
      <c r="G27" s="8">
        <v>0</v>
      </c>
      <c r="H27" s="8">
        <v>0</v>
      </c>
      <c r="I27" s="74">
        <f t="shared" si="5"/>
        <v>0</v>
      </c>
      <c r="J27" s="8">
        <v>8</v>
      </c>
      <c r="K27" s="8">
        <v>8</v>
      </c>
      <c r="L27" s="8">
        <v>0</v>
      </c>
      <c r="M27" s="8">
        <v>0</v>
      </c>
      <c r="N27" s="9">
        <f t="shared" si="6"/>
        <v>4</v>
      </c>
      <c r="O27" s="7">
        <v>0</v>
      </c>
      <c r="P27" s="36">
        <v>0</v>
      </c>
      <c r="Q27" s="9">
        <v>0</v>
      </c>
      <c r="R27" s="53">
        <f t="shared" si="7"/>
        <v>4</v>
      </c>
      <c r="S27" s="7">
        <v>0</v>
      </c>
      <c r="T27" s="85">
        <f t="shared" si="8"/>
        <v>4</v>
      </c>
      <c r="U27" s="75" t="str">
        <f t="shared" si="9"/>
        <v>F</v>
      </c>
    </row>
    <row r="28" spans="2:23">
      <c r="B28" s="8">
        <v>19</v>
      </c>
      <c r="C28" s="84" t="s">
        <v>78</v>
      </c>
      <c r="D28" s="84" t="s">
        <v>79</v>
      </c>
      <c r="E28" s="8">
        <v>0</v>
      </c>
      <c r="F28" s="8">
        <v>0</v>
      </c>
      <c r="G28" s="8">
        <v>0</v>
      </c>
      <c r="H28" s="8">
        <v>0</v>
      </c>
      <c r="I28" s="74">
        <f t="shared" si="5"/>
        <v>0</v>
      </c>
      <c r="J28" s="8">
        <v>6</v>
      </c>
      <c r="K28" s="8">
        <v>8</v>
      </c>
      <c r="L28" s="8">
        <v>0</v>
      </c>
      <c r="M28" s="8">
        <v>0</v>
      </c>
      <c r="N28" s="9">
        <f t="shared" si="6"/>
        <v>3.5</v>
      </c>
      <c r="O28" s="7">
        <v>0</v>
      </c>
      <c r="P28" s="36">
        <v>0</v>
      </c>
      <c r="Q28" s="9">
        <v>0</v>
      </c>
      <c r="R28" s="53">
        <f t="shared" si="7"/>
        <v>3.5</v>
      </c>
      <c r="S28" s="7">
        <v>0</v>
      </c>
      <c r="T28" s="85">
        <f t="shared" si="8"/>
        <v>3.5</v>
      </c>
      <c r="U28" s="75" t="str">
        <f t="shared" si="9"/>
        <v>F</v>
      </c>
    </row>
    <row r="29" spans="2:23">
      <c r="B29" s="8">
        <v>20</v>
      </c>
      <c r="C29" s="84" t="s">
        <v>80</v>
      </c>
      <c r="D29" s="84" t="s">
        <v>81</v>
      </c>
      <c r="E29" s="8">
        <v>0</v>
      </c>
      <c r="F29" s="8">
        <v>0</v>
      </c>
      <c r="G29" s="8">
        <v>0</v>
      </c>
      <c r="H29" s="8">
        <v>0</v>
      </c>
      <c r="I29" s="74">
        <f t="shared" si="5"/>
        <v>0</v>
      </c>
      <c r="J29" s="8">
        <v>8</v>
      </c>
      <c r="K29" s="8">
        <v>7</v>
      </c>
      <c r="L29" s="8">
        <v>0</v>
      </c>
      <c r="M29" s="8">
        <v>0</v>
      </c>
      <c r="N29" s="9">
        <f t="shared" si="6"/>
        <v>3.75</v>
      </c>
      <c r="O29" s="7">
        <v>0</v>
      </c>
      <c r="P29" s="36">
        <v>0</v>
      </c>
      <c r="Q29" s="9">
        <v>0</v>
      </c>
      <c r="R29" s="53">
        <f t="shared" si="7"/>
        <v>3.75</v>
      </c>
      <c r="S29" s="7">
        <v>0</v>
      </c>
      <c r="T29" s="85">
        <f t="shared" si="8"/>
        <v>3.75</v>
      </c>
      <c r="U29" s="75" t="str">
        <f t="shared" si="9"/>
        <v>F</v>
      </c>
    </row>
    <row r="30" spans="2:23">
      <c r="B30" s="8">
        <v>21</v>
      </c>
      <c r="C30" s="84" t="s">
        <v>82</v>
      </c>
      <c r="D30" s="84" t="s">
        <v>83</v>
      </c>
      <c r="E30" s="8">
        <v>0</v>
      </c>
      <c r="F30" s="8">
        <v>0</v>
      </c>
      <c r="G30" s="8">
        <v>0</v>
      </c>
      <c r="H30" s="8">
        <v>0</v>
      </c>
      <c r="I30" s="74">
        <f t="shared" si="5"/>
        <v>0</v>
      </c>
      <c r="J30" s="8">
        <v>0</v>
      </c>
      <c r="K30" s="8">
        <v>8</v>
      </c>
      <c r="L30" s="8">
        <v>0</v>
      </c>
      <c r="M30" s="8">
        <v>0</v>
      </c>
      <c r="N30" s="9">
        <f t="shared" si="6"/>
        <v>2</v>
      </c>
      <c r="O30" s="7">
        <v>0</v>
      </c>
      <c r="P30" s="36">
        <v>0</v>
      </c>
      <c r="Q30" s="9">
        <v>0</v>
      </c>
      <c r="R30" s="53">
        <f t="shared" si="7"/>
        <v>2</v>
      </c>
      <c r="S30" s="7">
        <v>0</v>
      </c>
      <c r="T30" s="85">
        <f t="shared" si="8"/>
        <v>2</v>
      </c>
      <c r="U30" s="75" t="str">
        <f t="shared" si="9"/>
        <v>F</v>
      </c>
    </row>
    <row r="31" spans="2:23">
      <c r="B31" s="8">
        <v>22</v>
      </c>
      <c r="C31" s="84" t="s">
        <v>84</v>
      </c>
      <c r="D31" s="84" t="s">
        <v>85</v>
      </c>
      <c r="E31" s="8">
        <v>0</v>
      </c>
      <c r="F31" s="8">
        <v>0</v>
      </c>
      <c r="G31" s="8">
        <v>0</v>
      </c>
      <c r="H31" s="8">
        <v>0</v>
      </c>
      <c r="I31" s="74">
        <f t="shared" si="5"/>
        <v>0</v>
      </c>
      <c r="J31" s="8">
        <v>7</v>
      </c>
      <c r="K31" s="8">
        <v>8</v>
      </c>
      <c r="L31" s="8">
        <v>0</v>
      </c>
      <c r="M31" s="8">
        <v>0</v>
      </c>
      <c r="N31" s="9">
        <f t="shared" si="6"/>
        <v>3.75</v>
      </c>
      <c r="O31" s="7">
        <v>0</v>
      </c>
      <c r="P31" s="36">
        <v>0</v>
      </c>
      <c r="Q31" s="9">
        <v>0</v>
      </c>
      <c r="R31" s="53">
        <f t="shared" si="7"/>
        <v>3.75</v>
      </c>
      <c r="S31" s="7">
        <v>0</v>
      </c>
      <c r="T31" s="85">
        <f t="shared" si="8"/>
        <v>3.75</v>
      </c>
      <c r="U31" s="75" t="str">
        <f t="shared" si="9"/>
        <v>F</v>
      </c>
    </row>
    <row r="32" spans="2:23">
      <c r="B32" s="8">
        <v>23</v>
      </c>
      <c r="C32" s="84" t="s">
        <v>86</v>
      </c>
      <c r="D32" s="84" t="s">
        <v>87</v>
      </c>
      <c r="E32" s="8">
        <v>0</v>
      </c>
      <c r="F32" s="8">
        <v>0</v>
      </c>
      <c r="G32" s="8">
        <v>0</v>
      </c>
      <c r="H32" s="8">
        <v>0</v>
      </c>
      <c r="I32" s="74">
        <f t="shared" si="5"/>
        <v>0</v>
      </c>
      <c r="J32" s="8">
        <v>9.5</v>
      </c>
      <c r="K32" s="8">
        <v>9</v>
      </c>
      <c r="L32" s="8">
        <v>0</v>
      </c>
      <c r="M32" s="8">
        <v>0</v>
      </c>
      <c r="N32" s="9">
        <f t="shared" si="6"/>
        <v>4.625</v>
      </c>
      <c r="O32" s="7">
        <v>0</v>
      </c>
      <c r="P32" s="36">
        <v>0</v>
      </c>
      <c r="Q32" s="9">
        <v>0</v>
      </c>
      <c r="R32" s="53">
        <f t="shared" si="7"/>
        <v>4.625</v>
      </c>
      <c r="S32" s="7">
        <v>0</v>
      </c>
      <c r="T32" s="85">
        <f t="shared" si="8"/>
        <v>4.625</v>
      </c>
      <c r="U32" s="75" t="str">
        <f t="shared" si="9"/>
        <v>F</v>
      </c>
    </row>
    <row r="33" spans="2:21">
      <c r="B33" s="8">
        <v>24</v>
      </c>
      <c r="C33" s="84" t="s">
        <v>88</v>
      </c>
      <c r="D33" s="84" t="s">
        <v>89</v>
      </c>
      <c r="E33" s="8">
        <v>0</v>
      </c>
      <c r="F33" s="8">
        <v>0</v>
      </c>
      <c r="G33" s="8">
        <v>0</v>
      </c>
      <c r="H33" s="8">
        <v>0</v>
      </c>
      <c r="I33" s="74">
        <f t="shared" si="5"/>
        <v>0</v>
      </c>
      <c r="J33" s="8">
        <v>3</v>
      </c>
      <c r="K33" s="8">
        <v>9</v>
      </c>
      <c r="L33" s="8">
        <v>0</v>
      </c>
      <c r="M33" s="8">
        <v>0</v>
      </c>
      <c r="N33" s="9">
        <f t="shared" si="6"/>
        <v>3</v>
      </c>
      <c r="O33" s="7">
        <v>0</v>
      </c>
      <c r="P33" s="36">
        <v>0</v>
      </c>
      <c r="Q33" s="9">
        <v>0</v>
      </c>
      <c r="R33" s="53">
        <f t="shared" si="7"/>
        <v>3</v>
      </c>
      <c r="S33" s="7">
        <v>0</v>
      </c>
      <c r="T33" s="85">
        <f t="shared" si="8"/>
        <v>3</v>
      </c>
      <c r="U33" s="75" t="str">
        <f t="shared" si="9"/>
        <v>F</v>
      </c>
    </row>
    <row r="34" spans="2:21">
      <c r="B34" s="8">
        <v>25</v>
      </c>
      <c r="C34" s="84" t="s">
        <v>90</v>
      </c>
      <c r="D34" s="84" t="s">
        <v>91</v>
      </c>
      <c r="E34" s="8">
        <v>0</v>
      </c>
      <c r="F34" s="8">
        <v>0</v>
      </c>
      <c r="G34" s="8">
        <v>0</v>
      </c>
      <c r="H34" s="8">
        <v>0</v>
      </c>
      <c r="I34" s="74">
        <f t="shared" si="5"/>
        <v>0</v>
      </c>
      <c r="J34" s="8">
        <v>9</v>
      </c>
      <c r="K34" s="8">
        <v>8</v>
      </c>
      <c r="L34" s="8">
        <v>0</v>
      </c>
      <c r="M34" s="8">
        <v>0</v>
      </c>
      <c r="N34" s="9">
        <f t="shared" si="6"/>
        <v>4.25</v>
      </c>
      <c r="O34" s="7">
        <v>0</v>
      </c>
      <c r="P34" s="36">
        <v>0</v>
      </c>
      <c r="Q34" s="9">
        <v>0</v>
      </c>
      <c r="R34" s="53">
        <f t="shared" si="7"/>
        <v>4.25</v>
      </c>
      <c r="S34" s="7">
        <v>0</v>
      </c>
      <c r="T34" s="85">
        <f t="shared" si="8"/>
        <v>4.25</v>
      </c>
      <c r="U34" s="75" t="str">
        <f t="shared" si="9"/>
        <v>F</v>
      </c>
    </row>
    <row r="35" spans="2:21">
      <c r="B35" s="8">
        <v>26</v>
      </c>
      <c r="C35" s="84" t="s">
        <v>92</v>
      </c>
      <c r="D35" s="84" t="s">
        <v>93</v>
      </c>
      <c r="E35" s="8">
        <v>0</v>
      </c>
      <c r="F35" s="8">
        <v>0</v>
      </c>
      <c r="G35" s="8">
        <v>0</v>
      </c>
      <c r="H35" s="8">
        <v>0</v>
      </c>
      <c r="I35" s="74">
        <f t="shared" si="5"/>
        <v>0</v>
      </c>
      <c r="J35" s="8">
        <v>0</v>
      </c>
      <c r="K35" s="8">
        <v>8</v>
      </c>
      <c r="L35" s="8">
        <v>0</v>
      </c>
      <c r="M35" s="8">
        <v>0</v>
      </c>
      <c r="N35" s="9">
        <f t="shared" si="6"/>
        <v>2</v>
      </c>
      <c r="O35" s="7">
        <v>0</v>
      </c>
      <c r="P35" s="36">
        <v>0</v>
      </c>
      <c r="Q35" s="9">
        <v>0</v>
      </c>
      <c r="R35" s="53">
        <f t="shared" si="7"/>
        <v>2</v>
      </c>
      <c r="S35" s="7">
        <v>0</v>
      </c>
      <c r="T35" s="85">
        <f t="shared" si="8"/>
        <v>2</v>
      </c>
      <c r="U35" s="75" t="str">
        <f t="shared" si="9"/>
        <v>F</v>
      </c>
    </row>
    <row r="36" spans="2:21">
      <c r="B36" s="8">
        <v>27</v>
      </c>
      <c r="C36" s="84" t="s">
        <v>94</v>
      </c>
      <c r="D36" s="84" t="s">
        <v>95</v>
      </c>
      <c r="E36" s="8">
        <v>0</v>
      </c>
      <c r="F36" s="8">
        <v>0</v>
      </c>
      <c r="G36" s="8">
        <v>0</v>
      </c>
      <c r="H36" s="8">
        <v>0</v>
      </c>
      <c r="I36" s="74">
        <f t="shared" si="5"/>
        <v>0</v>
      </c>
      <c r="J36" s="8">
        <v>9</v>
      </c>
      <c r="K36" s="8">
        <v>0</v>
      </c>
      <c r="L36" s="8">
        <v>0</v>
      </c>
      <c r="M36" s="8">
        <v>0</v>
      </c>
      <c r="N36" s="9">
        <f t="shared" si="6"/>
        <v>2.25</v>
      </c>
      <c r="O36" s="7">
        <v>0</v>
      </c>
      <c r="P36" s="36">
        <v>0</v>
      </c>
      <c r="Q36" s="9">
        <v>0</v>
      </c>
      <c r="R36" s="53">
        <f t="shared" si="7"/>
        <v>2.25</v>
      </c>
      <c r="S36" s="7">
        <v>0</v>
      </c>
      <c r="T36" s="85">
        <f t="shared" si="8"/>
        <v>2.25</v>
      </c>
      <c r="U36" s="75" t="str">
        <f t="shared" si="9"/>
        <v>F</v>
      </c>
    </row>
    <row r="37" spans="2:21">
      <c r="B37" s="8">
        <v>28</v>
      </c>
      <c r="C37" s="84" t="s">
        <v>96</v>
      </c>
      <c r="D37" s="84" t="s">
        <v>97</v>
      </c>
      <c r="E37" s="8">
        <v>0</v>
      </c>
      <c r="F37" s="8">
        <v>0</v>
      </c>
      <c r="G37" s="8">
        <v>0</v>
      </c>
      <c r="H37" s="8">
        <v>0</v>
      </c>
      <c r="I37" s="74">
        <f t="shared" si="5"/>
        <v>0</v>
      </c>
      <c r="J37" s="8">
        <v>5</v>
      </c>
      <c r="K37" s="8">
        <v>8</v>
      </c>
      <c r="L37" s="8">
        <v>0</v>
      </c>
      <c r="M37" s="8">
        <v>0</v>
      </c>
      <c r="N37" s="9">
        <f t="shared" si="6"/>
        <v>3.25</v>
      </c>
      <c r="O37" s="7">
        <v>0</v>
      </c>
      <c r="P37" s="36">
        <v>0</v>
      </c>
      <c r="Q37" s="9">
        <v>0</v>
      </c>
      <c r="R37" s="53">
        <f t="shared" si="7"/>
        <v>3.25</v>
      </c>
      <c r="S37" s="7">
        <v>0</v>
      </c>
      <c r="T37" s="85">
        <f t="shared" si="8"/>
        <v>3.25</v>
      </c>
      <c r="U37" s="75" t="str">
        <f t="shared" si="9"/>
        <v>F</v>
      </c>
    </row>
    <row r="38" spans="2:21">
      <c r="B38" s="8">
        <v>29</v>
      </c>
      <c r="C38" s="84" t="s">
        <v>98</v>
      </c>
      <c r="D38" s="84" t="s">
        <v>99</v>
      </c>
      <c r="E38" s="8">
        <v>0</v>
      </c>
      <c r="F38" s="8">
        <v>0</v>
      </c>
      <c r="G38" s="8">
        <v>0</v>
      </c>
      <c r="H38" s="8">
        <v>0</v>
      </c>
      <c r="I38" s="74">
        <f t="shared" si="5"/>
        <v>0</v>
      </c>
      <c r="J38" s="8">
        <v>6.5</v>
      </c>
      <c r="K38" s="8">
        <v>8</v>
      </c>
      <c r="L38" s="8">
        <v>0</v>
      </c>
      <c r="M38" s="8">
        <v>0</v>
      </c>
      <c r="N38" s="9">
        <f t="shared" si="6"/>
        <v>3.625</v>
      </c>
      <c r="O38" s="7">
        <v>0</v>
      </c>
      <c r="P38" s="36">
        <v>0</v>
      </c>
      <c r="Q38" s="9">
        <v>0</v>
      </c>
      <c r="R38" s="53">
        <f t="shared" si="7"/>
        <v>3.625</v>
      </c>
      <c r="S38" s="7">
        <v>0</v>
      </c>
      <c r="T38" s="85">
        <f t="shared" si="8"/>
        <v>3.625</v>
      </c>
      <c r="U38" s="75" t="str">
        <f t="shared" si="9"/>
        <v>F</v>
      </c>
    </row>
    <row r="39" spans="2:21">
      <c r="B39" s="8">
        <v>30</v>
      </c>
      <c r="C39" s="84" t="s">
        <v>100</v>
      </c>
      <c r="D39" s="84" t="s">
        <v>101</v>
      </c>
      <c r="E39" s="8">
        <v>0</v>
      </c>
      <c r="F39" s="8">
        <v>0</v>
      </c>
      <c r="G39" s="8">
        <v>0</v>
      </c>
      <c r="H39" s="8">
        <v>0</v>
      </c>
      <c r="I39" s="74">
        <f t="shared" si="5"/>
        <v>0</v>
      </c>
      <c r="J39" s="8">
        <v>8</v>
      </c>
      <c r="K39" s="8">
        <v>9</v>
      </c>
      <c r="L39" s="8">
        <v>0</v>
      </c>
      <c r="M39" s="8">
        <v>0</v>
      </c>
      <c r="N39" s="9">
        <f t="shared" si="6"/>
        <v>4.25</v>
      </c>
      <c r="O39" s="7">
        <v>0</v>
      </c>
      <c r="P39" s="36">
        <v>0</v>
      </c>
      <c r="Q39" s="9">
        <v>0</v>
      </c>
      <c r="R39" s="53">
        <f t="shared" si="7"/>
        <v>4.25</v>
      </c>
      <c r="S39" s="7">
        <v>0</v>
      </c>
      <c r="T39" s="85">
        <f t="shared" si="8"/>
        <v>4.25</v>
      </c>
      <c r="U39" s="75" t="str">
        <f t="shared" si="9"/>
        <v>F</v>
      </c>
    </row>
    <row r="40" spans="2:21">
      <c r="B40" s="8">
        <v>31</v>
      </c>
      <c r="C40" s="84" t="s">
        <v>102</v>
      </c>
      <c r="D40" s="84" t="s">
        <v>103</v>
      </c>
      <c r="E40" s="8">
        <v>0</v>
      </c>
      <c r="F40" s="8">
        <v>0</v>
      </c>
      <c r="G40" s="8">
        <v>0</v>
      </c>
      <c r="H40" s="8">
        <v>0</v>
      </c>
      <c r="I40" s="74">
        <f t="shared" si="5"/>
        <v>0</v>
      </c>
      <c r="J40" s="8">
        <v>7.5</v>
      </c>
      <c r="K40" s="8">
        <v>7</v>
      </c>
      <c r="L40" s="8">
        <v>0</v>
      </c>
      <c r="M40" s="8">
        <v>0</v>
      </c>
      <c r="N40" s="9">
        <f t="shared" si="6"/>
        <v>3.625</v>
      </c>
      <c r="O40" s="7">
        <v>0</v>
      </c>
      <c r="P40" s="36">
        <v>0</v>
      </c>
      <c r="Q40" s="9">
        <v>0</v>
      </c>
      <c r="R40" s="53">
        <f t="shared" si="7"/>
        <v>3.625</v>
      </c>
      <c r="S40" s="7">
        <v>0</v>
      </c>
      <c r="T40" s="85">
        <f t="shared" si="8"/>
        <v>3.625</v>
      </c>
      <c r="U40" s="75" t="str">
        <f t="shared" si="9"/>
        <v>F</v>
      </c>
    </row>
    <row r="41" spans="2:21">
      <c r="B41" s="8">
        <v>32</v>
      </c>
      <c r="C41" s="84" t="s">
        <v>104</v>
      </c>
      <c r="D41" s="84" t="s">
        <v>105</v>
      </c>
      <c r="E41" s="8">
        <v>0</v>
      </c>
      <c r="F41" s="8">
        <v>0</v>
      </c>
      <c r="G41" s="8">
        <v>0</v>
      </c>
      <c r="H41" s="8">
        <v>0</v>
      </c>
      <c r="I41" s="74">
        <f t="shared" si="5"/>
        <v>0</v>
      </c>
      <c r="J41" s="8">
        <v>8</v>
      </c>
      <c r="K41" s="8">
        <v>8</v>
      </c>
      <c r="L41" s="8">
        <v>0</v>
      </c>
      <c r="M41" s="8">
        <v>0</v>
      </c>
      <c r="N41" s="9">
        <f t="shared" si="6"/>
        <v>4</v>
      </c>
      <c r="O41" s="7">
        <v>0</v>
      </c>
      <c r="P41" s="36">
        <v>0</v>
      </c>
      <c r="Q41" s="9">
        <v>0</v>
      </c>
      <c r="R41" s="53">
        <f t="shared" si="7"/>
        <v>4</v>
      </c>
      <c r="S41" s="7">
        <v>0</v>
      </c>
      <c r="T41" s="85">
        <f t="shared" si="8"/>
        <v>4</v>
      </c>
      <c r="U41" s="75" t="str">
        <f t="shared" si="9"/>
        <v>F</v>
      </c>
    </row>
    <row r="42" spans="2:21">
      <c r="B42" s="8">
        <v>33</v>
      </c>
      <c r="C42" s="84" t="s">
        <v>106</v>
      </c>
      <c r="D42" s="84" t="s">
        <v>107</v>
      </c>
      <c r="E42" s="8">
        <v>0</v>
      </c>
      <c r="F42" s="8">
        <v>0</v>
      </c>
      <c r="G42" s="8">
        <v>0</v>
      </c>
      <c r="H42" s="8">
        <v>0</v>
      </c>
      <c r="I42" s="74">
        <f t="shared" si="5"/>
        <v>0</v>
      </c>
      <c r="J42" s="8">
        <v>9</v>
      </c>
      <c r="K42" s="8">
        <v>9</v>
      </c>
      <c r="L42" s="8">
        <v>0</v>
      </c>
      <c r="M42" s="8">
        <v>0</v>
      </c>
      <c r="N42" s="9">
        <f t="shared" si="6"/>
        <v>4.5</v>
      </c>
      <c r="O42" s="7">
        <v>0</v>
      </c>
      <c r="P42" s="36">
        <v>0</v>
      </c>
      <c r="Q42" s="9">
        <v>0</v>
      </c>
      <c r="R42" s="53">
        <f t="shared" si="7"/>
        <v>4.5</v>
      </c>
      <c r="S42" s="7">
        <v>0</v>
      </c>
      <c r="T42" s="85">
        <f t="shared" si="8"/>
        <v>4.5</v>
      </c>
      <c r="U42" s="75" t="str">
        <f t="shared" si="9"/>
        <v>F</v>
      </c>
    </row>
    <row r="43" spans="2:21">
      <c r="B43" s="8">
        <v>34</v>
      </c>
      <c r="C43" s="84" t="s">
        <v>108</v>
      </c>
      <c r="D43" s="84" t="s">
        <v>109</v>
      </c>
      <c r="E43" s="8">
        <v>0</v>
      </c>
      <c r="F43" s="8">
        <v>0</v>
      </c>
      <c r="G43" s="8">
        <v>0</v>
      </c>
      <c r="H43" s="8">
        <v>0</v>
      </c>
      <c r="I43" s="74">
        <f t="shared" si="5"/>
        <v>0</v>
      </c>
      <c r="J43" s="8">
        <v>7.5</v>
      </c>
      <c r="K43" s="8">
        <v>8</v>
      </c>
      <c r="L43" s="8">
        <v>0</v>
      </c>
      <c r="M43" s="8">
        <v>0</v>
      </c>
      <c r="N43" s="9">
        <f t="shared" si="6"/>
        <v>3.875</v>
      </c>
      <c r="O43" s="7">
        <v>0</v>
      </c>
      <c r="P43" s="36">
        <v>0</v>
      </c>
      <c r="Q43" s="9">
        <v>0</v>
      </c>
      <c r="R43" s="53">
        <f t="shared" si="7"/>
        <v>3.875</v>
      </c>
      <c r="S43" s="7">
        <v>0</v>
      </c>
      <c r="T43" s="85">
        <f t="shared" si="8"/>
        <v>3.875</v>
      </c>
      <c r="U43" s="75" t="str">
        <f t="shared" si="9"/>
        <v>F</v>
      </c>
    </row>
    <row r="44" spans="2:21">
      <c r="B44" s="8">
        <v>35</v>
      </c>
      <c r="C44" s="84" t="s">
        <v>110</v>
      </c>
      <c r="D44" s="84" t="s">
        <v>111</v>
      </c>
      <c r="E44" s="8">
        <v>0</v>
      </c>
      <c r="F44" s="8">
        <v>0</v>
      </c>
      <c r="G44" s="8">
        <v>0</v>
      </c>
      <c r="H44" s="8">
        <v>0</v>
      </c>
      <c r="I44" s="74">
        <f t="shared" si="5"/>
        <v>0</v>
      </c>
      <c r="J44" s="8">
        <v>0</v>
      </c>
      <c r="K44" s="8">
        <v>9</v>
      </c>
      <c r="L44" s="8">
        <v>0</v>
      </c>
      <c r="M44" s="8">
        <v>0</v>
      </c>
      <c r="N44" s="9">
        <f t="shared" si="6"/>
        <v>2.25</v>
      </c>
      <c r="O44" s="7">
        <v>0</v>
      </c>
      <c r="P44" s="36">
        <v>0</v>
      </c>
      <c r="Q44" s="9">
        <v>0</v>
      </c>
      <c r="R44" s="53">
        <f t="shared" si="7"/>
        <v>2.25</v>
      </c>
      <c r="S44" s="7">
        <v>0</v>
      </c>
      <c r="T44" s="85">
        <f t="shared" si="8"/>
        <v>2.25</v>
      </c>
      <c r="U44" s="75" t="str">
        <f t="shared" si="9"/>
        <v>F</v>
      </c>
    </row>
  </sheetData>
  <mergeCells count="2">
    <mergeCell ref="B7:D7"/>
    <mergeCell ref="B8:D8"/>
  </mergeCells>
  <conditionalFormatting sqref="E10:O44 Q10:U44">
    <cfRule type="cellIs" dxfId="3" priority="1" operator="equal">
      <formula>0</formula>
    </cfRule>
  </conditionalFormatting>
  <conditionalFormatting sqref="N10:O44 Q10:S44">
    <cfRule type="cellIs" dxfId="2" priority="11" operator="equal">
      <formula>"A"</formula>
    </cfRule>
  </conditionalFormatting>
  <conditionalFormatting sqref="N10:O44 Q10:T44">
    <cfRule type="cellIs" dxfId="1" priority="10" operator="equal">
      <formula>"-"</formula>
    </cfRule>
  </conditionalFormatting>
  <conditionalFormatting sqref="U10:U44">
    <cfRule type="cellIs" dxfId="0" priority="7" operator="equal">
      <formula>"F"</formula>
    </cfRule>
  </conditionalFormatting>
  <pageMargins left="0.25" right="0.25" top="0.75" bottom="0.75" header="0.3" footer="0.3"/>
  <pageSetup scale="71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BSCS4-1_SAD</vt:lpstr>
      <vt:lpstr>'BSCS4-1_SAD'!Print_Area</vt:lpstr>
      <vt:lpstr>'BSCS4-1_SAD'!Print_Titles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Arrow</dc:creator>
  <cp:lastModifiedBy>Raja Jalees Ul Hussen Khan</cp:lastModifiedBy>
  <cp:lastPrinted>2025-06-02T08:11:49Z</cp:lastPrinted>
  <dcterms:created xsi:type="dcterms:W3CDTF">2019-11-25T07:25:44Z</dcterms:created>
  <dcterms:modified xsi:type="dcterms:W3CDTF">2025-10-13T06:07:45Z</dcterms:modified>
</cp:coreProperties>
</file>