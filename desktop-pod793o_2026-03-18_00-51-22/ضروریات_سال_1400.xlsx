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zir\Desktop\"/>
    </mc:Choice>
  </mc:AlternateContent>
  <bookViews>
    <workbookView xWindow="480" yWindow="90" windowWidth="15480" windowHeight="9495"/>
  </bookViews>
  <sheets>
    <sheet name="ضرورت تیل تما می سایتها" sheetId="1" r:id="rId1"/>
    <sheet name="ضرورت فلترها" sheetId="13" r:id="rId2"/>
  </sheets>
  <definedNames>
    <definedName name="_xlnm._FilterDatabase" localSheetId="0" hidden="1">'ضرورت تیل تما می سایتها'!$A$3:$M$17</definedName>
    <definedName name="_xlnm.Print_Area" localSheetId="0">'ضرورت تیل تما می سایتها'!$A$1:$T$63</definedName>
  </definedNames>
  <calcPr calcId="162913"/>
</workbook>
</file>

<file path=xl/calcChain.xml><?xml version="1.0" encoding="utf-8"?>
<calcChain xmlns="http://schemas.openxmlformats.org/spreadsheetml/2006/main">
  <c r="F4" i="1" l="1"/>
  <c r="D6" i="1"/>
  <c r="D7" i="1"/>
  <c r="D8" i="1"/>
  <c r="D9" i="1"/>
  <c r="D10" i="1"/>
  <c r="D11" i="1"/>
  <c r="D12" i="1"/>
  <c r="D14" i="1"/>
  <c r="O10" i="1"/>
  <c r="P10" i="1"/>
  <c r="Q10" i="1"/>
  <c r="R10" i="1"/>
  <c r="S10" i="1"/>
</calcChain>
</file>

<file path=xl/sharedStrings.xml><?xml version="1.0" encoding="utf-8"?>
<sst xmlns="http://schemas.openxmlformats.org/spreadsheetml/2006/main" count="652" uniqueCount="161">
  <si>
    <t>اسم سایت</t>
  </si>
  <si>
    <t>شماره</t>
  </si>
  <si>
    <t>میزان</t>
  </si>
  <si>
    <t>ضرورت مبلاییل</t>
  </si>
  <si>
    <t>ماهوار</t>
  </si>
  <si>
    <t>ملاحظات</t>
  </si>
  <si>
    <t>ضرورت  تیل دیزل</t>
  </si>
  <si>
    <t>با احترام</t>
  </si>
  <si>
    <t xml:space="preserve">مجموع </t>
  </si>
  <si>
    <t>100-PERKINS</t>
  </si>
  <si>
    <t>نوع وطاقت جنراتور</t>
  </si>
  <si>
    <t>میزان عمومی</t>
  </si>
  <si>
    <t>تعداد</t>
  </si>
  <si>
    <t xml:space="preserve">تعداد مورد ضرورت  تقریبی فیلترها </t>
  </si>
  <si>
    <t xml:space="preserve">انواع فلتر های مورد ضرورت سایت ها در یکماه </t>
  </si>
  <si>
    <t>جنراتور</t>
  </si>
  <si>
    <t>نوع</t>
  </si>
  <si>
    <t>فیلتر اب</t>
  </si>
  <si>
    <t>فلترمحافظوی</t>
  </si>
  <si>
    <t>فلتر هوا</t>
  </si>
  <si>
    <t>فلتردیزل</t>
  </si>
  <si>
    <t>فلتر مبلایل</t>
  </si>
  <si>
    <t>KVA</t>
  </si>
  <si>
    <t>AF25938</t>
  </si>
  <si>
    <t>FS1212</t>
  </si>
  <si>
    <t>Lf3000</t>
  </si>
  <si>
    <t>650KVA</t>
  </si>
  <si>
    <t>PERKINS</t>
  </si>
  <si>
    <t>AF-26207</t>
  </si>
  <si>
    <t>CH-10329</t>
  </si>
  <si>
    <t>CH-10930</t>
  </si>
  <si>
    <t>550KVA</t>
  </si>
  <si>
    <t>2020PM</t>
  </si>
  <si>
    <t>901-056</t>
  </si>
  <si>
    <t>901-243</t>
  </si>
  <si>
    <t>901-115</t>
  </si>
  <si>
    <t>275KVA</t>
  </si>
  <si>
    <t>MARCOمارگو</t>
  </si>
  <si>
    <t>c105004</t>
  </si>
  <si>
    <t>p550351</t>
  </si>
  <si>
    <t>p551352</t>
  </si>
  <si>
    <t>180KVA</t>
  </si>
  <si>
    <t>SDMO</t>
  </si>
  <si>
    <t>c0805004</t>
  </si>
  <si>
    <t>66KVA</t>
  </si>
  <si>
    <t>c085002</t>
  </si>
  <si>
    <t>FS19516</t>
  </si>
  <si>
    <t>LF678</t>
  </si>
  <si>
    <t>33KVA</t>
  </si>
  <si>
    <t>p502143</t>
  </si>
  <si>
    <t>LF3828</t>
  </si>
  <si>
    <t>ضرورت ندارد</t>
  </si>
  <si>
    <t>22KVA</t>
  </si>
  <si>
    <t>c065003</t>
  </si>
  <si>
    <t>p502067</t>
  </si>
  <si>
    <t>p502329</t>
  </si>
  <si>
    <t>16KVA</t>
  </si>
  <si>
    <t>100KVA</t>
  </si>
  <si>
    <t>IVECO</t>
  </si>
  <si>
    <t>60KVA</t>
  </si>
  <si>
    <t>422 &amp; 998</t>
  </si>
  <si>
    <t>30KVA</t>
  </si>
  <si>
    <t>AA-9105</t>
  </si>
  <si>
    <t>RE62418</t>
  </si>
  <si>
    <t>PERKINS aksa</t>
  </si>
  <si>
    <t>050 &amp; 901</t>
  </si>
  <si>
    <t>048 &amp; 901</t>
  </si>
  <si>
    <t>249&amp;248</t>
  </si>
  <si>
    <t>110KVA</t>
  </si>
  <si>
    <t>CAV7111-296</t>
  </si>
  <si>
    <t>13.5KVA</t>
  </si>
  <si>
    <t>11KVA</t>
  </si>
  <si>
    <t>AF25904</t>
  </si>
  <si>
    <t>AX1004559</t>
  </si>
  <si>
    <t>AX1004554</t>
  </si>
  <si>
    <t>15KVA</t>
  </si>
  <si>
    <t>CUMMINS</t>
  </si>
  <si>
    <t>AX1004558</t>
  </si>
  <si>
    <t>AF424</t>
  </si>
  <si>
    <t>Fs12012</t>
  </si>
  <si>
    <t>140KVA</t>
  </si>
  <si>
    <t>D4.149.15.0.</t>
  </si>
  <si>
    <t>D4.148.08.0.</t>
  </si>
  <si>
    <t>D4.160.02.0</t>
  </si>
  <si>
    <t>8KVA</t>
  </si>
  <si>
    <t>KIRLOSKAR</t>
  </si>
  <si>
    <t>DL16550</t>
  </si>
  <si>
    <t>F51000</t>
  </si>
  <si>
    <t>Lf3959</t>
  </si>
  <si>
    <t>150KVA</t>
  </si>
  <si>
    <t xml:space="preserve">تعداد فیلترها ان نظر به ضرورت سایت ها از طرف مسول پاورزون  افغان تیلیکام مشخص و از قراردادی به </t>
  </si>
  <si>
    <t xml:space="preserve">مراکز ولایت ویا زون خواسته میشود. </t>
  </si>
  <si>
    <t>996-453</t>
  </si>
  <si>
    <t>995-690</t>
  </si>
  <si>
    <t>996-454</t>
  </si>
  <si>
    <t>996-452</t>
  </si>
  <si>
    <t>450KVA</t>
  </si>
  <si>
    <t xml:space="preserve">تعداد فیلترها ان نظر به ضرورت سایت ها از طرف مسول زون افغان تیلیکام مشخص و از قراردادی به </t>
  </si>
  <si>
    <t>FF901-056</t>
  </si>
  <si>
    <t>FF5019</t>
  </si>
  <si>
    <t>220KVA</t>
  </si>
  <si>
    <t>اسم زونها</t>
  </si>
  <si>
    <t>زون مرکز</t>
  </si>
  <si>
    <t>زون شرق</t>
  </si>
  <si>
    <t>زون جنوب غرب</t>
  </si>
  <si>
    <t>زون شمالغرب</t>
  </si>
  <si>
    <t xml:space="preserve">زون شمال </t>
  </si>
  <si>
    <t>زون شمالشرق</t>
  </si>
  <si>
    <t>ضرورت تیل</t>
  </si>
  <si>
    <t xml:space="preserve">ماهوار </t>
  </si>
  <si>
    <t xml:space="preserve">ضرورت مبلاییل </t>
  </si>
  <si>
    <t>اسم زون  ها</t>
  </si>
  <si>
    <t>مرکز کابل</t>
  </si>
  <si>
    <t>شرق جلا ل اباد</t>
  </si>
  <si>
    <t>جنوب غرب</t>
  </si>
  <si>
    <t>شما لغرب</t>
  </si>
  <si>
    <t>شمال</t>
  </si>
  <si>
    <t>شمالشرق</t>
  </si>
  <si>
    <t>جدول ضرورت فیلترهای مورد نیاز جنراتورهای که افغان تیلی کام زون مرکزاز بابت یکساله  سال 1398</t>
  </si>
  <si>
    <t>یکسال</t>
  </si>
  <si>
    <t>خلاصه ضروریات سال 1398</t>
  </si>
  <si>
    <t>جدول ضرورت فیلترهای مورد نیاز جنراتورهای که افغان تیلی کام زون شمالغرب از بابت یکسال سال 1398</t>
  </si>
  <si>
    <t>جدول ضرورت فیلترهای مورد نیاز جنراتورهای که افغان تیلی کام زون جنوب غرب از بابت یکسال سال 1398</t>
  </si>
  <si>
    <t>جدول ضرورت فیلترهای مورد نیاز جنراتورهای که افغان تیلی کام زون شمال از بابت یکسال سال 1398</t>
  </si>
  <si>
    <t>جدول ضرورت فیلترهای مورد نیاز جنراتورهای که افغان تیلی کام شمال شرق از بابت یکسال سال 1398</t>
  </si>
  <si>
    <t>جدول ضرورت فیلترهای مورد نیاز جنراتورهای که افغان تیلی کام زون شرق از بابت یکسال سال 1398</t>
  </si>
  <si>
    <t>ضرورت یکسال سال 1398</t>
  </si>
  <si>
    <t>مصرف</t>
  </si>
  <si>
    <t>فی ساعت</t>
  </si>
  <si>
    <t>ضرورت فیلتر</t>
  </si>
  <si>
    <t>سایت 001  مرکز</t>
  </si>
  <si>
    <t xml:space="preserve">سایت 003 ناحیه سوم </t>
  </si>
  <si>
    <t>سایت 004 ناحیه چهاهرم</t>
  </si>
  <si>
    <t>سایت 200 بانکزراعتی</t>
  </si>
  <si>
    <t xml:space="preserve">سایت 202 ناحیه اول </t>
  </si>
  <si>
    <t xml:space="preserve">سایت 211 ننگاب </t>
  </si>
  <si>
    <t xml:space="preserve">سایت 032 لاش جوین </t>
  </si>
  <si>
    <t>سایت 033 بندرشیخ ابونصر</t>
  </si>
  <si>
    <t>سایت 213SDHفراهرود</t>
  </si>
  <si>
    <t xml:space="preserve"> SDMO33KVA</t>
  </si>
  <si>
    <t>PERKINS15KV</t>
  </si>
  <si>
    <t>PERKINS13.5KV</t>
  </si>
  <si>
    <t>PERKINS13.5KVA</t>
  </si>
  <si>
    <t>PERKINS15KVA</t>
  </si>
  <si>
    <t>krloskr10 KVA هندی</t>
  </si>
  <si>
    <t xml:space="preserve">مجموع               </t>
  </si>
  <si>
    <t>خاموش است.</t>
  </si>
  <si>
    <t>قرار شرح فوق جدول هذا ترتیب وتقدیم است . با احترام</t>
  </si>
  <si>
    <t>سایت TDF039</t>
  </si>
  <si>
    <t>فیلتر هوا</t>
  </si>
  <si>
    <t>باطری 60 امپر</t>
  </si>
  <si>
    <t>باطری 150 امپر</t>
  </si>
  <si>
    <t>باطری 100 امپر</t>
  </si>
  <si>
    <t>دو سیت</t>
  </si>
  <si>
    <t>فارسنگ جنراتورsdmo33kv</t>
  </si>
  <si>
    <t>ماژول ریکتی فایر2400</t>
  </si>
  <si>
    <t>رادیاتور جنراتورsdmo33kv</t>
  </si>
  <si>
    <t>باطری 135 امپررکتی فایر</t>
  </si>
  <si>
    <t xml:space="preserve">جدول ضروریات روغنیات سایت های فعال شرکت افغان تیلی کام مربوط زون هرات دفترفراه از بابت سال 1400 </t>
  </si>
  <si>
    <t>Krloskr10 KVA هندی</t>
  </si>
  <si>
    <t>PERKINS11KVA+ SDMO16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</si>
</sst>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indexed="8"/>
      <name val="Calibri"/>
      <family val="2"/>
    </font>
    <font>
      <sz val="12"/>
      <name val="Arial"/>
      <family val="2"/>
    </font>
    <font>
      <sz val="18"/>
      <color theme="1"/>
      <name val="Calibri"/>
      <family val="2"/>
      <scheme val="minor"/>
    </font>
    <font>
      <b/>
      <sz val="14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/>
    </xf>
    <xf numFmtId="0" fontId="7" fillId="0" borderId="1" xfId="0" applyFont="1" applyBorder="1"/>
    <xf numFmtId="0" fontId="9" fillId="0" borderId="1" xfId="0" applyFont="1" applyBorder="1"/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0" fontId="10" fillId="0" borderId="1" xfId="1" quotePrefix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1" quotePrefix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1" quotePrefix="1" applyFont="1" applyFill="1" applyBorder="1" applyAlignment="1">
      <alignment horizontal="center"/>
    </xf>
    <xf numFmtId="0" fontId="10" fillId="0" borderId="1" xfId="1" applyFont="1" applyBorder="1" applyAlignment="1">
      <alignment vertical="center"/>
    </xf>
    <xf numFmtId="0" fontId="10" fillId="0" borderId="1" xfId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12" fillId="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Fill="1" applyBorder="1"/>
    <xf numFmtId="0" fontId="7" fillId="0" borderId="1" xfId="0" applyFont="1" applyBorder="1" applyAlignment="1">
      <alignment horizontal="center" vertical="center" readingOrder="2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1" xfId="1" quotePrefix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28575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28950" y="1066800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28575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3028950" y="1066800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28575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28950" y="1066800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28575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3028950" y="1066800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76200</xdr:colOff>
      <xdr:row>42</xdr:row>
      <xdr:rowOff>28575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3028950" y="7191375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76200</xdr:colOff>
      <xdr:row>42</xdr:row>
      <xdr:rowOff>28575</xdr:rowOff>
    </xdr:to>
    <xdr:sp macro="" textlink="">
      <xdr:nvSpPr>
        <xdr:cNvPr id="7" name="Text Box 2"/>
        <xdr:cNvSpPr txBox="1">
          <a:spLocks noChangeArrowheads="1"/>
        </xdr:cNvSpPr>
      </xdr:nvSpPr>
      <xdr:spPr bwMode="auto">
        <a:xfrm>
          <a:off x="3028950" y="7191375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79</xdr:row>
      <xdr:rowOff>0</xdr:rowOff>
    </xdr:from>
    <xdr:to>
      <xdr:col>6</xdr:col>
      <xdr:colOff>76200</xdr:colOff>
      <xdr:row>79</xdr:row>
      <xdr:rowOff>28575</xdr:rowOff>
    </xdr:to>
    <xdr:sp macro="" textlink="">
      <xdr:nvSpPr>
        <xdr:cNvPr id="8" name="Text Box 1"/>
        <xdr:cNvSpPr txBox="1">
          <a:spLocks noChangeArrowheads="1"/>
        </xdr:cNvSpPr>
      </xdr:nvSpPr>
      <xdr:spPr bwMode="auto">
        <a:xfrm>
          <a:off x="3028950" y="13668375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79</xdr:row>
      <xdr:rowOff>0</xdr:rowOff>
    </xdr:from>
    <xdr:to>
      <xdr:col>6</xdr:col>
      <xdr:colOff>76200</xdr:colOff>
      <xdr:row>79</xdr:row>
      <xdr:rowOff>28575</xdr:rowOff>
    </xdr:to>
    <xdr:sp macro="" textlink="">
      <xdr:nvSpPr>
        <xdr:cNvPr id="9" name="Text Box 2"/>
        <xdr:cNvSpPr txBox="1">
          <a:spLocks noChangeArrowheads="1"/>
        </xdr:cNvSpPr>
      </xdr:nvSpPr>
      <xdr:spPr bwMode="auto">
        <a:xfrm>
          <a:off x="3028950" y="13668375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76200</xdr:colOff>
      <xdr:row>110</xdr:row>
      <xdr:rowOff>28575</xdr:rowOff>
    </xdr:to>
    <xdr:sp macro="" textlink="">
      <xdr:nvSpPr>
        <xdr:cNvPr id="10" name="Text Box 1"/>
        <xdr:cNvSpPr txBox="1">
          <a:spLocks noChangeArrowheads="1"/>
        </xdr:cNvSpPr>
      </xdr:nvSpPr>
      <xdr:spPr bwMode="auto">
        <a:xfrm>
          <a:off x="3028950" y="20059650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76200</xdr:colOff>
      <xdr:row>110</xdr:row>
      <xdr:rowOff>28575</xdr:rowOff>
    </xdr:to>
    <xdr:sp macro="" textlink="">
      <xdr:nvSpPr>
        <xdr:cNvPr id="11" name="Text Box 2"/>
        <xdr:cNvSpPr txBox="1">
          <a:spLocks noChangeArrowheads="1"/>
        </xdr:cNvSpPr>
      </xdr:nvSpPr>
      <xdr:spPr bwMode="auto">
        <a:xfrm>
          <a:off x="3028950" y="20059650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141</xdr:row>
      <xdr:rowOff>0</xdr:rowOff>
    </xdr:from>
    <xdr:to>
      <xdr:col>6</xdr:col>
      <xdr:colOff>76200</xdr:colOff>
      <xdr:row>141</xdr:row>
      <xdr:rowOff>28575</xdr:rowOff>
    </xdr:to>
    <xdr:sp macro="" textlink="">
      <xdr:nvSpPr>
        <xdr:cNvPr id="12" name="Text Box 1"/>
        <xdr:cNvSpPr txBox="1">
          <a:spLocks noChangeArrowheads="1"/>
        </xdr:cNvSpPr>
      </xdr:nvSpPr>
      <xdr:spPr bwMode="auto">
        <a:xfrm>
          <a:off x="3028950" y="26612850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141</xdr:row>
      <xdr:rowOff>0</xdr:rowOff>
    </xdr:from>
    <xdr:to>
      <xdr:col>6</xdr:col>
      <xdr:colOff>76200</xdr:colOff>
      <xdr:row>141</xdr:row>
      <xdr:rowOff>28575</xdr:rowOff>
    </xdr:to>
    <xdr:sp macro="" textlink="">
      <xdr:nvSpPr>
        <xdr:cNvPr id="13" name="Text Box 2"/>
        <xdr:cNvSpPr txBox="1">
          <a:spLocks noChangeArrowheads="1"/>
        </xdr:cNvSpPr>
      </xdr:nvSpPr>
      <xdr:spPr bwMode="auto">
        <a:xfrm>
          <a:off x="3028950" y="26612850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172</xdr:row>
      <xdr:rowOff>0</xdr:rowOff>
    </xdr:from>
    <xdr:to>
      <xdr:col>6</xdr:col>
      <xdr:colOff>76200</xdr:colOff>
      <xdr:row>172</xdr:row>
      <xdr:rowOff>28575</xdr:rowOff>
    </xdr:to>
    <xdr:sp macro="" textlink="">
      <xdr:nvSpPr>
        <xdr:cNvPr id="14" name="Text Box 1"/>
        <xdr:cNvSpPr txBox="1">
          <a:spLocks noChangeArrowheads="1"/>
        </xdr:cNvSpPr>
      </xdr:nvSpPr>
      <xdr:spPr bwMode="auto">
        <a:xfrm>
          <a:off x="3028950" y="33080325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172</xdr:row>
      <xdr:rowOff>0</xdr:rowOff>
    </xdr:from>
    <xdr:to>
      <xdr:col>6</xdr:col>
      <xdr:colOff>76200</xdr:colOff>
      <xdr:row>172</xdr:row>
      <xdr:rowOff>28575</xdr:rowOff>
    </xdr:to>
    <xdr:sp macro="" textlink="">
      <xdr:nvSpPr>
        <xdr:cNvPr id="15" name="Text Box 2"/>
        <xdr:cNvSpPr txBox="1">
          <a:spLocks noChangeArrowheads="1"/>
        </xdr:cNvSpPr>
      </xdr:nvSpPr>
      <xdr:spPr bwMode="auto">
        <a:xfrm>
          <a:off x="3028950" y="33080325"/>
          <a:ext cx="762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39"/>
  <sheetViews>
    <sheetView tabSelected="1" zoomScale="85" zoomScaleNormal="85" workbookViewId="0">
      <selection activeCell="I11" sqref="I11"/>
    </sheetView>
  </sheetViews>
  <sheetFormatPr defaultRowHeight="15" x14ac:dyDescent="0.25"/>
  <cols>
    <col min="1" max="1" width="11" customWidth="1"/>
    <col min="2" max="3" width="7.875" customWidth="1"/>
    <col min="4" max="4" width="6.125" customWidth="1"/>
    <col min="5" max="5" width="5.75" customWidth="1"/>
    <col min="6" max="6" width="9.375" customWidth="1"/>
    <col min="7" max="7" width="5.375" customWidth="1"/>
    <col min="8" max="8" width="8.625" customWidth="1"/>
    <col min="9" max="9" width="8.375" customWidth="1"/>
    <col min="10" max="10" width="4.875" customWidth="1"/>
    <col min="11" max="11" width="22.625" customWidth="1"/>
    <col min="12" max="12" width="21.875" customWidth="1"/>
    <col min="13" max="13" width="6.375" style="1" customWidth="1"/>
    <col min="14" max="14" width="6.375" style="1" hidden="1" customWidth="1"/>
    <col min="15" max="15" width="12.875" hidden="1" customWidth="1"/>
    <col min="16" max="16" width="10.375" hidden="1" customWidth="1"/>
    <col min="17" max="17" width="11.375" hidden="1" customWidth="1"/>
    <col min="18" max="19" width="9" hidden="1" customWidth="1"/>
    <col min="20" max="20" width="13.625" hidden="1" customWidth="1"/>
    <col min="21" max="37" width="0" hidden="1" customWidth="1"/>
  </cols>
  <sheetData>
    <row r="1" spans="1:20" ht="23.25" customHeight="1" x14ac:dyDescent="0.3">
      <c r="A1" s="59" t="s">
        <v>158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26"/>
      <c r="O1" s="55" t="s">
        <v>120</v>
      </c>
      <c r="P1" s="55"/>
      <c r="Q1" s="55"/>
      <c r="R1" s="55"/>
      <c r="S1" s="55"/>
      <c r="T1" s="55"/>
    </row>
    <row r="2" spans="1:20" ht="15" customHeight="1" x14ac:dyDescent="0.3">
      <c r="A2" s="56" t="s">
        <v>5</v>
      </c>
      <c r="B2" s="60" t="s">
        <v>129</v>
      </c>
      <c r="C2" s="61"/>
      <c r="D2" s="56" t="s">
        <v>3</v>
      </c>
      <c r="E2" s="56"/>
      <c r="F2" s="56" t="s">
        <v>6</v>
      </c>
      <c r="G2" s="56"/>
      <c r="H2" s="56"/>
      <c r="I2" s="32" t="s">
        <v>127</v>
      </c>
      <c r="J2" s="57" t="s">
        <v>12</v>
      </c>
      <c r="K2" s="57" t="s">
        <v>10</v>
      </c>
      <c r="L2" s="57" t="s">
        <v>0</v>
      </c>
      <c r="M2" s="57" t="s">
        <v>1</v>
      </c>
      <c r="N2" s="5"/>
      <c r="O2" s="65" t="s">
        <v>110</v>
      </c>
      <c r="P2" s="66"/>
      <c r="Q2" s="65" t="s">
        <v>108</v>
      </c>
      <c r="R2" s="66"/>
      <c r="S2" s="28" t="s">
        <v>8</v>
      </c>
      <c r="T2" s="63" t="s">
        <v>101</v>
      </c>
    </row>
    <row r="3" spans="1:20" ht="18.75" x14ac:dyDescent="0.3">
      <c r="A3" s="56"/>
      <c r="B3" s="35" t="s">
        <v>119</v>
      </c>
      <c r="C3" s="35" t="s">
        <v>4</v>
      </c>
      <c r="D3" s="25" t="s">
        <v>119</v>
      </c>
      <c r="E3" s="7" t="s">
        <v>4</v>
      </c>
      <c r="F3" s="7" t="s">
        <v>2</v>
      </c>
      <c r="G3" s="25" t="s">
        <v>119</v>
      </c>
      <c r="H3" s="7" t="s">
        <v>4</v>
      </c>
      <c r="I3" s="33" t="s">
        <v>128</v>
      </c>
      <c r="J3" s="58"/>
      <c r="K3" s="58"/>
      <c r="L3" s="58"/>
      <c r="M3" s="58"/>
      <c r="N3" s="5"/>
      <c r="O3" s="28" t="s">
        <v>119</v>
      </c>
      <c r="P3" s="28" t="s">
        <v>109</v>
      </c>
      <c r="Q3" s="28" t="s">
        <v>119</v>
      </c>
      <c r="R3" s="28" t="s">
        <v>109</v>
      </c>
      <c r="S3" s="28" t="s">
        <v>15</v>
      </c>
      <c r="T3" s="64"/>
    </row>
    <row r="4" spans="1:20" ht="23.25" customHeight="1" x14ac:dyDescent="0.25">
      <c r="A4" s="38"/>
      <c r="B4" s="40">
        <v>30</v>
      </c>
      <c r="C4" s="40">
        <v>5</v>
      </c>
      <c r="D4" s="40">
        <v>180</v>
      </c>
      <c r="E4" s="40">
        <v>30</v>
      </c>
      <c r="F4" s="40">
        <f>SUM(H4*G4)</f>
        <v>20304</v>
      </c>
      <c r="G4" s="38">
        <v>6</v>
      </c>
      <c r="H4" s="38">
        <v>3384</v>
      </c>
      <c r="I4" s="38">
        <v>4.7</v>
      </c>
      <c r="J4" s="38">
        <v>2</v>
      </c>
      <c r="K4" s="38" t="s">
        <v>139</v>
      </c>
      <c r="L4" s="39" t="s">
        <v>130</v>
      </c>
      <c r="M4" s="2">
        <v>1</v>
      </c>
      <c r="N4" s="6"/>
      <c r="O4" s="4"/>
      <c r="P4" s="4"/>
      <c r="Q4" s="4"/>
      <c r="R4" s="4"/>
      <c r="S4" s="4"/>
      <c r="T4" s="4" t="s">
        <v>102</v>
      </c>
    </row>
    <row r="5" spans="1:20" ht="23.25" customHeight="1" x14ac:dyDescent="0.25">
      <c r="A5" s="38"/>
      <c r="B5" s="40">
        <v>60</v>
      </c>
      <c r="C5" s="40">
        <v>10</v>
      </c>
      <c r="D5" s="40">
        <v>324</v>
      </c>
      <c r="E5" s="40">
        <v>54</v>
      </c>
      <c r="F5" s="40">
        <v>30801</v>
      </c>
      <c r="G5" s="38">
        <v>6</v>
      </c>
      <c r="H5" s="38">
        <v>5133.6000000000004</v>
      </c>
      <c r="I5" s="38">
        <v>6.9</v>
      </c>
      <c r="J5" s="38">
        <v>2</v>
      </c>
      <c r="K5" s="45" t="s">
        <v>9</v>
      </c>
      <c r="L5" s="39" t="s">
        <v>130</v>
      </c>
      <c r="M5" s="8">
        <v>2</v>
      </c>
      <c r="N5" s="6"/>
      <c r="O5" s="4"/>
      <c r="P5" s="4"/>
      <c r="Q5" s="4"/>
      <c r="R5" s="4"/>
      <c r="S5" s="4"/>
      <c r="T5" s="4" t="s">
        <v>103</v>
      </c>
    </row>
    <row r="6" spans="1:20" ht="23.25" customHeight="1" x14ac:dyDescent="0.25">
      <c r="A6" s="38"/>
      <c r="B6" s="40">
        <v>60</v>
      </c>
      <c r="C6" s="40">
        <v>5</v>
      </c>
      <c r="D6" s="40">
        <f t="shared" ref="D6:D14" si="0">SUM(E6*G6)</f>
        <v>144</v>
      </c>
      <c r="E6" s="40">
        <v>12</v>
      </c>
      <c r="F6" s="40">
        <v>13392</v>
      </c>
      <c r="G6" s="38">
        <v>12</v>
      </c>
      <c r="H6" s="38">
        <v>1116</v>
      </c>
      <c r="I6" s="38">
        <v>1.5</v>
      </c>
      <c r="J6" s="38">
        <v>2</v>
      </c>
      <c r="K6" s="38" t="s">
        <v>141</v>
      </c>
      <c r="L6" s="39" t="s">
        <v>131</v>
      </c>
      <c r="M6" s="8">
        <v>3</v>
      </c>
      <c r="N6" s="6"/>
      <c r="O6" s="4"/>
      <c r="P6" s="4"/>
      <c r="Q6" s="4"/>
      <c r="R6" s="4"/>
      <c r="S6" s="4"/>
      <c r="T6" s="4" t="s">
        <v>104</v>
      </c>
    </row>
    <row r="7" spans="1:20" ht="23.25" customHeight="1" x14ac:dyDescent="0.25">
      <c r="A7" s="38"/>
      <c r="B7" s="40">
        <v>60</v>
      </c>
      <c r="C7" s="40">
        <v>5</v>
      </c>
      <c r="D7" s="40">
        <f t="shared" si="0"/>
        <v>144</v>
      </c>
      <c r="E7" s="40">
        <v>12</v>
      </c>
      <c r="F7" s="40">
        <v>13392</v>
      </c>
      <c r="G7" s="38">
        <v>12</v>
      </c>
      <c r="H7" s="38">
        <v>1116</v>
      </c>
      <c r="I7" s="38">
        <v>1.5</v>
      </c>
      <c r="J7" s="38">
        <v>2</v>
      </c>
      <c r="K7" s="38" t="s">
        <v>142</v>
      </c>
      <c r="L7" s="39" t="s">
        <v>132</v>
      </c>
      <c r="M7" s="8">
        <v>4</v>
      </c>
      <c r="N7" s="6"/>
      <c r="O7" s="4"/>
      <c r="P7" s="4"/>
      <c r="Q7" s="4"/>
      <c r="R7" s="4"/>
      <c r="S7" s="4"/>
      <c r="T7" s="4" t="s">
        <v>105</v>
      </c>
    </row>
    <row r="8" spans="1:20" ht="23.25" customHeight="1" x14ac:dyDescent="0.25">
      <c r="A8" s="38"/>
      <c r="B8" s="40">
        <v>60</v>
      </c>
      <c r="C8" s="40">
        <v>5</v>
      </c>
      <c r="D8" s="40">
        <f t="shared" si="0"/>
        <v>180</v>
      </c>
      <c r="E8" s="40">
        <v>15</v>
      </c>
      <c r="F8" s="40">
        <v>14280</v>
      </c>
      <c r="G8" s="38">
        <v>12</v>
      </c>
      <c r="H8" s="38">
        <v>1190</v>
      </c>
      <c r="I8" s="38">
        <v>1.6</v>
      </c>
      <c r="J8" s="38">
        <v>2</v>
      </c>
      <c r="K8" s="38" t="s">
        <v>143</v>
      </c>
      <c r="L8" s="39" t="s">
        <v>133</v>
      </c>
      <c r="M8" s="8">
        <v>5</v>
      </c>
      <c r="N8" s="6"/>
      <c r="O8" s="4"/>
      <c r="P8" s="4"/>
      <c r="Q8" s="4"/>
      <c r="R8" s="4"/>
      <c r="S8" s="4"/>
      <c r="T8" s="4" t="s">
        <v>106</v>
      </c>
    </row>
    <row r="9" spans="1:20" ht="23.25" customHeight="1" x14ac:dyDescent="0.25">
      <c r="A9" s="38"/>
      <c r="B9" s="40">
        <v>60</v>
      </c>
      <c r="C9" s="40">
        <v>5</v>
      </c>
      <c r="D9" s="40">
        <f t="shared" si="0"/>
        <v>180</v>
      </c>
      <c r="E9" s="40">
        <v>15</v>
      </c>
      <c r="F9" s="40">
        <v>13392</v>
      </c>
      <c r="G9" s="38">
        <v>12</v>
      </c>
      <c r="H9" s="38">
        <v>1116</v>
      </c>
      <c r="I9" s="38">
        <v>1.5</v>
      </c>
      <c r="J9" s="38">
        <v>2</v>
      </c>
      <c r="K9" s="38" t="s">
        <v>140</v>
      </c>
      <c r="L9" s="39" t="s">
        <v>134</v>
      </c>
      <c r="M9" s="8">
        <v>6</v>
      </c>
      <c r="N9" s="6"/>
      <c r="O9" s="4"/>
      <c r="P9" s="4"/>
      <c r="Q9" s="4"/>
      <c r="R9" s="4"/>
      <c r="S9" s="4"/>
      <c r="T9" s="4" t="s">
        <v>107</v>
      </c>
    </row>
    <row r="10" spans="1:20" ht="23.25" customHeight="1" x14ac:dyDescent="0.25">
      <c r="A10" s="38"/>
      <c r="B10" s="40">
        <v>60</v>
      </c>
      <c r="C10" s="40">
        <v>5</v>
      </c>
      <c r="D10" s="40">
        <f t="shared" si="0"/>
        <v>180</v>
      </c>
      <c r="E10" s="40">
        <v>15</v>
      </c>
      <c r="F10" s="40">
        <v>13392</v>
      </c>
      <c r="G10" s="42">
        <v>12</v>
      </c>
      <c r="H10" s="42">
        <v>1116</v>
      </c>
      <c r="I10" s="42">
        <v>1.5</v>
      </c>
      <c r="J10" s="42">
        <v>2</v>
      </c>
      <c r="K10" s="42" t="s">
        <v>143</v>
      </c>
      <c r="L10" s="39" t="s">
        <v>135</v>
      </c>
      <c r="M10" s="8">
        <v>7</v>
      </c>
      <c r="N10" s="6"/>
      <c r="O10" s="4">
        <f t="shared" ref="O10" si="1">SUM(O4:O9)</f>
        <v>0</v>
      </c>
      <c r="P10" s="4">
        <f t="shared" ref="P10" si="2">SUM(P4:P9)</f>
        <v>0</v>
      </c>
      <c r="Q10" s="4">
        <f t="shared" ref="Q10" si="3">SUM(Q4:Q9)</f>
        <v>0</v>
      </c>
      <c r="R10" s="4">
        <f t="shared" ref="R10" si="4">SUM(R4:R9)</f>
        <v>0</v>
      </c>
      <c r="S10" s="4">
        <f>SUM(S4:S9)</f>
        <v>0</v>
      </c>
      <c r="T10" s="4" t="s">
        <v>11</v>
      </c>
    </row>
    <row r="11" spans="1:20" ht="23.25" customHeight="1" x14ac:dyDescent="0.25">
      <c r="A11" s="38"/>
      <c r="B11" s="40">
        <v>8</v>
      </c>
      <c r="C11" s="40">
        <v>1</v>
      </c>
      <c r="D11" s="40">
        <f t="shared" si="0"/>
        <v>60</v>
      </c>
      <c r="E11" s="40">
        <v>5</v>
      </c>
      <c r="F11" s="40">
        <v>1440</v>
      </c>
      <c r="G11" s="42">
        <v>12</v>
      </c>
      <c r="H11" s="42">
        <v>120</v>
      </c>
      <c r="I11" s="42">
        <v>2</v>
      </c>
      <c r="J11" s="42">
        <v>1</v>
      </c>
      <c r="K11" s="42" t="s">
        <v>144</v>
      </c>
      <c r="L11" s="39" t="s">
        <v>136</v>
      </c>
      <c r="M11" s="8">
        <v>8</v>
      </c>
      <c r="N11" s="6"/>
    </row>
    <row r="12" spans="1:20" ht="23.25" customHeight="1" x14ac:dyDescent="0.25">
      <c r="A12" s="38"/>
      <c r="B12" s="40">
        <v>12</v>
      </c>
      <c r="C12" s="40">
        <v>1</v>
      </c>
      <c r="D12" s="40">
        <f t="shared" si="0"/>
        <v>60</v>
      </c>
      <c r="E12" s="40">
        <v>5</v>
      </c>
      <c r="F12" s="40">
        <v>1800</v>
      </c>
      <c r="G12" s="42">
        <v>12</v>
      </c>
      <c r="H12" s="42">
        <v>150</v>
      </c>
      <c r="I12" s="42">
        <v>2</v>
      </c>
      <c r="J12" s="42">
        <v>1</v>
      </c>
      <c r="K12" s="42" t="s">
        <v>144</v>
      </c>
      <c r="L12" s="39" t="s">
        <v>137</v>
      </c>
      <c r="M12" s="8">
        <v>9</v>
      </c>
      <c r="N12" s="6"/>
    </row>
    <row r="13" spans="1:20" ht="23.25" customHeight="1" x14ac:dyDescent="0.25">
      <c r="A13" s="38" t="s">
        <v>146</v>
      </c>
      <c r="B13" s="40">
        <v>72</v>
      </c>
      <c r="C13" s="40">
        <v>6</v>
      </c>
      <c r="D13" s="40">
        <v>276</v>
      </c>
      <c r="E13" s="40">
        <v>23</v>
      </c>
      <c r="F13" s="40">
        <v>22200</v>
      </c>
      <c r="G13" s="42">
        <v>12</v>
      </c>
      <c r="H13" s="42">
        <v>1850</v>
      </c>
      <c r="I13" s="42">
        <v>2.5</v>
      </c>
      <c r="J13" s="42">
        <v>2</v>
      </c>
      <c r="K13" s="42" t="s">
        <v>159</v>
      </c>
      <c r="L13" s="41" t="s">
        <v>138</v>
      </c>
      <c r="M13" s="8">
        <v>10</v>
      </c>
      <c r="N13" s="6"/>
    </row>
    <row r="14" spans="1:20" ht="23.25" customHeight="1" x14ac:dyDescent="0.25">
      <c r="A14" s="38"/>
      <c r="B14" s="40">
        <v>60</v>
      </c>
      <c r="C14" s="40">
        <v>5</v>
      </c>
      <c r="D14" s="40">
        <f t="shared" si="0"/>
        <v>180</v>
      </c>
      <c r="E14" s="40">
        <v>15</v>
      </c>
      <c r="F14" s="40">
        <v>13392</v>
      </c>
      <c r="G14" s="38">
        <v>12</v>
      </c>
      <c r="H14" s="38">
        <v>1116</v>
      </c>
      <c r="I14" s="38">
        <v>1.5</v>
      </c>
      <c r="J14" s="38">
        <v>2</v>
      </c>
      <c r="K14" s="38" t="s">
        <v>160</v>
      </c>
      <c r="L14" s="39" t="s">
        <v>148</v>
      </c>
      <c r="M14" s="8">
        <v>15</v>
      </c>
      <c r="N14" s="6"/>
    </row>
    <row r="15" spans="1:20" ht="23.25" customHeight="1" x14ac:dyDescent="0.25">
      <c r="A15" s="8"/>
      <c r="B15" s="43">
        <v>542</v>
      </c>
      <c r="C15" s="43">
        <v>53</v>
      </c>
      <c r="D15" s="43">
        <v>1908</v>
      </c>
      <c r="E15" s="43">
        <v>201</v>
      </c>
      <c r="F15" s="43">
        <v>157785</v>
      </c>
      <c r="G15" s="31"/>
      <c r="H15" s="43">
        <v>17407.599999999999</v>
      </c>
      <c r="I15" s="34"/>
      <c r="J15" s="2"/>
      <c r="K15" s="3"/>
      <c r="L15" s="37" t="s">
        <v>145</v>
      </c>
      <c r="M15" s="8">
        <v>16</v>
      </c>
      <c r="N15" s="6"/>
    </row>
    <row r="16" spans="1:20" ht="19.5" customHeight="1" x14ac:dyDescent="0.25">
      <c r="A16" s="62" t="s">
        <v>147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36">
        <v>17</v>
      </c>
      <c r="N16" s="6"/>
    </row>
    <row r="17" spans="1:14" ht="20.25" customHeight="1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36">
        <v>18</v>
      </c>
      <c r="N17" s="6"/>
    </row>
    <row r="18" spans="1:14" ht="26.25" customHeight="1" x14ac:dyDescent="0.25">
      <c r="A18" s="46"/>
      <c r="B18" s="47"/>
      <c r="C18" s="47"/>
      <c r="D18" s="47"/>
      <c r="E18" s="47"/>
      <c r="F18" s="47"/>
      <c r="G18" s="47"/>
      <c r="H18" s="47"/>
      <c r="I18" s="47"/>
      <c r="J18" s="48"/>
      <c r="K18" s="4">
        <v>55</v>
      </c>
      <c r="L18" s="4" t="s">
        <v>149</v>
      </c>
      <c r="M18" s="36">
        <v>19</v>
      </c>
      <c r="N18" s="6"/>
    </row>
    <row r="19" spans="1:14" ht="26.25" customHeight="1" x14ac:dyDescent="0.25">
      <c r="A19" s="49"/>
      <c r="B19" s="50"/>
      <c r="C19" s="50"/>
      <c r="D19" s="50"/>
      <c r="E19" s="50"/>
      <c r="F19" s="50"/>
      <c r="G19" s="50"/>
      <c r="H19" s="50"/>
      <c r="I19" s="50"/>
      <c r="J19" s="51"/>
      <c r="K19" s="4">
        <v>12</v>
      </c>
      <c r="L19" s="4" t="s">
        <v>150</v>
      </c>
      <c r="M19" s="36">
        <v>20</v>
      </c>
      <c r="N19" s="6"/>
    </row>
    <row r="20" spans="1:14" ht="26.25" customHeight="1" x14ac:dyDescent="0.25">
      <c r="A20" s="49"/>
      <c r="B20" s="50"/>
      <c r="C20" s="50"/>
      <c r="D20" s="50"/>
      <c r="E20" s="50"/>
      <c r="F20" s="50"/>
      <c r="G20" s="50"/>
      <c r="H20" s="50"/>
      <c r="I20" s="50"/>
      <c r="J20" s="51"/>
      <c r="K20" s="4">
        <v>2</v>
      </c>
      <c r="L20" s="4" t="s">
        <v>151</v>
      </c>
      <c r="M20" s="36">
        <v>21</v>
      </c>
      <c r="N20" s="6"/>
    </row>
    <row r="21" spans="1:14" ht="26.25" customHeight="1" x14ac:dyDescent="0.25">
      <c r="A21" s="49"/>
      <c r="B21" s="50"/>
      <c r="C21" s="50"/>
      <c r="D21" s="50"/>
      <c r="E21" s="50"/>
      <c r="F21" s="50"/>
      <c r="G21" s="50"/>
      <c r="H21" s="50"/>
      <c r="I21" s="50"/>
      <c r="J21" s="51"/>
      <c r="K21" s="4">
        <v>2</v>
      </c>
      <c r="L21" s="4" t="s">
        <v>152</v>
      </c>
      <c r="M21" s="36">
        <v>22</v>
      </c>
      <c r="N21" s="6"/>
    </row>
    <row r="22" spans="1:14" ht="26.25" customHeight="1" x14ac:dyDescent="0.25">
      <c r="A22" s="49"/>
      <c r="B22" s="50"/>
      <c r="C22" s="50"/>
      <c r="D22" s="50"/>
      <c r="E22" s="50"/>
      <c r="F22" s="50"/>
      <c r="G22" s="50"/>
      <c r="H22" s="50"/>
      <c r="I22" s="50"/>
      <c r="J22" s="51"/>
      <c r="K22" s="4" t="s">
        <v>153</v>
      </c>
      <c r="L22" s="4" t="s">
        <v>154</v>
      </c>
      <c r="M22" s="36">
        <v>23</v>
      </c>
      <c r="N22" s="6"/>
    </row>
    <row r="23" spans="1:14" ht="26.25" customHeight="1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1"/>
      <c r="K23" s="44">
        <v>24</v>
      </c>
      <c r="L23" s="44" t="s">
        <v>157</v>
      </c>
      <c r="M23" s="36">
        <v>24</v>
      </c>
      <c r="N23" s="6"/>
    </row>
    <row r="24" spans="1:14" ht="26.25" customHeight="1" x14ac:dyDescent="0.25">
      <c r="A24" s="49"/>
      <c r="B24" s="50"/>
      <c r="C24" s="50"/>
      <c r="D24" s="50"/>
      <c r="E24" s="50"/>
      <c r="F24" s="50"/>
      <c r="G24" s="50"/>
      <c r="H24" s="50"/>
      <c r="I24" s="50"/>
      <c r="J24" s="51"/>
      <c r="K24" s="44">
        <v>6</v>
      </c>
      <c r="L24" s="44" t="s">
        <v>155</v>
      </c>
      <c r="M24" s="36">
        <v>25</v>
      </c>
      <c r="N24" s="6"/>
    </row>
    <row r="25" spans="1:14" ht="26.25" customHeigh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4"/>
      <c r="K25" s="44">
        <v>2</v>
      </c>
      <c r="L25" s="44" t="s">
        <v>156</v>
      </c>
      <c r="M25" s="36">
        <v>25</v>
      </c>
      <c r="N25" s="6"/>
    </row>
    <row r="26" spans="1:14" x14ac:dyDescent="0.25">
      <c r="N26" s="6"/>
    </row>
    <row r="27" spans="1:14" x14ac:dyDescent="0.25">
      <c r="N27" s="6"/>
    </row>
    <row r="28" spans="1:14" x14ac:dyDescent="0.25">
      <c r="N28" s="6"/>
    </row>
    <row r="29" spans="1:14" x14ac:dyDescent="0.25">
      <c r="N29" s="6"/>
    </row>
    <row r="30" spans="1:14" x14ac:dyDescent="0.25">
      <c r="N30" s="6"/>
    </row>
    <row r="31" spans="1:14" x14ac:dyDescent="0.25">
      <c r="N31" s="6"/>
    </row>
    <row r="32" spans="1:14" x14ac:dyDescent="0.25">
      <c r="N32" s="6"/>
    </row>
    <row r="33" spans="14:14" x14ac:dyDescent="0.25">
      <c r="N33" s="6"/>
    </row>
    <row r="34" spans="14:14" x14ac:dyDescent="0.25">
      <c r="N34" s="6"/>
    </row>
    <row r="35" spans="14:14" x14ac:dyDescent="0.25">
      <c r="N35" s="6"/>
    </row>
    <row r="36" spans="14:14" x14ac:dyDescent="0.25">
      <c r="N36" s="6"/>
    </row>
    <row r="37" spans="14:14" x14ac:dyDescent="0.25">
      <c r="N37" s="6"/>
    </row>
    <row r="38" spans="14:14" x14ac:dyDescent="0.25">
      <c r="N38" s="6"/>
    </row>
    <row r="39" spans="14:14" x14ac:dyDescent="0.25">
      <c r="N39" s="6"/>
    </row>
    <row r="40" spans="14:14" x14ac:dyDescent="0.25">
      <c r="N40" s="6"/>
    </row>
    <row r="41" spans="14:14" x14ac:dyDescent="0.25">
      <c r="N41" s="6"/>
    </row>
    <row r="42" spans="14:14" x14ac:dyDescent="0.25">
      <c r="N42" s="6"/>
    </row>
    <row r="43" spans="14:14" x14ac:dyDescent="0.25">
      <c r="N43" s="6"/>
    </row>
    <row r="44" spans="14:14" x14ac:dyDescent="0.25">
      <c r="N44" s="6"/>
    </row>
    <row r="45" spans="14:14" x14ac:dyDescent="0.25">
      <c r="N45" s="6"/>
    </row>
    <row r="46" spans="14:14" x14ac:dyDescent="0.25">
      <c r="N46" s="6"/>
    </row>
    <row r="47" spans="14:14" x14ac:dyDescent="0.25">
      <c r="N47" s="6"/>
    </row>
    <row r="48" spans="14:14" x14ac:dyDescent="0.25">
      <c r="N48" s="6"/>
    </row>
    <row r="49" spans="14:14" x14ac:dyDescent="0.25">
      <c r="N49" s="6"/>
    </row>
    <row r="50" spans="14:14" x14ac:dyDescent="0.25">
      <c r="N50" s="6"/>
    </row>
    <row r="51" spans="14:14" x14ac:dyDescent="0.25">
      <c r="N51" s="6"/>
    </row>
    <row r="52" spans="14:14" x14ac:dyDescent="0.25">
      <c r="N52" s="6"/>
    </row>
    <row r="53" spans="14:14" x14ac:dyDescent="0.25">
      <c r="N53" s="6"/>
    </row>
    <row r="54" spans="14:14" x14ac:dyDescent="0.25">
      <c r="N54" s="6"/>
    </row>
    <row r="55" spans="14:14" x14ac:dyDescent="0.25">
      <c r="N55" s="6"/>
    </row>
    <row r="56" spans="14:14" x14ac:dyDescent="0.25">
      <c r="N56" s="6"/>
    </row>
    <row r="57" spans="14:14" x14ac:dyDescent="0.25">
      <c r="N57" s="6"/>
    </row>
    <row r="58" spans="14:14" x14ac:dyDescent="0.25">
      <c r="N58" s="6"/>
    </row>
    <row r="59" spans="14:14" x14ac:dyDescent="0.25">
      <c r="N59" s="6"/>
    </row>
    <row r="60" spans="14:14" x14ac:dyDescent="0.25">
      <c r="N60" s="6"/>
    </row>
    <row r="61" spans="14:14" x14ac:dyDescent="0.25">
      <c r="N61" s="6"/>
    </row>
    <row r="62" spans="14:14" x14ac:dyDescent="0.25">
      <c r="N62" s="6"/>
    </row>
    <row r="63" spans="14:14" x14ac:dyDescent="0.25">
      <c r="N63" s="6"/>
    </row>
    <row r="64" spans="14:14" x14ac:dyDescent="0.25">
      <c r="N64" s="6"/>
    </row>
    <row r="65" spans="14:14" x14ac:dyDescent="0.25">
      <c r="N65" s="6"/>
    </row>
    <row r="66" spans="14:14" x14ac:dyDescent="0.25">
      <c r="N66" s="6"/>
    </row>
    <row r="67" spans="14:14" x14ac:dyDescent="0.25">
      <c r="N67" s="6"/>
    </row>
    <row r="68" spans="14:14" x14ac:dyDescent="0.25">
      <c r="N68" s="6"/>
    </row>
    <row r="69" spans="14:14" x14ac:dyDescent="0.25">
      <c r="N69" s="6"/>
    </row>
    <row r="70" spans="14:14" x14ac:dyDescent="0.25">
      <c r="N70" s="6"/>
    </row>
    <row r="71" spans="14:14" x14ac:dyDescent="0.25">
      <c r="N71" s="6"/>
    </row>
    <row r="72" spans="14:14" x14ac:dyDescent="0.25">
      <c r="N72" s="6"/>
    </row>
    <row r="73" spans="14:14" x14ac:dyDescent="0.25">
      <c r="N73" s="6"/>
    </row>
    <row r="74" spans="14:14" x14ac:dyDescent="0.25">
      <c r="N74" s="6"/>
    </row>
    <row r="75" spans="14:14" x14ac:dyDescent="0.25">
      <c r="N75" s="6"/>
    </row>
    <row r="76" spans="14:14" x14ac:dyDescent="0.25">
      <c r="N76" s="6"/>
    </row>
    <row r="77" spans="14:14" x14ac:dyDescent="0.25">
      <c r="N77" s="6"/>
    </row>
    <row r="78" spans="14:14" x14ac:dyDescent="0.25">
      <c r="N78" s="6"/>
    </row>
    <row r="79" spans="14:14" x14ac:dyDescent="0.25">
      <c r="N79" s="6"/>
    </row>
    <row r="80" spans="14:14" x14ac:dyDescent="0.25">
      <c r="N80" s="6"/>
    </row>
    <row r="81" spans="14:14" x14ac:dyDescent="0.25">
      <c r="N81" s="6"/>
    </row>
    <row r="82" spans="14:14" x14ac:dyDescent="0.25">
      <c r="N82" s="6"/>
    </row>
    <row r="83" spans="14:14" x14ac:dyDescent="0.25">
      <c r="N83" s="6"/>
    </row>
    <row r="84" spans="14:14" x14ac:dyDescent="0.25">
      <c r="N84" s="6"/>
    </row>
    <row r="85" spans="14:14" x14ac:dyDescent="0.25">
      <c r="N85" s="6"/>
    </row>
    <row r="86" spans="14:14" x14ac:dyDescent="0.25">
      <c r="N86" s="6"/>
    </row>
    <row r="87" spans="14:14" x14ac:dyDescent="0.25">
      <c r="N87" s="6"/>
    </row>
    <row r="88" spans="14:14" x14ac:dyDescent="0.25">
      <c r="N88" s="6"/>
    </row>
    <row r="89" spans="14:14" x14ac:dyDescent="0.25">
      <c r="N89" s="6"/>
    </row>
    <row r="90" spans="14:14" x14ac:dyDescent="0.25">
      <c r="N90" s="6"/>
    </row>
    <row r="91" spans="14:14" x14ac:dyDescent="0.25">
      <c r="N91" s="6"/>
    </row>
    <row r="92" spans="14:14" x14ac:dyDescent="0.25">
      <c r="N92" s="6"/>
    </row>
    <row r="93" spans="14:14" x14ac:dyDescent="0.25">
      <c r="N93" s="6"/>
    </row>
    <row r="94" spans="14:14" x14ac:dyDescent="0.25">
      <c r="N94" s="6"/>
    </row>
    <row r="95" spans="14:14" x14ac:dyDescent="0.25">
      <c r="N95" s="6"/>
    </row>
    <row r="96" spans="14:14" x14ac:dyDescent="0.25">
      <c r="N96" s="6"/>
    </row>
    <row r="97" spans="14:14" x14ac:dyDescent="0.25">
      <c r="N97" s="6"/>
    </row>
    <row r="98" spans="14:14" x14ac:dyDescent="0.25">
      <c r="N98" s="6"/>
    </row>
    <row r="99" spans="14:14" x14ac:dyDescent="0.25">
      <c r="N99" s="6"/>
    </row>
    <row r="100" spans="14:14" x14ac:dyDescent="0.25">
      <c r="N100" s="6"/>
    </row>
    <row r="101" spans="14:14" x14ac:dyDescent="0.25">
      <c r="N101" s="6"/>
    </row>
    <row r="102" spans="14:14" x14ac:dyDescent="0.25">
      <c r="N102" s="6"/>
    </row>
    <row r="103" spans="14:14" x14ac:dyDescent="0.25">
      <c r="N103" s="6"/>
    </row>
    <row r="104" spans="14:14" x14ac:dyDescent="0.25">
      <c r="N104" s="6"/>
    </row>
    <row r="105" spans="14:14" x14ac:dyDescent="0.25">
      <c r="N105" s="6"/>
    </row>
    <row r="106" spans="14:14" x14ac:dyDescent="0.25">
      <c r="N106" s="6"/>
    </row>
    <row r="107" spans="14:14" x14ac:dyDescent="0.25">
      <c r="N107" s="6"/>
    </row>
    <row r="108" spans="14:14" x14ac:dyDescent="0.25">
      <c r="N108" s="6"/>
    </row>
    <row r="109" spans="14:14" x14ac:dyDescent="0.25">
      <c r="N109" s="6"/>
    </row>
    <row r="110" spans="14:14" x14ac:dyDescent="0.25">
      <c r="N110" s="6"/>
    </row>
    <row r="111" spans="14:14" x14ac:dyDescent="0.25">
      <c r="N111" s="6"/>
    </row>
    <row r="112" spans="14:14" x14ac:dyDescent="0.25">
      <c r="N112" s="6"/>
    </row>
    <row r="113" spans="14:14" x14ac:dyDescent="0.25">
      <c r="N113" s="6"/>
    </row>
    <row r="114" spans="14:14" x14ac:dyDescent="0.25">
      <c r="N114" s="6"/>
    </row>
    <row r="115" spans="14:14" x14ac:dyDescent="0.25">
      <c r="N115" s="6"/>
    </row>
    <row r="116" spans="14:14" x14ac:dyDescent="0.25">
      <c r="N116" s="6"/>
    </row>
    <row r="117" spans="14:14" x14ac:dyDescent="0.25">
      <c r="N117" s="6"/>
    </row>
    <row r="118" spans="14:14" x14ac:dyDescent="0.25">
      <c r="N118" s="6"/>
    </row>
    <row r="119" spans="14:14" x14ac:dyDescent="0.25">
      <c r="N119" s="6"/>
    </row>
    <row r="120" spans="14:14" x14ac:dyDescent="0.25">
      <c r="N120" s="6"/>
    </row>
    <row r="121" spans="14:14" x14ac:dyDescent="0.25">
      <c r="N121" s="6"/>
    </row>
    <row r="122" spans="14:14" x14ac:dyDescent="0.25">
      <c r="N122" s="6"/>
    </row>
    <row r="123" spans="14:14" x14ac:dyDescent="0.25">
      <c r="N123" s="6"/>
    </row>
    <row r="124" spans="14:14" x14ac:dyDescent="0.25">
      <c r="N124" s="6"/>
    </row>
    <row r="125" spans="14:14" x14ac:dyDescent="0.25">
      <c r="N125" s="6"/>
    </row>
    <row r="126" spans="14:14" x14ac:dyDescent="0.25">
      <c r="N126" s="6"/>
    </row>
    <row r="127" spans="14:14" x14ac:dyDescent="0.25">
      <c r="N127" s="6"/>
    </row>
    <row r="128" spans="14:14" x14ac:dyDescent="0.25">
      <c r="N128" s="6"/>
    </row>
    <row r="129" spans="14:14" x14ac:dyDescent="0.25">
      <c r="N129" s="6"/>
    </row>
    <row r="130" spans="14:14" x14ac:dyDescent="0.25">
      <c r="N130" s="6"/>
    </row>
    <row r="131" spans="14:14" x14ac:dyDescent="0.25">
      <c r="N131" s="6"/>
    </row>
    <row r="132" spans="14:14" x14ac:dyDescent="0.25">
      <c r="N132" s="6"/>
    </row>
    <row r="133" spans="14:14" x14ac:dyDescent="0.25">
      <c r="N133" s="6"/>
    </row>
    <row r="134" spans="14:14" x14ac:dyDescent="0.25">
      <c r="N134" s="6"/>
    </row>
    <row r="135" spans="14:14" x14ac:dyDescent="0.25">
      <c r="N135" s="6"/>
    </row>
    <row r="136" spans="14:14" x14ac:dyDescent="0.25">
      <c r="N136" s="6"/>
    </row>
    <row r="137" spans="14:14" x14ac:dyDescent="0.25">
      <c r="N137" s="6"/>
    </row>
    <row r="138" spans="14:14" x14ac:dyDescent="0.25">
      <c r="N138" s="6"/>
    </row>
    <row r="139" spans="14:14" x14ac:dyDescent="0.25">
      <c r="N139" s="6"/>
    </row>
    <row r="140" spans="14:14" x14ac:dyDescent="0.25">
      <c r="N140" s="6"/>
    </row>
    <row r="141" spans="14:14" x14ac:dyDescent="0.25">
      <c r="N141" s="6"/>
    </row>
    <row r="142" spans="14:14" x14ac:dyDescent="0.25">
      <c r="N142" s="6"/>
    </row>
    <row r="143" spans="14:14" x14ac:dyDescent="0.25">
      <c r="N143" s="6"/>
    </row>
    <row r="144" spans="14:14" x14ac:dyDescent="0.25">
      <c r="N144" s="6"/>
    </row>
    <row r="145" spans="14:14" x14ac:dyDescent="0.25">
      <c r="N145" s="6"/>
    </row>
    <row r="146" spans="14:14" x14ac:dyDescent="0.25">
      <c r="N146" s="6"/>
    </row>
    <row r="147" spans="14:14" x14ac:dyDescent="0.25">
      <c r="N147" s="6"/>
    </row>
    <row r="148" spans="14:14" x14ac:dyDescent="0.25">
      <c r="N148" s="6"/>
    </row>
    <row r="149" spans="14:14" x14ac:dyDescent="0.25">
      <c r="N149" s="6"/>
    </row>
    <row r="150" spans="14:14" x14ac:dyDescent="0.25">
      <c r="N150" s="6"/>
    </row>
    <row r="151" spans="14:14" x14ac:dyDescent="0.25">
      <c r="N151" s="6"/>
    </row>
    <row r="152" spans="14:14" x14ac:dyDescent="0.25">
      <c r="N152" s="6"/>
    </row>
    <row r="153" spans="14:14" x14ac:dyDescent="0.25">
      <c r="N153" s="6"/>
    </row>
    <row r="154" spans="14:14" x14ac:dyDescent="0.25">
      <c r="N154" s="6"/>
    </row>
    <row r="155" spans="14:14" x14ac:dyDescent="0.25">
      <c r="N155" s="6"/>
    </row>
    <row r="156" spans="14:14" x14ac:dyDescent="0.25">
      <c r="N156" s="6"/>
    </row>
    <row r="157" spans="14:14" x14ac:dyDescent="0.25">
      <c r="N157" s="6"/>
    </row>
    <row r="158" spans="14:14" x14ac:dyDescent="0.25">
      <c r="N158" s="6"/>
    </row>
    <row r="159" spans="14:14" x14ac:dyDescent="0.25">
      <c r="N159" s="6"/>
    </row>
    <row r="160" spans="14:14" x14ac:dyDescent="0.25">
      <c r="N160" s="6"/>
    </row>
    <row r="161" spans="14:14" x14ac:dyDescent="0.25">
      <c r="N161" s="6"/>
    </row>
    <row r="162" spans="14:14" x14ac:dyDescent="0.25">
      <c r="N162" s="6"/>
    </row>
    <row r="163" spans="14:14" x14ac:dyDescent="0.25">
      <c r="N163" s="6"/>
    </row>
    <row r="164" spans="14:14" x14ac:dyDescent="0.25">
      <c r="N164" s="6"/>
    </row>
    <row r="165" spans="14:14" x14ac:dyDescent="0.25">
      <c r="N165" s="6"/>
    </row>
    <row r="166" spans="14:14" x14ac:dyDescent="0.25">
      <c r="N166" s="6"/>
    </row>
    <row r="167" spans="14:14" x14ac:dyDescent="0.25">
      <c r="N167" s="6"/>
    </row>
    <row r="168" spans="14:14" x14ac:dyDescent="0.25">
      <c r="N168" s="6"/>
    </row>
    <row r="169" spans="14:14" x14ac:dyDescent="0.25">
      <c r="N169" s="6"/>
    </row>
    <row r="170" spans="14:14" x14ac:dyDescent="0.25">
      <c r="N170" s="6"/>
    </row>
    <row r="171" spans="14:14" x14ac:dyDescent="0.25">
      <c r="N171" s="6"/>
    </row>
    <row r="172" spans="14:14" x14ac:dyDescent="0.25">
      <c r="N172" s="6"/>
    </row>
    <row r="173" spans="14:14" x14ac:dyDescent="0.25">
      <c r="N173" s="6"/>
    </row>
    <row r="174" spans="14:14" x14ac:dyDescent="0.25">
      <c r="N174" s="6"/>
    </row>
    <row r="175" spans="14:14" x14ac:dyDescent="0.25">
      <c r="N175" s="6"/>
    </row>
    <row r="176" spans="14:14" x14ac:dyDescent="0.25">
      <c r="N176" s="6"/>
    </row>
    <row r="177" spans="14:14" x14ac:dyDescent="0.25">
      <c r="N177" s="6"/>
    </row>
    <row r="178" spans="14:14" x14ac:dyDescent="0.25">
      <c r="N178" s="6"/>
    </row>
    <row r="179" spans="14:14" x14ac:dyDescent="0.25">
      <c r="N179" s="6"/>
    </row>
    <row r="180" spans="14:14" x14ac:dyDescent="0.25">
      <c r="N180" s="6"/>
    </row>
    <row r="181" spans="14:14" x14ac:dyDescent="0.25">
      <c r="N181" s="6"/>
    </row>
    <row r="182" spans="14:14" x14ac:dyDescent="0.25">
      <c r="N182" s="6"/>
    </row>
    <row r="183" spans="14:14" x14ac:dyDescent="0.25">
      <c r="N183" s="6"/>
    </row>
    <row r="184" spans="14:14" x14ac:dyDescent="0.25">
      <c r="N184" s="6"/>
    </row>
    <row r="185" spans="14:14" x14ac:dyDescent="0.25">
      <c r="N185" s="6"/>
    </row>
    <row r="186" spans="14:14" x14ac:dyDescent="0.25">
      <c r="N186" s="6"/>
    </row>
    <row r="187" spans="14:14" x14ac:dyDescent="0.25">
      <c r="N187" s="6"/>
    </row>
    <row r="188" spans="14:14" x14ac:dyDescent="0.25">
      <c r="N188" s="6"/>
    </row>
    <row r="189" spans="14:14" x14ac:dyDescent="0.25">
      <c r="N189" s="6"/>
    </row>
    <row r="190" spans="14:14" x14ac:dyDescent="0.25">
      <c r="N190" s="6"/>
    </row>
    <row r="191" spans="14:14" x14ac:dyDescent="0.25">
      <c r="N191" s="6"/>
    </row>
    <row r="192" spans="14:14" x14ac:dyDescent="0.25">
      <c r="N192" s="6"/>
    </row>
    <row r="193" spans="14:14" x14ac:dyDescent="0.25">
      <c r="N193" s="6"/>
    </row>
    <row r="194" spans="14:14" x14ac:dyDescent="0.25">
      <c r="N194" s="6"/>
    </row>
    <row r="195" spans="14:14" x14ac:dyDescent="0.25">
      <c r="N195" s="6"/>
    </row>
    <row r="196" spans="14:14" x14ac:dyDescent="0.25">
      <c r="N196" s="6"/>
    </row>
    <row r="197" spans="14:14" x14ac:dyDescent="0.25">
      <c r="N197" s="6"/>
    </row>
    <row r="198" spans="14:14" x14ac:dyDescent="0.25">
      <c r="N198" s="6"/>
    </row>
    <row r="199" spans="14:14" x14ac:dyDescent="0.25">
      <c r="N199" s="6"/>
    </row>
    <row r="200" spans="14:14" x14ac:dyDescent="0.25">
      <c r="N200" s="6"/>
    </row>
    <row r="201" spans="14:14" x14ac:dyDescent="0.25">
      <c r="N201" s="6"/>
    </row>
    <row r="202" spans="14:14" x14ac:dyDescent="0.25">
      <c r="N202" s="6"/>
    </row>
    <row r="203" spans="14:14" x14ac:dyDescent="0.25">
      <c r="N203" s="6"/>
    </row>
    <row r="204" spans="14:14" x14ac:dyDescent="0.25">
      <c r="N204" s="6"/>
    </row>
    <row r="205" spans="14:14" x14ac:dyDescent="0.25">
      <c r="N205" s="6"/>
    </row>
    <row r="206" spans="14:14" x14ac:dyDescent="0.25">
      <c r="N206" s="6"/>
    </row>
    <row r="207" spans="14:14" x14ac:dyDescent="0.25">
      <c r="N207" s="6"/>
    </row>
    <row r="208" spans="14:14" x14ac:dyDescent="0.25">
      <c r="N208" s="6"/>
    </row>
    <row r="209" spans="14:14" x14ac:dyDescent="0.25">
      <c r="N209" s="6"/>
    </row>
    <row r="210" spans="14:14" x14ac:dyDescent="0.25">
      <c r="N210" s="6"/>
    </row>
    <row r="211" spans="14:14" x14ac:dyDescent="0.25">
      <c r="N211" s="6"/>
    </row>
    <row r="212" spans="14:14" x14ac:dyDescent="0.25">
      <c r="N212" s="6"/>
    </row>
    <row r="213" spans="14:14" x14ac:dyDescent="0.25">
      <c r="N213" s="6"/>
    </row>
    <row r="214" spans="14:14" x14ac:dyDescent="0.25">
      <c r="N214" s="6"/>
    </row>
    <row r="215" spans="14:14" x14ac:dyDescent="0.25">
      <c r="N215" s="6"/>
    </row>
    <row r="216" spans="14:14" x14ac:dyDescent="0.25">
      <c r="N216" s="6"/>
    </row>
    <row r="217" spans="14:14" x14ac:dyDescent="0.25">
      <c r="N217" s="6"/>
    </row>
    <row r="218" spans="14:14" x14ac:dyDescent="0.25">
      <c r="N218" s="6"/>
    </row>
    <row r="219" spans="14:14" x14ac:dyDescent="0.25">
      <c r="N219" s="6"/>
    </row>
    <row r="220" spans="14:14" x14ac:dyDescent="0.25">
      <c r="N220" s="6"/>
    </row>
    <row r="221" spans="14:14" x14ac:dyDescent="0.25">
      <c r="N221" s="6"/>
    </row>
    <row r="222" spans="14:14" x14ac:dyDescent="0.25">
      <c r="N222" s="6"/>
    </row>
    <row r="223" spans="14:14" x14ac:dyDescent="0.25">
      <c r="N223" s="6"/>
    </row>
    <row r="224" spans="14:14" x14ac:dyDescent="0.25">
      <c r="N224" s="6"/>
    </row>
    <row r="225" spans="14:14" x14ac:dyDescent="0.25">
      <c r="N225" s="6"/>
    </row>
    <row r="226" spans="14:14" x14ac:dyDescent="0.25">
      <c r="N226" s="6"/>
    </row>
    <row r="227" spans="14:14" x14ac:dyDescent="0.25">
      <c r="N227" s="6"/>
    </row>
    <row r="228" spans="14:14" x14ac:dyDescent="0.25">
      <c r="N228" s="6"/>
    </row>
    <row r="229" spans="14:14" x14ac:dyDescent="0.25">
      <c r="N229" s="6"/>
    </row>
    <row r="230" spans="14:14" x14ac:dyDescent="0.25">
      <c r="N230" s="6"/>
    </row>
    <row r="231" spans="14:14" x14ac:dyDescent="0.25">
      <c r="N231" s="6"/>
    </row>
    <row r="232" spans="14:14" x14ac:dyDescent="0.25">
      <c r="N232" s="6"/>
    </row>
    <row r="233" spans="14:14" x14ac:dyDescent="0.25">
      <c r="N233" s="6"/>
    </row>
    <row r="234" spans="14:14" x14ac:dyDescent="0.25">
      <c r="N234" s="6"/>
    </row>
    <row r="235" spans="14:14" x14ac:dyDescent="0.25">
      <c r="N235" s="6"/>
    </row>
    <row r="236" spans="14:14" x14ac:dyDescent="0.25">
      <c r="N236" s="6"/>
    </row>
    <row r="237" spans="14:14" x14ac:dyDescent="0.25">
      <c r="N237" s="6"/>
    </row>
    <row r="238" spans="14:14" x14ac:dyDescent="0.25">
      <c r="N238" s="6"/>
    </row>
    <row r="239" spans="14:14" x14ac:dyDescent="0.25">
      <c r="N239" s="6"/>
    </row>
    <row r="240" spans="14:14" x14ac:dyDescent="0.25">
      <c r="N240" s="6"/>
    </row>
    <row r="241" spans="14:14" x14ac:dyDescent="0.25">
      <c r="N241" s="6"/>
    </row>
    <row r="242" spans="14:14" x14ac:dyDescent="0.25">
      <c r="N242" s="6"/>
    </row>
    <row r="243" spans="14:14" x14ac:dyDescent="0.25">
      <c r="N243" s="6"/>
    </row>
    <row r="244" spans="14:14" x14ac:dyDescent="0.25">
      <c r="N244" s="6"/>
    </row>
    <row r="245" spans="14:14" x14ac:dyDescent="0.25">
      <c r="N245" s="6"/>
    </row>
    <row r="246" spans="14:14" x14ac:dyDescent="0.25">
      <c r="N246" s="6"/>
    </row>
    <row r="247" spans="14:14" x14ac:dyDescent="0.25">
      <c r="N247" s="6"/>
    </row>
    <row r="248" spans="14:14" x14ac:dyDescent="0.25">
      <c r="N248" s="6"/>
    </row>
    <row r="249" spans="14:14" x14ac:dyDescent="0.25">
      <c r="N249" s="6"/>
    </row>
    <row r="250" spans="14:14" x14ac:dyDescent="0.25">
      <c r="N250" s="6"/>
    </row>
    <row r="251" spans="14:14" x14ac:dyDescent="0.25">
      <c r="N251" s="6"/>
    </row>
    <row r="252" spans="14:14" x14ac:dyDescent="0.25">
      <c r="N252" s="6"/>
    </row>
    <row r="253" spans="14:14" x14ac:dyDescent="0.25">
      <c r="N253" s="6"/>
    </row>
    <row r="254" spans="14:14" x14ac:dyDescent="0.25">
      <c r="N254" s="6"/>
    </row>
    <row r="255" spans="14:14" x14ac:dyDescent="0.25">
      <c r="N255" s="6"/>
    </row>
    <row r="256" spans="14:14" x14ac:dyDescent="0.25">
      <c r="N256" s="6"/>
    </row>
    <row r="257" spans="14:14" x14ac:dyDescent="0.25">
      <c r="N257" s="6"/>
    </row>
    <row r="258" spans="14:14" x14ac:dyDescent="0.25">
      <c r="N258" s="6"/>
    </row>
    <row r="259" spans="14:14" x14ac:dyDescent="0.25">
      <c r="N259" s="6"/>
    </row>
    <row r="260" spans="14:14" x14ac:dyDescent="0.25">
      <c r="N260" s="6"/>
    </row>
    <row r="261" spans="14:14" x14ac:dyDescent="0.25">
      <c r="N261" s="6"/>
    </row>
    <row r="262" spans="14:14" x14ac:dyDescent="0.25">
      <c r="N262" s="6"/>
    </row>
    <row r="263" spans="14:14" x14ac:dyDescent="0.25">
      <c r="N263" s="6"/>
    </row>
    <row r="264" spans="14:14" x14ac:dyDescent="0.25">
      <c r="N264" s="6"/>
    </row>
    <row r="265" spans="14:14" x14ac:dyDescent="0.25">
      <c r="N265" s="6"/>
    </row>
    <row r="266" spans="14:14" x14ac:dyDescent="0.25">
      <c r="N266" s="6"/>
    </row>
    <row r="267" spans="14:14" x14ac:dyDescent="0.25">
      <c r="N267" s="6"/>
    </row>
    <row r="268" spans="14:14" x14ac:dyDescent="0.25">
      <c r="N268" s="6"/>
    </row>
    <row r="269" spans="14:14" x14ac:dyDescent="0.25">
      <c r="N269" s="6"/>
    </row>
    <row r="270" spans="14:14" x14ac:dyDescent="0.25">
      <c r="N270" s="6"/>
    </row>
    <row r="271" spans="14:14" x14ac:dyDescent="0.25">
      <c r="N271" s="6"/>
    </row>
    <row r="272" spans="14:14" x14ac:dyDescent="0.25">
      <c r="N272" s="6"/>
    </row>
    <row r="273" spans="14:14" x14ac:dyDescent="0.25">
      <c r="N273" s="6"/>
    </row>
    <row r="274" spans="14:14" x14ac:dyDescent="0.25">
      <c r="N274" s="6"/>
    </row>
    <row r="275" spans="14:14" x14ac:dyDescent="0.25">
      <c r="N275" s="6"/>
    </row>
    <row r="276" spans="14:14" x14ac:dyDescent="0.25">
      <c r="N276" s="6"/>
    </row>
    <row r="277" spans="14:14" x14ac:dyDescent="0.25">
      <c r="N277" s="6"/>
    </row>
    <row r="278" spans="14:14" x14ac:dyDescent="0.25">
      <c r="N278" s="6"/>
    </row>
    <row r="279" spans="14:14" x14ac:dyDescent="0.25">
      <c r="N279" s="6"/>
    </row>
    <row r="280" spans="14:14" x14ac:dyDescent="0.25">
      <c r="N280" s="6"/>
    </row>
    <row r="281" spans="14:14" x14ac:dyDescent="0.25">
      <c r="N281" s="6"/>
    </row>
    <row r="282" spans="14:14" x14ac:dyDescent="0.25">
      <c r="N282" s="6"/>
    </row>
    <row r="283" spans="14:14" x14ac:dyDescent="0.25">
      <c r="N283" s="6"/>
    </row>
    <row r="284" spans="14:14" x14ac:dyDescent="0.25">
      <c r="N284" s="6"/>
    </row>
    <row r="285" spans="14:14" x14ac:dyDescent="0.25">
      <c r="N285" s="6"/>
    </row>
    <row r="286" spans="14:14" x14ac:dyDescent="0.25">
      <c r="N286" s="6"/>
    </row>
    <row r="287" spans="14:14" x14ac:dyDescent="0.25">
      <c r="N287" s="6"/>
    </row>
    <row r="288" spans="14:14" x14ac:dyDescent="0.25">
      <c r="N288" s="6"/>
    </row>
    <row r="289" spans="14:14" x14ac:dyDescent="0.25">
      <c r="N289" s="6"/>
    </row>
    <row r="290" spans="14:14" x14ac:dyDescent="0.25">
      <c r="N290" s="6"/>
    </row>
    <row r="291" spans="14:14" x14ac:dyDescent="0.25">
      <c r="N291" s="6"/>
    </row>
    <row r="292" spans="14:14" x14ac:dyDescent="0.25">
      <c r="N292" s="6"/>
    </row>
    <row r="293" spans="14:14" x14ac:dyDescent="0.25">
      <c r="N293" s="6"/>
    </row>
    <row r="294" spans="14:14" x14ac:dyDescent="0.25">
      <c r="N294" s="6"/>
    </row>
    <row r="295" spans="14:14" x14ac:dyDescent="0.25">
      <c r="N295" s="6"/>
    </row>
    <row r="296" spans="14:14" x14ac:dyDescent="0.25">
      <c r="N296" s="6"/>
    </row>
    <row r="297" spans="14:14" x14ac:dyDescent="0.25">
      <c r="N297" s="6"/>
    </row>
    <row r="298" spans="14:14" x14ac:dyDescent="0.25">
      <c r="N298" s="6"/>
    </row>
    <row r="299" spans="14:14" x14ac:dyDescent="0.25">
      <c r="N299" s="6"/>
    </row>
    <row r="300" spans="14:14" x14ac:dyDescent="0.25">
      <c r="N300" s="6"/>
    </row>
    <row r="301" spans="14:14" x14ac:dyDescent="0.25">
      <c r="N301" s="6"/>
    </row>
    <row r="302" spans="14:14" x14ac:dyDescent="0.25">
      <c r="N302" s="6"/>
    </row>
    <row r="303" spans="14:14" x14ac:dyDescent="0.25">
      <c r="N303" s="6"/>
    </row>
    <row r="304" spans="14:14" x14ac:dyDescent="0.25">
      <c r="N304" s="6"/>
    </row>
    <row r="305" spans="14:14" x14ac:dyDescent="0.25">
      <c r="N305" s="6"/>
    </row>
    <row r="306" spans="14:14" x14ac:dyDescent="0.25">
      <c r="N306" s="6"/>
    </row>
    <row r="307" spans="14:14" x14ac:dyDescent="0.25">
      <c r="N307" s="6"/>
    </row>
    <row r="308" spans="14:14" x14ac:dyDescent="0.25">
      <c r="N308" s="6"/>
    </row>
    <row r="309" spans="14:14" x14ac:dyDescent="0.25">
      <c r="N309" s="6"/>
    </row>
    <row r="310" spans="14:14" x14ac:dyDescent="0.25">
      <c r="N310" s="6"/>
    </row>
    <row r="311" spans="14:14" x14ac:dyDescent="0.25">
      <c r="N311" s="6"/>
    </row>
    <row r="312" spans="14:14" x14ac:dyDescent="0.25">
      <c r="N312" s="6"/>
    </row>
    <row r="313" spans="14:14" x14ac:dyDescent="0.25">
      <c r="N313" s="6"/>
    </row>
    <row r="314" spans="14:14" x14ac:dyDescent="0.25">
      <c r="N314" s="6"/>
    </row>
    <row r="315" spans="14:14" x14ac:dyDescent="0.25">
      <c r="N315" s="6"/>
    </row>
    <row r="316" spans="14:14" x14ac:dyDescent="0.25">
      <c r="N316" s="6"/>
    </row>
    <row r="317" spans="14:14" x14ac:dyDescent="0.25">
      <c r="N317" s="6"/>
    </row>
    <row r="318" spans="14:14" x14ac:dyDescent="0.25">
      <c r="N318" s="6"/>
    </row>
    <row r="319" spans="14:14" x14ac:dyDescent="0.25">
      <c r="N319" s="6"/>
    </row>
    <row r="320" spans="14:14" x14ac:dyDescent="0.25">
      <c r="N320" s="6"/>
    </row>
    <row r="321" spans="14:14" x14ac:dyDescent="0.25">
      <c r="N321" s="6"/>
    </row>
    <row r="322" spans="14:14" x14ac:dyDescent="0.25">
      <c r="N322" s="6"/>
    </row>
    <row r="323" spans="14:14" x14ac:dyDescent="0.25">
      <c r="N323" s="6"/>
    </row>
    <row r="324" spans="14:14" x14ac:dyDescent="0.25">
      <c r="N324" s="6"/>
    </row>
    <row r="325" spans="14:14" x14ac:dyDescent="0.25">
      <c r="N325" s="6"/>
    </row>
    <row r="326" spans="14:14" x14ac:dyDescent="0.25">
      <c r="N326" s="6"/>
    </row>
    <row r="327" spans="14:14" x14ac:dyDescent="0.25">
      <c r="N327" s="6"/>
    </row>
    <row r="328" spans="14:14" x14ac:dyDescent="0.25">
      <c r="N328" s="6"/>
    </row>
    <row r="329" spans="14:14" x14ac:dyDescent="0.25">
      <c r="N329" s="6"/>
    </row>
    <row r="330" spans="14:14" x14ac:dyDescent="0.25">
      <c r="N330" s="6"/>
    </row>
    <row r="331" spans="14:14" x14ac:dyDescent="0.25">
      <c r="N331" s="6"/>
    </row>
    <row r="332" spans="14:14" x14ac:dyDescent="0.25">
      <c r="N332" s="6"/>
    </row>
    <row r="333" spans="14:14" x14ac:dyDescent="0.25">
      <c r="N333" s="6"/>
    </row>
    <row r="334" spans="14:14" x14ac:dyDescent="0.25">
      <c r="N334" s="6"/>
    </row>
    <row r="335" spans="14:14" x14ac:dyDescent="0.25">
      <c r="N335" s="6"/>
    </row>
    <row r="336" spans="14:14" x14ac:dyDescent="0.25">
      <c r="N336" s="6"/>
    </row>
    <row r="337" spans="14:14" x14ac:dyDescent="0.25">
      <c r="N337" s="6"/>
    </row>
    <row r="338" spans="14:14" x14ac:dyDescent="0.25">
      <c r="N338" s="6"/>
    </row>
    <row r="339" spans="14:14" x14ac:dyDescent="0.25">
      <c r="N339" s="6"/>
    </row>
    <row r="340" spans="14:14" x14ac:dyDescent="0.25">
      <c r="N340" s="6"/>
    </row>
    <row r="341" spans="14:14" x14ac:dyDescent="0.25">
      <c r="N341" s="6"/>
    </row>
    <row r="342" spans="14:14" x14ac:dyDescent="0.25">
      <c r="N342" s="6"/>
    </row>
    <row r="343" spans="14:14" x14ac:dyDescent="0.25">
      <c r="N343" s="6"/>
    </row>
    <row r="344" spans="14:14" x14ac:dyDescent="0.25">
      <c r="N344" s="6"/>
    </row>
    <row r="345" spans="14:14" x14ac:dyDescent="0.25">
      <c r="N345" s="6"/>
    </row>
    <row r="346" spans="14:14" x14ac:dyDescent="0.25">
      <c r="N346" s="6"/>
    </row>
    <row r="347" spans="14:14" x14ac:dyDescent="0.25">
      <c r="N347" s="6"/>
    </row>
    <row r="348" spans="14:14" x14ac:dyDescent="0.25">
      <c r="N348" s="6"/>
    </row>
    <row r="349" spans="14:14" x14ac:dyDescent="0.25">
      <c r="N349" s="6"/>
    </row>
    <row r="350" spans="14:14" x14ac:dyDescent="0.25">
      <c r="N350" s="6"/>
    </row>
    <row r="351" spans="14:14" x14ac:dyDescent="0.25">
      <c r="N351" s="6"/>
    </row>
    <row r="352" spans="14:14" x14ac:dyDescent="0.25">
      <c r="N352" s="6"/>
    </row>
    <row r="353" spans="14:14" x14ac:dyDescent="0.25">
      <c r="N353" s="6"/>
    </row>
    <row r="354" spans="14:14" x14ac:dyDescent="0.25">
      <c r="N354" s="6"/>
    </row>
    <row r="355" spans="14:14" x14ac:dyDescent="0.25">
      <c r="N355" s="6"/>
    </row>
    <row r="356" spans="14:14" x14ac:dyDescent="0.25">
      <c r="N356" s="6"/>
    </row>
    <row r="357" spans="14:14" x14ac:dyDescent="0.25">
      <c r="N357" s="6"/>
    </row>
    <row r="358" spans="14:14" x14ac:dyDescent="0.25">
      <c r="N358" s="6"/>
    </row>
    <row r="359" spans="14:14" x14ac:dyDescent="0.25">
      <c r="N359" s="6"/>
    </row>
    <row r="360" spans="14:14" x14ac:dyDescent="0.25">
      <c r="N360" s="6"/>
    </row>
    <row r="361" spans="14:14" x14ac:dyDescent="0.25">
      <c r="N361" s="6"/>
    </row>
    <row r="362" spans="14:14" x14ac:dyDescent="0.25">
      <c r="N362" s="6"/>
    </row>
    <row r="363" spans="14:14" x14ac:dyDescent="0.25">
      <c r="N363" s="6"/>
    </row>
    <row r="364" spans="14:14" x14ac:dyDescent="0.25">
      <c r="N364" s="6"/>
    </row>
    <row r="365" spans="14:14" x14ac:dyDescent="0.25">
      <c r="N365" s="6"/>
    </row>
    <row r="366" spans="14:14" x14ac:dyDescent="0.25">
      <c r="N366" s="6"/>
    </row>
    <row r="367" spans="14:14" x14ac:dyDescent="0.25">
      <c r="N367" s="6"/>
    </row>
    <row r="368" spans="14:14" x14ac:dyDescent="0.25">
      <c r="N368" s="6"/>
    </row>
    <row r="369" spans="14:14" x14ac:dyDescent="0.25">
      <c r="N369" s="6"/>
    </row>
    <row r="370" spans="14:14" x14ac:dyDescent="0.25">
      <c r="N370" s="6"/>
    </row>
    <row r="371" spans="14:14" x14ac:dyDescent="0.25">
      <c r="N371" s="6"/>
    </row>
    <row r="372" spans="14:14" x14ac:dyDescent="0.25">
      <c r="N372" s="6"/>
    </row>
    <row r="373" spans="14:14" x14ac:dyDescent="0.25">
      <c r="N373" s="6"/>
    </row>
    <row r="374" spans="14:14" x14ac:dyDescent="0.25">
      <c r="N374" s="6"/>
    </row>
    <row r="375" spans="14:14" x14ac:dyDescent="0.25">
      <c r="N375" s="6"/>
    </row>
    <row r="376" spans="14:14" x14ac:dyDescent="0.25">
      <c r="N376" s="6"/>
    </row>
    <row r="377" spans="14:14" x14ac:dyDescent="0.25">
      <c r="N377" s="6"/>
    </row>
    <row r="378" spans="14:14" x14ac:dyDescent="0.25">
      <c r="N378" s="6"/>
    </row>
    <row r="379" spans="14:14" x14ac:dyDescent="0.25">
      <c r="N379" s="6"/>
    </row>
    <row r="380" spans="14:14" x14ac:dyDescent="0.25">
      <c r="N380" s="6"/>
    </row>
    <row r="381" spans="14:14" x14ac:dyDescent="0.25">
      <c r="N381" s="6"/>
    </row>
    <row r="382" spans="14:14" x14ac:dyDescent="0.25">
      <c r="N382" s="6"/>
    </row>
    <row r="383" spans="14:14" x14ac:dyDescent="0.25">
      <c r="N383" s="6"/>
    </row>
    <row r="384" spans="14:14" x14ac:dyDescent="0.25">
      <c r="N384" s="6"/>
    </row>
    <row r="385" spans="14:14" x14ac:dyDescent="0.25">
      <c r="N385" s="6"/>
    </row>
    <row r="386" spans="14:14" x14ac:dyDescent="0.25">
      <c r="N386" s="6"/>
    </row>
    <row r="387" spans="14:14" x14ac:dyDescent="0.25">
      <c r="N387" s="6"/>
    </row>
    <row r="388" spans="14:14" x14ac:dyDescent="0.25">
      <c r="N388" s="6"/>
    </row>
    <row r="389" spans="14:14" x14ac:dyDescent="0.25">
      <c r="N389" s="6"/>
    </row>
    <row r="390" spans="14:14" x14ac:dyDescent="0.25">
      <c r="N390" s="6"/>
    </row>
    <row r="391" spans="14:14" x14ac:dyDescent="0.25">
      <c r="N391" s="6"/>
    </row>
    <row r="392" spans="14:14" x14ac:dyDescent="0.25">
      <c r="N392" s="6"/>
    </row>
    <row r="393" spans="14:14" x14ac:dyDescent="0.25">
      <c r="N393" s="6"/>
    </row>
    <row r="394" spans="14:14" x14ac:dyDescent="0.25">
      <c r="N394" s="6"/>
    </row>
    <row r="395" spans="14:14" x14ac:dyDescent="0.25">
      <c r="N395" s="6"/>
    </row>
    <row r="396" spans="14:14" x14ac:dyDescent="0.25">
      <c r="N396" s="6"/>
    </row>
    <row r="397" spans="14:14" x14ac:dyDescent="0.25">
      <c r="N397" s="6"/>
    </row>
    <row r="398" spans="14:14" x14ac:dyDescent="0.25">
      <c r="N398" s="6"/>
    </row>
    <row r="399" spans="14:14" x14ac:dyDescent="0.25">
      <c r="N399" s="6"/>
    </row>
    <row r="400" spans="14:14" x14ac:dyDescent="0.25">
      <c r="N400" s="6"/>
    </row>
    <row r="401" spans="14:14" x14ac:dyDescent="0.25">
      <c r="N401" s="6"/>
    </row>
    <row r="402" spans="14:14" x14ac:dyDescent="0.25">
      <c r="N402" s="6"/>
    </row>
    <row r="403" spans="14:14" x14ac:dyDescent="0.25">
      <c r="N403" s="6"/>
    </row>
    <row r="404" spans="14:14" x14ac:dyDescent="0.25">
      <c r="N404" s="6"/>
    </row>
    <row r="405" spans="14:14" x14ac:dyDescent="0.25">
      <c r="N405" s="6"/>
    </row>
    <row r="406" spans="14:14" x14ac:dyDescent="0.25">
      <c r="N406" s="6"/>
    </row>
    <row r="407" spans="14:14" x14ac:dyDescent="0.25">
      <c r="N407" s="6"/>
    </row>
    <row r="408" spans="14:14" x14ac:dyDescent="0.25">
      <c r="N408" s="6"/>
    </row>
    <row r="409" spans="14:14" x14ac:dyDescent="0.25">
      <c r="N409" s="6"/>
    </row>
    <row r="410" spans="14:14" x14ac:dyDescent="0.25">
      <c r="N410" s="6"/>
    </row>
    <row r="411" spans="14:14" x14ac:dyDescent="0.25">
      <c r="N411" s="6"/>
    </row>
    <row r="412" spans="14:14" x14ac:dyDescent="0.25">
      <c r="N412" s="6"/>
    </row>
    <row r="413" spans="14:14" x14ac:dyDescent="0.25">
      <c r="N413" s="24"/>
    </row>
    <row r="414" spans="14:14" ht="18.75" customHeight="1" x14ac:dyDescent="0.25">
      <c r="N414" s="5"/>
    </row>
    <row r="415" spans="14:14" x14ac:dyDescent="0.25">
      <c r="N415" s="6"/>
    </row>
    <row r="416" spans="14:14" ht="15" customHeight="1" x14ac:dyDescent="0.25">
      <c r="N416" s="6"/>
    </row>
    <row r="417" spans="14:14" ht="15" customHeight="1" x14ac:dyDescent="0.25">
      <c r="N417" s="6"/>
    </row>
    <row r="418" spans="14:14" ht="15" customHeight="1" x14ac:dyDescent="0.25">
      <c r="N418" s="6"/>
    </row>
    <row r="419" spans="14:14" ht="15" customHeight="1" x14ac:dyDescent="0.25">
      <c r="N419" s="6"/>
    </row>
    <row r="420" spans="14:14" ht="15" customHeight="1" x14ac:dyDescent="0.25">
      <c r="N420" s="6"/>
    </row>
    <row r="421" spans="14:14" ht="15" customHeight="1" x14ac:dyDescent="0.25">
      <c r="N421" s="6"/>
    </row>
    <row r="422" spans="14:14" ht="15" customHeight="1" x14ac:dyDescent="0.25">
      <c r="N422" s="6"/>
    </row>
    <row r="423" spans="14:14" ht="15" customHeight="1" x14ac:dyDescent="0.25">
      <c r="N423" s="6"/>
    </row>
    <row r="424" spans="14:14" ht="15" customHeight="1" x14ac:dyDescent="0.25">
      <c r="N424" s="6"/>
    </row>
    <row r="425" spans="14:14" ht="15" customHeight="1" x14ac:dyDescent="0.25">
      <c r="N425" s="6"/>
    </row>
    <row r="426" spans="14:14" ht="15" customHeight="1" x14ac:dyDescent="0.25">
      <c r="N426" s="6"/>
    </row>
    <row r="427" spans="14:14" ht="15" customHeight="1" x14ac:dyDescent="0.25">
      <c r="N427" s="6"/>
    </row>
    <row r="428" spans="14:14" ht="15" customHeight="1" x14ac:dyDescent="0.25">
      <c r="N428" s="6"/>
    </row>
    <row r="429" spans="14:14" ht="15" customHeight="1" x14ac:dyDescent="0.25">
      <c r="N429" s="6"/>
    </row>
    <row r="430" spans="14:14" ht="15" customHeight="1" x14ac:dyDescent="0.25">
      <c r="N430" s="6"/>
    </row>
    <row r="431" spans="14:14" ht="15" customHeight="1" x14ac:dyDescent="0.25">
      <c r="N431" s="6"/>
    </row>
    <row r="432" spans="14:14" ht="15" customHeight="1" x14ac:dyDescent="0.25">
      <c r="N432" s="6"/>
    </row>
    <row r="433" spans="14:14" ht="15" customHeight="1" x14ac:dyDescent="0.25">
      <c r="N433" s="6"/>
    </row>
    <row r="434" spans="14:14" ht="15" customHeight="1" x14ac:dyDescent="0.25">
      <c r="N434" s="6"/>
    </row>
    <row r="435" spans="14:14" ht="15" customHeight="1" x14ac:dyDescent="0.25">
      <c r="N435" s="6"/>
    </row>
    <row r="436" spans="14:14" ht="15" customHeight="1" x14ac:dyDescent="0.25">
      <c r="N436" s="6"/>
    </row>
    <row r="437" spans="14:14" ht="15" customHeight="1" x14ac:dyDescent="0.25">
      <c r="N437" s="6"/>
    </row>
    <row r="438" spans="14:14" ht="15" customHeight="1" x14ac:dyDescent="0.25">
      <c r="N438" s="6"/>
    </row>
    <row r="439" spans="14:14" ht="15" customHeight="1" x14ac:dyDescent="0.25">
      <c r="N439" s="6"/>
    </row>
    <row r="440" spans="14:14" ht="15" customHeight="1" x14ac:dyDescent="0.25">
      <c r="N440" s="6"/>
    </row>
    <row r="441" spans="14:14" ht="15" customHeight="1" x14ac:dyDescent="0.25">
      <c r="N441" s="6"/>
    </row>
    <row r="442" spans="14:14" ht="15" customHeight="1" x14ac:dyDescent="0.25">
      <c r="N442" s="6"/>
    </row>
    <row r="443" spans="14:14" ht="15" customHeight="1" x14ac:dyDescent="0.25">
      <c r="N443" s="6"/>
    </row>
    <row r="444" spans="14:14" ht="15" customHeight="1" x14ac:dyDescent="0.25">
      <c r="N444" s="6"/>
    </row>
    <row r="445" spans="14:14" ht="15" customHeight="1" x14ac:dyDescent="0.25">
      <c r="N445" s="6"/>
    </row>
    <row r="446" spans="14:14" ht="15" customHeight="1" x14ac:dyDescent="0.25">
      <c r="N446" s="6"/>
    </row>
    <row r="447" spans="14:14" ht="15" customHeight="1" x14ac:dyDescent="0.25">
      <c r="N447" s="6"/>
    </row>
    <row r="448" spans="14:14" ht="15" customHeight="1" x14ac:dyDescent="0.25">
      <c r="N448" s="6"/>
    </row>
    <row r="449" spans="14:14" ht="15" customHeight="1" x14ac:dyDescent="0.25">
      <c r="N449" s="6"/>
    </row>
    <row r="450" spans="14:14" ht="15" customHeight="1" x14ac:dyDescent="0.25">
      <c r="N450" s="6"/>
    </row>
    <row r="451" spans="14:14" ht="15" customHeight="1" x14ac:dyDescent="0.25">
      <c r="N451" s="6"/>
    </row>
    <row r="452" spans="14:14" ht="15" customHeight="1" x14ac:dyDescent="0.25">
      <c r="N452" s="6"/>
    </row>
    <row r="453" spans="14:14" ht="15" customHeight="1" x14ac:dyDescent="0.25">
      <c r="N453" s="6"/>
    </row>
    <row r="454" spans="14:14" ht="15" customHeight="1" x14ac:dyDescent="0.25">
      <c r="N454" s="6"/>
    </row>
    <row r="455" spans="14:14" ht="15" customHeight="1" x14ac:dyDescent="0.25">
      <c r="N455" s="6"/>
    </row>
    <row r="456" spans="14:14" ht="15" customHeight="1" x14ac:dyDescent="0.25">
      <c r="N456" s="6"/>
    </row>
    <row r="457" spans="14:14" ht="15" customHeight="1" x14ac:dyDescent="0.25">
      <c r="N457" s="6"/>
    </row>
    <row r="458" spans="14:14" ht="15" customHeight="1" x14ac:dyDescent="0.25">
      <c r="N458" s="6"/>
    </row>
    <row r="459" spans="14:14" ht="15" customHeight="1" x14ac:dyDescent="0.25">
      <c r="N459" s="6"/>
    </row>
    <row r="460" spans="14:14" ht="15" customHeight="1" x14ac:dyDescent="0.25">
      <c r="N460" s="6"/>
    </row>
    <row r="461" spans="14:14" ht="15" customHeight="1" x14ac:dyDescent="0.25">
      <c r="N461" s="6"/>
    </row>
    <row r="462" spans="14:14" ht="15" customHeight="1" x14ac:dyDescent="0.25">
      <c r="N462" s="6"/>
    </row>
    <row r="463" spans="14:14" ht="15" customHeight="1" x14ac:dyDescent="0.25">
      <c r="N463" s="6"/>
    </row>
    <row r="464" spans="14:14" ht="15" customHeight="1" x14ac:dyDescent="0.25">
      <c r="N464" s="6"/>
    </row>
    <row r="465" spans="14:14" ht="15" customHeight="1" x14ac:dyDescent="0.25">
      <c r="N465" s="6"/>
    </row>
    <row r="466" spans="14:14" ht="15" customHeight="1" x14ac:dyDescent="0.25">
      <c r="N466" s="6"/>
    </row>
    <row r="467" spans="14:14" ht="15" customHeight="1" x14ac:dyDescent="0.25">
      <c r="N467" s="6"/>
    </row>
    <row r="468" spans="14:14" ht="15" customHeight="1" x14ac:dyDescent="0.25">
      <c r="N468" s="6"/>
    </row>
    <row r="469" spans="14:14" ht="15" customHeight="1" x14ac:dyDescent="0.25">
      <c r="N469" s="6"/>
    </row>
    <row r="470" spans="14:14" ht="15" customHeight="1" x14ac:dyDescent="0.25">
      <c r="N470" s="6"/>
    </row>
    <row r="471" spans="14:14" ht="15" customHeight="1" x14ac:dyDescent="0.25">
      <c r="N471" s="6"/>
    </row>
    <row r="472" spans="14:14" ht="15" customHeight="1" x14ac:dyDescent="0.25">
      <c r="N472" s="6"/>
    </row>
    <row r="473" spans="14:14" ht="15" customHeight="1" x14ac:dyDescent="0.25">
      <c r="N473" s="6"/>
    </row>
    <row r="474" spans="14:14" ht="15" customHeight="1" x14ac:dyDescent="0.25">
      <c r="N474" s="6"/>
    </row>
    <row r="475" spans="14:14" ht="15" customHeight="1" x14ac:dyDescent="0.25">
      <c r="N475" s="6"/>
    </row>
    <row r="476" spans="14:14" ht="15" customHeight="1" x14ac:dyDescent="0.25">
      <c r="N476" s="6"/>
    </row>
    <row r="477" spans="14:14" ht="15" customHeight="1" x14ac:dyDescent="0.25">
      <c r="N477" s="6"/>
    </row>
    <row r="478" spans="14:14" ht="15" customHeight="1" x14ac:dyDescent="0.25">
      <c r="N478" s="6"/>
    </row>
    <row r="479" spans="14:14" ht="15" customHeight="1" x14ac:dyDescent="0.25">
      <c r="N479" s="6"/>
    </row>
    <row r="480" spans="14:14" ht="15" customHeight="1" x14ac:dyDescent="0.25">
      <c r="N480" s="6"/>
    </row>
    <row r="481" spans="14:14" ht="15" customHeight="1" x14ac:dyDescent="0.25">
      <c r="N481" s="6"/>
    </row>
    <row r="482" spans="14:14" ht="15" customHeight="1" x14ac:dyDescent="0.25">
      <c r="N482" s="6"/>
    </row>
    <row r="483" spans="14:14" ht="15" customHeight="1" x14ac:dyDescent="0.25">
      <c r="N483" s="6"/>
    </row>
    <row r="484" spans="14:14" ht="15" customHeight="1" x14ac:dyDescent="0.25">
      <c r="N484" s="6"/>
    </row>
    <row r="485" spans="14:14" ht="15" customHeight="1" x14ac:dyDescent="0.25">
      <c r="N485" s="6"/>
    </row>
    <row r="486" spans="14:14" ht="15" customHeight="1" x14ac:dyDescent="0.25">
      <c r="N486" s="6"/>
    </row>
    <row r="487" spans="14:14" ht="15" customHeight="1" x14ac:dyDescent="0.25">
      <c r="N487" s="6"/>
    </row>
    <row r="488" spans="14:14" ht="15" customHeight="1" x14ac:dyDescent="0.25">
      <c r="N488" s="6"/>
    </row>
    <row r="489" spans="14:14" ht="15" customHeight="1" x14ac:dyDescent="0.25">
      <c r="N489" s="6"/>
    </row>
    <row r="490" spans="14:14" ht="15" customHeight="1" x14ac:dyDescent="0.25">
      <c r="N490" s="6"/>
    </row>
    <row r="491" spans="14:14" ht="15" customHeight="1" x14ac:dyDescent="0.25">
      <c r="N491" s="6"/>
    </row>
    <row r="492" spans="14:14" ht="15" customHeight="1" x14ac:dyDescent="0.25">
      <c r="N492" s="6"/>
    </row>
    <row r="493" spans="14:14" ht="15" customHeight="1" x14ac:dyDescent="0.25">
      <c r="N493" s="6"/>
    </row>
    <row r="494" spans="14:14" ht="15" customHeight="1" x14ac:dyDescent="0.25">
      <c r="N494" s="5"/>
    </row>
    <row r="495" spans="14:14" ht="15" customHeight="1" x14ac:dyDescent="0.25">
      <c r="N495" s="5"/>
    </row>
    <row r="496" spans="14:14" ht="15" customHeight="1" x14ac:dyDescent="0.25">
      <c r="N496" s="27"/>
    </row>
    <row r="497" spans="14:14" ht="15" customHeight="1" x14ac:dyDescent="0.25">
      <c r="N497" s="24"/>
    </row>
    <row r="498" spans="14:14" ht="15" customHeight="1" x14ac:dyDescent="0.25">
      <c r="N498" s="6"/>
    </row>
    <row r="499" spans="14:14" ht="15" customHeight="1" x14ac:dyDescent="0.25">
      <c r="N499" s="6"/>
    </row>
    <row r="500" spans="14:14" ht="15" customHeight="1" x14ac:dyDescent="0.25">
      <c r="N500" s="6"/>
    </row>
    <row r="501" spans="14:14" ht="15" customHeight="1" x14ac:dyDescent="0.25">
      <c r="N501" s="6"/>
    </row>
    <row r="502" spans="14:14" ht="15" customHeight="1" x14ac:dyDescent="0.25">
      <c r="N502" s="6"/>
    </row>
    <row r="503" spans="14:14" ht="15" customHeight="1" x14ac:dyDescent="0.25">
      <c r="N503" s="6"/>
    </row>
    <row r="504" spans="14:14" ht="15" customHeight="1" x14ac:dyDescent="0.25">
      <c r="N504" s="6"/>
    </row>
    <row r="505" spans="14:14" ht="15" customHeight="1" x14ac:dyDescent="0.25">
      <c r="N505" s="6"/>
    </row>
    <row r="506" spans="14:14" ht="15" customHeight="1" x14ac:dyDescent="0.25">
      <c r="N506" s="6"/>
    </row>
    <row r="507" spans="14:14" ht="15" customHeight="1" x14ac:dyDescent="0.25">
      <c r="N507" s="6"/>
    </row>
    <row r="508" spans="14:14" ht="15" customHeight="1" x14ac:dyDescent="0.25">
      <c r="N508" s="6"/>
    </row>
    <row r="509" spans="14:14" ht="15" customHeight="1" x14ac:dyDescent="0.25">
      <c r="N509" s="6"/>
    </row>
    <row r="510" spans="14:14" ht="15" customHeight="1" x14ac:dyDescent="0.25">
      <c r="N510" s="6"/>
    </row>
    <row r="511" spans="14:14" ht="15" customHeight="1" x14ac:dyDescent="0.25">
      <c r="N511" s="6"/>
    </row>
    <row r="512" spans="14:14" ht="15" customHeight="1" x14ac:dyDescent="0.25">
      <c r="N512" s="6"/>
    </row>
    <row r="513" spans="14:14" ht="15" customHeight="1" x14ac:dyDescent="0.25">
      <c r="N513" s="6"/>
    </row>
    <row r="514" spans="14:14" ht="15" customHeight="1" x14ac:dyDescent="0.25">
      <c r="N514" s="6"/>
    </row>
    <row r="515" spans="14:14" ht="15" customHeight="1" x14ac:dyDescent="0.25">
      <c r="N515" s="6"/>
    </row>
    <row r="516" spans="14:14" ht="15" customHeight="1" x14ac:dyDescent="0.25">
      <c r="N516" s="6"/>
    </row>
    <row r="517" spans="14:14" ht="15" customHeight="1" x14ac:dyDescent="0.25">
      <c r="N517" s="6"/>
    </row>
    <row r="518" spans="14:14" ht="15" customHeight="1" x14ac:dyDescent="0.25">
      <c r="N518" s="6"/>
    </row>
    <row r="519" spans="14:14" x14ac:dyDescent="0.25">
      <c r="N519" s="6"/>
    </row>
    <row r="520" spans="14:14" x14ac:dyDescent="0.25">
      <c r="N520" s="6"/>
    </row>
    <row r="521" spans="14:14" x14ac:dyDescent="0.25">
      <c r="N521" s="6"/>
    </row>
    <row r="522" spans="14:14" x14ac:dyDescent="0.25">
      <c r="N522" s="6"/>
    </row>
    <row r="523" spans="14:14" x14ac:dyDescent="0.25">
      <c r="N523" s="6"/>
    </row>
    <row r="524" spans="14:14" x14ac:dyDescent="0.25">
      <c r="N524" s="6"/>
    </row>
    <row r="525" spans="14:14" x14ac:dyDescent="0.25">
      <c r="N525" s="6"/>
    </row>
    <row r="526" spans="14:14" x14ac:dyDescent="0.25">
      <c r="N526" s="6"/>
    </row>
    <row r="527" spans="14:14" x14ac:dyDescent="0.25">
      <c r="N527" s="6"/>
    </row>
    <row r="528" spans="14:14" x14ac:dyDescent="0.25">
      <c r="N528" s="6"/>
    </row>
    <row r="529" spans="14:14" x14ac:dyDescent="0.25">
      <c r="N529" s="6"/>
    </row>
    <row r="530" spans="14:14" x14ac:dyDescent="0.25">
      <c r="N530" s="6"/>
    </row>
    <row r="531" spans="14:14" x14ac:dyDescent="0.25">
      <c r="N531" s="6"/>
    </row>
    <row r="532" spans="14:14" x14ac:dyDescent="0.25">
      <c r="N532" s="6"/>
    </row>
    <row r="533" spans="14:14" x14ac:dyDescent="0.25">
      <c r="N533" s="6"/>
    </row>
    <row r="534" spans="14:14" x14ac:dyDescent="0.25">
      <c r="N534" s="6"/>
    </row>
    <row r="535" spans="14:14" x14ac:dyDescent="0.25">
      <c r="N535" s="6"/>
    </row>
    <row r="536" spans="14:14" x14ac:dyDescent="0.25">
      <c r="N536" s="6"/>
    </row>
    <row r="537" spans="14:14" x14ac:dyDescent="0.25">
      <c r="N537" s="6"/>
    </row>
    <row r="538" spans="14:14" x14ac:dyDescent="0.25">
      <c r="N538" s="6"/>
    </row>
    <row r="539" spans="14:14" x14ac:dyDescent="0.25">
      <c r="N539" s="6"/>
    </row>
    <row r="540" spans="14:14" x14ac:dyDescent="0.25">
      <c r="N540" s="6"/>
    </row>
    <row r="541" spans="14:14" x14ac:dyDescent="0.25">
      <c r="N541" s="6"/>
    </row>
    <row r="542" spans="14:14" x14ac:dyDescent="0.25">
      <c r="N542" s="6"/>
    </row>
    <row r="543" spans="14:14" x14ac:dyDescent="0.25">
      <c r="N543" s="6"/>
    </row>
    <row r="544" spans="14:14" x14ac:dyDescent="0.25">
      <c r="N544" s="6"/>
    </row>
    <row r="545" spans="14:14" x14ac:dyDescent="0.25">
      <c r="N545" s="6"/>
    </row>
    <row r="546" spans="14:14" x14ac:dyDescent="0.25">
      <c r="N546" s="6"/>
    </row>
    <row r="547" spans="14:14" x14ac:dyDescent="0.25">
      <c r="N547" s="6"/>
    </row>
    <row r="548" spans="14:14" x14ac:dyDescent="0.25">
      <c r="N548" s="6"/>
    </row>
    <row r="549" spans="14:14" x14ac:dyDescent="0.25">
      <c r="N549" s="6"/>
    </row>
    <row r="550" spans="14:14" x14ac:dyDescent="0.25">
      <c r="N550" s="6"/>
    </row>
    <row r="551" spans="14:14" x14ac:dyDescent="0.25">
      <c r="N551" s="6"/>
    </row>
    <row r="552" spans="14:14" x14ac:dyDescent="0.25">
      <c r="N552" s="6"/>
    </row>
    <row r="553" spans="14:14" x14ac:dyDescent="0.25">
      <c r="N553" s="6"/>
    </row>
    <row r="554" spans="14:14" x14ac:dyDescent="0.25">
      <c r="N554" s="6"/>
    </row>
    <row r="555" spans="14:14" x14ac:dyDescent="0.25">
      <c r="N555" s="6"/>
    </row>
    <row r="556" spans="14:14" x14ac:dyDescent="0.25">
      <c r="N556" s="6"/>
    </row>
    <row r="557" spans="14:14" x14ac:dyDescent="0.25">
      <c r="N557" s="6"/>
    </row>
    <row r="558" spans="14:14" x14ac:dyDescent="0.25">
      <c r="N558" s="6"/>
    </row>
    <row r="559" spans="14:14" x14ac:dyDescent="0.25">
      <c r="N559" s="6"/>
    </row>
    <row r="560" spans="14:14" x14ac:dyDescent="0.25">
      <c r="N560" s="6"/>
    </row>
    <row r="561" spans="14:14" x14ac:dyDescent="0.25">
      <c r="N561" s="6"/>
    </row>
    <row r="562" spans="14:14" x14ac:dyDescent="0.25">
      <c r="N562" s="6"/>
    </row>
    <row r="563" spans="14:14" x14ac:dyDescent="0.25">
      <c r="N563" s="6"/>
    </row>
    <row r="564" spans="14:14" x14ac:dyDescent="0.25">
      <c r="N564" s="6"/>
    </row>
    <row r="565" spans="14:14" x14ac:dyDescent="0.25">
      <c r="N565" s="6"/>
    </row>
    <row r="566" spans="14:14" x14ac:dyDescent="0.25">
      <c r="N566" s="6"/>
    </row>
    <row r="567" spans="14:14" x14ac:dyDescent="0.25">
      <c r="N567" s="6"/>
    </row>
    <row r="568" spans="14:14" x14ac:dyDescent="0.25">
      <c r="N568" s="6"/>
    </row>
    <row r="569" spans="14:14" x14ac:dyDescent="0.25">
      <c r="N569" s="6"/>
    </row>
    <row r="570" spans="14:14" x14ac:dyDescent="0.25">
      <c r="N570" s="6"/>
    </row>
    <row r="571" spans="14:14" x14ac:dyDescent="0.25">
      <c r="N571" s="6"/>
    </row>
    <row r="572" spans="14:14" x14ac:dyDescent="0.25">
      <c r="N572" s="6"/>
    </row>
    <row r="573" spans="14:14" x14ac:dyDescent="0.25">
      <c r="N573" s="6"/>
    </row>
    <row r="574" spans="14:14" x14ac:dyDescent="0.25">
      <c r="N574" s="6"/>
    </row>
    <row r="575" spans="14:14" x14ac:dyDescent="0.25">
      <c r="N575" s="6"/>
    </row>
    <row r="576" spans="14:14" x14ac:dyDescent="0.25">
      <c r="N576" s="6"/>
    </row>
    <row r="577" spans="14:14" x14ac:dyDescent="0.25">
      <c r="N577" s="6"/>
    </row>
    <row r="578" spans="14:14" x14ac:dyDescent="0.25">
      <c r="N578" s="6"/>
    </row>
    <row r="579" spans="14:14" x14ac:dyDescent="0.25">
      <c r="N579" s="6"/>
    </row>
    <row r="580" spans="14:14" x14ac:dyDescent="0.25">
      <c r="N580" s="6"/>
    </row>
    <row r="581" spans="14:14" x14ac:dyDescent="0.25">
      <c r="N581" s="6"/>
    </row>
    <row r="582" spans="14:14" ht="22.5" customHeight="1" x14ac:dyDescent="0.25">
      <c r="N582" s="5"/>
    </row>
    <row r="583" spans="14:14" ht="22.5" customHeight="1" x14ac:dyDescent="0.25">
      <c r="N583" s="5"/>
    </row>
    <row r="584" spans="14:14" ht="22.5" customHeight="1" x14ac:dyDescent="0.25">
      <c r="N584" s="27"/>
    </row>
    <row r="585" spans="14:14" ht="22.5" customHeight="1" x14ac:dyDescent="0.25">
      <c r="N585" s="24"/>
    </row>
    <row r="586" spans="14:14" ht="22.5" customHeight="1" x14ac:dyDescent="0.25">
      <c r="N586" s="24"/>
    </row>
    <row r="587" spans="14:14" ht="22.5" customHeight="1" x14ac:dyDescent="0.25">
      <c r="N587" s="24"/>
    </row>
    <row r="588" spans="14:14" x14ac:dyDescent="0.25">
      <c r="N588" s="6"/>
    </row>
    <row r="589" spans="14:14" x14ac:dyDescent="0.25">
      <c r="N589" s="6"/>
    </row>
    <row r="590" spans="14:14" ht="15.75" customHeight="1" x14ac:dyDescent="0.25">
      <c r="N590" s="6"/>
    </row>
    <row r="591" spans="14:14" ht="15.75" customHeight="1" x14ac:dyDescent="0.25">
      <c r="N591" s="6"/>
    </row>
    <row r="592" spans="14:14" ht="15.75" customHeight="1" x14ac:dyDescent="0.25">
      <c r="N592" s="6"/>
    </row>
    <row r="593" spans="14:14" ht="15.75" customHeight="1" x14ac:dyDescent="0.25">
      <c r="N593" s="6"/>
    </row>
    <row r="594" spans="14:14" ht="15.75" customHeight="1" x14ac:dyDescent="0.25">
      <c r="N594" s="6"/>
    </row>
    <row r="595" spans="14:14" ht="15" customHeight="1" x14ac:dyDescent="0.25">
      <c r="N595" s="6"/>
    </row>
    <row r="596" spans="14:14" ht="15.75" customHeight="1" x14ac:dyDescent="0.25">
      <c r="N596" s="6"/>
    </row>
    <row r="597" spans="14:14" ht="19.5" customHeight="1" x14ac:dyDescent="0.25">
      <c r="N597" s="6"/>
    </row>
    <row r="598" spans="14:14" ht="15" customHeight="1" x14ac:dyDescent="0.25">
      <c r="N598" s="6"/>
    </row>
    <row r="599" spans="14:14" ht="15.75" customHeight="1" x14ac:dyDescent="0.25">
      <c r="N599" s="6"/>
    </row>
    <row r="600" spans="14:14" ht="15" customHeight="1" x14ac:dyDescent="0.25">
      <c r="N600" s="6"/>
    </row>
    <row r="601" spans="14:14" ht="15.75" customHeight="1" x14ac:dyDescent="0.25">
      <c r="N601" s="6"/>
    </row>
    <row r="602" spans="14:14" ht="15.75" customHeight="1" x14ac:dyDescent="0.25">
      <c r="N602" s="6"/>
    </row>
    <row r="603" spans="14:14" ht="15" customHeight="1" x14ac:dyDescent="0.25">
      <c r="N603" s="6"/>
    </row>
    <row r="604" spans="14:14" ht="15.75" customHeight="1" x14ac:dyDescent="0.25">
      <c r="N604" s="6"/>
    </row>
    <row r="605" spans="14:14" x14ac:dyDescent="0.25">
      <c r="N605" s="6"/>
    </row>
    <row r="606" spans="14:14" ht="15" customHeight="1" x14ac:dyDescent="0.25">
      <c r="N606" s="6"/>
    </row>
    <row r="607" spans="14:14" ht="15.75" customHeight="1" x14ac:dyDescent="0.25">
      <c r="N607" s="6"/>
    </row>
    <row r="608" spans="14:14" x14ac:dyDescent="0.25">
      <c r="N608" s="6"/>
    </row>
    <row r="609" spans="14:14" ht="15" customHeight="1" x14ac:dyDescent="0.25">
      <c r="N609" s="6"/>
    </row>
    <row r="610" spans="14:14" ht="15.75" customHeight="1" x14ac:dyDescent="0.25">
      <c r="N610" s="6"/>
    </row>
    <row r="611" spans="14:14" ht="14.25" customHeight="1" x14ac:dyDescent="0.25">
      <c r="N611" s="6"/>
    </row>
    <row r="612" spans="14:14" x14ac:dyDescent="0.25">
      <c r="N612" s="6"/>
    </row>
    <row r="613" spans="14:14" x14ac:dyDescent="0.25">
      <c r="N613" s="6"/>
    </row>
    <row r="614" spans="14:14" x14ac:dyDescent="0.25">
      <c r="N614" s="6"/>
    </row>
    <row r="615" spans="14:14" x14ac:dyDescent="0.25">
      <c r="N615" s="6"/>
    </row>
    <row r="616" spans="14:14" x14ac:dyDescent="0.25">
      <c r="N616" s="6"/>
    </row>
    <row r="617" spans="14:14" x14ac:dyDescent="0.25">
      <c r="N617" s="6"/>
    </row>
    <row r="618" spans="14:14" x14ac:dyDescent="0.25">
      <c r="N618" s="6"/>
    </row>
    <row r="619" spans="14:14" x14ac:dyDescent="0.25">
      <c r="N619" s="6"/>
    </row>
    <row r="620" spans="14:14" x14ac:dyDescent="0.25">
      <c r="N620" s="6"/>
    </row>
    <row r="621" spans="14:14" ht="15" customHeight="1" x14ac:dyDescent="0.25">
      <c r="N621" s="6"/>
    </row>
    <row r="622" spans="14:14" ht="15.75" customHeight="1" x14ac:dyDescent="0.25">
      <c r="N622" s="6"/>
    </row>
    <row r="623" spans="14:14" ht="15" customHeight="1" x14ac:dyDescent="0.25">
      <c r="N623" s="6"/>
    </row>
    <row r="624" spans="14:14" ht="15.75" customHeight="1" x14ac:dyDescent="0.25">
      <c r="N624" s="6"/>
    </row>
    <row r="625" spans="14:14" x14ac:dyDescent="0.25">
      <c r="N625" s="6"/>
    </row>
    <row r="626" spans="14:14" ht="15" customHeight="1" x14ac:dyDescent="0.25">
      <c r="N626" s="6"/>
    </row>
    <row r="627" spans="14:14" ht="15.75" customHeight="1" x14ac:dyDescent="0.25">
      <c r="N627" s="6"/>
    </row>
    <row r="628" spans="14:14" x14ac:dyDescent="0.25">
      <c r="N628" s="6"/>
    </row>
    <row r="629" spans="14:14" x14ac:dyDescent="0.25">
      <c r="N629" s="6"/>
    </row>
    <row r="630" spans="14:14" x14ac:dyDescent="0.25">
      <c r="N630" s="6"/>
    </row>
    <row r="631" spans="14:14" x14ac:dyDescent="0.25">
      <c r="N631" s="6"/>
    </row>
    <row r="632" spans="14:14" x14ac:dyDescent="0.25">
      <c r="N632" s="6"/>
    </row>
    <row r="633" spans="14:14" x14ac:dyDescent="0.25">
      <c r="N633" s="6"/>
    </row>
    <row r="634" spans="14:14" x14ac:dyDescent="0.25">
      <c r="N634" s="6"/>
    </row>
    <row r="635" spans="14:14" x14ac:dyDescent="0.25">
      <c r="N635" s="6"/>
    </row>
    <row r="636" spans="14:14" x14ac:dyDescent="0.25">
      <c r="N636" s="6"/>
    </row>
    <row r="637" spans="14:14" x14ac:dyDescent="0.25">
      <c r="N637" s="6"/>
    </row>
    <row r="638" spans="14:14" x14ac:dyDescent="0.25">
      <c r="N638" s="6"/>
    </row>
    <row r="639" spans="14:14" x14ac:dyDescent="0.25">
      <c r="N639" s="6"/>
    </row>
    <row r="640" spans="14:14" x14ac:dyDescent="0.25">
      <c r="N640" s="6"/>
    </row>
    <row r="641" spans="14:14" ht="15" customHeight="1" x14ac:dyDescent="0.25">
      <c r="N641" s="6"/>
    </row>
    <row r="642" spans="14:14" ht="15.75" customHeight="1" x14ac:dyDescent="0.25">
      <c r="N642" s="6"/>
    </row>
    <row r="643" spans="14:14" ht="15" customHeight="1" x14ac:dyDescent="0.25">
      <c r="N643" s="6"/>
    </row>
    <row r="644" spans="14:14" ht="15.75" customHeight="1" x14ac:dyDescent="0.25">
      <c r="N644" s="6"/>
    </row>
    <row r="645" spans="14:14" ht="15" customHeight="1" x14ac:dyDescent="0.25">
      <c r="N645" s="6"/>
    </row>
    <row r="646" spans="14:14" ht="15.75" customHeight="1" x14ac:dyDescent="0.25">
      <c r="N646" s="6"/>
    </row>
    <row r="647" spans="14:14" x14ac:dyDescent="0.25">
      <c r="N647" s="6"/>
    </row>
    <row r="648" spans="14:14" ht="15.75" customHeight="1" x14ac:dyDescent="0.25">
      <c r="N648" s="6"/>
    </row>
    <row r="649" spans="14:14" x14ac:dyDescent="0.25">
      <c r="N649" s="6"/>
    </row>
    <row r="650" spans="14:14" x14ac:dyDescent="0.25">
      <c r="N650" s="6"/>
    </row>
    <row r="651" spans="14:14" x14ac:dyDescent="0.25">
      <c r="N651" s="6"/>
    </row>
    <row r="652" spans="14:14" x14ac:dyDescent="0.25">
      <c r="N652" s="6"/>
    </row>
    <row r="653" spans="14:14" x14ac:dyDescent="0.25">
      <c r="N653" s="6"/>
    </row>
    <row r="654" spans="14:14" x14ac:dyDescent="0.25">
      <c r="N654" s="6"/>
    </row>
    <row r="655" spans="14:14" x14ac:dyDescent="0.25">
      <c r="N655" s="6"/>
    </row>
    <row r="656" spans="14:14" x14ac:dyDescent="0.25">
      <c r="N656" s="6"/>
    </row>
    <row r="657" spans="14:14" x14ac:dyDescent="0.25">
      <c r="N657" s="6"/>
    </row>
    <row r="658" spans="14:14" x14ac:dyDescent="0.25">
      <c r="N658" s="6"/>
    </row>
    <row r="659" spans="14:14" x14ac:dyDescent="0.25">
      <c r="N659" s="6"/>
    </row>
    <row r="660" spans="14:14" x14ac:dyDescent="0.25">
      <c r="N660" s="6"/>
    </row>
    <row r="661" spans="14:14" x14ac:dyDescent="0.25">
      <c r="N661" s="6"/>
    </row>
    <row r="662" spans="14:14" x14ac:dyDescent="0.25">
      <c r="N662" s="6"/>
    </row>
    <row r="663" spans="14:14" x14ac:dyDescent="0.25">
      <c r="N663" s="6"/>
    </row>
    <row r="664" spans="14:14" x14ac:dyDescent="0.25">
      <c r="N664" s="6"/>
    </row>
    <row r="665" spans="14:14" x14ac:dyDescent="0.25">
      <c r="N665" s="6"/>
    </row>
    <row r="666" spans="14:14" ht="19.5" customHeight="1" x14ac:dyDescent="0.25">
      <c r="N666" s="6"/>
    </row>
    <row r="667" spans="14:14" x14ac:dyDescent="0.25">
      <c r="N667" s="6"/>
    </row>
    <row r="668" spans="14:14" ht="15.75" customHeight="1" x14ac:dyDescent="0.25">
      <c r="N668" s="6"/>
    </row>
    <row r="669" spans="14:14" ht="15.75" customHeight="1" x14ac:dyDescent="0.25">
      <c r="N669" s="6"/>
    </row>
    <row r="670" spans="14:14" ht="15.75" customHeight="1" x14ac:dyDescent="0.25">
      <c r="N670" s="6"/>
    </row>
    <row r="671" spans="14:14" ht="15.75" customHeight="1" x14ac:dyDescent="0.25">
      <c r="N671" s="6"/>
    </row>
    <row r="672" spans="14:14" ht="15.75" customHeight="1" x14ac:dyDescent="0.25">
      <c r="N672" s="6"/>
    </row>
    <row r="673" spans="14:14" ht="15" customHeight="1" x14ac:dyDescent="0.25">
      <c r="N673" s="6"/>
    </row>
    <row r="674" spans="14:14" ht="15" customHeight="1" x14ac:dyDescent="0.25">
      <c r="N674" s="6"/>
    </row>
    <row r="675" spans="14:14" ht="15" customHeight="1" x14ac:dyDescent="0.25">
      <c r="N675" s="6"/>
    </row>
    <row r="676" spans="14:14" ht="15" customHeight="1" x14ac:dyDescent="0.25">
      <c r="N676" s="6"/>
    </row>
    <row r="677" spans="14:14" ht="15.75" customHeight="1" x14ac:dyDescent="0.25">
      <c r="N677" s="6"/>
    </row>
    <row r="678" spans="14:14" x14ac:dyDescent="0.25">
      <c r="N678" s="6"/>
    </row>
    <row r="679" spans="14:14" ht="15.75" customHeight="1" x14ac:dyDescent="0.25">
      <c r="N679" s="6"/>
    </row>
    <row r="680" spans="14:14" ht="15" customHeight="1" x14ac:dyDescent="0.25">
      <c r="N680" s="6"/>
    </row>
    <row r="681" spans="14:14" ht="15" customHeight="1" x14ac:dyDescent="0.25">
      <c r="N681" s="6"/>
    </row>
    <row r="682" spans="14:14" ht="15" customHeight="1" x14ac:dyDescent="0.25">
      <c r="N682" s="6"/>
    </row>
    <row r="683" spans="14:14" ht="15" customHeight="1" x14ac:dyDescent="0.25">
      <c r="N683" s="6"/>
    </row>
    <row r="684" spans="14:14" ht="15" customHeight="1" x14ac:dyDescent="0.25">
      <c r="N684" s="6"/>
    </row>
    <row r="685" spans="14:14" ht="15" customHeight="1" x14ac:dyDescent="0.25">
      <c r="N685" s="6"/>
    </row>
    <row r="686" spans="14:14" ht="15" customHeight="1" x14ac:dyDescent="0.25">
      <c r="N686" s="6"/>
    </row>
    <row r="687" spans="14:14" ht="15" customHeight="1" x14ac:dyDescent="0.25">
      <c r="N687" s="6"/>
    </row>
    <row r="688" spans="14:14" ht="15" customHeight="1" x14ac:dyDescent="0.25">
      <c r="N688" s="6"/>
    </row>
    <row r="689" spans="14:14" ht="15" customHeight="1" x14ac:dyDescent="0.25">
      <c r="N689" s="6"/>
    </row>
    <row r="690" spans="14:14" ht="15" customHeight="1" x14ac:dyDescent="0.25">
      <c r="N690" s="6"/>
    </row>
    <row r="691" spans="14:14" ht="15" customHeight="1" x14ac:dyDescent="0.25">
      <c r="N691" s="6"/>
    </row>
    <row r="692" spans="14:14" ht="15" customHeight="1" x14ac:dyDescent="0.25">
      <c r="N692" s="6"/>
    </row>
    <row r="693" spans="14:14" ht="15.75" customHeight="1" x14ac:dyDescent="0.25">
      <c r="N693" s="6"/>
    </row>
    <row r="694" spans="14:14" ht="19.5" customHeight="1" x14ac:dyDescent="0.25">
      <c r="N694" s="6"/>
    </row>
    <row r="695" spans="14:14" ht="19.5" customHeight="1" x14ac:dyDescent="0.25">
      <c r="N695" s="6"/>
    </row>
    <row r="696" spans="14:14" ht="19.5" customHeight="1" x14ac:dyDescent="0.25">
      <c r="N696" s="6"/>
    </row>
    <row r="697" spans="14:14" ht="14.25" customHeight="1" x14ac:dyDescent="0.25">
      <c r="N697" s="6"/>
    </row>
    <row r="698" spans="14:14" ht="15.75" customHeight="1" x14ac:dyDescent="0.25">
      <c r="N698" s="6"/>
    </row>
    <row r="699" spans="14:14" ht="15" customHeight="1" x14ac:dyDescent="0.25">
      <c r="N699" s="6"/>
    </row>
    <row r="700" spans="14:14" ht="15.75" customHeight="1" x14ac:dyDescent="0.25">
      <c r="N700" s="6"/>
    </row>
    <row r="701" spans="14:14" ht="15.75" customHeight="1" x14ac:dyDescent="0.25">
      <c r="N701" s="6"/>
    </row>
    <row r="702" spans="14:14" ht="15" customHeight="1" x14ac:dyDescent="0.25">
      <c r="N702" s="6"/>
    </row>
    <row r="703" spans="14:14" ht="15" customHeight="1" x14ac:dyDescent="0.25">
      <c r="N703" s="6"/>
    </row>
    <row r="704" spans="14:14" ht="15.75" customHeight="1" x14ac:dyDescent="0.25">
      <c r="N704" s="5"/>
    </row>
    <row r="705" spans="14:14" ht="15.75" customHeight="1" x14ac:dyDescent="0.25">
      <c r="N705" s="5"/>
    </row>
    <row r="706" spans="14:14" ht="15.75" customHeight="1" x14ac:dyDescent="0.25">
      <c r="N706" s="27"/>
    </row>
    <row r="707" spans="14:14" ht="15.75" customHeight="1" x14ac:dyDescent="0.25">
      <c r="N707" s="24"/>
    </row>
    <row r="708" spans="14:14" ht="15.75" customHeight="1" x14ac:dyDescent="0.25">
      <c r="N708" s="24"/>
    </row>
    <row r="709" spans="14:14" ht="15.75" customHeight="1" x14ac:dyDescent="0.25">
      <c r="N709" s="24"/>
    </row>
    <row r="710" spans="14:14" ht="15.75" customHeight="1" x14ac:dyDescent="0.25">
      <c r="N710" s="6"/>
    </row>
    <row r="711" spans="14:14" x14ac:dyDescent="0.25">
      <c r="N711" s="6"/>
    </row>
    <row r="712" spans="14:14" x14ac:dyDescent="0.25">
      <c r="N712" s="6"/>
    </row>
    <row r="713" spans="14:14" x14ac:dyDescent="0.25">
      <c r="N713" s="6"/>
    </row>
    <row r="714" spans="14:14" x14ac:dyDescent="0.25">
      <c r="N714" s="6"/>
    </row>
    <row r="715" spans="14:14" x14ac:dyDescent="0.25">
      <c r="N715" s="6"/>
    </row>
    <row r="716" spans="14:14" x14ac:dyDescent="0.25">
      <c r="N716" s="6"/>
    </row>
    <row r="717" spans="14:14" x14ac:dyDescent="0.25">
      <c r="N717" s="6"/>
    </row>
    <row r="718" spans="14:14" x14ac:dyDescent="0.25">
      <c r="N718" s="6"/>
    </row>
    <row r="719" spans="14:14" x14ac:dyDescent="0.25">
      <c r="N719" s="6"/>
    </row>
    <row r="720" spans="14:14" x14ac:dyDescent="0.25">
      <c r="N720" s="6"/>
    </row>
    <row r="721" spans="14:14" x14ac:dyDescent="0.25">
      <c r="N721" s="6"/>
    </row>
    <row r="722" spans="14:14" x14ac:dyDescent="0.25">
      <c r="N722" s="6"/>
    </row>
    <row r="723" spans="14:14" x14ac:dyDescent="0.25">
      <c r="N723" s="6"/>
    </row>
    <row r="724" spans="14:14" x14ac:dyDescent="0.25">
      <c r="N724" s="6"/>
    </row>
    <row r="725" spans="14:14" x14ac:dyDescent="0.25">
      <c r="N725" s="6"/>
    </row>
    <row r="726" spans="14:14" x14ac:dyDescent="0.25">
      <c r="N726" s="6"/>
    </row>
    <row r="727" spans="14:14" x14ac:dyDescent="0.25">
      <c r="N727" s="6"/>
    </row>
    <row r="728" spans="14:14" x14ac:dyDescent="0.25">
      <c r="N728" s="6"/>
    </row>
    <row r="729" spans="14:14" x14ac:dyDescent="0.25">
      <c r="N729" s="6"/>
    </row>
    <row r="730" spans="14:14" x14ac:dyDescent="0.25">
      <c r="N730" s="6"/>
    </row>
    <row r="731" spans="14:14" x14ac:dyDescent="0.25">
      <c r="N731" s="6"/>
    </row>
    <row r="732" spans="14:14" x14ac:dyDescent="0.25">
      <c r="N732" s="6"/>
    </row>
    <row r="733" spans="14:14" x14ac:dyDescent="0.25">
      <c r="N733" s="6"/>
    </row>
    <row r="734" spans="14:14" x14ac:dyDescent="0.25">
      <c r="N734" s="6"/>
    </row>
    <row r="735" spans="14:14" x14ac:dyDescent="0.25">
      <c r="N735" s="6"/>
    </row>
    <row r="736" spans="14:14" x14ac:dyDescent="0.25">
      <c r="N736" s="6"/>
    </row>
    <row r="737" spans="14:14" x14ac:dyDescent="0.25">
      <c r="N737" s="6"/>
    </row>
    <row r="738" spans="14:14" x14ac:dyDescent="0.25">
      <c r="N738" s="6"/>
    </row>
    <row r="739" spans="14:14" x14ac:dyDescent="0.25">
      <c r="N739" s="6"/>
    </row>
    <row r="740" spans="14:14" x14ac:dyDescent="0.25">
      <c r="N740" s="6"/>
    </row>
    <row r="741" spans="14:14" x14ac:dyDescent="0.25">
      <c r="N741" s="6"/>
    </row>
    <row r="742" spans="14:14" x14ac:dyDescent="0.25">
      <c r="N742" s="6"/>
    </row>
    <row r="743" spans="14:14" x14ac:dyDescent="0.25">
      <c r="N743" s="6"/>
    </row>
    <row r="744" spans="14:14" x14ac:dyDescent="0.25">
      <c r="N744" s="6"/>
    </row>
    <row r="745" spans="14:14" x14ac:dyDescent="0.25">
      <c r="N745" s="6"/>
    </row>
    <row r="746" spans="14:14" x14ac:dyDescent="0.25">
      <c r="N746" s="6"/>
    </row>
    <row r="747" spans="14:14" x14ac:dyDescent="0.25">
      <c r="N747" s="6"/>
    </row>
    <row r="748" spans="14:14" x14ac:dyDescent="0.25">
      <c r="N748" s="6"/>
    </row>
    <row r="749" spans="14:14" x14ac:dyDescent="0.25">
      <c r="N749" s="6"/>
    </row>
    <row r="750" spans="14:14" x14ac:dyDescent="0.25">
      <c r="N750" s="6"/>
    </row>
    <row r="751" spans="14:14" x14ac:dyDescent="0.25">
      <c r="N751" s="6"/>
    </row>
    <row r="752" spans="14:14" x14ac:dyDescent="0.25">
      <c r="N752" s="6"/>
    </row>
    <row r="753" spans="14:14" x14ac:dyDescent="0.25">
      <c r="N753" s="6"/>
    </row>
    <row r="754" spans="14:14" x14ac:dyDescent="0.25">
      <c r="N754" s="6"/>
    </row>
    <row r="755" spans="14:14" x14ac:dyDescent="0.25">
      <c r="N755" s="6"/>
    </row>
    <row r="756" spans="14:14" x14ac:dyDescent="0.25">
      <c r="N756" s="6"/>
    </row>
    <row r="757" spans="14:14" x14ac:dyDescent="0.25">
      <c r="N757" s="6"/>
    </row>
    <row r="758" spans="14:14" x14ac:dyDescent="0.25">
      <c r="N758" s="6"/>
    </row>
    <row r="759" spans="14:14" x14ac:dyDescent="0.25">
      <c r="N759" s="6"/>
    </row>
    <row r="760" spans="14:14" x14ac:dyDescent="0.25">
      <c r="N760" s="6"/>
    </row>
    <row r="761" spans="14:14" x14ac:dyDescent="0.25">
      <c r="N761" s="6"/>
    </row>
    <row r="762" spans="14:14" x14ac:dyDescent="0.25">
      <c r="N762" s="6"/>
    </row>
    <row r="763" spans="14:14" x14ac:dyDescent="0.25">
      <c r="N763" s="6"/>
    </row>
    <row r="764" spans="14:14" x14ac:dyDescent="0.25">
      <c r="N764" s="6"/>
    </row>
    <row r="765" spans="14:14" x14ac:dyDescent="0.25">
      <c r="N765" s="6"/>
    </row>
    <row r="766" spans="14:14" x14ac:dyDescent="0.25">
      <c r="N766" s="6"/>
    </row>
    <row r="767" spans="14:14" x14ac:dyDescent="0.25">
      <c r="N767" s="6"/>
    </row>
    <row r="768" spans="14:14" x14ac:dyDescent="0.25">
      <c r="N768" s="6"/>
    </row>
    <row r="769" spans="14:14" x14ac:dyDescent="0.25">
      <c r="N769" s="6"/>
    </row>
    <row r="770" spans="14:14" x14ac:dyDescent="0.25">
      <c r="N770" s="6"/>
    </row>
    <row r="771" spans="14:14" x14ac:dyDescent="0.25">
      <c r="N771" s="6"/>
    </row>
    <row r="772" spans="14:14" x14ac:dyDescent="0.25">
      <c r="N772" s="6"/>
    </row>
    <row r="773" spans="14:14" x14ac:dyDescent="0.25">
      <c r="N773" s="6"/>
    </row>
    <row r="774" spans="14:14" x14ac:dyDescent="0.25">
      <c r="N774" s="6"/>
    </row>
    <row r="775" spans="14:14" x14ac:dyDescent="0.25">
      <c r="N775" s="6"/>
    </row>
    <row r="776" spans="14:14" x14ac:dyDescent="0.25">
      <c r="N776" s="6"/>
    </row>
    <row r="777" spans="14:14" x14ac:dyDescent="0.25">
      <c r="N777" s="6"/>
    </row>
    <row r="778" spans="14:14" x14ac:dyDescent="0.25">
      <c r="N778" s="6"/>
    </row>
    <row r="779" spans="14:14" x14ac:dyDescent="0.25">
      <c r="N779" s="6"/>
    </row>
    <row r="780" spans="14:14" x14ac:dyDescent="0.25">
      <c r="N780" s="6"/>
    </row>
    <row r="781" spans="14:14" x14ac:dyDescent="0.25">
      <c r="N781" s="6"/>
    </row>
    <row r="782" spans="14:14" x14ac:dyDescent="0.25">
      <c r="N782" s="6"/>
    </row>
    <row r="783" spans="14:14" x14ac:dyDescent="0.25">
      <c r="N783" s="6"/>
    </row>
    <row r="784" spans="14:14" x14ac:dyDescent="0.25">
      <c r="N784" s="6"/>
    </row>
    <row r="785" spans="14:14" x14ac:dyDescent="0.25">
      <c r="N785" s="6"/>
    </row>
    <row r="786" spans="14:14" x14ac:dyDescent="0.25">
      <c r="N786" s="6"/>
    </row>
    <row r="787" spans="14:14" x14ac:dyDescent="0.25">
      <c r="N787" s="6"/>
    </row>
    <row r="788" spans="14:14" x14ac:dyDescent="0.25">
      <c r="N788" s="6"/>
    </row>
    <row r="789" spans="14:14" x14ac:dyDescent="0.25">
      <c r="N789" s="6"/>
    </row>
    <row r="790" spans="14:14" x14ac:dyDescent="0.25">
      <c r="N790" s="6"/>
    </row>
    <row r="791" spans="14:14" x14ac:dyDescent="0.25">
      <c r="N791" s="6"/>
    </row>
    <row r="792" spans="14:14" x14ac:dyDescent="0.25">
      <c r="N792" s="6"/>
    </row>
    <row r="793" spans="14:14" x14ac:dyDescent="0.25">
      <c r="N793" s="6"/>
    </row>
    <row r="794" spans="14:14" x14ac:dyDescent="0.25">
      <c r="N794" s="6"/>
    </row>
    <row r="795" spans="14:14" x14ac:dyDescent="0.25">
      <c r="N795" s="6"/>
    </row>
    <row r="796" spans="14:14" x14ac:dyDescent="0.25">
      <c r="N796" s="6"/>
    </row>
    <row r="797" spans="14:14" x14ac:dyDescent="0.25">
      <c r="N797" s="6"/>
    </row>
    <row r="798" spans="14:14" x14ac:dyDescent="0.25">
      <c r="N798" s="6"/>
    </row>
    <row r="799" spans="14:14" x14ac:dyDescent="0.25">
      <c r="N799" s="6"/>
    </row>
    <row r="800" spans="14:14" x14ac:dyDescent="0.25">
      <c r="N800" s="6"/>
    </row>
    <row r="801" spans="14:14" x14ac:dyDescent="0.25">
      <c r="N801" s="6"/>
    </row>
    <row r="802" spans="14:14" x14ac:dyDescent="0.25">
      <c r="N802" s="6"/>
    </row>
    <row r="803" spans="14:14" x14ac:dyDescent="0.25">
      <c r="N803" s="6"/>
    </row>
    <row r="804" spans="14:14" ht="15.75" customHeight="1" x14ac:dyDescent="0.25">
      <c r="N804" s="6"/>
    </row>
    <row r="805" spans="14:14" x14ac:dyDescent="0.25">
      <c r="N805" s="6"/>
    </row>
    <row r="806" spans="14:14" x14ac:dyDescent="0.25">
      <c r="N806" s="6"/>
    </row>
    <row r="807" spans="14:14" x14ac:dyDescent="0.25">
      <c r="N807" s="6"/>
    </row>
    <row r="808" spans="14:14" ht="16.5" customHeight="1" x14ac:dyDescent="0.25">
      <c r="N808" s="6"/>
    </row>
    <row r="809" spans="14:14" x14ac:dyDescent="0.25">
      <c r="N809" s="6"/>
    </row>
    <row r="810" spans="14:14" x14ac:dyDescent="0.25">
      <c r="N810" s="6"/>
    </row>
    <row r="811" spans="14:14" x14ac:dyDescent="0.25">
      <c r="N811" s="6"/>
    </row>
    <row r="812" spans="14:14" x14ac:dyDescent="0.25">
      <c r="N812" s="6"/>
    </row>
    <row r="813" spans="14:14" ht="15.75" customHeight="1" x14ac:dyDescent="0.25">
      <c r="N813" s="6"/>
    </row>
    <row r="814" spans="14:14" x14ac:dyDescent="0.25">
      <c r="N814" s="6"/>
    </row>
    <row r="815" spans="14:14" x14ac:dyDescent="0.25">
      <c r="N815" s="6"/>
    </row>
    <row r="816" spans="14:14" x14ac:dyDescent="0.25">
      <c r="N816" s="6"/>
    </row>
    <row r="817" spans="14:14" x14ac:dyDescent="0.25">
      <c r="N817" s="6"/>
    </row>
    <row r="818" spans="14:14" x14ac:dyDescent="0.25">
      <c r="N818" s="6"/>
    </row>
    <row r="819" spans="14:14" ht="18" customHeight="1" x14ac:dyDescent="0.25">
      <c r="N819" s="6"/>
    </row>
    <row r="820" spans="14:14" ht="18" customHeight="1" x14ac:dyDescent="0.25">
      <c r="N820" s="6"/>
    </row>
    <row r="821" spans="14:14" x14ac:dyDescent="0.25">
      <c r="N821" s="6"/>
    </row>
    <row r="822" spans="14:14" x14ac:dyDescent="0.25">
      <c r="N822" s="6"/>
    </row>
    <row r="823" spans="14:14" x14ac:dyDescent="0.25">
      <c r="N823" s="6"/>
    </row>
    <row r="824" spans="14:14" x14ac:dyDescent="0.25">
      <c r="N824" s="6"/>
    </row>
    <row r="825" spans="14:14" x14ac:dyDescent="0.25">
      <c r="N825" s="6"/>
    </row>
    <row r="826" spans="14:14" x14ac:dyDescent="0.25">
      <c r="N826" s="6"/>
    </row>
    <row r="827" spans="14:14" x14ac:dyDescent="0.25">
      <c r="N827" s="6"/>
    </row>
    <row r="828" spans="14:14" x14ac:dyDescent="0.25">
      <c r="N828" s="6"/>
    </row>
    <row r="829" spans="14:14" x14ac:dyDescent="0.25">
      <c r="N829" s="6"/>
    </row>
    <row r="830" spans="14:14" x14ac:dyDescent="0.25">
      <c r="N830" s="6"/>
    </row>
    <row r="831" spans="14:14" x14ac:dyDescent="0.25">
      <c r="N831" s="6"/>
    </row>
    <row r="832" spans="14:14" x14ac:dyDescent="0.25">
      <c r="N832" s="6"/>
    </row>
    <row r="833" spans="14:14" x14ac:dyDescent="0.25">
      <c r="N833" s="6"/>
    </row>
    <row r="834" spans="14:14" x14ac:dyDescent="0.25">
      <c r="N834" s="6"/>
    </row>
    <row r="835" spans="14:14" x14ac:dyDescent="0.25">
      <c r="N835" s="6"/>
    </row>
    <row r="836" spans="14:14" x14ac:dyDescent="0.25">
      <c r="N836" s="6"/>
    </row>
    <row r="837" spans="14:14" x14ac:dyDescent="0.25">
      <c r="N837" s="6"/>
    </row>
    <row r="838" spans="14:14" x14ac:dyDescent="0.25">
      <c r="N838" s="6"/>
    </row>
    <row r="839" spans="14:14" x14ac:dyDescent="0.25">
      <c r="N839" s="6"/>
    </row>
    <row r="840" spans="14:14" x14ac:dyDescent="0.25">
      <c r="N840" s="5"/>
    </row>
    <row r="841" spans="14:14" x14ac:dyDescent="0.25">
      <c r="N841" s="5"/>
    </row>
    <row r="842" spans="14:14" x14ac:dyDescent="0.25">
      <c r="N842" s="27"/>
    </row>
    <row r="843" spans="14:14" x14ac:dyDescent="0.25">
      <c r="N843" s="6"/>
    </row>
    <row r="844" spans="14:14" x14ac:dyDescent="0.25">
      <c r="N844" s="6"/>
    </row>
    <row r="845" spans="14:14" x14ac:dyDescent="0.25">
      <c r="N845" s="24"/>
    </row>
    <row r="846" spans="14:14" x14ac:dyDescent="0.25">
      <c r="N846" s="6"/>
    </row>
    <row r="847" spans="14:14" x14ac:dyDescent="0.25">
      <c r="N847" s="6"/>
    </row>
    <row r="848" spans="14:14" x14ac:dyDescent="0.25">
      <c r="N848" s="6"/>
    </row>
    <row r="849" spans="14:14" x14ac:dyDescent="0.25">
      <c r="N849" s="6"/>
    </row>
    <row r="850" spans="14:14" x14ac:dyDescent="0.25">
      <c r="N850" s="6"/>
    </row>
    <row r="851" spans="14:14" x14ac:dyDescent="0.25">
      <c r="N851" s="6"/>
    </row>
    <row r="852" spans="14:14" x14ac:dyDescent="0.25">
      <c r="N852" s="6"/>
    </row>
    <row r="853" spans="14:14" x14ac:dyDescent="0.25">
      <c r="N853" s="6"/>
    </row>
    <row r="854" spans="14:14" x14ac:dyDescent="0.25">
      <c r="N854" s="6"/>
    </row>
    <row r="855" spans="14:14" ht="18.75" customHeight="1" x14ac:dyDescent="0.25">
      <c r="N855" s="6"/>
    </row>
    <row r="856" spans="14:14" ht="18.75" customHeight="1" x14ac:dyDescent="0.25">
      <c r="N856" s="6"/>
    </row>
    <row r="857" spans="14:14" x14ac:dyDescent="0.25">
      <c r="N857" s="6"/>
    </row>
    <row r="858" spans="14:14" x14ac:dyDescent="0.25">
      <c r="N858" s="6"/>
    </row>
    <row r="859" spans="14:14" x14ac:dyDescent="0.25">
      <c r="N859" s="6"/>
    </row>
    <row r="860" spans="14:14" x14ac:dyDescent="0.25">
      <c r="N860" s="6"/>
    </row>
    <row r="861" spans="14:14" x14ac:dyDescent="0.25">
      <c r="N861" s="6"/>
    </row>
    <row r="862" spans="14:14" x14ac:dyDescent="0.25">
      <c r="N862" s="6"/>
    </row>
    <row r="863" spans="14:14" x14ac:dyDescent="0.25">
      <c r="N863" s="6"/>
    </row>
    <row r="864" spans="14:14" x14ac:dyDescent="0.25">
      <c r="N864" s="6"/>
    </row>
    <row r="865" spans="14:14" x14ac:dyDescent="0.25">
      <c r="N865" s="6"/>
    </row>
    <row r="866" spans="14:14" x14ac:dyDescent="0.25">
      <c r="N866" s="6"/>
    </row>
    <row r="867" spans="14:14" x14ac:dyDescent="0.25">
      <c r="N867" s="6"/>
    </row>
    <row r="868" spans="14:14" x14ac:dyDescent="0.25">
      <c r="N868" s="6"/>
    </row>
    <row r="869" spans="14:14" x14ac:dyDescent="0.25">
      <c r="N869" s="6"/>
    </row>
    <row r="870" spans="14:14" x14ac:dyDescent="0.25">
      <c r="N870" s="6"/>
    </row>
    <row r="871" spans="14:14" x14ac:dyDescent="0.25">
      <c r="N871" s="6"/>
    </row>
    <row r="872" spans="14:14" x14ac:dyDescent="0.25">
      <c r="N872" s="6"/>
    </row>
    <row r="873" spans="14:14" x14ac:dyDescent="0.25">
      <c r="N873" s="6"/>
    </row>
    <row r="874" spans="14:14" x14ac:dyDescent="0.25">
      <c r="N874" s="6"/>
    </row>
    <row r="875" spans="14:14" x14ac:dyDescent="0.25">
      <c r="N875" s="6"/>
    </row>
    <row r="876" spans="14:14" x14ac:dyDescent="0.25">
      <c r="N876" s="6"/>
    </row>
    <row r="877" spans="14:14" x14ac:dyDescent="0.25">
      <c r="N877" s="6"/>
    </row>
    <row r="878" spans="14:14" x14ac:dyDescent="0.25">
      <c r="N878" s="6"/>
    </row>
    <row r="879" spans="14:14" x14ac:dyDescent="0.25">
      <c r="N879" s="6"/>
    </row>
    <row r="880" spans="14:14" x14ac:dyDescent="0.25">
      <c r="N880" s="6"/>
    </row>
    <row r="881" spans="14:14" x14ac:dyDescent="0.25">
      <c r="N881" s="6"/>
    </row>
    <row r="882" spans="14:14" x14ac:dyDescent="0.25">
      <c r="N882" s="6"/>
    </row>
    <row r="883" spans="14:14" x14ac:dyDescent="0.25">
      <c r="N883" s="6"/>
    </row>
    <row r="884" spans="14:14" x14ac:dyDescent="0.25">
      <c r="N884" s="6"/>
    </row>
    <row r="885" spans="14:14" x14ac:dyDescent="0.25">
      <c r="N885" s="6"/>
    </row>
    <row r="886" spans="14:14" x14ac:dyDescent="0.25">
      <c r="N886" s="6"/>
    </row>
    <row r="887" spans="14:14" x14ac:dyDescent="0.25">
      <c r="N887" s="6"/>
    </row>
    <row r="888" spans="14:14" x14ac:dyDescent="0.25">
      <c r="N888" s="6"/>
    </row>
    <row r="889" spans="14:14" x14ac:dyDescent="0.25">
      <c r="N889" s="6"/>
    </row>
    <row r="890" spans="14:14" x14ac:dyDescent="0.25">
      <c r="N890" s="6"/>
    </row>
    <row r="891" spans="14:14" x14ac:dyDescent="0.25">
      <c r="N891" s="6"/>
    </row>
    <row r="892" spans="14:14" x14ac:dyDescent="0.25">
      <c r="N892" s="6"/>
    </row>
    <row r="893" spans="14:14" x14ac:dyDescent="0.25">
      <c r="N893" s="6"/>
    </row>
    <row r="894" spans="14:14" x14ac:dyDescent="0.25">
      <c r="N894" s="6"/>
    </row>
    <row r="895" spans="14:14" x14ac:dyDescent="0.25">
      <c r="N895" s="6"/>
    </row>
    <row r="896" spans="14:14" x14ac:dyDescent="0.25">
      <c r="N896" s="6"/>
    </row>
    <row r="897" spans="14:14" x14ac:dyDescent="0.25">
      <c r="N897" s="6"/>
    </row>
    <row r="898" spans="14:14" x14ac:dyDescent="0.25">
      <c r="N898" s="6"/>
    </row>
    <row r="899" spans="14:14" x14ac:dyDescent="0.25">
      <c r="N899" s="6"/>
    </row>
    <row r="900" spans="14:14" x14ac:dyDescent="0.25">
      <c r="N900" s="6"/>
    </row>
    <row r="901" spans="14:14" x14ac:dyDescent="0.25">
      <c r="N901" s="6"/>
    </row>
    <row r="902" spans="14:14" x14ac:dyDescent="0.25">
      <c r="N902" s="6"/>
    </row>
    <row r="903" spans="14:14" x14ac:dyDescent="0.25">
      <c r="N903" s="6"/>
    </row>
    <row r="904" spans="14:14" x14ac:dyDescent="0.25">
      <c r="N904" s="6"/>
    </row>
    <row r="905" spans="14:14" x14ac:dyDescent="0.25">
      <c r="N905" s="6"/>
    </row>
    <row r="906" spans="14:14" x14ac:dyDescent="0.25">
      <c r="N906" s="6"/>
    </row>
    <row r="907" spans="14:14" x14ac:dyDescent="0.25">
      <c r="N907" s="6"/>
    </row>
    <row r="908" spans="14:14" x14ac:dyDescent="0.25">
      <c r="N908" s="6"/>
    </row>
    <row r="909" spans="14:14" x14ac:dyDescent="0.25">
      <c r="N909" s="6"/>
    </row>
    <row r="910" spans="14:14" x14ac:dyDescent="0.25">
      <c r="N910" s="6"/>
    </row>
    <row r="911" spans="14:14" x14ac:dyDescent="0.25">
      <c r="N911" s="6"/>
    </row>
    <row r="912" spans="14:14" x14ac:dyDescent="0.25">
      <c r="N912" s="6"/>
    </row>
    <row r="913" spans="14:14" x14ac:dyDescent="0.25">
      <c r="N913" s="6"/>
    </row>
    <row r="914" spans="14:14" x14ac:dyDescent="0.25">
      <c r="N914" s="6"/>
    </row>
    <row r="915" spans="14:14" x14ac:dyDescent="0.25">
      <c r="N915" s="6"/>
    </row>
    <row r="916" spans="14:14" x14ac:dyDescent="0.25">
      <c r="N916" s="6"/>
    </row>
    <row r="917" spans="14:14" x14ac:dyDescent="0.25">
      <c r="N917" s="6"/>
    </row>
    <row r="918" spans="14:14" x14ac:dyDescent="0.25">
      <c r="N918" s="6"/>
    </row>
    <row r="919" spans="14:14" x14ac:dyDescent="0.25">
      <c r="N919" s="6"/>
    </row>
    <row r="920" spans="14:14" x14ac:dyDescent="0.25">
      <c r="N920" s="6"/>
    </row>
    <row r="921" spans="14:14" x14ac:dyDescent="0.25">
      <c r="N921" s="6"/>
    </row>
    <row r="922" spans="14:14" x14ac:dyDescent="0.25">
      <c r="N922" s="6"/>
    </row>
    <row r="923" spans="14:14" x14ac:dyDescent="0.25">
      <c r="N923" s="6"/>
    </row>
    <row r="924" spans="14:14" x14ac:dyDescent="0.25">
      <c r="N924" s="6"/>
    </row>
    <row r="925" spans="14:14" x14ac:dyDescent="0.25">
      <c r="N925" s="6"/>
    </row>
    <row r="926" spans="14:14" x14ac:dyDescent="0.25">
      <c r="N926" s="6"/>
    </row>
    <row r="927" spans="14:14" x14ac:dyDescent="0.25">
      <c r="N927" s="6"/>
    </row>
    <row r="928" spans="14:14" x14ac:dyDescent="0.25">
      <c r="N928" s="6"/>
    </row>
    <row r="929" spans="14:14" x14ac:dyDescent="0.25">
      <c r="N929" s="6"/>
    </row>
    <row r="930" spans="14:14" x14ac:dyDescent="0.25">
      <c r="N930" s="6"/>
    </row>
    <row r="931" spans="14:14" x14ac:dyDescent="0.25">
      <c r="N931" s="6"/>
    </row>
    <row r="932" spans="14:14" x14ac:dyDescent="0.25">
      <c r="N932" s="6"/>
    </row>
    <row r="933" spans="14:14" ht="15" customHeight="1" x14ac:dyDescent="0.25">
      <c r="N933" s="5"/>
    </row>
    <row r="934" spans="14:14" ht="15" customHeight="1" x14ac:dyDescent="0.25">
      <c r="N934" s="5"/>
    </row>
    <row r="935" spans="14:14" x14ac:dyDescent="0.25">
      <c r="N935" s="27"/>
    </row>
    <row r="936" spans="14:14" x14ac:dyDescent="0.25">
      <c r="N936" s="24"/>
    </row>
    <row r="937" spans="14:14" ht="15" customHeight="1" x14ac:dyDescent="0.25">
      <c r="N937" s="24"/>
    </row>
    <row r="938" spans="14:14" ht="11.25" customHeight="1" x14ac:dyDescent="0.25">
      <c r="N938" s="24"/>
    </row>
    <row r="939" spans="14:14" x14ac:dyDescent="0.25">
      <c r="N939" s="24"/>
    </row>
  </sheetData>
  <mergeCells count="15">
    <mergeCell ref="A18:J25"/>
    <mergeCell ref="O1:T1"/>
    <mergeCell ref="A2:A3"/>
    <mergeCell ref="J2:J3"/>
    <mergeCell ref="K2:K3"/>
    <mergeCell ref="L2:L3"/>
    <mergeCell ref="M2:M3"/>
    <mergeCell ref="F2:H2"/>
    <mergeCell ref="D2:E2"/>
    <mergeCell ref="A1:M1"/>
    <mergeCell ref="B2:C2"/>
    <mergeCell ref="A16:L17"/>
    <mergeCell ref="T2:T3"/>
    <mergeCell ref="Q2:R2"/>
    <mergeCell ref="O2:P2"/>
  </mergeCells>
  <pageMargins left="0.7" right="0.3" top="0.34" bottom="0.24" header="0.3" footer="0.27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selection activeCell="H199" sqref="H199:L205"/>
    </sheetView>
  </sheetViews>
  <sheetFormatPr defaultRowHeight="15" x14ac:dyDescent="0.25"/>
  <cols>
    <col min="1" max="1" width="12.875" customWidth="1"/>
    <col min="3" max="3" width="10.25" customWidth="1"/>
    <col min="7" max="7" width="12.75" customWidth="1"/>
    <col min="8" max="8" width="13" customWidth="1"/>
    <col min="9" max="9" width="13.125" customWidth="1"/>
    <col min="10" max="10" width="16.375" customWidth="1"/>
    <col min="11" max="11" width="13.25" customWidth="1"/>
    <col min="12" max="12" width="10.375" customWidth="1"/>
    <col min="13" max="13" width="16.125" customWidth="1"/>
  </cols>
  <sheetData>
    <row r="1" spans="1:13" ht="21" x14ac:dyDescent="0.35">
      <c r="A1" s="72" t="s">
        <v>118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15.75" x14ac:dyDescent="0.25">
      <c r="A2" s="73" t="s">
        <v>5</v>
      </c>
      <c r="B2" s="75" t="s">
        <v>13</v>
      </c>
      <c r="C2" s="76"/>
      <c r="D2" s="76"/>
      <c r="E2" s="76"/>
      <c r="F2" s="77"/>
      <c r="G2" s="78" t="s">
        <v>14</v>
      </c>
      <c r="H2" s="78"/>
      <c r="I2" s="78"/>
      <c r="J2" s="78"/>
      <c r="K2" s="78"/>
      <c r="L2" s="9" t="s">
        <v>15</v>
      </c>
      <c r="M2" s="10" t="s">
        <v>16</v>
      </c>
    </row>
    <row r="3" spans="1:13" ht="15.75" x14ac:dyDescent="0.25">
      <c r="A3" s="74"/>
      <c r="B3" s="9" t="s">
        <v>17</v>
      </c>
      <c r="C3" s="10" t="s">
        <v>18</v>
      </c>
      <c r="D3" s="9" t="s">
        <v>19</v>
      </c>
      <c r="E3" s="9" t="s">
        <v>20</v>
      </c>
      <c r="F3" s="9" t="s">
        <v>21</v>
      </c>
      <c r="G3" s="9" t="s">
        <v>17</v>
      </c>
      <c r="H3" s="10" t="s">
        <v>18</v>
      </c>
      <c r="I3" s="9" t="s">
        <v>19</v>
      </c>
      <c r="J3" s="9" t="s">
        <v>20</v>
      </c>
      <c r="K3" s="9" t="s">
        <v>21</v>
      </c>
      <c r="L3" s="9" t="s">
        <v>22</v>
      </c>
      <c r="M3" s="10" t="s">
        <v>15</v>
      </c>
    </row>
    <row r="4" spans="1:13" ht="15.75" x14ac:dyDescent="0.25">
      <c r="A4" s="11"/>
      <c r="B4" s="11"/>
      <c r="C4" s="11"/>
      <c r="D4" s="11"/>
      <c r="E4" s="11"/>
      <c r="F4" s="11"/>
      <c r="G4" s="12"/>
      <c r="H4" s="10"/>
      <c r="I4" s="9" t="s">
        <v>23</v>
      </c>
      <c r="J4" s="9" t="s">
        <v>24</v>
      </c>
      <c r="K4" s="9" t="s">
        <v>25</v>
      </c>
      <c r="L4" s="13" t="s">
        <v>26</v>
      </c>
      <c r="M4" s="14" t="s">
        <v>27</v>
      </c>
    </row>
    <row r="5" spans="1:13" ht="15.75" x14ac:dyDescent="0.25">
      <c r="A5" s="11"/>
      <c r="B5" s="11"/>
      <c r="C5" s="11"/>
      <c r="D5" s="11"/>
      <c r="E5" s="11"/>
      <c r="F5" s="11"/>
      <c r="G5" s="9"/>
      <c r="H5" s="15"/>
      <c r="I5" s="16" t="s">
        <v>28</v>
      </c>
      <c r="J5" s="16" t="s">
        <v>29</v>
      </c>
      <c r="K5" s="13" t="s">
        <v>30</v>
      </c>
      <c r="L5" s="13" t="s">
        <v>31</v>
      </c>
      <c r="M5" s="14" t="s">
        <v>27</v>
      </c>
    </row>
    <row r="6" spans="1:13" ht="15.75" x14ac:dyDescent="0.25">
      <c r="A6" s="11"/>
      <c r="B6" s="11"/>
      <c r="C6" s="11"/>
      <c r="D6" s="11"/>
      <c r="E6" s="11"/>
      <c r="F6" s="11"/>
      <c r="G6" s="17"/>
      <c r="H6" s="16" t="s">
        <v>32</v>
      </c>
      <c r="I6" s="16" t="s">
        <v>33</v>
      </c>
      <c r="J6" s="16" t="s">
        <v>34</v>
      </c>
      <c r="K6" s="13" t="s">
        <v>35</v>
      </c>
      <c r="L6" s="13" t="s">
        <v>36</v>
      </c>
      <c r="M6" s="13" t="s">
        <v>37</v>
      </c>
    </row>
    <row r="7" spans="1:13" ht="20.100000000000001" customHeight="1" x14ac:dyDescent="0.25">
      <c r="A7" s="11"/>
      <c r="B7" s="11"/>
      <c r="C7" s="11"/>
      <c r="D7" s="11"/>
      <c r="E7" s="11"/>
      <c r="F7" s="11"/>
      <c r="G7" s="18"/>
      <c r="H7" s="18"/>
      <c r="I7" s="13" t="s">
        <v>38</v>
      </c>
      <c r="J7" s="13" t="s">
        <v>39</v>
      </c>
      <c r="K7" s="13" t="s">
        <v>40</v>
      </c>
      <c r="L7" s="13" t="s">
        <v>41</v>
      </c>
      <c r="M7" s="14" t="s">
        <v>42</v>
      </c>
    </row>
    <row r="8" spans="1:13" ht="15.75" x14ac:dyDescent="0.25">
      <c r="A8" s="11"/>
      <c r="B8" s="11"/>
      <c r="C8" s="11"/>
      <c r="D8" s="11"/>
      <c r="E8" s="11"/>
      <c r="F8" s="11"/>
      <c r="G8" s="18"/>
      <c r="H8" s="18"/>
      <c r="I8" s="13" t="s">
        <v>43</v>
      </c>
      <c r="J8" s="13" t="s">
        <v>39</v>
      </c>
      <c r="K8" s="13" t="s">
        <v>40</v>
      </c>
      <c r="L8" s="13" t="s">
        <v>44</v>
      </c>
      <c r="M8" s="14" t="s">
        <v>42</v>
      </c>
    </row>
    <row r="9" spans="1:13" ht="15.75" x14ac:dyDescent="0.25">
      <c r="A9" s="11"/>
      <c r="B9" s="11"/>
      <c r="C9" s="11"/>
      <c r="D9" s="11"/>
      <c r="E9" s="11"/>
      <c r="F9" s="11"/>
      <c r="G9" s="13"/>
      <c r="H9" s="13"/>
      <c r="I9" s="13" t="s">
        <v>45</v>
      </c>
      <c r="J9" s="13" t="s">
        <v>46</v>
      </c>
      <c r="K9" s="16" t="s">
        <v>47</v>
      </c>
      <c r="L9" s="70" t="s">
        <v>48</v>
      </c>
      <c r="M9" s="70" t="s">
        <v>42</v>
      </c>
    </row>
    <row r="10" spans="1:13" ht="15.75" x14ac:dyDescent="0.25">
      <c r="A10" s="11"/>
      <c r="B10" s="11"/>
      <c r="C10" s="11"/>
      <c r="D10" s="11"/>
      <c r="E10" s="11"/>
      <c r="F10" s="11"/>
      <c r="G10" s="18"/>
      <c r="H10" s="13"/>
      <c r="I10" s="13" t="s">
        <v>45</v>
      </c>
      <c r="J10" s="13" t="s">
        <v>49</v>
      </c>
      <c r="K10" s="16" t="s">
        <v>50</v>
      </c>
      <c r="L10" s="70"/>
      <c r="M10" s="70"/>
    </row>
    <row r="11" spans="1:13" ht="15.75" x14ac:dyDescent="0.25">
      <c r="A11" s="11"/>
      <c r="B11" s="11"/>
      <c r="C11" s="11"/>
      <c r="D11" s="11"/>
      <c r="E11" s="11"/>
      <c r="F11" s="11"/>
      <c r="G11" s="18"/>
      <c r="H11" s="18" t="s">
        <v>51</v>
      </c>
      <c r="I11" s="13" t="s">
        <v>43</v>
      </c>
      <c r="J11" s="13" t="s">
        <v>39</v>
      </c>
      <c r="K11" s="13" t="s">
        <v>40</v>
      </c>
      <c r="L11" s="13" t="s">
        <v>52</v>
      </c>
      <c r="M11" s="14" t="s">
        <v>42</v>
      </c>
    </row>
    <row r="12" spans="1:13" ht="15.75" x14ac:dyDescent="0.25">
      <c r="A12" s="11"/>
      <c r="B12" s="11"/>
      <c r="C12" s="11"/>
      <c r="D12" s="11"/>
      <c r="E12" s="11"/>
      <c r="F12" s="11"/>
      <c r="G12" s="18"/>
      <c r="H12" s="13"/>
      <c r="I12" s="13" t="s">
        <v>53</v>
      </c>
      <c r="J12" s="13" t="s">
        <v>54</v>
      </c>
      <c r="K12" s="16" t="s">
        <v>55</v>
      </c>
      <c r="L12" s="13" t="s">
        <v>56</v>
      </c>
      <c r="M12" s="14" t="s">
        <v>42</v>
      </c>
    </row>
    <row r="13" spans="1:13" ht="15.75" x14ac:dyDescent="0.25">
      <c r="A13" s="11"/>
      <c r="B13" s="11"/>
      <c r="C13" s="11"/>
      <c r="D13" s="11"/>
      <c r="E13" s="11"/>
      <c r="F13" s="11"/>
      <c r="G13" s="13"/>
      <c r="H13" s="18">
        <v>50</v>
      </c>
      <c r="I13" s="13">
        <v>548</v>
      </c>
      <c r="J13" s="13">
        <v>1903628</v>
      </c>
      <c r="K13" s="13">
        <v>1907567</v>
      </c>
      <c r="L13" s="13" t="s">
        <v>57</v>
      </c>
      <c r="M13" s="14" t="s">
        <v>58</v>
      </c>
    </row>
    <row r="14" spans="1:13" ht="15.75" x14ac:dyDescent="0.25">
      <c r="A14" s="11"/>
      <c r="B14" s="11"/>
      <c r="C14" s="11"/>
      <c r="D14" s="11"/>
      <c r="E14" s="11"/>
      <c r="F14" s="11"/>
      <c r="G14" s="18"/>
      <c r="H14" s="18">
        <v>50</v>
      </c>
      <c r="I14" s="13">
        <v>548</v>
      </c>
      <c r="J14" s="13">
        <v>1903628</v>
      </c>
      <c r="K14" s="13">
        <v>1907567</v>
      </c>
      <c r="L14" s="13" t="s">
        <v>59</v>
      </c>
      <c r="M14" s="14" t="s">
        <v>58</v>
      </c>
    </row>
    <row r="15" spans="1:13" ht="15.75" x14ac:dyDescent="0.25">
      <c r="A15" s="11"/>
      <c r="B15" s="11"/>
      <c r="C15" s="11"/>
      <c r="D15" s="11"/>
      <c r="E15" s="11"/>
      <c r="F15" s="11"/>
      <c r="G15" s="18"/>
      <c r="H15" s="14" t="s">
        <v>60</v>
      </c>
      <c r="I15" s="13">
        <v>518</v>
      </c>
      <c r="J15" s="13">
        <v>1903628</v>
      </c>
      <c r="K15" s="13">
        <v>1907567</v>
      </c>
      <c r="L15" s="13" t="s">
        <v>61</v>
      </c>
      <c r="M15" s="14" t="s">
        <v>58</v>
      </c>
    </row>
    <row r="16" spans="1:13" ht="15.75" x14ac:dyDescent="0.25">
      <c r="A16" s="11"/>
      <c r="B16" s="11"/>
      <c r="C16" s="11"/>
      <c r="D16" s="11"/>
      <c r="E16" s="11"/>
      <c r="F16" s="11"/>
      <c r="G16" s="13"/>
      <c r="H16" s="14"/>
      <c r="I16" s="13" t="s">
        <v>62</v>
      </c>
      <c r="J16" s="13" t="s">
        <v>63</v>
      </c>
      <c r="K16" s="13" t="s">
        <v>47</v>
      </c>
      <c r="L16" s="13" t="s">
        <v>61</v>
      </c>
      <c r="M16" s="14" t="s">
        <v>64</v>
      </c>
    </row>
    <row r="17" spans="1:13" ht="15.75" x14ac:dyDescent="0.25">
      <c r="A17" s="11"/>
      <c r="B17" s="11"/>
      <c r="C17" s="11"/>
      <c r="D17" s="11"/>
      <c r="E17" s="11"/>
      <c r="F17" s="11"/>
      <c r="G17" s="18"/>
      <c r="H17" s="14" t="s">
        <v>65</v>
      </c>
      <c r="I17" s="13" t="s">
        <v>66</v>
      </c>
      <c r="J17" s="13" t="s">
        <v>67</v>
      </c>
      <c r="K17" s="13">
        <v>623934</v>
      </c>
      <c r="L17" s="13" t="s">
        <v>68</v>
      </c>
      <c r="M17" s="14" t="s">
        <v>27</v>
      </c>
    </row>
    <row r="18" spans="1:13" ht="15.75" x14ac:dyDescent="0.25">
      <c r="A18" s="11"/>
      <c r="B18" s="11"/>
      <c r="C18" s="11"/>
      <c r="D18" s="11"/>
      <c r="E18" s="11"/>
      <c r="F18" s="11"/>
      <c r="G18" s="18"/>
      <c r="H18" s="14" t="s">
        <v>60</v>
      </c>
      <c r="I18" s="13">
        <v>518</v>
      </c>
      <c r="J18" s="16" t="s">
        <v>69</v>
      </c>
      <c r="K18" s="13">
        <v>2654403</v>
      </c>
      <c r="L18" s="13" t="s">
        <v>59</v>
      </c>
      <c r="M18" s="14" t="s">
        <v>27</v>
      </c>
    </row>
    <row r="19" spans="1:13" ht="15.75" x14ac:dyDescent="0.25">
      <c r="A19" s="11"/>
      <c r="B19" s="11"/>
      <c r="C19" s="11"/>
      <c r="D19" s="11"/>
      <c r="E19" s="11"/>
      <c r="F19" s="11"/>
      <c r="G19" s="18"/>
      <c r="H19" s="16"/>
      <c r="I19" s="19">
        <v>26510362</v>
      </c>
      <c r="J19" s="19">
        <v>26560163</v>
      </c>
      <c r="K19" s="19">
        <v>2654403</v>
      </c>
      <c r="L19" s="13" t="s">
        <v>61</v>
      </c>
      <c r="M19" s="14" t="s">
        <v>27</v>
      </c>
    </row>
    <row r="20" spans="1:13" ht="15.75" x14ac:dyDescent="0.25">
      <c r="A20" s="11"/>
      <c r="B20" s="11"/>
      <c r="C20" s="11"/>
      <c r="D20" s="11"/>
      <c r="E20" s="11"/>
      <c r="F20" s="11"/>
      <c r="G20" s="18"/>
      <c r="H20" s="17"/>
      <c r="I20" s="19">
        <v>265108962</v>
      </c>
      <c r="J20" s="19">
        <v>26561117</v>
      </c>
      <c r="K20" s="19">
        <v>140517050</v>
      </c>
      <c r="L20" s="16">
        <v>15</v>
      </c>
      <c r="M20" s="14" t="s">
        <v>27</v>
      </c>
    </row>
    <row r="21" spans="1:13" ht="15.75" x14ac:dyDescent="0.25">
      <c r="A21" s="11"/>
      <c r="B21" s="11"/>
      <c r="C21" s="11"/>
      <c r="D21" s="11"/>
      <c r="E21" s="11"/>
      <c r="F21" s="11"/>
      <c r="G21" s="13"/>
      <c r="H21" s="17"/>
      <c r="I21" s="19">
        <v>265108962</v>
      </c>
      <c r="J21" s="19">
        <v>26561117</v>
      </c>
      <c r="K21" s="19">
        <v>140517050</v>
      </c>
      <c r="L21" s="16" t="s">
        <v>70</v>
      </c>
      <c r="M21" s="14" t="s">
        <v>27</v>
      </c>
    </row>
    <row r="22" spans="1:13" ht="15.75" x14ac:dyDescent="0.25">
      <c r="A22" s="11"/>
      <c r="B22" s="11"/>
      <c r="C22" s="11"/>
      <c r="D22" s="11"/>
      <c r="E22" s="11"/>
      <c r="F22" s="11"/>
      <c r="G22" s="13"/>
      <c r="H22" s="11"/>
      <c r="I22" s="19">
        <v>265108962</v>
      </c>
      <c r="J22" s="19">
        <v>26561117</v>
      </c>
      <c r="K22" s="19">
        <v>140517050</v>
      </c>
      <c r="L22" s="11" t="s">
        <v>71</v>
      </c>
      <c r="M22" s="14" t="s">
        <v>27</v>
      </c>
    </row>
    <row r="23" spans="1:13" ht="15.75" x14ac:dyDescent="0.25">
      <c r="A23" s="11"/>
      <c r="B23" s="11"/>
      <c r="C23" s="11"/>
      <c r="D23" s="11"/>
      <c r="E23" s="11"/>
      <c r="F23" s="11"/>
      <c r="G23" s="13"/>
      <c r="H23" s="68" t="s">
        <v>51</v>
      </c>
      <c r="I23" s="69" t="s">
        <v>72</v>
      </c>
      <c r="J23" s="16" t="s">
        <v>73</v>
      </c>
      <c r="K23" s="70" t="s">
        <v>74</v>
      </c>
      <c r="L23" s="70" t="s">
        <v>75</v>
      </c>
      <c r="M23" s="70" t="s">
        <v>76</v>
      </c>
    </row>
    <row r="24" spans="1:13" ht="15.75" x14ac:dyDescent="0.25">
      <c r="A24" s="11"/>
      <c r="B24" s="11"/>
      <c r="C24" s="11"/>
      <c r="D24" s="11"/>
      <c r="E24" s="11"/>
      <c r="F24" s="11"/>
      <c r="G24" s="13"/>
      <c r="H24" s="68"/>
      <c r="I24" s="69"/>
      <c r="J24" s="16" t="s">
        <v>77</v>
      </c>
      <c r="K24" s="70"/>
      <c r="L24" s="70"/>
      <c r="M24" s="70"/>
    </row>
    <row r="25" spans="1:13" ht="15.75" x14ac:dyDescent="0.25">
      <c r="A25" s="11"/>
      <c r="B25" s="11"/>
      <c r="C25" s="11"/>
      <c r="D25" s="11"/>
      <c r="E25" s="11"/>
      <c r="F25" s="11"/>
      <c r="G25" s="12"/>
      <c r="H25" s="20">
        <v>3814313</v>
      </c>
      <c r="I25" s="21" t="s">
        <v>78</v>
      </c>
      <c r="J25" s="13" t="s">
        <v>79</v>
      </c>
      <c r="K25" s="22" t="s">
        <v>25</v>
      </c>
      <c r="L25" s="21" t="s">
        <v>80</v>
      </c>
      <c r="M25" s="21" t="s">
        <v>76</v>
      </c>
    </row>
    <row r="26" spans="1:13" ht="15.75" x14ac:dyDescent="0.25">
      <c r="A26" s="11"/>
      <c r="B26" s="11"/>
      <c r="C26" s="11"/>
      <c r="D26" s="11"/>
      <c r="E26" s="11"/>
      <c r="F26" s="11"/>
      <c r="G26" s="12"/>
      <c r="H26" s="13" t="s">
        <v>51</v>
      </c>
      <c r="I26" s="13" t="s">
        <v>81</v>
      </c>
      <c r="J26" s="13" t="s">
        <v>82</v>
      </c>
      <c r="K26" s="16" t="s">
        <v>83</v>
      </c>
      <c r="L26" s="13" t="s">
        <v>84</v>
      </c>
      <c r="M26" s="14" t="s">
        <v>85</v>
      </c>
    </row>
    <row r="27" spans="1:13" ht="15.75" x14ac:dyDescent="0.25">
      <c r="A27" s="11"/>
      <c r="B27" s="11"/>
      <c r="C27" s="11"/>
      <c r="D27" s="11"/>
      <c r="E27" s="11"/>
      <c r="F27" s="11"/>
      <c r="G27" s="12"/>
      <c r="H27" s="21"/>
      <c r="I27" s="21" t="s">
        <v>86</v>
      </c>
      <c r="J27" s="13" t="s">
        <v>87</v>
      </c>
      <c r="K27" s="22" t="s">
        <v>88</v>
      </c>
      <c r="L27" s="21" t="s">
        <v>89</v>
      </c>
      <c r="M27" s="21" t="s">
        <v>76</v>
      </c>
    </row>
    <row r="28" spans="1:13" ht="15.75" x14ac:dyDescent="0.25">
      <c r="A28" s="11"/>
      <c r="B28" s="11"/>
      <c r="C28" s="11"/>
      <c r="D28" s="11"/>
      <c r="E28" s="11"/>
      <c r="F28" s="11"/>
      <c r="G28" s="12"/>
      <c r="H28" s="21"/>
      <c r="I28" s="21"/>
      <c r="J28" s="13"/>
      <c r="K28" s="22"/>
      <c r="L28" s="21"/>
      <c r="M28" s="21" t="s">
        <v>11</v>
      </c>
    </row>
    <row r="29" spans="1:13" ht="18.75" x14ac:dyDescent="0.3">
      <c r="A29" s="71" t="s">
        <v>90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</row>
    <row r="30" spans="1:13" ht="18.75" x14ac:dyDescent="0.3">
      <c r="A30" s="67" t="s">
        <v>91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</row>
    <row r="31" spans="1:13" x14ac:dyDescent="0.25">
      <c r="G31" t="s">
        <v>7</v>
      </c>
    </row>
    <row r="40" spans="1:13" ht="21" x14ac:dyDescent="0.35">
      <c r="A40" s="72" t="s">
        <v>121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</row>
    <row r="41" spans="1:13" ht="15.75" x14ac:dyDescent="0.25">
      <c r="A41" s="73" t="s">
        <v>5</v>
      </c>
      <c r="B41" s="75" t="s">
        <v>13</v>
      </c>
      <c r="C41" s="76"/>
      <c r="D41" s="76"/>
      <c r="E41" s="76"/>
      <c r="F41" s="77"/>
      <c r="G41" s="78" t="s">
        <v>14</v>
      </c>
      <c r="H41" s="78"/>
      <c r="I41" s="78"/>
      <c r="J41" s="78"/>
      <c r="K41" s="78"/>
      <c r="L41" s="9" t="s">
        <v>15</v>
      </c>
      <c r="M41" s="10" t="s">
        <v>16</v>
      </c>
    </row>
    <row r="42" spans="1:13" ht="15.75" x14ac:dyDescent="0.25">
      <c r="A42" s="74"/>
      <c r="B42" s="9" t="s">
        <v>17</v>
      </c>
      <c r="C42" s="10" t="s">
        <v>18</v>
      </c>
      <c r="D42" s="9" t="s">
        <v>19</v>
      </c>
      <c r="E42" s="9" t="s">
        <v>20</v>
      </c>
      <c r="F42" s="9" t="s">
        <v>21</v>
      </c>
      <c r="G42" s="9" t="s">
        <v>17</v>
      </c>
      <c r="H42" s="10" t="s">
        <v>18</v>
      </c>
      <c r="I42" s="9" t="s">
        <v>19</v>
      </c>
      <c r="J42" s="9" t="s">
        <v>20</v>
      </c>
      <c r="K42" s="9" t="s">
        <v>21</v>
      </c>
      <c r="L42" s="9" t="s">
        <v>22</v>
      </c>
      <c r="M42" s="10" t="s">
        <v>15</v>
      </c>
    </row>
    <row r="43" spans="1:13" ht="15.75" x14ac:dyDescent="0.25">
      <c r="A43" s="11"/>
      <c r="B43" s="11"/>
      <c r="C43" s="11"/>
      <c r="D43" s="11"/>
      <c r="E43" s="11"/>
      <c r="F43" s="11"/>
      <c r="G43" s="17"/>
      <c r="H43" s="16" t="s">
        <v>92</v>
      </c>
      <c r="I43" s="16" t="s">
        <v>93</v>
      </c>
      <c r="J43" s="16" t="s">
        <v>94</v>
      </c>
      <c r="K43" s="13" t="s">
        <v>95</v>
      </c>
      <c r="L43" s="13" t="s">
        <v>96</v>
      </c>
      <c r="M43" s="14" t="s">
        <v>27</v>
      </c>
    </row>
    <row r="44" spans="1:13" ht="15.75" x14ac:dyDescent="0.25">
      <c r="A44" s="11"/>
      <c r="B44" s="11"/>
      <c r="C44" s="11"/>
      <c r="D44" s="11"/>
      <c r="E44" s="11"/>
      <c r="F44" s="11"/>
      <c r="G44" s="13"/>
      <c r="H44" s="13"/>
      <c r="I44" s="13" t="s">
        <v>45</v>
      </c>
      <c r="J44" s="13" t="s">
        <v>46</v>
      </c>
      <c r="K44" s="16" t="s">
        <v>47</v>
      </c>
      <c r="L44" s="70" t="s">
        <v>48</v>
      </c>
      <c r="M44" s="70" t="s">
        <v>42</v>
      </c>
    </row>
    <row r="45" spans="1:13" ht="15.75" x14ac:dyDescent="0.25">
      <c r="A45" s="11"/>
      <c r="B45" s="11"/>
      <c r="C45" s="11"/>
      <c r="D45" s="11"/>
      <c r="E45" s="11"/>
      <c r="F45" s="11"/>
      <c r="G45" s="18"/>
      <c r="H45" s="13"/>
      <c r="I45" s="13" t="s">
        <v>45</v>
      </c>
      <c r="J45" s="13" t="s">
        <v>49</v>
      </c>
      <c r="K45" s="16" t="s">
        <v>50</v>
      </c>
      <c r="L45" s="70"/>
      <c r="M45" s="70"/>
    </row>
    <row r="46" spans="1:13" ht="15.75" x14ac:dyDescent="0.25">
      <c r="A46" s="11"/>
      <c r="B46" s="11"/>
      <c r="C46" s="11"/>
      <c r="D46" s="11"/>
      <c r="E46" s="11"/>
      <c r="F46" s="11"/>
      <c r="G46" s="18"/>
      <c r="H46" s="18" t="s">
        <v>51</v>
      </c>
      <c r="I46" s="13" t="s">
        <v>43</v>
      </c>
      <c r="J46" s="13" t="s">
        <v>39</v>
      </c>
      <c r="K46" s="13" t="s">
        <v>40</v>
      </c>
      <c r="L46" s="13" t="s">
        <v>52</v>
      </c>
      <c r="M46" s="14" t="s">
        <v>42</v>
      </c>
    </row>
    <row r="47" spans="1:13" ht="15.75" x14ac:dyDescent="0.25">
      <c r="A47" s="11"/>
      <c r="B47" s="11"/>
      <c r="C47" s="11"/>
      <c r="D47" s="11"/>
      <c r="E47" s="11"/>
      <c r="F47" s="11"/>
      <c r="G47" s="18"/>
      <c r="H47" s="13"/>
      <c r="I47" s="13" t="s">
        <v>53</v>
      </c>
      <c r="J47" s="13" t="s">
        <v>54</v>
      </c>
      <c r="K47" s="16" t="s">
        <v>55</v>
      </c>
      <c r="L47" s="13" t="s">
        <v>56</v>
      </c>
      <c r="M47" s="14" t="s">
        <v>42</v>
      </c>
    </row>
    <row r="48" spans="1:13" ht="15.75" x14ac:dyDescent="0.25">
      <c r="A48" s="11"/>
      <c r="B48" s="11"/>
      <c r="C48" s="11"/>
      <c r="D48" s="11"/>
      <c r="E48" s="11"/>
      <c r="F48" s="11"/>
      <c r="G48" s="13"/>
      <c r="H48" s="18">
        <v>50</v>
      </c>
      <c r="I48" s="13">
        <v>548</v>
      </c>
      <c r="J48" s="13">
        <v>1903628</v>
      </c>
      <c r="K48" s="13">
        <v>1907567</v>
      </c>
      <c r="L48" s="13" t="s">
        <v>57</v>
      </c>
      <c r="M48" s="14" t="s">
        <v>58</v>
      </c>
    </row>
    <row r="49" spans="1:13" ht="15.75" x14ac:dyDescent="0.25">
      <c r="A49" s="11"/>
      <c r="B49" s="11"/>
      <c r="C49" s="11"/>
      <c r="D49" s="11"/>
      <c r="E49" s="11"/>
      <c r="F49" s="11"/>
      <c r="G49" s="18"/>
      <c r="H49" s="18">
        <v>50</v>
      </c>
      <c r="I49" s="13">
        <v>548</v>
      </c>
      <c r="J49" s="13">
        <v>1903628</v>
      </c>
      <c r="K49" s="13">
        <v>1907567</v>
      </c>
      <c r="L49" s="13" t="s">
        <v>59</v>
      </c>
      <c r="M49" s="14" t="s">
        <v>58</v>
      </c>
    </row>
    <row r="50" spans="1:13" ht="15.75" x14ac:dyDescent="0.25">
      <c r="A50" s="11"/>
      <c r="B50" s="11"/>
      <c r="C50" s="11"/>
      <c r="D50" s="11"/>
      <c r="E50" s="11"/>
      <c r="F50" s="11"/>
      <c r="G50" s="18"/>
      <c r="H50" s="14" t="s">
        <v>60</v>
      </c>
      <c r="I50" s="13">
        <v>518</v>
      </c>
      <c r="J50" s="13">
        <v>1903628</v>
      </c>
      <c r="K50" s="13">
        <v>1907567</v>
      </c>
      <c r="L50" s="13" t="s">
        <v>61</v>
      </c>
      <c r="M50" s="14" t="s">
        <v>58</v>
      </c>
    </row>
    <row r="51" spans="1:13" ht="15.75" x14ac:dyDescent="0.25">
      <c r="A51" s="11"/>
      <c r="B51" s="11"/>
      <c r="C51" s="11"/>
      <c r="D51" s="11"/>
      <c r="E51" s="11"/>
      <c r="F51" s="11"/>
      <c r="G51" s="13"/>
      <c r="H51" s="14"/>
      <c r="I51" s="13" t="s">
        <v>62</v>
      </c>
      <c r="J51" s="13" t="s">
        <v>63</v>
      </c>
      <c r="K51" s="13" t="s">
        <v>47</v>
      </c>
      <c r="L51" s="13" t="s">
        <v>61</v>
      </c>
      <c r="M51" s="14" t="s">
        <v>64</v>
      </c>
    </row>
    <row r="52" spans="1:13" ht="15.75" x14ac:dyDescent="0.25">
      <c r="A52" s="11"/>
      <c r="B52" s="11"/>
      <c r="C52" s="11"/>
      <c r="D52" s="11"/>
      <c r="E52" s="11"/>
      <c r="F52" s="11"/>
      <c r="G52" s="18"/>
      <c r="H52" s="14" t="s">
        <v>65</v>
      </c>
      <c r="I52" s="13" t="s">
        <v>66</v>
      </c>
      <c r="J52" s="13" t="s">
        <v>67</v>
      </c>
      <c r="K52" s="13">
        <v>623934</v>
      </c>
      <c r="L52" s="13" t="s">
        <v>68</v>
      </c>
      <c r="M52" s="14" t="s">
        <v>27</v>
      </c>
    </row>
    <row r="53" spans="1:13" ht="15.75" x14ac:dyDescent="0.25">
      <c r="A53" s="11"/>
      <c r="B53" s="11"/>
      <c r="C53" s="11"/>
      <c r="D53" s="11"/>
      <c r="E53" s="11"/>
      <c r="F53" s="11"/>
      <c r="G53" s="18"/>
      <c r="H53" s="14" t="s">
        <v>60</v>
      </c>
      <c r="I53" s="13">
        <v>518</v>
      </c>
      <c r="J53" s="16" t="s">
        <v>69</v>
      </c>
      <c r="K53" s="13">
        <v>2654403</v>
      </c>
      <c r="L53" s="13" t="s">
        <v>59</v>
      </c>
      <c r="M53" s="14" t="s">
        <v>27</v>
      </c>
    </row>
    <row r="54" spans="1:13" ht="15.75" x14ac:dyDescent="0.25">
      <c r="A54" s="11"/>
      <c r="B54" s="11"/>
      <c r="C54" s="11"/>
      <c r="D54" s="11"/>
      <c r="E54" s="11"/>
      <c r="F54" s="11"/>
      <c r="G54" s="18"/>
      <c r="H54" s="16"/>
      <c r="I54" s="19">
        <v>26510362</v>
      </c>
      <c r="J54" s="19">
        <v>26560163</v>
      </c>
      <c r="K54" s="19">
        <v>2654403</v>
      </c>
      <c r="L54" s="13" t="s">
        <v>61</v>
      </c>
      <c r="M54" s="14" t="s">
        <v>27</v>
      </c>
    </row>
    <row r="55" spans="1:13" ht="15.75" x14ac:dyDescent="0.25">
      <c r="A55" s="11"/>
      <c r="B55" s="11"/>
      <c r="C55" s="11"/>
      <c r="D55" s="11"/>
      <c r="E55" s="11"/>
      <c r="F55" s="11"/>
      <c r="G55" s="18"/>
      <c r="H55" s="17"/>
      <c r="I55" s="19">
        <v>265108962</v>
      </c>
      <c r="J55" s="19">
        <v>26561117</v>
      </c>
      <c r="K55" s="19">
        <v>140517050</v>
      </c>
      <c r="L55" s="16">
        <v>15</v>
      </c>
      <c r="M55" s="14" t="s">
        <v>27</v>
      </c>
    </row>
    <row r="56" spans="1:13" ht="15.75" x14ac:dyDescent="0.25">
      <c r="A56" s="11"/>
      <c r="B56" s="11"/>
      <c r="C56" s="11"/>
      <c r="D56" s="11"/>
      <c r="E56" s="11"/>
      <c r="F56" s="11"/>
      <c r="G56" s="13"/>
      <c r="H56" s="17"/>
      <c r="I56" s="19">
        <v>265108962</v>
      </c>
      <c r="J56" s="19">
        <v>26561117</v>
      </c>
      <c r="K56" s="19">
        <v>140517050</v>
      </c>
      <c r="L56" s="16" t="s">
        <v>70</v>
      </c>
      <c r="M56" s="14" t="s">
        <v>27</v>
      </c>
    </row>
    <row r="57" spans="1:13" ht="15.75" x14ac:dyDescent="0.25">
      <c r="A57" s="11"/>
      <c r="B57" s="11"/>
      <c r="C57" s="11"/>
      <c r="D57" s="11"/>
      <c r="E57" s="11"/>
      <c r="F57" s="11"/>
      <c r="G57" s="13"/>
      <c r="H57" s="11"/>
      <c r="I57" s="19">
        <v>265108962</v>
      </c>
      <c r="J57" s="19">
        <v>26561117</v>
      </c>
      <c r="K57" s="19">
        <v>140517050</v>
      </c>
      <c r="L57" s="11" t="s">
        <v>71</v>
      </c>
      <c r="M57" s="14" t="s">
        <v>27</v>
      </c>
    </row>
    <row r="58" spans="1:13" ht="15.75" x14ac:dyDescent="0.25">
      <c r="A58" s="11"/>
      <c r="B58" s="11"/>
      <c r="C58" s="11"/>
      <c r="D58" s="11"/>
      <c r="E58" s="11"/>
      <c r="F58" s="11"/>
      <c r="G58" s="13"/>
      <c r="H58" s="68" t="s">
        <v>51</v>
      </c>
      <c r="I58" s="69" t="s">
        <v>72</v>
      </c>
      <c r="J58" s="16" t="s">
        <v>73</v>
      </c>
      <c r="K58" s="70" t="s">
        <v>74</v>
      </c>
      <c r="L58" s="70" t="s">
        <v>75</v>
      </c>
      <c r="M58" s="70" t="s">
        <v>76</v>
      </c>
    </row>
    <row r="59" spans="1:13" ht="15.75" x14ac:dyDescent="0.25">
      <c r="A59" s="11"/>
      <c r="B59" s="11"/>
      <c r="C59" s="11"/>
      <c r="D59" s="11"/>
      <c r="E59" s="11"/>
      <c r="F59" s="11"/>
      <c r="G59" s="13"/>
      <c r="H59" s="68"/>
      <c r="I59" s="69"/>
      <c r="J59" s="16" t="s">
        <v>77</v>
      </c>
      <c r="K59" s="70"/>
      <c r="L59" s="70"/>
      <c r="M59" s="70"/>
    </row>
    <row r="60" spans="1:13" ht="15.75" x14ac:dyDescent="0.25">
      <c r="A60" s="11"/>
      <c r="B60" s="11"/>
      <c r="C60" s="11"/>
      <c r="D60" s="11"/>
      <c r="E60" s="11"/>
      <c r="F60" s="11"/>
      <c r="G60" s="12"/>
      <c r="H60" s="20">
        <v>3814313</v>
      </c>
      <c r="I60" s="21" t="s">
        <v>78</v>
      </c>
      <c r="J60" s="13" t="s">
        <v>79</v>
      </c>
      <c r="K60" s="22" t="s">
        <v>25</v>
      </c>
      <c r="L60" s="21" t="s">
        <v>80</v>
      </c>
      <c r="M60" s="21" t="s">
        <v>76</v>
      </c>
    </row>
    <row r="61" spans="1:13" ht="15.75" x14ac:dyDescent="0.25">
      <c r="A61" s="11"/>
      <c r="B61" s="11"/>
      <c r="C61" s="11"/>
      <c r="D61" s="11"/>
      <c r="E61" s="11"/>
      <c r="F61" s="11"/>
      <c r="G61" s="12"/>
      <c r="H61" s="13" t="s">
        <v>51</v>
      </c>
      <c r="I61" s="13" t="s">
        <v>81</v>
      </c>
      <c r="J61" s="13" t="s">
        <v>82</v>
      </c>
      <c r="K61" s="16" t="s">
        <v>83</v>
      </c>
      <c r="L61" s="13" t="s">
        <v>84</v>
      </c>
      <c r="M61" s="14" t="s">
        <v>85</v>
      </c>
    </row>
    <row r="62" spans="1:13" ht="15.75" x14ac:dyDescent="0.25">
      <c r="A62" s="11"/>
      <c r="B62" s="4"/>
      <c r="C62" s="4"/>
      <c r="D62" s="4"/>
      <c r="E62" s="4"/>
      <c r="F62" s="4"/>
      <c r="G62" s="12"/>
      <c r="H62" s="13"/>
      <c r="I62" s="13"/>
      <c r="J62" s="13"/>
      <c r="K62" s="16"/>
      <c r="L62" s="13"/>
      <c r="M62" s="14" t="s">
        <v>11</v>
      </c>
    </row>
    <row r="63" spans="1:13" ht="18.75" x14ac:dyDescent="0.3">
      <c r="A63" s="71" t="s">
        <v>97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spans="1:13" ht="18.75" x14ac:dyDescent="0.3">
      <c r="A64" s="67" t="s">
        <v>91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</row>
    <row r="65" spans="1:13" ht="18.75" x14ac:dyDescent="0.3">
      <c r="A65" s="23"/>
      <c r="B65" s="23"/>
      <c r="C65" s="23"/>
      <c r="D65" s="23"/>
      <c r="E65" s="23"/>
      <c r="F65" s="23"/>
      <c r="G65" s="23" t="s">
        <v>7</v>
      </c>
      <c r="H65" s="23"/>
      <c r="I65" s="23"/>
      <c r="J65" s="23"/>
      <c r="K65" s="23"/>
      <c r="L65" s="23"/>
      <c r="M65" s="23"/>
    </row>
    <row r="66" spans="1:13" ht="18.75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spans="1:13" ht="18.75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spans="1:13" ht="18.75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 ht="18.75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spans="1:13" ht="18.75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spans="1:13" ht="18.75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spans="1:13" ht="18.75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 spans="1:13" ht="18.75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spans="1:13" ht="18.75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7" spans="1:13" ht="21" x14ac:dyDescent="0.35">
      <c r="A77" s="72" t="s">
        <v>122</v>
      </c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spans="1:13" ht="15.75" x14ac:dyDescent="0.25">
      <c r="A78" s="73" t="s">
        <v>5</v>
      </c>
      <c r="B78" s="75" t="s">
        <v>13</v>
      </c>
      <c r="C78" s="76"/>
      <c r="D78" s="76"/>
      <c r="E78" s="76"/>
      <c r="F78" s="77"/>
      <c r="G78" s="78" t="s">
        <v>14</v>
      </c>
      <c r="H78" s="78"/>
      <c r="I78" s="78"/>
      <c r="J78" s="78"/>
      <c r="K78" s="78"/>
      <c r="L78" s="9" t="s">
        <v>15</v>
      </c>
      <c r="M78" s="10" t="s">
        <v>16</v>
      </c>
    </row>
    <row r="79" spans="1:13" ht="15.75" x14ac:dyDescent="0.25">
      <c r="A79" s="74"/>
      <c r="B79" s="9" t="s">
        <v>17</v>
      </c>
      <c r="C79" s="10" t="s">
        <v>18</v>
      </c>
      <c r="D79" s="9" t="s">
        <v>19</v>
      </c>
      <c r="E79" s="9" t="s">
        <v>20</v>
      </c>
      <c r="F79" s="9" t="s">
        <v>21</v>
      </c>
      <c r="G79" s="9" t="s">
        <v>17</v>
      </c>
      <c r="H79" s="10" t="s">
        <v>18</v>
      </c>
      <c r="I79" s="9" t="s">
        <v>19</v>
      </c>
      <c r="J79" s="9" t="s">
        <v>20</v>
      </c>
      <c r="K79" s="9" t="s">
        <v>21</v>
      </c>
      <c r="L79" s="9" t="s">
        <v>22</v>
      </c>
      <c r="M79" s="10" t="s">
        <v>15</v>
      </c>
    </row>
    <row r="80" spans="1:13" ht="15.75" x14ac:dyDescent="0.25">
      <c r="A80" s="11"/>
      <c r="B80" s="11"/>
      <c r="C80" s="11"/>
      <c r="D80" s="11"/>
      <c r="E80" s="11"/>
      <c r="F80" s="11"/>
      <c r="G80" s="17"/>
      <c r="H80" s="16"/>
      <c r="I80" s="16" t="s">
        <v>98</v>
      </c>
      <c r="J80" s="16" t="s">
        <v>99</v>
      </c>
      <c r="K80" s="13">
        <v>26540244</v>
      </c>
      <c r="L80" s="13" t="s">
        <v>100</v>
      </c>
      <c r="M80" s="14" t="s">
        <v>27</v>
      </c>
    </row>
    <row r="81" spans="1:13" ht="15.75" x14ac:dyDescent="0.25">
      <c r="A81" s="11"/>
      <c r="B81" s="11"/>
      <c r="C81" s="11"/>
      <c r="D81" s="11"/>
      <c r="E81" s="11"/>
      <c r="F81" s="11"/>
      <c r="G81" s="18"/>
      <c r="H81" s="18"/>
      <c r="I81" s="13" t="s">
        <v>38</v>
      </c>
      <c r="J81" s="13" t="s">
        <v>39</v>
      </c>
      <c r="K81" s="13" t="s">
        <v>40</v>
      </c>
      <c r="L81" s="13" t="s">
        <v>41</v>
      </c>
      <c r="M81" s="14" t="s">
        <v>42</v>
      </c>
    </row>
    <row r="82" spans="1:13" ht="15.75" x14ac:dyDescent="0.25">
      <c r="A82" s="11"/>
      <c r="B82" s="11"/>
      <c r="C82" s="11"/>
      <c r="D82" s="11"/>
      <c r="E82" s="11"/>
      <c r="F82" s="11"/>
      <c r="G82" s="18"/>
      <c r="H82" s="18"/>
      <c r="I82" s="13" t="s">
        <v>43</v>
      </c>
      <c r="J82" s="13" t="s">
        <v>39</v>
      </c>
      <c r="K82" s="13" t="s">
        <v>40</v>
      </c>
      <c r="L82" s="13" t="s">
        <v>44</v>
      </c>
      <c r="M82" s="14" t="s">
        <v>42</v>
      </c>
    </row>
    <row r="83" spans="1:13" ht="15.75" x14ac:dyDescent="0.25">
      <c r="A83" s="11"/>
      <c r="B83" s="11"/>
      <c r="C83" s="11"/>
      <c r="D83" s="11"/>
      <c r="E83" s="11"/>
      <c r="F83" s="11"/>
      <c r="G83" s="13"/>
      <c r="H83" s="13"/>
      <c r="I83" s="13" t="s">
        <v>45</v>
      </c>
      <c r="J83" s="13" t="s">
        <v>46</v>
      </c>
      <c r="K83" s="16" t="s">
        <v>47</v>
      </c>
      <c r="L83" s="70" t="s">
        <v>48</v>
      </c>
      <c r="M83" s="70" t="s">
        <v>42</v>
      </c>
    </row>
    <row r="84" spans="1:13" ht="15.75" x14ac:dyDescent="0.25">
      <c r="A84" s="11"/>
      <c r="B84" s="11"/>
      <c r="C84" s="11"/>
      <c r="D84" s="11"/>
      <c r="E84" s="11"/>
      <c r="F84" s="11"/>
      <c r="G84" s="18"/>
      <c r="H84" s="13"/>
      <c r="I84" s="13" t="s">
        <v>45</v>
      </c>
      <c r="J84" s="13" t="s">
        <v>49</v>
      </c>
      <c r="K84" s="16" t="s">
        <v>50</v>
      </c>
      <c r="L84" s="70"/>
      <c r="M84" s="70"/>
    </row>
    <row r="85" spans="1:13" ht="15.75" x14ac:dyDescent="0.25">
      <c r="A85" s="11"/>
      <c r="B85" s="11"/>
      <c r="C85" s="11"/>
      <c r="D85" s="11"/>
      <c r="E85" s="11"/>
      <c r="F85" s="11"/>
      <c r="G85" s="18"/>
      <c r="H85" s="18" t="s">
        <v>51</v>
      </c>
      <c r="I85" s="13" t="s">
        <v>43</v>
      </c>
      <c r="J85" s="13" t="s">
        <v>39</v>
      </c>
      <c r="K85" s="13" t="s">
        <v>40</v>
      </c>
      <c r="L85" s="13" t="s">
        <v>52</v>
      </c>
      <c r="M85" s="14" t="s">
        <v>42</v>
      </c>
    </row>
    <row r="86" spans="1:13" ht="15.75" x14ac:dyDescent="0.25">
      <c r="A86" s="11"/>
      <c r="B86" s="11"/>
      <c r="C86" s="11"/>
      <c r="D86" s="11"/>
      <c r="E86" s="11"/>
      <c r="F86" s="11"/>
      <c r="G86" s="18"/>
      <c r="H86" s="13"/>
      <c r="I86" s="13" t="s">
        <v>53</v>
      </c>
      <c r="J86" s="13" t="s">
        <v>54</v>
      </c>
      <c r="K86" s="16" t="s">
        <v>55</v>
      </c>
      <c r="L86" s="13" t="s">
        <v>56</v>
      </c>
      <c r="M86" s="14" t="s">
        <v>42</v>
      </c>
    </row>
    <row r="87" spans="1:13" ht="15.75" x14ac:dyDescent="0.25">
      <c r="A87" s="11"/>
      <c r="B87" s="11"/>
      <c r="C87" s="11"/>
      <c r="D87" s="11"/>
      <c r="E87" s="11"/>
      <c r="F87" s="11"/>
      <c r="G87" s="13"/>
      <c r="H87" s="18">
        <v>50</v>
      </c>
      <c r="I87" s="13">
        <v>548</v>
      </c>
      <c r="J87" s="13">
        <v>1903628</v>
      </c>
      <c r="K87" s="13">
        <v>1907567</v>
      </c>
      <c r="L87" s="13" t="s">
        <v>57</v>
      </c>
      <c r="M87" s="14" t="s">
        <v>58</v>
      </c>
    </row>
    <row r="88" spans="1:13" ht="15.75" x14ac:dyDescent="0.25">
      <c r="A88" s="11"/>
      <c r="B88" s="11"/>
      <c r="C88" s="11"/>
      <c r="D88" s="11"/>
      <c r="E88" s="11"/>
      <c r="F88" s="11"/>
      <c r="G88" s="18"/>
      <c r="H88" s="18">
        <v>50</v>
      </c>
      <c r="I88" s="13">
        <v>548</v>
      </c>
      <c r="J88" s="13">
        <v>1903628</v>
      </c>
      <c r="K88" s="13">
        <v>1907567</v>
      </c>
      <c r="L88" s="13" t="s">
        <v>59</v>
      </c>
      <c r="M88" s="14" t="s">
        <v>58</v>
      </c>
    </row>
    <row r="89" spans="1:13" ht="15.75" x14ac:dyDescent="0.25">
      <c r="A89" s="11"/>
      <c r="B89" s="11"/>
      <c r="C89" s="11"/>
      <c r="D89" s="11"/>
      <c r="E89" s="11"/>
      <c r="F89" s="11"/>
      <c r="G89" s="18"/>
      <c r="H89" s="14" t="s">
        <v>60</v>
      </c>
      <c r="I89" s="13">
        <v>518</v>
      </c>
      <c r="J89" s="13">
        <v>1903628</v>
      </c>
      <c r="K89" s="13">
        <v>1907567</v>
      </c>
      <c r="L89" s="13" t="s">
        <v>61</v>
      </c>
      <c r="M89" s="14" t="s">
        <v>58</v>
      </c>
    </row>
    <row r="90" spans="1:13" ht="15.75" x14ac:dyDescent="0.25">
      <c r="A90" s="11"/>
      <c r="B90" s="11"/>
      <c r="C90" s="11"/>
      <c r="D90" s="11"/>
      <c r="E90" s="11"/>
      <c r="F90" s="11"/>
      <c r="G90" s="18"/>
      <c r="H90" s="14" t="s">
        <v>65</v>
      </c>
      <c r="I90" s="13" t="s">
        <v>66</v>
      </c>
      <c r="J90" s="13" t="s">
        <v>67</v>
      </c>
      <c r="K90" s="13">
        <v>623934</v>
      </c>
      <c r="L90" s="13" t="s">
        <v>68</v>
      </c>
      <c r="M90" s="14" t="s">
        <v>27</v>
      </c>
    </row>
    <row r="91" spans="1:13" ht="15.75" x14ac:dyDescent="0.25">
      <c r="A91" s="11"/>
      <c r="B91" s="11"/>
      <c r="C91" s="11"/>
      <c r="D91" s="11"/>
      <c r="E91" s="11"/>
      <c r="F91" s="11"/>
      <c r="G91" s="18"/>
      <c r="H91" s="14" t="s">
        <v>60</v>
      </c>
      <c r="I91" s="13">
        <v>518</v>
      </c>
      <c r="J91" s="16" t="s">
        <v>69</v>
      </c>
      <c r="K91" s="13">
        <v>2654403</v>
      </c>
      <c r="L91" s="13" t="s">
        <v>59</v>
      </c>
      <c r="M91" s="14" t="s">
        <v>27</v>
      </c>
    </row>
    <row r="92" spans="1:13" ht="15.75" x14ac:dyDescent="0.25">
      <c r="A92" s="11"/>
      <c r="B92" s="11"/>
      <c r="C92" s="11"/>
      <c r="D92" s="11"/>
      <c r="E92" s="11"/>
      <c r="F92" s="11"/>
      <c r="G92" s="18"/>
      <c r="H92" s="16"/>
      <c r="I92" s="19">
        <v>26510362</v>
      </c>
      <c r="J92" s="19">
        <v>26560163</v>
      </c>
      <c r="K92" s="19">
        <v>2654403</v>
      </c>
      <c r="L92" s="13" t="s">
        <v>61</v>
      </c>
      <c r="M92" s="14" t="s">
        <v>27</v>
      </c>
    </row>
    <row r="93" spans="1:13" ht="15.75" x14ac:dyDescent="0.25">
      <c r="A93" s="11"/>
      <c r="B93" s="11"/>
      <c r="C93" s="11"/>
      <c r="D93" s="11"/>
      <c r="E93" s="11"/>
      <c r="F93" s="11"/>
      <c r="G93" s="18"/>
      <c r="H93" s="17"/>
      <c r="I93" s="19">
        <v>265108962</v>
      </c>
      <c r="J93" s="19">
        <v>26561117</v>
      </c>
      <c r="K93" s="19">
        <v>140517050</v>
      </c>
      <c r="L93" s="16">
        <v>15</v>
      </c>
      <c r="M93" s="14" t="s">
        <v>27</v>
      </c>
    </row>
    <row r="94" spans="1:13" ht="15.75" x14ac:dyDescent="0.25">
      <c r="A94" s="11"/>
      <c r="B94" s="11"/>
      <c r="C94" s="11"/>
      <c r="D94" s="11"/>
      <c r="E94" s="11"/>
      <c r="F94" s="11"/>
      <c r="G94" s="13"/>
      <c r="H94" s="17"/>
      <c r="I94" s="19">
        <v>265108962</v>
      </c>
      <c r="J94" s="19">
        <v>26561117</v>
      </c>
      <c r="K94" s="19">
        <v>140517050</v>
      </c>
      <c r="L94" s="16" t="s">
        <v>70</v>
      </c>
      <c r="M94" s="14" t="s">
        <v>27</v>
      </c>
    </row>
    <row r="95" spans="1:13" ht="15.75" x14ac:dyDescent="0.25">
      <c r="A95" s="11"/>
      <c r="B95" s="11"/>
      <c r="C95" s="11"/>
      <c r="D95" s="11"/>
      <c r="E95" s="11"/>
      <c r="F95" s="11"/>
      <c r="G95" s="13"/>
      <c r="H95" s="11"/>
      <c r="I95" s="19">
        <v>265108962</v>
      </c>
      <c r="J95" s="19">
        <v>26561117</v>
      </c>
      <c r="K95" s="19">
        <v>140517050</v>
      </c>
      <c r="L95" s="11" t="s">
        <v>71</v>
      </c>
      <c r="M95" s="14" t="s">
        <v>27</v>
      </c>
    </row>
    <row r="96" spans="1:13" ht="15.75" x14ac:dyDescent="0.25">
      <c r="A96" s="11"/>
      <c r="B96" s="11"/>
      <c r="C96" s="11"/>
      <c r="D96" s="11"/>
      <c r="E96" s="11"/>
      <c r="F96" s="11"/>
      <c r="G96" s="13"/>
      <c r="H96" s="68" t="s">
        <v>51</v>
      </c>
      <c r="I96" s="69" t="s">
        <v>72</v>
      </c>
      <c r="J96" s="16" t="s">
        <v>73</v>
      </c>
      <c r="K96" s="70" t="s">
        <v>74</v>
      </c>
      <c r="L96" s="70" t="s">
        <v>75</v>
      </c>
      <c r="M96" s="70" t="s">
        <v>76</v>
      </c>
    </row>
    <row r="97" spans="1:13" ht="15.75" x14ac:dyDescent="0.25">
      <c r="A97" s="11"/>
      <c r="B97" s="11"/>
      <c r="C97" s="11"/>
      <c r="D97" s="11"/>
      <c r="E97" s="11"/>
      <c r="F97" s="11"/>
      <c r="G97" s="13"/>
      <c r="H97" s="68"/>
      <c r="I97" s="69"/>
      <c r="J97" s="16" t="s">
        <v>77</v>
      </c>
      <c r="K97" s="70"/>
      <c r="L97" s="70"/>
      <c r="M97" s="70"/>
    </row>
    <row r="98" spans="1:13" ht="15.75" x14ac:dyDescent="0.25">
      <c r="A98" s="11"/>
      <c r="B98" s="11"/>
      <c r="C98" s="11"/>
      <c r="D98" s="11"/>
      <c r="E98" s="11"/>
      <c r="F98" s="11"/>
      <c r="G98" s="12"/>
      <c r="H98" s="20">
        <v>3814313</v>
      </c>
      <c r="I98" s="21" t="s">
        <v>78</v>
      </c>
      <c r="J98" s="13" t="s">
        <v>79</v>
      </c>
      <c r="K98" s="22" t="s">
        <v>25</v>
      </c>
      <c r="L98" s="21" t="s">
        <v>80</v>
      </c>
      <c r="M98" s="21" t="s">
        <v>76</v>
      </c>
    </row>
    <row r="99" spans="1:13" ht="15.75" x14ac:dyDescent="0.25">
      <c r="A99" s="11"/>
      <c r="B99" s="11"/>
      <c r="C99" s="11"/>
      <c r="D99" s="11"/>
      <c r="E99" s="11"/>
      <c r="F99" s="11"/>
      <c r="G99" s="12"/>
      <c r="H99" s="13" t="s">
        <v>51</v>
      </c>
      <c r="I99" s="13" t="s">
        <v>81</v>
      </c>
      <c r="J99" s="13" t="s">
        <v>82</v>
      </c>
      <c r="K99" s="16" t="s">
        <v>83</v>
      </c>
      <c r="L99" s="13" t="s">
        <v>84</v>
      </c>
      <c r="M99" s="14" t="s">
        <v>85</v>
      </c>
    </row>
    <row r="100" spans="1:13" ht="15.75" x14ac:dyDescent="0.25">
      <c r="A100" s="11"/>
      <c r="B100" s="11"/>
      <c r="C100" s="11"/>
      <c r="D100" s="11"/>
      <c r="E100" s="11"/>
      <c r="F100" s="11"/>
      <c r="G100" s="12"/>
      <c r="H100" s="13"/>
      <c r="I100" s="13"/>
      <c r="J100" s="13"/>
      <c r="K100" s="16"/>
      <c r="L100" s="13"/>
      <c r="M100" s="14" t="s">
        <v>11</v>
      </c>
    </row>
    <row r="101" spans="1:13" ht="18.75" x14ac:dyDescent="0.3">
      <c r="A101" s="71" t="s">
        <v>97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</row>
    <row r="102" spans="1:13" ht="18.75" x14ac:dyDescent="0.3">
      <c r="A102" s="67" t="s">
        <v>91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</row>
    <row r="103" spans="1:13" ht="18.75" x14ac:dyDescent="0.3">
      <c r="A103" s="23"/>
      <c r="B103" s="23"/>
      <c r="C103" s="23"/>
      <c r="D103" s="23"/>
      <c r="E103" s="23"/>
      <c r="F103" s="23"/>
      <c r="G103" s="23" t="s">
        <v>7</v>
      </c>
      <c r="H103" s="23"/>
      <c r="I103" s="23"/>
      <c r="J103" s="23"/>
      <c r="K103" s="23"/>
      <c r="L103" s="23"/>
      <c r="M103" s="23"/>
    </row>
    <row r="104" spans="1:13" ht="18.75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8" spans="1:13" ht="21" x14ac:dyDescent="0.35">
      <c r="A108" s="72" t="s">
        <v>123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</row>
    <row r="109" spans="1:13" ht="15.75" x14ac:dyDescent="0.25">
      <c r="A109" s="73" t="s">
        <v>5</v>
      </c>
      <c r="B109" s="75" t="s">
        <v>13</v>
      </c>
      <c r="C109" s="76"/>
      <c r="D109" s="76"/>
      <c r="E109" s="76"/>
      <c r="F109" s="77"/>
      <c r="G109" s="78" t="s">
        <v>14</v>
      </c>
      <c r="H109" s="78"/>
      <c r="I109" s="78"/>
      <c r="J109" s="78"/>
      <c r="K109" s="78"/>
      <c r="L109" s="9" t="s">
        <v>15</v>
      </c>
      <c r="M109" s="10" t="s">
        <v>16</v>
      </c>
    </row>
    <row r="110" spans="1:13" ht="15.75" x14ac:dyDescent="0.25">
      <c r="A110" s="74"/>
      <c r="B110" s="9" t="s">
        <v>17</v>
      </c>
      <c r="C110" s="10" t="s">
        <v>18</v>
      </c>
      <c r="D110" s="9" t="s">
        <v>19</v>
      </c>
      <c r="E110" s="9" t="s">
        <v>20</v>
      </c>
      <c r="F110" s="9" t="s">
        <v>21</v>
      </c>
      <c r="G110" s="9" t="s">
        <v>17</v>
      </c>
      <c r="H110" s="10" t="s">
        <v>18</v>
      </c>
      <c r="I110" s="9" t="s">
        <v>19</v>
      </c>
      <c r="J110" s="9" t="s">
        <v>20</v>
      </c>
      <c r="K110" s="9" t="s">
        <v>21</v>
      </c>
      <c r="L110" s="9" t="s">
        <v>22</v>
      </c>
      <c r="M110" s="10" t="s">
        <v>15</v>
      </c>
    </row>
    <row r="111" spans="1:13" ht="15.75" x14ac:dyDescent="0.25">
      <c r="A111" s="11"/>
      <c r="B111" s="11"/>
      <c r="C111" s="11"/>
      <c r="D111" s="11"/>
      <c r="E111" s="11"/>
      <c r="F111" s="11"/>
      <c r="G111" s="13"/>
      <c r="H111" s="13"/>
      <c r="I111" s="13" t="s">
        <v>45</v>
      </c>
      <c r="J111" s="13" t="s">
        <v>46</v>
      </c>
      <c r="K111" s="16" t="s">
        <v>47</v>
      </c>
      <c r="L111" s="70" t="s">
        <v>48</v>
      </c>
      <c r="M111" s="70" t="s">
        <v>42</v>
      </c>
    </row>
    <row r="112" spans="1:13" ht="15.75" x14ac:dyDescent="0.25">
      <c r="A112" s="11"/>
      <c r="B112" s="11"/>
      <c r="C112" s="11"/>
      <c r="D112" s="11"/>
      <c r="E112" s="11"/>
      <c r="F112" s="11"/>
      <c r="G112" s="18"/>
      <c r="H112" s="13"/>
      <c r="I112" s="13" t="s">
        <v>45</v>
      </c>
      <c r="J112" s="13" t="s">
        <v>49</v>
      </c>
      <c r="K112" s="16" t="s">
        <v>50</v>
      </c>
      <c r="L112" s="70"/>
      <c r="M112" s="70"/>
    </row>
    <row r="113" spans="1:13" ht="15.75" x14ac:dyDescent="0.25">
      <c r="A113" s="11"/>
      <c r="B113" s="11"/>
      <c r="C113" s="11"/>
      <c r="D113" s="11"/>
      <c r="E113" s="11"/>
      <c r="F113" s="11"/>
      <c r="G113" s="18"/>
      <c r="H113" s="18" t="s">
        <v>51</v>
      </c>
      <c r="I113" s="13" t="s">
        <v>43</v>
      </c>
      <c r="J113" s="13" t="s">
        <v>39</v>
      </c>
      <c r="K113" s="13" t="s">
        <v>40</v>
      </c>
      <c r="L113" s="13" t="s">
        <v>52</v>
      </c>
      <c r="M113" s="14" t="s">
        <v>42</v>
      </c>
    </row>
    <row r="114" spans="1:13" ht="15.75" x14ac:dyDescent="0.25">
      <c r="A114" s="11"/>
      <c r="B114" s="11"/>
      <c r="C114" s="11"/>
      <c r="D114" s="11"/>
      <c r="E114" s="11"/>
      <c r="F114" s="11"/>
      <c r="G114" s="18"/>
      <c r="H114" s="13"/>
      <c r="I114" s="13" t="s">
        <v>53</v>
      </c>
      <c r="J114" s="13" t="s">
        <v>54</v>
      </c>
      <c r="K114" s="16" t="s">
        <v>55</v>
      </c>
      <c r="L114" s="13" t="s">
        <v>56</v>
      </c>
      <c r="M114" s="14" t="s">
        <v>42</v>
      </c>
    </row>
    <row r="115" spans="1:13" ht="15.75" x14ac:dyDescent="0.25">
      <c r="A115" s="11"/>
      <c r="B115" s="11"/>
      <c r="C115" s="11"/>
      <c r="D115" s="11"/>
      <c r="E115" s="11"/>
      <c r="F115" s="11"/>
      <c r="G115" s="13"/>
      <c r="H115" s="18">
        <v>50</v>
      </c>
      <c r="I115" s="13">
        <v>548</v>
      </c>
      <c r="J115" s="13">
        <v>1903628</v>
      </c>
      <c r="K115" s="13">
        <v>1907567</v>
      </c>
      <c r="L115" s="13" t="s">
        <v>57</v>
      </c>
      <c r="M115" s="14" t="s">
        <v>58</v>
      </c>
    </row>
    <row r="116" spans="1:13" ht="15.75" x14ac:dyDescent="0.25">
      <c r="A116" s="11"/>
      <c r="B116" s="11"/>
      <c r="C116" s="11"/>
      <c r="D116" s="11"/>
      <c r="E116" s="11"/>
      <c r="F116" s="11"/>
      <c r="G116" s="18"/>
      <c r="H116" s="18">
        <v>50</v>
      </c>
      <c r="I116" s="13">
        <v>548</v>
      </c>
      <c r="J116" s="13">
        <v>1903628</v>
      </c>
      <c r="K116" s="13">
        <v>1907567</v>
      </c>
      <c r="L116" s="13" t="s">
        <v>59</v>
      </c>
      <c r="M116" s="14" t="s">
        <v>58</v>
      </c>
    </row>
    <row r="117" spans="1:13" ht="15.75" x14ac:dyDescent="0.25">
      <c r="A117" s="11"/>
      <c r="B117" s="11"/>
      <c r="C117" s="11"/>
      <c r="D117" s="11"/>
      <c r="E117" s="11"/>
      <c r="F117" s="11"/>
      <c r="G117" s="18"/>
      <c r="H117" s="14" t="s">
        <v>60</v>
      </c>
      <c r="I117" s="13">
        <v>518</v>
      </c>
      <c r="J117" s="13">
        <v>1903628</v>
      </c>
      <c r="K117" s="13">
        <v>1907567</v>
      </c>
      <c r="L117" s="13" t="s">
        <v>61</v>
      </c>
      <c r="M117" s="14" t="s">
        <v>58</v>
      </c>
    </row>
    <row r="118" spans="1:13" ht="15.75" x14ac:dyDescent="0.25">
      <c r="A118" s="11"/>
      <c r="B118" s="11"/>
      <c r="C118" s="11"/>
      <c r="D118" s="11"/>
      <c r="E118" s="11"/>
      <c r="F118" s="11"/>
      <c r="G118" s="18"/>
      <c r="H118" s="14" t="s">
        <v>65</v>
      </c>
      <c r="I118" s="13" t="s">
        <v>66</v>
      </c>
      <c r="J118" s="13" t="s">
        <v>67</v>
      </c>
      <c r="K118" s="13">
        <v>623934</v>
      </c>
      <c r="L118" s="13" t="s">
        <v>68</v>
      </c>
      <c r="M118" s="14" t="s">
        <v>27</v>
      </c>
    </row>
    <row r="119" spans="1:13" ht="15.75" x14ac:dyDescent="0.25">
      <c r="A119" s="11"/>
      <c r="B119" s="11"/>
      <c r="C119" s="11"/>
      <c r="D119" s="11"/>
      <c r="E119" s="11"/>
      <c r="F119" s="11"/>
      <c r="G119" s="18"/>
      <c r="H119" s="14" t="s">
        <v>60</v>
      </c>
      <c r="I119" s="13">
        <v>518</v>
      </c>
      <c r="J119" s="16" t="s">
        <v>69</v>
      </c>
      <c r="K119" s="13">
        <v>2654403</v>
      </c>
      <c r="L119" s="13" t="s">
        <v>59</v>
      </c>
      <c r="M119" s="14" t="s">
        <v>27</v>
      </c>
    </row>
    <row r="120" spans="1:13" ht="15.75" x14ac:dyDescent="0.25">
      <c r="A120" s="11"/>
      <c r="B120" s="11"/>
      <c r="C120" s="11"/>
      <c r="D120" s="11"/>
      <c r="E120" s="11"/>
      <c r="F120" s="11"/>
      <c r="G120" s="18"/>
      <c r="H120" s="16"/>
      <c r="I120" s="19">
        <v>26510362</v>
      </c>
      <c r="J120" s="19">
        <v>26560163</v>
      </c>
      <c r="K120" s="19">
        <v>2654403</v>
      </c>
      <c r="L120" s="13" t="s">
        <v>61</v>
      </c>
      <c r="M120" s="14" t="s">
        <v>27</v>
      </c>
    </row>
    <row r="121" spans="1:13" ht="15.75" x14ac:dyDescent="0.25">
      <c r="A121" s="11"/>
      <c r="B121" s="11"/>
      <c r="C121" s="11"/>
      <c r="D121" s="11"/>
      <c r="E121" s="11"/>
      <c r="F121" s="11"/>
      <c r="G121" s="18"/>
      <c r="H121" s="17"/>
      <c r="I121" s="19">
        <v>265108962</v>
      </c>
      <c r="J121" s="19">
        <v>26561117</v>
      </c>
      <c r="K121" s="19">
        <v>140517050</v>
      </c>
      <c r="L121" s="16">
        <v>15</v>
      </c>
      <c r="M121" s="14" t="s">
        <v>27</v>
      </c>
    </row>
    <row r="122" spans="1:13" ht="15.75" x14ac:dyDescent="0.25">
      <c r="A122" s="11"/>
      <c r="B122" s="11"/>
      <c r="C122" s="11"/>
      <c r="D122" s="11"/>
      <c r="E122" s="11"/>
      <c r="F122" s="11"/>
      <c r="G122" s="13"/>
      <c r="H122" s="17"/>
      <c r="I122" s="19">
        <v>265108962</v>
      </c>
      <c r="J122" s="19">
        <v>26561117</v>
      </c>
      <c r="K122" s="19">
        <v>140517050</v>
      </c>
      <c r="L122" s="16" t="s">
        <v>70</v>
      </c>
      <c r="M122" s="14" t="s">
        <v>27</v>
      </c>
    </row>
    <row r="123" spans="1:13" ht="15.75" x14ac:dyDescent="0.25">
      <c r="A123" s="11"/>
      <c r="B123" s="11"/>
      <c r="C123" s="11"/>
      <c r="D123" s="11"/>
      <c r="E123" s="11"/>
      <c r="F123" s="11"/>
      <c r="G123" s="13"/>
      <c r="H123" s="11"/>
      <c r="I123" s="19">
        <v>265108962</v>
      </c>
      <c r="J123" s="19">
        <v>26561117</v>
      </c>
      <c r="K123" s="19">
        <v>140517050</v>
      </c>
      <c r="L123" s="11" t="s">
        <v>71</v>
      </c>
      <c r="M123" s="14" t="s">
        <v>27</v>
      </c>
    </row>
    <row r="124" spans="1:13" ht="15.75" x14ac:dyDescent="0.25">
      <c r="A124" s="11"/>
      <c r="B124" s="11"/>
      <c r="C124" s="11"/>
      <c r="D124" s="11"/>
      <c r="E124" s="11"/>
      <c r="F124" s="11"/>
      <c r="G124" s="13"/>
      <c r="H124" s="68" t="s">
        <v>51</v>
      </c>
      <c r="I124" s="69" t="s">
        <v>72</v>
      </c>
      <c r="J124" s="16" t="s">
        <v>73</v>
      </c>
      <c r="K124" s="70" t="s">
        <v>74</v>
      </c>
      <c r="L124" s="70" t="s">
        <v>75</v>
      </c>
      <c r="M124" s="70" t="s">
        <v>76</v>
      </c>
    </row>
    <row r="125" spans="1:13" ht="15.75" x14ac:dyDescent="0.25">
      <c r="A125" s="11"/>
      <c r="B125" s="11"/>
      <c r="C125" s="11"/>
      <c r="D125" s="11"/>
      <c r="E125" s="11"/>
      <c r="F125" s="11"/>
      <c r="G125" s="13"/>
      <c r="H125" s="68"/>
      <c r="I125" s="69"/>
      <c r="J125" s="16" t="s">
        <v>77</v>
      </c>
      <c r="K125" s="70"/>
      <c r="L125" s="70"/>
      <c r="M125" s="70"/>
    </row>
    <row r="126" spans="1:13" ht="15.75" x14ac:dyDescent="0.25">
      <c r="A126" s="11"/>
      <c r="B126" s="11"/>
      <c r="C126" s="11"/>
      <c r="D126" s="11"/>
      <c r="E126" s="11"/>
      <c r="F126" s="11"/>
      <c r="G126" s="12"/>
      <c r="H126" s="20">
        <v>3814313</v>
      </c>
      <c r="I126" s="21" t="s">
        <v>78</v>
      </c>
      <c r="J126" s="13" t="s">
        <v>79</v>
      </c>
      <c r="K126" s="22" t="s">
        <v>25</v>
      </c>
      <c r="L126" s="21" t="s">
        <v>80</v>
      </c>
      <c r="M126" s="21" t="s">
        <v>76</v>
      </c>
    </row>
    <row r="127" spans="1:13" ht="15.75" x14ac:dyDescent="0.25">
      <c r="A127" s="11"/>
      <c r="B127" s="11"/>
      <c r="C127" s="11"/>
      <c r="D127" s="11"/>
      <c r="E127" s="11"/>
      <c r="F127" s="11"/>
      <c r="G127" s="12"/>
      <c r="H127" s="13" t="s">
        <v>51</v>
      </c>
      <c r="I127" s="13" t="s">
        <v>81</v>
      </c>
      <c r="J127" s="13" t="s">
        <v>82</v>
      </c>
      <c r="K127" s="16" t="s">
        <v>83</v>
      </c>
      <c r="L127" s="13" t="s">
        <v>84</v>
      </c>
      <c r="M127" s="14" t="s">
        <v>85</v>
      </c>
    </row>
    <row r="128" spans="1:13" ht="15.75" x14ac:dyDescent="0.25">
      <c r="A128" s="11"/>
      <c r="B128" s="11"/>
      <c r="C128" s="11"/>
      <c r="D128" s="11"/>
      <c r="E128" s="11"/>
      <c r="F128" s="11"/>
      <c r="G128" s="12"/>
      <c r="H128" s="13"/>
      <c r="I128" s="13"/>
      <c r="J128" s="13"/>
      <c r="K128" s="16"/>
      <c r="L128" s="13"/>
      <c r="M128" s="14" t="s">
        <v>11</v>
      </c>
    </row>
    <row r="129" spans="1:13" ht="18.75" x14ac:dyDescent="0.3">
      <c r="A129" s="71" t="s">
        <v>97</v>
      </c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</row>
    <row r="130" spans="1:13" ht="18.75" x14ac:dyDescent="0.3">
      <c r="A130" s="67" t="s">
        <v>91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</row>
    <row r="131" spans="1:13" ht="18.75" x14ac:dyDescent="0.3">
      <c r="A131" s="23"/>
      <c r="B131" s="23"/>
      <c r="C131" s="23"/>
      <c r="D131" s="23"/>
      <c r="E131" s="23"/>
      <c r="F131" s="23"/>
      <c r="G131" s="23" t="s">
        <v>7</v>
      </c>
      <c r="H131" s="23"/>
      <c r="I131" s="23"/>
      <c r="J131" s="23"/>
      <c r="K131" s="23"/>
      <c r="L131" s="23"/>
      <c r="M131" s="23"/>
    </row>
    <row r="132" spans="1:13" ht="18.75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 spans="1:13" ht="18.75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 spans="1:13" ht="18.75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 spans="1:13" ht="18.75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 spans="1:13" ht="18.75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9" spans="1:13" ht="21" x14ac:dyDescent="0.35">
      <c r="A139" s="72" t="s">
        <v>124</v>
      </c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</row>
    <row r="140" spans="1:13" ht="15.75" x14ac:dyDescent="0.25">
      <c r="A140" s="73" t="s">
        <v>5</v>
      </c>
      <c r="B140" s="75" t="s">
        <v>13</v>
      </c>
      <c r="C140" s="76"/>
      <c r="D140" s="76"/>
      <c r="E140" s="76"/>
      <c r="F140" s="77"/>
      <c r="G140" s="78" t="s">
        <v>14</v>
      </c>
      <c r="H140" s="78"/>
      <c r="I140" s="78"/>
      <c r="J140" s="78"/>
      <c r="K140" s="78"/>
      <c r="L140" s="9" t="s">
        <v>15</v>
      </c>
      <c r="M140" s="10" t="s">
        <v>16</v>
      </c>
    </row>
    <row r="141" spans="1:13" ht="15.75" x14ac:dyDescent="0.25">
      <c r="A141" s="74"/>
      <c r="B141" s="9" t="s">
        <v>17</v>
      </c>
      <c r="C141" s="10" t="s">
        <v>18</v>
      </c>
      <c r="D141" s="9" t="s">
        <v>19</v>
      </c>
      <c r="E141" s="9" t="s">
        <v>20</v>
      </c>
      <c r="F141" s="9" t="s">
        <v>21</v>
      </c>
      <c r="G141" s="9" t="s">
        <v>17</v>
      </c>
      <c r="H141" s="10" t="s">
        <v>18</v>
      </c>
      <c r="I141" s="9" t="s">
        <v>19</v>
      </c>
      <c r="J141" s="9" t="s">
        <v>20</v>
      </c>
      <c r="K141" s="9" t="s">
        <v>21</v>
      </c>
      <c r="L141" s="9" t="s">
        <v>22</v>
      </c>
      <c r="M141" s="10" t="s">
        <v>15</v>
      </c>
    </row>
    <row r="142" spans="1:13" ht="15.75" x14ac:dyDescent="0.25">
      <c r="A142" s="11"/>
      <c r="B142" s="11"/>
      <c r="C142" s="11"/>
      <c r="D142" s="11"/>
      <c r="E142" s="11"/>
      <c r="F142" s="11"/>
      <c r="G142" s="18"/>
      <c r="H142" s="18"/>
      <c r="I142" s="13" t="s">
        <v>43</v>
      </c>
      <c r="J142" s="13" t="s">
        <v>39</v>
      </c>
      <c r="K142" s="13" t="s">
        <v>40</v>
      </c>
      <c r="L142" s="13" t="s">
        <v>44</v>
      </c>
      <c r="M142" s="14" t="s">
        <v>42</v>
      </c>
    </row>
    <row r="143" spans="1:13" ht="15.75" x14ac:dyDescent="0.25">
      <c r="A143" s="11"/>
      <c r="B143" s="11"/>
      <c r="C143" s="11"/>
      <c r="D143" s="11"/>
      <c r="E143" s="11"/>
      <c r="F143" s="11"/>
      <c r="G143" s="13"/>
      <c r="H143" s="13"/>
      <c r="I143" s="13" t="s">
        <v>45</v>
      </c>
      <c r="J143" s="13" t="s">
        <v>46</v>
      </c>
      <c r="K143" s="16" t="s">
        <v>47</v>
      </c>
      <c r="L143" s="70" t="s">
        <v>48</v>
      </c>
      <c r="M143" s="70" t="s">
        <v>42</v>
      </c>
    </row>
    <row r="144" spans="1:13" ht="15.75" x14ac:dyDescent="0.25">
      <c r="A144" s="11"/>
      <c r="B144" s="11"/>
      <c r="C144" s="11"/>
      <c r="D144" s="11"/>
      <c r="E144" s="11"/>
      <c r="F144" s="11"/>
      <c r="G144" s="18"/>
      <c r="H144" s="13"/>
      <c r="I144" s="13" t="s">
        <v>45</v>
      </c>
      <c r="J144" s="13" t="s">
        <v>49</v>
      </c>
      <c r="K144" s="16" t="s">
        <v>50</v>
      </c>
      <c r="L144" s="70"/>
      <c r="M144" s="70"/>
    </row>
    <row r="145" spans="1:13" ht="15.75" x14ac:dyDescent="0.25">
      <c r="A145" s="11"/>
      <c r="B145" s="11"/>
      <c r="C145" s="11"/>
      <c r="D145" s="11"/>
      <c r="E145" s="11"/>
      <c r="F145" s="11"/>
      <c r="G145" s="18"/>
      <c r="H145" s="18" t="s">
        <v>51</v>
      </c>
      <c r="I145" s="13" t="s">
        <v>43</v>
      </c>
      <c r="J145" s="13" t="s">
        <v>39</v>
      </c>
      <c r="K145" s="13" t="s">
        <v>40</v>
      </c>
      <c r="L145" s="13" t="s">
        <v>52</v>
      </c>
      <c r="M145" s="14" t="s">
        <v>42</v>
      </c>
    </row>
    <row r="146" spans="1:13" ht="15.75" x14ac:dyDescent="0.25">
      <c r="A146" s="11"/>
      <c r="B146" s="11"/>
      <c r="C146" s="11"/>
      <c r="D146" s="11"/>
      <c r="E146" s="11"/>
      <c r="F146" s="11"/>
      <c r="G146" s="18"/>
      <c r="H146" s="13"/>
      <c r="I146" s="13" t="s">
        <v>53</v>
      </c>
      <c r="J146" s="13" t="s">
        <v>54</v>
      </c>
      <c r="K146" s="16" t="s">
        <v>55</v>
      </c>
      <c r="L146" s="13" t="s">
        <v>56</v>
      </c>
      <c r="M146" s="14" t="s">
        <v>42</v>
      </c>
    </row>
    <row r="147" spans="1:13" ht="15.75" x14ac:dyDescent="0.25">
      <c r="A147" s="11"/>
      <c r="B147" s="11"/>
      <c r="C147" s="11"/>
      <c r="D147" s="11"/>
      <c r="E147" s="11"/>
      <c r="F147" s="11"/>
      <c r="G147" s="13"/>
      <c r="H147" s="18">
        <v>50</v>
      </c>
      <c r="I147" s="13">
        <v>548</v>
      </c>
      <c r="J147" s="13">
        <v>1903628</v>
      </c>
      <c r="K147" s="13">
        <v>1907567</v>
      </c>
      <c r="L147" s="13" t="s">
        <v>57</v>
      </c>
      <c r="M147" s="14" t="s">
        <v>58</v>
      </c>
    </row>
    <row r="148" spans="1:13" ht="15.75" x14ac:dyDescent="0.25">
      <c r="A148" s="11"/>
      <c r="B148" s="11"/>
      <c r="C148" s="11"/>
      <c r="D148" s="11"/>
      <c r="E148" s="11"/>
      <c r="F148" s="11"/>
      <c r="G148" s="18"/>
      <c r="H148" s="18">
        <v>50</v>
      </c>
      <c r="I148" s="13">
        <v>548</v>
      </c>
      <c r="J148" s="13">
        <v>1903628</v>
      </c>
      <c r="K148" s="13">
        <v>1907567</v>
      </c>
      <c r="L148" s="13" t="s">
        <v>59</v>
      </c>
      <c r="M148" s="14" t="s">
        <v>58</v>
      </c>
    </row>
    <row r="149" spans="1:13" ht="15.75" x14ac:dyDescent="0.25">
      <c r="A149" s="11"/>
      <c r="B149" s="11"/>
      <c r="C149" s="11"/>
      <c r="D149" s="11"/>
      <c r="E149" s="11"/>
      <c r="F149" s="11"/>
      <c r="G149" s="18"/>
      <c r="H149" s="14" t="s">
        <v>60</v>
      </c>
      <c r="I149" s="13">
        <v>518</v>
      </c>
      <c r="J149" s="13">
        <v>1903628</v>
      </c>
      <c r="K149" s="13">
        <v>1907567</v>
      </c>
      <c r="L149" s="13" t="s">
        <v>61</v>
      </c>
      <c r="M149" s="14" t="s">
        <v>58</v>
      </c>
    </row>
    <row r="150" spans="1:13" ht="15.75" x14ac:dyDescent="0.25">
      <c r="A150" s="11"/>
      <c r="B150" s="11"/>
      <c r="C150" s="11"/>
      <c r="D150" s="11"/>
      <c r="E150" s="11"/>
      <c r="F150" s="11"/>
      <c r="G150" s="13"/>
      <c r="H150" s="14"/>
      <c r="I150" s="13" t="s">
        <v>62</v>
      </c>
      <c r="J150" s="13" t="s">
        <v>63</v>
      </c>
      <c r="K150" s="13" t="s">
        <v>47</v>
      </c>
      <c r="L150" s="13" t="s">
        <v>61</v>
      </c>
      <c r="M150" s="14" t="s">
        <v>64</v>
      </c>
    </row>
    <row r="151" spans="1:13" ht="15.75" x14ac:dyDescent="0.25">
      <c r="A151" s="11"/>
      <c r="B151" s="11"/>
      <c r="C151" s="11"/>
      <c r="D151" s="11"/>
      <c r="E151" s="11"/>
      <c r="F151" s="11"/>
      <c r="G151" s="18"/>
      <c r="H151" s="14" t="s">
        <v>65</v>
      </c>
      <c r="I151" s="13" t="s">
        <v>66</v>
      </c>
      <c r="J151" s="13" t="s">
        <v>67</v>
      </c>
      <c r="K151" s="13">
        <v>623934</v>
      </c>
      <c r="L151" s="13" t="s">
        <v>68</v>
      </c>
      <c r="M151" s="14" t="s">
        <v>27</v>
      </c>
    </row>
    <row r="152" spans="1:13" ht="15.75" x14ac:dyDescent="0.25">
      <c r="A152" s="11"/>
      <c r="B152" s="11"/>
      <c r="C152" s="11"/>
      <c r="D152" s="11"/>
      <c r="E152" s="11"/>
      <c r="F152" s="11"/>
      <c r="G152" s="18"/>
      <c r="H152" s="14" t="s">
        <v>60</v>
      </c>
      <c r="I152" s="13">
        <v>518</v>
      </c>
      <c r="J152" s="16" t="s">
        <v>69</v>
      </c>
      <c r="K152" s="13">
        <v>2654403</v>
      </c>
      <c r="L152" s="13" t="s">
        <v>59</v>
      </c>
      <c r="M152" s="14" t="s">
        <v>27</v>
      </c>
    </row>
    <row r="153" spans="1:13" ht="15.75" x14ac:dyDescent="0.25">
      <c r="A153" s="11"/>
      <c r="B153" s="11"/>
      <c r="C153" s="11"/>
      <c r="D153" s="11"/>
      <c r="E153" s="11"/>
      <c r="F153" s="11"/>
      <c r="G153" s="18"/>
      <c r="H153" s="16"/>
      <c r="I153" s="19">
        <v>26510362</v>
      </c>
      <c r="J153" s="19">
        <v>26560163</v>
      </c>
      <c r="K153" s="19">
        <v>2654403</v>
      </c>
      <c r="L153" s="13" t="s">
        <v>61</v>
      </c>
      <c r="M153" s="14" t="s">
        <v>27</v>
      </c>
    </row>
    <row r="154" spans="1:13" ht="15.75" x14ac:dyDescent="0.25">
      <c r="A154" s="11"/>
      <c r="B154" s="11"/>
      <c r="C154" s="11"/>
      <c r="D154" s="11"/>
      <c r="E154" s="11"/>
      <c r="F154" s="11"/>
      <c r="G154" s="18"/>
      <c r="H154" s="17"/>
      <c r="I154" s="19">
        <v>265108962</v>
      </c>
      <c r="J154" s="19">
        <v>26561117</v>
      </c>
      <c r="K154" s="19">
        <v>140517050</v>
      </c>
      <c r="L154" s="16">
        <v>15</v>
      </c>
      <c r="M154" s="14" t="s">
        <v>27</v>
      </c>
    </row>
    <row r="155" spans="1:13" ht="15.75" x14ac:dyDescent="0.25">
      <c r="A155" s="11"/>
      <c r="B155" s="11"/>
      <c r="C155" s="11"/>
      <c r="D155" s="11"/>
      <c r="E155" s="11"/>
      <c r="F155" s="11"/>
      <c r="G155" s="13"/>
      <c r="H155" s="17"/>
      <c r="I155" s="19">
        <v>265108962</v>
      </c>
      <c r="J155" s="19">
        <v>26561117</v>
      </c>
      <c r="K155" s="19">
        <v>140517050</v>
      </c>
      <c r="L155" s="16" t="s">
        <v>70</v>
      </c>
      <c r="M155" s="14" t="s">
        <v>27</v>
      </c>
    </row>
    <row r="156" spans="1:13" ht="15.75" x14ac:dyDescent="0.25">
      <c r="A156" s="11"/>
      <c r="B156" s="11"/>
      <c r="C156" s="11"/>
      <c r="D156" s="11"/>
      <c r="E156" s="11"/>
      <c r="F156" s="11"/>
      <c r="G156" s="13"/>
      <c r="H156" s="11"/>
      <c r="I156" s="19">
        <v>265108962</v>
      </c>
      <c r="J156" s="19">
        <v>26561117</v>
      </c>
      <c r="K156" s="19">
        <v>140517050</v>
      </c>
      <c r="L156" s="11" t="s">
        <v>71</v>
      </c>
      <c r="M156" s="14" t="s">
        <v>27</v>
      </c>
    </row>
    <row r="157" spans="1:13" ht="15.75" x14ac:dyDescent="0.25">
      <c r="A157" s="11"/>
      <c r="B157" s="11"/>
      <c r="C157" s="11"/>
      <c r="D157" s="11"/>
      <c r="E157" s="11"/>
      <c r="F157" s="11"/>
      <c r="G157" s="13"/>
      <c r="H157" s="68" t="s">
        <v>51</v>
      </c>
      <c r="I157" s="69" t="s">
        <v>72</v>
      </c>
      <c r="J157" s="16" t="s">
        <v>73</v>
      </c>
      <c r="K157" s="70" t="s">
        <v>74</v>
      </c>
      <c r="L157" s="70" t="s">
        <v>75</v>
      </c>
      <c r="M157" s="70" t="s">
        <v>76</v>
      </c>
    </row>
    <row r="158" spans="1:13" ht="15.75" x14ac:dyDescent="0.25">
      <c r="A158" s="11"/>
      <c r="B158" s="11"/>
      <c r="C158" s="11"/>
      <c r="D158" s="11"/>
      <c r="E158" s="11"/>
      <c r="F158" s="11"/>
      <c r="G158" s="13"/>
      <c r="H158" s="68"/>
      <c r="I158" s="69"/>
      <c r="J158" s="16" t="s">
        <v>77</v>
      </c>
      <c r="K158" s="70"/>
      <c r="L158" s="70"/>
      <c r="M158" s="70"/>
    </row>
    <row r="159" spans="1:13" ht="15.75" x14ac:dyDescent="0.25">
      <c r="A159" s="11"/>
      <c r="B159" s="11"/>
      <c r="C159" s="11"/>
      <c r="D159" s="11"/>
      <c r="E159" s="11"/>
      <c r="F159" s="11"/>
      <c r="G159" s="12"/>
      <c r="H159" s="13" t="s">
        <v>51</v>
      </c>
      <c r="I159" s="13" t="s">
        <v>81</v>
      </c>
      <c r="J159" s="13" t="s">
        <v>82</v>
      </c>
      <c r="K159" s="16" t="s">
        <v>83</v>
      </c>
      <c r="L159" s="13" t="s">
        <v>84</v>
      </c>
      <c r="M159" s="14" t="s">
        <v>85</v>
      </c>
    </row>
    <row r="160" spans="1:13" ht="15.75" x14ac:dyDescent="0.25">
      <c r="A160" s="11"/>
      <c r="B160" s="11"/>
      <c r="C160" s="11"/>
      <c r="D160" s="11"/>
      <c r="E160" s="11"/>
      <c r="F160" s="11"/>
      <c r="G160" s="12"/>
      <c r="H160" s="13"/>
      <c r="I160" s="13"/>
      <c r="J160" s="13"/>
      <c r="K160" s="16"/>
      <c r="L160" s="13"/>
      <c r="M160" s="14" t="s">
        <v>11</v>
      </c>
    </row>
    <row r="161" spans="1:13" ht="18.75" x14ac:dyDescent="0.3">
      <c r="A161" s="71" t="s">
        <v>97</v>
      </c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</row>
    <row r="162" spans="1:13" ht="18.75" x14ac:dyDescent="0.3">
      <c r="A162" s="67" t="s">
        <v>91</v>
      </c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</row>
    <row r="163" spans="1:13" ht="18.75" x14ac:dyDescent="0.3">
      <c r="A163" s="23"/>
      <c r="B163" s="23"/>
      <c r="C163" s="23"/>
      <c r="D163" s="23"/>
      <c r="E163" s="23"/>
      <c r="F163" s="23"/>
      <c r="G163" s="23" t="s">
        <v>7</v>
      </c>
      <c r="H163" s="23"/>
      <c r="I163" s="23"/>
      <c r="J163" s="23"/>
      <c r="K163" s="23"/>
      <c r="L163" s="23"/>
      <c r="M163" s="23"/>
    </row>
    <row r="164" spans="1:13" ht="18.75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 spans="1:13" ht="18.75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 spans="1:13" ht="18.75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70" spans="1:13" ht="21" x14ac:dyDescent="0.35">
      <c r="A170" s="72" t="s">
        <v>125</v>
      </c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</row>
    <row r="171" spans="1:13" ht="15.75" x14ac:dyDescent="0.25">
      <c r="A171" s="73" t="s">
        <v>5</v>
      </c>
      <c r="B171" s="75" t="s">
        <v>13</v>
      </c>
      <c r="C171" s="76"/>
      <c r="D171" s="76"/>
      <c r="E171" s="76"/>
      <c r="F171" s="77"/>
      <c r="G171" s="78" t="s">
        <v>14</v>
      </c>
      <c r="H171" s="78"/>
      <c r="I171" s="78"/>
      <c r="J171" s="78"/>
      <c r="K171" s="78"/>
      <c r="L171" s="9" t="s">
        <v>15</v>
      </c>
      <c r="M171" s="10" t="s">
        <v>16</v>
      </c>
    </row>
    <row r="172" spans="1:13" ht="15.75" x14ac:dyDescent="0.25">
      <c r="A172" s="74"/>
      <c r="B172" s="9" t="s">
        <v>17</v>
      </c>
      <c r="C172" s="10" t="s">
        <v>18</v>
      </c>
      <c r="D172" s="9" t="s">
        <v>19</v>
      </c>
      <c r="E172" s="9" t="s">
        <v>20</v>
      </c>
      <c r="F172" s="9" t="s">
        <v>21</v>
      </c>
      <c r="G172" s="9" t="s">
        <v>17</v>
      </c>
      <c r="H172" s="10" t="s">
        <v>18</v>
      </c>
      <c r="I172" s="9" t="s">
        <v>19</v>
      </c>
      <c r="J172" s="9" t="s">
        <v>20</v>
      </c>
      <c r="K172" s="9" t="s">
        <v>21</v>
      </c>
      <c r="L172" s="9" t="s">
        <v>22</v>
      </c>
      <c r="M172" s="10" t="s">
        <v>15</v>
      </c>
    </row>
    <row r="173" spans="1:13" ht="15.75" x14ac:dyDescent="0.25">
      <c r="A173" s="11"/>
      <c r="B173" s="11"/>
      <c r="C173" s="11"/>
      <c r="D173" s="11"/>
      <c r="E173" s="11"/>
      <c r="F173" s="11"/>
      <c r="G173" s="18"/>
      <c r="H173" s="18"/>
      <c r="I173" s="13" t="s">
        <v>38</v>
      </c>
      <c r="J173" s="13" t="s">
        <v>39</v>
      </c>
      <c r="K173" s="13" t="s">
        <v>40</v>
      </c>
      <c r="L173" s="13" t="s">
        <v>41</v>
      </c>
      <c r="M173" s="14" t="s">
        <v>42</v>
      </c>
    </row>
    <row r="174" spans="1:13" ht="15.75" x14ac:dyDescent="0.25">
      <c r="A174" s="11"/>
      <c r="B174" s="11"/>
      <c r="C174" s="11"/>
      <c r="D174" s="11"/>
      <c r="E174" s="11"/>
      <c r="F174" s="11"/>
      <c r="G174" s="18"/>
      <c r="H174" s="18"/>
      <c r="I174" s="13" t="s">
        <v>43</v>
      </c>
      <c r="J174" s="13" t="s">
        <v>39</v>
      </c>
      <c r="K174" s="13" t="s">
        <v>40</v>
      </c>
      <c r="L174" s="13" t="s">
        <v>44</v>
      </c>
      <c r="M174" s="14" t="s">
        <v>42</v>
      </c>
    </row>
    <row r="175" spans="1:13" ht="15.75" x14ac:dyDescent="0.25">
      <c r="A175" s="11"/>
      <c r="B175" s="11"/>
      <c r="C175" s="11"/>
      <c r="D175" s="11"/>
      <c r="E175" s="11"/>
      <c r="F175" s="11"/>
      <c r="G175" s="13"/>
      <c r="H175" s="13"/>
      <c r="I175" s="13" t="s">
        <v>45</v>
      </c>
      <c r="J175" s="13" t="s">
        <v>46</v>
      </c>
      <c r="K175" s="16" t="s">
        <v>47</v>
      </c>
      <c r="L175" s="70" t="s">
        <v>48</v>
      </c>
      <c r="M175" s="70" t="s">
        <v>42</v>
      </c>
    </row>
    <row r="176" spans="1:13" ht="15.75" x14ac:dyDescent="0.25">
      <c r="A176" s="11"/>
      <c r="B176" s="11"/>
      <c r="C176" s="11"/>
      <c r="D176" s="11"/>
      <c r="E176" s="11"/>
      <c r="F176" s="11"/>
      <c r="G176" s="18"/>
      <c r="H176" s="13"/>
      <c r="I176" s="13" t="s">
        <v>45</v>
      </c>
      <c r="J176" s="13" t="s">
        <v>49</v>
      </c>
      <c r="K176" s="16" t="s">
        <v>50</v>
      </c>
      <c r="L176" s="70"/>
      <c r="M176" s="70"/>
    </row>
    <row r="177" spans="1:13" ht="15.75" x14ac:dyDescent="0.25">
      <c r="A177" s="11"/>
      <c r="B177" s="11"/>
      <c r="C177" s="11"/>
      <c r="D177" s="11"/>
      <c r="E177" s="11"/>
      <c r="F177" s="11"/>
      <c r="G177" s="18"/>
      <c r="H177" s="18" t="s">
        <v>51</v>
      </c>
      <c r="I177" s="13" t="s">
        <v>43</v>
      </c>
      <c r="J177" s="13" t="s">
        <v>39</v>
      </c>
      <c r="K177" s="13" t="s">
        <v>40</v>
      </c>
      <c r="L177" s="13" t="s">
        <v>52</v>
      </c>
      <c r="M177" s="14" t="s">
        <v>42</v>
      </c>
    </row>
    <row r="178" spans="1:13" ht="15.75" x14ac:dyDescent="0.25">
      <c r="A178" s="11"/>
      <c r="B178" s="11"/>
      <c r="C178" s="11"/>
      <c r="D178" s="11"/>
      <c r="E178" s="11"/>
      <c r="F178" s="11"/>
      <c r="G178" s="18"/>
      <c r="H178" s="13"/>
      <c r="I178" s="13" t="s">
        <v>53</v>
      </c>
      <c r="J178" s="13" t="s">
        <v>54</v>
      </c>
      <c r="K178" s="16" t="s">
        <v>55</v>
      </c>
      <c r="L178" s="13" t="s">
        <v>56</v>
      </c>
      <c r="M178" s="14" t="s">
        <v>42</v>
      </c>
    </row>
    <row r="179" spans="1:13" ht="15.75" x14ac:dyDescent="0.25">
      <c r="A179" s="11"/>
      <c r="B179" s="11"/>
      <c r="C179" s="11"/>
      <c r="D179" s="11"/>
      <c r="E179" s="11"/>
      <c r="F179" s="11"/>
      <c r="G179" s="13"/>
      <c r="H179" s="18">
        <v>50</v>
      </c>
      <c r="I179" s="13">
        <v>548</v>
      </c>
      <c r="J179" s="13">
        <v>1903628</v>
      </c>
      <c r="K179" s="13">
        <v>1907567</v>
      </c>
      <c r="L179" s="13" t="s">
        <v>57</v>
      </c>
      <c r="M179" s="14" t="s">
        <v>58</v>
      </c>
    </row>
    <row r="180" spans="1:13" ht="15.75" x14ac:dyDescent="0.25">
      <c r="A180" s="11"/>
      <c r="B180" s="11"/>
      <c r="C180" s="11"/>
      <c r="D180" s="11"/>
      <c r="E180" s="11"/>
      <c r="F180" s="11"/>
      <c r="G180" s="18"/>
      <c r="H180" s="18">
        <v>50</v>
      </c>
      <c r="I180" s="13">
        <v>548</v>
      </c>
      <c r="J180" s="13">
        <v>1903628</v>
      </c>
      <c r="K180" s="13">
        <v>1907567</v>
      </c>
      <c r="L180" s="13" t="s">
        <v>59</v>
      </c>
      <c r="M180" s="14" t="s">
        <v>58</v>
      </c>
    </row>
    <row r="181" spans="1:13" ht="15.75" x14ac:dyDescent="0.25">
      <c r="A181" s="11"/>
      <c r="B181" s="11"/>
      <c r="C181" s="11"/>
      <c r="D181" s="11"/>
      <c r="E181" s="11"/>
      <c r="F181" s="11"/>
      <c r="G181" s="18"/>
      <c r="H181" s="14" t="s">
        <v>60</v>
      </c>
      <c r="I181" s="13">
        <v>518</v>
      </c>
      <c r="J181" s="13">
        <v>1903628</v>
      </c>
      <c r="K181" s="13">
        <v>1907567</v>
      </c>
      <c r="L181" s="13" t="s">
        <v>61</v>
      </c>
      <c r="M181" s="14" t="s">
        <v>58</v>
      </c>
    </row>
    <row r="182" spans="1:13" ht="15.75" x14ac:dyDescent="0.25">
      <c r="A182" s="11"/>
      <c r="B182" s="11"/>
      <c r="C182" s="11"/>
      <c r="D182" s="11"/>
      <c r="E182" s="11"/>
      <c r="F182" s="11"/>
      <c r="G182" s="18"/>
      <c r="H182" s="14" t="s">
        <v>65</v>
      </c>
      <c r="I182" s="13" t="s">
        <v>66</v>
      </c>
      <c r="J182" s="13" t="s">
        <v>67</v>
      </c>
      <c r="K182" s="13">
        <v>623934</v>
      </c>
      <c r="L182" s="13" t="s">
        <v>68</v>
      </c>
      <c r="M182" s="14" t="s">
        <v>27</v>
      </c>
    </row>
    <row r="183" spans="1:13" ht="15.75" x14ac:dyDescent="0.25">
      <c r="A183" s="11"/>
      <c r="B183" s="11"/>
      <c r="C183" s="11"/>
      <c r="D183" s="11"/>
      <c r="E183" s="11"/>
      <c r="F183" s="11"/>
      <c r="G183" s="18"/>
      <c r="H183" s="14" t="s">
        <v>60</v>
      </c>
      <c r="I183" s="13">
        <v>518</v>
      </c>
      <c r="J183" s="16" t="s">
        <v>69</v>
      </c>
      <c r="K183" s="13">
        <v>2654403</v>
      </c>
      <c r="L183" s="13" t="s">
        <v>59</v>
      </c>
      <c r="M183" s="14" t="s">
        <v>27</v>
      </c>
    </row>
    <row r="184" spans="1:13" ht="15.75" x14ac:dyDescent="0.25">
      <c r="A184" s="11"/>
      <c r="B184" s="11"/>
      <c r="C184" s="11"/>
      <c r="D184" s="11"/>
      <c r="E184" s="11"/>
      <c r="F184" s="11"/>
      <c r="G184" s="18"/>
      <c r="H184" s="16"/>
      <c r="I184" s="19">
        <v>26510362</v>
      </c>
      <c r="J184" s="19">
        <v>26560163</v>
      </c>
      <c r="K184" s="19">
        <v>2654403</v>
      </c>
      <c r="L184" s="13" t="s">
        <v>61</v>
      </c>
      <c r="M184" s="14" t="s">
        <v>27</v>
      </c>
    </row>
    <row r="185" spans="1:13" ht="15.75" x14ac:dyDescent="0.25">
      <c r="A185" s="11"/>
      <c r="B185" s="11"/>
      <c r="C185" s="11"/>
      <c r="D185" s="11"/>
      <c r="E185" s="11"/>
      <c r="F185" s="11"/>
      <c r="G185" s="18"/>
      <c r="H185" s="17"/>
      <c r="I185" s="19">
        <v>265108962</v>
      </c>
      <c r="J185" s="19">
        <v>26561117</v>
      </c>
      <c r="K185" s="19">
        <v>140517050</v>
      </c>
      <c r="L185" s="16">
        <v>15</v>
      </c>
      <c r="M185" s="14" t="s">
        <v>27</v>
      </c>
    </row>
    <row r="186" spans="1:13" ht="15.75" x14ac:dyDescent="0.25">
      <c r="A186" s="11"/>
      <c r="B186" s="11"/>
      <c r="C186" s="11"/>
      <c r="D186" s="11"/>
      <c r="E186" s="11"/>
      <c r="F186" s="11"/>
      <c r="G186" s="13"/>
      <c r="H186" s="17"/>
      <c r="I186" s="19">
        <v>265108962</v>
      </c>
      <c r="J186" s="19">
        <v>26561117</v>
      </c>
      <c r="K186" s="19">
        <v>140517050</v>
      </c>
      <c r="L186" s="16" t="s">
        <v>70</v>
      </c>
      <c r="M186" s="14" t="s">
        <v>27</v>
      </c>
    </row>
    <row r="187" spans="1:13" ht="15.75" x14ac:dyDescent="0.25">
      <c r="A187" s="11"/>
      <c r="B187" s="11"/>
      <c r="C187" s="11"/>
      <c r="D187" s="11"/>
      <c r="E187" s="11"/>
      <c r="F187" s="11"/>
      <c r="G187" s="13"/>
      <c r="H187" s="11"/>
      <c r="I187" s="19">
        <v>265108962</v>
      </c>
      <c r="J187" s="19">
        <v>26561117</v>
      </c>
      <c r="K187" s="19">
        <v>140517050</v>
      </c>
      <c r="L187" s="11" t="s">
        <v>71</v>
      </c>
      <c r="M187" s="14" t="s">
        <v>27</v>
      </c>
    </row>
    <row r="188" spans="1:13" ht="15.75" x14ac:dyDescent="0.25">
      <c r="A188" s="11"/>
      <c r="B188" s="11"/>
      <c r="C188" s="11"/>
      <c r="D188" s="11"/>
      <c r="E188" s="11"/>
      <c r="F188" s="11"/>
      <c r="G188" s="13"/>
      <c r="H188" s="68" t="s">
        <v>51</v>
      </c>
      <c r="I188" s="69" t="s">
        <v>72</v>
      </c>
      <c r="J188" s="16" t="s">
        <v>73</v>
      </c>
      <c r="K188" s="70" t="s">
        <v>74</v>
      </c>
      <c r="L188" s="70" t="s">
        <v>75</v>
      </c>
      <c r="M188" s="70" t="s">
        <v>76</v>
      </c>
    </row>
    <row r="189" spans="1:13" ht="15.75" x14ac:dyDescent="0.25">
      <c r="A189" s="11"/>
      <c r="B189" s="11"/>
      <c r="C189" s="11"/>
      <c r="D189" s="11"/>
      <c r="E189" s="11"/>
      <c r="F189" s="11"/>
      <c r="G189" s="13"/>
      <c r="H189" s="68"/>
      <c r="I189" s="69"/>
      <c r="J189" s="16" t="s">
        <v>77</v>
      </c>
      <c r="K189" s="70"/>
      <c r="L189" s="70"/>
      <c r="M189" s="70"/>
    </row>
    <row r="190" spans="1:13" ht="15.75" x14ac:dyDescent="0.25">
      <c r="A190" s="11"/>
      <c r="B190" s="11"/>
      <c r="C190" s="11"/>
      <c r="D190" s="11"/>
      <c r="E190" s="11"/>
      <c r="F190" s="11"/>
      <c r="G190" s="12"/>
      <c r="H190" s="20">
        <v>3814313</v>
      </c>
      <c r="I190" s="21" t="s">
        <v>78</v>
      </c>
      <c r="J190" s="13" t="s">
        <v>79</v>
      </c>
      <c r="K190" s="22" t="s">
        <v>25</v>
      </c>
      <c r="L190" s="21" t="s">
        <v>80</v>
      </c>
      <c r="M190" s="21" t="s">
        <v>76</v>
      </c>
    </row>
    <row r="191" spans="1:13" ht="15.75" x14ac:dyDescent="0.25">
      <c r="A191" s="11"/>
      <c r="B191" s="11"/>
      <c r="C191" s="11"/>
      <c r="D191" s="11"/>
      <c r="E191" s="11"/>
      <c r="F191" s="11"/>
      <c r="G191" s="12"/>
      <c r="H191" s="13" t="s">
        <v>51</v>
      </c>
      <c r="I191" s="13" t="s">
        <v>81</v>
      </c>
      <c r="J191" s="13" t="s">
        <v>82</v>
      </c>
      <c r="K191" s="16" t="s">
        <v>83</v>
      </c>
      <c r="L191" s="13" t="s">
        <v>84</v>
      </c>
      <c r="M191" s="14" t="s">
        <v>85</v>
      </c>
    </row>
    <row r="192" spans="1:13" ht="15.75" x14ac:dyDescent="0.25">
      <c r="A192" s="11"/>
      <c r="B192" s="11"/>
      <c r="C192" s="11"/>
      <c r="D192" s="11"/>
      <c r="E192" s="11"/>
      <c r="F192" s="11"/>
      <c r="G192" s="12"/>
      <c r="H192" s="13"/>
      <c r="I192" s="13"/>
      <c r="J192" s="13"/>
      <c r="K192" s="16"/>
      <c r="L192" s="13"/>
      <c r="M192" s="14" t="s">
        <v>11</v>
      </c>
    </row>
    <row r="193" spans="1:13" ht="18.75" x14ac:dyDescent="0.3">
      <c r="A193" s="71" t="s">
        <v>97</v>
      </c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</row>
    <row r="194" spans="1:13" ht="18.75" x14ac:dyDescent="0.3">
      <c r="A194" s="67" t="s">
        <v>91</v>
      </c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</row>
    <row r="195" spans="1:13" x14ac:dyDescent="0.25">
      <c r="H195" t="s">
        <v>7</v>
      </c>
    </row>
    <row r="196" spans="1:13" ht="23.25" x14ac:dyDescent="0.35">
      <c r="H196" s="81" t="s">
        <v>126</v>
      </c>
      <c r="I196" s="81"/>
      <c r="J196" s="81"/>
      <c r="K196" s="81"/>
      <c r="L196" s="81"/>
      <c r="M196" s="81"/>
    </row>
    <row r="197" spans="1:13" ht="18.75" x14ac:dyDescent="0.25">
      <c r="H197" s="62" t="s">
        <v>13</v>
      </c>
      <c r="I197" s="62"/>
      <c r="J197" s="62"/>
      <c r="K197" s="62"/>
      <c r="L197" s="62"/>
      <c r="M197" s="79" t="s">
        <v>111</v>
      </c>
    </row>
    <row r="198" spans="1:13" ht="18" x14ac:dyDescent="0.25">
      <c r="H198" s="29" t="s">
        <v>17</v>
      </c>
      <c r="I198" s="30" t="s">
        <v>18</v>
      </c>
      <c r="J198" s="29" t="s">
        <v>19</v>
      </c>
      <c r="K198" s="29" t="s">
        <v>20</v>
      </c>
      <c r="L198" s="29" t="s">
        <v>21</v>
      </c>
      <c r="M198" s="80"/>
    </row>
    <row r="199" spans="1:13" ht="18.75" x14ac:dyDescent="0.3">
      <c r="H199" s="28"/>
      <c r="I199" s="28"/>
      <c r="J199" s="28"/>
      <c r="K199" s="28"/>
      <c r="L199" s="28"/>
      <c r="M199" s="28" t="s">
        <v>112</v>
      </c>
    </row>
    <row r="200" spans="1:13" ht="18.75" x14ac:dyDescent="0.3">
      <c r="H200" s="28"/>
      <c r="I200" s="28"/>
      <c r="J200" s="28"/>
      <c r="K200" s="28"/>
      <c r="L200" s="28"/>
      <c r="M200" s="28" t="s">
        <v>113</v>
      </c>
    </row>
    <row r="201" spans="1:13" ht="18.75" x14ac:dyDescent="0.3">
      <c r="H201" s="28"/>
      <c r="I201" s="28"/>
      <c r="J201" s="28"/>
      <c r="K201" s="28"/>
      <c r="L201" s="28"/>
      <c r="M201" s="28" t="s">
        <v>114</v>
      </c>
    </row>
    <row r="202" spans="1:13" ht="18.75" x14ac:dyDescent="0.3">
      <c r="H202" s="28"/>
      <c r="I202" s="28"/>
      <c r="J202" s="28"/>
      <c r="K202" s="28"/>
      <c r="L202" s="28"/>
      <c r="M202" s="28" t="s">
        <v>115</v>
      </c>
    </row>
    <row r="203" spans="1:13" ht="18.75" x14ac:dyDescent="0.3">
      <c r="H203" s="28"/>
      <c r="I203" s="28"/>
      <c r="J203" s="28"/>
      <c r="K203" s="28"/>
      <c r="L203" s="28"/>
      <c r="M203" s="28" t="s">
        <v>116</v>
      </c>
    </row>
    <row r="204" spans="1:13" ht="18.75" x14ac:dyDescent="0.3">
      <c r="H204" s="28"/>
      <c r="I204" s="28"/>
      <c r="J204" s="28"/>
      <c r="K204" s="28"/>
      <c r="L204" s="28"/>
      <c r="M204" s="28" t="s">
        <v>117</v>
      </c>
    </row>
    <row r="205" spans="1:13" ht="18.75" x14ac:dyDescent="0.3">
      <c r="H205" s="28"/>
      <c r="I205" s="28"/>
      <c r="J205" s="28"/>
      <c r="K205" s="28"/>
      <c r="L205" s="28"/>
      <c r="M205" s="28" t="s">
        <v>11</v>
      </c>
    </row>
  </sheetData>
  <mergeCells count="81">
    <mergeCell ref="H197:L197"/>
    <mergeCell ref="M197:M198"/>
    <mergeCell ref="H196:M196"/>
    <mergeCell ref="A1:M1"/>
    <mergeCell ref="A2:A3"/>
    <mergeCell ref="B2:F2"/>
    <mergeCell ref="G2:K2"/>
    <mergeCell ref="L9:L10"/>
    <mergeCell ref="M9:M10"/>
    <mergeCell ref="L44:L45"/>
    <mergeCell ref="M44:M45"/>
    <mergeCell ref="H23:H24"/>
    <mergeCell ref="I23:I24"/>
    <mergeCell ref="K23:K24"/>
    <mergeCell ref="L23:L24"/>
    <mergeCell ref="M23:M24"/>
    <mergeCell ref="A29:M29"/>
    <mergeCell ref="A30:M30"/>
    <mergeCell ref="A40:M40"/>
    <mergeCell ref="A41:A42"/>
    <mergeCell ref="B41:F41"/>
    <mergeCell ref="G41:K41"/>
    <mergeCell ref="L83:L84"/>
    <mergeCell ref="M83:M84"/>
    <mergeCell ref="H58:H59"/>
    <mergeCell ref="I58:I59"/>
    <mergeCell ref="K58:K59"/>
    <mergeCell ref="L58:L59"/>
    <mergeCell ref="M58:M59"/>
    <mergeCell ref="A63:M63"/>
    <mergeCell ref="A64:M64"/>
    <mergeCell ref="A77:M77"/>
    <mergeCell ref="A78:A79"/>
    <mergeCell ref="B78:F78"/>
    <mergeCell ref="G78:K78"/>
    <mergeCell ref="L111:L112"/>
    <mergeCell ref="M111:M112"/>
    <mergeCell ref="H96:H97"/>
    <mergeCell ref="I96:I97"/>
    <mergeCell ref="K96:K97"/>
    <mergeCell ref="L96:L97"/>
    <mergeCell ref="M96:M97"/>
    <mergeCell ref="A101:M101"/>
    <mergeCell ref="A102:M102"/>
    <mergeCell ref="A108:M108"/>
    <mergeCell ref="A109:A110"/>
    <mergeCell ref="B109:F109"/>
    <mergeCell ref="G109:K109"/>
    <mergeCell ref="L143:L144"/>
    <mergeCell ref="M143:M144"/>
    <mergeCell ref="H124:H125"/>
    <mergeCell ref="I124:I125"/>
    <mergeCell ref="K124:K125"/>
    <mergeCell ref="L124:L125"/>
    <mergeCell ref="M124:M125"/>
    <mergeCell ref="A129:M129"/>
    <mergeCell ref="A130:M130"/>
    <mergeCell ref="A139:M139"/>
    <mergeCell ref="A140:A141"/>
    <mergeCell ref="B140:F140"/>
    <mergeCell ref="G140:K140"/>
    <mergeCell ref="L175:L176"/>
    <mergeCell ref="M175:M176"/>
    <mergeCell ref="H157:H158"/>
    <mergeCell ref="I157:I158"/>
    <mergeCell ref="K157:K158"/>
    <mergeCell ref="L157:L158"/>
    <mergeCell ref="M157:M158"/>
    <mergeCell ref="A161:M161"/>
    <mergeCell ref="A162:M162"/>
    <mergeCell ref="A170:M170"/>
    <mergeCell ref="A171:A172"/>
    <mergeCell ref="B171:F171"/>
    <mergeCell ref="G171:K171"/>
    <mergeCell ref="A194:M194"/>
    <mergeCell ref="H188:H189"/>
    <mergeCell ref="I188:I189"/>
    <mergeCell ref="K188:K189"/>
    <mergeCell ref="L188:L189"/>
    <mergeCell ref="M188:M189"/>
    <mergeCell ref="A193:M193"/>
  </mergeCells>
  <pageMargins left="0.61" right="0.44" top="0.56000000000000005" bottom="0.4" header="0.3" footer="0.3"/>
  <pageSetup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ضرورت تیل تما می سایتها</vt:lpstr>
      <vt:lpstr>ضرورت فلترها</vt:lpstr>
      <vt:lpstr>'ضرورت تیل تما می سایتها'!Print_Area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m.zafar</dc:creator>
  <cp:lastModifiedBy>Moorche</cp:lastModifiedBy>
  <cp:lastPrinted>2020-10-11T04:07:00Z</cp:lastPrinted>
  <dcterms:created xsi:type="dcterms:W3CDTF">2016-02-23T05:13:18Z</dcterms:created>
  <dcterms:modified xsi:type="dcterms:W3CDTF">2020-10-11T05:18:01Z</dcterms:modified>
</cp:coreProperties>
</file>